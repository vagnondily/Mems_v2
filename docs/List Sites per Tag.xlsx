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wfp.sharepoint.com/sites/RAM_Madagascar-MonitoringandEvaluation/Shared Documents/Monitoring and Evaluation/1. Process Monitoring/Tableau desktop Work/"/>
    </mc:Choice>
  </mc:AlternateContent>
  <xr:revisionPtr revIDLastSave="297" documentId="8_{E1CF8A28-E335-43B7-84B7-9B0994E30076}" xr6:coauthVersionLast="47" xr6:coauthVersionMax="47" xr10:uidLastSave="{D4289321-29A7-4536-9135-39AB3098B83F}"/>
  <bookViews>
    <workbookView xWindow="-90" yWindow="0" windowWidth="9780" windowHeight="11370" tabRatio="451" activeTab="4" xr2:uid="{17AC01A5-24D5-4A07-A51F-F71570743845}"/>
  </bookViews>
  <sheets>
    <sheet name="Sheet5 (2)" sheetId="6" r:id="rId1"/>
    <sheet name="Sheet3" sheetId="3" r:id="rId2"/>
    <sheet name="Sheet5" sheetId="5" r:id="rId3"/>
    <sheet name="Sheet7" sheetId="7" r:id="rId4"/>
    <sheet name="Sites" sheetId="1" r:id="rId5"/>
    <sheet name="Parameter" sheetId="2" r:id="rId6"/>
  </sheets>
  <definedNames>
    <definedName name="tag">Parameter!$A$25:$A$32</definedName>
  </definedNames>
  <calcPr calcId="191028"/>
  <pivotCaches>
    <pivotCache cacheId="0" r:id="rId7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74" i="1" l="1"/>
  <c r="A489" i="1"/>
  <c r="A361" i="1"/>
  <c r="A423" i="1"/>
  <c r="A348" i="1"/>
  <c r="A493" i="1"/>
  <c r="A403" i="1"/>
  <c r="A921" i="1"/>
  <c r="A909" i="1"/>
  <c r="A1050" i="1"/>
  <c r="A1242" i="1"/>
  <c r="A665" i="1"/>
  <c r="A676" i="1"/>
  <c r="A53" i="1"/>
  <c r="A36" i="1"/>
  <c r="A131" i="1"/>
  <c r="A127" i="1"/>
  <c r="A157" i="1"/>
  <c r="A1162" i="1"/>
  <c r="A1149" i="1"/>
  <c r="C297" i="1"/>
  <c r="C300" i="1"/>
  <c r="C303" i="1"/>
  <c r="C301" i="1"/>
  <c r="C249" i="1"/>
  <c r="C252" i="1"/>
  <c r="C256" i="1"/>
  <c r="C255" i="1"/>
  <c r="C247" i="1"/>
  <c r="C246" i="1"/>
  <c r="C268" i="1"/>
  <c r="C261" i="1"/>
  <c r="C277" i="1"/>
  <c r="C293" i="1"/>
  <c r="C285" i="1"/>
  <c r="C280" i="1"/>
  <c r="C287" i="1"/>
  <c r="C282" i="1"/>
  <c r="C283" i="1"/>
  <c r="C279" i="1"/>
  <c r="C281" i="1"/>
  <c r="C310" i="1"/>
  <c r="C309" i="1"/>
  <c r="C308" i="1"/>
  <c r="C316" i="1"/>
  <c r="C295" i="1"/>
  <c r="C294" i="1"/>
  <c r="C296" i="1"/>
  <c r="C274" i="1"/>
  <c r="C312" i="1"/>
  <c r="C314" i="1"/>
  <c r="C315" i="1"/>
  <c r="C302" i="1"/>
  <c r="C323" i="1"/>
  <c r="C322" i="1"/>
  <c r="C292" i="1"/>
  <c r="C305" i="1"/>
  <c r="C324" i="1"/>
  <c r="C320" i="1"/>
  <c r="C288" i="1"/>
  <c r="C304" i="1"/>
  <c r="C258" i="1"/>
  <c r="C260" i="1"/>
  <c r="C271" i="1"/>
  <c r="C317" i="1"/>
  <c r="C289" i="1"/>
  <c r="C307" i="1"/>
  <c r="C311" i="1"/>
  <c r="C269" i="1"/>
  <c r="C291" i="1"/>
  <c r="C262" i="1"/>
  <c r="C278" i="1"/>
  <c r="C248" i="1"/>
  <c r="C263" i="1"/>
  <c r="C313" i="1"/>
  <c r="C321" i="1"/>
  <c r="C298" i="1"/>
  <c r="C264" i="1"/>
  <c r="C265" i="1"/>
  <c r="C250" i="1"/>
  <c r="C290" i="1"/>
  <c r="C251" i="1"/>
  <c r="C318" i="1"/>
  <c r="C299" i="1"/>
  <c r="C306" i="1"/>
  <c r="C266" i="1"/>
  <c r="C270" i="1"/>
  <c r="C267" i="1"/>
  <c r="C257" i="1"/>
  <c r="C253" i="1"/>
  <c r="C259" i="1"/>
  <c r="C254" i="1"/>
  <c r="C319" i="1"/>
  <c r="C272" i="1"/>
  <c r="C273" i="1"/>
  <c r="C343" i="1"/>
  <c r="C341" i="1"/>
  <c r="C339" i="1"/>
  <c r="C345" i="1"/>
  <c r="C340" i="1"/>
  <c r="C338" i="1"/>
  <c r="C374" i="1"/>
  <c r="C380" i="1"/>
  <c r="C344" i="1"/>
  <c r="C437" i="1"/>
  <c r="C368" i="1"/>
  <c r="C441" i="1"/>
  <c r="C371" i="1"/>
  <c r="C378" i="1"/>
  <c r="C372" i="1"/>
  <c r="C342" i="1"/>
  <c r="C444" i="1"/>
  <c r="C438" i="1"/>
  <c r="C442" i="1"/>
  <c r="C377" i="1"/>
  <c r="C362" i="1"/>
  <c r="C399" i="1"/>
  <c r="C439" i="1"/>
  <c r="C443" i="1"/>
  <c r="C364" i="1"/>
  <c r="C375" i="1"/>
  <c r="C373" i="1"/>
  <c r="C501" i="1"/>
  <c r="C366" i="1"/>
  <c r="C496" i="1"/>
  <c r="C370" i="1"/>
  <c r="C487" i="1"/>
  <c r="C376" i="1"/>
  <c r="C390" i="1"/>
  <c r="C365" i="1"/>
  <c r="C363" i="1"/>
  <c r="C400" i="1"/>
  <c r="C386" i="1"/>
  <c r="C369" i="1"/>
  <c r="C394" i="1"/>
  <c r="C334" i="1"/>
  <c r="C331" i="1"/>
  <c r="C497" i="1"/>
  <c r="C504" i="1"/>
  <c r="C391" i="1"/>
  <c r="C329" i="1"/>
  <c r="C466" i="1"/>
  <c r="C353" i="1"/>
  <c r="C469" i="1"/>
  <c r="C464" i="1"/>
  <c r="C494" i="1"/>
  <c r="C385" i="1"/>
  <c r="C337" i="1"/>
  <c r="C382" i="1"/>
  <c r="C393" i="1"/>
  <c r="C491" i="1"/>
  <c r="C498" i="1"/>
  <c r="C392" i="1"/>
  <c r="C388" i="1"/>
  <c r="C402" i="1"/>
  <c r="C472" i="1"/>
  <c r="C478" i="1"/>
  <c r="C470" i="1"/>
  <c r="C484" i="1"/>
  <c r="C333" i="1"/>
  <c r="C486" i="1"/>
  <c r="C476" i="1"/>
  <c r="C383" i="1"/>
  <c r="C474" i="1"/>
  <c r="C492" i="1"/>
  <c r="C507" i="1"/>
  <c r="C395" i="1"/>
  <c r="C471" i="1"/>
  <c r="C468" i="1"/>
  <c r="C467" i="1"/>
  <c r="C397" i="1"/>
  <c r="C489" i="1"/>
  <c r="C330" i="1"/>
  <c r="C384" i="1"/>
  <c r="C495" i="1"/>
  <c r="C387" i="1"/>
  <c r="C490" i="1"/>
  <c r="C463" i="1"/>
  <c r="C473" i="1"/>
  <c r="C479" i="1"/>
  <c r="C336" i="1"/>
  <c r="C354" i="1"/>
  <c r="C396" i="1"/>
  <c r="C477" i="1"/>
  <c r="C332" i="1"/>
  <c r="C475" i="1"/>
  <c r="C352" i="1"/>
  <c r="C350" i="1"/>
  <c r="C465" i="1"/>
  <c r="C355" i="1"/>
  <c r="C389" i="1"/>
  <c r="C401" i="1"/>
  <c r="C358" i="1"/>
  <c r="C419" i="1"/>
  <c r="C356" i="1"/>
  <c r="C417" i="1"/>
  <c r="C421" i="1"/>
  <c r="C359" i="1"/>
  <c r="C420" i="1"/>
  <c r="C418" i="1"/>
  <c r="C347" i="1"/>
  <c r="C416" i="1"/>
  <c r="C502" i="1"/>
  <c r="C505" i="1"/>
  <c r="C422" i="1"/>
  <c r="C503" i="1"/>
  <c r="C500" i="1"/>
  <c r="C357" i="1"/>
  <c r="C506" i="1"/>
  <c r="C335" i="1"/>
  <c r="C488" i="1"/>
  <c r="C440" i="1"/>
  <c r="C346" i="1"/>
  <c r="C381" i="1"/>
  <c r="C485" i="1"/>
  <c r="C361" i="1"/>
  <c r="C423" i="1"/>
  <c r="C348" i="1"/>
  <c r="C360" i="1"/>
  <c r="C367" i="1"/>
  <c r="C424" i="1"/>
  <c r="C379" i="1"/>
  <c r="C398" i="1"/>
  <c r="C351" i="1"/>
  <c r="C493" i="1"/>
  <c r="C425" i="1"/>
  <c r="C499" i="1"/>
  <c r="C480" i="1"/>
  <c r="C483" i="1"/>
  <c r="C481" i="1"/>
  <c r="C482" i="1"/>
  <c r="C458" i="1"/>
  <c r="C450" i="1"/>
  <c r="C455" i="1"/>
  <c r="C449" i="1"/>
  <c r="C460" i="1"/>
  <c r="C451" i="1"/>
  <c r="C431" i="1"/>
  <c r="C452" i="1"/>
  <c r="C459" i="1"/>
  <c r="C457" i="1"/>
  <c r="C453" i="1"/>
  <c r="C426" i="1"/>
  <c r="C430" i="1"/>
  <c r="C446" i="1"/>
  <c r="C448" i="1"/>
  <c r="C447" i="1"/>
  <c r="C456" i="1"/>
  <c r="C408" i="1"/>
  <c r="C411" i="1"/>
  <c r="C432" i="1"/>
  <c r="C409" i="1"/>
  <c r="C410" i="1"/>
  <c r="C413" i="1"/>
  <c r="C412" i="1"/>
  <c r="C429" i="1"/>
  <c r="C428" i="1"/>
  <c r="C433" i="1"/>
  <c r="C404" i="1"/>
  <c r="C403" i="1"/>
  <c r="C454" i="1"/>
  <c r="C462" i="1"/>
  <c r="C436" i="1"/>
  <c r="C415" i="1"/>
  <c r="C461" i="1"/>
  <c r="C405" i="1"/>
  <c r="C427" i="1"/>
  <c r="C435" i="1"/>
  <c r="C406" i="1"/>
  <c r="C445" i="1"/>
  <c r="C407" i="1"/>
  <c r="C512" i="1"/>
  <c r="C414" i="1"/>
  <c r="C434" i="1"/>
  <c r="C795" i="1"/>
  <c r="C792" i="1"/>
  <c r="C761" i="1"/>
  <c r="C754" i="1"/>
  <c r="C793" i="1"/>
  <c r="C759" i="1"/>
  <c r="C797" i="1"/>
  <c r="C794" i="1"/>
  <c r="C756" i="1"/>
  <c r="C791" i="1"/>
  <c r="C753" i="1"/>
  <c r="C760" i="1"/>
  <c r="C771" i="1"/>
  <c r="C773" i="1"/>
  <c r="C769" i="1"/>
  <c r="C796" i="1"/>
  <c r="C767" i="1"/>
  <c r="C763" i="1"/>
  <c r="C766" i="1"/>
  <c r="C768" i="1"/>
  <c r="C777" i="1"/>
  <c r="C770" i="1"/>
  <c r="C764" i="1"/>
  <c r="C772" i="1"/>
  <c r="C776" i="1"/>
  <c r="C757" i="1"/>
  <c r="C775" i="1"/>
  <c r="C781" i="1"/>
  <c r="C779" i="1"/>
  <c r="C762" i="1"/>
  <c r="C780" i="1"/>
  <c r="C765" i="1"/>
  <c r="C790" i="1"/>
  <c r="C755" i="1"/>
  <c r="C783" i="1"/>
  <c r="C774" i="1"/>
  <c r="C758" i="1"/>
  <c r="C788" i="1"/>
  <c r="C789" i="1"/>
  <c r="C778" i="1"/>
  <c r="C829" i="1"/>
  <c r="C782" i="1"/>
  <c r="C807" i="1"/>
  <c r="C803" i="1"/>
  <c r="C802" i="1"/>
  <c r="C798" i="1"/>
  <c r="C832" i="1"/>
  <c r="C799" i="1"/>
  <c r="C833" i="1"/>
  <c r="C742" i="1"/>
  <c r="C806" i="1"/>
  <c r="C808" i="1"/>
  <c r="C745" i="1"/>
  <c r="C804" i="1"/>
  <c r="C830" i="1"/>
  <c r="C809" i="1"/>
  <c r="C743" i="1"/>
  <c r="C810" i="1"/>
  <c r="C825" i="1"/>
  <c r="C744" i="1"/>
  <c r="C800" i="1"/>
  <c r="C751" i="1"/>
  <c r="C750" i="1"/>
  <c r="C805" i="1"/>
  <c r="C752" i="1"/>
  <c r="C815" i="1"/>
  <c r="C814" i="1"/>
  <c r="C827" i="1"/>
  <c r="C822" i="1"/>
  <c r="C821" i="1"/>
  <c r="C748" i="1"/>
  <c r="C828" i="1"/>
  <c r="C749" i="1"/>
  <c r="C826" i="1"/>
  <c r="C823" i="1"/>
  <c r="C786" i="1"/>
  <c r="C848" i="1"/>
  <c r="C746" i="1"/>
  <c r="C846" i="1"/>
  <c r="C842" i="1"/>
  <c r="C843" i="1"/>
  <c r="C844" i="1"/>
  <c r="C824" i="1"/>
  <c r="C747" i="1"/>
  <c r="C837" i="1"/>
  <c r="C847" i="1"/>
  <c r="C733" i="1"/>
  <c r="C731" i="1"/>
  <c r="C818" i="1"/>
  <c r="C819" i="1"/>
  <c r="C816" i="1"/>
  <c r="C817" i="1"/>
  <c r="C820" i="1"/>
  <c r="C845" i="1"/>
  <c r="C836" i="1"/>
  <c r="C834" i="1"/>
  <c r="C785" i="1"/>
  <c r="C730" i="1"/>
  <c r="C787" i="1"/>
  <c r="C784" i="1"/>
  <c r="C738" i="1"/>
  <c r="C725" i="1"/>
  <c r="C737" i="1"/>
  <c r="C726" i="1"/>
  <c r="C732" i="1"/>
  <c r="C838" i="1"/>
  <c r="C736" i="1"/>
  <c r="C739" i="1"/>
  <c r="C729" i="1"/>
  <c r="C728" i="1"/>
  <c r="C727" i="1"/>
  <c r="C813" i="1"/>
  <c r="C191" i="1"/>
  <c r="C190" i="1"/>
  <c r="C741" i="1"/>
  <c r="C831" i="1"/>
  <c r="C811" i="1"/>
  <c r="C841" i="1"/>
  <c r="C812" i="1"/>
  <c r="C801" i="1"/>
  <c r="C735" i="1"/>
  <c r="C840" i="1"/>
  <c r="C734" i="1"/>
  <c r="C740" i="1"/>
  <c r="C839" i="1"/>
  <c r="C835" i="1"/>
  <c r="C934" i="1"/>
  <c r="C933" i="1"/>
  <c r="C947" i="1"/>
  <c r="C945" i="1"/>
  <c r="C948" i="1"/>
  <c r="C939" i="1"/>
  <c r="C951" i="1"/>
  <c r="C944" i="1"/>
  <c r="C932" i="1"/>
  <c r="C938" i="1"/>
  <c r="C943" i="1"/>
  <c r="C880" i="1"/>
  <c r="C946" i="1"/>
  <c r="C940" i="1"/>
  <c r="C872" i="1"/>
  <c r="C930" i="1"/>
  <c r="C876" i="1"/>
  <c r="C936" i="1"/>
  <c r="C889" i="1"/>
  <c r="C874" i="1"/>
  <c r="C890" i="1"/>
  <c r="C886" i="1"/>
  <c r="C885" i="1"/>
  <c r="C941" i="1"/>
  <c r="C937" i="1"/>
  <c r="C882" i="1"/>
  <c r="C854" i="1"/>
  <c r="C893" i="1"/>
  <c r="C873" i="1"/>
  <c r="C855" i="1"/>
  <c r="C878" i="1"/>
  <c r="C869" i="1"/>
  <c r="C888" i="1"/>
  <c r="C894" i="1"/>
  <c r="C949" i="1"/>
  <c r="C881" i="1"/>
  <c r="C864" i="1"/>
  <c r="C875" i="1"/>
  <c r="C853" i="1"/>
  <c r="C902" i="1"/>
  <c r="C856" i="1"/>
  <c r="C896" i="1"/>
  <c r="C867" i="1"/>
  <c r="C892" i="1"/>
  <c r="C935" i="1"/>
  <c r="C860" i="1"/>
  <c r="C931" i="1"/>
  <c r="C866" i="1"/>
  <c r="C850" i="1"/>
  <c r="C901" i="1"/>
  <c r="C883" i="1"/>
  <c r="C858" i="1"/>
  <c r="C861" i="1"/>
  <c r="C871" i="1"/>
  <c r="C899" i="1"/>
  <c r="C877" i="1"/>
  <c r="C891" i="1"/>
  <c r="C898" i="1"/>
  <c r="C884" i="1"/>
  <c r="C895" i="1"/>
  <c r="C900" i="1"/>
  <c r="C863" i="1"/>
  <c r="C879" i="1"/>
  <c r="C887" i="1"/>
  <c r="C903" i="1"/>
  <c r="C849" i="1"/>
  <c r="C962" i="1"/>
  <c r="C857" i="1"/>
  <c r="C851" i="1"/>
  <c r="C959" i="1"/>
  <c r="C960" i="1"/>
  <c r="C897" i="1"/>
  <c r="C908" i="1"/>
  <c r="C953" i="1"/>
  <c r="C955" i="1"/>
  <c r="C952" i="1"/>
  <c r="C907" i="1"/>
  <c r="C870" i="1"/>
  <c r="C961" i="1"/>
  <c r="C921" i="1"/>
  <c r="C906" i="1"/>
  <c r="C868" i="1"/>
  <c r="C954" i="1"/>
  <c r="C928" i="1"/>
  <c r="C927" i="1"/>
  <c r="C862" i="1"/>
  <c r="C916" i="1"/>
  <c r="C852" i="1"/>
  <c r="C909" i="1"/>
  <c r="C865" i="1"/>
  <c r="C917" i="1"/>
  <c r="C957" i="1"/>
  <c r="C958" i="1"/>
  <c r="C914" i="1"/>
  <c r="C913" i="1"/>
  <c r="C920" i="1"/>
  <c r="C929" i="1"/>
  <c r="C956" i="1"/>
  <c r="C922" i="1"/>
  <c r="C918" i="1"/>
  <c r="C911" i="1"/>
  <c r="C963" i="1"/>
  <c r="C926" i="1"/>
  <c r="C915" i="1"/>
  <c r="C923" i="1"/>
  <c r="C925" i="1"/>
  <c r="C924" i="1"/>
  <c r="C910" i="1"/>
  <c r="C912" i="1"/>
  <c r="C919" i="1"/>
  <c r="C942" i="1"/>
  <c r="C859" i="1"/>
  <c r="C950" i="1"/>
  <c r="C904" i="1"/>
  <c r="C905" i="1"/>
  <c r="C508" i="1"/>
  <c r="C511" i="1"/>
  <c r="C510" i="1"/>
  <c r="C349" i="1"/>
  <c r="C509" i="1"/>
  <c r="C1033" i="1"/>
  <c r="C1145" i="1"/>
  <c r="C1029" i="1"/>
  <c r="C1037" i="1"/>
  <c r="C1034" i="1"/>
  <c r="C1036" i="1"/>
  <c r="C1035" i="1"/>
  <c r="C1030" i="1"/>
  <c r="C1032" i="1"/>
  <c r="C1031" i="1"/>
  <c r="C1066" i="1"/>
  <c r="C1062" i="1"/>
  <c r="C1059" i="1"/>
  <c r="C1060" i="1"/>
  <c r="C1061" i="1"/>
  <c r="C1069" i="1"/>
  <c r="C1108" i="1"/>
  <c r="C1077" i="1"/>
  <c r="C1115" i="1"/>
  <c r="C1109" i="1"/>
  <c r="C1140" i="1"/>
  <c r="C1080" i="1"/>
  <c r="C1082" i="1"/>
  <c r="C1078" i="1"/>
  <c r="C1084" i="1"/>
  <c r="C1079" i="1"/>
  <c r="C1126" i="1"/>
  <c r="C1119" i="1"/>
  <c r="C1110" i="1"/>
  <c r="C1127" i="1"/>
  <c r="C1142" i="1"/>
  <c r="C1100" i="1"/>
  <c r="C1101" i="1"/>
  <c r="C1054" i="1"/>
  <c r="C1056" i="1"/>
  <c r="C1053" i="1"/>
  <c r="C1043" i="1"/>
  <c r="C1137" i="1"/>
  <c r="C1131" i="1"/>
  <c r="C1132" i="1"/>
  <c r="C1122" i="1"/>
  <c r="C1046" i="1"/>
  <c r="C1133" i="1"/>
  <c r="C1067" i="1"/>
  <c r="C1042" i="1"/>
  <c r="C1125" i="1"/>
  <c r="C1117" i="1"/>
  <c r="C1058" i="1"/>
  <c r="C1085" i="1"/>
  <c r="C1044" i="1"/>
  <c r="C1072" i="1"/>
  <c r="C1068" i="1"/>
  <c r="C1086" i="1"/>
  <c r="C1134" i="1"/>
  <c r="C1089" i="1"/>
  <c r="C1141" i="1"/>
  <c r="C1143" i="1"/>
  <c r="C1064" i="1"/>
  <c r="C1146" i="1"/>
  <c r="C1065" i="1"/>
  <c r="C1090" i="1"/>
  <c r="C1123" i="1"/>
  <c r="C1057" i="1"/>
  <c r="C1102" i="1"/>
  <c r="C1045" i="1"/>
  <c r="C1139" i="1"/>
  <c r="C1111" i="1"/>
  <c r="C1070" i="1"/>
  <c r="C1074" i="1"/>
  <c r="C1063" i="1"/>
  <c r="C1099" i="1"/>
  <c r="C1097" i="1"/>
  <c r="C1120" i="1"/>
  <c r="C1071" i="1"/>
  <c r="C1038" i="1"/>
  <c r="C1135" i="1"/>
  <c r="C1114" i="1"/>
  <c r="C1091" i="1"/>
  <c r="C1107" i="1"/>
  <c r="C1075" i="1"/>
  <c r="C1055" i="1"/>
  <c r="C1092" i="1"/>
  <c r="C1093" i="1"/>
  <c r="C1087" i="1"/>
  <c r="C1124" i="1"/>
  <c r="C1104" i="1"/>
  <c r="C1128" i="1"/>
  <c r="C1130" i="1"/>
  <c r="C1047" i="1"/>
  <c r="C1094" i="1"/>
  <c r="C1098" i="1"/>
  <c r="C1105" i="1"/>
  <c r="C1050" i="1"/>
  <c r="C1081" i="1"/>
  <c r="C1118" i="1"/>
  <c r="C1116" i="1"/>
  <c r="C1129" i="1"/>
  <c r="C1144" i="1"/>
  <c r="C1136" i="1"/>
  <c r="C1039" i="1"/>
  <c r="C1106" i="1"/>
  <c r="C1083" i="1"/>
  <c r="C1041" i="1"/>
  <c r="C1095" i="1"/>
  <c r="C1096" i="1"/>
  <c r="C1138" i="1"/>
  <c r="C1040" i="1"/>
  <c r="C1049" i="1"/>
  <c r="C1147" i="1"/>
  <c r="C1121" i="1"/>
  <c r="C1052" i="1"/>
  <c r="C1048" i="1"/>
  <c r="C1051" i="1"/>
  <c r="C1076" i="1"/>
  <c r="C1073" i="1"/>
  <c r="C1088" i="1"/>
  <c r="C1103" i="1"/>
  <c r="C1205" i="1"/>
  <c r="C1258" i="1"/>
  <c r="C1212" i="1"/>
  <c r="C1214" i="1"/>
  <c r="C1209" i="1"/>
  <c r="C1255" i="1"/>
  <c r="C1208" i="1"/>
  <c r="C1259" i="1"/>
  <c r="C1261" i="1"/>
  <c r="C1257" i="1"/>
  <c r="C1254" i="1"/>
  <c r="C1260" i="1"/>
  <c r="C1213" i="1"/>
  <c r="C1251" i="1"/>
  <c r="C1253" i="1"/>
  <c r="C1249" i="1"/>
  <c r="C1246" i="1"/>
  <c r="C1216" i="1"/>
  <c r="C1252" i="1"/>
  <c r="C1206" i="1"/>
  <c r="C1262" i="1"/>
  <c r="C1215" i="1"/>
  <c r="C1245" i="1"/>
  <c r="C1256" i="1"/>
  <c r="C1204" i="1"/>
  <c r="C1247" i="1"/>
  <c r="C1248" i="1"/>
  <c r="C1211" i="1"/>
  <c r="C1210" i="1"/>
  <c r="C1264" i="1"/>
  <c r="C1250" i="1"/>
  <c r="C1271" i="1"/>
  <c r="C1186" i="1"/>
  <c r="C1274" i="1"/>
  <c r="C1244" i="1"/>
  <c r="C1269" i="1"/>
  <c r="C1272" i="1"/>
  <c r="C1179" i="1"/>
  <c r="C1185" i="1"/>
  <c r="C1273" i="1"/>
  <c r="C1187" i="1"/>
  <c r="C1266" i="1"/>
  <c r="C1280" i="1"/>
  <c r="C1270" i="1"/>
  <c r="C1183" i="1"/>
  <c r="C1267" i="1"/>
  <c r="C1268" i="1"/>
  <c r="C1278" i="1"/>
  <c r="C1263" i="1"/>
  <c r="C1188" i="1"/>
  <c r="C1233" i="1"/>
  <c r="C1184" i="1"/>
  <c r="C1226" i="1"/>
  <c r="C1220" i="1"/>
  <c r="C1207" i="1"/>
  <c r="C1180" i="1"/>
  <c r="C1265" i="1"/>
  <c r="C1227" i="1"/>
  <c r="C1182" i="1"/>
  <c r="C1218" i="1"/>
  <c r="C1234" i="1"/>
  <c r="C1223" i="1"/>
  <c r="C1193" i="1"/>
  <c r="C1238" i="1"/>
  <c r="C1189" i="1"/>
  <c r="C1225" i="1"/>
  <c r="C1276" i="1"/>
  <c r="C1195" i="1"/>
  <c r="C1235" i="1"/>
  <c r="C1243" i="1"/>
  <c r="C1181" i="1"/>
  <c r="C1240" i="1"/>
  <c r="C1228" i="1"/>
  <c r="C1239" i="1"/>
  <c r="C1198" i="1"/>
  <c r="C1196" i="1"/>
  <c r="C1237" i="1"/>
  <c r="C1202" i="1"/>
  <c r="C1192" i="1"/>
  <c r="C1201" i="1"/>
  <c r="C1190" i="1"/>
  <c r="C1194" i="1"/>
  <c r="C1221" i="1"/>
  <c r="C1217" i="1"/>
  <c r="C1242" i="1"/>
  <c r="C1277" i="1"/>
  <c r="C1224" i="1"/>
  <c r="C1203" i="1"/>
  <c r="C1231" i="1"/>
  <c r="C1199" i="1"/>
  <c r="C1230" i="1"/>
  <c r="C1229" i="1"/>
  <c r="C1197" i="1"/>
  <c r="C1279" i="1"/>
  <c r="C1191" i="1"/>
  <c r="C1200" i="1"/>
  <c r="C1275" i="1"/>
  <c r="C544" i="1"/>
  <c r="C555" i="1"/>
  <c r="C553" i="1"/>
  <c r="C550" i="1"/>
  <c r="C538" i="1"/>
  <c r="C551" i="1"/>
  <c r="C545" i="1"/>
  <c r="C537" i="1"/>
  <c r="C539" i="1"/>
  <c r="C554" i="1"/>
  <c r="C547" i="1"/>
  <c r="C542" i="1"/>
  <c r="C546" i="1"/>
  <c r="C549" i="1"/>
  <c r="C543" i="1"/>
  <c r="C521" i="1"/>
  <c r="C541" i="1"/>
  <c r="C552" i="1"/>
  <c r="C665" i="1"/>
  <c r="C557" i="1"/>
  <c r="C548" i="1"/>
  <c r="C556" i="1"/>
  <c r="C674" i="1"/>
  <c r="C667" i="1"/>
  <c r="C526" i="1"/>
  <c r="C669" i="1"/>
  <c r="C523" i="1"/>
  <c r="C671" i="1"/>
  <c r="C676" i="1"/>
  <c r="C533" i="1"/>
  <c r="C520" i="1"/>
  <c r="C530" i="1"/>
  <c r="C536" i="1"/>
  <c r="C531" i="1"/>
  <c r="C666" i="1"/>
  <c r="C673" i="1"/>
  <c r="C534" i="1"/>
  <c r="C518" i="1"/>
  <c r="C678" i="1"/>
  <c r="C700" i="1"/>
  <c r="C705" i="1"/>
  <c r="C532" i="1"/>
  <c r="C524" i="1"/>
  <c r="C522" i="1"/>
  <c r="C527" i="1"/>
  <c r="C528" i="1"/>
  <c r="C529" i="1"/>
  <c r="C675" i="1"/>
  <c r="C525" i="1"/>
  <c r="C677" i="1"/>
  <c r="C702" i="1"/>
  <c r="C703" i="1"/>
  <c r="C697" i="1"/>
  <c r="C535" i="1"/>
  <c r="C698" i="1"/>
  <c r="C701" i="1"/>
  <c r="C706" i="1"/>
  <c r="C514" i="1"/>
  <c r="C515" i="1"/>
  <c r="C664" i="1"/>
  <c r="C687" i="1"/>
  <c r="C699" i="1"/>
  <c r="C668" i="1"/>
  <c r="C570" i="1"/>
  <c r="C568" i="1"/>
  <c r="C684" i="1"/>
  <c r="C688" i="1"/>
  <c r="C685" i="1"/>
  <c r="C566" i="1"/>
  <c r="C516" i="1"/>
  <c r="C517" i="1"/>
  <c r="C569" i="1"/>
  <c r="C519" i="1"/>
  <c r="C608" i="1"/>
  <c r="C683" i="1"/>
  <c r="C680" i="1"/>
  <c r="C559" i="1"/>
  <c r="C567" i="1"/>
  <c r="C618" i="1"/>
  <c r="C563" i="1"/>
  <c r="C564" i="1"/>
  <c r="C662" i="1"/>
  <c r="C513" i="1"/>
  <c r="C690" i="1"/>
  <c r="C614" i="1"/>
  <c r="C689" i="1"/>
  <c r="C686" i="1"/>
  <c r="C560" i="1"/>
  <c r="C565" i="1"/>
  <c r="C672" i="1"/>
  <c r="C562" i="1"/>
  <c r="C654" i="1"/>
  <c r="C625" i="1"/>
  <c r="C571" i="1"/>
  <c r="C663" i="1"/>
  <c r="C583" i="1"/>
  <c r="C575" i="1"/>
  <c r="C626" i="1"/>
  <c r="C611" i="1"/>
  <c r="C572" i="1"/>
  <c r="C558" i="1"/>
  <c r="C679" i="1"/>
  <c r="C579" i="1"/>
  <c r="C591" i="1"/>
  <c r="C621" i="1"/>
  <c r="C578" i="1"/>
  <c r="C576" i="1"/>
  <c r="C588" i="1"/>
  <c r="C587" i="1"/>
  <c r="C682" i="1"/>
  <c r="C582" i="1"/>
  <c r="C606" i="1"/>
  <c r="C622" i="1"/>
  <c r="C623" i="1"/>
  <c r="C617" i="1"/>
  <c r="C577" i="1"/>
  <c r="C616" i="1"/>
  <c r="C581" i="1"/>
  <c r="C580" i="1"/>
  <c r="C573" i="1"/>
  <c r="C586" i="1"/>
  <c r="C609" i="1"/>
  <c r="C681" i="1"/>
  <c r="C655" i="1"/>
  <c r="C594" i="1"/>
  <c r="C596" i="1"/>
  <c r="C620" i="1"/>
  <c r="C574" i="1"/>
  <c r="C656" i="1"/>
  <c r="C610" i="1"/>
  <c r="C561" i="1"/>
  <c r="C624" i="1"/>
  <c r="C619" i="1"/>
  <c r="C585" i="1"/>
  <c r="C653" i="1"/>
  <c r="C593" i="1"/>
  <c r="C661" i="1"/>
  <c r="C615" i="1"/>
  <c r="C657" i="1"/>
  <c r="C592" i="1"/>
  <c r="C714" i="1"/>
  <c r="C604" i="1"/>
  <c r="C722" i="1"/>
  <c r="C709" i="1"/>
  <c r="C724" i="1"/>
  <c r="C584" i="1"/>
  <c r="C658" i="1"/>
  <c r="C595" i="1"/>
  <c r="C652" i="1"/>
  <c r="C634" i="1"/>
  <c r="C723" i="1"/>
  <c r="C613" i="1"/>
  <c r="C721" i="1"/>
  <c r="C589" i="1"/>
  <c r="C711" i="1"/>
  <c r="C627" i="1"/>
  <c r="C692" i="1"/>
  <c r="C660" i="1"/>
  <c r="C659" i="1"/>
  <c r="C639" i="1"/>
  <c r="C712" i="1"/>
  <c r="C590" i="1"/>
  <c r="C638" i="1"/>
  <c r="C635" i="1"/>
  <c r="C629" i="1"/>
  <c r="C718" i="1"/>
  <c r="C636" i="1"/>
  <c r="C710" i="1"/>
  <c r="C695" i="1"/>
  <c r="C650" i="1"/>
  <c r="C708" i="1"/>
  <c r="C640" i="1"/>
  <c r="C630" i="1"/>
  <c r="C719" i="1"/>
  <c r="C693" i="1"/>
  <c r="C648" i="1"/>
  <c r="C646" i="1"/>
  <c r="C605" i="1"/>
  <c r="C717" i="1"/>
  <c r="C696" i="1"/>
  <c r="C649" i="1"/>
  <c r="C647" i="1"/>
  <c r="C691" i="1"/>
  <c r="C628" i="1"/>
  <c r="C607" i="1"/>
  <c r="C651" i="1"/>
  <c r="C603" i="1"/>
  <c r="C715" i="1"/>
  <c r="C631" i="1"/>
  <c r="C720" i="1"/>
  <c r="C694" i="1"/>
  <c r="C643" i="1"/>
  <c r="C644" i="1"/>
  <c r="C645" i="1"/>
  <c r="C707" i="1"/>
  <c r="C602" i="1"/>
  <c r="C612" i="1"/>
  <c r="C633" i="1"/>
  <c r="C597" i="1"/>
  <c r="C642" i="1"/>
  <c r="C598" i="1"/>
  <c r="C632" i="1"/>
  <c r="C600" i="1"/>
  <c r="C599" i="1"/>
  <c r="C637" i="1"/>
  <c r="C601" i="1"/>
  <c r="C641" i="1"/>
  <c r="C716" i="1"/>
  <c r="C540" i="1"/>
  <c r="C670" i="1"/>
  <c r="C704" i="1"/>
  <c r="C713" i="1"/>
  <c r="C121" i="1"/>
  <c r="C59" i="1"/>
  <c r="C58" i="1"/>
  <c r="C60" i="1"/>
  <c r="C57" i="1"/>
  <c r="C43" i="1"/>
  <c r="C41" i="1"/>
  <c r="C44" i="1"/>
  <c r="C42" i="1"/>
  <c r="C45" i="1"/>
  <c r="C46" i="1"/>
  <c r="C47" i="1"/>
  <c r="C52" i="1"/>
  <c r="C48" i="1"/>
  <c r="C49" i="1"/>
  <c r="C50" i="1"/>
  <c r="C51" i="1"/>
  <c r="C53" i="1"/>
  <c r="C54" i="1"/>
  <c r="C55" i="1"/>
  <c r="C56" i="1"/>
  <c r="C185" i="1"/>
  <c r="C184" i="1"/>
  <c r="C73" i="1"/>
  <c r="C86" i="1"/>
  <c r="C23" i="1"/>
  <c r="C325" i="1"/>
  <c r="C276" i="1"/>
  <c r="C275" i="1"/>
  <c r="C328" i="1"/>
  <c r="C326" i="1"/>
  <c r="C286" i="1"/>
  <c r="C284" i="1"/>
  <c r="C327" i="1"/>
  <c r="C171" i="1"/>
  <c r="C27" i="1"/>
  <c r="C26" i="1"/>
  <c r="C25" i="1"/>
  <c r="C24" i="1"/>
  <c r="C36" i="1"/>
  <c r="C33" i="1"/>
  <c r="C39" i="1"/>
  <c r="C34" i="1"/>
  <c r="C35" i="1"/>
  <c r="C37" i="1"/>
  <c r="C38" i="1"/>
  <c r="C40" i="1"/>
  <c r="C22" i="1"/>
  <c r="C21" i="1"/>
  <c r="C20" i="1"/>
  <c r="C3" i="1"/>
  <c r="C4" i="1"/>
  <c r="C6" i="1"/>
  <c r="C5" i="1"/>
  <c r="C7" i="1"/>
  <c r="C8" i="1"/>
  <c r="C9" i="1"/>
  <c r="C10" i="1"/>
  <c r="C11" i="1"/>
  <c r="C12" i="1"/>
  <c r="C13" i="1"/>
  <c r="C15" i="1"/>
  <c r="C14" i="1"/>
  <c r="C17" i="1"/>
  <c r="C16" i="1"/>
  <c r="C18" i="1"/>
  <c r="C19" i="1"/>
  <c r="C82" i="1"/>
  <c r="C81" i="1"/>
  <c r="C80" i="1"/>
  <c r="C85" i="1"/>
  <c r="C83" i="1"/>
  <c r="C93" i="1"/>
  <c r="C91" i="1"/>
  <c r="C92" i="1"/>
  <c r="C89" i="1"/>
  <c r="C84" i="1"/>
  <c r="C90" i="1"/>
  <c r="C88" i="1"/>
  <c r="C71" i="1"/>
  <c r="C70" i="1"/>
  <c r="C74" i="1"/>
  <c r="C75" i="1"/>
  <c r="C66" i="1"/>
  <c r="C69" i="1"/>
  <c r="C65" i="1"/>
  <c r="C67" i="1"/>
  <c r="C68" i="1"/>
  <c r="C94" i="1"/>
  <c r="C87" i="1"/>
  <c r="C72" i="1"/>
  <c r="C63" i="1"/>
  <c r="C95" i="1"/>
  <c r="C79" i="1"/>
  <c r="C61" i="1"/>
  <c r="C64" i="1"/>
  <c r="C76" i="1"/>
  <c r="C78" i="1"/>
  <c r="C77" i="1"/>
  <c r="C62" i="1"/>
  <c r="C155" i="1"/>
  <c r="C108" i="1"/>
  <c r="C96" i="1"/>
  <c r="C109" i="1"/>
  <c r="C102" i="1"/>
  <c r="C107" i="1"/>
  <c r="C97" i="1"/>
  <c r="C28" i="1"/>
  <c r="C32" i="1"/>
  <c r="C104" i="1"/>
  <c r="C101" i="1"/>
  <c r="C98" i="1"/>
  <c r="C105" i="1"/>
  <c r="C103" i="1"/>
  <c r="C99" i="1"/>
  <c r="C106" i="1"/>
  <c r="C29" i="1"/>
  <c r="C30" i="1"/>
  <c r="C31" i="1"/>
  <c r="C100" i="1"/>
  <c r="C113" i="1"/>
  <c r="C116" i="1"/>
  <c r="C119" i="1"/>
  <c r="C122" i="1"/>
  <c r="C123" i="1"/>
  <c r="C125" i="1"/>
  <c r="C124" i="1"/>
  <c r="C117" i="1"/>
  <c r="C118" i="1"/>
  <c r="C147" i="1"/>
  <c r="C150" i="1"/>
  <c r="C140" i="1"/>
  <c r="C146" i="1"/>
  <c r="C142" i="1"/>
  <c r="C143" i="1"/>
  <c r="C136" i="1"/>
  <c r="C144" i="1"/>
  <c r="C132" i="1"/>
  <c r="C149" i="1"/>
  <c r="C148" i="1"/>
  <c r="C133" i="1"/>
  <c r="C126" i="1"/>
  <c r="C145" i="1"/>
  <c r="C151" i="1"/>
  <c r="C141" i="1"/>
  <c r="C130" i="1"/>
  <c r="C153" i="1"/>
  <c r="C134" i="1"/>
  <c r="C112" i="1"/>
  <c r="C131" i="1"/>
  <c r="C110" i="1"/>
  <c r="C127" i="1"/>
  <c r="C128" i="1"/>
  <c r="C120" i="1"/>
  <c r="C111" i="1"/>
  <c r="C114" i="1"/>
  <c r="C135" i="1"/>
  <c r="C129" i="1"/>
  <c r="C137" i="1"/>
  <c r="C154" i="1"/>
  <c r="C138" i="1"/>
  <c r="C139" i="1"/>
  <c r="C152" i="1"/>
  <c r="C115" i="1"/>
  <c r="C179" i="1"/>
  <c r="C161" i="1"/>
  <c r="C163" i="1"/>
  <c r="C178" i="1"/>
  <c r="C156" i="1"/>
  <c r="C175" i="1"/>
  <c r="C174" i="1"/>
  <c r="C173" i="1"/>
  <c r="C169" i="1"/>
  <c r="C177" i="1"/>
  <c r="C162" i="1"/>
  <c r="C176" i="1"/>
  <c r="C182" i="1"/>
  <c r="C168" i="1"/>
  <c r="C158" i="1"/>
  <c r="C164" i="1"/>
  <c r="C157" i="1"/>
  <c r="C160" i="1"/>
  <c r="C167" i="1"/>
  <c r="C165" i="1"/>
  <c r="C180" i="1"/>
  <c r="C170" i="1"/>
  <c r="C181" i="1"/>
  <c r="C172" i="1"/>
  <c r="C166" i="1"/>
  <c r="C159" i="1"/>
  <c r="C183" i="1"/>
  <c r="C972" i="1"/>
  <c r="C1222" i="1"/>
  <c r="C1232" i="1"/>
  <c r="C965" i="1"/>
  <c r="C1241" i="1"/>
  <c r="C1236" i="1"/>
  <c r="C1113" i="1"/>
  <c r="C1112" i="1"/>
  <c r="C1219" i="1"/>
  <c r="C1024" i="1"/>
  <c r="C994" i="1"/>
  <c r="C997" i="1"/>
  <c r="C999" i="1"/>
  <c r="C993" i="1"/>
  <c r="C1000" i="1"/>
  <c r="C1028" i="1"/>
  <c r="C998" i="1"/>
  <c r="C974" i="1"/>
  <c r="C1025" i="1"/>
  <c r="C971" i="1"/>
  <c r="C1022" i="1"/>
  <c r="C975" i="1"/>
  <c r="C1023" i="1"/>
  <c r="C973" i="1"/>
  <c r="C979" i="1"/>
  <c r="C977" i="1"/>
  <c r="C1018" i="1"/>
  <c r="C1016" i="1"/>
  <c r="C1017" i="1"/>
  <c r="C1014" i="1"/>
  <c r="C978" i="1"/>
  <c r="C1020" i="1"/>
  <c r="C1015" i="1"/>
  <c r="C1001" i="1"/>
  <c r="C1019" i="1"/>
  <c r="C1021" i="1"/>
  <c r="C1007" i="1"/>
  <c r="C992" i="1"/>
  <c r="C1003" i="1"/>
  <c r="C1008" i="1"/>
  <c r="C1004" i="1"/>
  <c r="C1002" i="1"/>
  <c r="C966" i="1"/>
  <c r="C969" i="1"/>
  <c r="C968" i="1"/>
  <c r="C1005" i="1"/>
  <c r="C970" i="1"/>
  <c r="C967" i="1"/>
  <c r="C988" i="1"/>
  <c r="C1006" i="1"/>
  <c r="C990" i="1"/>
  <c r="C976" i="1"/>
  <c r="C986" i="1"/>
  <c r="C1009" i="1"/>
  <c r="C1012" i="1"/>
  <c r="C1013" i="1"/>
  <c r="C996" i="1"/>
  <c r="C1010" i="1"/>
  <c r="C980" i="1"/>
  <c r="C991" i="1"/>
  <c r="C982" i="1"/>
  <c r="C985" i="1"/>
  <c r="C981" i="1"/>
  <c r="C995" i="1"/>
  <c r="C987" i="1"/>
  <c r="C983" i="1"/>
  <c r="C1011" i="1"/>
  <c r="C1026" i="1"/>
  <c r="C964" i="1"/>
  <c r="C1027" i="1"/>
  <c r="C989" i="1"/>
  <c r="C984" i="1"/>
  <c r="C1157" i="1"/>
  <c r="C1155" i="1"/>
  <c r="C1156" i="1"/>
  <c r="C1169" i="1"/>
  <c r="C1158" i="1"/>
  <c r="C1159" i="1"/>
  <c r="C1167" i="1"/>
  <c r="C1161" i="1"/>
  <c r="C1170" i="1"/>
  <c r="C1168" i="1"/>
  <c r="C1166" i="1"/>
  <c r="C1163" i="1"/>
  <c r="C1153" i="1"/>
  <c r="C1152" i="1"/>
  <c r="C1164" i="1"/>
  <c r="C1162" i="1"/>
  <c r="C1149" i="1"/>
  <c r="C1150" i="1"/>
  <c r="C1148" i="1"/>
  <c r="C1151" i="1"/>
  <c r="C1165" i="1"/>
  <c r="C1171" i="1"/>
  <c r="C1154" i="1"/>
  <c r="C1160" i="1"/>
  <c r="C1172" i="1"/>
  <c r="C1174" i="1"/>
  <c r="C1173" i="1"/>
  <c r="C1178" i="1"/>
  <c r="C1177" i="1"/>
  <c r="C1176" i="1"/>
  <c r="C1175" i="1"/>
  <c r="C188" i="1"/>
  <c r="C187" i="1"/>
  <c r="C192" i="1"/>
  <c r="C193" i="1"/>
  <c r="C189" i="1"/>
  <c r="C186" i="1"/>
  <c r="C214" i="1"/>
  <c r="C216" i="1"/>
  <c r="C212" i="1"/>
  <c r="C213" i="1"/>
  <c r="C242" i="1"/>
  <c r="C243" i="1"/>
  <c r="C215" i="1"/>
  <c r="C235" i="1"/>
  <c r="C233" i="1"/>
  <c r="C225" i="1"/>
  <c r="C221" i="1"/>
  <c r="C224" i="1"/>
  <c r="C230" i="1"/>
  <c r="C226" i="1"/>
  <c r="C197" i="1"/>
  <c r="C194" i="1"/>
  <c r="C195" i="1"/>
  <c r="C196" i="1"/>
  <c r="C222" i="1"/>
  <c r="C240" i="1"/>
  <c r="C241" i="1"/>
  <c r="C238" i="1"/>
  <c r="C239" i="1"/>
  <c r="C220" i="1"/>
  <c r="C218" i="1"/>
  <c r="C219" i="1"/>
  <c r="C244" i="1"/>
  <c r="C232" i="1"/>
  <c r="C236" i="1"/>
  <c r="C231" i="1"/>
  <c r="C237" i="1"/>
  <c r="C245" i="1"/>
  <c r="C217" i="1"/>
  <c r="C229" i="1"/>
  <c r="C227" i="1"/>
  <c r="C228" i="1"/>
  <c r="C210" i="1"/>
  <c r="C208" i="1"/>
  <c r="C211" i="1"/>
  <c r="C205" i="1"/>
  <c r="C209" i="1"/>
  <c r="C207" i="1"/>
  <c r="C206" i="1"/>
  <c r="C201" i="1"/>
  <c r="C204" i="1"/>
  <c r="C203" i="1"/>
  <c r="C198" i="1"/>
  <c r="C200" i="1"/>
  <c r="C199" i="1"/>
  <c r="C202" i="1"/>
  <c r="C234" i="1"/>
  <c r="C223" i="1"/>
  <c r="U297" i="1"/>
  <c r="A297" i="1" s="1"/>
  <c r="U300" i="1"/>
  <c r="A300" i="1" s="1"/>
  <c r="U303" i="1"/>
  <c r="A303" i="1" s="1"/>
  <c r="U301" i="1"/>
  <c r="A301" i="1" s="1"/>
  <c r="U249" i="1"/>
  <c r="A249" i="1" s="1"/>
  <c r="U252" i="1"/>
  <c r="A252" i="1" s="1"/>
  <c r="U256" i="1"/>
  <c r="A256" i="1" s="1"/>
  <c r="U255" i="1"/>
  <c r="A255" i="1" s="1"/>
  <c r="U247" i="1"/>
  <c r="A247" i="1" s="1"/>
  <c r="U246" i="1"/>
  <c r="A246" i="1" s="1"/>
  <c r="U268" i="1"/>
  <c r="A268" i="1" s="1"/>
  <c r="U261" i="1"/>
  <c r="A261" i="1" s="1"/>
  <c r="U277" i="1"/>
  <c r="A277" i="1" s="1"/>
  <c r="U293" i="1"/>
  <c r="A293" i="1" s="1"/>
  <c r="U285" i="1"/>
  <c r="A285" i="1" s="1"/>
  <c r="U280" i="1"/>
  <c r="A280" i="1" s="1"/>
  <c r="U287" i="1"/>
  <c r="A287" i="1" s="1"/>
  <c r="U282" i="1"/>
  <c r="A282" i="1" s="1"/>
  <c r="U283" i="1"/>
  <c r="A283" i="1" s="1"/>
  <c r="U279" i="1"/>
  <c r="A279" i="1" s="1"/>
  <c r="U281" i="1"/>
  <c r="A281" i="1" s="1"/>
  <c r="U310" i="1"/>
  <c r="A310" i="1" s="1"/>
  <c r="U309" i="1"/>
  <c r="A309" i="1" s="1"/>
  <c r="U308" i="1"/>
  <c r="A308" i="1" s="1"/>
  <c r="U316" i="1"/>
  <c r="A316" i="1" s="1"/>
  <c r="U295" i="1"/>
  <c r="A295" i="1" s="1"/>
  <c r="U294" i="1"/>
  <c r="A294" i="1" s="1"/>
  <c r="U296" i="1"/>
  <c r="A296" i="1" s="1"/>
  <c r="U274" i="1"/>
  <c r="U312" i="1"/>
  <c r="A312" i="1" s="1"/>
  <c r="U314" i="1"/>
  <c r="A314" i="1" s="1"/>
  <c r="U315" i="1"/>
  <c r="A315" i="1" s="1"/>
  <c r="U302" i="1"/>
  <c r="A302" i="1" s="1"/>
  <c r="U323" i="1"/>
  <c r="A323" i="1" s="1"/>
  <c r="U322" i="1"/>
  <c r="A322" i="1" s="1"/>
  <c r="U292" i="1"/>
  <c r="A292" i="1" s="1"/>
  <c r="U305" i="1"/>
  <c r="A305" i="1" s="1"/>
  <c r="U324" i="1"/>
  <c r="A324" i="1" s="1"/>
  <c r="U320" i="1"/>
  <c r="A320" i="1" s="1"/>
  <c r="U288" i="1"/>
  <c r="A288" i="1" s="1"/>
  <c r="U304" i="1"/>
  <c r="A304" i="1" s="1"/>
  <c r="U258" i="1"/>
  <c r="A258" i="1" s="1"/>
  <c r="U260" i="1"/>
  <c r="A260" i="1" s="1"/>
  <c r="U271" i="1"/>
  <c r="A271" i="1" s="1"/>
  <c r="U317" i="1"/>
  <c r="A317" i="1" s="1"/>
  <c r="U289" i="1"/>
  <c r="A289" i="1" s="1"/>
  <c r="U307" i="1"/>
  <c r="A307" i="1" s="1"/>
  <c r="U311" i="1"/>
  <c r="A311" i="1" s="1"/>
  <c r="U269" i="1"/>
  <c r="A269" i="1" s="1"/>
  <c r="U291" i="1"/>
  <c r="A291" i="1" s="1"/>
  <c r="U262" i="1"/>
  <c r="A262" i="1" s="1"/>
  <c r="U278" i="1"/>
  <c r="A278" i="1" s="1"/>
  <c r="U248" i="1"/>
  <c r="A248" i="1" s="1"/>
  <c r="U263" i="1"/>
  <c r="A263" i="1" s="1"/>
  <c r="U313" i="1"/>
  <c r="A313" i="1" s="1"/>
  <c r="U321" i="1"/>
  <c r="A321" i="1" s="1"/>
  <c r="U298" i="1"/>
  <c r="A298" i="1" s="1"/>
  <c r="U264" i="1"/>
  <c r="A264" i="1" s="1"/>
  <c r="U265" i="1"/>
  <c r="A265" i="1" s="1"/>
  <c r="U250" i="1"/>
  <c r="A250" i="1" s="1"/>
  <c r="U290" i="1"/>
  <c r="A290" i="1" s="1"/>
  <c r="U251" i="1"/>
  <c r="A251" i="1" s="1"/>
  <c r="U318" i="1"/>
  <c r="A318" i="1" s="1"/>
  <c r="U299" i="1"/>
  <c r="A299" i="1" s="1"/>
  <c r="U306" i="1"/>
  <c r="A306" i="1" s="1"/>
  <c r="U266" i="1"/>
  <c r="A266" i="1" s="1"/>
  <c r="U270" i="1"/>
  <c r="A270" i="1" s="1"/>
  <c r="U267" i="1"/>
  <c r="A267" i="1" s="1"/>
  <c r="U257" i="1"/>
  <c r="A257" i="1" s="1"/>
  <c r="U253" i="1"/>
  <c r="A253" i="1" s="1"/>
  <c r="U259" i="1"/>
  <c r="A259" i="1" s="1"/>
  <c r="U254" i="1"/>
  <c r="A254" i="1" s="1"/>
  <c r="U319" i="1"/>
  <c r="A319" i="1" s="1"/>
  <c r="U272" i="1"/>
  <c r="A272" i="1" s="1"/>
  <c r="U273" i="1"/>
  <c r="A273" i="1" s="1"/>
  <c r="U343" i="1"/>
  <c r="A343" i="1" s="1"/>
  <c r="U341" i="1"/>
  <c r="A341" i="1" s="1"/>
  <c r="U339" i="1"/>
  <c r="A339" i="1" s="1"/>
  <c r="U345" i="1"/>
  <c r="A345" i="1" s="1"/>
  <c r="U340" i="1"/>
  <c r="A340" i="1" s="1"/>
  <c r="U338" i="1"/>
  <c r="A338" i="1" s="1"/>
  <c r="U374" i="1"/>
  <c r="A374" i="1" s="1"/>
  <c r="U380" i="1"/>
  <c r="A380" i="1" s="1"/>
  <c r="U344" i="1"/>
  <c r="A344" i="1" s="1"/>
  <c r="U437" i="1"/>
  <c r="A437" i="1" s="1"/>
  <c r="U368" i="1"/>
  <c r="A368" i="1" s="1"/>
  <c r="U441" i="1"/>
  <c r="A441" i="1" s="1"/>
  <c r="U371" i="1"/>
  <c r="A371" i="1" s="1"/>
  <c r="U378" i="1"/>
  <c r="A378" i="1" s="1"/>
  <c r="U372" i="1"/>
  <c r="A372" i="1" s="1"/>
  <c r="U342" i="1"/>
  <c r="A342" i="1" s="1"/>
  <c r="U444" i="1"/>
  <c r="A444" i="1" s="1"/>
  <c r="U438" i="1"/>
  <c r="A438" i="1" s="1"/>
  <c r="U442" i="1"/>
  <c r="A442" i="1" s="1"/>
  <c r="U377" i="1"/>
  <c r="A377" i="1" s="1"/>
  <c r="U362" i="1"/>
  <c r="A362" i="1" s="1"/>
  <c r="U399" i="1"/>
  <c r="A399" i="1" s="1"/>
  <c r="U439" i="1"/>
  <c r="A439" i="1" s="1"/>
  <c r="U443" i="1"/>
  <c r="A443" i="1" s="1"/>
  <c r="U364" i="1"/>
  <c r="A364" i="1" s="1"/>
  <c r="U375" i="1"/>
  <c r="A375" i="1" s="1"/>
  <c r="U373" i="1"/>
  <c r="A373" i="1" s="1"/>
  <c r="U501" i="1"/>
  <c r="A501" i="1" s="1"/>
  <c r="U366" i="1"/>
  <c r="A366" i="1" s="1"/>
  <c r="U496" i="1"/>
  <c r="A496" i="1" s="1"/>
  <c r="U370" i="1"/>
  <c r="A370" i="1" s="1"/>
  <c r="U487" i="1"/>
  <c r="A487" i="1" s="1"/>
  <c r="U376" i="1"/>
  <c r="A376" i="1" s="1"/>
  <c r="U390" i="1"/>
  <c r="A390" i="1" s="1"/>
  <c r="U365" i="1"/>
  <c r="A365" i="1" s="1"/>
  <c r="U363" i="1"/>
  <c r="A363" i="1" s="1"/>
  <c r="U400" i="1"/>
  <c r="A400" i="1" s="1"/>
  <c r="U386" i="1"/>
  <c r="A386" i="1" s="1"/>
  <c r="U369" i="1"/>
  <c r="A369" i="1" s="1"/>
  <c r="U394" i="1"/>
  <c r="A394" i="1" s="1"/>
  <c r="U334" i="1"/>
  <c r="A334" i="1" s="1"/>
  <c r="U331" i="1"/>
  <c r="A331" i="1" s="1"/>
  <c r="U497" i="1"/>
  <c r="A497" i="1" s="1"/>
  <c r="U504" i="1"/>
  <c r="A504" i="1" s="1"/>
  <c r="U391" i="1"/>
  <c r="A391" i="1" s="1"/>
  <c r="U329" i="1"/>
  <c r="A329" i="1" s="1"/>
  <c r="U466" i="1"/>
  <c r="A466" i="1" s="1"/>
  <c r="U353" i="1"/>
  <c r="A353" i="1" s="1"/>
  <c r="U469" i="1"/>
  <c r="A469" i="1" s="1"/>
  <c r="U464" i="1"/>
  <c r="A464" i="1" s="1"/>
  <c r="U494" i="1"/>
  <c r="A494" i="1" s="1"/>
  <c r="U385" i="1"/>
  <c r="A385" i="1" s="1"/>
  <c r="U337" i="1"/>
  <c r="A337" i="1" s="1"/>
  <c r="U382" i="1"/>
  <c r="A382" i="1" s="1"/>
  <c r="U393" i="1"/>
  <c r="A393" i="1" s="1"/>
  <c r="U491" i="1"/>
  <c r="A491" i="1" s="1"/>
  <c r="U498" i="1"/>
  <c r="A498" i="1" s="1"/>
  <c r="U392" i="1"/>
  <c r="A392" i="1" s="1"/>
  <c r="U388" i="1"/>
  <c r="A388" i="1" s="1"/>
  <c r="U402" i="1"/>
  <c r="A402" i="1" s="1"/>
  <c r="U472" i="1"/>
  <c r="A472" i="1" s="1"/>
  <c r="U478" i="1"/>
  <c r="A478" i="1" s="1"/>
  <c r="U470" i="1"/>
  <c r="A470" i="1" s="1"/>
  <c r="U484" i="1"/>
  <c r="A484" i="1" s="1"/>
  <c r="U333" i="1"/>
  <c r="A333" i="1" s="1"/>
  <c r="U486" i="1"/>
  <c r="A486" i="1" s="1"/>
  <c r="U476" i="1"/>
  <c r="A476" i="1" s="1"/>
  <c r="U383" i="1"/>
  <c r="A383" i="1" s="1"/>
  <c r="U474" i="1"/>
  <c r="A474" i="1" s="1"/>
  <c r="U492" i="1"/>
  <c r="A492" i="1" s="1"/>
  <c r="U507" i="1"/>
  <c r="A507" i="1" s="1"/>
  <c r="U395" i="1"/>
  <c r="A395" i="1" s="1"/>
  <c r="U471" i="1"/>
  <c r="A471" i="1" s="1"/>
  <c r="U468" i="1"/>
  <c r="A468" i="1" s="1"/>
  <c r="U467" i="1"/>
  <c r="A467" i="1" s="1"/>
  <c r="U397" i="1"/>
  <c r="A397" i="1" s="1"/>
  <c r="U489" i="1"/>
  <c r="U330" i="1"/>
  <c r="A330" i="1" s="1"/>
  <c r="U384" i="1"/>
  <c r="A384" i="1" s="1"/>
  <c r="U495" i="1"/>
  <c r="A495" i="1" s="1"/>
  <c r="U387" i="1"/>
  <c r="A387" i="1" s="1"/>
  <c r="U490" i="1"/>
  <c r="A490" i="1" s="1"/>
  <c r="U463" i="1"/>
  <c r="A463" i="1" s="1"/>
  <c r="U473" i="1"/>
  <c r="A473" i="1" s="1"/>
  <c r="U479" i="1"/>
  <c r="A479" i="1" s="1"/>
  <c r="U336" i="1"/>
  <c r="A336" i="1" s="1"/>
  <c r="U354" i="1"/>
  <c r="A354" i="1" s="1"/>
  <c r="U396" i="1"/>
  <c r="A396" i="1" s="1"/>
  <c r="U477" i="1"/>
  <c r="A477" i="1" s="1"/>
  <c r="U332" i="1"/>
  <c r="A332" i="1" s="1"/>
  <c r="U475" i="1"/>
  <c r="A475" i="1" s="1"/>
  <c r="U352" i="1"/>
  <c r="A352" i="1" s="1"/>
  <c r="U350" i="1"/>
  <c r="A350" i="1" s="1"/>
  <c r="U465" i="1"/>
  <c r="A465" i="1" s="1"/>
  <c r="U355" i="1"/>
  <c r="A355" i="1" s="1"/>
  <c r="U389" i="1"/>
  <c r="A389" i="1" s="1"/>
  <c r="U401" i="1"/>
  <c r="A401" i="1" s="1"/>
  <c r="U358" i="1"/>
  <c r="A358" i="1" s="1"/>
  <c r="U419" i="1"/>
  <c r="A419" i="1" s="1"/>
  <c r="U356" i="1"/>
  <c r="A356" i="1" s="1"/>
  <c r="U417" i="1"/>
  <c r="A417" i="1" s="1"/>
  <c r="U421" i="1"/>
  <c r="A421" i="1" s="1"/>
  <c r="U359" i="1"/>
  <c r="A359" i="1" s="1"/>
  <c r="U420" i="1"/>
  <c r="A420" i="1" s="1"/>
  <c r="U418" i="1"/>
  <c r="A418" i="1" s="1"/>
  <c r="U347" i="1"/>
  <c r="A347" i="1" s="1"/>
  <c r="U416" i="1"/>
  <c r="A416" i="1" s="1"/>
  <c r="U502" i="1"/>
  <c r="A502" i="1" s="1"/>
  <c r="U505" i="1"/>
  <c r="A505" i="1" s="1"/>
  <c r="U422" i="1"/>
  <c r="A422" i="1" s="1"/>
  <c r="U503" i="1"/>
  <c r="A503" i="1" s="1"/>
  <c r="U500" i="1"/>
  <c r="A500" i="1" s="1"/>
  <c r="U357" i="1"/>
  <c r="A357" i="1" s="1"/>
  <c r="U506" i="1"/>
  <c r="A506" i="1" s="1"/>
  <c r="U335" i="1"/>
  <c r="A335" i="1" s="1"/>
  <c r="U488" i="1"/>
  <c r="A488" i="1" s="1"/>
  <c r="U440" i="1"/>
  <c r="A440" i="1" s="1"/>
  <c r="U346" i="1"/>
  <c r="A346" i="1" s="1"/>
  <c r="U381" i="1"/>
  <c r="A381" i="1" s="1"/>
  <c r="U485" i="1"/>
  <c r="A485" i="1" s="1"/>
  <c r="U361" i="1"/>
  <c r="U423" i="1"/>
  <c r="U348" i="1"/>
  <c r="U360" i="1"/>
  <c r="A360" i="1" s="1"/>
  <c r="U367" i="1"/>
  <c r="A367" i="1" s="1"/>
  <c r="U424" i="1"/>
  <c r="A424" i="1" s="1"/>
  <c r="U379" i="1"/>
  <c r="A379" i="1" s="1"/>
  <c r="U398" i="1"/>
  <c r="A398" i="1" s="1"/>
  <c r="U351" i="1"/>
  <c r="A351" i="1" s="1"/>
  <c r="U493" i="1"/>
  <c r="U425" i="1"/>
  <c r="A425" i="1" s="1"/>
  <c r="U499" i="1"/>
  <c r="A499" i="1" s="1"/>
  <c r="U480" i="1"/>
  <c r="A480" i="1" s="1"/>
  <c r="U483" i="1"/>
  <c r="A483" i="1" s="1"/>
  <c r="U481" i="1"/>
  <c r="A481" i="1" s="1"/>
  <c r="U482" i="1"/>
  <c r="A482" i="1" s="1"/>
  <c r="U458" i="1"/>
  <c r="A458" i="1" s="1"/>
  <c r="U450" i="1"/>
  <c r="A450" i="1" s="1"/>
  <c r="U455" i="1"/>
  <c r="A455" i="1" s="1"/>
  <c r="U449" i="1"/>
  <c r="A449" i="1" s="1"/>
  <c r="U460" i="1"/>
  <c r="A460" i="1" s="1"/>
  <c r="U451" i="1"/>
  <c r="A451" i="1" s="1"/>
  <c r="U431" i="1"/>
  <c r="A431" i="1" s="1"/>
  <c r="U452" i="1"/>
  <c r="A452" i="1" s="1"/>
  <c r="U459" i="1"/>
  <c r="A459" i="1" s="1"/>
  <c r="U457" i="1"/>
  <c r="A457" i="1" s="1"/>
  <c r="U453" i="1"/>
  <c r="A453" i="1" s="1"/>
  <c r="U426" i="1"/>
  <c r="A426" i="1" s="1"/>
  <c r="U430" i="1"/>
  <c r="A430" i="1" s="1"/>
  <c r="U446" i="1"/>
  <c r="A446" i="1" s="1"/>
  <c r="U448" i="1"/>
  <c r="A448" i="1" s="1"/>
  <c r="U447" i="1"/>
  <c r="A447" i="1" s="1"/>
  <c r="U456" i="1"/>
  <c r="A456" i="1" s="1"/>
  <c r="U408" i="1"/>
  <c r="A408" i="1" s="1"/>
  <c r="U411" i="1"/>
  <c r="A411" i="1" s="1"/>
  <c r="U432" i="1"/>
  <c r="A432" i="1" s="1"/>
  <c r="U409" i="1"/>
  <c r="A409" i="1" s="1"/>
  <c r="U410" i="1"/>
  <c r="A410" i="1" s="1"/>
  <c r="U413" i="1"/>
  <c r="A413" i="1" s="1"/>
  <c r="U412" i="1"/>
  <c r="A412" i="1" s="1"/>
  <c r="U429" i="1"/>
  <c r="A429" i="1" s="1"/>
  <c r="U428" i="1"/>
  <c r="A428" i="1" s="1"/>
  <c r="U433" i="1"/>
  <c r="A433" i="1" s="1"/>
  <c r="U404" i="1"/>
  <c r="A404" i="1" s="1"/>
  <c r="U403" i="1"/>
  <c r="U454" i="1"/>
  <c r="A454" i="1" s="1"/>
  <c r="U462" i="1"/>
  <c r="A462" i="1" s="1"/>
  <c r="U436" i="1"/>
  <c r="A436" i="1" s="1"/>
  <c r="U415" i="1"/>
  <c r="A415" i="1" s="1"/>
  <c r="U461" i="1"/>
  <c r="A461" i="1" s="1"/>
  <c r="U405" i="1"/>
  <c r="A405" i="1" s="1"/>
  <c r="U427" i="1"/>
  <c r="A427" i="1" s="1"/>
  <c r="U435" i="1"/>
  <c r="A435" i="1" s="1"/>
  <c r="U406" i="1"/>
  <c r="A406" i="1" s="1"/>
  <c r="U445" i="1"/>
  <c r="A445" i="1" s="1"/>
  <c r="U407" i="1"/>
  <c r="A407" i="1" s="1"/>
  <c r="U512" i="1"/>
  <c r="A512" i="1" s="1"/>
  <c r="U414" i="1"/>
  <c r="A414" i="1" s="1"/>
  <c r="U434" i="1"/>
  <c r="A434" i="1" s="1"/>
  <c r="U795" i="1"/>
  <c r="A795" i="1" s="1"/>
  <c r="U792" i="1"/>
  <c r="A792" i="1" s="1"/>
  <c r="U761" i="1"/>
  <c r="A761" i="1" s="1"/>
  <c r="U754" i="1"/>
  <c r="A754" i="1" s="1"/>
  <c r="U793" i="1"/>
  <c r="A793" i="1" s="1"/>
  <c r="U759" i="1"/>
  <c r="A759" i="1" s="1"/>
  <c r="U797" i="1"/>
  <c r="A797" i="1" s="1"/>
  <c r="U794" i="1"/>
  <c r="A794" i="1" s="1"/>
  <c r="U756" i="1"/>
  <c r="A756" i="1" s="1"/>
  <c r="U791" i="1"/>
  <c r="A791" i="1" s="1"/>
  <c r="U753" i="1"/>
  <c r="A753" i="1" s="1"/>
  <c r="U760" i="1"/>
  <c r="A760" i="1" s="1"/>
  <c r="U771" i="1"/>
  <c r="A771" i="1" s="1"/>
  <c r="U773" i="1"/>
  <c r="A773" i="1" s="1"/>
  <c r="U769" i="1"/>
  <c r="A769" i="1" s="1"/>
  <c r="U796" i="1"/>
  <c r="A796" i="1" s="1"/>
  <c r="U767" i="1"/>
  <c r="A767" i="1" s="1"/>
  <c r="U763" i="1"/>
  <c r="A763" i="1" s="1"/>
  <c r="U766" i="1"/>
  <c r="A766" i="1" s="1"/>
  <c r="U768" i="1"/>
  <c r="A768" i="1" s="1"/>
  <c r="U777" i="1"/>
  <c r="A777" i="1" s="1"/>
  <c r="U770" i="1"/>
  <c r="A770" i="1" s="1"/>
  <c r="U764" i="1"/>
  <c r="A764" i="1" s="1"/>
  <c r="U772" i="1"/>
  <c r="A772" i="1" s="1"/>
  <c r="U776" i="1"/>
  <c r="A776" i="1" s="1"/>
  <c r="U757" i="1"/>
  <c r="A757" i="1" s="1"/>
  <c r="U775" i="1"/>
  <c r="A775" i="1" s="1"/>
  <c r="U781" i="1"/>
  <c r="A781" i="1" s="1"/>
  <c r="U779" i="1"/>
  <c r="A779" i="1" s="1"/>
  <c r="U762" i="1"/>
  <c r="A762" i="1" s="1"/>
  <c r="U780" i="1"/>
  <c r="A780" i="1" s="1"/>
  <c r="U765" i="1"/>
  <c r="A765" i="1" s="1"/>
  <c r="U790" i="1"/>
  <c r="A790" i="1" s="1"/>
  <c r="U755" i="1"/>
  <c r="A755" i="1" s="1"/>
  <c r="U783" i="1"/>
  <c r="A783" i="1" s="1"/>
  <c r="U774" i="1"/>
  <c r="A774" i="1" s="1"/>
  <c r="U758" i="1"/>
  <c r="A758" i="1" s="1"/>
  <c r="U788" i="1"/>
  <c r="A788" i="1" s="1"/>
  <c r="U789" i="1"/>
  <c r="A789" i="1" s="1"/>
  <c r="U778" i="1"/>
  <c r="A778" i="1" s="1"/>
  <c r="U829" i="1"/>
  <c r="A829" i="1" s="1"/>
  <c r="U782" i="1"/>
  <c r="A782" i="1" s="1"/>
  <c r="U807" i="1"/>
  <c r="A807" i="1" s="1"/>
  <c r="U803" i="1"/>
  <c r="A803" i="1" s="1"/>
  <c r="U802" i="1"/>
  <c r="A802" i="1" s="1"/>
  <c r="U798" i="1"/>
  <c r="A798" i="1" s="1"/>
  <c r="U832" i="1"/>
  <c r="A832" i="1" s="1"/>
  <c r="U799" i="1"/>
  <c r="A799" i="1" s="1"/>
  <c r="U833" i="1"/>
  <c r="A833" i="1" s="1"/>
  <c r="U742" i="1"/>
  <c r="A742" i="1" s="1"/>
  <c r="U806" i="1"/>
  <c r="A806" i="1" s="1"/>
  <c r="U808" i="1"/>
  <c r="A808" i="1" s="1"/>
  <c r="U745" i="1"/>
  <c r="A745" i="1" s="1"/>
  <c r="U804" i="1"/>
  <c r="A804" i="1" s="1"/>
  <c r="U830" i="1"/>
  <c r="A830" i="1" s="1"/>
  <c r="U809" i="1"/>
  <c r="A809" i="1" s="1"/>
  <c r="U743" i="1"/>
  <c r="A743" i="1" s="1"/>
  <c r="U810" i="1"/>
  <c r="A810" i="1" s="1"/>
  <c r="U825" i="1"/>
  <c r="A825" i="1" s="1"/>
  <c r="U744" i="1"/>
  <c r="A744" i="1" s="1"/>
  <c r="U800" i="1"/>
  <c r="A800" i="1" s="1"/>
  <c r="U751" i="1"/>
  <c r="A751" i="1" s="1"/>
  <c r="U750" i="1"/>
  <c r="A750" i="1" s="1"/>
  <c r="U805" i="1"/>
  <c r="A805" i="1" s="1"/>
  <c r="U752" i="1"/>
  <c r="A752" i="1" s="1"/>
  <c r="U815" i="1"/>
  <c r="A815" i="1" s="1"/>
  <c r="U814" i="1"/>
  <c r="A814" i="1" s="1"/>
  <c r="U827" i="1"/>
  <c r="A827" i="1" s="1"/>
  <c r="U822" i="1"/>
  <c r="A822" i="1" s="1"/>
  <c r="U821" i="1"/>
  <c r="A821" i="1" s="1"/>
  <c r="U748" i="1"/>
  <c r="A748" i="1" s="1"/>
  <c r="U828" i="1"/>
  <c r="A828" i="1" s="1"/>
  <c r="U749" i="1"/>
  <c r="A749" i="1" s="1"/>
  <c r="U826" i="1"/>
  <c r="A826" i="1" s="1"/>
  <c r="U823" i="1"/>
  <c r="A823" i="1" s="1"/>
  <c r="U786" i="1"/>
  <c r="A786" i="1" s="1"/>
  <c r="U848" i="1"/>
  <c r="A848" i="1" s="1"/>
  <c r="U746" i="1"/>
  <c r="A746" i="1" s="1"/>
  <c r="U846" i="1"/>
  <c r="A846" i="1" s="1"/>
  <c r="U842" i="1"/>
  <c r="A842" i="1" s="1"/>
  <c r="U843" i="1"/>
  <c r="A843" i="1" s="1"/>
  <c r="U844" i="1"/>
  <c r="A844" i="1" s="1"/>
  <c r="U824" i="1"/>
  <c r="A824" i="1" s="1"/>
  <c r="U747" i="1"/>
  <c r="A747" i="1" s="1"/>
  <c r="U837" i="1"/>
  <c r="A837" i="1" s="1"/>
  <c r="U847" i="1"/>
  <c r="A847" i="1" s="1"/>
  <c r="U733" i="1"/>
  <c r="A733" i="1" s="1"/>
  <c r="U731" i="1"/>
  <c r="A731" i="1" s="1"/>
  <c r="U818" i="1"/>
  <c r="A818" i="1" s="1"/>
  <c r="U819" i="1"/>
  <c r="A819" i="1" s="1"/>
  <c r="U816" i="1"/>
  <c r="A816" i="1" s="1"/>
  <c r="U817" i="1"/>
  <c r="A817" i="1" s="1"/>
  <c r="U820" i="1"/>
  <c r="A820" i="1" s="1"/>
  <c r="U845" i="1"/>
  <c r="A845" i="1" s="1"/>
  <c r="U836" i="1"/>
  <c r="A836" i="1" s="1"/>
  <c r="U834" i="1"/>
  <c r="A834" i="1" s="1"/>
  <c r="U785" i="1"/>
  <c r="A785" i="1" s="1"/>
  <c r="U730" i="1"/>
  <c r="A730" i="1" s="1"/>
  <c r="U787" i="1"/>
  <c r="A787" i="1" s="1"/>
  <c r="U784" i="1"/>
  <c r="A784" i="1" s="1"/>
  <c r="U738" i="1"/>
  <c r="A738" i="1" s="1"/>
  <c r="U725" i="1"/>
  <c r="A725" i="1" s="1"/>
  <c r="U737" i="1"/>
  <c r="A737" i="1" s="1"/>
  <c r="U726" i="1"/>
  <c r="A726" i="1" s="1"/>
  <c r="U732" i="1"/>
  <c r="A732" i="1" s="1"/>
  <c r="U838" i="1"/>
  <c r="A838" i="1" s="1"/>
  <c r="U736" i="1"/>
  <c r="A736" i="1" s="1"/>
  <c r="U739" i="1"/>
  <c r="A739" i="1" s="1"/>
  <c r="U729" i="1"/>
  <c r="A729" i="1" s="1"/>
  <c r="U728" i="1"/>
  <c r="A728" i="1" s="1"/>
  <c r="U727" i="1"/>
  <c r="A727" i="1" s="1"/>
  <c r="U813" i="1"/>
  <c r="A813" i="1" s="1"/>
  <c r="U191" i="1"/>
  <c r="A191" i="1" s="1"/>
  <c r="U190" i="1"/>
  <c r="A190" i="1" s="1"/>
  <c r="U741" i="1"/>
  <c r="A741" i="1" s="1"/>
  <c r="U831" i="1"/>
  <c r="A831" i="1" s="1"/>
  <c r="U811" i="1"/>
  <c r="A811" i="1" s="1"/>
  <c r="U841" i="1"/>
  <c r="A841" i="1" s="1"/>
  <c r="U812" i="1"/>
  <c r="A812" i="1" s="1"/>
  <c r="U801" i="1"/>
  <c r="A801" i="1" s="1"/>
  <c r="U735" i="1"/>
  <c r="A735" i="1" s="1"/>
  <c r="U840" i="1"/>
  <c r="A840" i="1" s="1"/>
  <c r="U734" i="1"/>
  <c r="A734" i="1" s="1"/>
  <c r="U740" i="1"/>
  <c r="A740" i="1" s="1"/>
  <c r="U839" i="1"/>
  <c r="A839" i="1" s="1"/>
  <c r="U835" i="1"/>
  <c r="A835" i="1" s="1"/>
  <c r="U934" i="1"/>
  <c r="A934" i="1" s="1"/>
  <c r="U933" i="1"/>
  <c r="A933" i="1" s="1"/>
  <c r="U947" i="1"/>
  <c r="A947" i="1" s="1"/>
  <c r="U945" i="1"/>
  <c r="A945" i="1" s="1"/>
  <c r="U948" i="1"/>
  <c r="A948" i="1" s="1"/>
  <c r="U939" i="1"/>
  <c r="A939" i="1" s="1"/>
  <c r="U951" i="1"/>
  <c r="A951" i="1" s="1"/>
  <c r="U944" i="1"/>
  <c r="A944" i="1" s="1"/>
  <c r="U932" i="1"/>
  <c r="A932" i="1" s="1"/>
  <c r="U938" i="1"/>
  <c r="A938" i="1" s="1"/>
  <c r="U943" i="1"/>
  <c r="A943" i="1" s="1"/>
  <c r="U880" i="1"/>
  <c r="A880" i="1" s="1"/>
  <c r="U946" i="1"/>
  <c r="A946" i="1" s="1"/>
  <c r="U940" i="1"/>
  <c r="A940" i="1" s="1"/>
  <c r="U872" i="1"/>
  <c r="A872" i="1" s="1"/>
  <c r="U930" i="1"/>
  <c r="A930" i="1" s="1"/>
  <c r="U876" i="1"/>
  <c r="A876" i="1" s="1"/>
  <c r="U936" i="1"/>
  <c r="A936" i="1" s="1"/>
  <c r="U889" i="1"/>
  <c r="A889" i="1" s="1"/>
  <c r="U874" i="1"/>
  <c r="A874" i="1" s="1"/>
  <c r="U890" i="1"/>
  <c r="A890" i="1" s="1"/>
  <c r="U886" i="1"/>
  <c r="A886" i="1" s="1"/>
  <c r="U885" i="1"/>
  <c r="A885" i="1" s="1"/>
  <c r="U941" i="1"/>
  <c r="A941" i="1" s="1"/>
  <c r="U937" i="1"/>
  <c r="A937" i="1" s="1"/>
  <c r="U882" i="1"/>
  <c r="A882" i="1" s="1"/>
  <c r="U854" i="1"/>
  <c r="A854" i="1" s="1"/>
  <c r="U893" i="1"/>
  <c r="A893" i="1" s="1"/>
  <c r="U873" i="1"/>
  <c r="A873" i="1" s="1"/>
  <c r="U855" i="1"/>
  <c r="A855" i="1" s="1"/>
  <c r="U878" i="1"/>
  <c r="A878" i="1" s="1"/>
  <c r="U869" i="1"/>
  <c r="A869" i="1" s="1"/>
  <c r="U888" i="1"/>
  <c r="A888" i="1" s="1"/>
  <c r="U894" i="1"/>
  <c r="A894" i="1" s="1"/>
  <c r="U949" i="1"/>
  <c r="A949" i="1" s="1"/>
  <c r="U881" i="1"/>
  <c r="A881" i="1" s="1"/>
  <c r="U864" i="1"/>
  <c r="A864" i="1" s="1"/>
  <c r="U875" i="1"/>
  <c r="A875" i="1" s="1"/>
  <c r="U853" i="1"/>
  <c r="A853" i="1" s="1"/>
  <c r="U902" i="1"/>
  <c r="A902" i="1" s="1"/>
  <c r="U856" i="1"/>
  <c r="A856" i="1" s="1"/>
  <c r="U896" i="1"/>
  <c r="A896" i="1" s="1"/>
  <c r="U867" i="1"/>
  <c r="A867" i="1" s="1"/>
  <c r="U892" i="1"/>
  <c r="A892" i="1" s="1"/>
  <c r="U935" i="1"/>
  <c r="A935" i="1" s="1"/>
  <c r="U860" i="1"/>
  <c r="A860" i="1" s="1"/>
  <c r="U931" i="1"/>
  <c r="A931" i="1" s="1"/>
  <c r="U866" i="1"/>
  <c r="A866" i="1" s="1"/>
  <c r="U850" i="1"/>
  <c r="A850" i="1" s="1"/>
  <c r="U901" i="1"/>
  <c r="A901" i="1" s="1"/>
  <c r="U883" i="1"/>
  <c r="A883" i="1" s="1"/>
  <c r="U858" i="1"/>
  <c r="A858" i="1" s="1"/>
  <c r="U861" i="1"/>
  <c r="A861" i="1" s="1"/>
  <c r="U871" i="1"/>
  <c r="A871" i="1" s="1"/>
  <c r="U899" i="1"/>
  <c r="A899" i="1" s="1"/>
  <c r="U877" i="1"/>
  <c r="A877" i="1" s="1"/>
  <c r="U891" i="1"/>
  <c r="A891" i="1" s="1"/>
  <c r="U898" i="1"/>
  <c r="A898" i="1" s="1"/>
  <c r="U884" i="1"/>
  <c r="A884" i="1" s="1"/>
  <c r="U895" i="1"/>
  <c r="A895" i="1" s="1"/>
  <c r="U900" i="1"/>
  <c r="A900" i="1" s="1"/>
  <c r="U863" i="1"/>
  <c r="A863" i="1" s="1"/>
  <c r="U879" i="1"/>
  <c r="A879" i="1" s="1"/>
  <c r="U887" i="1"/>
  <c r="A887" i="1" s="1"/>
  <c r="U903" i="1"/>
  <c r="A903" i="1" s="1"/>
  <c r="U849" i="1"/>
  <c r="A849" i="1" s="1"/>
  <c r="U962" i="1"/>
  <c r="A962" i="1" s="1"/>
  <c r="U857" i="1"/>
  <c r="A857" i="1" s="1"/>
  <c r="U851" i="1"/>
  <c r="A851" i="1" s="1"/>
  <c r="U959" i="1"/>
  <c r="A959" i="1" s="1"/>
  <c r="U960" i="1"/>
  <c r="A960" i="1" s="1"/>
  <c r="U897" i="1"/>
  <c r="A897" i="1" s="1"/>
  <c r="U908" i="1"/>
  <c r="A908" i="1" s="1"/>
  <c r="U953" i="1"/>
  <c r="A953" i="1" s="1"/>
  <c r="U955" i="1"/>
  <c r="A955" i="1" s="1"/>
  <c r="U952" i="1"/>
  <c r="A952" i="1" s="1"/>
  <c r="U907" i="1"/>
  <c r="A907" i="1" s="1"/>
  <c r="U870" i="1"/>
  <c r="A870" i="1" s="1"/>
  <c r="U961" i="1"/>
  <c r="A961" i="1" s="1"/>
  <c r="U921" i="1"/>
  <c r="U906" i="1"/>
  <c r="A906" i="1" s="1"/>
  <c r="U868" i="1"/>
  <c r="A868" i="1" s="1"/>
  <c r="U954" i="1"/>
  <c r="A954" i="1" s="1"/>
  <c r="U928" i="1"/>
  <c r="A928" i="1" s="1"/>
  <c r="U927" i="1"/>
  <c r="A927" i="1" s="1"/>
  <c r="U862" i="1"/>
  <c r="A862" i="1" s="1"/>
  <c r="U916" i="1"/>
  <c r="A916" i="1" s="1"/>
  <c r="U852" i="1"/>
  <c r="A852" i="1" s="1"/>
  <c r="U909" i="1"/>
  <c r="U865" i="1"/>
  <c r="A865" i="1" s="1"/>
  <c r="U917" i="1"/>
  <c r="A917" i="1" s="1"/>
  <c r="U957" i="1"/>
  <c r="A957" i="1" s="1"/>
  <c r="U958" i="1"/>
  <c r="A958" i="1" s="1"/>
  <c r="U914" i="1"/>
  <c r="A914" i="1" s="1"/>
  <c r="U913" i="1"/>
  <c r="A913" i="1" s="1"/>
  <c r="U920" i="1"/>
  <c r="A920" i="1" s="1"/>
  <c r="U929" i="1"/>
  <c r="A929" i="1" s="1"/>
  <c r="U956" i="1"/>
  <c r="A956" i="1" s="1"/>
  <c r="U922" i="1"/>
  <c r="A922" i="1" s="1"/>
  <c r="U918" i="1"/>
  <c r="A918" i="1" s="1"/>
  <c r="U911" i="1"/>
  <c r="A911" i="1" s="1"/>
  <c r="U963" i="1"/>
  <c r="A963" i="1" s="1"/>
  <c r="U926" i="1"/>
  <c r="A926" i="1" s="1"/>
  <c r="U915" i="1"/>
  <c r="A915" i="1" s="1"/>
  <c r="U923" i="1"/>
  <c r="A923" i="1" s="1"/>
  <c r="U925" i="1"/>
  <c r="A925" i="1" s="1"/>
  <c r="U924" i="1"/>
  <c r="A924" i="1" s="1"/>
  <c r="U910" i="1"/>
  <c r="A910" i="1" s="1"/>
  <c r="U912" i="1"/>
  <c r="A912" i="1" s="1"/>
  <c r="U919" i="1"/>
  <c r="A919" i="1" s="1"/>
  <c r="U942" i="1"/>
  <c r="A942" i="1" s="1"/>
  <c r="U859" i="1"/>
  <c r="A859" i="1" s="1"/>
  <c r="U950" i="1"/>
  <c r="A950" i="1" s="1"/>
  <c r="U904" i="1"/>
  <c r="A904" i="1" s="1"/>
  <c r="U905" i="1"/>
  <c r="A905" i="1" s="1"/>
  <c r="U508" i="1"/>
  <c r="A508" i="1" s="1"/>
  <c r="U511" i="1"/>
  <c r="A511" i="1" s="1"/>
  <c r="U510" i="1"/>
  <c r="A510" i="1" s="1"/>
  <c r="U349" i="1"/>
  <c r="A349" i="1" s="1"/>
  <c r="U509" i="1"/>
  <c r="A509" i="1" s="1"/>
  <c r="U1033" i="1"/>
  <c r="A1033" i="1" s="1"/>
  <c r="U1145" i="1"/>
  <c r="A1145" i="1" s="1"/>
  <c r="U1029" i="1"/>
  <c r="A1029" i="1" s="1"/>
  <c r="U1037" i="1"/>
  <c r="A1037" i="1" s="1"/>
  <c r="U1034" i="1"/>
  <c r="A1034" i="1" s="1"/>
  <c r="U1036" i="1"/>
  <c r="A1036" i="1" s="1"/>
  <c r="U1035" i="1"/>
  <c r="A1035" i="1" s="1"/>
  <c r="U1030" i="1"/>
  <c r="A1030" i="1" s="1"/>
  <c r="U1032" i="1"/>
  <c r="A1032" i="1" s="1"/>
  <c r="U1031" i="1"/>
  <c r="A1031" i="1" s="1"/>
  <c r="U1066" i="1"/>
  <c r="A1066" i="1" s="1"/>
  <c r="U1062" i="1"/>
  <c r="A1062" i="1" s="1"/>
  <c r="U1059" i="1"/>
  <c r="A1059" i="1" s="1"/>
  <c r="U1060" i="1"/>
  <c r="A1060" i="1" s="1"/>
  <c r="U1061" i="1"/>
  <c r="A1061" i="1" s="1"/>
  <c r="U1069" i="1"/>
  <c r="A1069" i="1" s="1"/>
  <c r="U1108" i="1"/>
  <c r="A1108" i="1" s="1"/>
  <c r="U1077" i="1"/>
  <c r="A1077" i="1" s="1"/>
  <c r="U1115" i="1"/>
  <c r="A1115" i="1" s="1"/>
  <c r="U1109" i="1"/>
  <c r="A1109" i="1" s="1"/>
  <c r="U1140" i="1"/>
  <c r="A1140" i="1" s="1"/>
  <c r="U1080" i="1"/>
  <c r="A1080" i="1" s="1"/>
  <c r="U1082" i="1"/>
  <c r="A1082" i="1" s="1"/>
  <c r="U1078" i="1"/>
  <c r="A1078" i="1" s="1"/>
  <c r="U1084" i="1"/>
  <c r="A1084" i="1" s="1"/>
  <c r="U1079" i="1"/>
  <c r="A1079" i="1" s="1"/>
  <c r="U1126" i="1"/>
  <c r="A1126" i="1" s="1"/>
  <c r="U1119" i="1"/>
  <c r="A1119" i="1" s="1"/>
  <c r="U1110" i="1"/>
  <c r="A1110" i="1" s="1"/>
  <c r="U1127" i="1"/>
  <c r="A1127" i="1" s="1"/>
  <c r="U1142" i="1"/>
  <c r="A1142" i="1" s="1"/>
  <c r="U1100" i="1"/>
  <c r="A1100" i="1" s="1"/>
  <c r="U1101" i="1"/>
  <c r="A1101" i="1" s="1"/>
  <c r="U1054" i="1"/>
  <c r="A1054" i="1" s="1"/>
  <c r="U1056" i="1"/>
  <c r="A1056" i="1" s="1"/>
  <c r="U1053" i="1"/>
  <c r="A1053" i="1" s="1"/>
  <c r="U1043" i="1"/>
  <c r="A1043" i="1" s="1"/>
  <c r="U1137" i="1"/>
  <c r="A1137" i="1" s="1"/>
  <c r="U1131" i="1"/>
  <c r="A1131" i="1" s="1"/>
  <c r="U1132" i="1"/>
  <c r="A1132" i="1" s="1"/>
  <c r="U1122" i="1"/>
  <c r="A1122" i="1" s="1"/>
  <c r="U1046" i="1"/>
  <c r="A1046" i="1" s="1"/>
  <c r="U1133" i="1"/>
  <c r="A1133" i="1" s="1"/>
  <c r="U1067" i="1"/>
  <c r="A1067" i="1" s="1"/>
  <c r="U1042" i="1"/>
  <c r="A1042" i="1" s="1"/>
  <c r="U1125" i="1"/>
  <c r="A1125" i="1" s="1"/>
  <c r="U1117" i="1"/>
  <c r="A1117" i="1" s="1"/>
  <c r="U1058" i="1"/>
  <c r="A1058" i="1" s="1"/>
  <c r="U1085" i="1"/>
  <c r="A1085" i="1" s="1"/>
  <c r="U1044" i="1"/>
  <c r="A1044" i="1" s="1"/>
  <c r="U1072" i="1"/>
  <c r="A1072" i="1" s="1"/>
  <c r="U1068" i="1"/>
  <c r="A1068" i="1" s="1"/>
  <c r="U1086" i="1"/>
  <c r="A1086" i="1" s="1"/>
  <c r="U1134" i="1"/>
  <c r="A1134" i="1" s="1"/>
  <c r="U1089" i="1"/>
  <c r="A1089" i="1" s="1"/>
  <c r="U1141" i="1"/>
  <c r="A1141" i="1" s="1"/>
  <c r="U1143" i="1"/>
  <c r="A1143" i="1" s="1"/>
  <c r="U1064" i="1"/>
  <c r="A1064" i="1" s="1"/>
  <c r="U1146" i="1"/>
  <c r="A1146" i="1" s="1"/>
  <c r="U1065" i="1"/>
  <c r="A1065" i="1" s="1"/>
  <c r="U1090" i="1"/>
  <c r="A1090" i="1" s="1"/>
  <c r="U1123" i="1"/>
  <c r="A1123" i="1" s="1"/>
  <c r="U1057" i="1"/>
  <c r="A1057" i="1" s="1"/>
  <c r="U1102" i="1"/>
  <c r="A1102" i="1" s="1"/>
  <c r="U1045" i="1"/>
  <c r="A1045" i="1" s="1"/>
  <c r="U1139" i="1"/>
  <c r="A1139" i="1" s="1"/>
  <c r="U1111" i="1"/>
  <c r="A1111" i="1" s="1"/>
  <c r="U1070" i="1"/>
  <c r="A1070" i="1" s="1"/>
  <c r="U1074" i="1"/>
  <c r="A1074" i="1" s="1"/>
  <c r="U1063" i="1"/>
  <c r="A1063" i="1" s="1"/>
  <c r="U1099" i="1"/>
  <c r="A1099" i="1" s="1"/>
  <c r="U1097" i="1"/>
  <c r="A1097" i="1" s="1"/>
  <c r="U1120" i="1"/>
  <c r="A1120" i="1" s="1"/>
  <c r="U1071" i="1"/>
  <c r="A1071" i="1" s="1"/>
  <c r="U1038" i="1"/>
  <c r="A1038" i="1" s="1"/>
  <c r="U1135" i="1"/>
  <c r="A1135" i="1" s="1"/>
  <c r="U1114" i="1"/>
  <c r="A1114" i="1" s="1"/>
  <c r="U1091" i="1"/>
  <c r="A1091" i="1" s="1"/>
  <c r="U1107" i="1"/>
  <c r="A1107" i="1" s="1"/>
  <c r="U1075" i="1"/>
  <c r="A1075" i="1" s="1"/>
  <c r="U1055" i="1"/>
  <c r="A1055" i="1" s="1"/>
  <c r="U1092" i="1"/>
  <c r="A1092" i="1" s="1"/>
  <c r="U1093" i="1"/>
  <c r="A1093" i="1" s="1"/>
  <c r="U1087" i="1"/>
  <c r="A1087" i="1" s="1"/>
  <c r="U1124" i="1"/>
  <c r="A1124" i="1" s="1"/>
  <c r="U1104" i="1"/>
  <c r="A1104" i="1" s="1"/>
  <c r="U1128" i="1"/>
  <c r="A1128" i="1" s="1"/>
  <c r="U1130" i="1"/>
  <c r="A1130" i="1" s="1"/>
  <c r="U1047" i="1"/>
  <c r="A1047" i="1" s="1"/>
  <c r="U1094" i="1"/>
  <c r="A1094" i="1" s="1"/>
  <c r="U1098" i="1"/>
  <c r="A1098" i="1" s="1"/>
  <c r="U1105" i="1"/>
  <c r="A1105" i="1" s="1"/>
  <c r="U1050" i="1"/>
  <c r="U1081" i="1"/>
  <c r="A1081" i="1" s="1"/>
  <c r="U1118" i="1"/>
  <c r="A1118" i="1" s="1"/>
  <c r="U1116" i="1"/>
  <c r="A1116" i="1" s="1"/>
  <c r="U1129" i="1"/>
  <c r="A1129" i="1" s="1"/>
  <c r="U1144" i="1"/>
  <c r="A1144" i="1" s="1"/>
  <c r="U1136" i="1"/>
  <c r="A1136" i="1" s="1"/>
  <c r="U1039" i="1"/>
  <c r="A1039" i="1" s="1"/>
  <c r="U1106" i="1"/>
  <c r="A1106" i="1" s="1"/>
  <c r="U1083" i="1"/>
  <c r="A1083" i="1" s="1"/>
  <c r="U1041" i="1"/>
  <c r="A1041" i="1" s="1"/>
  <c r="U1095" i="1"/>
  <c r="A1095" i="1" s="1"/>
  <c r="U1096" i="1"/>
  <c r="A1096" i="1" s="1"/>
  <c r="U1138" i="1"/>
  <c r="A1138" i="1" s="1"/>
  <c r="U1040" i="1"/>
  <c r="A1040" i="1" s="1"/>
  <c r="U1049" i="1"/>
  <c r="A1049" i="1" s="1"/>
  <c r="U1147" i="1"/>
  <c r="A1147" i="1" s="1"/>
  <c r="U1121" i="1"/>
  <c r="A1121" i="1" s="1"/>
  <c r="U1052" i="1"/>
  <c r="A1052" i="1" s="1"/>
  <c r="U1048" i="1"/>
  <c r="A1048" i="1" s="1"/>
  <c r="U1051" i="1"/>
  <c r="A1051" i="1" s="1"/>
  <c r="U1076" i="1"/>
  <c r="A1076" i="1" s="1"/>
  <c r="U1073" i="1"/>
  <c r="A1073" i="1" s="1"/>
  <c r="U1088" i="1"/>
  <c r="A1088" i="1" s="1"/>
  <c r="U1103" i="1"/>
  <c r="A1103" i="1" s="1"/>
  <c r="U1205" i="1"/>
  <c r="A1205" i="1" s="1"/>
  <c r="U1258" i="1"/>
  <c r="A1258" i="1" s="1"/>
  <c r="U1212" i="1"/>
  <c r="A1212" i="1" s="1"/>
  <c r="U1214" i="1"/>
  <c r="A1214" i="1" s="1"/>
  <c r="U1209" i="1"/>
  <c r="A1209" i="1" s="1"/>
  <c r="U1255" i="1"/>
  <c r="A1255" i="1" s="1"/>
  <c r="U1208" i="1"/>
  <c r="A1208" i="1" s="1"/>
  <c r="U1259" i="1"/>
  <c r="A1259" i="1" s="1"/>
  <c r="U1261" i="1"/>
  <c r="A1261" i="1" s="1"/>
  <c r="U1257" i="1"/>
  <c r="A1257" i="1" s="1"/>
  <c r="U1254" i="1"/>
  <c r="A1254" i="1" s="1"/>
  <c r="U1260" i="1"/>
  <c r="A1260" i="1" s="1"/>
  <c r="U1213" i="1"/>
  <c r="A1213" i="1" s="1"/>
  <c r="U1251" i="1"/>
  <c r="A1251" i="1" s="1"/>
  <c r="U1253" i="1"/>
  <c r="A1253" i="1" s="1"/>
  <c r="U1249" i="1"/>
  <c r="A1249" i="1" s="1"/>
  <c r="U1246" i="1"/>
  <c r="A1246" i="1" s="1"/>
  <c r="U1216" i="1"/>
  <c r="A1216" i="1" s="1"/>
  <c r="U1252" i="1"/>
  <c r="A1252" i="1" s="1"/>
  <c r="U1206" i="1"/>
  <c r="A1206" i="1" s="1"/>
  <c r="U1262" i="1"/>
  <c r="A1262" i="1" s="1"/>
  <c r="U1215" i="1"/>
  <c r="A1215" i="1" s="1"/>
  <c r="U1245" i="1"/>
  <c r="A1245" i="1" s="1"/>
  <c r="U1256" i="1"/>
  <c r="A1256" i="1" s="1"/>
  <c r="U1204" i="1"/>
  <c r="A1204" i="1" s="1"/>
  <c r="U1247" i="1"/>
  <c r="A1247" i="1" s="1"/>
  <c r="U1248" i="1"/>
  <c r="A1248" i="1" s="1"/>
  <c r="U1211" i="1"/>
  <c r="A1211" i="1" s="1"/>
  <c r="U1210" i="1"/>
  <c r="A1210" i="1" s="1"/>
  <c r="U1264" i="1"/>
  <c r="A1264" i="1" s="1"/>
  <c r="U1250" i="1"/>
  <c r="A1250" i="1" s="1"/>
  <c r="U1271" i="1"/>
  <c r="A1271" i="1" s="1"/>
  <c r="U1186" i="1"/>
  <c r="A1186" i="1" s="1"/>
  <c r="U1274" i="1"/>
  <c r="A1274" i="1" s="1"/>
  <c r="U1244" i="1"/>
  <c r="A1244" i="1" s="1"/>
  <c r="U1269" i="1"/>
  <c r="A1269" i="1" s="1"/>
  <c r="U1272" i="1"/>
  <c r="A1272" i="1" s="1"/>
  <c r="U1179" i="1"/>
  <c r="A1179" i="1" s="1"/>
  <c r="U1185" i="1"/>
  <c r="A1185" i="1" s="1"/>
  <c r="U1273" i="1"/>
  <c r="A1273" i="1" s="1"/>
  <c r="U1187" i="1"/>
  <c r="A1187" i="1" s="1"/>
  <c r="U1266" i="1"/>
  <c r="A1266" i="1" s="1"/>
  <c r="U1280" i="1"/>
  <c r="A1280" i="1" s="1"/>
  <c r="U1270" i="1"/>
  <c r="A1270" i="1" s="1"/>
  <c r="U1183" i="1"/>
  <c r="A1183" i="1" s="1"/>
  <c r="U1267" i="1"/>
  <c r="A1267" i="1" s="1"/>
  <c r="U1268" i="1"/>
  <c r="A1268" i="1" s="1"/>
  <c r="U1278" i="1"/>
  <c r="A1278" i="1" s="1"/>
  <c r="U1263" i="1"/>
  <c r="A1263" i="1" s="1"/>
  <c r="U1188" i="1"/>
  <c r="A1188" i="1" s="1"/>
  <c r="U1233" i="1"/>
  <c r="A1233" i="1" s="1"/>
  <c r="U1184" i="1"/>
  <c r="A1184" i="1" s="1"/>
  <c r="U1226" i="1"/>
  <c r="A1226" i="1" s="1"/>
  <c r="U1220" i="1"/>
  <c r="A1220" i="1" s="1"/>
  <c r="U1207" i="1"/>
  <c r="A1207" i="1" s="1"/>
  <c r="U1180" i="1"/>
  <c r="A1180" i="1" s="1"/>
  <c r="U1265" i="1"/>
  <c r="A1265" i="1" s="1"/>
  <c r="U1227" i="1"/>
  <c r="A1227" i="1" s="1"/>
  <c r="U1182" i="1"/>
  <c r="A1182" i="1" s="1"/>
  <c r="U1218" i="1"/>
  <c r="A1218" i="1" s="1"/>
  <c r="U1234" i="1"/>
  <c r="A1234" i="1" s="1"/>
  <c r="U1223" i="1"/>
  <c r="A1223" i="1" s="1"/>
  <c r="U1193" i="1"/>
  <c r="A1193" i="1" s="1"/>
  <c r="U1238" i="1"/>
  <c r="A1238" i="1" s="1"/>
  <c r="U1189" i="1"/>
  <c r="A1189" i="1" s="1"/>
  <c r="U1225" i="1"/>
  <c r="A1225" i="1" s="1"/>
  <c r="U1276" i="1"/>
  <c r="A1276" i="1" s="1"/>
  <c r="U1195" i="1"/>
  <c r="A1195" i="1" s="1"/>
  <c r="U1235" i="1"/>
  <c r="A1235" i="1" s="1"/>
  <c r="U1243" i="1"/>
  <c r="A1243" i="1" s="1"/>
  <c r="U1181" i="1"/>
  <c r="A1181" i="1" s="1"/>
  <c r="U1240" i="1"/>
  <c r="A1240" i="1" s="1"/>
  <c r="U1228" i="1"/>
  <c r="A1228" i="1" s="1"/>
  <c r="U1239" i="1"/>
  <c r="A1239" i="1" s="1"/>
  <c r="U1198" i="1"/>
  <c r="A1198" i="1" s="1"/>
  <c r="U1196" i="1"/>
  <c r="A1196" i="1" s="1"/>
  <c r="U1237" i="1"/>
  <c r="A1237" i="1" s="1"/>
  <c r="U1202" i="1"/>
  <c r="A1202" i="1" s="1"/>
  <c r="U1192" i="1"/>
  <c r="A1192" i="1" s="1"/>
  <c r="U1201" i="1"/>
  <c r="A1201" i="1" s="1"/>
  <c r="U1190" i="1"/>
  <c r="A1190" i="1" s="1"/>
  <c r="U1194" i="1"/>
  <c r="A1194" i="1" s="1"/>
  <c r="U1221" i="1"/>
  <c r="A1221" i="1" s="1"/>
  <c r="U1217" i="1"/>
  <c r="A1217" i="1" s="1"/>
  <c r="U1242" i="1"/>
  <c r="U1277" i="1"/>
  <c r="A1277" i="1" s="1"/>
  <c r="U1224" i="1"/>
  <c r="A1224" i="1" s="1"/>
  <c r="U1203" i="1"/>
  <c r="A1203" i="1" s="1"/>
  <c r="U1231" i="1"/>
  <c r="A1231" i="1" s="1"/>
  <c r="U1199" i="1"/>
  <c r="A1199" i="1" s="1"/>
  <c r="U1230" i="1"/>
  <c r="A1230" i="1" s="1"/>
  <c r="U1229" i="1"/>
  <c r="A1229" i="1" s="1"/>
  <c r="U1197" i="1"/>
  <c r="A1197" i="1" s="1"/>
  <c r="U1279" i="1"/>
  <c r="A1279" i="1" s="1"/>
  <c r="U1191" i="1"/>
  <c r="A1191" i="1" s="1"/>
  <c r="U1200" i="1"/>
  <c r="A1200" i="1" s="1"/>
  <c r="U1275" i="1"/>
  <c r="A1275" i="1" s="1"/>
  <c r="U544" i="1"/>
  <c r="A544" i="1" s="1"/>
  <c r="U555" i="1"/>
  <c r="A555" i="1" s="1"/>
  <c r="U553" i="1"/>
  <c r="A553" i="1" s="1"/>
  <c r="U550" i="1"/>
  <c r="A550" i="1" s="1"/>
  <c r="U538" i="1"/>
  <c r="A538" i="1" s="1"/>
  <c r="U551" i="1"/>
  <c r="A551" i="1" s="1"/>
  <c r="U545" i="1"/>
  <c r="A545" i="1" s="1"/>
  <c r="U537" i="1"/>
  <c r="A537" i="1" s="1"/>
  <c r="U539" i="1"/>
  <c r="A539" i="1" s="1"/>
  <c r="U554" i="1"/>
  <c r="A554" i="1" s="1"/>
  <c r="U547" i="1"/>
  <c r="A547" i="1" s="1"/>
  <c r="U542" i="1"/>
  <c r="A542" i="1" s="1"/>
  <c r="U546" i="1"/>
  <c r="A546" i="1" s="1"/>
  <c r="U549" i="1"/>
  <c r="A549" i="1" s="1"/>
  <c r="U543" i="1"/>
  <c r="A543" i="1" s="1"/>
  <c r="U521" i="1"/>
  <c r="A521" i="1" s="1"/>
  <c r="U541" i="1"/>
  <c r="A541" i="1" s="1"/>
  <c r="U552" i="1"/>
  <c r="A552" i="1" s="1"/>
  <c r="U665" i="1"/>
  <c r="U557" i="1"/>
  <c r="A557" i="1" s="1"/>
  <c r="U548" i="1"/>
  <c r="A548" i="1" s="1"/>
  <c r="U556" i="1"/>
  <c r="A556" i="1" s="1"/>
  <c r="U674" i="1"/>
  <c r="A674" i="1" s="1"/>
  <c r="U667" i="1"/>
  <c r="A667" i="1" s="1"/>
  <c r="U526" i="1"/>
  <c r="A526" i="1" s="1"/>
  <c r="U669" i="1"/>
  <c r="A669" i="1" s="1"/>
  <c r="U523" i="1"/>
  <c r="A523" i="1" s="1"/>
  <c r="U671" i="1"/>
  <c r="A671" i="1" s="1"/>
  <c r="U676" i="1"/>
  <c r="U533" i="1"/>
  <c r="A533" i="1" s="1"/>
  <c r="U520" i="1"/>
  <c r="A520" i="1" s="1"/>
  <c r="U530" i="1"/>
  <c r="A530" i="1" s="1"/>
  <c r="U536" i="1"/>
  <c r="A536" i="1" s="1"/>
  <c r="U531" i="1"/>
  <c r="A531" i="1" s="1"/>
  <c r="U666" i="1"/>
  <c r="A666" i="1" s="1"/>
  <c r="U673" i="1"/>
  <c r="A673" i="1" s="1"/>
  <c r="U534" i="1"/>
  <c r="A534" i="1" s="1"/>
  <c r="U518" i="1"/>
  <c r="A518" i="1" s="1"/>
  <c r="U678" i="1"/>
  <c r="A678" i="1" s="1"/>
  <c r="U700" i="1"/>
  <c r="A700" i="1" s="1"/>
  <c r="U705" i="1"/>
  <c r="A705" i="1" s="1"/>
  <c r="U532" i="1"/>
  <c r="A532" i="1" s="1"/>
  <c r="U524" i="1"/>
  <c r="A524" i="1" s="1"/>
  <c r="U522" i="1"/>
  <c r="A522" i="1" s="1"/>
  <c r="U527" i="1"/>
  <c r="A527" i="1" s="1"/>
  <c r="U528" i="1"/>
  <c r="A528" i="1" s="1"/>
  <c r="U529" i="1"/>
  <c r="A529" i="1" s="1"/>
  <c r="U675" i="1"/>
  <c r="A675" i="1" s="1"/>
  <c r="U525" i="1"/>
  <c r="A525" i="1" s="1"/>
  <c r="U677" i="1"/>
  <c r="A677" i="1" s="1"/>
  <c r="U702" i="1"/>
  <c r="A702" i="1" s="1"/>
  <c r="U703" i="1"/>
  <c r="A703" i="1" s="1"/>
  <c r="U697" i="1"/>
  <c r="A697" i="1" s="1"/>
  <c r="U535" i="1"/>
  <c r="A535" i="1" s="1"/>
  <c r="U698" i="1"/>
  <c r="A698" i="1" s="1"/>
  <c r="U701" i="1"/>
  <c r="A701" i="1" s="1"/>
  <c r="U706" i="1"/>
  <c r="A706" i="1" s="1"/>
  <c r="U514" i="1"/>
  <c r="A514" i="1" s="1"/>
  <c r="U515" i="1"/>
  <c r="A515" i="1" s="1"/>
  <c r="U664" i="1"/>
  <c r="A664" i="1" s="1"/>
  <c r="U687" i="1"/>
  <c r="A687" i="1" s="1"/>
  <c r="U699" i="1"/>
  <c r="A699" i="1" s="1"/>
  <c r="U668" i="1"/>
  <c r="A668" i="1" s="1"/>
  <c r="U570" i="1"/>
  <c r="A570" i="1" s="1"/>
  <c r="U568" i="1"/>
  <c r="A568" i="1" s="1"/>
  <c r="U684" i="1"/>
  <c r="A684" i="1" s="1"/>
  <c r="U688" i="1"/>
  <c r="A688" i="1" s="1"/>
  <c r="U685" i="1"/>
  <c r="A685" i="1" s="1"/>
  <c r="U566" i="1"/>
  <c r="A566" i="1" s="1"/>
  <c r="U516" i="1"/>
  <c r="A516" i="1" s="1"/>
  <c r="U517" i="1"/>
  <c r="A517" i="1" s="1"/>
  <c r="U569" i="1"/>
  <c r="A569" i="1" s="1"/>
  <c r="U519" i="1"/>
  <c r="A519" i="1" s="1"/>
  <c r="U608" i="1"/>
  <c r="A608" i="1" s="1"/>
  <c r="U683" i="1"/>
  <c r="A683" i="1" s="1"/>
  <c r="U680" i="1"/>
  <c r="A680" i="1" s="1"/>
  <c r="U559" i="1"/>
  <c r="A559" i="1" s="1"/>
  <c r="U567" i="1"/>
  <c r="A567" i="1" s="1"/>
  <c r="U618" i="1"/>
  <c r="A618" i="1" s="1"/>
  <c r="U563" i="1"/>
  <c r="A563" i="1" s="1"/>
  <c r="U564" i="1"/>
  <c r="A564" i="1" s="1"/>
  <c r="U662" i="1"/>
  <c r="A662" i="1" s="1"/>
  <c r="U513" i="1"/>
  <c r="A513" i="1" s="1"/>
  <c r="U690" i="1"/>
  <c r="A690" i="1" s="1"/>
  <c r="U614" i="1"/>
  <c r="A614" i="1" s="1"/>
  <c r="U689" i="1"/>
  <c r="A689" i="1" s="1"/>
  <c r="U686" i="1"/>
  <c r="A686" i="1" s="1"/>
  <c r="U560" i="1"/>
  <c r="A560" i="1" s="1"/>
  <c r="U565" i="1"/>
  <c r="A565" i="1" s="1"/>
  <c r="U672" i="1"/>
  <c r="A672" i="1" s="1"/>
  <c r="U562" i="1"/>
  <c r="A562" i="1" s="1"/>
  <c r="U654" i="1"/>
  <c r="A654" i="1" s="1"/>
  <c r="U625" i="1"/>
  <c r="A625" i="1" s="1"/>
  <c r="U571" i="1"/>
  <c r="A571" i="1" s="1"/>
  <c r="U663" i="1"/>
  <c r="A663" i="1" s="1"/>
  <c r="U583" i="1"/>
  <c r="A583" i="1" s="1"/>
  <c r="U575" i="1"/>
  <c r="A575" i="1" s="1"/>
  <c r="U626" i="1"/>
  <c r="A626" i="1" s="1"/>
  <c r="U611" i="1"/>
  <c r="A611" i="1" s="1"/>
  <c r="U572" i="1"/>
  <c r="A572" i="1" s="1"/>
  <c r="U558" i="1"/>
  <c r="A558" i="1" s="1"/>
  <c r="U679" i="1"/>
  <c r="A679" i="1" s="1"/>
  <c r="U579" i="1"/>
  <c r="A579" i="1" s="1"/>
  <c r="U591" i="1"/>
  <c r="A591" i="1" s="1"/>
  <c r="U621" i="1"/>
  <c r="A621" i="1" s="1"/>
  <c r="U578" i="1"/>
  <c r="A578" i="1" s="1"/>
  <c r="U576" i="1"/>
  <c r="A576" i="1" s="1"/>
  <c r="U588" i="1"/>
  <c r="A588" i="1" s="1"/>
  <c r="U587" i="1"/>
  <c r="A587" i="1" s="1"/>
  <c r="U682" i="1"/>
  <c r="A682" i="1" s="1"/>
  <c r="U582" i="1"/>
  <c r="A582" i="1" s="1"/>
  <c r="U606" i="1"/>
  <c r="A606" i="1" s="1"/>
  <c r="U622" i="1"/>
  <c r="A622" i="1" s="1"/>
  <c r="U623" i="1"/>
  <c r="A623" i="1" s="1"/>
  <c r="U617" i="1"/>
  <c r="A617" i="1" s="1"/>
  <c r="U577" i="1"/>
  <c r="A577" i="1" s="1"/>
  <c r="U616" i="1"/>
  <c r="A616" i="1" s="1"/>
  <c r="U581" i="1"/>
  <c r="A581" i="1" s="1"/>
  <c r="U580" i="1"/>
  <c r="A580" i="1" s="1"/>
  <c r="U573" i="1"/>
  <c r="A573" i="1" s="1"/>
  <c r="U586" i="1"/>
  <c r="A586" i="1" s="1"/>
  <c r="U609" i="1"/>
  <c r="A609" i="1" s="1"/>
  <c r="U681" i="1"/>
  <c r="A681" i="1" s="1"/>
  <c r="U655" i="1"/>
  <c r="A655" i="1" s="1"/>
  <c r="U594" i="1"/>
  <c r="A594" i="1" s="1"/>
  <c r="U596" i="1"/>
  <c r="A596" i="1" s="1"/>
  <c r="U620" i="1"/>
  <c r="A620" i="1" s="1"/>
  <c r="U574" i="1"/>
  <c r="A574" i="1" s="1"/>
  <c r="U656" i="1"/>
  <c r="A656" i="1" s="1"/>
  <c r="U610" i="1"/>
  <c r="A610" i="1" s="1"/>
  <c r="U561" i="1"/>
  <c r="A561" i="1" s="1"/>
  <c r="U624" i="1"/>
  <c r="A624" i="1" s="1"/>
  <c r="U619" i="1"/>
  <c r="A619" i="1" s="1"/>
  <c r="U585" i="1"/>
  <c r="A585" i="1" s="1"/>
  <c r="U653" i="1"/>
  <c r="A653" i="1" s="1"/>
  <c r="U593" i="1"/>
  <c r="A593" i="1" s="1"/>
  <c r="U661" i="1"/>
  <c r="A661" i="1" s="1"/>
  <c r="U615" i="1"/>
  <c r="A615" i="1" s="1"/>
  <c r="U657" i="1"/>
  <c r="A657" i="1" s="1"/>
  <c r="U592" i="1"/>
  <c r="A592" i="1" s="1"/>
  <c r="U714" i="1"/>
  <c r="A714" i="1" s="1"/>
  <c r="U604" i="1"/>
  <c r="A604" i="1" s="1"/>
  <c r="U722" i="1"/>
  <c r="A722" i="1" s="1"/>
  <c r="U709" i="1"/>
  <c r="A709" i="1" s="1"/>
  <c r="U724" i="1"/>
  <c r="A724" i="1" s="1"/>
  <c r="U584" i="1"/>
  <c r="A584" i="1" s="1"/>
  <c r="U658" i="1"/>
  <c r="A658" i="1" s="1"/>
  <c r="U595" i="1"/>
  <c r="A595" i="1" s="1"/>
  <c r="U652" i="1"/>
  <c r="A652" i="1" s="1"/>
  <c r="U634" i="1"/>
  <c r="A634" i="1" s="1"/>
  <c r="U723" i="1"/>
  <c r="A723" i="1" s="1"/>
  <c r="U613" i="1"/>
  <c r="A613" i="1" s="1"/>
  <c r="U721" i="1"/>
  <c r="A721" i="1" s="1"/>
  <c r="U589" i="1"/>
  <c r="A589" i="1" s="1"/>
  <c r="U711" i="1"/>
  <c r="A711" i="1" s="1"/>
  <c r="U627" i="1"/>
  <c r="A627" i="1" s="1"/>
  <c r="U692" i="1"/>
  <c r="A692" i="1" s="1"/>
  <c r="U660" i="1"/>
  <c r="A660" i="1" s="1"/>
  <c r="U659" i="1"/>
  <c r="A659" i="1" s="1"/>
  <c r="U639" i="1"/>
  <c r="A639" i="1" s="1"/>
  <c r="U712" i="1"/>
  <c r="A712" i="1" s="1"/>
  <c r="U590" i="1"/>
  <c r="A590" i="1" s="1"/>
  <c r="U638" i="1"/>
  <c r="A638" i="1" s="1"/>
  <c r="U635" i="1"/>
  <c r="A635" i="1" s="1"/>
  <c r="U629" i="1"/>
  <c r="A629" i="1" s="1"/>
  <c r="U718" i="1"/>
  <c r="A718" i="1" s="1"/>
  <c r="U636" i="1"/>
  <c r="A636" i="1" s="1"/>
  <c r="U710" i="1"/>
  <c r="A710" i="1" s="1"/>
  <c r="U695" i="1"/>
  <c r="A695" i="1" s="1"/>
  <c r="U650" i="1"/>
  <c r="A650" i="1" s="1"/>
  <c r="U708" i="1"/>
  <c r="A708" i="1" s="1"/>
  <c r="U640" i="1"/>
  <c r="A640" i="1" s="1"/>
  <c r="U630" i="1"/>
  <c r="A630" i="1" s="1"/>
  <c r="U719" i="1"/>
  <c r="A719" i="1" s="1"/>
  <c r="U693" i="1"/>
  <c r="A693" i="1" s="1"/>
  <c r="U648" i="1"/>
  <c r="A648" i="1" s="1"/>
  <c r="U646" i="1"/>
  <c r="A646" i="1" s="1"/>
  <c r="U605" i="1"/>
  <c r="A605" i="1" s="1"/>
  <c r="U717" i="1"/>
  <c r="A717" i="1" s="1"/>
  <c r="U696" i="1"/>
  <c r="A696" i="1" s="1"/>
  <c r="U649" i="1"/>
  <c r="A649" i="1" s="1"/>
  <c r="U647" i="1"/>
  <c r="A647" i="1" s="1"/>
  <c r="U691" i="1"/>
  <c r="A691" i="1" s="1"/>
  <c r="U628" i="1"/>
  <c r="A628" i="1" s="1"/>
  <c r="U607" i="1"/>
  <c r="A607" i="1" s="1"/>
  <c r="U651" i="1"/>
  <c r="A651" i="1" s="1"/>
  <c r="U603" i="1"/>
  <c r="A603" i="1" s="1"/>
  <c r="U715" i="1"/>
  <c r="A715" i="1" s="1"/>
  <c r="U631" i="1"/>
  <c r="A631" i="1" s="1"/>
  <c r="U720" i="1"/>
  <c r="A720" i="1" s="1"/>
  <c r="U694" i="1"/>
  <c r="A694" i="1" s="1"/>
  <c r="U643" i="1"/>
  <c r="A643" i="1" s="1"/>
  <c r="U644" i="1"/>
  <c r="A644" i="1" s="1"/>
  <c r="U645" i="1"/>
  <c r="A645" i="1" s="1"/>
  <c r="U707" i="1"/>
  <c r="A707" i="1" s="1"/>
  <c r="U602" i="1"/>
  <c r="A602" i="1" s="1"/>
  <c r="U612" i="1"/>
  <c r="A612" i="1" s="1"/>
  <c r="U633" i="1"/>
  <c r="A633" i="1" s="1"/>
  <c r="U597" i="1"/>
  <c r="A597" i="1" s="1"/>
  <c r="U642" i="1"/>
  <c r="A642" i="1" s="1"/>
  <c r="U598" i="1"/>
  <c r="A598" i="1" s="1"/>
  <c r="U632" i="1"/>
  <c r="A632" i="1" s="1"/>
  <c r="U600" i="1"/>
  <c r="A600" i="1" s="1"/>
  <c r="U599" i="1"/>
  <c r="A599" i="1" s="1"/>
  <c r="U637" i="1"/>
  <c r="A637" i="1" s="1"/>
  <c r="U601" i="1"/>
  <c r="A601" i="1" s="1"/>
  <c r="U641" i="1"/>
  <c r="A641" i="1" s="1"/>
  <c r="U716" i="1"/>
  <c r="A716" i="1" s="1"/>
  <c r="U540" i="1"/>
  <c r="A540" i="1" s="1"/>
  <c r="U670" i="1"/>
  <c r="A670" i="1" s="1"/>
  <c r="U704" i="1"/>
  <c r="A704" i="1" s="1"/>
  <c r="U713" i="1"/>
  <c r="A713" i="1" s="1"/>
  <c r="U121" i="1"/>
  <c r="A121" i="1" s="1"/>
  <c r="U59" i="1"/>
  <c r="A59" i="1" s="1"/>
  <c r="U58" i="1"/>
  <c r="A58" i="1" s="1"/>
  <c r="U60" i="1"/>
  <c r="A60" i="1" s="1"/>
  <c r="U57" i="1"/>
  <c r="A57" i="1" s="1"/>
  <c r="U43" i="1"/>
  <c r="A43" i="1" s="1"/>
  <c r="U41" i="1"/>
  <c r="A41" i="1" s="1"/>
  <c r="U44" i="1"/>
  <c r="A44" i="1" s="1"/>
  <c r="U42" i="1"/>
  <c r="A42" i="1" s="1"/>
  <c r="U45" i="1"/>
  <c r="A45" i="1" s="1"/>
  <c r="U46" i="1"/>
  <c r="A46" i="1" s="1"/>
  <c r="U47" i="1"/>
  <c r="A47" i="1" s="1"/>
  <c r="U52" i="1"/>
  <c r="A52" i="1" s="1"/>
  <c r="U48" i="1"/>
  <c r="A48" i="1" s="1"/>
  <c r="U49" i="1"/>
  <c r="A49" i="1" s="1"/>
  <c r="U50" i="1"/>
  <c r="A50" i="1" s="1"/>
  <c r="U51" i="1"/>
  <c r="A51" i="1" s="1"/>
  <c r="U53" i="1"/>
  <c r="U54" i="1"/>
  <c r="A54" i="1" s="1"/>
  <c r="U55" i="1"/>
  <c r="A55" i="1" s="1"/>
  <c r="U56" i="1"/>
  <c r="A56" i="1" s="1"/>
  <c r="U185" i="1"/>
  <c r="A185" i="1" s="1"/>
  <c r="U184" i="1"/>
  <c r="A184" i="1" s="1"/>
  <c r="U73" i="1"/>
  <c r="A73" i="1" s="1"/>
  <c r="U86" i="1"/>
  <c r="A86" i="1" s="1"/>
  <c r="U23" i="1"/>
  <c r="A23" i="1" s="1"/>
  <c r="U325" i="1"/>
  <c r="A325" i="1" s="1"/>
  <c r="U276" i="1"/>
  <c r="A276" i="1" s="1"/>
  <c r="U275" i="1"/>
  <c r="A275" i="1" s="1"/>
  <c r="U328" i="1"/>
  <c r="A328" i="1" s="1"/>
  <c r="U326" i="1"/>
  <c r="A326" i="1" s="1"/>
  <c r="U286" i="1"/>
  <c r="A286" i="1" s="1"/>
  <c r="U284" i="1"/>
  <c r="A284" i="1" s="1"/>
  <c r="U327" i="1"/>
  <c r="A327" i="1" s="1"/>
  <c r="U171" i="1"/>
  <c r="A171" i="1" s="1"/>
  <c r="U27" i="1"/>
  <c r="A27" i="1" s="1"/>
  <c r="U26" i="1"/>
  <c r="A26" i="1" s="1"/>
  <c r="U25" i="1"/>
  <c r="A25" i="1" s="1"/>
  <c r="U24" i="1"/>
  <c r="A24" i="1" s="1"/>
  <c r="U36" i="1"/>
  <c r="U33" i="1"/>
  <c r="A33" i="1" s="1"/>
  <c r="U39" i="1"/>
  <c r="A39" i="1" s="1"/>
  <c r="U34" i="1"/>
  <c r="A34" i="1" s="1"/>
  <c r="U35" i="1"/>
  <c r="A35" i="1" s="1"/>
  <c r="U37" i="1"/>
  <c r="A37" i="1" s="1"/>
  <c r="U38" i="1"/>
  <c r="A38" i="1" s="1"/>
  <c r="U40" i="1"/>
  <c r="A40" i="1" s="1"/>
  <c r="U22" i="1"/>
  <c r="A22" i="1" s="1"/>
  <c r="U21" i="1"/>
  <c r="A21" i="1" s="1"/>
  <c r="U20" i="1"/>
  <c r="A20" i="1" s="1"/>
  <c r="U3" i="1"/>
  <c r="A3" i="1" s="1"/>
  <c r="U4" i="1"/>
  <c r="A4" i="1" s="1"/>
  <c r="U6" i="1"/>
  <c r="A6" i="1" s="1"/>
  <c r="U5" i="1"/>
  <c r="A5" i="1" s="1"/>
  <c r="U7" i="1"/>
  <c r="A7" i="1" s="1"/>
  <c r="U8" i="1"/>
  <c r="A8" i="1" s="1"/>
  <c r="U9" i="1"/>
  <c r="A9" i="1" s="1"/>
  <c r="U10" i="1"/>
  <c r="A10" i="1" s="1"/>
  <c r="U11" i="1"/>
  <c r="A11" i="1" s="1"/>
  <c r="U12" i="1"/>
  <c r="A12" i="1" s="1"/>
  <c r="U13" i="1"/>
  <c r="A13" i="1" s="1"/>
  <c r="U15" i="1"/>
  <c r="A15" i="1" s="1"/>
  <c r="U14" i="1"/>
  <c r="A14" i="1" s="1"/>
  <c r="U17" i="1"/>
  <c r="A17" i="1" s="1"/>
  <c r="U16" i="1"/>
  <c r="A16" i="1" s="1"/>
  <c r="U18" i="1"/>
  <c r="A18" i="1" s="1"/>
  <c r="U19" i="1"/>
  <c r="A19" i="1" s="1"/>
  <c r="U82" i="1"/>
  <c r="A82" i="1" s="1"/>
  <c r="U81" i="1"/>
  <c r="A81" i="1" s="1"/>
  <c r="U80" i="1"/>
  <c r="A80" i="1" s="1"/>
  <c r="U85" i="1"/>
  <c r="A85" i="1" s="1"/>
  <c r="U83" i="1"/>
  <c r="A83" i="1" s="1"/>
  <c r="U93" i="1"/>
  <c r="A93" i="1" s="1"/>
  <c r="U91" i="1"/>
  <c r="A91" i="1" s="1"/>
  <c r="U92" i="1"/>
  <c r="A92" i="1" s="1"/>
  <c r="U89" i="1"/>
  <c r="A89" i="1" s="1"/>
  <c r="U84" i="1"/>
  <c r="A84" i="1" s="1"/>
  <c r="U90" i="1"/>
  <c r="A90" i="1" s="1"/>
  <c r="U88" i="1"/>
  <c r="A88" i="1" s="1"/>
  <c r="U71" i="1"/>
  <c r="A71" i="1" s="1"/>
  <c r="U70" i="1"/>
  <c r="A70" i="1" s="1"/>
  <c r="U74" i="1"/>
  <c r="A74" i="1" s="1"/>
  <c r="U75" i="1"/>
  <c r="A75" i="1" s="1"/>
  <c r="U66" i="1"/>
  <c r="A66" i="1" s="1"/>
  <c r="U69" i="1"/>
  <c r="A69" i="1" s="1"/>
  <c r="U65" i="1"/>
  <c r="A65" i="1" s="1"/>
  <c r="U67" i="1"/>
  <c r="A67" i="1" s="1"/>
  <c r="U68" i="1"/>
  <c r="A68" i="1" s="1"/>
  <c r="U94" i="1"/>
  <c r="A94" i="1" s="1"/>
  <c r="U87" i="1"/>
  <c r="A87" i="1" s="1"/>
  <c r="U72" i="1"/>
  <c r="A72" i="1" s="1"/>
  <c r="U63" i="1"/>
  <c r="A63" i="1" s="1"/>
  <c r="U95" i="1"/>
  <c r="A95" i="1" s="1"/>
  <c r="U79" i="1"/>
  <c r="A79" i="1" s="1"/>
  <c r="U61" i="1"/>
  <c r="A61" i="1" s="1"/>
  <c r="U64" i="1"/>
  <c r="A64" i="1" s="1"/>
  <c r="U76" i="1"/>
  <c r="A76" i="1" s="1"/>
  <c r="U78" i="1"/>
  <c r="A78" i="1" s="1"/>
  <c r="U77" i="1"/>
  <c r="A77" i="1" s="1"/>
  <c r="U62" i="1"/>
  <c r="A62" i="1" s="1"/>
  <c r="U155" i="1"/>
  <c r="A155" i="1" s="1"/>
  <c r="U108" i="1"/>
  <c r="A108" i="1" s="1"/>
  <c r="U96" i="1"/>
  <c r="A96" i="1" s="1"/>
  <c r="U109" i="1"/>
  <c r="A109" i="1" s="1"/>
  <c r="U102" i="1"/>
  <c r="A102" i="1" s="1"/>
  <c r="U107" i="1"/>
  <c r="A107" i="1" s="1"/>
  <c r="U97" i="1"/>
  <c r="A97" i="1" s="1"/>
  <c r="U28" i="1"/>
  <c r="A28" i="1" s="1"/>
  <c r="U32" i="1"/>
  <c r="A32" i="1" s="1"/>
  <c r="U104" i="1"/>
  <c r="A104" i="1" s="1"/>
  <c r="U101" i="1"/>
  <c r="A101" i="1" s="1"/>
  <c r="U98" i="1"/>
  <c r="A98" i="1" s="1"/>
  <c r="U105" i="1"/>
  <c r="A105" i="1" s="1"/>
  <c r="U103" i="1"/>
  <c r="A103" i="1" s="1"/>
  <c r="U99" i="1"/>
  <c r="A99" i="1" s="1"/>
  <c r="U106" i="1"/>
  <c r="A106" i="1" s="1"/>
  <c r="U29" i="1"/>
  <c r="A29" i="1" s="1"/>
  <c r="U30" i="1"/>
  <c r="A30" i="1" s="1"/>
  <c r="U31" i="1"/>
  <c r="A31" i="1" s="1"/>
  <c r="U100" i="1"/>
  <c r="A100" i="1" s="1"/>
  <c r="U113" i="1"/>
  <c r="A113" i="1" s="1"/>
  <c r="U116" i="1"/>
  <c r="A116" i="1" s="1"/>
  <c r="U119" i="1"/>
  <c r="A119" i="1" s="1"/>
  <c r="U122" i="1"/>
  <c r="A122" i="1" s="1"/>
  <c r="U123" i="1"/>
  <c r="A123" i="1" s="1"/>
  <c r="U125" i="1"/>
  <c r="A125" i="1" s="1"/>
  <c r="U124" i="1"/>
  <c r="A124" i="1" s="1"/>
  <c r="U117" i="1"/>
  <c r="A117" i="1" s="1"/>
  <c r="U118" i="1"/>
  <c r="A118" i="1" s="1"/>
  <c r="U147" i="1"/>
  <c r="A147" i="1" s="1"/>
  <c r="U150" i="1"/>
  <c r="A150" i="1" s="1"/>
  <c r="U140" i="1"/>
  <c r="A140" i="1" s="1"/>
  <c r="U146" i="1"/>
  <c r="A146" i="1" s="1"/>
  <c r="U142" i="1"/>
  <c r="A142" i="1" s="1"/>
  <c r="U143" i="1"/>
  <c r="A143" i="1" s="1"/>
  <c r="U136" i="1"/>
  <c r="A136" i="1" s="1"/>
  <c r="U144" i="1"/>
  <c r="A144" i="1" s="1"/>
  <c r="U132" i="1"/>
  <c r="A132" i="1" s="1"/>
  <c r="U149" i="1"/>
  <c r="A149" i="1" s="1"/>
  <c r="U148" i="1"/>
  <c r="A148" i="1" s="1"/>
  <c r="U133" i="1"/>
  <c r="A133" i="1" s="1"/>
  <c r="U126" i="1"/>
  <c r="A126" i="1" s="1"/>
  <c r="U145" i="1"/>
  <c r="A145" i="1" s="1"/>
  <c r="U151" i="1"/>
  <c r="A151" i="1" s="1"/>
  <c r="U141" i="1"/>
  <c r="A141" i="1" s="1"/>
  <c r="U130" i="1"/>
  <c r="A130" i="1" s="1"/>
  <c r="U153" i="1"/>
  <c r="A153" i="1" s="1"/>
  <c r="U134" i="1"/>
  <c r="A134" i="1" s="1"/>
  <c r="U112" i="1"/>
  <c r="A112" i="1" s="1"/>
  <c r="U131" i="1"/>
  <c r="U110" i="1"/>
  <c r="A110" i="1" s="1"/>
  <c r="U127" i="1"/>
  <c r="U128" i="1"/>
  <c r="A128" i="1" s="1"/>
  <c r="U120" i="1"/>
  <c r="A120" i="1" s="1"/>
  <c r="U111" i="1"/>
  <c r="A111" i="1" s="1"/>
  <c r="U114" i="1"/>
  <c r="A114" i="1" s="1"/>
  <c r="U135" i="1"/>
  <c r="A135" i="1" s="1"/>
  <c r="U129" i="1"/>
  <c r="A129" i="1" s="1"/>
  <c r="U137" i="1"/>
  <c r="A137" i="1" s="1"/>
  <c r="U154" i="1"/>
  <c r="A154" i="1" s="1"/>
  <c r="U138" i="1"/>
  <c r="A138" i="1" s="1"/>
  <c r="U139" i="1"/>
  <c r="A139" i="1" s="1"/>
  <c r="U152" i="1"/>
  <c r="A152" i="1" s="1"/>
  <c r="U115" i="1"/>
  <c r="A115" i="1" s="1"/>
  <c r="U179" i="1"/>
  <c r="A179" i="1" s="1"/>
  <c r="U161" i="1"/>
  <c r="A161" i="1" s="1"/>
  <c r="U163" i="1"/>
  <c r="A163" i="1" s="1"/>
  <c r="U178" i="1"/>
  <c r="A178" i="1" s="1"/>
  <c r="U156" i="1"/>
  <c r="A156" i="1" s="1"/>
  <c r="U175" i="1"/>
  <c r="A175" i="1" s="1"/>
  <c r="U174" i="1"/>
  <c r="A174" i="1" s="1"/>
  <c r="U173" i="1"/>
  <c r="A173" i="1" s="1"/>
  <c r="U169" i="1"/>
  <c r="A169" i="1" s="1"/>
  <c r="U177" i="1"/>
  <c r="A177" i="1" s="1"/>
  <c r="U162" i="1"/>
  <c r="A162" i="1" s="1"/>
  <c r="U176" i="1"/>
  <c r="A176" i="1" s="1"/>
  <c r="U182" i="1"/>
  <c r="A182" i="1" s="1"/>
  <c r="U168" i="1"/>
  <c r="A168" i="1" s="1"/>
  <c r="U158" i="1"/>
  <c r="A158" i="1" s="1"/>
  <c r="U164" i="1"/>
  <c r="A164" i="1" s="1"/>
  <c r="U157" i="1"/>
  <c r="U160" i="1"/>
  <c r="A160" i="1" s="1"/>
  <c r="U167" i="1"/>
  <c r="A167" i="1" s="1"/>
  <c r="U165" i="1"/>
  <c r="A165" i="1" s="1"/>
  <c r="U180" i="1"/>
  <c r="A180" i="1" s="1"/>
  <c r="U170" i="1"/>
  <c r="A170" i="1" s="1"/>
  <c r="U181" i="1"/>
  <c r="A181" i="1" s="1"/>
  <c r="U172" i="1"/>
  <c r="A172" i="1" s="1"/>
  <c r="U166" i="1"/>
  <c r="A166" i="1" s="1"/>
  <c r="U159" i="1"/>
  <c r="A159" i="1" s="1"/>
  <c r="U183" i="1"/>
  <c r="A183" i="1" s="1"/>
  <c r="U972" i="1"/>
  <c r="A972" i="1" s="1"/>
  <c r="U1222" i="1"/>
  <c r="A1222" i="1" s="1"/>
  <c r="U1232" i="1"/>
  <c r="A1232" i="1" s="1"/>
  <c r="U965" i="1"/>
  <c r="A965" i="1" s="1"/>
  <c r="U1241" i="1"/>
  <c r="A1241" i="1" s="1"/>
  <c r="U1236" i="1"/>
  <c r="A1236" i="1" s="1"/>
  <c r="U1113" i="1"/>
  <c r="A1113" i="1" s="1"/>
  <c r="U1112" i="1"/>
  <c r="A1112" i="1" s="1"/>
  <c r="U1219" i="1"/>
  <c r="A1219" i="1" s="1"/>
  <c r="U1024" i="1"/>
  <c r="A1024" i="1" s="1"/>
  <c r="U994" i="1"/>
  <c r="A994" i="1" s="1"/>
  <c r="U997" i="1"/>
  <c r="A997" i="1" s="1"/>
  <c r="U999" i="1"/>
  <c r="A999" i="1" s="1"/>
  <c r="U993" i="1"/>
  <c r="A993" i="1" s="1"/>
  <c r="U1000" i="1"/>
  <c r="A1000" i="1" s="1"/>
  <c r="U1028" i="1"/>
  <c r="A1028" i="1" s="1"/>
  <c r="U998" i="1"/>
  <c r="A998" i="1" s="1"/>
  <c r="U974" i="1"/>
  <c r="A974" i="1" s="1"/>
  <c r="U1025" i="1"/>
  <c r="A1025" i="1" s="1"/>
  <c r="U971" i="1"/>
  <c r="A971" i="1" s="1"/>
  <c r="U1022" i="1"/>
  <c r="A1022" i="1" s="1"/>
  <c r="U975" i="1"/>
  <c r="A975" i="1" s="1"/>
  <c r="U1023" i="1"/>
  <c r="A1023" i="1" s="1"/>
  <c r="U973" i="1"/>
  <c r="A973" i="1" s="1"/>
  <c r="U979" i="1"/>
  <c r="A979" i="1" s="1"/>
  <c r="U977" i="1"/>
  <c r="A977" i="1" s="1"/>
  <c r="U1018" i="1"/>
  <c r="A1018" i="1" s="1"/>
  <c r="U1016" i="1"/>
  <c r="A1016" i="1" s="1"/>
  <c r="U1017" i="1"/>
  <c r="A1017" i="1" s="1"/>
  <c r="U1014" i="1"/>
  <c r="A1014" i="1" s="1"/>
  <c r="U978" i="1"/>
  <c r="A978" i="1" s="1"/>
  <c r="U1020" i="1"/>
  <c r="A1020" i="1" s="1"/>
  <c r="U1015" i="1"/>
  <c r="A1015" i="1" s="1"/>
  <c r="U1001" i="1"/>
  <c r="A1001" i="1" s="1"/>
  <c r="U1019" i="1"/>
  <c r="A1019" i="1" s="1"/>
  <c r="U1021" i="1"/>
  <c r="A1021" i="1" s="1"/>
  <c r="U1007" i="1"/>
  <c r="A1007" i="1" s="1"/>
  <c r="U992" i="1"/>
  <c r="A992" i="1" s="1"/>
  <c r="U1003" i="1"/>
  <c r="A1003" i="1" s="1"/>
  <c r="U1008" i="1"/>
  <c r="A1008" i="1" s="1"/>
  <c r="U1004" i="1"/>
  <c r="A1004" i="1" s="1"/>
  <c r="U1002" i="1"/>
  <c r="A1002" i="1" s="1"/>
  <c r="U966" i="1"/>
  <c r="A966" i="1" s="1"/>
  <c r="U969" i="1"/>
  <c r="A969" i="1" s="1"/>
  <c r="U968" i="1"/>
  <c r="A968" i="1" s="1"/>
  <c r="U1005" i="1"/>
  <c r="A1005" i="1" s="1"/>
  <c r="U970" i="1"/>
  <c r="A970" i="1" s="1"/>
  <c r="U967" i="1"/>
  <c r="A967" i="1" s="1"/>
  <c r="U988" i="1"/>
  <c r="A988" i="1" s="1"/>
  <c r="U1006" i="1"/>
  <c r="A1006" i="1" s="1"/>
  <c r="U990" i="1"/>
  <c r="A990" i="1" s="1"/>
  <c r="U976" i="1"/>
  <c r="A976" i="1" s="1"/>
  <c r="U986" i="1"/>
  <c r="A986" i="1" s="1"/>
  <c r="U1009" i="1"/>
  <c r="A1009" i="1" s="1"/>
  <c r="U1012" i="1"/>
  <c r="A1012" i="1" s="1"/>
  <c r="U1013" i="1"/>
  <c r="A1013" i="1" s="1"/>
  <c r="U996" i="1"/>
  <c r="A996" i="1" s="1"/>
  <c r="U1010" i="1"/>
  <c r="A1010" i="1" s="1"/>
  <c r="U980" i="1"/>
  <c r="A980" i="1" s="1"/>
  <c r="U991" i="1"/>
  <c r="A991" i="1" s="1"/>
  <c r="U982" i="1"/>
  <c r="A982" i="1" s="1"/>
  <c r="U985" i="1"/>
  <c r="A985" i="1" s="1"/>
  <c r="U981" i="1"/>
  <c r="A981" i="1" s="1"/>
  <c r="U995" i="1"/>
  <c r="A995" i="1" s="1"/>
  <c r="U987" i="1"/>
  <c r="A987" i="1" s="1"/>
  <c r="U983" i="1"/>
  <c r="A983" i="1" s="1"/>
  <c r="U1011" i="1"/>
  <c r="A1011" i="1" s="1"/>
  <c r="U1026" i="1"/>
  <c r="A1026" i="1" s="1"/>
  <c r="U964" i="1"/>
  <c r="A964" i="1" s="1"/>
  <c r="U1027" i="1"/>
  <c r="A1027" i="1" s="1"/>
  <c r="U989" i="1"/>
  <c r="A989" i="1" s="1"/>
  <c r="U984" i="1"/>
  <c r="A984" i="1" s="1"/>
  <c r="U1157" i="1"/>
  <c r="A1157" i="1" s="1"/>
  <c r="U1155" i="1"/>
  <c r="A1155" i="1" s="1"/>
  <c r="U1156" i="1"/>
  <c r="A1156" i="1" s="1"/>
  <c r="U1169" i="1"/>
  <c r="A1169" i="1" s="1"/>
  <c r="U1158" i="1"/>
  <c r="A1158" i="1" s="1"/>
  <c r="U1159" i="1"/>
  <c r="A1159" i="1" s="1"/>
  <c r="U1167" i="1"/>
  <c r="A1167" i="1" s="1"/>
  <c r="U1161" i="1"/>
  <c r="A1161" i="1" s="1"/>
  <c r="U1170" i="1"/>
  <c r="A1170" i="1" s="1"/>
  <c r="U1168" i="1"/>
  <c r="A1168" i="1" s="1"/>
  <c r="U1166" i="1"/>
  <c r="A1166" i="1" s="1"/>
  <c r="U1163" i="1"/>
  <c r="A1163" i="1" s="1"/>
  <c r="U1153" i="1"/>
  <c r="A1153" i="1" s="1"/>
  <c r="U1152" i="1"/>
  <c r="A1152" i="1" s="1"/>
  <c r="U1164" i="1"/>
  <c r="A1164" i="1" s="1"/>
  <c r="U1162" i="1"/>
  <c r="U1149" i="1"/>
  <c r="U1150" i="1"/>
  <c r="A1150" i="1" s="1"/>
  <c r="U1148" i="1"/>
  <c r="A1148" i="1" s="1"/>
  <c r="U1151" i="1"/>
  <c r="A1151" i="1" s="1"/>
  <c r="U1165" i="1"/>
  <c r="A1165" i="1" s="1"/>
  <c r="U1171" i="1"/>
  <c r="A1171" i="1" s="1"/>
  <c r="U1154" i="1"/>
  <c r="A1154" i="1" s="1"/>
  <c r="U1160" i="1"/>
  <c r="A1160" i="1" s="1"/>
  <c r="U1172" i="1"/>
  <c r="A1172" i="1" s="1"/>
  <c r="U1174" i="1"/>
  <c r="A1174" i="1" s="1"/>
  <c r="U1173" i="1"/>
  <c r="A1173" i="1" s="1"/>
  <c r="U1178" i="1"/>
  <c r="A1178" i="1" s="1"/>
  <c r="U1177" i="1"/>
  <c r="A1177" i="1" s="1"/>
  <c r="U1176" i="1"/>
  <c r="A1176" i="1" s="1"/>
  <c r="U1175" i="1"/>
  <c r="A1175" i="1" s="1"/>
  <c r="U188" i="1"/>
  <c r="A188" i="1" s="1"/>
  <c r="U187" i="1"/>
  <c r="A187" i="1" s="1"/>
  <c r="U192" i="1"/>
  <c r="A192" i="1" s="1"/>
  <c r="U193" i="1"/>
  <c r="A193" i="1" s="1"/>
  <c r="U189" i="1"/>
  <c r="A189" i="1" s="1"/>
  <c r="U186" i="1"/>
  <c r="A186" i="1" s="1"/>
  <c r="U214" i="1"/>
  <c r="A214" i="1" s="1"/>
  <c r="U216" i="1"/>
  <c r="A216" i="1" s="1"/>
  <c r="U212" i="1"/>
  <c r="A212" i="1" s="1"/>
  <c r="U213" i="1"/>
  <c r="A213" i="1" s="1"/>
  <c r="U242" i="1"/>
  <c r="A242" i="1" s="1"/>
  <c r="U243" i="1"/>
  <c r="A243" i="1" s="1"/>
  <c r="U215" i="1"/>
  <c r="A215" i="1" s="1"/>
  <c r="U235" i="1"/>
  <c r="A235" i="1" s="1"/>
  <c r="U233" i="1"/>
  <c r="A233" i="1" s="1"/>
  <c r="U225" i="1"/>
  <c r="A225" i="1" s="1"/>
  <c r="U221" i="1"/>
  <c r="A221" i="1" s="1"/>
  <c r="U224" i="1"/>
  <c r="A224" i="1" s="1"/>
  <c r="U230" i="1"/>
  <c r="A230" i="1" s="1"/>
  <c r="U226" i="1"/>
  <c r="A226" i="1" s="1"/>
  <c r="U197" i="1"/>
  <c r="A197" i="1" s="1"/>
  <c r="U194" i="1"/>
  <c r="A194" i="1" s="1"/>
  <c r="U195" i="1"/>
  <c r="A195" i="1" s="1"/>
  <c r="U196" i="1"/>
  <c r="A196" i="1" s="1"/>
  <c r="U222" i="1"/>
  <c r="A222" i="1" s="1"/>
  <c r="U240" i="1"/>
  <c r="A240" i="1" s="1"/>
  <c r="U241" i="1"/>
  <c r="A241" i="1" s="1"/>
  <c r="U238" i="1"/>
  <c r="A238" i="1" s="1"/>
  <c r="U239" i="1"/>
  <c r="A239" i="1" s="1"/>
  <c r="U220" i="1"/>
  <c r="A220" i="1" s="1"/>
  <c r="U218" i="1"/>
  <c r="A218" i="1" s="1"/>
  <c r="U219" i="1"/>
  <c r="A219" i="1" s="1"/>
  <c r="U244" i="1"/>
  <c r="A244" i="1" s="1"/>
  <c r="U232" i="1"/>
  <c r="A232" i="1" s="1"/>
  <c r="U236" i="1"/>
  <c r="A236" i="1" s="1"/>
  <c r="U231" i="1"/>
  <c r="A231" i="1" s="1"/>
  <c r="U237" i="1"/>
  <c r="A237" i="1" s="1"/>
  <c r="U245" i="1"/>
  <c r="A245" i="1" s="1"/>
  <c r="U217" i="1"/>
  <c r="A217" i="1" s="1"/>
  <c r="U229" i="1"/>
  <c r="A229" i="1" s="1"/>
  <c r="U227" i="1"/>
  <c r="A227" i="1" s="1"/>
  <c r="U228" i="1"/>
  <c r="A228" i="1" s="1"/>
  <c r="U210" i="1"/>
  <c r="A210" i="1" s="1"/>
  <c r="U208" i="1"/>
  <c r="A208" i="1" s="1"/>
  <c r="U211" i="1"/>
  <c r="A211" i="1" s="1"/>
  <c r="U205" i="1"/>
  <c r="A205" i="1" s="1"/>
  <c r="U209" i="1"/>
  <c r="A209" i="1" s="1"/>
  <c r="U207" i="1"/>
  <c r="A207" i="1" s="1"/>
  <c r="U206" i="1"/>
  <c r="A206" i="1" s="1"/>
  <c r="U201" i="1"/>
  <c r="A201" i="1" s="1"/>
  <c r="U204" i="1"/>
  <c r="A204" i="1" s="1"/>
  <c r="U203" i="1"/>
  <c r="A203" i="1" s="1"/>
  <c r="U198" i="1"/>
  <c r="A198" i="1" s="1"/>
  <c r="U200" i="1"/>
  <c r="A200" i="1" s="1"/>
  <c r="U199" i="1"/>
  <c r="A199" i="1" s="1"/>
  <c r="U202" i="1"/>
  <c r="A202" i="1" s="1"/>
  <c r="U234" i="1"/>
  <c r="A234" i="1" s="1"/>
  <c r="U223" i="1"/>
  <c r="A223" i="1" s="1"/>
  <c r="A1912" i="1"/>
  <c r="A1913" i="1"/>
  <c r="A2073" i="1"/>
  <c r="A2596" i="1"/>
  <c r="A1440" i="1"/>
  <c r="A2396" i="1"/>
  <c r="A1562" i="1"/>
  <c r="A1516" i="1"/>
  <c r="A1567" i="1"/>
  <c r="C2502" i="1"/>
  <c r="C2511" i="1"/>
  <c r="C2547" i="1"/>
  <c r="C2548" i="1"/>
  <c r="C1395" i="1"/>
  <c r="C1396" i="1"/>
  <c r="C1399" i="1"/>
  <c r="C1400" i="1"/>
  <c r="C1389" i="1"/>
  <c r="C1579" i="1"/>
  <c r="C2098" i="1"/>
  <c r="C2295" i="1"/>
  <c r="C2296" i="1"/>
  <c r="C2300" i="1"/>
  <c r="C2301" i="1"/>
  <c r="C2302" i="1"/>
  <c r="C2303" i="1"/>
  <c r="C1297" i="1"/>
  <c r="C1324" i="1"/>
  <c r="C1542" i="1"/>
  <c r="C1539" i="1"/>
  <c r="C2272" i="1"/>
  <c r="C2495" i="1"/>
  <c r="C2718" i="1"/>
  <c r="C2719" i="1"/>
  <c r="C1613" i="1"/>
  <c r="C2521" i="1"/>
  <c r="C2801" i="1"/>
  <c r="C2802" i="1"/>
  <c r="C2171" i="1"/>
  <c r="C2178" i="1"/>
  <c r="C1608" i="1"/>
  <c r="C1609" i="1"/>
  <c r="C1610" i="1"/>
  <c r="C1611" i="1"/>
  <c r="C1612" i="1"/>
  <c r="C1614" i="1"/>
  <c r="C1615" i="1"/>
  <c r="C1616" i="1"/>
  <c r="C1617" i="1"/>
  <c r="C1654" i="1"/>
  <c r="C2219" i="1"/>
  <c r="C2361" i="1"/>
  <c r="C2362" i="1"/>
  <c r="C2363" i="1"/>
  <c r="C2364" i="1"/>
  <c r="C2647" i="1"/>
  <c r="C2720" i="1"/>
  <c r="C2721" i="1"/>
  <c r="C2722" i="1"/>
  <c r="C2723" i="1"/>
  <c r="C2725" i="1"/>
  <c r="C2726" i="1"/>
  <c r="C2727" i="1"/>
  <c r="C2728" i="1"/>
  <c r="C1485" i="1"/>
  <c r="C1490" i="1"/>
  <c r="C1376" i="1"/>
  <c r="C1377" i="1"/>
  <c r="C2175" i="1"/>
  <c r="C2305" i="1"/>
  <c r="C2306" i="1"/>
  <c r="C2307" i="1"/>
  <c r="C2308" i="1"/>
  <c r="C2309" i="1"/>
  <c r="C1502" i="1"/>
  <c r="C1503" i="1"/>
  <c r="C1504" i="1"/>
  <c r="C1379" i="1"/>
  <c r="C1380" i="1"/>
  <c r="C1295" i="1"/>
  <c r="C1331" i="1"/>
  <c r="C1320" i="1"/>
  <c r="C1321" i="1"/>
  <c r="C1322" i="1"/>
  <c r="C1323" i="1"/>
  <c r="C2310" i="1"/>
  <c r="C2311" i="1"/>
  <c r="C2313" i="1"/>
  <c r="C2314" i="1"/>
  <c r="C2315" i="1"/>
  <c r="C2316" i="1"/>
  <c r="C2317" i="1"/>
  <c r="C2358" i="1"/>
  <c r="C2360" i="1"/>
  <c r="C2759" i="1"/>
  <c r="C1449" i="1"/>
  <c r="C2714" i="1"/>
  <c r="C1560" i="1"/>
  <c r="C1594" i="1"/>
  <c r="C1775" i="1"/>
  <c r="C1782" i="1"/>
  <c r="C1783" i="1"/>
  <c r="C1784" i="1"/>
  <c r="C1785" i="1"/>
  <c r="C1786" i="1"/>
  <c r="C1787" i="1"/>
  <c r="C1788" i="1"/>
  <c r="C1789" i="1"/>
  <c r="C1791" i="1"/>
  <c r="C1792" i="1"/>
  <c r="C1790" i="1"/>
  <c r="C1793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794" i="1"/>
  <c r="C1907" i="1"/>
  <c r="C1948" i="1"/>
  <c r="C2433" i="1"/>
  <c r="C2522" i="1"/>
  <c r="C2830" i="1"/>
  <c r="C2832" i="1"/>
  <c r="C2833" i="1"/>
  <c r="C2834" i="1"/>
  <c r="C2835" i="1"/>
  <c r="C2836" i="1"/>
  <c r="C2837" i="1"/>
  <c r="C1445" i="1"/>
  <c r="C2240" i="1"/>
  <c r="C2241" i="1"/>
  <c r="C2242" i="1"/>
  <c r="C2243" i="1"/>
  <c r="C2245" i="1"/>
  <c r="C2246" i="1"/>
  <c r="C2247" i="1"/>
  <c r="C2248" i="1"/>
  <c r="C2249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312" i="1"/>
  <c r="C2447" i="1"/>
  <c r="C2448" i="1"/>
  <c r="C2449" i="1"/>
  <c r="C2450" i="1"/>
  <c r="C1572" i="1"/>
  <c r="C1662" i="1"/>
  <c r="C1704" i="1"/>
  <c r="C1743" i="1"/>
  <c r="C1745" i="1"/>
  <c r="C1746" i="1"/>
  <c r="C1747" i="1"/>
  <c r="C1748" i="1"/>
  <c r="C1749" i="1"/>
  <c r="C1750" i="1"/>
  <c r="C1751" i="1"/>
  <c r="C1753" i="1"/>
  <c r="C1754" i="1"/>
  <c r="C1756" i="1"/>
  <c r="C1758" i="1"/>
  <c r="C1759" i="1"/>
  <c r="C1761" i="1"/>
  <c r="C1763" i="1"/>
  <c r="C1765" i="1"/>
  <c r="C1767" i="1"/>
  <c r="C1769" i="1"/>
  <c r="C1771" i="1"/>
  <c r="C1916" i="1"/>
  <c r="C2099" i="1"/>
  <c r="C2254" i="1"/>
  <c r="C2268" i="1"/>
  <c r="C2269" i="1"/>
  <c r="C2270" i="1"/>
  <c r="C2866" i="1"/>
  <c r="C2867" i="1"/>
  <c r="C2868" i="1"/>
  <c r="C1408" i="1"/>
  <c r="C1409" i="1"/>
  <c r="C1431" i="1"/>
  <c r="C1432" i="1"/>
  <c r="C2628" i="1"/>
  <c r="C1367" i="1"/>
  <c r="C1368" i="1"/>
  <c r="C1536" i="1"/>
  <c r="C2216" i="1"/>
  <c r="C2552" i="1"/>
  <c r="C2653" i="1"/>
  <c r="C2654" i="1"/>
  <c r="C2655" i="1"/>
  <c r="C2656" i="1"/>
  <c r="C2657" i="1"/>
  <c r="C2670" i="1"/>
  <c r="C2672" i="1"/>
  <c r="C1484" i="1"/>
  <c r="C2671" i="1"/>
  <c r="C1532" i="1"/>
  <c r="C1971" i="1"/>
  <c r="C1972" i="1"/>
  <c r="C1973" i="1"/>
  <c r="C1975" i="1"/>
  <c r="C1997" i="1"/>
  <c r="C2008" i="1"/>
  <c r="C2604" i="1"/>
  <c r="C2606" i="1"/>
  <c r="C2607" i="1"/>
  <c r="C1338" i="1"/>
  <c r="C1556" i="1"/>
  <c r="C2428" i="1"/>
  <c r="C2429" i="1"/>
  <c r="C2432" i="1"/>
  <c r="C2434" i="1"/>
  <c r="C2444" i="1"/>
  <c r="C2597" i="1"/>
  <c r="C2598" i="1"/>
  <c r="C2599" i="1"/>
  <c r="C2600" i="1"/>
  <c r="C2601" i="1"/>
  <c r="C2602" i="1"/>
  <c r="C1330" i="1"/>
  <c r="C1486" i="1"/>
  <c r="C1489" i="1"/>
  <c r="C1558" i="1"/>
  <c r="C2417" i="1"/>
  <c r="C2418" i="1"/>
  <c r="C2424" i="1"/>
  <c r="C2425" i="1"/>
  <c r="C2464" i="1"/>
  <c r="C2473" i="1"/>
  <c r="C2474" i="1"/>
  <c r="C2475" i="1"/>
  <c r="C2477" i="1"/>
  <c r="C1469" i="1"/>
  <c r="C1470" i="1"/>
  <c r="C1707" i="1"/>
  <c r="C1708" i="1"/>
  <c r="C1709" i="1"/>
  <c r="C1710" i="1"/>
  <c r="C1711" i="1"/>
  <c r="C1713" i="1"/>
  <c r="C1714" i="1"/>
  <c r="C1715" i="1"/>
  <c r="C1716" i="1"/>
  <c r="C1720" i="1"/>
  <c r="C2039" i="1"/>
  <c r="C2046" i="1"/>
  <c r="C2050" i="1"/>
  <c r="C2036" i="1"/>
  <c r="C2041" i="1"/>
  <c r="C2042" i="1"/>
  <c r="C2043" i="1"/>
  <c r="C2044" i="1"/>
  <c r="C2048" i="1"/>
  <c r="C2081" i="1"/>
  <c r="C1928" i="1"/>
  <c r="C1930" i="1"/>
  <c r="C1932" i="1"/>
  <c r="C1933" i="1"/>
  <c r="C1934" i="1"/>
  <c r="C1935" i="1"/>
  <c r="C1936" i="1"/>
  <c r="C1937" i="1"/>
  <c r="C1943" i="1"/>
  <c r="C1944" i="1"/>
  <c r="C1428" i="1"/>
  <c r="C1546" i="1"/>
  <c r="C2620" i="1"/>
  <c r="C2624" i="1"/>
  <c r="C2512" i="1"/>
  <c r="C2513" i="1"/>
  <c r="C2514" i="1"/>
  <c r="C2515" i="1"/>
  <c r="C2244" i="1"/>
  <c r="C2250" i="1"/>
  <c r="C2251" i="1"/>
  <c r="C2276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1381" i="1"/>
  <c r="C1382" i="1"/>
  <c r="C1383" i="1"/>
  <c r="C1384" i="1"/>
  <c r="C1337" i="1"/>
  <c r="C2492" i="1"/>
  <c r="C2494" i="1"/>
  <c r="C2497" i="1"/>
  <c r="C2498" i="1"/>
  <c r="C2499" i="1"/>
  <c r="C2501" i="1"/>
  <c r="C1618" i="1"/>
  <c r="C1620" i="1"/>
  <c r="C1621" i="1"/>
  <c r="C1622" i="1"/>
  <c r="C1623" i="1"/>
  <c r="C1624" i="1"/>
  <c r="C1625" i="1"/>
  <c r="C1626" i="1"/>
  <c r="C1627" i="1"/>
  <c r="C1628" i="1"/>
  <c r="C1629" i="1"/>
  <c r="C1670" i="1"/>
  <c r="C1471" i="1"/>
  <c r="C1582" i="1"/>
  <c r="C1680" i="1"/>
  <c r="C1682" i="1"/>
  <c r="C1683" i="1"/>
  <c r="C1685" i="1"/>
  <c r="C1686" i="1"/>
  <c r="C1687" i="1"/>
  <c r="C1688" i="1"/>
  <c r="C1689" i="1"/>
  <c r="C1690" i="1"/>
  <c r="C1695" i="1"/>
  <c r="C1465" i="1"/>
  <c r="C1466" i="1"/>
  <c r="C1468" i="1"/>
  <c r="C1778" i="1"/>
  <c r="C1779" i="1"/>
  <c r="C1780" i="1"/>
  <c r="C1781" i="1"/>
  <c r="C1814" i="1"/>
  <c r="C1823" i="1"/>
  <c r="C1824" i="1"/>
  <c r="C1825" i="1"/>
  <c r="C1826" i="1"/>
  <c r="C1827" i="1"/>
  <c r="C1828" i="1"/>
  <c r="C1829" i="1"/>
  <c r="C2845" i="1"/>
  <c r="C2846" i="1"/>
  <c r="C2117" i="1"/>
  <c r="C1844" i="1"/>
  <c r="C1845" i="1"/>
  <c r="C1819" i="1"/>
  <c r="C1820" i="1"/>
  <c r="C1821" i="1"/>
  <c r="C1822" i="1"/>
  <c r="C1841" i="1"/>
  <c r="C1843" i="1"/>
  <c r="C1846" i="1"/>
  <c r="C1847" i="1"/>
  <c r="C1848" i="1"/>
  <c r="C1849" i="1"/>
  <c r="C1850" i="1"/>
  <c r="C1851" i="1"/>
  <c r="C1915" i="1"/>
  <c r="C2104" i="1"/>
  <c r="C1813" i="1"/>
  <c r="C1815" i="1"/>
  <c r="C1818" i="1"/>
  <c r="C2849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1350" i="1"/>
  <c r="C1351" i="1"/>
  <c r="C1354" i="1"/>
  <c r="C1355" i="1"/>
  <c r="C1356" i="1"/>
  <c r="C1357" i="1"/>
  <c r="C2419" i="1"/>
  <c r="C2422" i="1"/>
  <c r="C2423" i="1"/>
  <c r="C1577" i="1"/>
  <c r="C2159" i="1"/>
  <c r="C2227" i="1"/>
  <c r="C2228" i="1"/>
  <c r="C2229" i="1"/>
  <c r="C2230" i="1"/>
  <c r="C2231" i="1"/>
  <c r="C2232" i="1"/>
  <c r="C2233" i="1"/>
  <c r="C1332" i="1"/>
  <c r="C1333" i="1"/>
  <c r="C1341" i="1"/>
  <c r="C1524" i="1"/>
  <c r="C1500" i="1"/>
  <c r="C1501" i="1"/>
  <c r="C1521" i="1"/>
  <c r="C1522" i="1"/>
  <c r="C1863" i="1"/>
  <c r="C2520" i="1"/>
  <c r="C1533" i="1"/>
  <c r="C1525" i="1"/>
  <c r="C1642" i="1"/>
  <c r="C1643" i="1"/>
  <c r="C1644" i="1"/>
  <c r="C1645" i="1"/>
  <c r="C1646" i="1"/>
  <c r="C1647" i="1"/>
  <c r="C1648" i="1"/>
  <c r="C1649" i="1"/>
  <c r="C1650" i="1"/>
  <c r="C1694" i="1"/>
  <c r="C1388" i="1"/>
  <c r="C1520" i="1"/>
  <c r="C2100" i="1"/>
  <c r="C2177" i="1"/>
  <c r="C2182" i="1"/>
  <c r="C2186" i="1"/>
  <c r="C2187" i="1"/>
  <c r="C2188" i="1"/>
  <c r="C2737" i="1"/>
  <c r="C2742" i="1"/>
  <c r="C2732" i="1"/>
  <c r="C2733" i="1"/>
  <c r="C2734" i="1"/>
  <c r="C2744" i="1"/>
  <c r="C1526" i="1"/>
  <c r="C1529" i="1"/>
  <c r="C2551" i="1"/>
  <c r="C2101" i="1"/>
  <c r="C2102" i="1"/>
  <c r="C2103" i="1"/>
  <c r="C2105" i="1"/>
  <c r="C2106" i="1"/>
  <c r="C1411" i="1"/>
  <c r="C2140" i="1"/>
  <c r="C2575" i="1"/>
  <c r="C2576" i="1"/>
  <c r="C2577" i="1"/>
  <c r="C2578" i="1"/>
  <c r="C2579" i="1"/>
  <c r="C2580" i="1"/>
  <c r="C2581" i="1"/>
  <c r="C2582" i="1"/>
  <c r="C2583" i="1"/>
  <c r="C1530" i="1"/>
  <c r="C2679" i="1"/>
  <c r="C2680" i="1"/>
  <c r="C2681" i="1"/>
  <c r="C2682" i="1"/>
  <c r="C2683" i="1"/>
  <c r="C2684" i="1"/>
  <c r="C1908" i="1"/>
  <c r="C1909" i="1"/>
  <c r="C1910" i="1"/>
  <c r="C1911" i="1"/>
  <c r="C1912" i="1"/>
  <c r="C1913" i="1"/>
  <c r="C1914" i="1"/>
  <c r="C1918" i="1"/>
  <c r="C2023" i="1"/>
  <c r="C2053" i="1"/>
  <c r="C2054" i="1"/>
  <c r="C2056" i="1"/>
  <c r="C2057" i="1"/>
  <c r="C2058" i="1"/>
  <c r="C2059" i="1"/>
  <c r="C2060" i="1"/>
  <c r="C2061" i="1"/>
  <c r="C2062" i="1"/>
  <c r="C2063" i="1"/>
  <c r="C2066" i="1"/>
  <c r="C2067" i="1"/>
  <c r="C2068" i="1"/>
  <c r="C2069" i="1"/>
  <c r="C2070" i="1"/>
  <c r="C2071" i="1"/>
  <c r="C2072" i="1"/>
  <c r="C2073" i="1"/>
  <c r="C2074" i="1"/>
  <c r="C1554" i="1"/>
  <c r="C2561" i="1"/>
  <c r="C2756" i="1"/>
  <c r="C2764" i="1"/>
  <c r="C2765" i="1"/>
  <c r="C2766" i="1"/>
  <c r="C2123" i="1"/>
  <c r="C2125" i="1"/>
  <c r="C2126" i="1"/>
  <c r="C2127" i="1"/>
  <c r="C2128" i="1"/>
  <c r="C2129" i="1"/>
  <c r="C2130" i="1"/>
  <c r="C2131" i="1"/>
  <c r="C2215" i="1"/>
  <c r="C2652" i="1"/>
  <c r="C2665" i="1"/>
  <c r="C2666" i="1"/>
  <c r="C2667" i="1"/>
  <c r="C2668" i="1"/>
  <c r="C2669" i="1"/>
  <c r="C1573" i="1"/>
  <c r="C2094" i="1"/>
  <c r="C2111" i="1"/>
  <c r="C2112" i="1"/>
  <c r="C2113" i="1"/>
  <c r="C2114" i="1"/>
  <c r="C2115" i="1"/>
  <c r="C2274" i="1"/>
  <c r="C1596" i="1"/>
  <c r="C1600" i="1"/>
  <c r="C1601" i="1"/>
  <c r="C1602" i="1"/>
  <c r="C1604" i="1"/>
  <c r="C1568" i="1"/>
  <c r="C1730" i="1"/>
  <c r="C2359" i="1"/>
  <c r="C2586" i="1"/>
  <c r="C2593" i="1"/>
  <c r="C2588" i="1"/>
  <c r="C2591" i="1"/>
  <c r="C2595" i="1"/>
  <c r="C2596" i="1"/>
  <c r="C1552" i="1"/>
  <c r="C2754" i="1"/>
  <c r="C1375" i="1"/>
  <c r="C1442" i="1"/>
  <c r="C1957" i="1"/>
  <c r="C1959" i="1"/>
  <c r="C1960" i="1"/>
  <c r="C1961" i="1"/>
  <c r="C1962" i="1"/>
  <c r="C1963" i="1"/>
  <c r="C1964" i="1"/>
  <c r="C1966" i="1"/>
  <c r="C1967" i="1"/>
  <c r="C1968" i="1"/>
  <c r="C1738" i="1"/>
  <c r="C2504" i="1"/>
  <c r="C2508" i="1"/>
  <c r="C2509" i="1"/>
  <c r="C2510" i="1"/>
  <c r="C2565" i="1"/>
  <c r="C2566" i="1"/>
  <c r="C2570" i="1"/>
  <c r="C2571" i="1"/>
  <c r="C2572" i="1"/>
  <c r="C1437" i="1"/>
  <c r="C1548" i="1"/>
  <c r="C1585" i="1"/>
  <c r="C1586" i="1"/>
  <c r="C1587" i="1"/>
  <c r="C1588" i="1"/>
  <c r="C1589" i="1"/>
  <c r="C1590" i="1"/>
  <c r="C1591" i="1"/>
  <c r="C1592" i="1"/>
  <c r="C2871" i="1"/>
  <c r="C1451" i="1"/>
  <c r="C2613" i="1"/>
  <c r="C2614" i="1"/>
  <c r="C2615" i="1"/>
  <c r="C2616" i="1"/>
  <c r="C2617" i="1"/>
  <c r="C2618" i="1"/>
  <c r="C2847" i="1"/>
  <c r="C2848" i="1"/>
  <c r="C1699" i="1"/>
  <c r="C1700" i="1"/>
  <c r="C1701" i="1"/>
  <c r="C1702" i="1"/>
  <c r="C1703" i="1"/>
  <c r="C2839" i="1"/>
  <c r="C1390" i="1"/>
  <c r="C1392" i="1"/>
  <c r="C2107" i="1"/>
  <c r="C2108" i="1"/>
  <c r="C2109" i="1"/>
  <c r="C2110" i="1"/>
  <c r="C2119" i="1"/>
  <c r="C1861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584" i="1"/>
  <c r="C2118" i="1"/>
  <c r="C2804" i="1"/>
  <c r="C2252" i="1"/>
  <c r="C2255" i="1"/>
  <c r="C2256" i="1"/>
  <c r="C2257" i="1"/>
  <c r="C2258" i="1"/>
  <c r="C2805" i="1"/>
  <c r="C1387" i="1"/>
  <c r="C1339" i="1"/>
  <c r="C1385" i="1"/>
  <c r="C1386" i="1"/>
  <c r="C1344" i="1"/>
  <c r="C1345" i="1"/>
  <c r="C1346" i="1"/>
  <c r="C1454" i="1"/>
  <c r="C1455" i="1"/>
  <c r="C2650" i="1"/>
  <c r="C1459" i="1"/>
  <c r="C1461" i="1"/>
  <c r="C1425" i="1"/>
  <c r="C1426" i="1"/>
  <c r="C1970" i="1"/>
  <c r="C1990" i="1"/>
  <c r="C1991" i="1"/>
  <c r="C1994" i="1"/>
  <c r="C2005" i="1"/>
  <c r="C2010" i="1"/>
  <c r="C2015" i="1"/>
  <c r="C2017" i="1"/>
  <c r="C2018" i="1"/>
  <c r="C2019" i="1"/>
  <c r="C1917" i="1"/>
  <c r="C1919" i="1"/>
  <c r="C1920" i="1"/>
  <c r="C1921" i="1"/>
  <c r="C1922" i="1"/>
  <c r="C1923" i="1"/>
  <c r="C1924" i="1"/>
  <c r="C1925" i="1"/>
  <c r="C1926" i="1"/>
  <c r="C1927" i="1"/>
  <c r="C1369" i="1"/>
  <c r="C1370" i="1"/>
  <c r="C1496" i="1"/>
  <c r="C1497" i="1"/>
  <c r="C2091" i="1"/>
  <c r="C2658" i="1"/>
  <c r="C2659" i="1"/>
  <c r="C2661" i="1"/>
  <c r="C2662" i="1"/>
  <c r="C2663" i="1"/>
  <c r="C2664" i="1"/>
  <c r="C2873" i="1"/>
  <c r="C1342" i="1"/>
  <c r="C1672" i="1"/>
  <c r="C2704" i="1"/>
  <c r="C2705" i="1"/>
  <c r="C2706" i="1"/>
  <c r="C2707" i="1"/>
  <c r="C2708" i="1"/>
  <c r="C2709" i="1"/>
  <c r="C2710" i="1"/>
  <c r="C2711" i="1"/>
  <c r="C2712" i="1"/>
  <c r="C2713" i="1"/>
  <c r="C1450" i="1"/>
  <c r="C1947" i="1"/>
  <c r="C2587" i="1"/>
  <c r="C2777" i="1"/>
  <c r="C2784" i="1"/>
  <c r="C2779" i="1"/>
  <c r="C2781" i="1"/>
  <c r="C2786" i="1"/>
  <c r="C2787" i="1"/>
  <c r="C2789" i="1"/>
  <c r="C2790" i="1"/>
  <c r="C2794" i="1"/>
  <c r="C1335" i="1"/>
  <c r="C1398" i="1"/>
  <c r="C1305" i="1"/>
  <c r="C1309" i="1"/>
  <c r="C1310" i="1"/>
  <c r="C1311" i="1"/>
  <c r="C1312" i="1"/>
  <c r="C1313" i="1"/>
  <c r="C1314" i="1"/>
  <c r="C1315" i="1"/>
  <c r="C1316" i="1"/>
  <c r="C1317" i="1"/>
  <c r="C1318" i="1"/>
  <c r="C1319" i="1"/>
  <c r="C1336" i="1"/>
  <c r="C1371" i="1"/>
  <c r="C1441" i="1"/>
  <c r="C1551" i="1"/>
  <c r="C2478" i="1"/>
  <c r="C2479" i="1"/>
  <c r="C2480" i="1"/>
  <c r="C2481" i="1"/>
  <c r="C2648" i="1"/>
  <c r="C2649" i="1"/>
  <c r="C1528" i="1"/>
  <c r="C1343" i="1"/>
  <c r="C1776" i="1"/>
  <c r="C2687" i="1"/>
  <c r="C2688" i="1"/>
  <c r="C2689" i="1"/>
  <c r="C2690" i="1"/>
  <c r="C2691" i="1"/>
  <c r="C2692" i="1"/>
  <c r="C2693" i="1"/>
  <c r="C2695" i="1"/>
  <c r="C2696" i="1"/>
  <c r="C2698" i="1"/>
  <c r="C2699" i="1"/>
  <c r="C2700" i="1"/>
  <c r="C2034" i="1"/>
  <c r="C2026" i="1"/>
  <c r="C2033" i="1"/>
  <c r="C2064" i="1"/>
  <c r="C2075" i="1"/>
  <c r="C2077" i="1"/>
  <c r="C2078" i="1"/>
  <c r="C2079" i="1"/>
  <c r="C2087" i="1"/>
  <c r="C2088" i="1"/>
  <c r="C2090" i="1"/>
  <c r="C1359" i="1"/>
  <c r="C1360" i="1"/>
  <c r="C1361" i="1"/>
  <c r="C2116" i="1"/>
  <c r="C1510" i="1"/>
  <c r="C1511" i="1"/>
  <c r="C1535" i="1"/>
  <c r="C1473" i="1"/>
  <c r="C1474" i="1"/>
  <c r="C2453" i="1"/>
  <c r="C2460" i="1"/>
  <c r="C2461" i="1"/>
  <c r="C2463" i="1"/>
  <c r="C2466" i="1"/>
  <c r="C2471" i="1"/>
  <c r="C2472" i="1"/>
  <c r="C2476" i="1"/>
  <c r="C1505" i="1"/>
  <c r="C1506" i="1"/>
  <c r="C1507" i="1"/>
  <c r="C1452" i="1"/>
  <c r="C2155" i="1"/>
  <c r="C2156" i="1"/>
  <c r="C2157" i="1"/>
  <c r="C2158" i="1"/>
  <c r="C2161" i="1"/>
  <c r="C2218" i="1"/>
  <c r="C2226" i="1"/>
  <c r="C1430" i="1"/>
  <c r="C1397" i="1"/>
  <c r="C1421" i="1"/>
  <c r="C2673" i="1"/>
  <c r="C2674" i="1"/>
  <c r="C2675" i="1"/>
  <c r="C2676" i="1"/>
  <c r="C2677" i="1"/>
  <c r="C2678" i="1"/>
  <c r="C2685" i="1"/>
  <c r="C2780" i="1"/>
  <c r="C2872" i="1"/>
  <c r="C1365" i="1"/>
  <c r="C1366" i="1"/>
  <c r="C2122" i="1"/>
  <c r="C2124" i="1"/>
  <c r="C1363" i="1"/>
  <c r="C1364" i="1"/>
  <c r="C1329" i="1"/>
  <c r="C1540" i="1"/>
  <c r="C2807" i="1"/>
  <c r="C2808" i="1"/>
  <c r="C2810" i="1"/>
  <c r="C1487" i="1"/>
  <c r="C1488" i="1"/>
  <c r="C1491" i="1"/>
  <c r="C1304" i="1"/>
  <c r="C1362" i="1"/>
  <c r="C1512" i="1"/>
  <c r="C1493" i="1"/>
  <c r="C1494" i="1"/>
  <c r="C1495" i="1"/>
  <c r="C1378" i="1"/>
  <c r="C1472" i="1"/>
  <c r="C2160" i="1"/>
  <c r="C2534" i="1"/>
  <c r="C2535" i="1"/>
  <c r="C2536" i="1"/>
  <c r="C2537" i="1"/>
  <c r="C2538" i="1"/>
  <c r="C1705" i="1"/>
  <c r="C1706" i="1"/>
  <c r="C1307" i="1"/>
  <c r="C1480" i="1"/>
  <c r="C1481" i="1"/>
  <c r="C1482" i="1"/>
  <c r="C1483" i="1"/>
  <c r="C1453" i="1"/>
  <c r="C1418" i="1"/>
  <c r="C1419" i="1"/>
  <c r="C1420" i="1"/>
  <c r="C1440" i="1"/>
  <c r="C1327" i="1"/>
  <c r="C1538" i="1"/>
  <c r="C1508" i="1"/>
  <c r="C1509" i="1"/>
  <c r="C2811" i="1"/>
  <c r="C2812" i="1"/>
  <c r="C2813" i="1"/>
  <c r="C2814" i="1"/>
  <c r="C2815" i="1"/>
  <c r="C2816" i="1"/>
  <c r="C1534" i="1"/>
  <c r="C1561" i="1"/>
  <c r="C1830" i="1"/>
  <c r="C1831" i="1"/>
  <c r="C1832" i="1"/>
  <c r="C1833" i="1"/>
  <c r="C1834" i="1"/>
  <c r="C1835" i="1"/>
  <c r="C1836" i="1"/>
  <c r="C1837" i="1"/>
  <c r="C1838" i="1"/>
  <c r="C1839" i="1"/>
  <c r="C1842" i="1"/>
  <c r="C2253" i="1"/>
  <c r="C2259" i="1"/>
  <c r="C2260" i="1"/>
  <c r="C2261" i="1"/>
  <c r="C2262" i="1"/>
  <c r="C2263" i="1"/>
  <c r="C2264" i="1"/>
  <c r="C2265" i="1"/>
  <c r="C2266" i="1"/>
  <c r="C2267" i="1"/>
  <c r="C2320" i="1"/>
  <c r="C2322" i="1"/>
  <c r="C2323" i="1"/>
  <c r="C2324" i="1"/>
  <c r="C2327" i="1"/>
  <c r="C2328" i="1"/>
  <c r="C2329" i="1"/>
  <c r="C2330" i="1"/>
  <c r="C2331" i="1"/>
  <c r="C218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1634" i="1"/>
  <c r="C1635" i="1"/>
  <c r="C1631" i="1"/>
  <c r="C1632" i="1"/>
  <c r="C1633" i="1"/>
  <c r="C1636" i="1"/>
  <c r="C1637" i="1"/>
  <c r="C1638" i="1"/>
  <c r="C1640" i="1"/>
  <c r="C1641" i="1"/>
  <c r="C1691" i="1"/>
  <c r="C1840" i="1"/>
  <c r="C2651" i="1"/>
  <c r="C2162" i="1"/>
  <c r="C2163" i="1"/>
  <c r="C2164" i="1"/>
  <c r="C2165" i="1"/>
  <c r="C2166" i="1"/>
  <c r="C2167" i="1"/>
  <c r="C2168" i="1"/>
  <c r="C2869" i="1"/>
  <c r="C2702" i="1"/>
  <c r="C2799" i="1"/>
  <c r="C2800" i="1"/>
  <c r="C1325" i="1"/>
  <c r="C1326" i="1"/>
  <c r="C2831" i="1"/>
  <c r="C1402" i="1"/>
  <c r="C1403" i="1"/>
  <c r="C1282" i="1"/>
  <c r="C1564" i="1"/>
  <c r="C1580" i="1"/>
  <c r="C2217" i="1"/>
  <c r="C2220" i="1"/>
  <c r="C2221" i="1"/>
  <c r="C2222" i="1"/>
  <c r="C2223" i="1"/>
  <c r="C2224" i="1"/>
  <c r="C2225" i="1"/>
  <c r="C1547" i="1"/>
  <c r="C2399" i="1"/>
  <c r="C2400" i="1"/>
  <c r="C2401" i="1"/>
  <c r="C2402" i="1"/>
  <c r="C2403" i="1"/>
  <c r="C2549" i="1"/>
  <c r="C2554" i="1"/>
  <c r="C2555" i="1"/>
  <c r="C2556" i="1"/>
  <c r="C2557" i="1"/>
  <c r="C2558" i="1"/>
  <c r="C2559" i="1"/>
  <c r="C1523" i="1"/>
  <c r="C1651" i="1"/>
  <c r="C1658" i="1"/>
  <c r="C1653" i="1"/>
  <c r="C1655" i="1"/>
  <c r="C1656" i="1"/>
  <c r="C1657" i="1"/>
  <c r="C1660" i="1"/>
  <c r="C1661" i="1"/>
  <c r="C1663" i="1"/>
  <c r="C1665" i="1"/>
  <c r="C2095" i="1"/>
  <c r="C2179" i="1"/>
  <c r="C1435" i="1"/>
  <c r="C1436" i="1"/>
  <c r="C1438" i="1"/>
  <c r="C1569" i="1"/>
  <c r="C1433" i="1"/>
  <c r="C1434" i="1"/>
  <c r="C1373" i="1"/>
  <c r="C1462" i="1"/>
  <c r="C1463" i="1"/>
  <c r="C1553" i="1"/>
  <c r="C1557" i="1"/>
  <c r="C1712" i="1"/>
  <c r="C2484" i="1"/>
  <c r="C2485" i="1"/>
  <c r="C2487" i="1"/>
  <c r="C2489" i="1"/>
  <c r="C2843" i="1"/>
  <c r="C1513" i="1"/>
  <c r="C1514" i="1"/>
  <c r="C1515" i="1"/>
  <c r="C1372" i="1"/>
  <c r="C2701" i="1"/>
  <c r="C2703" i="1"/>
  <c r="C1578" i="1"/>
  <c r="C2206" i="1"/>
  <c r="C2207" i="1"/>
  <c r="C2208" i="1"/>
  <c r="C2209" i="1"/>
  <c r="C2210" i="1"/>
  <c r="C2211" i="1"/>
  <c r="C2212" i="1"/>
  <c r="C2213" i="1"/>
  <c r="C2214" i="1"/>
  <c r="C2096" i="1"/>
  <c r="C2097" i="1"/>
  <c r="C2842" i="1"/>
  <c r="C1443" i="1"/>
  <c r="C1444" i="1"/>
  <c r="C1446" i="1"/>
  <c r="C1447" i="1"/>
  <c r="C1448" i="1"/>
  <c r="C1527" i="1"/>
  <c r="C1555" i="1"/>
  <c r="C2715" i="1"/>
  <c r="C2716" i="1"/>
  <c r="C2717" i="1"/>
  <c r="C2850" i="1"/>
  <c r="C1593" i="1"/>
  <c r="C1597" i="1"/>
  <c r="C1606" i="1"/>
  <c r="C1607" i="1"/>
  <c r="C1816" i="1"/>
  <c r="C2092" i="1"/>
  <c r="C1733" i="1"/>
  <c r="C1735" i="1"/>
  <c r="C2767" i="1"/>
  <c r="C2768" i="1"/>
  <c r="C2769" i="1"/>
  <c r="C2771" i="1"/>
  <c r="C2772" i="1"/>
  <c r="C1458" i="1"/>
  <c r="C1460" i="1"/>
  <c r="C1467" i="1"/>
  <c r="C1563" i="1"/>
  <c r="C2365" i="1"/>
  <c r="C2397" i="1"/>
  <c r="C2398" i="1"/>
  <c r="C2368" i="1"/>
  <c r="C2372" i="1"/>
  <c r="C2373" i="1"/>
  <c r="C2374" i="1"/>
  <c r="C2379" i="1"/>
  <c r="C2380" i="1"/>
  <c r="C2381" i="1"/>
  <c r="C2382" i="1"/>
  <c r="C2383" i="1"/>
  <c r="C2384" i="1"/>
  <c r="C2385" i="1"/>
  <c r="C2386" i="1"/>
  <c r="C2387" i="1"/>
  <c r="C2388" i="1"/>
  <c r="C2389" i="1"/>
  <c r="C2391" i="1"/>
  <c r="C2392" i="1"/>
  <c r="C2393" i="1"/>
  <c r="C2396" i="1"/>
  <c r="C2627" i="1"/>
  <c r="C2724" i="1"/>
  <c r="C1475" i="1"/>
  <c r="C1476" i="1"/>
  <c r="C1717" i="1"/>
  <c r="C1718" i="1"/>
  <c r="C1719" i="1"/>
  <c r="C1721" i="1"/>
  <c r="C1726" i="1"/>
  <c r="C1727" i="1"/>
  <c r="C1728" i="1"/>
  <c r="C1729" i="1"/>
  <c r="C1732" i="1"/>
  <c r="C2553" i="1"/>
  <c r="C1417" i="1"/>
  <c r="C1571" i="1"/>
  <c r="C1666" i="1"/>
  <c r="C1669" i="1"/>
  <c r="C1673" i="1"/>
  <c r="C1328" i="1"/>
  <c r="C1464" i="1"/>
  <c r="C1562" i="1"/>
  <c r="C2573" i="1"/>
  <c r="C2574" i="1"/>
  <c r="C1391" i="1"/>
  <c r="C1545" i="1"/>
  <c r="C2761" i="1"/>
  <c r="C2763" i="1"/>
  <c r="C2757" i="1"/>
  <c r="C1374" i="1"/>
  <c r="C1570" i="1"/>
  <c r="C1575" i="1"/>
  <c r="C1576" i="1"/>
  <c r="C2838" i="1"/>
  <c r="C1675" i="1"/>
  <c r="C1676" i="1"/>
  <c r="C1677" i="1"/>
  <c r="C1678" i="1"/>
  <c r="C2646" i="1"/>
  <c r="C2844" i="1"/>
  <c r="C1393" i="1"/>
  <c r="C1394" i="1"/>
  <c r="C2795" i="1"/>
  <c r="C2796" i="1"/>
  <c r="C2797" i="1"/>
  <c r="C2798" i="1"/>
  <c r="C2152" i="1"/>
  <c r="C2153" i="1"/>
  <c r="C2154" i="1"/>
  <c r="C2169" i="1"/>
  <c r="C2170" i="1"/>
  <c r="C2176" i="1"/>
  <c r="C1777" i="1"/>
  <c r="C2132" i="1"/>
  <c r="C2133" i="1"/>
  <c r="C2134" i="1"/>
  <c r="C2135" i="1"/>
  <c r="C2136" i="1"/>
  <c r="C2137" i="1"/>
  <c r="C2138" i="1"/>
  <c r="C2139" i="1"/>
  <c r="C2141" i="1"/>
  <c r="C2142" i="1"/>
  <c r="C2143" i="1"/>
  <c r="C2144" i="1"/>
  <c r="C2145" i="1"/>
  <c r="C2146" i="1"/>
  <c r="C2147" i="1"/>
  <c r="C2148" i="1"/>
  <c r="C2149" i="1"/>
  <c r="C2150" i="1"/>
  <c r="C2151" i="1"/>
  <c r="C1410" i="1"/>
  <c r="C2874" i="1"/>
  <c r="C1306" i="1"/>
  <c r="C1412" i="1"/>
  <c r="C1415" i="1"/>
  <c r="C1581" i="1"/>
  <c r="C2189" i="1"/>
  <c r="C2190" i="1"/>
  <c r="C2191" i="1"/>
  <c r="C2192" i="1"/>
  <c r="C2193" i="1"/>
  <c r="C2196" i="1"/>
  <c r="C2197" i="1"/>
  <c r="C2198" i="1"/>
  <c r="C2199" i="1"/>
  <c r="C2200" i="1"/>
  <c r="C2201" i="1"/>
  <c r="C2202" i="1"/>
  <c r="C2203" i="1"/>
  <c r="C2204" i="1"/>
  <c r="C2205" i="1"/>
  <c r="C2529" i="1"/>
  <c r="C2530" i="1"/>
  <c r="C2531" i="1"/>
  <c r="C2532" i="1"/>
  <c r="C2533" i="1"/>
  <c r="C2524" i="1"/>
  <c r="C2526" i="1"/>
  <c r="C2527" i="1"/>
  <c r="C2818" i="1"/>
  <c r="C2823" i="1"/>
  <c r="C1404" i="1"/>
  <c r="C1405" i="1"/>
  <c r="C1406" i="1"/>
  <c r="C1407" i="1"/>
  <c r="C1696" i="1"/>
  <c r="C1697" i="1"/>
  <c r="C1516" i="1"/>
  <c r="C1517" i="1"/>
  <c r="C1518" i="1"/>
  <c r="C1519" i="1"/>
  <c r="C1349" i="1"/>
  <c r="C1352" i="1"/>
  <c r="C1353" i="1"/>
  <c r="C1401" i="1"/>
  <c r="C1543" i="1"/>
  <c r="C1429" i="1"/>
  <c r="C1456" i="1"/>
  <c r="C1457" i="1"/>
  <c r="C2608" i="1"/>
  <c r="C2609" i="1"/>
  <c r="C2610" i="1"/>
  <c r="C2611" i="1"/>
  <c r="C2612" i="1"/>
  <c r="C1498" i="1"/>
  <c r="C1499" i="1"/>
  <c r="C1347" i="1"/>
  <c r="C1348" i="1"/>
  <c r="C1439" i="1"/>
  <c r="C1567" i="1"/>
  <c r="C1945" i="1"/>
  <c r="C1946" i="1"/>
  <c r="C1950" i="1"/>
  <c r="C1951" i="1"/>
  <c r="C1952" i="1"/>
  <c r="C1953" i="1"/>
  <c r="C1954" i="1"/>
  <c r="C1955" i="1"/>
  <c r="C1956" i="1"/>
  <c r="C1422" i="1"/>
  <c r="C1358" i="1"/>
  <c r="C2093" i="1"/>
  <c r="C1477" i="1"/>
  <c r="C1478" i="1"/>
  <c r="C1479" i="1"/>
  <c r="C1566" i="1"/>
  <c r="U2502" i="1"/>
  <c r="A2502" i="1" s="1"/>
  <c r="U2511" i="1"/>
  <c r="A2511" i="1" s="1"/>
  <c r="U2547" i="1"/>
  <c r="A2547" i="1" s="1"/>
  <c r="U2548" i="1"/>
  <c r="A2548" i="1" s="1"/>
  <c r="U1395" i="1"/>
  <c r="A1395" i="1" s="1"/>
  <c r="U1396" i="1"/>
  <c r="A1396" i="1" s="1"/>
  <c r="U1399" i="1"/>
  <c r="A1399" i="1" s="1"/>
  <c r="U1400" i="1"/>
  <c r="A1400" i="1" s="1"/>
  <c r="U1389" i="1"/>
  <c r="A1389" i="1" s="1"/>
  <c r="U1579" i="1"/>
  <c r="A1579" i="1" s="1"/>
  <c r="U2098" i="1"/>
  <c r="A2098" i="1" s="1"/>
  <c r="U2295" i="1"/>
  <c r="A2295" i="1" s="1"/>
  <c r="U2296" i="1"/>
  <c r="A2296" i="1" s="1"/>
  <c r="U2300" i="1"/>
  <c r="A2300" i="1" s="1"/>
  <c r="U2301" i="1"/>
  <c r="A2301" i="1" s="1"/>
  <c r="U2302" i="1"/>
  <c r="A2302" i="1" s="1"/>
  <c r="U2303" i="1"/>
  <c r="A2303" i="1" s="1"/>
  <c r="U1297" i="1"/>
  <c r="A1297" i="1" s="1"/>
  <c r="U1324" i="1"/>
  <c r="A1324" i="1" s="1"/>
  <c r="U1542" i="1"/>
  <c r="A1542" i="1" s="1"/>
  <c r="U1539" i="1"/>
  <c r="A1539" i="1" s="1"/>
  <c r="U2272" i="1"/>
  <c r="A2272" i="1" s="1"/>
  <c r="U2495" i="1"/>
  <c r="A2495" i="1" s="1"/>
  <c r="U2718" i="1"/>
  <c r="A2718" i="1" s="1"/>
  <c r="U2719" i="1"/>
  <c r="A2719" i="1" s="1"/>
  <c r="U1613" i="1"/>
  <c r="A1613" i="1" s="1"/>
  <c r="U2521" i="1"/>
  <c r="A2521" i="1" s="1"/>
  <c r="U2801" i="1"/>
  <c r="A2801" i="1" s="1"/>
  <c r="U2802" i="1"/>
  <c r="A2802" i="1" s="1"/>
  <c r="U2171" i="1"/>
  <c r="A2171" i="1" s="1"/>
  <c r="U2178" i="1"/>
  <c r="A2178" i="1" s="1"/>
  <c r="U1608" i="1"/>
  <c r="A1608" i="1" s="1"/>
  <c r="U1609" i="1"/>
  <c r="A1609" i="1" s="1"/>
  <c r="U1610" i="1"/>
  <c r="A1610" i="1" s="1"/>
  <c r="U1611" i="1"/>
  <c r="A1611" i="1" s="1"/>
  <c r="U1612" i="1"/>
  <c r="A1612" i="1" s="1"/>
  <c r="U1614" i="1"/>
  <c r="A1614" i="1" s="1"/>
  <c r="U1615" i="1"/>
  <c r="A1615" i="1" s="1"/>
  <c r="U1616" i="1"/>
  <c r="A1616" i="1" s="1"/>
  <c r="U1617" i="1"/>
  <c r="A1617" i="1" s="1"/>
  <c r="U1654" i="1"/>
  <c r="A1654" i="1" s="1"/>
  <c r="U2219" i="1"/>
  <c r="A2219" i="1" s="1"/>
  <c r="U2361" i="1"/>
  <c r="A2361" i="1" s="1"/>
  <c r="U2362" i="1"/>
  <c r="A2362" i="1" s="1"/>
  <c r="U2363" i="1"/>
  <c r="A2363" i="1" s="1"/>
  <c r="U2364" i="1"/>
  <c r="A2364" i="1" s="1"/>
  <c r="U2647" i="1"/>
  <c r="A2647" i="1" s="1"/>
  <c r="U2720" i="1"/>
  <c r="A2720" i="1" s="1"/>
  <c r="U2721" i="1"/>
  <c r="A2721" i="1" s="1"/>
  <c r="U2722" i="1"/>
  <c r="A2722" i="1" s="1"/>
  <c r="U2723" i="1"/>
  <c r="A2723" i="1" s="1"/>
  <c r="U2725" i="1"/>
  <c r="A2725" i="1" s="1"/>
  <c r="U2726" i="1"/>
  <c r="A2726" i="1" s="1"/>
  <c r="U2727" i="1"/>
  <c r="A2727" i="1" s="1"/>
  <c r="U2728" i="1"/>
  <c r="A2728" i="1" s="1"/>
  <c r="U1485" i="1"/>
  <c r="A1485" i="1" s="1"/>
  <c r="U1490" i="1"/>
  <c r="A1490" i="1" s="1"/>
  <c r="U1376" i="1"/>
  <c r="A1376" i="1" s="1"/>
  <c r="U1377" i="1"/>
  <c r="A1377" i="1" s="1"/>
  <c r="U2175" i="1"/>
  <c r="A2175" i="1" s="1"/>
  <c r="U2305" i="1"/>
  <c r="A2305" i="1" s="1"/>
  <c r="U2306" i="1"/>
  <c r="A2306" i="1" s="1"/>
  <c r="U2307" i="1"/>
  <c r="A2307" i="1" s="1"/>
  <c r="U2308" i="1"/>
  <c r="A2308" i="1" s="1"/>
  <c r="U2309" i="1"/>
  <c r="A2309" i="1" s="1"/>
  <c r="U1502" i="1"/>
  <c r="A1502" i="1" s="1"/>
  <c r="U1503" i="1"/>
  <c r="A1503" i="1" s="1"/>
  <c r="U1504" i="1"/>
  <c r="A1504" i="1" s="1"/>
  <c r="U1379" i="1"/>
  <c r="A1379" i="1" s="1"/>
  <c r="U1380" i="1"/>
  <c r="A1380" i="1" s="1"/>
  <c r="U1295" i="1"/>
  <c r="A1295" i="1" s="1"/>
  <c r="U1331" i="1"/>
  <c r="A1331" i="1" s="1"/>
  <c r="U1320" i="1"/>
  <c r="A1320" i="1" s="1"/>
  <c r="U1321" i="1"/>
  <c r="A1321" i="1" s="1"/>
  <c r="U1322" i="1"/>
  <c r="A1322" i="1" s="1"/>
  <c r="U1323" i="1"/>
  <c r="A1323" i="1" s="1"/>
  <c r="U2310" i="1"/>
  <c r="A2310" i="1" s="1"/>
  <c r="U2311" i="1"/>
  <c r="A2311" i="1" s="1"/>
  <c r="U2313" i="1"/>
  <c r="A2313" i="1" s="1"/>
  <c r="U2314" i="1"/>
  <c r="A2314" i="1" s="1"/>
  <c r="U2315" i="1"/>
  <c r="A2315" i="1" s="1"/>
  <c r="U2316" i="1"/>
  <c r="A2316" i="1" s="1"/>
  <c r="U2317" i="1"/>
  <c r="A2317" i="1" s="1"/>
  <c r="U2358" i="1"/>
  <c r="A2358" i="1" s="1"/>
  <c r="U2360" i="1"/>
  <c r="A2360" i="1" s="1"/>
  <c r="U2759" i="1"/>
  <c r="A2759" i="1" s="1"/>
  <c r="U1449" i="1"/>
  <c r="A1449" i="1" s="1"/>
  <c r="U2714" i="1"/>
  <c r="A2714" i="1" s="1"/>
  <c r="U1560" i="1"/>
  <c r="A1560" i="1" s="1"/>
  <c r="U1594" i="1"/>
  <c r="A1594" i="1" s="1"/>
  <c r="U1775" i="1"/>
  <c r="A1775" i="1" s="1"/>
  <c r="U1782" i="1"/>
  <c r="A1782" i="1" s="1"/>
  <c r="U1783" i="1"/>
  <c r="A1783" i="1" s="1"/>
  <c r="U1784" i="1"/>
  <c r="A1784" i="1" s="1"/>
  <c r="U1785" i="1"/>
  <c r="A1785" i="1" s="1"/>
  <c r="U1786" i="1"/>
  <c r="A1786" i="1" s="1"/>
  <c r="U1787" i="1"/>
  <c r="A1787" i="1" s="1"/>
  <c r="U1788" i="1"/>
  <c r="A1788" i="1" s="1"/>
  <c r="U1789" i="1"/>
  <c r="A1789" i="1" s="1"/>
  <c r="U1791" i="1"/>
  <c r="A1791" i="1" s="1"/>
  <c r="U1792" i="1"/>
  <c r="A1792" i="1" s="1"/>
  <c r="U1790" i="1"/>
  <c r="A1790" i="1" s="1"/>
  <c r="U1793" i="1"/>
  <c r="A1793" i="1" s="1"/>
  <c r="U1795" i="1"/>
  <c r="A1795" i="1" s="1"/>
  <c r="U1796" i="1"/>
  <c r="A1796" i="1" s="1"/>
  <c r="U1797" i="1"/>
  <c r="A1797" i="1" s="1"/>
  <c r="U1798" i="1"/>
  <c r="A1798" i="1" s="1"/>
  <c r="U1799" i="1"/>
  <c r="A1799" i="1" s="1"/>
  <c r="U1800" i="1"/>
  <c r="A1800" i="1" s="1"/>
  <c r="U1801" i="1"/>
  <c r="A1801" i="1" s="1"/>
  <c r="U1802" i="1"/>
  <c r="A1802" i="1" s="1"/>
  <c r="U1803" i="1"/>
  <c r="A1803" i="1" s="1"/>
  <c r="U1804" i="1"/>
  <c r="A1804" i="1" s="1"/>
  <c r="U1805" i="1"/>
  <c r="A1805" i="1" s="1"/>
  <c r="U1806" i="1"/>
  <c r="A1806" i="1" s="1"/>
  <c r="U1807" i="1"/>
  <c r="A1807" i="1" s="1"/>
  <c r="U1808" i="1"/>
  <c r="A1808" i="1" s="1"/>
  <c r="U1809" i="1"/>
  <c r="A1809" i="1" s="1"/>
  <c r="U1810" i="1"/>
  <c r="A1810" i="1" s="1"/>
  <c r="U1811" i="1"/>
  <c r="A1811" i="1" s="1"/>
  <c r="U1812" i="1"/>
  <c r="A1812" i="1" s="1"/>
  <c r="U1794" i="1"/>
  <c r="A1794" i="1" s="1"/>
  <c r="U1907" i="1"/>
  <c r="A1907" i="1" s="1"/>
  <c r="U1948" i="1"/>
  <c r="A1948" i="1" s="1"/>
  <c r="U2433" i="1"/>
  <c r="A2433" i="1" s="1"/>
  <c r="U2522" i="1"/>
  <c r="A2522" i="1" s="1"/>
  <c r="U2830" i="1"/>
  <c r="A2830" i="1" s="1"/>
  <c r="U2832" i="1"/>
  <c r="A2832" i="1" s="1"/>
  <c r="U2833" i="1"/>
  <c r="A2833" i="1" s="1"/>
  <c r="U2834" i="1"/>
  <c r="A2834" i="1" s="1"/>
  <c r="U2835" i="1"/>
  <c r="A2835" i="1" s="1"/>
  <c r="U2836" i="1"/>
  <c r="A2836" i="1" s="1"/>
  <c r="U2837" i="1"/>
  <c r="A2837" i="1" s="1"/>
  <c r="U1445" i="1"/>
  <c r="A1445" i="1" s="1"/>
  <c r="U2240" i="1"/>
  <c r="A2240" i="1" s="1"/>
  <c r="U2241" i="1"/>
  <c r="A2241" i="1" s="1"/>
  <c r="U2242" i="1"/>
  <c r="A2242" i="1" s="1"/>
  <c r="U2243" i="1"/>
  <c r="A2243" i="1" s="1"/>
  <c r="U2245" i="1"/>
  <c r="A2245" i="1" s="1"/>
  <c r="U2246" i="1"/>
  <c r="A2246" i="1" s="1"/>
  <c r="U2247" i="1"/>
  <c r="A2247" i="1" s="1"/>
  <c r="U2248" i="1"/>
  <c r="A2248" i="1" s="1"/>
  <c r="U2249" i="1"/>
  <c r="A2249" i="1" s="1"/>
  <c r="U2629" i="1"/>
  <c r="A2629" i="1" s="1"/>
  <c r="U2630" i="1"/>
  <c r="A2630" i="1" s="1"/>
  <c r="U2631" i="1"/>
  <c r="A2631" i="1" s="1"/>
  <c r="U2632" i="1"/>
  <c r="A2632" i="1" s="1"/>
  <c r="U2633" i="1"/>
  <c r="A2633" i="1" s="1"/>
  <c r="U2634" i="1"/>
  <c r="A2634" i="1" s="1"/>
  <c r="U2635" i="1"/>
  <c r="A2635" i="1" s="1"/>
  <c r="U2636" i="1"/>
  <c r="A2636" i="1" s="1"/>
  <c r="U2637" i="1"/>
  <c r="A2637" i="1" s="1"/>
  <c r="U2638" i="1"/>
  <c r="A2638" i="1" s="1"/>
  <c r="U2639" i="1"/>
  <c r="A2639" i="1" s="1"/>
  <c r="U2640" i="1"/>
  <c r="A2640" i="1" s="1"/>
  <c r="U2641" i="1"/>
  <c r="A2641" i="1" s="1"/>
  <c r="U2642" i="1"/>
  <c r="A2642" i="1" s="1"/>
  <c r="U2643" i="1"/>
  <c r="A2643" i="1" s="1"/>
  <c r="U2644" i="1"/>
  <c r="A2644" i="1" s="1"/>
  <c r="U2645" i="1"/>
  <c r="A2645" i="1" s="1"/>
  <c r="U2312" i="1"/>
  <c r="A2312" i="1" s="1"/>
  <c r="U2447" i="1"/>
  <c r="A2447" i="1" s="1"/>
  <c r="U2448" i="1"/>
  <c r="A2448" i="1" s="1"/>
  <c r="U2449" i="1"/>
  <c r="A2449" i="1" s="1"/>
  <c r="U2450" i="1"/>
  <c r="A2450" i="1" s="1"/>
  <c r="U1572" i="1"/>
  <c r="A1572" i="1" s="1"/>
  <c r="U1662" i="1"/>
  <c r="A1662" i="1" s="1"/>
  <c r="U1704" i="1"/>
  <c r="A1704" i="1" s="1"/>
  <c r="U1743" i="1"/>
  <c r="A1743" i="1" s="1"/>
  <c r="U1745" i="1"/>
  <c r="A1745" i="1" s="1"/>
  <c r="U1746" i="1"/>
  <c r="A1746" i="1" s="1"/>
  <c r="U1747" i="1"/>
  <c r="A1747" i="1" s="1"/>
  <c r="U1748" i="1"/>
  <c r="A1748" i="1" s="1"/>
  <c r="U1749" i="1"/>
  <c r="A1749" i="1" s="1"/>
  <c r="U1750" i="1"/>
  <c r="A1750" i="1" s="1"/>
  <c r="U1751" i="1"/>
  <c r="A1751" i="1" s="1"/>
  <c r="U1753" i="1"/>
  <c r="A1753" i="1" s="1"/>
  <c r="U1754" i="1"/>
  <c r="A1754" i="1" s="1"/>
  <c r="U1756" i="1"/>
  <c r="A1756" i="1" s="1"/>
  <c r="U1758" i="1"/>
  <c r="A1758" i="1" s="1"/>
  <c r="U1759" i="1"/>
  <c r="A1759" i="1" s="1"/>
  <c r="U1761" i="1"/>
  <c r="A1761" i="1" s="1"/>
  <c r="U1763" i="1"/>
  <c r="A1763" i="1" s="1"/>
  <c r="U1765" i="1"/>
  <c r="A1765" i="1" s="1"/>
  <c r="U1767" i="1"/>
  <c r="A1767" i="1" s="1"/>
  <c r="U1769" i="1"/>
  <c r="A1769" i="1" s="1"/>
  <c r="U1771" i="1"/>
  <c r="A1771" i="1" s="1"/>
  <c r="U1916" i="1"/>
  <c r="A1916" i="1" s="1"/>
  <c r="U2099" i="1"/>
  <c r="A2099" i="1" s="1"/>
  <c r="U2254" i="1"/>
  <c r="A2254" i="1" s="1"/>
  <c r="U2268" i="1"/>
  <c r="A2268" i="1" s="1"/>
  <c r="U2269" i="1"/>
  <c r="A2269" i="1" s="1"/>
  <c r="U2270" i="1"/>
  <c r="A2270" i="1" s="1"/>
  <c r="U2866" i="1"/>
  <c r="A2866" i="1" s="1"/>
  <c r="U2867" i="1"/>
  <c r="A2867" i="1" s="1"/>
  <c r="U2868" i="1"/>
  <c r="A2868" i="1" s="1"/>
  <c r="U1408" i="1"/>
  <c r="A1408" i="1" s="1"/>
  <c r="U1409" i="1"/>
  <c r="A1409" i="1" s="1"/>
  <c r="U1431" i="1"/>
  <c r="A1431" i="1" s="1"/>
  <c r="U1432" i="1"/>
  <c r="A1432" i="1" s="1"/>
  <c r="U2628" i="1"/>
  <c r="A2628" i="1" s="1"/>
  <c r="U1367" i="1"/>
  <c r="A1367" i="1" s="1"/>
  <c r="U1368" i="1"/>
  <c r="A1368" i="1" s="1"/>
  <c r="U1536" i="1"/>
  <c r="A1536" i="1" s="1"/>
  <c r="U2216" i="1"/>
  <c r="A2216" i="1" s="1"/>
  <c r="U2552" i="1"/>
  <c r="A2552" i="1" s="1"/>
  <c r="U2653" i="1"/>
  <c r="A2653" i="1" s="1"/>
  <c r="U2654" i="1"/>
  <c r="A2654" i="1" s="1"/>
  <c r="U2655" i="1"/>
  <c r="A2655" i="1" s="1"/>
  <c r="U2656" i="1"/>
  <c r="A2656" i="1" s="1"/>
  <c r="U2657" i="1"/>
  <c r="A2657" i="1" s="1"/>
  <c r="U2670" i="1"/>
  <c r="A2670" i="1" s="1"/>
  <c r="U2672" i="1"/>
  <c r="A2672" i="1" s="1"/>
  <c r="U1484" i="1"/>
  <c r="A1484" i="1" s="1"/>
  <c r="U2671" i="1"/>
  <c r="A2671" i="1" s="1"/>
  <c r="U1532" i="1"/>
  <c r="A1532" i="1" s="1"/>
  <c r="U1971" i="1"/>
  <c r="A1971" i="1" s="1"/>
  <c r="U1972" i="1"/>
  <c r="A1972" i="1" s="1"/>
  <c r="U1973" i="1"/>
  <c r="A1973" i="1" s="1"/>
  <c r="U1975" i="1"/>
  <c r="A1975" i="1" s="1"/>
  <c r="U1997" i="1"/>
  <c r="A1997" i="1" s="1"/>
  <c r="U2008" i="1"/>
  <c r="A2008" i="1" s="1"/>
  <c r="U2604" i="1"/>
  <c r="A2604" i="1" s="1"/>
  <c r="U2606" i="1"/>
  <c r="A2606" i="1" s="1"/>
  <c r="U2607" i="1"/>
  <c r="A2607" i="1" s="1"/>
  <c r="U1338" i="1"/>
  <c r="A1338" i="1" s="1"/>
  <c r="U1556" i="1"/>
  <c r="A1556" i="1" s="1"/>
  <c r="U2428" i="1"/>
  <c r="A2428" i="1" s="1"/>
  <c r="U2429" i="1"/>
  <c r="A2429" i="1" s="1"/>
  <c r="U2432" i="1"/>
  <c r="A2432" i="1" s="1"/>
  <c r="U2434" i="1"/>
  <c r="A2434" i="1" s="1"/>
  <c r="U2444" i="1"/>
  <c r="A2444" i="1" s="1"/>
  <c r="U2597" i="1"/>
  <c r="A2597" i="1" s="1"/>
  <c r="U2598" i="1"/>
  <c r="A2598" i="1" s="1"/>
  <c r="U2599" i="1"/>
  <c r="A2599" i="1" s="1"/>
  <c r="U2600" i="1"/>
  <c r="A2600" i="1" s="1"/>
  <c r="U2601" i="1"/>
  <c r="A2601" i="1" s="1"/>
  <c r="U2602" i="1"/>
  <c r="A2602" i="1" s="1"/>
  <c r="U1330" i="1"/>
  <c r="A1330" i="1" s="1"/>
  <c r="U1486" i="1"/>
  <c r="A1486" i="1" s="1"/>
  <c r="U1489" i="1"/>
  <c r="A1489" i="1" s="1"/>
  <c r="U1558" i="1"/>
  <c r="A1558" i="1" s="1"/>
  <c r="U2417" i="1"/>
  <c r="A2417" i="1" s="1"/>
  <c r="U2418" i="1"/>
  <c r="A2418" i="1" s="1"/>
  <c r="U2424" i="1"/>
  <c r="A2424" i="1" s="1"/>
  <c r="U2425" i="1"/>
  <c r="A2425" i="1" s="1"/>
  <c r="U2464" i="1"/>
  <c r="A2464" i="1" s="1"/>
  <c r="U2473" i="1"/>
  <c r="A2473" i="1" s="1"/>
  <c r="U2474" i="1"/>
  <c r="A2474" i="1" s="1"/>
  <c r="U2475" i="1"/>
  <c r="A2475" i="1" s="1"/>
  <c r="U2477" i="1"/>
  <c r="A2477" i="1" s="1"/>
  <c r="U1469" i="1"/>
  <c r="A1469" i="1" s="1"/>
  <c r="U1470" i="1"/>
  <c r="A1470" i="1" s="1"/>
  <c r="U1707" i="1"/>
  <c r="A1707" i="1" s="1"/>
  <c r="U1708" i="1"/>
  <c r="A1708" i="1" s="1"/>
  <c r="U1709" i="1"/>
  <c r="A1709" i="1" s="1"/>
  <c r="U1710" i="1"/>
  <c r="A1710" i="1" s="1"/>
  <c r="U1711" i="1"/>
  <c r="A1711" i="1" s="1"/>
  <c r="U1713" i="1"/>
  <c r="A1713" i="1" s="1"/>
  <c r="U1714" i="1"/>
  <c r="A1714" i="1" s="1"/>
  <c r="U1715" i="1"/>
  <c r="A1715" i="1" s="1"/>
  <c r="U1716" i="1"/>
  <c r="A1716" i="1" s="1"/>
  <c r="U1720" i="1"/>
  <c r="A1720" i="1" s="1"/>
  <c r="U2039" i="1"/>
  <c r="A2039" i="1" s="1"/>
  <c r="U2046" i="1"/>
  <c r="A2046" i="1" s="1"/>
  <c r="U2050" i="1"/>
  <c r="A2050" i="1" s="1"/>
  <c r="U2036" i="1"/>
  <c r="A2036" i="1" s="1"/>
  <c r="U2041" i="1"/>
  <c r="A2041" i="1" s="1"/>
  <c r="U2042" i="1"/>
  <c r="A2042" i="1" s="1"/>
  <c r="U2043" i="1"/>
  <c r="A2043" i="1" s="1"/>
  <c r="U2044" i="1"/>
  <c r="A2044" i="1" s="1"/>
  <c r="U2048" i="1"/>
  <c r="A2048" i="1" s="1"/>
  <c r="U2081" i="1"/>
  <c r="A2081" i="1" s="1"/>
  <c r="U1928" i="1"/>
  <c r="A1928" i="1" s="1"/>
  <c r="U1930" i="1"/>
  <c r="A1930" i="1" s="1"/>
  <c r="U1932" i="1"/>
  <c r="A1932" i="1" s="1"/>
  <c r="U1933" i="1"/>
  <c r="A1933" i="1" s="1"/>
  <c r="U1934" i="1"/>
  <c r="A1934" i="1" s="1"/>
  <c r="U1935" i="1"/>
  <c r="A1935" i="1" s="1"/>
  <c r="U1936" i="1"/>
  <c r="A1936" i="1" s="1"/>
  <c r="U1937" i="1"/>
  <c r="A1937" i="1" s="1"/>
  <c r="U1943" i="1"/>
  <c r="A1943" i="1" s="1"/>
  <c r="U1944" i="1"/>
  <c r="A1944" i="1" s="1"/>
  <c r="U1428" i="1"/>
  <c r="A1428" i="1" s="1"/>
  <c r="U1546" i="1"/>
  <c r="A1546" i="1" s="1"/>
  <c r="U2620" i="1"/>
  <c r="A2620" i="1" s="1"/>
  <c r="U2624" i="1"/>
  <c r="A2624" i="1" s="1"/>
  <c r="U2512" i="1"/>
  <c r="A2512" i="1" s="1"/>
  <c r="U2513" i="1"/>
  <c r="A2513" i="1" s="1"/>
  <c r="U2514" i="1"/>
  <c r="A2514" i="1" s="1"/>
  <c r="U2515" i="1"/>
  <c r="A2515" i="1" s="1"/>
  <c r="U2244" i="1"/>
  <c r="A2244" i="1" s="1"/>
  <c r="U2250" i="1"/>
  <c r="A2250" i="1" s="1"/>
  <c r="U2251" i="1"/>
  <c r="A2251" i="1" s="1"/>
  <c r="U2276" i="1"/>
  <c r="A2276" i="1" s="1"/>
  <c r="U2280" i="1"/>
  <c r="A2280" i="1" s="1"/>
  <c r="U2281" i="1"/>
  <c r="A2281" i="1" s="1"/>
  <c r="U2282" i="1"/>
  <c r="A2282" i="1" s="1"/>
  <c r="U2283" i="1"/>
  <c r="A2283" i="1" s="1"/>
  <c r="U2284" i="1"/>
  <c r="A2284" i="1" s="1"/>
  <c r="U2285" i="1"/>
  <c r="A2285" i="1" s="1"/>
  <c r="U2286" i="1"/>
  <c r="A2286" i="1" s="1"/>
  <c r="U2287" i="1"/>
  <c r="A2287" i="1" s="1"/>
  <c r="U2288" i="1"/>
  <c r="A2288" i="1" s="1"/>
  <c r="U2289" i="1"/>
  <c r="A2289" i="1" s="1"/>
  <c r="U2290" i="1"/>
  <c r="A2290" i="1" s="1"/>
  <c r="U2291" i="1"/>
  <c r="A2291" i="1" s="1"/>
  <c r="U2292" i="1"/>
  <c r="A2292" i="1" s="1"/>
  <c r="U2293" i="1"/>
  <c r="A2293" i="1" s="1"/>
  <c r="U1381" i="1"/>
  <c r="A1381" i="1" s="1"/>
  <c r="U1382" i="1"/>
  <c r="A1382" i="1" s="1"/>
  <c r="U1383" i="1"/>
  <c r="A1383" i="1" s="1"/>
  <c r="U1384" i="1"/>
  <c r="A1384" i="1" s="1"/>
  <c r="U1337" i="1"/>
  <c r="A1337" i="1" s="1"/>
  <c r="U2492" i="1"/>
  <c r="A2492" i="1" s="1"/>
  <c r="U2494" i="1"/>
  <c r="A2494" i="1" s="1"/>
  <c r="U2497" i="1"/>
  <c r="A2497" i="1" s="1"/>
  <c r="U2498" i="1"/>
  <c r="A2498" i="1" s="1"/>
  <c r="U2499" i="1"/>
  <c r="A2499" i="1" s="1"/>
  <c r="U2501" i="1"/>
  <c r="A2501" i="1" s="1"/>
  <c r="U1618" i="1"/>
  <c r="A1618" i="1" s="1"/>
  <c r="U1620" i="1"/>
  <c r="A1620" i="1" s="1"/>
  <c r="U1621" i="1"/>
  <c r="A1621" i="1" s="1"/>
  <c r="U1622" i="1"/>
  <c r="A1622" i="1" s="1"/>
  <c r="U1623" i="1"/>
  <c r="A1623" i="1" s="1"/>
  <c r="U1624" i="1"/>
  <c r="A1624" i="1" s="1"/>
  <c r="U1625" i="1"/>
  <c r="A1625" i="1" s="1"/>
  <c r="U1626" i="1"/>
  <c r="A1626" i="1" s="1"/>
  <c r="U1627" i="1"/>
  <c r="A1627" i="1" s="1"/>
  <c r="U1628" i="1"/>
  <c r="A1628" i="1" s="1"/>
  <c r="U1629" i="1"/>
  <c r="A1629" i="1" s="1"/>
  <c r="U1670" i="1"/>
  <c r="A1670" i="1" s="1"/>
  <c r="U1471" i="1"/>
  <c r="A1471" i="1" s="1"/>
  <c r="U1582" i="1"/>
  <c r="A1582" i="1" s="1"/>
  <c r="U1680" i="1"/>
  <c r="A1680" i="1" s="1"/>
  <c r="U1682" i="1"/>
  <c r="A1682" i="1" s="1"/>
  <c r="U1683" i="1"/>
  <c r="A1683" i="1" s="1"/>
  <c r="U1685" i="1"/>
  <c r="A1685" i="1" s="1"/>
  <c r="U1686" i="1"/>
  <c r="A1686" i="1" s="1"/>
  <c r="U1687" i="1"/>
  <c r="A1687" i="1" s="1"/>
  <c r="U1688" i="1"/>
  <c r="A1688" i="1" s="1"/>
  <c r="U1689" i="1"/>
  <c r="A1689" i="1" s="1"/>
  <c r="U1690" i="1"/>
  <c r="A1690" i="1" s="1"/>
  <c r="U1695" i="1"/>
  <c r="A1695" i="1" s="1"/>
  <c r="U1465" i="1"/>
  <c r="A1465" i="1" s="1"/>
  <c r="U1466" i="1"/>
  <c r="A1466" i="1" s="1"/>
  <c r="U1468" i="1"/>
  <c r="A1468" i="1" s="1"/>
  <c r="U1778" i="1"/>
  <c r="A1778" i="1" s="1"/>
  <c r="U1779" i="1"/>
  <c r="A1779" i="1" s="1"/>
  <c r="U1780" i="1"/>
  <c r="A1780" i="1" s="1"/>
  <c r="U1781" i="1"/>
  <c r="A1781" i="1" s="1"/>
  <c r="U1814" i="1"/>
  <c r="A1814" i="1" s="1"/>
  <c r="U1823" i="1"/>
  <c r="A1823" i="1" s="1"/>
  <c r="U1824" i="1"/>
  <c r="A1824" i="1" s="1"/>
  <c r="U1825" i="1"/>
  <c r="A1825" i="1" s="1"/>
  <c r="U1826" i="1"/>
  <c r="A1826" i="1" s="1"/>
  <c r="U1827" i="1"/>
  <c r="A1827" i="1" s="1"/>
  <c r="U1828" i="1"/>
  <c r="A1828" i="1" s="1"/>
  <c r="U1829" i="1"/>
  <c r="A1829" i="1" s="1"/>
  <c r="U2845" i="1"/>
  <c r="A2845" i="1" s="1"/>
  <c r="U2846" i="1"/>
  <c r="A2846" i="1" s="1"/>
  <c r="U2117" i="1"/>
  <c r="A2117" i="1" s="1"/>
  <c r="U1844" i="1"/>
  <c r="A1844" i="1" s="1"/>
  <c r="U1845" i="1"/>
  <c r="A1845" i="1" s="1"/>
  <c r="U1819" i="1"/>
  <c r="A1819" i="1" s="1"/>
  <c r="U1820" i="1"/>
  <c r="A1820" i="1" s="1"/>
  <c r="U1821" i="1"/>
  <c r="A1821" i="1" s="1"/>
  <c r="U1822" i="1"/>
  <c r="A1822" i="1" s="1"/>
  <c r="U1841" i="1"/>
  <c r="A1841" i="1" s="1"/>
  <c r="U1843" i="1"/>
  <c r="A1843" i="1" s="1"/>
  <c r="U1846" i="1"/>
  <c r="A1846" i="1" s="1"/>
  <c r="U1847" i="1"/>
  <c r="A1847" i="1" s="1"/>
  <c r="U1848" i="1"/>
  <c r="A1848" i="1" s="1"/>
  <c r="U1849" i="1"/>
  <c r="A1849" i="1" s="1"/>
  <c r="U1850" i="1"/>
  <c r="A1850" i="1" s="1"/>
  <c r="U1851" i="1"/>
  <c r="A1851" i="1" s="1"/>
  <c r="U1915" i="1"/>
  <c r="A1915" i="1" s="1"/>
  <c r="U2104" i="1"/>
  <c r="A2104" i="1" s="1"/>
  <c r="U1813" i="1"/>
  <c r="A1813" i="1" s="1"/>
  <c r="U1815" i="1"/>
  <c r="A1815" i="1" s="1"/>
  <c r="U1818" i="1"/>
  <c r="A1818" i="1" s="1"/>
  <c r="U2849" i="1"/>
  <c r="A2849" i="1" s="1"/>
  <c r="U2851" i="1"/>
  <c r="A2851" i="1" s="1"/>
  <c r="U2852" i="1"/>
  <c r="A2852" i="1" s="1"/>
  <c r="U2853" i="1"/>
  <c r="A2853" i="1" s="1"/>
  <c r="U2854" i="1"/>
  <c r="A2854" i="1" s="1"/>
  <c r="U2855" i="1"/>
  <c r="A2855" i="1" s="1"/>
  <c r="U2856" i="1"/>
  <c r="A2856" i="1" s="1"/>
  <c r="U2857" i="1"/>
  <c r="A2857" i="1" s="1"/>
  <c r="U2858" i="1"/>
  <c r="A2858" i="1" s="1"/>
  <c r="U2859" i="1"/>
  <c r="A2859" i="1" s="1"/>
  <c r="U2860" i="1"/>
  <c r="A2860" i="1" s="1"/>
  <c r="U2861" i="1"/>
  <c r="A2861" i="1" s="1"/>
  <c r="U2862" i="1"/>
  <c r="A2862" i="1" s="1"/>
  <c r="U2863" i="1"/>
  <c r="A2863" i="1" s="1"/>
  <c r="U2864" i="1"/>
  <c r="A2864" i="1" s="1"/>
  <c r="U2865" i="1"/>
  <c r="A2865" i="1" s="1"/>
  <c r="U1350" i="1"/>
  <c r="A1350" i="1" s="1"/>
  <c r="U1351" i="1"/>
  <c r="A1351" i="1" s="1"/>
  <c r="U1354" i="1"/>
  <c r="A1354" i="1" s="1"/>
  <c r="U1355" i="1"/>
  <c r="A1355" i="1" s="1"/>
  <c r="U1356" i="1"/>
  <c r="A1356" i="1" s="1"/>
  <c r="U1357" i="1"/>
  <c r="A1357" i="1" s="1"/>
  <c r="U2419" i="1"/>
  <c r="A2419" i="1" s="1"/>
  <c r="U2422" i="1"/>
  <c r="A2422" i="1" s="1"/>
  <c r="U2423" i="1"/>
  <c r="A2423" i="1" s="1"/>
  <c r="U1577" i="1"/>
  <c r="A1577" i="1" s="1"/>
  <c r="U2159" i="1"/>
  <c r="A2159" i="1" s="1"/>
  <c r="U2227" i="1"/>
  <c r="A2227" i="1" s="1"/>
  <c r="U2228" i="1"/>
  <c r="A2228" i="1" s="1"/>
  <c r="U2229" i="1"/>
  <c r="A2229" i="1" s="1"/>
  <c r="U2230" i="1"/>
  <c r="A2230" i="1" s="1"/>
  <c r="U2231" i="1"/>
  <c r="A2231" i="1" s="1"/>
  <c r="U2232" i="1"/>
  <c r="A2232" i="1" s="1"/>
  <c r="U2233" i="1"/>
  <c r="A2233" i="1" s="1"/>
  <c r="U1332" i="1"/>
  <c r="A1332" i="1" s="1"/>
  <c r="U1333" i="1"/>
  <c r="A1333" i="1" s="1"/>
  <c r="U1341" i="1"/>
  <c r="A1341" i="1" s="1"/>
  <c r="U1524" i="1"/>
  <c r="A1524" i="1" s="1"/>
  <c r="U1500" i="1"/>
  <c r="A1500" i="1" s="1"/>
  <c r="U1501" i="1"/>
  <c r="A1501" i="1" s="1"/>
  <c r="U1521" i="1"/>
  <c r="A1521" i="1" s="1"/>
  <c r="U1522" i="1"/>
  <c r="A1522" i="1" s="1"/>
  <c r="U1863" i="1"/>
  <c r="A1863" i="1" s="1"/>
  <c r="U2520" i="1"/>
  <c r="A2520" i="1" s="1"/>
  <c r="U1533" i="1"/>
  <c r="A1533" i="1" s="1"/>
  <c r="U1525" i="1"/>
  <c r="A1525" i="1" s="1"/>
  <c r="U1642" i="1"/>
  <c r="A1642" i="1" s="1"/>
  <c r="U1643" i="1"/>
  <c r="A1643" i="1" s="1"/>
  <c r="U1644" i="1"/>
  <c r="A1644" i="1" s="1"/>
  <c r="U1645" i="1"/>
  <c r="A1645" i="1" s="1"/>
  <c r="U1646" i="1"/>
  <c r="A1646" i="1" s="1"/>
  <c r="U1647" i="1"/>
  <c r="A1647" i="1" s="1"/>
  <c r="U1648" i="1"/>
  <c r="A1648" i="1" s="1"/>
  <c r="U1649" i="1"/>
  <c r="A1649" i="1" s="1"/>
  <c r="U1650" i="1"/>
  <c r="A1650" i="1" s="1"/>
  <c r="U1694" i="1"/>
  <c r="A1694" i="1" s="1"/>
  <c r="U1388" i="1"/>
  <c r="A1388" i="1" s="1"/>
  <c r="U1520" i="1"/>
  <c r="A1520" i="1" s="1"/>
  <c r="U2100" i="1"/>
  <c r="A2100" i="1" s="1"/>
  <c r="U2177" i="1"/>
  <c r="A2177" i="1" s="1"/>
  <c r="U2182" i="1"/>
  <c r="A2182" i="1" s="1"/>
  <c r="U2186" i="1"/>
  <c r="A2186" i="1" s="1"/>
  <c r="U2187" i="1"/>
  <c r="A2187" i="1" s="1"/>
  <c r="U2188" i="1"/>
  <c r="A2188" i="1" s="1"/>
  <c r="U2737" i="1"/>
  <c r="A2737" i="1" s="1"/>
  <c r="U2742" i="1"/>
  <c r="A2742" i="1" s="1"/>
  <c r="U2732" i="1"/>
  <c r="A2732" i="1" s="1"/>
  <c r="U2733" i="1"/>
  <c r="A2733" i="1" s="1"/>
  <c r="U2734" i="1"/>
  <c r="A2734" i="1" s="1"/>
  <c r="U2744" i="1"/>
  <c r="A2744" i="1" s="1"/>
  <c r="U1526" i="1"/>
  <c r="A1526" i="1" s="1"/>
  <c r="U1529" i="1"/>
  <c r="A1529" i="1" s="1"/>
  <c r="U2551" i="1"/>
  <c r="A2551" i="1" s="1"/>
  <c r="U2101" i="1"/>
  <c r="A2101" i="1" s="1"/>
  <c r="U2102" i="1"/>
  <c r="A2102" i="1" s="1"/>
  <c r="U2103" i="1"/>
  <c r="A2103" i="1" s="1"/>
  <c r="U2105" i="1"/>
  <c r="A2105" i="1" s="1"/>
  <c r="U2106" i="1"/>
  <c r="A2106" i="1" s="1"/>
  <c r="U1411" i="1"/>
  <c r="A1411" i="1" s="1"/>
  <c r="U2140" i="1"/>
  <c r="A2140" i="1" s="1"/>
  <c r="U2575" i="1"/>
  <c r="A2575" i="1" s="1"/>
  <c r="U2576" i="1"/>
  <c r="A2576" i="1" s="1"/>
  <c r="U2577" i="1"/>
  <c r="A2577" i="1" s="1"/>
  <c r="U2578" i="1"/>
  <c r="A2578" i="1" s="1"/>
  <c r="U2579" i="1"/>
  <c r="A2579" i="1" s="1"/>
  <c r="U2580" i="1"/>
  <c r="A2580" i="1" s="1"/>
  <c r="U2581" i="1"/>
  <c r="A2581" i="1" s="1"/>
  <c r="U2582" i="1"/>
  <c r="A2582" i="1" s="1"/>
  <c r="U2583" i="1"/>
  <c r="A2583" i="1" s="1"/>
  <c r="U1530" i="1"/>
  <c r="A1530" i="1" s="1"/>
  <c r="U2679" i="1"/>
  <c r="A2679" i="1" s="1"/>
  <c r="U2680" i="1"/>
  <c r="A2680" i="1" s="1"/>
  <c r="U2681" i="1"/>
  <c r="A2681" i="1" s="1"/>
  <c r="U2682" i="1"/>
  <c r="A2682" i="1" s="1"/>
  <c r="U2683" i="1"/>
  <c r="A2683" i="1" s="1"/>
  <c r="U2684" i="1"/>
  <c r="A2684" i="1" s="1"/>
  <c r="U1908" i="1"/>
  <c r="A1908" i="1" s="1"/>
  <c r="U1909" i="1"/>
  <c r="A1909" i="1" s="1"/>
  <c r="U1910" i="1"/>
  <c r="A1910" i="1" s="1"/>
  <c r="U1911" i="1"/>
  <c r="A1911" i="1" s="1"/>
  <c r="U1912" i="1"/>
  <c r="U1913" i="1"/>
  <c r="U1914" i="1"/>
  <c r="A1914" i="1" s="1"/>
  <c r="U1918" i="1"/>
  <c r="A1918" i="1" s="1"/>
  <c r="U2023" i="1"/>
  <c r="A2023" i="1" s="1"/>
  <c r="U2053" i="1"/>
  <c r="A2053" i="1" s="1"/>
  <c r="U2054" i="1"/>
  <c r="A2054" i="1" s="1"/>
  <c r="U2056" i="1"/>
  <c r="A2056" i="1" s="1"/>
  <c r="U2057" i="1"/>
  <c r="A2057" i="1" s="1"/>
  <c r="U2058" i="1"/>
  <c r="A2058" i="1" s="1"/>
  <c r="U2059" i="1"/>
  <c r="A2059" i="1" s="1"/>
  <c r="U2060" i="1"/>
  <c r="A2060" i="1" s="1"/>
  <c r="U2061" i="1"/>
  <c r="A2061" i="1" s="1"/>
  <c r="U2062" i="1"/>
  <c r="A2062" i="1" s="1"/>
  <c r="U2063" i="1"/>
  <c r="A2063" i="1" s="1"/>
  <c r="U2066" i="1"/>
  <c r="A2066" i="1" s="1"/>
  <c r="U2067" i="1"/>
  <c r="A2067" i="1" s="1"/>
  <c r="U2068" i="1"/>
  <c r="A2068" i="1" s="1"/>
  <c r="U2069" i="1"/>
  <c r="A2069" i="1" s="1"/>
  <c r="U2070" i="1"/>
  <c r="A2070" i="1" s="1"/>
  <c r="U2071" i="1"/>
  <c r="A2071" i="1" s="1"/>
  <c r="U2072" i="1"/>
  <c r="A2072" i="1" s="1"/>
  <c r="U2073" i="1"/>
  <c r="U2074" i="1"/>
  <c r="A2074" i="1" s="1"/>
  <c r="U1554" i="1"/>
  <c r="A1554" i="1" s="1"/>
  <c r="U2561" i="1"/>
  <c r="A2561" i="1" s="1"/>
  <c r="U2756" i="1"/>
  <c r="A2756" i="1" s="1"/>
  <c r="U2764" i="1"/>
  <c r="A2764" i="1" s="1"/>
  <c r="U2765" i="1"/>
  <c r="A2765" i="1" s="1"/>
  <c r="U2766" i="1"/>
  <c r="A2766" i="1" s="1"/>
  <c r="U2123" i="1"/>
  <c r="A2123" i="1" s="1"/>
  <c r="U2125" i="1"/>
  <c r="A2125" i="1" s="1"/>
  <c r="U2126" i="1"/>
  <c r="A2126" i="1" s="1"/>
  <c r="U2127" i="1"/>
  <c r="A2127" i="1" s="1"/>
  <c r="U2128" i="1"/>
  <c r="A2128" i="1" s="1"/>
  <c r="U2129" i="1"/>
  <c r="A2129" i="1" s="1"/>
  <c r="U2130" i="1"/>
  <c r="A2130" i="1" s="1"/>
  <c r="U2131" i="1"/>
  <c r="A2131" i="1" s="1"/>
  <c r="U2215" i="1"/>
  <c r="A2215" i="1" s="1"/>
  <c r="U2652" i="1"/>
  <c r="A2652" i="1" s="1"/>
  <c r="U2665" i="1"/>
  <c r="A2665" i="1" s="1"/>
  <c r="U2666" i="1"/>
  <c r="A2666" i="1" s="1"/>
  <c r="U2667" i="1"/>
  <c r="A2667" i="1" s="1"/>
  <c r="U2668" i="1"/>
  <c r="A2668" i="1" s="1"/>
  <c r="U2669" i="1"/>
  <c r="A2669" i="1" s="1"/>
  <c r="U1573" i="1"/>
  <c r="A1573" i="1" s="1"/>
  <c r="U2094" i="1"/>
  <c r="A2094" i="1" s="1"/>
  <c r="U2111" i="1"/>
  <c r="A2111" i="1" s="1"/>
  <c r="U2112" i="1"/>
  <c r="A2112" i="1" s="1"/>
  <c r="U2113" i="1"/>
  <c r="A2113" i="1" s="1"/>
  <c r="U2114" i="1"/>
  <c r="A2114" i="1" s="1"/>
  <c r="U2115" i="1"/>
  <c r="A2115" i="1" s="1"/>
  <c r="U2274" i="1"/>
  <c r="A2274" i="1" s="1"/>
  <c r="U1596" i="1"/>
  <c r="A1596" i="1" s="1"/>
  <c r="U1600" i="1"/>
  <c r="A1600" i="1" s="1"/>
  <c r="U1601" i="1"/>
  <c r="A1601" i="1" s="1"/>
  <c r="U1602" i="1"/>
  <c r="A1602" i="1" s="1"/>
  <c r="U1604" i="1"/>
  <c r="A1604" i="1" s="1"/>
  <c r="U1568" i="1"/>
  <c r="A1568" i="1" s="1"/>
  <c r="U1730" i="1"/>
  <c r="A1730" i="1" s="1"/>
  <c r="U2359" i="1"/>
  <c r="A2359" i="1" s="1"/>
  <c r="U2586" i="1"/>
  <c r="A2586" i="1" s="1"/>
  <c r="U2593" i="1"/>
  <c r="A2593" i="1" s="1"/>
  <c r="U2588" i="1"/>
  <c r="A2588" i="1" s="1"/>
  <c r="U2591" i="1"/>
  <c r="A2591" i="1" s="1"/>
  <c r="U2595" i="1"/>
  <c r="A2595" i="1" s="1"/>
  <c r="U2596" i="1"/>
  <c r="U1552" i="1"/>
  <c r="A1552" i="1" s="1"/>
  <c r="U2754" i="1"/>
  <c r="A2754" i="1" s="1"/>
  <c r="U1375" i="1"/>
  <c r="A1375" i="1" s="1"/>
  <c r="U1442" i="1"/>
  <c r="A1442" i="1" s="1"/>
  <c r="U1957" i="1"/>
  <c r="A1957" i="1" s="1"/>
  <c r="U1959" i="1"/>
  <c r="A1959" i="1" s="1"/>
  <c r="U1960" i="1"/>
  <c r="A1960" i="1" s="1"/>
  <c r="U1961" i="1"/>
  <c r="A1961" i="1" s="1"/>
  <c r="U1962" i="1"/>
  <c r="A1962" i="1" s="1"/>
  <c r="U1963" i="1"/>
  <c r="A1963" i="1" s="1"/>
  <c r="U1964" i="1"/>
  <c r="A1964" i="1" s="1"/>
  <c r="U1966" i="1"/>
  <c r="A1966" i="1" s="1"/>
  <c r="U1967" i="1"/>
  <c r="A1967" i="1" s="1"/>
  <c r="U1968" i="1"/>
  <c r="A1968" i="1" s="1"/>
  <c r="U1738" i="1"/>
  <c r="A1738" i="1" s="1"/>
  <c r="U2504" i="1"/>
  <c r="A2504" i="1" s="1"/>
  <c r="U2508" i="1"/>
  <c r="A2508" i="1" s="1"/>
  <c r="U2509" i="1"/>
  <c r="A2509" i="1" s="1"/>
  <c r="U2510" i="1"/>
  <c r="A2510" i="1" s="1"/>
  <c r="U2565" i="1"/>
  <c r="A2565" i="1" s="1"/>
  <c r="U2566" i="1"/>
  <c r="A2566" i="1" s="1"/>
  <c r="U2570" i="1"/>
  <c r="A2570" i="1" s="1"/>
  <c r="U2571" i="1"/>
  <c r="A2571" i="1" s="1"/>
  <c r="U2572" i="1"/>
  <c r="A2572" i="1" s="1"/>
  <c r="U1437" i="1"/>
  <c r="A1437" i="1" s="1"/>
  <c r="U1548" i="1"/>
  <c r="A1548" i="1" s="1"/>
  <c r="U1585" i="1"/>
  <c r="A1585" i="1" s="1"/>
  <c r="U1586" i="1"/>
  <c r="A1586" i="1" s="1"/>
  <c r="U1587" i="1"/>
  <c r="A1587" i="1" s="1"/>
  <c r="U1588" i="1"/>
  <c r="A1588" i="1" s="1"/>
  <c r="U1589" i="1"/>
  <c r="A1589" i="1" s="1"/>
  <c r="U1590" i="1"/>
  <c r="A1590" i="1" s="1"/>
  <c r="U1591" i="1"/>
  <c r="A1591" i="1" s="1"/>
  <c r="U1592" i="1"/>
  <c r="A1592" i="1" s="1"/>
  <c r="U2871" i="1"/>
  <c r="A2871" i="1" s="1"/>
  <c r="U1451" i="1"/>
  <c r="A1451" i="1" s="1"/>
  <c r="U2613" i="1"/>
  <c r="A2613" i="1" s="1"/>
  <c r="U2614" i="1"/>
  <c r="A2614" i="1" s="1"/>
  <c r="U2615" i="1"/>
  <c r="A2615" i="1" s="1"/>
  <c r="U2616" i="1"/>
  <c r="A2616" i="1" s="1"/>
  <c r="U2617" i="1"/>
  <c r="A2617" i="1" s="1"/>
  <c r="U2618" i="1"/>
  <c r="A2618" i="1" s="1"/>
  <c r="U2847" i="1"/>
  <c r="A2847" i="1" s="1"/>
  <c r="U2848" i="1"/>
  <c r="A2848" i="1" s="1"/>
  <c r="U1699" i="1"/>
  <c r="A1699" i="1" s="1"/>
  <c r="U1700" i="1"/>
  <c r="A1700" i="1" s="1"/>
  <c r="U1701" i="1"/>
  <c r="A1701" i="1" s="1"/>
  <c r="U1702" i="1"/>
  <c r="A1702" i="1" s="1"/>
  <c r="U1703" i="1"/>
  <c r="A1703" i="1" s="1"/>
  <c r="U2839" i="1"/>
  <c r="A2839" i="1" s="1"/>
  <c r="U1390" i="1"/>
  <c r="A1390" i="1" s="1"/>
  <c r="U1392" i="1"/>
  <c r="A1392" i="1" s="1"/>
  <c r="U2107" i="1"/>
  <c r="A2107" i="1" s="1"/>
  <c r="U2108" i="1"/>
  <c r="A2108" i="1" s="1"/>
  <c r="U2109" i="1"/>
  <c r="A2109" i="1" s="1"/>
  <c r="U2110" i="1"/>
  <c r="A2110" i="1" s="1"/>
  <c r="U2119" i="1"/>
  <c r="A2119" i="1" s="1"/>
  <c r="U1861" i="1"/>
  <c r="A1861" i="1" s="1"/>
  <c r="U1866" i="1"/>
  <c r="A1866" i="1" s="1"/>
  <c r="U1867" i="1"/>
  <c r="A1867" i="1" s="1"/>
  <c r="U1868" i="1"/>
  <c r="A1868" i="1" s="1"/>
  <c r="U1869" i="1"/>
  <c r="A1869" i="1" s="1"/>
  <c r="U1870" i="1"/>
  <c r="A1870" i="1" s="1"/>
  <c r="U1871" i="1"/>
  <c r="A1871" i="1" s="1"/>
  <c r="U1872" i="1"/>
  <c r="A1872" i="1" s="1"/>
  <c r="U1873" i="1"/>
  <c r="A1873" i="1" s="1"/>
  <c r="U1874" i="1"/>
  <c r="A1874" i="1" s="1"/>
  <c r="U1875" i="1"/>
  <c r="A1875" i="1" s="1"/>
  <c r="U1876" i="1"/>
  <c r="A1876" i="1" s="1"/>
  <c r="U1877" i="1"/>
  <c r="A1877" i="1" s="1"/>
  <c r="U1878" i="1"/>
  <c r="A1878" i="1" s="1"/>
  <c r="U1879" i="1"/>
  <c r="A1879" i="1" s="1"/>
  <c r="U1880" i="1"/>
  <c r="A1880" i="1" s="1"/>
  <c r="U1881" i="1"/>
  <c r="A1881" i="1" s="1"/>
  <c r="U1882" i="1"/>
  <c r="A1882" i="1" s="1"/>
  <c r="U1883" i="1"/>
  <c r="A1883" i="1" s="1"/>
  <c r="U1884" i="1"/>
  <c r="A1884" i="1" s="1"/>
  <c r="U1885" i="1"/>
  <c r="A1885" i="1" s="1"/>
  <c r="U1886" i="1"/>
  <c r="A1886" i="1" s="1"/>
  <c r="U1887" i="1"/>
  <c r="A1887" i="1" s="1"/>
  <c r="U1888" i="1"/>
  <c r="A1888" i="1" s="1"/>
  <c r="U1889" i="1"/>
  <c r="A1889" i="1" s="1"/>
  <c r="U1890" i="1"/>
  <c r="A1890" i="1" s="1"/>
  <c r="U1891" i="1"/>
  <c r="A1891" i="1" s="1"/>
  <c r="U1892" i="1"/>
  <c r="A1892" i="1" s="1"/>
  <c r="U1893" i="1"/>
  <c r="A1893" i="1" s="1"/>
  <c r="U1894" i="1"/>
  <c r="A1894" i="1" s="1"/>
  <c r="U1895" i="1"/>
  <c r="A1895" i="1" s="1"/>
  <c r="U1896" i="1"/>
  <c r="A1896" i="1" s="1"/>
  <c r="U1897" i="1"/>
  <c r="A1897" i="1" s="1"/>
  <c r="U1898" i="1"/>
  <c r="A1898" i="1" s="1"/>
  <c r="U1899" i="1"/>
  <c r="A1899" i="1" s="1"/>
  <c r="U1900" i="1"/>
  <c r="A1900" i="1" s="1"/>
  <c r="U1901" i="1"/>
  <c r="A1901" i="1" s="1"/>
  <c r="U1902" i="1"/>
  <c r="A1902" i="1" s="1"/>
  <c r="U1903" i="1"/>
  <c r="A1903" i="1" s="1"/>
  <c r="U1904" i="1"/>
  <c r="A1904" i="1" s="1"/>
  <c r="U1905" i="1"/>
  <c r="A1905" i="1" s="1"/>
  <c r="U1906" i="1"/>
  <c r="A1906" i="1" s="1"/>
  <c r="U1584" i="1"/>
  <c r="A1584" i="1" s="1"/>
  <c r="U2118" i="1"/>
  <c r="A2118" i="1" s="1"/>
  <c r="U2804" i="1"/>
  <c r="A2804" i="1" s="1"/>
  <c r="U2252" i="1"/>
  <c r="A2252" i="1" s="1"/>
  <c r="U2255" i="1"/>
  <c r="A2255" i="1" s="1"/>
  <c r="U2256" i="1"/>
  <c r="A2256" i="1" s="1"/>
  <c r="U2257" i="1"/>
  <c r="A2257" i="1" s="1"/>
  <c r="U2258" i="1"/>
  <c r="A2258" i="1" s="1"/>
  <c r="U2805" i="1"/>
  <c r="A2805" i="1" s="1"/>
  <c r="U1387" i="1"/>
  <c r="A1387" i="1" s="1"/>
  <c r="U1339" i="1"/>
  <c r="A1339" i="1" s="1"/>
  <c r="U1385" i="1"/>
  <c r="A1385" i="1" s="1"/>
  <c r="U1386" i="1"/>
  <c r="A1386" i="1" s="1"/>
  <c r="U1344" i="1"/>
  <c r="A1344" i="1" s="1"/>
  <c r="U1345" i="1"/>
  <c r="A1345" i="1" s="1"/>
  <c r="U1346" i="1"/>
  <c r="A1346" i="1" s="1"/>
  <c r="U1454" i="1"/>
  <c r="A1454" i="1" s="1"/>
  <c r="U1455" i="1"/>
  <c r="A1455" i="1" s="1"/>
  <c r="U2650" i="1"/>
  <c r="A2650" i="1" s="1"/>
  <c r="U1459" i="1"/>
  <c r="A1459" i="1" s="1"/>
  <c r="U1461" i="1"/>
  <c r="A1461" i="1" s="1"/>
  <c r="U1425" i="1"/>
  <c r="A1425" i="1" s="1"/>
  <c r="U1426" i="1"/>
  <c r="A1426" i="1" s="1"/>
  <c r="U1970" i="1"/>
  <c r="A1970" i="1" s="1"/>
  <c r="U1990" i="1"/>
  <c r="A1990" i="1" s="1"/>
  <c r="U1991" i="1"/>
  <c r="A1991" i="1" s="1"/>
  <c r="U1994" i="1"/>
  <c r="A1994" i="1" s="1"/>
  <c r="U2005" i="1"/>
  <c r="A2005" i="1" s="1"/>
  <c r="U2010" i="1"/>
  <c r="A2010" i="1" s="1"/>
  <c r="U2015" i="1"/>
  <c r="A2015" i="1" s="1"/>
  <c r="U2017" i="1"/>
  <c r="A2017" i="1" s="1"/>
  <c r="U2018" i="1"/>
  <c r="A2018" i="1" s="1"/>
  <c r="U2019" i="1"/>
  <c r="A2019" i="1" s="1"/>
  <c r="U1917" i="1"/>
  <c r="A1917" i="1" s="1"/>
  <c r="U1919" i="1"/>
  <c r="A1919" i="1" s="1"/>
  <c r="U1920" i="1"/>
  <c r="A1920" i="1" s="1"/>
  <c r="U1921" i="1"/>
  <c r="A1921" i="1" s="1"/>
  <c r="U1922" i="1"/>
  <c r="A1922" i="1" s="1"/>
  <c r="U1923" i="1"/>
  <c r="A1923" i="1" s="1"/>
  <c r="U1924" i="1"/>
  <c r="A1924" i="1" s="1"/>
  <c r="U1925" i="1"/>
  <c r="A1925" i="1" s="1"/>
  <c r="U1926" i="1"/>
  <c r="A1926" i="1" s="1"/>
  <c r="U1927" i="1"/>
  <c r="A1927" i="1" s="1"/>
  <c r="U1369" i="1"/>
  <c r="A1369" i="1" s="1"/>
  <c r="U1370" i="1"/>
  <c r="A1370" i="1" s="1"/>
  <c r="U1496" i="1"/>
  <c r="A1496" i="1" s="1"/>
  <c r="U1497" i="1"/>
  <c r="A1497" i="1" s="1"/>
  <c r="U2091" i="1"/>
  <c r="A2091" i="1" s="1"/>
  <c r="U2658" i="1"/>
  <c r="A2658" i="1" s="1"/>
  <c r="U2659" i="1"/>
  <c r="A2659" i="1" s="1"/>
  <c r="U2661" i="1"/>
  <c r="A2661" i="1" s="1"/>
  <c r="U2662" i="1"/>
  <c r="A2662" i="1" s="1"/>
  <c r="U2663" i="1"/>
  <c r="A2663" i="1" s="1"/>
  <c r="U2664" i="1"/>
  <c r="A2664" i="1" s="1"/>
  <c r="U2873" i="1"/>
  <c r="A2873" i="1" s="1"/>
  <c r="U1342" i="1"/>
  <c r="A1342" i="1" s="1"/>
  <c r="U1672" i="1"/>
  <c r="A1672" i="1" s="1"/>
  <c r="U2704" i="1"/>
  <c r="A2704" i="1" s="1"/>
  <c r="U2705" i="1"/>
  <c r="A2705" i="1" s="1"/>
  <c r="U2706" i="1"/>
  <c r="A2706" i="1" s="1"/>
  <c r="U2707" i="1"/>
  <c r="A2707" i="1" s="1"/>
  <c r="U2708" i="1"/>
  <c r="A2708" i="1" s="1"/>
  <c r="U2709" i="1"/>
  <c r="A2709" i="1" s="1"/>
  <c r="U2710" i="1"/>
  <c r="A2710" i="1" s="1"/>
  <c r="U2711" i="1"/>
  <c r="A2711" i="1" s="1"/>
  <c r="U2712" i="1"/>
  <c r="A2712" i="1" s="1"/>
  <c r="U2713" i="1"/>
  <c r="A2713" i="1" s="1"/>
  <c r="U1450" i="1"/>
  <c r="A1450" i="1" s="1"/>
  <c r="U1947" i="1"/>
  <c r="A1947" i="1" s="1"/>
  <c r="U2587" i="1"/>
  <c r="A2587" i="1" s="1"/>
  <c r="U2777" i="1"/>
  <c r="A2777" i="1" s="1"/>
  <c r="U2784" i="1"/>
  <c r="A2784" i="1" s="1"/>
  <c r="U2779" i="1"/>
  <c r="A2779" i="1" s="1"/>
  <c r="U2781" i="1"/>
  <c r="A2781" i="1" s="1"/>
  <c r="U2786" i="1"/>
  <c r="A2786" i="1" s="1"/>
  <c r="U2787" i="1"/>
  <c r="A2787" i="1" s="1"/>
  <c r="U2789" i="1"/>
  <c r="A2789" i="1" s="1"/>
  <c r="U2790" i="1"/>
  <c r="A2790" i="1" s="1"/>
  <c r="U2794" i="1"/>
  <c r="A2794" i="1" s="1"/>
  <c r="U1335" i="1"/>
  <c r="A1335" i="1" s="1"/>
  <c r="U1398" i="1"/>
  <c r="A1398" i="1" s="1"/>
  <c r="U1305" i="1"/>
  <c r="A1305" i="1" s="1"/>
  <c r="U1309" i="1"/>
  <c r="A1309" i="1" s="1"/>
  <c r="U1310" i="1"/>
  <c r="A1310" i="1" s="1"/>
  <c r="U1311" i="1"/>
  <c r="A1311" i="1" s="1"/>
  <c r="U1312" i="1"/>
  <c r="A1312" i="1" s="1"/>
  <c r="U1313" i="1"/>
  <c r="A1313" i="1" s="1"/>
  <c r="U1314" i="1"/>
  <c r="A1314" i="1" s="1"/>
  <c r="U1315" i="1"/>
  <c r="A1315" i="1" s="1"/>
  <c r="U1316" i="1"/>
  <c r="A1316" i="1" s="1"/>
  <c r="U1317" i="1"/>
  <c r="A1317" i="1" s="1"/>
  <c r="U1318" i="1"/>
  <c r="A1318" i="1" s="1"/>
  <c r="U1319" i="1"/>
  <c r="A1319" i="1" s="1"/>
  <c r="U1336" i="1"/>
  <c r="A1336" i="1" s="1"/>
  <c r="U1371" i="1"/>
  <c r="A1371" i="1" s="1"/>
  <c r="U1441" i="1"/>
  <c r="A1441" i="1" s="1"/>
  <c r="U1551" i="1"/>
  <c r="A1551" i="1" s="1"/>
  <c r="U2478" i="1"/>
  <c r="A2478" i="1" s="1"/>
  <c r="U2479" i="1"/>
  <c r="A2479" i="1" s="1"/>
  <c r="U2480" i="1"/>
  <c r="A2480" i="1" s="1"/>
  <c r="U2481" i="1"/>
  <c r="A2481" i="1" s="1"/>
  <c r="U2648" i="1"/>
  <c r="A2648" i="1" s="1"/>
  <c r="U2649" i="1"/>
  <c r="A2649" i="1" s="1"/>
  <c r="U1528" i="1"/>
  <c r="A1528" i="1" s="1"/>
  <c r="U1343" i="1"/>
  <c r="A1343" i="1" s="1"/>
  <c r="U1776" i="1"/>
  <c r="A1776" i="1" s="1"/>
  <c r="U2687" i="1"/>
  <c r="A2687" i="1" s="1"/>
  <c r="U2688" i="1"/>
  <c r="A2688" i="1" s="1"/>
  <c r="U2689" i="1"/>
  <c r="A2689" i="1" s="1"/>
  <c r="U2690" i="1"/>
  <c r="A2690" i="1" s="1"/>
  <c r="U2691" i="1"/>
  <c r="A2691" i="1" s="1"/>
  <c r="U2692" i="1"/>
  <c r="A2692" i="1" s="1"/>
  <c r="U2693" i="1"/>
  <c r="A2693" i="1" s="1"/>
  <c r="U2695" i="1"/>
  <c r="A2695" i="1" s="1"/>
  <c r="U2696" i="1"/>
  <c r="A2696" i="1" s="1"/>
  <c r="U2698" i="1"/>
  <c r="A2698" i="1" s="1"/>
  <c r="U2699" i="1"/>
  <c r="A2699" i="1" s="1"/>
  <c r="U2700" i="1"/>
  <c r="A2700" i="1" s="1"/>
  <c r="U2034" i="1"/>
  <c r="A2034" i="1" s="1"/>
  <c r="U2026" i="1"/>
  <c r="A2026" i="1" s="1"/>
  <c r="U2033" i="1"/>
  <c r="A2033" i="1" s="1"/>
  <c r="U2064" i="1"/>
  <c r="A2064" i="1" s="1"/>
  <c r="U2075" i="1"/>
  <c r="A2075" i="1" s="1"/>
  <c r="U2077" i="1"/>
  <c r="A2077" i="1" s="1"/>
  <c r="U2078" i="1"/>
  <c r="A2078" i="1" s="1"/>
  <c r="U2079" i="1"/>
  <c r="A2079" i="1" s="1"/>
  <c r="U2087" i="1"/>
  <c r="A2087" i="1" s="1"/>
  <c r="U2088" i="1"/>
  <c r="A2088" i="1" s="1"/>
  <c r="U2090" i="1"/>
  <c r="A2090" i="1" s="1"/>
  <c r="U1359" i="1"/>
  <c r="A1359" i="1" s="1"/>
  <c r="U1360" i="1"/>
  <c r="A1360" i="1" s="1"/>
  <c r="U1361" i="1"/>
  <c r="A1361" i="1" s="1"/>
  <c r="U2116" i="1"/>
  <c r="A2116" i="1" s="1"/>
  <c r="U1510" i="1"/>
  <c r="A1510" i="1" s="1"/>
  <c r="U1511" i="1"/>
  <c r="A1511" i="1" s="1"/>
  <c r="U1535" i="1"/>
  <c r="A1535" i="1" s="1"/>
  <c r="U1473" i="1"/>
  <c r="A1473" i="1" s="1"/>
  <c r="U1474" i="1"/>
  <c r="A1474" i="1" s="1"/>
  <c r="U2453" i="1"/>
  <c r="A2453" i="1" s="1"/>
  <c r="U2460" i="1"/>
  <c r="A2460" i="1" s="1"/>
  <c r="U2461" i="1"/>
  <c r="A2461" i="1" s="1"/>
  <c r="U2463" i="1"/>
  <c r="A2463" i="1" s="1"/>
  <c r="U2466" i="1"/>
  <c r="A2466" i="1" s="1"/>
  <c r="U2471" i="1"/>
  <c r="A2471" i="1" s="1"/>
  <c r="U2472" i="1"/>
  <c r="A2472" i="1" s="1"/>
  <c r="U2476" i="1"/>
  <c r="A2476" i="1" s="1"/>
  <c r="U1505" i="1"/>
  <c r="A1505" i="1" s="1"/>
  <c r="U1506" i="1"/>
  <c r="A1506" i="1" s="1"/>
  <c r="U1507" i="1"/>
  <c r="A1507" i="1" s="1"/>
  <c r="U1452" i="1"/>
  <c r="A1452" i="1" s="1"/>
  <c r="U2155" i="1"/>
  <c r="A2155" i="1" s="1"/>
  <c r="U2156" i="1"/>
  <c r="A2156" i="1" s="1"/>
  <c r="U2157" i="1"/>
  <c r="A2157" i="1" s="1"/>
  <c r="U2158" i="1"/>
  <c r="A2158" i="1" s="1"/>
  <c r="U2161" i="1"/>
  <c r="A2161" i="1" s="1"/>
  <c r="U2218" i="1"/>
  <c r="A2218" i="1" s="1"/>
  <c r="U2226" i="1"/>
  <c r="A2226" i="1" s="1"/>
  <c r="U1430" i="1"/>
  <c r="A1430" i="1" s="1"/>
  <c r="U1397" i="1"/>
  <c r="A1397" i="1" s="1"/>
  <c r="U1421" i="1"/>
  <c r="A1421" i="1" s="1"/>
  <c r="U2673" i="1"/>
  <c r="A2673" i="1" s="1"/>
  <c r="U2674" i="1"/>
  <c r="A2674" i="1" s="1"/>
  <c r="U2675" i="1"/>
  <c r="A2675" i="1" s="1"/>
  <c r="U2676" i="1"/>
  <c r="A2676" i="1" s="1"/>
  <c r="U2677" i="1"/>
  <c r="A2677" i="1" s="1"/>
  <c r="U2678" i="1"/>
  <c r="A2678" i="1" s="1"/>
  <c r="U2685" i="1"/>
  <c r="A2685" i="1" s="1"/>
  <c r="U2780" i="1"/>
  <c r="A2780" i="1" s="1"/>
  <c r="U2872" i="1"/>
  <c r="A2872" i="1" s="1"/>
  <c r="U1365" i="1"/>
  <c r="A1365" i="1" s="1"/>
  <c r="U1366" i="1"/>
  <c r="A1366" i="1" s="1"/>
  <c r="U2122" i="1"/>
  <c r="A2122" i="1" s="1"/>
  <c r="U2124" i="1"/>
  <c r="A2124" i="1" s="1"/>
  <c r="U1363" i="1"/>
  <c r="A1363" i="1" s="1"/>
  <c r="U1364" i="1"/>
  <c r="A1364" i="1" s="1"/>
  <c r="U1329" i="1"/>
  <c r="A1329" i="1" s="1"/>
  <c r="U1540" i="1"/>
  <c r="A1540" i="1" s="1"/>
  <c r="U2807" i="1"/>
  <c r="A2807" i="1" s="1"/>
  <c r="U2808" i="1"/>
  <c r="A2808" i="1" s="1"/>
  <c r="U2810" i="1"/>
  <c r="A2810" i="1" s="1"/>
  <c r="U1487" i="1"/>
  <c r="A1487" i="1" s="1"/>
  <c r="U1488" i="1"/>
  <c r="A1488" i="1" s="1"/>
  <c r="U1491" i="1"/>
  <c r="A1491" i="1" s="1"/>
  <c r="U1304" i="1"/>
  <c r="A1304" i="1" s="1"/>
  <c r="U1362" i="1"/>
  <c r="A1362" i="1" s="1"/>
  <c r="U1512" i="1"/>
  <c r="A1512" i="1" s="1"/>
  <c r="U1493" i="1"/>
  <c r="A1493" i="1" s="1"/>
  <c r="U1494" i="1"/>
  <c r="A1494" i="1" s="1"/>
  <c r="U1495" i="1"/>
  <c r="A1495" i="1" s="1"/>
  <c r="U1378" i="1"/>
  <c r="A1378" i="1" s="1"/>
  <c r="U1472" i="1"/>
  <c r="A1472" i="1" s="1"/>
  <c r="U2160" i="1"/>
  <c r="A2160" i="1" s="1"/>
  <c r="U2534" i="1"/>
  <c r="A2534" i="1" s="1"/>
  <c r="U2535" i="1"/>
  <c r="A2535" i="1" s="1"/>
  <c r="U2536" i="1"/>
  <c r="A2536" i="1" s="1"/>
  <c r="U2537" i="1"/>
  <c r="A2537" i="1" s="1"/>
  <c r="U2538" i="1"/>
  <c r="A2538" i="1" s="1"/>
  <c r="U1705" i="1"/>
  <c r="A1705" i="1" s="1"/>
  <c r="U1706" i="1"/>
  <c r="A1706" i="1" s="1"/>
  <c r="U1307" i="1"/>
  <c r="A1307" i="1" s="1"/>
  <c r="U1480" i="1"/>
  <c r="A1480" i="1" s="1"/>
  <c r="U1481" i="1"/>
  <c r="A1481" i="1" s="1"/>
  <c r="U1482" i="1"/>
  <c r="A1482" i="1" s="1"/>
  <c r="U1483" i="1"/>
  <c r="A1483" i="1" s="1"/>
  <c r="U1453" i="1"/>
  <c r="A1453" i="1" s="1"/>
  <c r="U1418" i="1"/>
  <c r="A1418" i="1" s="1"/>
  <c r="U1419" i="1"/>
  <c r="A1419" i="1" s="1"/>
  <c r="U1420" i="1"/>
  <c r="A1420" i="1" s="1"/>
  <c r="U1440" i="1"/>
  <c r="U1327" i="1"/>
  <c r="A1327" i="1" s="1"/>
  <c r="U1538" i="1"/>
  <c r="A1538" i="1" s="1"/>
  <c r="U1508" i="1"/>
  <c r="A1508" i="1" s="1"/>
  <c r="U1509" i="1"/>
  <c r="A1509" i="1" s="1"/>
  <c r="U2811" i="1"/>
  <c r="A2811" i="1" s="1"/>
  <c r="U2812" i="1"/>
  <c r="A2812" i="1" s="1"/>
  <c r="U2813" i="1"/>
  <c r="A2813" i="1" s="1"/>
  <c r="U2814" i="1"/>
  <c r="A2814" i="1" s="1"/>
  <c r="U2815" i="1"/>
  <c r="A2815" i="1" s="1"/>
  <c r="U2816" i="1"/>
  <c r="A2816" i="1" s="1"/>
  <c r="U1534" i="1"/>
  <c r="A1534" i="1" s="1"/>
  <c r="U1561" i="1"/>
  <c r="A1561" i="1" s="1"/>
  <c r="U1830" i="1"/>
  <c r="A1830" i="1" s="1"/>
  <c r="U1831" i="1"/>
  <c r="A1831" i="1" s="1"/>
  <c r="U1832" i="1"/>
  <c r="A1832" i="1" s="1"/>
  <c r="U1833" i="1"/>
  <c r="A1833" i="1" s="1"/>
  <c r="U1834" i="1"/>
  <c r="A1834" i="1" s="1"/>
  <c r="U1835" i="1"/>
  <c r="A1835" i="1" s="1"/>
  <c r="U1836" i="1"/>
  <c r="A1836" i="1" s="1"/>
  <c r="U1837" i="1"/>
  <c r="A1837" i="1" s="1"/>
  <c r="U1838" i="1"/>
  <c r="A1838" i="1" s="1"/>
  <c r="U1839" i="1"/>
  <c r="A1839" i="1" s="1"/>
  <c r="U1842" i="1"/>
  <c r="A1842" i="1" s="1"/>
  <c r="U2253" i="1"/>
  <c r="A2253" i="1" s="1"/>
  <c r="U2259" i="1"/>
  <c r="A2259" i="1" s="1"/>
  <c r="U2260" i="1"/>
  <c r="A2260" i="1" s="1"/>
  <c r="U2261" i="1"/>
  <c r="A2261" i="1" s="1"/>
  <c r="U2262" i="1"/>
  <c r="A2262" i="1" s="1"/>
  <c r="U2263" i="1"/>
  <c r="A2263" i="1" s="1"/>
  <c r="U2264" i="1"/>
  <c r="A2264" i="1" s="1"/>
  <c r="U2265" i="1"/>
  <c r="A2265" i="1" s="1"/>
  <c r="U2266" i="1"/>
  <c r="A2266" i="1" s="1"/>
  <c r="U2267" i="1"/>
  <c r="A2267" i="1" s="1"/>
  <c r="U2320" i="1"/>
  <c r="A2320" i="1" s="1"/>
  <c r="U2322" i="1"/>
  <c r="A2322" i="1" s="1"/>
  <c r="U2323" i="1"/>
  <c r="A2323" i="1" s="1"/>
  <c r="U2324" i="1"/>
  <c r="A2324" i="1" s="1"/>
  <c r="U2327" i="1"/>
  <c r="A2327" i="1" s="1"/>
  <c r="U2328" i="1"/>
  <c r="A2328" i="1" s="1"/>
  <c r="U2329" i="1"/>
  <c r="A2329" i="1" s="1"/>
  <c r="U2330" i="1"/>
  <c r="A2330" i="1" s="1"/>
  <c r="U2331" i="1"/>
  <c r="A2331" i="1" s="1"/>
  <c r="U2181" i="1"/>
  <c r="A2181" i="1" s="1"/>
  <c r="U2332" i="1"/>
  <c r="A2332" i="1" s="1"/>
  <c r="U2333" i="1"/>
  <c r="A2333" i="1" s="1"/>
  <c r="U2334" i="1"/>
  <c r="A2334" i="1" s="1"/>
  <c r="U2335" i="1"/>
  <c r="A2335" i="1" s="1"/>
  <c r="U2336" i="1"/>
  <c r="A2336" i="1" s="1"/>
  <c r="U2337" i="1"/>
  <c r="A2337" i="1" s="1"/>
  <c r="U2338" i="1"/>
  <c r="A2338" i="1" s="1"/>
  <c r="U2339" i="1"/>
  <c r="A2339" i="1" s="1"/>
  <c r="U2340" i="1"/>
  <c r="A2340" i="1" s="1"/>
  <c r="U2341" i="1"/>
  <c r="A2341" i="1" s="1"/>
  <c r="U2342" i="1"/>
  <c r="A2342" i="1" s="1"/>
  <c r="U2343" i="1"/>
  <c r="A2343" i="1" s="1"/>
  <c r="U2344" i="1"/>
  <c r="A2344" i="1" s="1"/>
  <c r="U2345" i="1"/>
  <c r="A2345" i="1" s="1"/>
  <c r="U2346" i="1"/>
  <c r="A2346" i="1" s="1"/>
  <c r="U2347" i="1"/>
  <c r="A2347" i="1" s="1"/>
  <c r="U2348" i="1"/>
  <c r="A2348" i="1" s="1"/>
  <c r="U2349" i="1"/>
  <c r="A2349" i="1" s="1"/>
  <c r="U2350" i="1"/>
  <c r="A2350" i="1" s="1"/>
  <c r="U2351" i="1"/>
  <c r="A2351" i="1" s="1"/>
  <c r="U2352" i="1"/>
  <c r="A2352" i="1" s="1"/>
  <c r="U2353" i="1"/>
  <c r="A2353" i="1" s="1"/>
  <c r="U2354" i="1"/>
  <c r="A2354" i="1" s="1"/>
  <c r="U2355" i="1"/>
  <c r="A2355" i="1" s="1"/>
  <c r="U2356" i="1"/>
  <c r="A2356" i="1" s="1"/>
  <c r="U2357" i="1"/>
  <c r="A2357" i="1" s="1"/>
  <c r="U1634" i="1"/>
  <c r="A1634" i="1" s="1"/>
  <c r="U1635" i="1"/>
  <c r="A1635" i="1" s="1"/>
  <c r="U1631" i="1"/>
  <c r="A1631" i="1" s="1"/>
  <c r="U1632" i="1"/>
  <c r="A1632" i="1" s="1"/>
  <c r="U1633" i="1"/>
  <c r="A1633" i="1" s="1"/>
  <c r="U1636" i="1"/>
  <c r="A1636" i="1" s="1"/>
  <c r="U1637" i="1"/>
  <c r="A1637" i="1" s="1"/>
  <c r="U1638" i="1"/>
  <c r="A1638" i="1" s="1"/>
  <c r="U1640" i="1"/>
  <c r="A1640" i="1" s="1"/>
  <c r="U1641" i="1"/>
  <c r="A1641" i="1" s="1"/>
  <c r="U1691" i="1"/>
  <c r="A1691" i="1" s="1"/>
  <c r="U1840" i="1"/>
  <c r="A1840" i="1" s="1"/>
  <c r="U2651" i="1"/>
  <c r="A2651" i="1" s="1"/>
  <c r="U2162" i="1"/>
  <c r="A2162" i="1" s="1"/>
  <c r="U2163" i="1"/>
  <c r="A2163" i="1" s="1"/>
  <c r="U2164" i="1"/>
  <c r="A2164" i="1" s="1"/>
  <c r="U2165" i="1"/>
  <c r="A2165" i="1" s="1"/>
  <c r="U2166" i="1"/>
  <c r="A2166" i="1" s="1"/>
  <c r="U2167" i="1"/>
  <c r="A2167" i="1" s="1"/>
  <c r="U2168" i="1"/>
  <c r="A2168" i="1" s="1"/>
  <c r="U2869" i="1"/>
  <c r="A2869" i="1" s="1"/>
  <c r="U2702" i="1"/>
  <c r="A2702" i="1" s="1"/>
  <c r="U2799" i="1"/>
  <c r="A2799" i="1" s="1"/>
  <c r="U2800" i="1"/>
  <c r="A2800" i="1" s="1"/>
  <c r="U1325" i="1"/>
  <c r="A1325" i="1" s="1"/>
  <c r="U1326" i="1"/>
  <c r="A1326" i="1" s="1"/>
  <c r="U2831" i="1"/>
  <c r="A2831" i="1" s="1"/>
  <c r="U1402" i="1"/>
  <c r="A1402" i="1" s="1"/>
  <c r="U1403" i="1"/>
  <c r="A1403" i="1" s="1"/>
  <c r="U1282" i="1"/>
  <c r="A1282" i="1" s="1"/>
  <c r="U1564" i="1"/>
  <c r="A1564" i="1" s="1"/>
  <c r="U1580" i="1"/>
  <c r="A1580" i="1" s="1"/>
  <c r="U2217" i="1"/>
  <c r="A2217" i="1" s="1"/>
  <c r="U2220" i="1"/>
  <c r="A2220" i="1" s="1"/>
  <c r="U2221" i="1"/>
  <c r="A2221" i="1" s="1"/>
  <c r="U2222" i="1"/>
  <c r="A2222" i="1" s="1"/>
  <c r="U2223" i="1"/>
  <c r="A2223" i="1" s="1"/>
  <c r="U2224" i="1"/>
  <c r="A2224" i="1" s="1"/>
  <c r="U2225" i="1"/>
  <c r="A2225" i="1" s="1"/>
  <c r="U1547" i="1"/>
  <c r="A1547" i="1" s="1"/>
  <c r="U2399" i="1"/>
  <c r="A2399" i="1" s="1"/>
  <c r="U2400" i="1"/>
  <c r="A2400" i="1" s="1"/>
  <c r="U2401" i="1"/>
  <c r="A2401" i="1" s="1"/>
  <c r="U2402" i="1"/>
  <c r="A2402" i="1" s="1"/>
  <c r="U2403" i="1"/>
  <c r="A2403" i="1" s="1"/>
  <c r="U2549" i="1"/>
  <c r="A2549" i="1" s="1"/>
  <c r="U2554" i="1"/>
  <c r="A2554" i="1" s="1"/>
  <c r="U2555" i="1"/>
  <c r="A2555" i="1" s="1"/>
  <c r="U2556" i="1"/>
  <c r="A2556" i="1" s="1"/>
  <c r="U2557" i="1"/>
  <c r="A2557" i="1" s="1"/>
  <c r="U2558" i="1"/>
  <c r="A2558" i="1" s="1"/>
  <c r="U2559" i="1"/>
  <c r="A2559" i="1" s="1"/>
  <c r="U1523" i="1"/>
  <c r="A1523" i="1" s="1"/>
  <c r="U1651" i="1"/>
  <c r="A1651" i="1" s="1"/>
  <c r="U1658" i="1"/>
  <c r="A1658" i="1" s="1"/>
  <c r="U1653" i="1"/>
  <c r="A1653" i="1" s="1"/>
  <c r="U1655" i="1"/>
  <c r="A1655" i="1" s="1"/>
  <c r="U1656" i="1"/>
  <c r="A1656" i="1" s="1"/>
  <c r="U1657" i="1"/>
  <c r="A1657" i="1" s="1"/>
  <c r="U1660" i="1"/>
  <c r="A1660" i="1" s="1"/>
  <c r="U1661" i="1"/>
  <c r="A1661" i="1" s="1"/>
  <c r="U1663" i="1"/>
  <c r="A1663" i="1" s="1"/>
  <c r="U1665" i="1"/>
  <c r="A1665" i="1" s="1"/>
  <c r="U2095" i="1"/>
  <c r="A2095" i="1" s="1"/>
  <c r="U2179" i="1"/>
  <c r="A2179" i="1" s="1"/>
  <c r="U1435" i="1"/>
  <c r="A1435" i="1" s="1"/>
  <c r="U1436" i="1"/>
  <c r="A1436" i="1" s="1"/>
  <c r="U1438" i="1"/>
  <c r="A1438" i="1" s="1"/>
  <c r="U1569" i="1"/>
  <c r="A1569" i="1" s="1"/>
  <c r="U1433" i="1"/>
  <c r="A1433" i="1" s="1"/>
  <c r="U1434" i="1"/>
  <c r="A1434" i="1" s="1"/>
  <c r="U1373" i="1"/>
  <c r="A1373" i="1" s="1"/>
  <c r="U1462" i="1"/>
  <c r="A1462" i="1" s="1"/>
  <c r="U1463" i="1"/>
  <c r="A1463" i="1" s="1"/>
  <c r="U1553" i="1"/>
  <c r="A1553" i="1" s="1"/>
  <c r="U1557" i="1"/>
  <c r="A1557" i="1" s="1"/>
  <c r="U1712" i="1"/>
  <c r="A1712" i="1" s="1"/>
  <c r="U2484" i="1"/>
  <c r="A2484" i="1" s="1"/>
  <c r="U2485" i="1"/>
  <c r="A2485" i="1" s="1"/>
  <c r="U2487" i="1"/>
  <c r="A2487" i="1" s="1"/>
  <c r="U2489" i="1"/>
  <c r="A2489" i="1" s="1"/>
  <c r="U2843" i="1"/>
  <c r="A2843" i="1" s="1"/>
  <c r="U1513" i="1"/>
  <c r="A1513" i="1" s="1"/>
  <c r="U1514" i="1"/>
  <c r="A1514" i="1" s="1"/>
  <c r="U1515" i="1"/>
  <c r="A1515" i="1" s="1"/>
  <c r="U1372" i="1"/>
  <c r="A1372" i="1" s="1"/>
  <c r="U2701" i="1"/>
  <c r="A2701" i="1" s="1"/>
  <c r="U2703" i="1"/>
  <c r="A2703" i="1" s="1"/>
  <c r="U1578" i="1"/>
  <c r="A1578" i="1" s="1"/>
  <c r="U2206" i="1"/>
  <c r="A2206" i="1" s="1"/>
  <c r="U2207" i="1"/>
  <c r="A2207" i="1" s="1"/>
  <c r="U2208" i="1"/>
  <c r="A2208" i="1" s="1"/>
  <c r="U2209" i="1"/>
  <c r="A2209" i="1" s="1"/>
  <c r="U2210" i="1"/>
  <c r="A2210" i="1" s="1"/>
  <c r="U2211" i="1"/>
  <c r="A2211" i="1" s="1"/>
  <c r="U2212" i="1"/>
  <c r="A2212" i="1" s="1"/>
  <c r="U2213" i="1"/>
  <c r="A2213" i="1" s="1"/>
  <c r="U2214" i="1"/>
  <c r="A2214" i="1" s="1"/>
  <c r="U2096" i="1"/>
  <c r="A2096" i="1" s="1"/>
  <c r="U2097" i="1"/>
  <c r="A2097" i="1" s="1"/>
  <c r="U2842" i="1"/>
  <c r="A2842" i="1" s="1"/>
  <c r="U1443" i="1"/>
  <c r="A1443" i="1" s="1"/>
  <c r="U1444" i="1"/>
  <c r="A1444" i="1" s="1"/>
  <c r="U1446" i="1"/>
  <c r="A1446" i="1" s="1"/>
  <c r="U1447" i="1"/>
  <c r="A1447" i="1" s="1"/>
  <c r="U1448" i="1"/>
  <c r="A1448" i="1" s="1"/>
  <c r="U1527" i="1"/>
  <c r="A1527" i="1" s="1"/>
  <c r="U1555" i="1"/>
  <c r="A1555" i="1" s="1"/>
  <c r="U2715" i="1"/>
  <c r="A2715" i="1" s="1"/>
  <c r="U2716" i="1"/>
  <c r="A2716" i="1" s="1"/>
  <c r="U2717" i="1"/>
  <c r="A2717" i="1" s="1"/>
  <c r="U2850" i="1"/>
  <c r="A2850" i="1" s="1"/>
  <c r="U1593" i="1"/>
  <c r="A1593" i="1" s="1"/>
  <c r="U1597" i="1"/>
  <c r="A1597" i="1" s="1"/>
  <c r="U1606" i="1"/>
  <c r="A1606" i="1" s="1"/>
  <c r="U1607" i="1"/>
  <c r="A1607" i="1" s="1"/>
  <c r="U1816" i="1"/>
  <c r="A1816" i="1" s="1"/>
  <c r="U2092" i="1"/>
  <c r="A2092" i="1" s="1"/>
  <c r="U1733" i="1"/>
  <c r="A1733" i="1" s="1"/>
  <c r="U1735" i="1"/>
  <c r="A1735" i="1" s="1"/>
  <c r="U2767" i="1"/>
  <c r="A2767" i="1" s="1"/>
  <c r="U2768" i="1"/>
  <c r="A2768" i="1" s="1"/>
  <c r="U2769" i="1"/>
  <c r="A2769" i="1" s="1"/>
  <c r="U2771" i="1"/>
  <c r="A2771" i="1" s="1"/>
  <c r="U2772" i="1"/>
  <c r="A2772" i="1" s="1"/>
  <c r="U1458" i="1"/>
  <c r="A1458" i="1" s="1"/>
  <c r="U1460" i="1"/>
  <c r="A1460" i="1" s="1"/>
  <c r="U1467" i="1"/>
  <c r="A1467" i="1" s="1"/>
  <c r="U1563" i="1"/>
  <c r="A1563" i="1" s="1"/>
  <c r="U2365" i="1"/>
  <c r="A2365" i="1" s="1"/>
  <c r="U2397" i="1"/>
  <c r="A2397" i="1" s="1"/>
  <c r="U2398" i="1"/>
  <c r="A2398" i="1" s="1"/>
  <c r="U2368" i="1"/>
  <c r="A2368" i="1" s="1"/>
  <c r="U2372" i="1"/>
  <c r="A2372" i="1" s="1"/>
  <c r="U2373" i="1"/>
  <c r="A2373" i="1" s="1"/>
  <c r="U2374" i="1"/>
  <c r="A2374" i="1" s="1"/>
  <c r="U2379" i="1"/>
  <c r="A2379" i="1" s="1"/>
  <c r="U2380" i="1"/>
  <c r="A2380" i="1" s="1"/>
  <c r="U2381" i="1"/>
  <c r="A2381" i="1" s="1"/>
  <c r="U2382" i="1"/>
  <c r="A2382" i="1" s="1"/>
  <c r="U2383" i="1"/>
  <c r="A2383" i="1" s="1"/>
  <c r="U2384" i="1"/>
  <c r="A2384" i="1" s="1"/>
  <c r="U2385" i="1"/>
  <c r="A2385" i="1" s="1"/>
  <c r="U2386" i="1"/>
  <c r="A2386" i="1" s="1"/>
  <c r="U2387" i="1"/>
  <c r="A2387" i="1" s="1"/>
  <c r="U2388" i="1"/>
  <c r="A2388" i="1" s="1"/>
  <c r="U2389" i="1"/>
  <c r="A2389" i="1" s="1"/>
  <c r="U2391" i="1"/>
  <c r="A2391" i="1" s="1"/>
  <c r="U2392" i="1"/>
  <c r="A2392" i="1" s="1"/>
  <c r="U2393" i="1"/>
  <c r="A2393" i="1" s="1"/>
  <c r="U2396" i="1"/>
  <c r="U2627" i="1"/>
  <c r="A2627" i="1" s="1"/>
  <c r="U2724" i="1"/>
  <c r="A2724" i="1" s="1"/>
  <c r="U1475" i="1"/>
  <c r="A1475" i="1" s="1"/>
  <c r="U1476" i="1"/>
  <c r="A1476" i="1" s="1"/>
  <c r="U1717" i="1"/>
  <c r="A1717" i="1" s="1"/>
  <c r="U1718" i="1"/>
  <c r="A1718" i="1" s="1"/>
  <c r="U1719" i="1"/>
  <c r="A1719" i="1" s="1"/>
  <c r="U1721" i="1"/>
  <c r="A1721" i="1" s="1"/>
  <c r="U1726" i="1"/>
  <c r="A1726" i="1" s="1"/>
  <c r="U1727" i="1"/>
  <c r="A1727" i="1" s="1"/>
  <c r="U1728" i="1"/>
  <c r="A1728" i="1" s="1"/>
  <c r="U1729" i="1"/>
  <c r="A1729" i="1" s="1"/>
  <c r="U1732" i="1"/>
  <c r="A1732" i="1" s="1"/>
  <c r="U2553" i="1"/>
  <c r="A2553" i="1" s="1"/>
  <c r="U1417" i="1"/>
  <c r="A1417" i="1" s="1"/>
  <c r="U1571" i="1"/>
  <c r="A1571" i="1" s="1"/>
  <c r="U1666" i="1"/>
  <c r="A1666" i="1" s="1"/>
  <c r="U1669" i="1"/>
  <c r="A1669" i="1" s="1"/>
  <c r="U1673" i="1"/>
  <c r="A1673" i="1" s="1"/>
  <c r="U1328" i="1"/>
  <c r="A1328" i="1" s="1"/>
  <c r="U1464" i="1"/>
  <c r="A1464" i="1" s="1"/>
  <c r="U1562" i="1"/>
  <c r="U2573" i="1"/>
  <c r="A2573" i="1" s="1"/>
  <c r="U2574" i="1"/>
  <c r="A2574" i="1" s="1"/>
  <c r="U1391" i="1"/>
  <c r="A1391" i="1" s="1"/>
  <c r="U1545" i="1"/>
  <c r="A1545" i="1" s="1"/>
  <c r="U2761" i="1"/>
  <c r="A2761" i="1" s="1"/>
  <c r="U2763" i="1"/>
  <c r="A2763" i="1" s="1"/>
  <c r="U2757" i="1"/>
  <c r="A2757" i="1" s="1"/>
  <c r="U1374" i="1"/>
  <c r="A1374" i="1" s="1"/>
  <c r="U1570" i="1"/>
  <c r="A1570" i="1" s="1"/>
  <c r="U1575" i="1"/>
  <c r="A1575" i="1" s="1"/>
  <c r="U1576" i="1"/>
  <c r="A1576" i="1" s="1"/>
  <c r="U2838" i="1"/>
  <c r="A2838" i="1" s="1"/>
  <c r="U1675" i="1"/>
  <c r="A1675" i="1" s="1"/>
  <c r="U1676" i="1"/>
  <c r="A1676" i="1" s="1"/>
  <c r="U1677" i="1"/>
  <c r="A1677" i="1" s="1"/>
  <c r="U1678" i="1"/>
  <c r="A1678" i="1" s="1"/>
  <c r="U2646" i="1"/>
  <c r="A2646" i="1" s="1"/>
  <c r="U2844" i="1"/>
  <c r="A2844" i="1" s="1"/>
  <c r="U1393" i="1"/>
  <c r="A1393" i="1" s="1"/>
  <c r="U1394" i="1"/>
  <c r="A1394" i="1" s="1"/>
  <c r="U2795" i="1"/>
  <c r="A2795" i="1" s="1"/>
  <c r="U2796" i="1"/>
  <c r="A2796" i="1" s="1"/>
  <c r="U2797" i="1"/>
  <c r="A2797" i="1" s="1"/>
  <c r="U2798" i="1"/>
  <c r="A2798" i="1" s="1"/>
  <c r="U2152" i="1"/>
  <c r="A2152" i="1" s="1"/>
  <c r="U2153" i="1"/>
  <c r="A2153" i="1" s="1"/>
  <c r="U2154" i="1"/>
  <c r="A2154" i="1" s="1"/>
  <c r="U2169" i="1"/>
  <c r="A2169" i="1" s="1"/>
  <c r="U2170" i="1"/>
  <c r="A2170" i="1" s="1"/>
  <c r="U2176" i="1"/>
  <c r="A2176" i="1" s="1"/>
  <c r="U1777" i="1"/>
  <c r="A1777" i="1" s="1"/>
  <c r="U2132" i="1"/>
  <c r="A2132" i="1" s="1"/>
  <c r="U2133" i="1"/>
  <c r="A2133" i="1" s="1"/>
  <c r="U2134" i="1"/>
  <c r="A2134" i="1" s="1"/>
  <c r="U2135" i="1"/>
  <c r="A2135" i="1" s="1"/>
  <c r="U2136" i="1"/>
  <c r="A2136" i="1" s="1"/>
  <c r="U2137" i="1"/>
  <c r="A2137" i="1" s="1"/>
  <c r="U2138" i="1"/>
  <c r="A2138" i="1" s="1"/>
  <c r="U2139" i="1"/>
  <c r="A2139" i="1" s="1"/>
  <c r="U2141" i="1"/>
  <c r="A2141" i="1" s="1"/>
  <c r="U2142" i="1"/>
  <c r="A2142" i="1" s="1"/>
  <c r="U2143" i="1"/>
  <c r="A2143" i="1" s="1"/>
  <c r="U2144" i="1"/>
  <c r="A2144" i="1" s="1"/>
  <c r="U2145" i="1"/>
  <c r="A2145" i="1" s="1"/>
  <c r="U2146" i="1"/>
  <c r="A2146" i="1" s="1"/>
  <c r="U2147" i="1"/>
  <c r="A2147" i="1" s="1"/>
  <c r="U2148" i="1"/>
  <c r="A2148" i="1" s="1"/>
  <c r="U2149" i="1"/>
  <c r="A2149" i="1" s="1"/>
  <c r="U2150" i="1"/>
  <c r="A2150" i="1" s="1"/>
  <c r="U2151" i="1"/>
  <c r="A2151" i="1" s="1"/>
  <c r="U1410" i="1"/>
  <c r="A1410" i="1" s="1"/>
  <c r="U2874" i="1"/>
  <c r="A2874" i="1" s="1"/>
  <c r="U1306" i="1"/>
  <c r="A1306" i="1" s="1"/>
  <c r="U1412" i="1"/>
  <c r="A1412" i="1" s="1"/>
  <c r="U1415" i="1"/>
  <c r="A1415" i="1" s="1"/>
  <c r="U1581" i="1"/>
  <c r="A1581" i="1" s="1"/>
  <c r="U2189" i="1"/>
  <c r="A2189" i="1" s="1"/>
  <c r="U2190" i="1"/>
  <c r="A2190" i="1" s="1"/>
  <c r="U2191" i="1"/>
  <c r="A2191" i="1" s="1"/>
  <c r="U2192" i="1"/>
  <c r="A2192" i="1" s="1"/>
  <c r="U2193" i="1"/>
  <c r="A2193" i="1" s="1"/>
  <c r="U2196" i="1"/>
  <c r="A2196" i="1" s="1"/>
  <c r="U2197" i="1"/>
  <c r="A2197" i="1" s="1"/>
  <c r="U2198" i="1"/>
  <c r="A2198" i="1" s="1"/>
  <c r="U2199" i="1"/>
  <c r="A2199" i="1" s="1"/>
  <c r="U2200" i="1"/>
  <c r="A2200" i="1" s="1"/>
  <c r="U2201" i="1"/>
  <c r="A2201" i="1" s="1"/>
  <c r="U2202" i="1"/>
  <c r="A2202" i="1" s="1"/>
  <c r="U2203" i="1"/>
  <c r="A2203" i="1" s="1"/>
  <c r="U2204" i="1"/>
  <c r="A2204" i="1" s="1"/>
  <c r="U2205" i="1"/>
  <c r="A2205" i="1" s="1"/>
  <c r="U2529" i="1"/>
  <c r="A2529" i="1" s="1"/>
  <c r="U2530" i="1"/>
  <c r="A2530" i="1" s="1"/>
  <c r="U2531" i="1"/>
  <c r="A2531" i="1" s="1"/>
  <c r="U2532" i="1"/>
  <c r="A2532" i="1" s="1"/>
  <c r="U2533" i="1"/>
  <c r="A2533" i="1" s="1"/>
  <c r="U2524" i="1"/>
  <c r="A2524" i="1" s="1"/>
  <c r="U2526" i="1"/>
  <c r="A2526" i="1" s="1"/>
  <c r="U2527" i="1"/>
  <c r="A2527" i="1" s="1"/>
  <c r="U2818" i="1"/>
  <c r="A2818" i="1" s="1"/>
  <c r="U2823" i="1"/>
  <c r="A2823" i="1" s="1"/>
  <c r="U1404" i="1"/>
  <c r="A1404" i="1" s="1"/>
  <c r="U1405" i="1"/>
  <c r="A1405" i="1" s="1"/>
  <c r="U1406" i="1"/>
  <c r="A1406" i="1" s="1"/>
  <c r="U1407" i="1"/>
  <c r="A1407" i="1" s="1"/>
  <c r="U1696" i="1"/>
  <c r="A1696" i="1" s="1"/>
  <c r="U1697" i="1"/>
  <c r="A1697" i="1" s="1"/>
  <c r="U1516" i="1"/>
  <c r="U1517" i="1"/>
  <c r="A1517" i="1" s="1"/>
  <c r="U1518" i="1"/>
  <c r="A1518" i="1" s="1"/>
  <c r="U1519" i="1"/>
  <c r="A1519" i="1" s="1"/>
  <c r="U1349" i="1"/>
  <c r="A1349" i="1" s="1"/>
  <c r="U1352" i="1"/>
  <c r="A1352" i="1" s="1"/>
  <c r="U1353" i="1"/>
  <c r="A1353" i="1" s="1"/>
  <c r="U1401" i="1"/>
  <c r="A1401" i="1" s="1"/>
  <c r="U1543" i="1"/>
  <c r="A1543" i="1" s="1"/>
  <c r="U1429" i="1"/>
  <c r="A1429" i="1" s="1"/>
  <c r="U1456" i="1"/>
  <c r="A1456" i="1" s="1"/>
  <c r="U1457" i="1"/>
  <c r="A1457" i="1" s="1"/>
  <c r="U2608" i="1"/>
  <c r="A2608" i="1" s="1"/>
  <c r="U2609" i="1"/>
  <c r="A2609" i="1" s="1"/>
  <c r="U2610" i="1"/>
  <c r="A2610" i="1" s="1"/>
  <c r="U2611" i="1"/>
  <c r="A2611" i="1" s="1"/>
  <c r="U2612" i="1"/>
  <c r="A2612" i="1" s="1"/>
  <c r="U1498" i="1"/>
  <c r="A1498" i="1" s="1"/>
  <c r="U1499" i="1"/>
  <c r="A1499" i="1" s="1"/>
  <c r="U1347" i="1"/>
  <c r="A1347" i="1" s="1"/>
  <c r="U1348" i="1"/>
  <c r="A1348" i="1" s="1"/>
  <c r="U1439" i="1"/>
  <c r="A1439" i="1" s="1"/>
  <c r="U1567" i="1"/>
  <c r="U1945" i="1"/>
  <c r="A1945" i="1" s="1"/>
  <c r="U1946" i="1"/>
  <c r="A1946" i="1" s="1"/>
  <c r="U1950" i="1"/>
  <c r="A1950" i="1" s="1"/>
  <c r="U1951" i="1"/>
  <c r="A1951" i="1" s="1"/>
  <c r="U1952" i="1"/>
  <c r="A1952" i="1" s="1"/>
  <c r="U1953" i="1"/>
  <c r="A1953" i="1" s="1"/>
  <c r="U1954" i="1"/>
  <c r="A1954" i="1" s="1"/>
  <c r="U1955" i="1"/>
  <c r="A1955" i="1" s="1"/>
  <c r="U1956" i="1"/>
  <c r="A1956" i="1" s="1"/>
  <c r="U1422" i="1"/>
  <c r="A1422" i="1" s="1"/>
  <c r="U1358" i="1"/>
  <c r="A1358" i="1" s="1"/>
  <c r="U2093" i="1"/>
  <c r="A2093" i="1" s="1"/>
  <c r="U1477" i="1"/>
  <c r="A1477" i="1" s="1"/>
  <c r="U1478" i="1"/>
  <c r="A1478" i="1" s="1"/>
  <c r="U1479" i="1"/>
  <c r="A1479" i="1" s="1"/>
  <c r="U1566" i="1"/>
  <c r="A1566" i="1" s="1"/>
  <c r="U2840" i="1"/>
  <c r="U2782" i="1"/>
  <c r="U2791" i="1"/>
  <c r="U2778" i="1"/>
  <c r="U2806" i="1"/>
  <c r="U2809" i="1"/>
  <c r="U1742" i="1"/>
  <c r="U2841" i="1"/>
  <c r="U2299" i="1"/>
  <c r="U2294" i="1"/>
  <c r="U2297" i="1"/>
  <c r="U2298" i="1"/>
  <c r="U2273" i="1"/>
  <c r="U2275" i="1"/>
  <c r="U2277" i="1"/>
  <c r="U2279" i="1"/>
  <c r="U2271" i="1"/>
  <c r="U2278" i="1"/>
  <c r="U2321" i="1"/>
  <c r="U2319" i="1"/>
  <c r="U2325" i="1"/>
  <c r="U2326" i="1"/>
  <c r="U2367" i="1"/>
  <c r="U2376" i="1"/>
  <c r="U2378" i="1"/>
  <c r="U2371" i="1"/>
  <c r="U2394" i="1"/>
  <c r="U2395" i="1"/>
  <c r="U2436" i="1"/>
  <c r="U2438" i="1"/>
  <c r="U2427" i="1"/>
  <c r="U2440" i="1"/>
  <c r="U2431" i="1"/>
  <c r="U2442" i="1"/>
  <c r="U2445" i="1"/>
  <c r="U2405" i="1"/>
  <c r="U2415" i="1"/>
  <c r="U2411" i="1"/>
  <c r="U2413" i="1"/>
  <c r="U2410" i="1"/>
  <c r="U2409" i="1"/>
  <c r="U2407" i="1"/>
  <c r="U2416" i="1"/>
  <c r="U2459" i="1"/>
  <c r="U2465" i="1"/>
  <c r="U2458" i="1"/>
  <c r="U2467" i="1"/>
  <c r="U2457" i="1"/>
  <c r="U2454" i="1"/>
  <c r="U2451" i="1"/>
  <c r="U2455" i="1"/>
  <c r="U2462" i="1"/>
  <c r="U2452" i="1"/>
  <c r="U2456" i="1"/>
  <c r="U2468" i="1"/>
  <c r="U2469" i="1"/>
  <c r="U2470" i="1"/>
  <c r="U2545" i="1"/>
  <c r="U2540" i="1"/>
  <c r="U2544" i="1"/>
  <c r="U2541" i="1"/>
  <c r="U2539" i="1"/>
  <c r="U2546" i="1"/>
  <c r="U2542" i="1"/>
  <c r="U2543" i="1"/>
  <c r="U2550" i="1"/>
  <c r="U2560" i="1"/>
  <c r="U2519" i="1"/>
  <c r="U2517" i="1"/>
  <c r="U2518" i="1"/>
  <c r="U2516" i="1"/>
  <c r="U2569" i="1"/>
  <c r="U2567" i="1"/>
  <c r="U2564" i="1"/>
  <c r="U2568" i="1"/>
  <c r="U2496" i="1"/>
  <c r="U2500" i="1"/>
  <c r="U2491" i="1"/>
  <c r="U2493" i="1"/>
  <c r="U2486" i="1"/>
  <c r="U2482" i="1"/>
  <c r="U2483" i="1"/>
  <c r="U2488" i="1"/>
  <c r="U2490" i="1"/>
  <c r="U2528" i="1"/>
  <c r="U2523" i="1"/>
  <c r="U2525" i="1"/>
  <c r="U2172" i="1"/>
  <c r="U2173" i="1"/>
  <c r="U2174" i="1"/>
  <c r="U2183" i="1"/>
  <c r="U2180" i="1"/>
  <c r="U2184" i="1"/>
  <c r="U2185" i="1"/>
  <c r="U2120" i="1"/>
  <c r="U2121" i="1"/>
  <c r="U2235" i="1"/>
  <c r="U2238" i="1"/>
  <c r="U2234" i="1"/>
  <c r="U2237" i="1"/>
  <c r="U2236" i="1"/>
  <c r="U1766" i="1"/>
  <c r="U1757" i="1"/>
  <c r="U1760" i="1"/>
  <c r="U1770" i="1"/>
  <c r="U1768" i="1"/>
  <c r="U1764" i="1"/>
  <c r="U1762" i="1"/>
  <c r="U1744" i="1"/>
  <c r="U1773" i="1"/>
  <c r="U1755" i="1"/>
  <c r="U1752" i="1"/>
  <c r="U1774" i="1"/>
  <c r="U2660" i="1"/>
  <c r="U1772" i="1"/>
  <c r="U1965" i="1"/>
  <c r="U1983" i="1"/>
  <c r="U1998" i="1"/>
  <c r="U1981" i="1"/>
  <c r="U1978" i="1"/>
  <c r="U1976" i="1"/>
  <c r="U2686" i="1"/>
  <c r="U2032" i="1"/>
  <c r="U2037" i="1"/>
  <c r="U2047" i="1"/>
  <c r="U2040" i="1"/>
  <c r="U2051" i="1"/>
  <c r="U2083" i="1"/>
  <c r="U2055" i="1"/>
  <c r="U1929" i="1"/>
  <c r="U1931" i="1"/>
  <c r="U1939" i="1"/>
  <c r="U1940" i="1"/>
  <c r="U1938" i="1"/>
  <c r="U1958" i="1"/>
  <c r="U2304" i="1"/>
  <c r="U1941" i="1"/>
  <c r="U1942" i="1"/>
  <c r="U1858" i="1"/>
  <c r="U1864" i="1"/>
  <c r="U1860" i="1"/>
  <c r="U1857" i="1"/>
  <c r="U1854" i="1"/>
  <c r="U1852" i="1"/>
  <c r="U1859" i="1"/>
  <c r="U1862" i="1"/>
  <c r="U1856" i="1"/>
  <c r="U1853" i="1"/>
  <c r="U1865" i="1"/>
  <c r="U1989" i="1"/>
  <c r="U1855" i="1"/>
  <c r="U1598" i="1"/>
  <c r="U1949" i="1"/>
  <c r="U1980" i="1"/>
  <c r="U1986" i="1"/>
  <c r="U1993" i="1"/>
  <c r="U1988" i="1"/>
  <c r="U1969" i="1"/>
  <c r="U2000" i="1"/>
  <c r="U2195" i="1"/>
  <c r="U2563" i="1"/>
  <c r="U2002" i="1"/>
  <c r="U2003" i="1"/>
  <c r="U2004" i="1"/>
  <c r="U1619" i="1"/>
  <c r="U1693" i="1"/>
  <c r="U1681" i="1"/>
  <c r="U2694" i="1"/>
  <c r="U2697" i="1"/>
  <c r="U1603" i="1"/>
  <c r="U1741" i="1"/>
  <c r="U1740" i="1"/>
  <c r="U2562" i="1"/>
  <c r="U1630" i="1"/>
  <c r="U1639" i="1"/>
  <c r="U1605" i="1"/>
  <c r="U1595" i="1"/>
  <c r="U1734" i="1"/>
  <c r="U1722" i="1"/>
  <c r="U1725" i="1"/>
  <c r="U1723" i="1"/>
  <c r="U1731" i="1"/>
  <c r="U1724" i="1"/>
  <c r="U1674" i="1"/>
  <c r="U1668" i="1"/>
  <c r="U1667" i="1"/>
  <c r="U1671" i="1"/>
  <c r="U1736" i="1"/>
  <c r="U1737" i="1"/>
  <c r="U2443" i="1"/>
  <c r="U1424" i="1"/>
  <c r="U2239" i="1"/>
  <c r="U1413" i="1"/>
  <c r="U1414" i="1"/>
  <c r="U1416" i="1"/>
  <c r="U1423" i="1"/>
  <c r="U1427" i="1"/>
  <c r="U1492" i="1"/>
  <c r="U1334" i="1"/>
  <c r="U2626" i="1"/>
  <c r="U1284" i="1"/>
  <c r="U1286" i="1"/>
  <c r="U1287" i="1"/>
  <c r="U1288" i="1"/>
  <c r="U1289" i="1"/>
  <c r="U1296" i="1"/>
  <c r="U1293" i="1"/>
  <c r="U1294" i="1"/>
  <c r="U1300" i="1"/>
  <c r="U1299" i="1"/>
  <c r="U1298" i="1"/>
  <c r="U1301" i="1"/>
  <c r="U1303" i="1"/>
  <c r="U1531" i="1"/>
  <c r="U1977" i="1"/>
  <c r="U1982" i="1"/>
  <c r="U2001" i="1"/>
  <c r="U2605" i="1"/>
  <c r="U2080" i="1"/>
  <c r="U2052" i="1"/>
  <c r="U2038" i="1"/>
  <c r="U2045" i="1"/>
  <c r="U2049" i="1"/>
  <c r="U1340" i="1"/>
  <c r="U2621" i="1"/>
  <c r="U2622" i="1"/>
  <c r="U2623" i="1"/>
  <c r="U2619" i="1"/>
  <c r="U1583" i="1"/>
  <c r="U1679" i="1"/>
  <c r="U1692" i="1"/>
  <c r="U1698" i="1"/>
  <c r="U1684" i="1"/>
  <c r="U2749" i="1"/>
  <c r="U2748" i="1"/>
  <c r="U2751" i="1"/>
  <c r="U2747" i="1"/>
  <c r="U2740" i="1"/>
  <c r="U2750" i="1"/>
  <c r="U2743" i="1"/>
  <c r="U2735" i="1"/>
  <c r="U2729" i="1"/>
  <c r="U1308" i="1"/>
  <c r="U2738" i="1"/>
  <c r="U2739" i="1"/>
  <c r="U2745" i="1"/>
  <c r="U2746" i="1"/>
  <c r="U2803" i="1"/>
  <c r="U2730" i="1"/>
  <c r="U2731" i="1"/>
  <c r="U2736" i="1"/>
  <c r="U2741" i="1"/>
  <c r="U2594" i="1"/>
  <c r="U2584" i="1"/>
  <c r="U2603" i="1"/>
  <c r="U2590" i="1"/>
  <c r="U2589" i="1"/>
  <c r="U2585" i="1"/>
  <c r="U2592" i="1"/>
  <c r="U1565" i="1"/>
  <c r="U2752" i="1"/>
  <c r="U2755" i="1"/>
  <c r="U2753" i="1"/>
  <c r="U1739" i="1"/>
  <c r="U2507" i="1"/>
  <c r="U2505" i="1"/>
  <c r="U2506" i="1"/>
  <c r="U2503" i="1"/>
  <c r="U2007" i="1"/>
  <c r="U1974" i="1"/>
  <c r="U2006" i="1"/>
  <c r="U1979" i="1"/>
  <c r="U1984" i="1"/>
  <c r="U1985" i="1"/>
  <c r="U1987" i="1"/>
  <c r="U1992" i="1"/>
  <c r="U1995" i="1"/>
  <c r="U1996" i="1"/>
  <c r="U1999" i="1"/>
  <c r="U2009" i="1"/>
  <c r="U2011" i="1"/>
  <c r="U2012" i="1"/>
  <c r="U2013" i="1"/>
  <c r="U2014" i="1"/>
  <c r="U2016" i="1"/>
  <c r="U2020" i="1"/>
  <c r="U2021" i="1"/>
  <c r="U2194" i="1"/>
  <c r="U2870" i="1"/>
  <c r="U2788" i="1"/>
  <c r="U2793" i="1"/>
  <c r="U2792" i="1"/>
  <c r="U2776" i="1"/>
  <c r="U2783" i="1"/>
  <c r="U2785" i="1"/>
  <c r="U2035" i="1"/>
  <c r="U1574" i="1"/>
  <c r="U2022" i="1"/>
  <c r="U2024" i="1"/>
  <c r="U2025" i="1"/>
  <c r="U2027" i="1"/>
  <c r="U2028" i="1"/>
  <c r="U2029" i="1"/>
  <c r="U2030" i="1"/>
  <c r="U2031" i="1"/>
  <c r="U2065" i="1"/>
  <c r="U2076" i="1"/>
  <c r="U2082" i="1"/>
  <c r="U2084" i="1"/>
  <c r="U2085" i="1"/>
  <c r="U2086" i="1"/>
  <c r="U2089" i="1"/>
  <c r="U1283" i="1"/>
  <c r="U2625" i="1"/>
  <c r="U1290" i="1"/>
  <c r="U1291" i="1"/>
  <c r="U1292" i="1"/>
  <c r="U1652" i="1"/>
  <c r="U1659" i="1"/>
  <c r="U1664" i="1"/>
  <c r="U1817" i="1"/>
  <c r="U1599" i="1"/>
  <c r="U2773" i="1"/>
  <c r="U2318" i="1"/>
  <c r="U2770" i="1"/>
  <c r="U2774" i="1"/>
  <c r="U2775" i="1"/>
  <c r="U2366" i="1"/>
  <c r="U2369" i="1"/>
  <c r="U2370" i="1"/>
  <c r="U2375" i="1"/>
  <c r="U2377" i="1"/>
  <c r="U2390" i="1"/>
  <c r="U1544" i="1"/>
  <c r="U2760" i="1"/>
  <c r="U2758" i="1"/>
  <c r="U2762" i="1"/>
  <c r="U1281" i="1"/>
  <c r="U1537" i="1"/>
  <c r="U1285" i="1"/>
  <c r="U1541" i="1"/>
  <c r="U1549" i="1"/>
  <c r="U1550" i="1"/>
  <c r="U2827" i="1"/>
  <c r="U2829" i="1"/>
  <c r="U1559" i="1"/>
  <c r="U2819" i="1"/>
  <c r="U2828" i="1"/>
  <c r="U2820" i="1"/>
  <c r="U2821" i="1"/>
  <c r="U2824" i="1"/>
  <c r="U2825" i="1"/>
  <c r="U2826" i="1"/>
  <c r="U2817" i="1"/>
  <c r="U2822" i="1"/>
  <c r="U2404" i="1"/>
  <c r="U2421" i="1"/>
  <c r="U2412" i="1"/>
  <c r="U2414" i="1"/>
  <c r="U2420" i="1"/>
  <c r="U2408" i="1"/>
  <c r="U2406" i="1"/>
  <c r="U2441" i="1"/>
  <c r="U2437" i="1"/>
  <c r="U2439" i="1"/>
  <c r="U2446" i="1"/>
  <c r="U2430" i="1"/>
  <c r="U2426" i="1"/>
  <c r="U2435" i="1"/>
  <c r="U1302" i="1"/>
  <c r="C2840" i="1" l="1"/>
  <c r="C2782" i="1"/>
  <c r="C2791" i="1"/>
  <c r="C2778" i="1"/>
  <c r="C2806" i="1"/>
  <c r="C2809" i="1"/>
  <c r="C1742" i="1"/>
  <c r="C2841" i="1"/>
  <c r="C2299" i="1"/>
  <c r="C2294" i="1"/>
  <c r="C2297" i="1"/>
  <c r="C2298" i="1"/>
  <c r="C2273" i="1"/>
  <c r="C2275" i="1"/>
  <c r="C2277" i="1"/>
  <c r="C2279" i="1"/>
  <c r="C2271" i="1"/>
  <c r="C2278" i="1"/>
  <c r="C2321" i="1"/>
  <c r="C2319" i="1"/>
  <c r="C2325" i="1"/>
  <c r="C2326" i="1"/>
  <c r="C2367" i="1"/>
  <c r="C2376" i="1"/>
  <c r="C2378" i="1"/>
  <c r="C2371" i="1"/>
  <c r="C2394" i="1"/>
  <c r="C2395" i="1"/>
  <c r="C2436" i="1"/>
  <c r="C2438" i="1"/>
  <c r="C2427" i="1"/>
  <c r="C2440" i="1"/>
  <c r="C2431" i="1"/>
  <c r="C2442" i="1"/>
  <c r="C2445" i="1"/>
  <c r="C2405" i="1"/>
  <c r="C2415" i="1"/>
  <c r="C2411" i="1"/>
  <c r="C2413" i="1"/>
  <c r="C2410" i="1"/>
  <c r="C2409" i="1"/>
  <c r="C2407" i="1"/>
  <c r="C2416" i="1"/>
  <c r="C2459" i="1"/>
  <c r="C2465" i="1"/>
  <c r="C2458" i="1"/>
  <c r="C2467" i="1"/>
  <c r="C2457" i="1"/>
  <c r="C2454" i="1"/>
  <c r="C2451" i="1"/>
  <c r="C2455" i="1"/>
  <c r="C2462" i="1"/>
  <c r="C2452" i="1"/>
  <c r="C2456" i="1"/>
  <c r="C2468" i="1"/>
  <c r="C2469" i="1"/>
  <c r="C2470" i="1"/>
  <c r="C2545" i="1"/>
  <c r="C2540" i="1"/>
  <c r="C2544" i="1"/>
  <c r="C2541" i="1"/>
  <c r="C2539" i="1"/>
  <c r="C2546" i="1"/>
  <c r="C2542" i="1"/>
  <c r="C2543" i="1"/>
  <c r="C2550" i="1"/>
  <c r="C2560" i="1"/>
  <c r="C2519" i="1"/>
  <c r="C2517" i="1"/>
  <c r="C2518" i="1"/>
  <c r="C2516" i="1"/>
  <c r="C2569" i="1"/>
  <c r="C2567" i="1"/>
  <c r="C2564" i="1"/>
  <c r="C2568" i="1"/>
  <c r="C2496" i="1"/>
  <c r="C2500" i="1"/>
  <c r="C2491" i="1"/>
  <c r="C2493" i="1"/>
  <c r="C2486" i="1"/>
  <c r="C2482" i="1"/>
  <c r="C2483" i="1"/>
  <c r="C2488" i="1"/>
  <c r="C2490" i="1"/>
  <c r="C2528" i="1"/>
  <c r="C2523" i="1"/>
  <c r="C2525" i="1"/>
  <c r="C2172" i="1"/>
  <c r="C2173" i="1"/>
  <c r="C2174" i="1"/>
  <c r="C2183" i="1"/>
  <c r="C2180" i="1"/>
  <c r="C2184" i="1"/>
  <c r="C2185" i="1"/>
  <c r="C2120" i="1"/>
  <c r="C2121" i="1"/>
  <c r="C2235" i="1"/>
  <c r="C2238" i="1"/>
  <c r="C2234" i="1"/>
  <c r="C2237" i="1"/>
  <c r="C2236" i="1"/>
  <c r="C1766" i="1"/>
  <c r="C1757" i="1"/>
  <c r="C1760" i="1"/>
  <c r="C1770" i="1"/>
  <c r="C1768" i="1"/>
  <c r="C1764" i="1"/>
  <c r="C1762" i="1"/>
  <c r="C1744" i="1"/>
  <c r="C1773" i="1"/>
  <c r="C1755" i="1"/>
  <c r="C1752" i="1"/>
  <c r="C1774" i="1"/>
  <c r="C2660" i="1"/>
  <c r="C1772" i="1"/>
  <c r="C1965" i="1"/>
  <c r="C1983" i="1"/>
  <c r="C1998" i="1"/>
  <c r="C1981" i="1"/>
  <c r="C1978" i="1"/>
  <c r="C1976" i="1"/>
  <c r="C2686" i="1"/>
  <c r="C2032" i="1"/>
  <c r="C2037" i="1"/>
  <c r="C2047" i="1"/>
  <c r="C2040" i="1"/>
  <c r="C2051" i="1"/>
  <c r="C2083" i="1"/>
  <c r="C2055" i="1"/>
  <c r="C1929" i="1"/>
  <c r="C1931" i="1"/>
  <c r="C1939" i="1"/>
  <c r="C1940" i="1"/>
  <c r="C1938" i="1"/>
  <c r="C1958" i="1"/>
  <c r="C2304" i="1"/>
  <c r="C1941" i="1"/>
  <c r="C1942" i="1"/>
  <c r="C1858" i="1"/>
  <c r="C1864" i="1"/>
  <c r="C1860" i="1"/>
  <c r="C1857" i="1"/>
  <c r="C1854" i="1"/>
  <c r="C1852" i="1"/>
  <c r="C1859" i="1"/>
  <c r="C1862" i="1"/>
  <c r="C1856" i="1"/>
  <c r="C1853" i="1"/>
  <c r="C1865" i="1"/>
  <c r="C1989" i="1"/>
  <c r="C1855" i="1"/>
  <c r="C1598" i="1"/>
  <c r="C1949" i="1"/>
  <c r="C1980" i="1"/>
  <c r="C1986" i="1"/>
  <c r="C1993" i="1"/>
  <c r="C1988" i="1"/>
  <c r="C1969" i="1"/>
  <c r="C2000" i="1"/>
  <c r="C2195" i="1"/>
  <c r="C2563" i="1"/>
  <c r="C2002" i="1"/>
  <c r="C2003" i="1"/>
  <c r="C2004" i="1"/>
  <c r="C1619" i="1"/>
  <c r="C1693" i="1"/>
  <c r="C1681" i="1"/>
  <c r="C2694" i="1"/>
  <c r="C2697" i="1"/>
  <c r="C1603" i="1"/>
  <c r="C1741" i="1"/>
  <c r="C1740" i="1"/>
  <c r="C2562" i="1"/>
  <c r="C1630" i="1"/>
  <c r="C1639" i="1"/>
  <c r="C1605" i="1"/>
  <c r="C1595" i="1"/>
  <c r="C1734" i="1"/>
  <c r="C1722" i="1"/>
  <c r="C1725" i="1"/>
  <c r="C1723" i="1"/>
  <c r="C1731" i="1"/>
  <c r="C1724" i="1"/>
  <c r="C1674" i="1"/>
  <c r="C1668" i="1"/>
  <c r="C1667" i="1"/>
  <c r="C1671" i="1"/>
  <c r="C1736" i="1"/>
  <c r="C1737" i="1"/>
  <c r="C2443" i="1"/>
  <c r="C1424" i="1"/>
  <c r="C2239" i="1"/>
  <c r="C1413" i="1"/>
  <c r="C1414" i="1"/>
  <c r="C1416" i="1"/>
  <c r="C1423" i="1"/>
  <c r="C1427" i="1"/>
  <c r="C1492" i="1"/>
  <c r="C1334" i="1"/>
  <c r="C2626" i="1"/>
  <c r="C1284" i="1"/>
  <c r="C1286" i="1"/>
  <c r="C1287" i="1"/>
  <c r="C1288" i="1"/>
  <c r="C1289" i="1"/>
  <c r="C1296" i="1"/>
  <c r="C1293" i="1"/>
  <c r="C1294" i="1"/>
  <c r="C1300" i="1"/>
  <c r="C1299" i="1"/>
  <c r="C1298" i="1"/>
  <c r="C1301" i="1"/>
  <c r="C1303" i="1"/>
  <c r="C1531" i="1"/>
  <c r="C1977" i="1"/>
  <c r="C1982" i="1"/>
  <c r="C2001" i="1"/>
  <c r="C2605" i="1"/>
  <c r="C2080" i="1"/>
  <c r="C2052" i="1"/>
  <c r="C2038" i="1"/>
  <c r="C2045" i="1"/>
  <c r="C2049" i="1"/>
  <c r="C1340" i="1"/>
  <c r="C2621" i="1"/>
  <c r="C2622" i="1"/>
  <c r="C2623" i="1"/>
  <c r="C2619" i="1"/>
  <c r="C1583" i="1"/>
  <c r="C1679" i="1"/>
  <c r="C1692" i="1"/>
  <c r="C1698" i="1"/>
  <c r="C1684" i="1"/>
  <c r="C2749" i="1"/>
  <c r="C2748" i="1"/>
  <c r="C2751" i="1"/>
  <c r="C2747" i="1"/>
  <c r="C2740" i="1"/>
  <c r="C2750" i="1"/>
  <c r="C2743" i="1"/>
  <c r="C2735" i="1"/>
  <c r="C2729" i="1"/>
  <c r="C1308" i="1"/>
  <c r="C2738" i="1"/>
  <c r="C2739" i="1"/>
  <c r="C2745" i="1"/>
  <c r="C2746" i="1"/>
  <c r="C2803" i="1"/>
  <c r="C2730" i="1"/>
  <c r="C2731" i="1"/>
  <c r="C2736" i="1"/>
  <c r="C2741" i="1"/>
  <c r="C2594" i="1"/>
  <c r="C2584" i="1"/>
  <c r="C2603" i="1"/>
  <c r="C2590" i="1"/>
  <c r="C2589" i="1"/>
  <c r="C2585" i="1"/>
  <c r="C2592" i="1"/>
  <c r="C1565" i="1"/>
  <c r="C2752" i="1"/>
  <c r="C2755" i="1"/>
  <c r="C2753" i="1"/>
  <c r="C1739" i="1"/>
  <c r="C2507" i="1"/>
  <c r="C2505" i="1"/>
  <c r="C2506" i="1"/>
  <c r="C2503" i="1"/>
  <c r="C2007" i="1"/>
  <c r="C1974" i="1"/>
  <c r="C2006" i="1"/>
  <c r="C1979" i="1"/>
  <c r="C1984" i="1"/>
  <c r="C1985" i="1"/>
  <c r="C1987" i="1"/>
  <c r="C1992" i="1"/>
  <c r="C1995" i="1"/>
  <c r="C1996" i="1"/>
  <c r="C1999" i="1"/>
  <c r="C2009" i="1"/>
  <c r="C2011" i="1"/>
  <c r="C2012" i="1"/>
  <c r="C2013" i="1"/>
  <c r="C2014" i="1"/>
  <c r="C2016" i="1"/>
  <c r="C2020" i="1"/>
  <c r="C2021" i="1"/>
  <c r="C2194" i="1"/>
  <c r="C2870" i="1"/>
  <c r="C2788" i="1"/>
  <c r="C2793" i="1"/>
  <c r="C2792" i="1"/>
  <c r="C2776" i="1"/>
  <c r="C2783" i="1"/>
  <c r="C2785" i="1"/>
  <c r="C2035" i="1"/>
  <c r="C1574" i="1"/>
  <c r="C2022" i="1"/>
  <c r="C2024" i="1"/>
  <c r="C2025" i="1"/>
  <c r="C2027" i="1"/>
  <c r="C2028" i="1"/>
  <c r="C2029" i="1"/>
  <c r="C2030" i="1"/>
  <c r="C2031" i="1"/>
  <c r="C2065" i="1"/>
  <c r="C2076" i="1"/>
  <c r="C2082" i="1"/>
  <c r="C2084" i="1"/>
  <c r="C2085" i="1"/>
  <c r="C2086" i="1"/>
  <c r="C2089" i="1"/>
  <c r="C1283" i="1"/>
  <c r="C2625" i="1"/>
  <c r="C1290" i="1"/>
  <c r="C1291" i="1"/>
  <c r="C1292" i="1"/>
  <c r="C1652" i="1"/>
  <c r="C1659" i="1"/>
  <c r="C1664" i="1"/>
  <c r="C1817" i="1"/>
  <c r="C1599" i="1"/>
  <c r="C2773" i="1"/>
  <c r="C2318" i="1"/>
  <c r="C2770" i="1"/>
  <c r="C2774" i="1"/>
  <c r="C2775" i="1"/>
  <c r="C2366" i="1"/>
  <c r="C2369" i="1"/>
  <c r="C2370" i="1"/>
  <c r="C2375" i="1"/>
  <c r="C2377" i="1"/>
  <c r="C2390" i="1"/>
  <c r="C1544" i="1"/>
  <c r="C2760" i="1"/>
  <c r="C2758" i="1"/>
  <c r="C2762" i="1"/>
  <c r="C1281" i="1"/>
  <c r="C1537" i="1"/>
  <c r="C1285" i="1"/>
  <c r="C1541" i="1"/>
  <c r="C1549" i="1"/>
  <c r="C1550" i="1"/>
  <c r="C2827" i="1"/>
  <c r="C2829" i="1"/>
  <c r="C1559" i="1"/>
  <c r="C2819" i="1"/>
  <c r="C2828" i="1"/>
  <c r="C2820" i="1"/>
  <c r="C2821" i="1"/>
  <c r="C2824" i="1"/>
  <c r="C2825" i="1"/>
  <c r="C2826" i="1"/>
  <c r="C2817" i="1"/>
  <c r="C2822" i="1"/>
  <c r="C2404" i="1"/>
  <c r="C2421" i="1"/>
  <c r="C2412" i="1"/>
  <c r="C2414" i="1"/>
  <c r="C2420" i="1"/>
  <c r="C2408" i="1"/>
  <c r="C2406" i="1"/>
  <c r="C2441" i="1"/>
  <c r="C2437" i="1"/>
  <c r="C2439" i="1"/>
  <c r="C2446" i="1"/>
  <c r="C2430" i="1"/>
  <c r="C2426" i="1"/>
  <c r="C2435" i="1"/>
  <c r="C1302" i="1"/>
  <c r="A2840" i="1"/>
  <c r="A2782" i="1"/>
  <c r="A2791" i="1"/>
  <c r="A2778" i="1"/>
  <c r="A2806" i="1"/>
  <c r="A2809" i="1"/>
  <c r="A1742" i="1"/>
  <c r="A2841" i="1"/>
  <c r="A2299" i="1"/>
  <c r="A2294" i="1"/>
  <c r="A2297" i="1"/>
  <c r="A2298" i="1"/>
  <c r="A2273" i="1"/>
  <c r="A2275" i="1"/>
  <c r="A2277" i="1"/>
  <c r="A2279" i="1"/>
  <c r="A2271" i="1"/>
  <c r="A2278" i="1"/>
  <c r="A2321" i="1"/>
  <c r="A2319" i="1"/>
  <c r="A2325" i="1"/>
  <c r="A2326" i="1"/>
  <c r="A2367" i="1"/>
  <c r="A2376" i="1"/>
  <c r="A2378" i="1"/>
  <c r="A2371" i="1"/>
  <c r="A2394" i="1"/>
  <c r="A2395" i="1"/>
  <c r="A2436" i="1"/>
  <c r="A2438" i="1"/>
  <c r="A2427" i="1"/>
  <c r="A2440" i="1"/>
  <c r="A2431" i="1"/>
  <c r="A2442" i="1"/>
  <c r="A2445" i="1"/>
  <c r="A2405" i="1"/>
  <c r="A2415" i="1"/>
  <c r="A2411" i="1"/>
  <c r="A2413" i="1"/>
  <c r="A2410" i="1"/>
  <c r="A2409" i="1"/>
  <c r="A2407" i="1"/>
  <c r="A2416" i="1"/>
  <c r="A2459" i="1"/>
  <c r="A2465" i="1"/>
  <c r="A2458" i="1"/>
  <c r="A2467" i="1"/>
  <c r="A2457" i="1"/>
  <c r="A2454" i="1"/>
  <c r="A2451" i="1"/>
  <c r="A2455" i="1"/>
  <c r="A2462" i="1"/>
  <c r="A2452" i="1"/>
  <c r="A2456" i="1"/>
  <c r="A2468" i="1"/>
  <c r="A2469" i="1"/>
  <c r="A2470" i="1"/>
  <c r="A2545" i="1"/>
  <c r="A2540" i="1"/>
  <c r="A2544" i="1"/>
  <c r="A2541" i="1"/>
  <c r="A2539" i="1"/>
  <c r="A2546" i="1"/>
  <c r="A2542" i="1"/>
  <c r="A2543" i="1"/>
  <c r="A2550" i="1"/>
  <c r="A2560" i="1"/>
  <c r="A2519" i="1"/>
  <c r="A2517" i="1"/>
  <c r="A2518" i="1"/>
  <c r="A2516" i="1"/>
  <c r="A2569" i="1"/>
  <c r="A2567" i="1"/>
  <c r="A2564" i="1"/>
  <c r="A2568" i="1"/>
  <c r="A2496" i="1"/>
  <c r="A2500" i="1"/>
  <c r="A2491" i="1"/>
  <c r="A2493" i="1"/>
  <c r="A2486" i="1"/>
  <c r="A2482" i="1"/>
  <c r="A2483" i="1"/>
  <c r="A2488" i="1"/>
  <c r="A2490" i="1"/>
  <c r="A2528" i="1"/>
  <c r="A2523" i="1"/>
  <c r="A2525" i="1"/>
  <c r="A2172" i="1"/>
  <c r="A2173" i="1"/>
  <c r="A2174" i="1"/>
  <c r="A2183" i="1"/>
  <c r="A2180" i="1"/>
  <c r="A2184" i="1"/>
  <c r="A2185" i="1"/>
  <c r="A2120" i="1"/>
  <c r="A2121" i="1"/>
  <c r="A2235" i="1"/>
  <c r="A2238" i="1"/>
  <c r="A2234" i="1"/>
  <c r="A2237" i="1"/>
  <c r="A2236" i="1"/>
  <c r="A1766" i="1"/>
  <c r="A1757" i="1"/>
  <c r="A1760" i="1"/>
  <c r="A1770" i="1"/>
  <c r="A1768" i="1"/>
  <c r="A1764" i="1"/>
  <c r="A1762" i="1"/>
  <c r="A1744" i="1"/>
  <c r="A1773" i="1"/>
  <c r="A1755" i="1"/>
  <c r="A1752" i="1"/>
  <c r="A1774" i="1"/>
  <c r="A2660" i="1"/>
  <c r="A1772" i="1"/>
  <c r="A1965" i="1"/>
  <c r="A1983" i="1"/>
  <c r="A1998" i="1"/>
  <c r="A1981" i="1"/>
  <c r="A1978" i="1"/>
  <c r="A1976" i="1"/>
  <c r="A2686" i="1"/>
  <c r="A2032" i="1"/>
  <c r="A2037" i="1"/>
  <c r="A2047" i="1"/>
  <c r="A2040" i="1"/>
  <c r="A2051" i="1"/>
  <c r="A2083" i="1"/>
  <c r="A2055" i="1"/>
  <c r="A1929" i="1"/>
  <c r="A1931" i="1"/>
  <c r="A1939" i="1"/>
  <c r="A1940" i="1"/>
  <c r="A1938" i="1"/>
  <c r="A1958" i="1"/>
  <c r="A2304" i="1"/>
  <c r="A1941" i="1"/>
  <c r="A1942" i="1"/>
  <c r="A1858" i="1"/>
  <c r="A1864" i="1"/>
  <c r="A1860" i="1"/>
  <c r="A1857" i="1"/>
  <c r="A1854" i="1"/>
  <c r="A1852" i="1"/>
  <c r="A1859" i="1"/>
  <c r="A1862" i="1"/>
  <c r="A1856" i="1"/>
  <c r="A1853" i="1"/>
  <c r="A1865" i="1"/>
  <c r="A1989" i="1"/>
  <c r="A1855" i="1"/>
  <c r="A1598" i="1"/>
  <c r="A1949" i="1"/>
  <c r="A1980" i="1"/>
  <c r="A1986" i="1"/>
  <c r="A1993" i="1"/>
  <c r="A1988" i="1"/>
  <c r="A1969" i="1"/>
  <c r="A2000" i="1"/>
  <c r="A2195" i="1"/>
  <c r="A2563" i="1"/>
  <c r="A2002" i="1"/>
  <c r="A2003" i="1"/>
  <c r="A2004" i="1"/>
  <c r="A1619" i="1"/>
  <c r="A1693" i="1"/>
  <c r="A1681" i="1"/>
  <c r="A2694" i="1"/>
  <c r="A2697" i="1"/>
  <c r="A1603" i="1"/>
  <c r="A1741" i="1"/>
  <c r="A1740" i="1"/>
  <c r="A2562" i="1"/>
  <c r="A1630" i="1"/>
  <c r="A1639" i="1"/>
  <c r="A1605" i="1"/>
  <c r="A1595" i="1"/>
  <c r="A1734" i="1"/>
  <c r="A1722" i="1"/>
  <c r="A1725" i="1"/>
  <c r="A1723" i="1"/>
  <c r="A1731" i="1"/>
  <c r="A1724" i="1"/>
  <c r="A1674" i="1"/>
  <c r="A1668" i="1"/>
  <c r="A1667" i="1"/>
  <c r="A1671" i="1"/>
  <c r="A1736" i="1"/>
  <c r="A1737" i="1"/>
  <c r="A2443" i="1"/>
  <c r="A1424" i="1"/>
  <c r="A2239" i="1"/>
  <c r="A1413" i="1"/>
  <c r="A1414" i="1"/>
  <c r="A1416" i="1"/>
  <c r="A1423" i="1"/>
  <c r="A1427" i="1"/>
  <c r="A1492" i="1"/>
  <c r="A1334" i="1"/>
  <c r="A2626" i="1"/>
  <c r="A1284" i="1"/>
  <c r="A1286" i="1"/>
  <c r="A1287" i="1"/>
  <c r="A1288" i="1"/>
  <c r="A1289" i="1"/>
  <c r="A1296" i="1"/>
  <c r="A1293" i="1"/>
  <c r="A1294" i="1"/>
  <c r="A1300" i="1" l="1"/>
  <c r="A1299" i="1"/>
  <c r="A1298" i="1"/>
  <c r="A1301" i="1"/>
  <c r="A1303" i="1"/>
  <c r="A1531" i="1"/>
  <c r="A1977" i="1"/>
  <c r="A1982" i="1"/>
  <c r="A2001" i="1"/>
  <c r="A2605" i="1"/>
  <c r="A2080" i="1"/>
  <c r="A2052" i="1"/>
  <c r="A2038" i="1"/>
  <c r="A2045" i="1"/>
  <c r="A2049" i="1"/>
  <c r="A1340" i="1"/>
  <c r="A2621" i="1"/>
  <c r="A2622" i="1"/>
  <c r="A2623" i="1"/>
  <c r="A2619" i="1"/>
  <c r="A1583" i="1"/>
  <c r="A1679" i="1"/>
  <c r="A1692" i="1"/>
  <c r="A1698" i="1"/>
  <c r="A1684" i="1"/>
  <c r="A2749" i="1"/>
  <c r="A2748" i="1"/>
  <c r="A2751" i="1"/>
  <c r="A2747" i="1"/>
  <c r="A2740" i="1"/>
  <c r="A2750" i="1"/>
  <c r="A2743" i="1"/>
  <c r="A2735" i="1"/>
  <c r="A2729" i="1"/>
  <c r="A1308" i="1"/>
  <c r="A2738" i="1"/>
  <c r="A2739" i="1"/>
  <c r="A2745" i="1"/>
  <c r="A2746" i="1"/>
  <c r="A2803" i="1"/>
  <c r="A2730" i="1"/>
  <c r="A2731" i="1"/>
  <c r="A2736" i="1"/>
  <c r="A2741" i="1"/>
  <c r="A2594" i="1"/>
  <c r="A2584" i="1"/>
  <c r="A2603" i="1"/>
  <c r="A2590" i="1"/>
  <c r="A2589" i="1"/>
  <c r="A2585" i="1"/>
  <c r="A2592" i="1"/>
  <c r="A1565" i="1"/>
  <c r="A2752" i="1"/>
  <c r="A2755" i="1"/>
  <c r="A2753" i="1"/>
  <c r="A1739" i="1"/>
  <c r="A2507" i="1"/>
  <c r="A2505" i="1"/>
  <c r="A2506" i="1"/>
  <c r="A2503" i="1"/>
  <c r="A2007" i="1"/>
  <c r="A1974" i="1"/>
  <c r="A2006" i="1"/>
  <c r="A1979" i="1"/>
  <c r="A1984" i="1"/>
  <c r="A1985" i="1"/>
  <c r="A1987" i="1"/>
  <c r="A1992" i="1"/>
  <c r="A1995" i="1"/>
  <c r="A1996" i="1"/>
  <c r="A1999" i="1"/>
  <c r="A2009" i="1"/>
  <c r="A2011" i="1"/>
  <c r="A2012" i="1"/>
  <c r="A2013" i="1"/>
  <c r="A2014" i="1"/>
  <c r="A2016" i="1"/>
  <c r="A2020" i="1"/>
  <c r="A2021" i="1"/>
  <c r="A2194" i="1"/>
  <c r="A2870" i="1"/>
  <c r="A2788" i="1"/>
  <c r="A2793" i="1"/>
  <c r="A2792" i="1"/>
  <c r="A2776" i="1"/>
  <c r="A2783" i="1"/>
  <c r="A2785" i="1"/>
  <c r="A2035" i="1"/>
  <c r="A1574" i="1"/>
  <c r="A2022" i="1"/>
  <c r="A2024" i="1"/>
  <c r="A2025" i="1"/>
  <c r="A2027" i="1"/>
  <c r="A2028" i="1"/>
  <c r="A2029" i="1"/>
  <c r="A2030" i="1"/>
  <c r="A2031" i="1"/>
  <c r="A2065" i="1"/>
  <c r="A2076" i="1"/>
  <c r="A2082" i="1"/>
  <c r="A2084" i="1"/>
  <c r="A2085" i="1"/>
  <c r="A2086" i="1"/>
  <c r="A2089" i="1"/>
  <c r="A1283" i="1"/>
  <c r="A2625" i="1"/>
  <c r="A1290" i="1"/>
  <c r="A1291" i="1"/>
  <c r="A1292" i="1"/>
  <c r="A1652" i="1"/>
  <c r="A1659" i="1"/>
  <c r="A1664" i="1"/>
  <c r="A1817" i="1"/>
  <c r="A1599" i="1"/>
  <c r="A2773" i="1"/>
  <c r="A2318" i="1"/>
  <c r="A2770" i="1"/>
  <c r="A2774" i="1"/>
  <c r="A2775" i="1"/>
  <c r="A2366" i="1"/>
  <c r="A2369" i="1"/>
  <c r="A2370" i="1"/>
  <c r="A2375" i="1"/>
  <c r="A2377" i="1"/>
  <c r="A2390" i="1"/>
  <c r="A1544" i="1"/>
  <c r="A2760" i="1"/>
  <c r="A2758" i="1"/>
  <c r="A2762" i="1"/>
  <c r="A1281" i="1"/>
  <c r="A1537" i="1"/>
  <c r="A1285" i="1"/>
  <c r="A1541" i="1"/>
  <c r="A1549" i="1"/>
  <c r="A1550" i="1"/>
  <c r="A2827" i="1"/>
  <c r="A2829" i="1"/>
  <c r="A1559" i="1"/>
  <c r="A2819" i="1"/>
  <c r="A2828" i="1"/>
  <c r="A2820" i="1"/>
  <c r="A2821" i="1"/>
  <c r="A2824" i="1"/>
  <c r="A2825" i="1"/>
  <c r="A2826" i="1"/>
  <c r="A2817" i="1"/>
  <c r="A2822" i="1"/>
  <c r="A2404" i="1"/>
  <c r="A2421" i="1"/>
  <c r="A2412" i="1"/>
  <c r="A2414" i="1"/>
  <c r="A2420" i="1"/>
  <c r="A2408" i="1"/>
  <c r="A2406" i="1"/>
  <c r="A2441" i="1"/>
  <c r="A2437" i="1"/>
  <c r="A2439" i="1"/>
  <c r="A2446" i="1"/>
  <c r="A2430" i="1"/>
  <c r="A2426" i="1"/>
  <c r="A2435" i="1"/>
  <c r="A1302" i="1"/>
  <c r="H2064" i="1"/>
  <c r="H1754" i="1"/>
  <c r="H1107" i="1"/>
  <c r="H534" i="1"/>
  <c r="H2442" i="1"/>
  <c r="H244" i="1"/>
  <c r="H1556" i="1"/>
  <c r="H536" i="1"/>
  <c r="H1975" i="1"/>
  <c r="H1891" i="1"/>
  <c r="H591" i="1"/>
  <c r="H2406" i="1"/>
  <c r="H299" i="1"/>
  <c r="H278" i="1"/>
  <c r="H181" i="1"/>
  <c r="H1586" i="1"/>
  <c r="H576" i="1"/>
  <c r="H2661" i="1"/>
  <c r="H2855" i="1"/>
  <c r="H284" i="1"/>
  <c r="H316" i="1"/>
  <c r="H2601" i="1"/>
  <c r="H2355" i="1"/>
  <c r="H2612" i="1"/>
  <c r="H8" i="1"/>
  <c r="H943" i="1"/>
  <c r="H2515" i="1"/>
  <c r="H1494" i="1"/>
  <c r="H81" i="1"/>
  <c r="H1971" i="1"/>
  <c r="H1093" i="1"/>
  <c r="H2822" i="1"/>
  <c r="H2722" i="1"/>
  <c r="H569" i="1"/>
  <c r="H1738" i="1"/>
  <c r="H2271" i="1"/>
  <c r="H1108" i="1"/>
  <c r="H2026" i="1"/>
  <c r="H782" i="1"/>
  <c r="H1790" i="1"/>
  <c r="H2755" i="1"/>
  <c r="H242" i="1"/>
  <c r="H1157" i="1"/>
  <c r="H1239" i="1"/>
  <c r="H2282" i="1"/>
  <c r="H2133" i="1"/>
  <c r="H2369" i="1"/>
  <c r="H548" i="1"/>
  <c r="H328" i="1"/>
  <c r="H1630" i="1"/>
  <c r="H2714" i="1"/>
  <c r="H2264" i="1"/>
  <c r="H1866" i="1"/>
  <c r="H561" i="1"/>
  <c r="H584" i="1"/>
  <c r="H471" i="1"/>
  <c r="H493" i="1"/>
  <c r="H687" i="1"/>
  <c r="H2327" i="1"/>
  <c r="H2549" i="1"/>
  <c r="H2840" i="1"/>
  <c r="H1017" i="1"/>
  <c r="H2774" i="1"/>
  <c r="H1059" i="1"/>
  <c r="H799" i="1"/>
  <c r="H1103" i="1"/>
  <c r="H1606" i="1"/>
  <c r="H2191" i="1"/>
  <c r="H873" i="1"/>
  <c r="H462" i="1"/>
  <c r="H1719" i="1"/>
  <c r="H381" i="1"/>
  <c r="H1553" i="1"/>
  <c r="H1410" i="1"/>
  <c r="H1230" i="1"/>
  <c r="H2227" i="1"/>
  <c r="H1876" i="1"/>
  <c r="H872" i="1"/>
  <c r="H1632" i="1"/>
  <c r="H2080" i="1"/>
  <c r="H1511" i="1"/>
  <c r="H200" i="1"/>
  <c r="H2695" i="1"/>
  <c r="H2139" i="1"/>
  <c r="H1345" i="1"/>
  <c r="H662" i="1"/>
  <c r="H915" i="1"/>
  <c r="H2821" i="1"/>
  <c r="H312" i="1"/>
  <c r="H2096" i="1"/>
  <c r="H422" i="1"/>
  <c r="H2396" i="1"/>
  <c r="H2397" i="1"/>
  <c r="H2150" i="1"/>
  <c r="H2854" i="1"/>
  <c r="H884" i="1"/>
  <c r="H43" i="1"/>
  <c r="H2003" i="1"/>
  <c r="H2457" i="1"/>
  <c r="H2058" i="1"/>
  <c r="H2790" i="1"/>
  <c r="H324" i="1"/>
  <c r="H733" i="1"/>
  <c r="H449" i="1"/>
  <c r="H2680" i="1"/>
  <c r="H792" i="1"/>
  <c r="H865" i="1"/>
  <c r="H612" i="1"/>
  <c r="H858" i="1"/>
  <c r="H56" i="1"/>
  <c r="H2538" i="1"/>
  <c r="H2359" i="1"/>
  <c r="H1670" i="1"/>
  <c r="H1933" i="1"/>
  <c r="H1075" i="1"/>
  <c r="H2138" i="1"/>
  <c r="H423" i="1"/>
  <c r="H2353" i="1"/>
  <c r="H726" i="1"/>
  <c r="H1021" i="1"/>
  <c r="H2049" i="1"/>
  <c r="H145" i="1"/>
  <c r="H134" i="1"/>
  <c r="H424" i="1"/>
  <c r="H1038" i="1"/>
  <c r="H1765" i="1"/>
  <c r="H2176" i="1"/>
  <c r="H1728" i="1"/>
  <c r="H376" i="1"/>
  <c r="H1629" i="1"/>
  <c r="H1652" i="1"/>
  <c r="H790" i="1"/>
  <c r="H167" i="1"/>
  <c r="H415" i="1"/>
  <c r="H2179" i="1"/>
  <c r="H2431" i="1"/>
  <c r="H2447" i="1"/>
  <c r="H2594" i="1"/>
  <c r="H2067" i="1"/>
  <c r="H1267" i="1"/>
  <c r="H2126" i="1"/>
  <c r="H1262" i="1"/>
  <c r="H2408" i="1"/>
  <c r="H1291" i="1"/>
  <c r="H2488" i="1"/>
  <c r="H44" i="1"/>
  <c r="H1843" i="1"/>
  <c r="H906" i="1"/>
  <c r="H174" i="1"/>
  <c r="H1624" i="1"/>
  <c r="H158" i="1"/>
  <c r="H34" i="1"/>
  <c r="H1626" i="1"/>
  <c r="H805" i="1"/>
  <c r="H207" i="1"/>
  <c r="H2466" i="1"/>
  <c r="H413" i="1"/>
  <c r="H30" i="1"/>
  <c r="H1888" i="1"/>
  <c r="H171" i="1"/>
  <c r="H2384" i="1"/>
  <c r="H1660" i="1"/>
  <c r="H2754" i="1"/>
  <c r="H508" i="1"/>
  <c r="H844" i="1"/>
  <c r="H127" i="1"/>
  <c r="H130" i="1"/>
  <c r="H1214" i="1"/>
  <c r="H1677" i="1"/>
  <c r="H1088" i="1"/>
  <c r="H2801" i="1"/>
  <c r="H2423" i="1"/>
  <c r="H261" i="1"/>
  <c r="H1958" i="1"/>
  <c r="H1769" i="1"/>
  <c r="H2073" i="1"/>
  <c r="H241" i="1"/>
  <c r="H410" i="1"/>
  <c r="H1967" i="1"/>
  <c r="H1988" i="1"/>
  <c r="H984" i="1"/>
  <c r="H685" i="1"/>
  <c r="H2519" i="1"/>
  <c r="H24" i="1"/>
  <c r="H1091" i="1"/>
  <c r="H789" i="1"/>
  <c r="H530" i="1"/>
  <c r="H624" i="1"/>
  <c r="H1223" i="1"/>
  <c r="H379" i="1"/>
  <c r="H294" i="1"/>
  <c r="H1292" i="1"/>
  <c r="H867" i="1"/>
  <c r="H578" i="1"/>
  <c r="H1616" i="1"/>
  <c r="H1089" i="1"/>
  <c r="H2618" i="1"/>
  <c r="H1149" i="1"/>
  <c r="H1830" i="1"/>
  <c r="H235" i="1"/>
  <c r="H2209" i="1"/>
  <c r="H1974" i="1"/>
  <c r="H2436" i="1"/>
  <c r="H1065" i="1"/>
  <c r="H2344" i="1"/>
  <c r="H347" i="1"/>
  <c r="H621" i="1"/>
  <c r="H2154" i="1"/>
  <c r="H1463" i="1"/>
  <c r="H492" i="1"/>
  <c r="H520" i="1"/>
  <c r="H2224" i="1"/>
  <c r="H2062" i="1"/>
  <c r="H321" i="1"/>
  <c r="H2780" i="1"/>
  <c r="H1401" i="1"/>
  <c r="H2349" i="1"/>
  <c r="H688" i="1"/>
  <c r="H444" i="1"/>
  <c r="H2306" i="1"/>
  <c r="H2616" i="1"/>
  <c r="H2521" i="1"/>
  <c r="H2110" i="1"/>
  <c r="H1123" i="1"/>
  <c r="H1406" i="1"/>
  <c r="H1084" i="1"/>
  <c r="H305" i="1"/>
  <c r="H2813" i="1"/>
  <c r="H338" i="1"/>
  <c r="H1264" i="1"/>
  <c r="H290" i="1"/>
  <c r="H1405" i="1"/>
  <c r="H773" i="1"/>
  <c r="H2116" i="1"/>
  <c r="H1564" i="1"/>
  <c r="H1545" i="1"/>
  <c r="H991" i="1"/>
  <c r="H371" i="1"/>
  <c r="H1611" i="1"/>
  <c r="H2057" i="1"/>
  <c r="H927" i="1"/>
  <c r="H944" i="1"/>
  <c r="H2050" i="1"/>
  <c r="H2162" i="1"/>
  <c r="H1614" i="1"/>
  <c r="H173" i="1"/>
  <c r="H2782" i="1"/>
  <c r="H464" i="1"/>
  <c r="H774" i="1"/>
  <c r="H1074" i="1"/>
  <c r="H1482" i="1"/>
  <c r="H1419" i="1"/>
  <c r="H1276" i="1"/>
  <c r="H1844" i="1"/>
  <c r="H2216" i="1"/>
  <c r="H2100" i="1"/>
  <c r="H2146" i="1"/>
  <c r="H656" i="1"/>
  <c r="H679" i="1"/>
  <c r="H84" i="1"/>
  <c r="H810" i="1"/>
  <c r="H557" i="1"/>
  <c r="H1188" i="1"/>
  <c r="H2761" i="1"/>
  <c r="H266" i="1"/>
  <c r="H196" i="1"/>
  <c r="H1710" i="1"/>
  <c r="H2298" i="1"/>
  <c r="H1393" i="1"/>
  <c r="H2111" i="1"/>
  <c r="H2815" i="1"/>
  <c r="H2243" i="1"/>
  <c r="H1487" i="1"/>
  <c r="H153" i="1"/>
  <c r="H1508" i="1"/>
  <c r="H883" i="1"/>
  <c r="H2375" i="1"/>
  <c r="H385" i="1"/>
  <c r="H2827" i="1"/>
  <c r="H2858" i="1"/>
  <c r="H2225" i="1"/>
  <c r="H1242" i="1"/>
  <c r="H2319" i="1"/>
  <c r="H567" i="1"/>
  <c r="H1593" i="1"/>
  <c r="H663" i="1"/>
  <c r="H1109" i="1"/>
  <c r="H1777" i="1"/>
  <c r="H1117" i="1"/>
  <c r="H1674" i="1"/>
  <c r="H1925" i="1"/>
  <c r="H2772" i="1"/>
  <c r="H1224" i="1"/>
  <c r="H2681" i="1"/>
  <c r="H1557" i="1"/>
  <c r="H2583" i="1"/>
  <c r="H1190" i="1"/>
  <c r="H1746" i="1"/>
  <c r="H864" i="1"/>
  <c r="H1138" i="1"/>
  <c r="H1102" i="1"/>
  <c r="H855" i="1"/>
  <c r="H106" i="1"/>
  <c r="H909" i="1"/>
  <c r="H463" i="1"/>
  <c r="H2571" i="1"/>
  <c r="H2308" i="1"/>
  <c r="H1634" i="1"/>
  <c r="H770" i="1"/>
  <c r="H2497" i="1"/>
  <c r="H1515" i="1"/>
  <c r="H2185" i="1"/>
  <c r="H1957" i="1"/>
  <c r="H2334" i="1"/>
  <c r="H813" i="1"/>
  <c r="H2775" i="1"/>
  <c r="H896" i="1"/>
  <c r="H2485" i="1"/>
  <c r="H273" i="1"/>
  <c r="H1042" i="1"/>
  <c r="H2742" i="1"/>
  <c r="H168" i="1"/>
  <c r="H2171" i="1"/>
  <c r="H2035" i="1"/>
  <c r="H2512" i="1"/>
  <c r="H2378" i="1"/>
  <c r="H2463" i="1"/>
  <c r="H494" i="1"/>
  <c r="H2148" i="1"/>
  <c r="H2523" i="1"/>
  <c r="H1255" i="1"/>
  <c r="H1856" i="1"/>
  <c r="H143" i="1"/>
  <c r="H2783" i="1"/>
  <c r="H531" i="1"/>
  <c r="H2328" i="1"/>
  <c r="H1053" i="1"/>
  <c r="H1498" i="1"/>
  <c r="H259" i="1"/>
  <c r="H2582" i="1"/>
  <c r="H1892" i="1"/>
  <c r="H2704" i="1"/>
  <c r="H1192" i="1"/>
  <c r="H29" i="1"/>
  <c r="H340" i="1"/>
  <c r="H1548" i="1"/>
  <c r="H406" i="1"/>
  <c r="H1795" i="1"/>
  <c r="H762" i="1"/>
  <c r="H1182" i="1"/>
  <c r="H1676" i="1"/>
  <c r="H2278" i="1"/>
  <c r="H2773" i="1"/>
  <c r="H1921" i="1"/>
  <c r="H1559" i="1"/>
  <c r="H928" i="1"/>
  <c r="H2044" i="1"/>
  <c r="H2608" i="1"/>
  <c r="H1121" i="1"/>
  <c r="H421" i="1"/>
  <c r="H1940" i="1"/>
  <c r="H502" i="1"/>
  <c r="H630" i="1"/>
  <c r="H592" i="1"/>
  <c r="H1340" i="1"/>
  <c r="H2765" i="1"/>
  <c r="H2377" i="1"/>
  <c r="H1469" i="1"/>
  <c r="H2426" i="1"/>
  <c r="H1159" i="1"/>
  <c r="H507" i="1"/>
  <c r="H1662" i="1"/>
  <c r="H2347" i="1"/>
  <c r="H2084" i="1"/>
  <c r="H2748" i="1"/>
  <c r="H1051" i="1"/>
  <c r="H1068" i="1"/>
  <c r="H202" i="1"/>
  <c r="H1667" i="1"/>
  <c r="H1270" i="1"/>
  <c r="H980" i="1"/>
  <c r="H1775" i="1"/>
  <c r="H2807" i="1"/>
  <c r="H2819" i="1"/>
  <c r="H2182" i="1"/>
  <c r="H1198" i="1"/>
  <c r="H411" i="1"/>
  <c r="H504" i="1"/>
  <c r="H1835" i="1"/>
  <c r="H1685" i="1"/>
  <c r="H2799" i="1"/>
  <c r="H245" i="1"/>
  <c r="H146" i="1"/>
  <c r="H1032" i="1"/>
  <c r="H322" i="1"/>
  <c r="H2103" i="1"/>
  <c r="H378" i="1"/>
  <c r="H2300" i="1"/>
  <c r="H1833" i="1"/>
  <c r="H1143" i="1"/>
  <c r="H1572" i="1"/>
  <c r="H1165" i="1"/>
  <c r="H717" i="1"/>
  <c r="H2592" i="1"/>
  <c r="H407" i="1"/>
  <c r="H1571" i="1"/>
  <c r="H15" i="1"/>
  <c r="H446" i="1"/>
  <c r="H1180" i="1"/>
  <c r="H1220" i="1"/>
  <c r="H1554" i="1"/>
  <c r="H2776" i="1"/>
  <c r="H2240" i="1"/>
  <c r="H188" i="1"/>
  <c r="H2863" i="1"/>
  <c r="H1164" i="1"/>
  <c r="H2706" i="1"/>
  <c r="H794" i="1"/>
  <c r="H1295" i="1"/>
  <c r="H1503" i="1"/>
  <c r="H176" i="1"/>
  <c r="H1582" i="1"/>
  <c r="H1956" i="1"/>
  <c r="H1018" i="1"/>
  <c r="H1581" i="1"/>
  <c r="H7" i="1"/>
  <c r="H1183" i="1"/>
  <c r="H1863" i="1"/>
  <c r="H2392" i="1"/>
  <c r="H465" i="1"/>
  <c r="H1278" i="1"/>
  <c r="H1229" i="1"/>
  <c r="H1013" i="1"/>
  <c r="H2553" i="1"/>
  <c r="H1308" i="1"/>
  <c r="H2279" i="1"/>
  <c r="H655" i="1"/>
  <c r="H1643" i="1"/>
  <c r="H1370" i="1"/>
  <c r="H500" i="1"/>
  <c r="H58" i="1"/>
  <c r="H1864" i="1"/>
  <c r="H2444" i="1"/>
  <c r="H555" i="1"/>
  <c r="H537" i="1"/>
  <c r="H231" i="1"/>
  <c r="H859" i="1"/>
  <c r="H1449" i="1"/>
  <c r="H1420" i="1"/>
  <c r="H2223" i="1"/>
  <c r="H2414" i="1"/>
  <c r="H648" i="1"/>
  <c r="H1376" i="1"/>
  <c r="H2525" i="1"/>
  <c r="H1850" i="1"/>
  <c r="H541" i="1"/>
  <c r="H1520" i="1"/>
  <c r="H761" i="1"/>
  <c r="H2055" i="1"/>
  <c r="H94" i="1"/>
  <c r="H881" i="1"/>
  <c r="H2075" i="1"/>
  <c r="H1030" i="1"/>
  <c r="H1320" i="1"/>
  <c r="H2690" i="1"/>
  <c r="H1173" i="1"/>
  <c r="H1788" i="1"/>
  <c r="H1907" i="1"/>
  <c r="H2646" i="1"/>
  <c r="H564" i="1"/>
  <c r="H692" i="1"/>
  <c r="H2771" i="1"/>
  <c r="H2398" i="1"/>
  <c r="H2536" i="1"/>
  <c r="H383" i="1"/>
  <c r="H1861" i="1"/>
  <c r="H1184" i="1"/>
  <c r="H1847" i="1"/>
  <c r="H344" i="1"/>
  <c r="H1826" i="1"/>
  <c r="H1125" i="1"/>
  <c r="H2800" i="1"/>
  <c r="H955" i="1"/>
  <c r="H2041" i="1"/>
  <c r="H2649" i="1"/>
  <c r="H2469" i="1"/>
  <c r="H1417" i="1"/>
  <c r="H1139" i="1"/>
  <c r="H1319" i="1"/>
  <c r="H1213" i="1"/>
  <c r="H764" i="1"/>
  <c r="H128" i="1"/>
  <c r="H625" i="1"/>
  <c r="H1210" i="1"/>
  <c r="H1305" i="1"/>
  <c r="H103" i="1"/>
  <c r="H2527" i="1"/>
  <c r="H392" i="1"/>
  <c r="H1359" i="1"/>
  <c r="H2181" i="1"/>
  <c r="H17" i="1"/>
  <c r="H2627" i="1"/>
  <c r="H1842" i="1"/>
  <c r="H2189" i="1"/>
  <c r="H1349" i="1"/>
  <c r="H595" i="1"/>
  <c r="H2208" i="1"/>
  <c r="H649" i="1"/>
  <c r="H89" i="1"/>
  <c r="H1310" i="1"/>
  <c r="H2078" i="1"/>
  <c r="H1151" i="1"/>
  <c r="H1724" i="1"/>
  <c r="H877" i="1"/>
  <c r="H184" i="1"/>
  <c r="H1601" i="1"/>
  <c r="H1896" i="1"/>
  <c r="H901" i="1"/>
  <c r="H2039" i="1"/>
  <c r="H1549" i="1"/>
  <c r="H2168" i="1"/>
  <c r="H1527" i="1"/>
  <c r="H1589" i="1"/>
  <c r="H563" i="1"/>
  <c r="H1066" i="1"/>
  <c r="H2341" i="1"/>
  <c r="H2000" i="1"/>
  <c r="H2337" i="1"/>
  <c r="H2170" i="1"/>
  <c r="H1493" i="1"/>
  <c r="H62" i="1"/>
  <c r="H1881" i="1"/>
  <c r="H1602" i="1"/>
  <c r="H869" i="1"/>
  <c r="H2467" i="1"/>
  <c r="H1448" i="1"/>
  <c r="H2340" i="1"/>
  <c r="H1249" i="1"/>
  <c r="H260" i="1"/>
  <c r="H1324" i="1"/>
  <c r="H852" i="1"/>
  <c r="H1175" i="1"/>
  <c r="H1671" i="1"/>
  <c r="H923" i="1"/>
  <c r="H1772" i="1"/>
  <c r="H2445" i="1"/>
  <c r="H2235" i="1"/>
  <c r="H1870" i="1"/>
  <c r="H2541" i="1"/>
  <c r="H2053" i="1"/>
  <c r="H2085" i="1"/>
  <c r="H374" i="1"/>
  <c r="H479" i="1"/>
  <c r="H938" i="1"/>
  <c r="H359" i="1"/>
  <c r="H1768" i="1"/>
  <c r="H2072" i="1"/>
  <c r="H1596" i="1"/>
  <c r="H428" i="1"/>
  <c r="H2737" i="1"/>
  <c r="H2814" i="1"/>
  <c r="H783" i="1"/>
  <c r="H1937" i="1"/>
  <c r="H1344" i="1"/>
  <c r="H2287" i="1"/>
  <c r="H1828" i="1"/>
  <c r="H2750" i="1"/>
  <c r="H1791" i="1"/>
  <c r="H1002" i="1"/>
  <c r="H2872" i="1"/>
  <c r="H874" i="1"/>
  <c r="H2402" i="1"/>
  <c r="H952" i="1"/>
  <c r="H1321" i="1"/>
  <c r="H2710" i="1"/>
  <c r="H2685" i="1"/>
  <c r="H673" i="1"/>
  <c r="H598" i="1"/>
  <c r="H1289" i="1"/>
  <c r="H1394" i="1"/>
  <c r="H1272" i="1"/>
  <c r="H2165" i="1"/>
  <c r="H1712" i="1"/>
  <c r="H1056" i="1"/>
  <c r="H1003" i="1"/>
  <c r="H667" i="1"/>
  <c r="H593" i="1"/>
  <c r="H1838" i="1"/>
  <c r="H739" i="1"/>
  <c r="H940" i="1"/>
  <c r="H1633" i="1"/>
  <c r="H1576" i="1"/>
  <c r="H2856" i="1"/>
  <c r="H1058" i="1"/>
  <c r="H609" i="1"/>
  <c r="H1945" i="1"/>
  <c r="H838" i="1"/>
  <c r="H1883" i="1"/>
  <c r="H806" i="1"/>
  <c r="H2342" i="1"/>
  <c r="H224" i="1"/>
  <c r="H9" i="1"/>
  <c r="H116" i="1"/>
  <c r="H2213" i="1"/>
  <c r="H399" i="1"/>
  <c r="H1299" i="1"/>
  <c r="H2562" i="1"/>
  <c r="H605" i="1"/>
  <c r="H1006" i="1"/>
  <c r="H1133" i="1"/>
  <c r="H2734" i="1"/>
  <c r="H2787" i="1"/>
  <c r="H1347" i="1"/>
  <c r="H215" i="1"/>
  <c r="H445" i="1"/>
  <c r="H629" i="1"/>
  <c r="H890" i="1"/>
  <c r="H946" i="1"/>
  <c r="H1043" i="1"/>
  <c r="H1254" i="1"/>
  <c r="H32" i="1"/>
  <c r="H2842" i="1"/>
  <c r="H466" i="1"/>
  <c r="H48" i="1"/>
  <c r="H2516" i="1"/>
  <c r="H2173" i="1"/>
  <c r="H973" i="1"/>
  <c r="H2002" i="1"/>
  <c r="H1285" i="1"/>
  <c r="H1771" i="1"/>
  <c r="H1537" i="1"/>
  <c r="H829" i="1"/>
  <c r="H986" i="1"/>
  <c r="H1650" i="1"/>
  <c r="H540" i="1"/>
  <c r="H758" i="1"/>
  <c r="H398" i="1"/>
  <c r="H1529" i="1"/>
  <c r="H120" i="1"/>
  <c r="H1585" i="1"/>
  <c r="H2763" i="1"/>
  <c r="H1928" i="1"/>
  <c r="H710" i="1"/>
  <c r="H1900" i="1"/>
  <c r="H2383" i="1"/>
  <c r="H2687" i="1"/>
  <c r="H90" i="1"/>
  <c r="H2082" i="1"/>
  <c r="H1386" i="1"/>
  <c r="H714" i="1"/>
  <c r="H1592" i="1"/>
  <c r="H1961" i="1"/>
  <c r="H1767" i="1"/>
  <c r="H1569" i="1"/>
  <c r="H1609" i="1"/>
  <c r="H2144" i="1"/>
  <c r="H1425" i="1"/>
  <c r="H693" i="1"/>
  <c r="H1499" i="1"/>
  <c r="H1681" i="1"/>
  <c r="H2343" i="1"/>
  <c r="H2040" i="1"/>
  <c r="H954" i="1"/>
  <c r="H551" i="1"/>
  <c r="H248" i="1"/>
  <c r="H2607" i="1"/>
  <c r="H1280" i="1"/>
  <c r="H342" i="1"/>
  <c r="H1045" i="1"/>
  <c r="H2666" i="1"/>
  <c r="H2677" i="1"/>
  <c r="H475" i="1"/>
  <c r="H1339" i="1"/>
  <c r="H1763" i="1"/>
  <c r="H1668" i="1"/>
  <c r="H345" i="1"/>
  <c r="H166" i="1"/>
  <c r="H2376" i="1"/>
  <c r="H1047" i="1"/>
  <c r="H1095" i="1"/>
  <c r="H1464" i="1"/>
  <c r="H1195" i="1"/>
  <c r="H713" i="1"/>
  <c r="H1682" i="1"/>
  <c r="H1162" i="1"/>
  <c r="H265" i="1"/>
  <c r="H2528" i="1"/>
  <c r="H2602" i="1"/>
  <c r="H1943" i="1"/>
  <c r="H2006" i="1"/>
  <c r="H2624" i="1"/>
  <c r="H1154" i="1"/>
  <c r="H496" i="1"/>
  <c r="H2561" i="1"/>
  <c r="H560" i="1"/>
  <c r="H2555" i="1"/>
  <c r="H2552" i="1"/>
  <c r="H1912" i="1"/>
  <c r="H1993" i="1"/>
  <c r="H1428" i="1"/>
  <c r="H672" i="1"/>
  <c r="H2581" i="1"/>
  <c r="H2109" i="1"/>
  <c r="H461" i="1"/>
  <c r="H2134" i="1"/>
  <c r="H2759" i="1"/>
  <c r="H777" i="1"/>
  <c r="H1747" i="1"/>
  <c r="H319" i="1"/>
  <c r="H1949" i="1"/>
  <c r="H2024" i="1"/>
  <c r="H1934" i="1"/>
  <c r="H1991" i="1"/>
  <c r="H1311" i="1"/>
  <c r="H1408" i="1"/>
  <c r="H999" i="1"/>
  <c r="H1857" i="1"/>
  <c r="H1191" i="1"/>
  <c r="H1445" i="1"/>
  <c r="H1411" i="1"/>
  <c r="H1201" i="1"/>
  <c r="H978" i="1"/>
  <c r="H293" i="1"/>
  <c r="H2365" i="1"/>
  <c r="H2603" i="1"/>
  <c r="H566" i="1"/>
  <c r="H1514" i="1"/>
  <c r="H2339" i="1"/>
  <c r="H580" i="1"/>
  <c r="H1953" i="1"/>
  <c r="H1236" i="1"/>
  <c r="H1026" i="1"/>
  <c r="H1208" i="1"/>
  <c r="H2331" i="1"/>
  <c r="H2038" i="1"/>
  <c r="H2747" i="1"/>
  <c r="H161" i="1"/>
  <c r="H1926" i="1"/>
  <c r="H233" i="1"/>
  <c r="H554" i="1"/>
  <c r="H1963" i="1"/>
  <c r="H1010" i="1"/>
  <c r="H721" i="1"/>
  <c r="H778" i="1"/>
  <c r="H483" i="1"/>
  <c r="H1880" i="1"/>
  <c r="H2394" i="1"/>
  <c r="H2500" i="1"/>
  <c r="H1478" i="1"/>
  <c r="H2187" i="1"/>
  <c r="H2455" i="1"/>
  <c r="H1145" i="1"/>
  <c r="H2551" i="1"/>
  <c r="H149" i="1"/>
  <c r="H1455" i="1"/>
  <c r="H354" i="1"/>
  <c r="H1965" i="1"/>
  <c r="H1568" i="1"/>
  <c r="H1732" i="1"/>
  <c r="H1659" i="1"/>
  <c r="H2864" i="1"/>
  <c r="H1820" i="1"/>
  <c r="H2674" i="1"/>
  <c r="H1257" i="1"/>
  <c r="H1070" i="1"/>
  <c r="H694" i="1"/>
  <c r="H1156" i="1"/>
  <c r="H2374" i="1"/>
  <c r="H2756" i="1"/>
  <c r="H2760" i="1"/>
  <c r="H2584" i="1"/>
  <c r="H769" i="1"/>
  <c r="H35" i="1"/>
  <c r="H270" i="1"/>
  <c r="H720" i="1"/>
  <c r="H1782" i="1"/>
  <c r="H2781" i="1"/>
  <c r="H1473" i="1"/>
  <c r="H854" i="1"/>
  <c r="H126" i="1"/>
  <c r="H2593" i="1"/>
  <c r="H1251" i="1"/>
  <c r="H2459" i="1"/>
  <c r="H1409" i="1"/>
  <c r="H1132" i="1"/>
  <c r="H2739" i="1"/>
  <c r="H545" i="1"/>
  <c r="H1163" i="1"/>
  <c r="H2557" i="1"/>
  <c r="H2226" i="1"/>
  <c r="H1841" i="1"/>
  <c r="H1155" i="1"/>
  <c r="H2367" i="1"/>
  <c r="H1492" i="1"/>
  <c r="H1352" i="1"/>
  <c r="H703" i="1"/>
  <c r="H1939" i="1"/>
  <c r="H550" i="1"/>
  <c r="H2789" i="1"/>
  <c r="H1780" i="1"/>
  <c r="H1131" i="1"/>
  <c r="H1282" i="1"/>
  <c r="H1115" i="1"/>
  <c r="H2465" i="1"/>
  <c r="H709" i="1"/>
  <c r="H1919" i="1"/>
  <c r="H505" i="1"/>
  <c r="H1221" i="1"/>
  <c r="H177" i="1"/>
  <c r="H2635" i="1"/>
  <c r="H524" i="1"/>
  <c r="H707" i="1"/>
  <c r="H1416" i="1"/>
  <c r="H2231" i="1"/>
  <c r="H1343" i="1"/>
  <c r="H2502" i="1"/>
  <c r="H763" i="1"/>
  <c r="H2676" i="1"/>
  <c r="H460" i="1"/>
  <c r="H1920" i="1"/>
  <c r="H511" i="1"/>
  <c r="H434" i="1"/>
  <c r="H1067" i="1"/>
  <c r="H2598" i="1"/>
  <c r="H2005" i="1"/>
  <c r="H109" i="1"/>
  <c r="H1204" i="1"/>
  <c r="H628" i="1"/>
  <c r="H1486" i="1"/>
  <c r="H1984" i="1"/>
  <c r="H2152" i="1"/>
  <c r="H2689" i="1"/>
  <c r="H641" i="1"/>
  <c r="H1060" i="1"/>
  <c r="H1704" i="1"/>
  <c r="H139" i="1"/>
  <c r="H1235" i="1"/>
  <c r="H2808" i="1"/>
  <c r="H2654" i="1"/>
  <c r="H933" i="1"/>
  <c r="H1526" i="1"/>
  <c r="H898" i="1"/>
  <c r="H2305" i="1"/>
  <c r="H1281" i="1"/>
  <c r="H2653" i="1"/>
  <c r="H1846" i="1"/>
  <c r="H1092" i="1"/>
  <c r="H234" i="1"/>
  <c r="H527" i="1"/>
  <c r="H670" i="1"/>
  <c r="H1666" i="1"/>
  <c r="H1135" i="1"/>
  <c r="H723" i="1"/>
  <c r="H581" i="1"/>
  <c r="H366" i="1"/>
  <c r="H2605" i="1"/>
  <c r="H1797" i="1"/>
  <c r="H2542" i="1"/>
  <c r="H579" i="1"/>
  <c r="H1273" i="1"/>
  <c r="H971" i="1"/>
  <c r="H1009" i="1"/>
  <c r="H2745" i="1"/>
  <c r="H251" i="1"/>
  <c r="H1353" i="1"/>
  <c r="H2797" i="1"/>
  <c r="H1447" i="1"/>
  <c r="H1404" i="1"/>
  <c r="H1706" i="1"/>
  <c r="H2631" i="1"/>
  <c r="H729" i="1"/>
  <c r="H2532" i="1"/>
  <c r="H1733" i="1"/>
  <c r="H948" i="1"/>
  <c r="H1225" i="1"/>
  <c r="H99" i="1"/>
  <c r="H1364" i="1"/>
  <c r="H2823" i="1"/>
  <c r="H1636" i="1"/>
  <c r="H1898" i="1"/>
  <c r="H1396" i="1"/>
  <c r="H1750" i="1"/>
  <c r="H1007" i="1"/>
  <c r="H1362" i="1"/>
  <c r="H1528" i="1"/>
  <c r="H2741" i="1"/>
  <c r="H1398" i="1"/>
  <c r="H676" i="1"/>
  <c r="H668" i="1"/>
  <c r="H2614" i="1"/>
  <c r="H228" i="1"/>
  <c r="H488" i="1"/>
  <c r="H36" i="1"/>
  <c r="H1258" i="1"/>
  <c r="H1496" i="1"/>
  <c r="H1773" i="1"/>
  <c r="H1690" i="1"/>
  <c r="H311" i="1"/>
  <c r="H2738" i="1"/>
  <c r="H941" i="1"/>
  <c r="H2632" i="1"/>
  <c r="H1923" i="1"/>
  <c r="H1997" i="1"/>
  <c r="H226" i="1"/>
  <c r="H296" i="1"/>
  <c r="H1600" i="1"/>
  <c r="H1374" i="1"/>
  <c r="H1973" i="1"/>
  <c r="H1951" i="1"/>
  <c r="H2325" i="1"/>
  <c r="H1181" i="1"/>
  <c r="H2429" i="1"/>
  <c r="H2838" i="1"/>
  <c r="H1664" i="1"/>
  <c r="H1577" i="1"/>
  <c r="H2545" i="1"/>
  <c r="H1402" i="1"/>
  <c r="H2526" i="1"/>
  <c r="H1603" i="1"/>
  <c r="H1298" i="1"/>
  <c r="H2621" i="1"/>
  <c r="H1330" i="1"/>
  <c r="H2048" i="1"/>
  <c r="H2438" i="1"/>
  <c r="H1194" i="1"/>
  <c r="H1566" i="1"/>
  <c r="H1137" i="1"/>
  <c r="H791" i="1"/>
  <c r="H2743" i="1"/>
  <c r="H1078" i="1"/>
  <c r="H841" i="1"/>
  <c r="H2441" i="1"/>
  <c r="H2254" i="1"/>
  <c r="H653" i="1"/>
  <c r="H218" i="1"/>
  <c r="H2630" i="1"/>
  <c r="H2585" i="1"/>
  <c r="H2250" i="1"/>
  <c r="H2586" i="1"/>
  <c r="H735" i="1"/>
  <c r="H1641" i="1"/>
  <c r="H2839" i="1"/>
  <c r="H702" i="1"/>
  <c r="H682" i="1"/>
  <c r="H1516" i="1"/>
  <c r="H2270" i="1"/>
  <c r="H1087" i="1"/>
  <c r="H1336" i="1"/>
  <c r="H1613" i="1"/>
  <c r="H711" i="1"/>
  <c r="H1296" i="1"/>
  <c r="H2866" i="1"/>
  <c r="H1395" i="1"/>
  <c r="H2255" i="1"/>
  <c r="H2795" i="1"/>
  <c r="H1329" i="1"/>
  <c r="H2393" i="1"/>
  <c r="H1615" i="1"/>
  <c r="H2275" i="1"/>
  <c r="H1884" i="1"/>
  <c r="H52" i="1"/>
  <c r="H639" i="1"/>
  <c r="H195" i="1"/>
  <c r="H514" i="1"/>
  <c r="H2070" i="1"/>
  <c r="H1840" i="1"/>
  <c r="H559" i="1"/>
  <c r="H2207" i="1"/>
  <c r="H1647" i="1"/>
  <c r="H1096" i="1"/>
  <c r="H1519" i="1"/>
  <c r="H637" i="1"/>
  <c r="H2841" i="1"/>
  <c r="H1063" i="1"/>
  <c r="H216" i="1"/>
  <c r="H1948" i="1"/>
  <c r="H246" i="1"/>
  <c r="H1335" i="1"/>
  <c r="H1169" i="1"/>
  <c r="H2606" i="1"/>
  <c r="H749" i="1"/>
  <c r="H2578" i="1"/>
  <c r="H664" i="1"/>
  <c r="H237" i="1"/>
  <c r="H1607" i="1"/>
  <c r="H932" i="1"/>
  <c r="H387" i="1"/>
  <c r="H2097" i="1"/>
  <c r="H78" i="1"/>
  <c r="H1550" i="1"/>
  <c r="H442" i="1"/>
  <c r="H1306" i="1"/>
  <c r="H1638" i="1"/>
  <c r="H2129" i="1"/>
  <c r="H499" i="1"/>
  <c r="H1960" i="1"/>
  <c r="H804" i="1"/>
  <c r="H23" i="1"/>
  <c r="H654" i="1"/>
  <c r="H731" i="1"/>
  <c r="H243" i="1"/>
  <c r="H252" i="1"/>
  <c r="H485" i="1"/>
  <c r="H1716" i="1"/>
  <c r="H665" i="1"/>
  <c r="H2045" i="1"/>
  <c r="H1451" i="1"/>
  <c r="H451" i="1"/>
  <c r="H2292" i="1"/>
  <c r="H2597" i="1"/>
  <c r="H1897" i="1"/>
  <c r="H2639" i="1"/>
  <c r="H690" i="1"/>
  <c r="H2440" i="1"/>
  <c r="H431" i="1"/>
  <c r="H610" i="1"/>
  <c r="H2480" i="1"/>
  <c r="H1524" i="1"/>
  <c r="H2451" i="1"/>
  <c r="H1005" i="1"/>
  <c r="H2321" i="1"/>
  <c r="H2537" i="1"/>
  <c r="H1567" i="1"/>
  <c r="H911" i="1"/>
  <c r="H1663" i="1"/>
  <c r="H2688" i="1"/>
  <c r="H2160" i="1"/>
  <c r="H572" i="1"/>
  <c r="H659" i="1"/>
  <c r="H1152" i="1"/>
  <c r="H1579" i="1"/>
  <c r="H2448" i="1"/>
  <c r="H1678" i="1"/>
  <c r="H417" i="1"/>
  <c r="H622" i="1"/>
  <c r="H2011" i="1"/>
  <c r="H1620" i="1"/>
  <c r="H675" i="1"/>
  <c r="H285" i="1"/>
  <c r="H389" i="1"/>
  <c r="H2533" i="1"/>
  <c r="H2093" i="1"/>
  <c r="H2122" i="1"/>
  <c r="H921" i="1"/>
  <c r="H286" i="1"/>
  <c r="H1432" i="1"/>
  <c r="H2141" i="1"/>
  <c r="H1040" i="1"/>
  <c r="H895" i="1"/>
  <c r="H2194" i="1"/>
  <c r="H2471" i="1"/>
  <c r="H459" i="1"/>
  <c r="H2682" i="1"/>
  <c r="H2010" i="1"/>
  <c r="H695" i="1"/>
  <c r="H2477" i="1"/>
  <c r="H456" i="1"/>
  <c r="H2751" i="1"/>
  <c r="H2867" i="1"/>
  <c r="H2640" i="1"/>
  <c r="H353" i="1"/>
  <c r="H2643" i="1"/>
  <c r="H1302" i="1"/>
  <c r="H1513" i="1"/>
  <c r="H1985" i="1"/>
  <c r="H2304" i="1"/>
  <c r="H1822" i="1"/>
  <c r="H2575" i="1"/>
  <c r="H1061" i="1"/>
  <c r="H1558" i="1"/>
  <c r="H2517" i="1"/>
  <c r="H616" i="1"/>
  <c r="H1783" i="1"/>
  <c r="H87" i="1"/>
  <c r="H1913" i="1"/>
  <c r="H1608" i="1"/>
  <c r="H585" i="1"/>
  <c r="H2468" i="1"/>
  <c r="H935" i="1"/>
  <c r="H1510" i="1"/>
  <c r="H2178" i="1"/>
  <c r="H1970" i="1"/>
  <c r="H953" i="1"/>
  <c r="H2127" i="1"/>
  <c r="H768" i="1"/>
  <c r="H489" i="1"/>
  <c r="H2043" i="1"/>
  <c r="H1011" i="1"/>
  <c r="H222" i="1"/>
  <c r="H1665" i="1"/>
  <c r="H1588" i="1"/>
  <c r="H1818" i="1"/>
  <c r="H477" i="1"/>
  <c r="H2338" i="1"/>
  <c r="H1536" i="1"/>
  <c r="H1141" i="1"/>
  <c r="H699" i="1"/>
  <c r="H2660" i="1"/>
  <c r="H1860" i="1"/>
  <c r="H1502" i="1"/>
  <c r="H2140" i="1"/>
  <c r="H716" i="1"/>
  <c r="H1929" i="1"/>
  <c r="H280" i="1"/>
  <c r="H2454" i="1"/>
  <c r="H1466" i="1"/>
  <c r="H835" i="1"/>
  <c r="H183" i="1"/>
  <c r="H2481" i="1"/>
  <c r="H2658" i="1"/>
  <c r="H2368" i="1"/>
  <c r="H2052" i="1"/>
  <c r="H1161" i="1"/>
  <c r="H2861" i="1"/>
  <c r="H2125" i="1"/>
  <c r="H967" i="1"/>
  <c r="H2095" i="1"/>
  <c r="H1648" i="1"/>
  <c r="H1804" i="1"/>
  <c r="H1989" i="1"/>
  <c r="H455" i="1"/>
  <c r="H2791" i="1"/>
  <c r="H203" i="1"/>
  <c r="H2629" i="1"/>
  <c r="H112" i="1"/>
  <c r="H1981" i="1"/>
  <c r="H2806" i="1"/>
  <c r="H2678" i="1"/>
  <c r="H1605" i="1"/>
  <c r="H2409" i="1"/>
  <c r="H2718" i="1"/>
  <c r="H2638" i="1"/>
  <c r="H1930" i="1"/>
  <c r="H332" i="1"/>
  <c r="H2422" i="1"/>
  <c r="H1111" i="1"/>
  <c r="H33" i="1"/>
  <c r="H1583" i="1"/>
  <c r="H634" i="1"/>
  <c r="H816" i="1"/>
  <c r="H1331" i="1"/>
  <c r="H306" i="1"/>
  <c r="H974" i="1"/>
  <c r="H1874" i="1"/>
  <c r="H825" i="1"/>
  <c r="H189" i="1"/>
  <c r="H71" i="1"/>
  <c r="H283" i="1"/>
  <c r="H110" i="1"/>
  <c r="H2121" i="1"/>
  <c r="H1909" i="1"/>
  <c r="H1543" i="1"/>
  <c r="H1153" i="1"/>
  <c r="H2081" i="1"/>
  <c r="H926" i="1"/>
  <c r="H2177" i="1"/>
  <c r="H1914" i="1"/>
  <c r="H1727" i="1"/>
  <c r="H893" i="1"/>
  <c r="H257" i="1"/>
  <c r="H2559" i="1"/>
  <c r="H1591" i="1"/>
  <c r="H914" i="1"/>
  <c r="H336" i="1"/>
  <c r="H738" i="1"/>
  <c r="H2389" i="1"/>
  <c r="H2333" i="1"/>
  <c r="H1342" i="1"/>
  <c r="H1819" i="1"/>
  <c r="H1789" i="1"/>
  <c r="H1836" i="1"/>
  <c r="H521" i="1"/>
  <c r="H2869" i="1"/>
  <c r="H2066" i="1"/>
  <c r="H370" i="1"/>
  <c r="H2587" i="1"/>
  <c r="H2217" i="1"/>
  <c r="H1424" i="1"/>
  <c r="H2493" i="1"/>
  <c r="H1495" i="1"/>
  <c r="H1741" i="1"/>
  <c r="H879" i="1"/>
  <c r="H210" i="1"/>
  <c r="H989" i="1"/>
  <c r="H2037" i="1"/>
  <c r="H2495" i="1"/>
  <c r="H331" i="1"/>
  <c r="H302" i="1"/>
  <c r="H1766" i="1"/>
  <c r="H1246" i="1"/>
  <c r="H1490" i="1"/>
  <c r="H357" i="1"/>
  <c r="H2381" i="1"/>
  <c r="H201" i="1"/>
  <c r="H2560" i="1"/>
  <c r="H843" i="1"/>
  <c r="H752" i="1"/>
  <c r="H1252" i="1"/>
  <c r="H2492" i="1"/>
  <c r="H227" i="1"/>
  <c r="H447" i="1"/>
  <c r="H512" i="1"/>
  <c r="H1077" i="1"/>
  <c r="H82" i="1"/>
  <c r="H2042" i="1"/>
  <c r="H2425" i="1"/>
  <c r="H12" i="1"/>
  <c r="H2036" i="1"/>
  <c r="H2220" i="1"/>
  <c r="H2293" i="1"/>
  <c r="H2733" i="1"/>
  <c r="H1906" i="1"/>
  <c r="H2023" i="1"/>
  <c r="H851" i="1"/>
  <c r="H1697" i="1"/>
  <c r="H2400" i="1"/>
  <c r="H2769" i="1"/>
  <c r="H2174" i="1"/>
  <c r="H2241" i="1"/>
  <c r="H185" i="1"/>
  <c r="H2324" i="1"/>
  <c r="H486" i="1"/>
  <c r="H2847" i="1"/>
  <c r="H1968" i="1"/>
  <c r="H2633" i="1"/>
  <c r="H2645" i="1"/>
  <c r="H856" i="1"/>
  <c r="H476" i="1"/>
  <c r="H875" i="1"/>
  <c r="H2615" i="1"/>
  <c r="H1248" i="1"/>
  <c r="H997" i="1"/>
  <c r="H1560" i="1"/>
  <c r="H2019" i="1"/>
  <c r="H138" i="1"/>
  <c r="H1036" i="1"/>
  <c r="H1531" i="1"/>
  <c r="H1743" i="1"/>
  <c r="H1391" i="1"/>
  <c r="H295" i="1"/>
  <c r="H2470" i="1"/>
  <c r="H686" i="1"/>
  <c r="H351" i="1"/>
  <c r="H2740" i="1"/>
  <c r="H2205" i="1"/>
  <c r="H1944" i="1"/>
  <c r="H839" i="1"/>
  <c r="H2499" i="1"/>
  <c r="H330" i="1"/>
  <c r="H1917" i="1"/>
  <c r="H198" i="1"/>
  <c r="H1226" i="1"/>
  <c r="H1800" i="1"/>
  <c r="H2731" i="1"/>
  <c r="H432" i="1"/>
  <c r="H2770" i="1"/>
  <c r="H700" i="1"/>
  <c r="H1894" i="1"/>
  <c r="H458" i="1"/>
  <c r="H193" i="1"/>
  <c r="H2809" i="1"/>
  <c r="H1189" i="1"/>
  <c r="H2348" i="1"/>
  <c r="H239" i="1"/>
  <c r="H1546" i="1"/>
  <c r="H2336" i="1"/>
  <c r="H1931" i="1"/>
  <c r="H742" i="1"/>
  <c r="H1672" i="1"/>
  <c r="H1423" i="1"/>
  <c r="H400" i="1"/>
  <c r="H627" i="1"/>
  <c r="H187" i="1"/>
  <c r="H640" i="1"/>
  <c r="H1976" i="1"/>
  <c r="H2453" i="1"/>
  <c r="H2873" i="1"/>
  <c r="H1381" i="1"/>
  <c r="H2667" i="1"/>
  <c r="H1994" i="1"/>
  <c r="H956" i="1"/>
  <c r="H1313" i="1"/>
  <c r="H2320" i="1"/>
  <c r="H1203" i="1"/>
  <c r="H402" i="1"/>
  <c r="H1055" i="1"/>
  <c r="H1886" i="1"/>
  <c r="H532" i="1"/>
  <c r="H1244" i="1"/>
  <c r="H2158" i="1"/>
  <c r="H544" i="1"/>
  <c r="H2805" i="1"/>
  <c r="H281" i="1"/>
  <c r="H571" i="1"/>
  <c r="H1452" i="1"/>
  <c r="H959" i="1"/>
  <c r="H1037" i="1"/>
  <c r="H2272" i="1"/>
  <c r="H2101" i="1"/>
  <c r="H1279" i="1"/>
  <c r="H2642" i="1"/>
  <c r="H1237" i="1"/>
  <c r="H229" i="1"/>
  <c r="H1179" i="1"/>
  <c r="H2357" i="1"/>
  <c r="H108" i="1"/>
  <c r="H2865" i="1"/>
  <c r="H1120" i="1"/>
  <c r="H1525" i="1"/>
  <c r="H303" i="1"/>
  <c r="H1488" i="1"/>
  <c r="H1758" i="1"/>
  <c r="H2474" i="1"/>
  <c r="H2708" i="1"/>
  <c r="H327" i="1"/>
  <c r="H2330" i="1"/>
  <c r="H2315" i="1"/>
  <c r="H2613" i="1"/>
  <c r="H1825" i="1"/>
  <c r="H1158" i="1"/>
  <c r="H341" i="1"/>
  <c r="H615" i="1"/>
  <c r="H1533" i="1"/>
  <c r="H2314" i="1"/>
  <c r="H1197" i="1"/>
  <c r="H886" i="1"/>
  <c r="H102" i="1"/>
  <c r="H2087" i="1"/>
  <c r="H206" i="1"/>
  <c r="H2280" i="1"/>
  <c r="H175" i="1"/>
  <c r="H2462" i="1"/>
  <c r="H698" i="1"/>
  <c r="H1231" i="1"/>
  <c r="H28" i="1"/>
  <c r="H131" i="1"/>
  <c r="H2507" i="1"/>
  <c r="H861" i="1"/>
  <c r="H1655" i="1"/>
  <c r="H1136" i="1"/>
  <c r="H1323" i="1"/>
  <c r="H426" i="1"/>
  <c r="H2188" i="1"/>
  <c r="H1327" i="1"/>
  <c r="H2505" i="1"/>
  <c r="H2684" i="1"/>
  <c r="H1657" i="1"/>
  <c r="H1241" i="1"/>
  <c r="H565" i="1"/>
  <c r="H1433" i="1"/>
  <c r="H2487" i="1"/>
  <c r="H724" i="1"/>
  <c r="H599" i="1"/>
  <c r="H1083" i="1"/>
  <c r="H797" i="1"/>
  <c r="H1366" i="1"/>
  <c r="H2803" i="1"/>
  <c r="H1717" i="1"/>
  <c r="H1475" i="1"/>
  <c r="H1383" i="1"/>
  <c r="H2486" i="1"/>
  <c r="H748" i="1"/>
  <c r="H2494" i="1"/>
  <c r="H438" i="1"/>
  <c r="H661" i="1"/>
  <c r="H992" i="1"/>
  <c r="H2313" i="1"/>
  <c r="H497" i="1"/>
  <c r="H2086" i="1"/>
  <c r="H846" i="1"/>
  <c r="H617" i="1"/>
  <c r="H2788" i="1"/>
  <c r="H1106" i="1"/>
  <c r="H2302" i="1"/>
  <c r="H1033" i="1"/>
  <c r="H607" i="1"/>
  <c r="H111" i="1"/>
  <c r="H288" i="1"/>
  <c r="H1541" i="1"/>
  <c r="H2816" i="1"/>
  <c r="H2851" i="1"/>
  <c r="H1071" i="1"/>
  <c r="H1509" i="1"/>
  <c r="H1887" i="1"/>
  <c r="H2620" i="1"/>
  <c r="H419" i="1"/>
  <c r="H213" i="1"/>
  <c r="H2089" i="1"/>
  <c r="H842" i="1"/>
  <c r="H2458" i="1"/>
  <c r="H430" i="1"/>
  <c r="H2288" i="1"/>
  <c r="H1955" i="1"/>
  <c r="H77" i="1"/>
  <c r="H1090" i="1"/>
  <c r="H2475" i="1"/>
  <c r="H2572" i="1"/>
  <c r="H988" i="1"/>
  <c r="H309" i="1"/>
  <c r="H1642" i="1"/>
  <c r="H2083" i="1"/>
  <c r="H70" i="1"/>
  <c r="H1744" i="1"/>
  <c r="H6" i="1"/>
  <c r="H186" i="1"/>
  <c r="H2779" i="1"/>
  <c r="H2206" i="1"/>
  <c r="H1422" i="1"/>
  <c r="H1104" i="1"/>
  <c r="H2169" i="1"/>
  <c r="H1714" i="1"/>
  <c r="H552" i="1"/>
  <c r="H849" i="1"/>
  <c r="H515" i="1"/>
  <c r="H645" i="1"/>
  <c r="H2589" i="1"/>
  <c r="H1915" i="1"/>
  <c r="H1476" i="1"/>
  <c r="H1245" i="1"/>
  <c r="H1079" i="1"/>
  <c r="H2637" i="1"/>
  <c r="H2849" i="1"/>
  <c r="H1793" i="1"/>
  <c r="H2326" i="1"/>
  <c r="H2395" i="1"/>
  <c r="H857" i="1"/>
  <c r="H2051" i="1"/>
  <c r="H902" i="1"/>
  <c r="H2531" i="1"/>
  <c r="H1745" i="1"/>
  <c r="H970" i="1"/>
  <c r="H516" i="1"/>
  <c r="H141" i="1"/>
  <c r="H1701" i="1"/>
  <c r="H1484" i="1"/>
  <c r="H2151" i="1"/>
  <c r="H1027" i="1"/>
  <c r="H767" i="1"/>
  <c r="H2329" i="1"/>
  <c r="H2390" i="1"/>
  <c r="H1312" i="1"/>
  <c r="H1999" i="1"/>
  <c r="H1050" i="1"/>
  <c r="H2566" i="1"/>
  <c r="H2234" i="1"/>
  <c r="H1126" i="1"/>
  <c r="H618" i="1"/>
  <c r="H868" i="1"/>
  <c r="H2870" i="1"/>
  <c r="H2720" i="1"/>
  <c r="H2591" i="1"/>
  <c r="H457" i="1"/>
  <c r="H2501" i="1"/>
  <c r="H436" i="1"/>
  <c r="H976" i="1"/>
  <c r="H1759" i="1"/>
  <c r="H802" i="1"/>
  <c r="H1969" i="1"/>
  <c r="H482" i="1"/>
  <c r="H2022" i="1"/>
  <c r="H2546" i="1"/>
  <c r="H1368" i="1"/>
  <c r="H414" i="1"/>
  <c r="H1105" i="1"/>
  <c r="H2266" i="1"/>
  <c r="H1217" i="1"/>
  <c r="H361" i="1"/>
  <c r="H1899" i="1"/>
  <c r="H1375" i="1"/>
  <c r="H1350" i="1"/>
  <c r="H1288" i="1"/>
  <c r="H1168" i="1"/>
  <c r="H888" i="1"/>
  <c r="H590" i="1"/>
  <c r="H1713" i="1"/>
  <c r="H1170" i="1"/>
  <c r="H2831" i="1"/>
  <c r="H1587" i="1"/>
  <c r="H2786" i="1"/>
  <c r="H814" i="1"/>
  <c r="H910" i="1"/>
  <c r="H1802" i="1"/>
  <c r="H382" i="1"/>
  <c r="H1369" i="1"/>
  <c r="H2692" i="1"/>
  <c r="H1534" i="1"/>
  <c r="H268" i="1"/>
  <c r="H1150" i="1"/>
  <c r="H2312" i="1"/>
  <c r="H125" i="1"/>
  <c r="H1124" i="1"/>
  <c r="H335" i="1"/>
  <c r="H513" i="1"/>
  <c r="H1952" i="1"/>
  <c r="H1443" i="1"/>
  <c r="H1983" i="1"/>
  <c r="H297" i="1"/>
  <c r="H2652" i="1"/>
  <c r="H1462" i="1"/>
  <c r="H1444" i="1"/>
  <c r="H160" i="1"/>
  <c r="H178" i="1"/>
  <c r="H1954" i="1"/>
  <c r="H2709" i="1"/>
  <c r="H1877" i="1"/>
  <c r="H860" i="1"/>
  <c r="H1178" i="1"/>
  <c r="H2518" i="1"/>
  <c r="H1694" i="1"/>
  <c r="H31" i="1"/>
  <c r="H2757" i="1"/>
  <c r="H1584" i="1"/>
  <c r="H1167" i="1"/>
  <c r="H756" i="1"/>
  <c r="H614" i="1"/>
  <c r="H1762" i="1"/>
  <c r="H899" i="1"/>
  <c r="H1097" i="1"/>
  <c r="H712" i="1"/>
  <c r="H2145" i="1"/>
  <c r="H1440" i="1"/>
  <c r="H1755" i="1"/>
  <c r="H60" i="1"/>
  <c r="H1337" i="1"/>
  <c r="H96" i="1"/>
  <c r="H358" i="1"/>
  <c r="H337" i="1"/>
  <c r="H1723" i="1"/>
  <c r="H1781" i="1"/>
  <c r="H892" i="1"/>
  <c r="H1034" i="1"/>
  <c r="H2214" i="1"/>
  <c r="H1539" i="1"/>
  <c r="H1807" i="1"/>
  <c r="H1518" i="1"/>
  <c r="H2332" i="1"/>
  <c r="H1041" i="1"/>
  <c r="H2650" i="1"/>
  <c r="H743" i="1"/>
  <c r="H787" i="1"/>
  <c r="H1031" i="1"/>
  <c r="H2707" i="1"/>
  <c r="H1035" i="1"/>
  <c r="H409" i="1"/>
  <c r="H966" i="1"/>
  <c r="H2446" i="1"/>
  <c r="H962" i="1"/>
  <c r="H1014" i="1"/>
  <c r="H1729" i="1"/>
  <c r="H2391" i="1"/>
  <c r="H360" i="1"/>
  <c r="H538" i="1"/>
  <c r="H1293" i="1"/>
  <c r="H1294" i="1"/>
  <c r="H1688" i="1"/>
  <c r="H343" i="1"/>
  <c r="H217" i="1"/>
  <c r="H2835" i="1"/>
  <c r="H50" i="1"/>
  <c r="H2203" i="1"/>
  <c r="H1467" i="1"/>
  <c r="H528" i="1"/>
  <c r="H2061" i="1"/>
  <c r="H701" i="1"/>
  <c r="H1869" i="1"/>
  <c r="H1598" i="1"/>
  <c r="H2590" i="1"/>
  <c r="H1736" i="1"/>
  <c r="H373" i="1"/>
  <c r="H1403" i="1"/>
  <c r="H1903" i="1"/>
  <c r="H2634" i="1"/>
  <c r="H164" i="1"/>
  <c r="H480" i="1"/>
  <c r="H2623" i="1"/>
  <c r="H570" i="1"/>
  <c r="H2435" i="1"/>
  <c r="H608" i="1"/>
  <c r="H275" i="1"/>
  <c r="H1355" i="1"/>
  <c r="H2569" i="1"/>
  <c r="H965" i="1"/>
  <c r="H1756" i="1"/>
  <c r="H684" i="1"/>
  <c r="H833" i="1"/>
  <c r="H788" i="1"/>
  <c r="H1373" i="1"/>
  <c r="H981" i="1"/>
  <c r="H350" i="1"/>
  <c r="H589" i="1"/>
  <c r="H1461" i="1"/>
  <c r="H631" i="1"/>
  <c r="H1779" i="1"/>
  <c r="H1470" i="1"/>
  <c r="H2837" i="1"/>
  <c r="H95" i="1"/>
  <c r="H1845" i="1"/>
  <c r="H2696" i="1"/>
  <c r="H2796" i="1"/>
  <c r="H828" i="1"/>
  <c r="H1081" i="1"/>
  <c r="H1947" i="1"/>
  <c r="H912" i="1"/>
  <c r="H375" i="1"/>
  <c r="H1540" i="1"/>
  <c r="H308" i="1"/>
  <c r="H2118" i="1"/>
  <c r="H1501" i="1"/>
  <c r="H889" i="1"/>
  <c r="H2196" i="1"/>
  <c r="H1689" i="1"/>
  <c r="H258" i="1"/>
  <c r="H2106" i="1"/>
  <c r="H2834" i="1"/>
  <c r="H1547" i="1"/>
  <c r="H917" i="1"/>
  <c r="H1805" i="1"/>
  <c r="H105" i="1"/>
  <c r="H1661" i="1"/>
  <c r="H236" i="1"/>
  <c r="H558" i="1"/>
  <c r="H671" i="1"/>
  <c r="H3" i="1"/>
  <c r="H22" i="1"/>
  <c r="H93" i="1"/>
  <c r="H2210" i="1"/>
  <c r="H878" i="1"/>
  <c r="H1621" i="1"/>
  <c r="H72" i="1"/>
  <c r="H1114" i="1"/>
  <c r="H2412" i="1"/>
  <c r="H1980" i="1"/>
  <c r="H348" i="1"/>
  <c r="H2015" i="1"/>
  <c r="H27" i="1"/>
  <c r="H2258" i="1"/>
  <c r="H1512" i="1"/>
  <c r="H21" i="1"/>
  <c r="H1372" i="1"/>
  <c r="H2719" i="1"/>
  <c r="H1623" i="1"/>
  <c r="H1012" i="1"/>
  <c r="H996" i="1"/>
  <c r="H2798" i="1"/>
  <c r="H13" i="1"/>
  <c r="H1692" i="1"/>
  <c r="H1821" i="1"/>
  <c r="H891" i="1"/>
  <c r="H271" i="1"/>
  <c r="H647" i="1"/>
  <c r="H2833" i="1"/>
  <c r="H1458" i="1"/>
  <c r="H1785" i="1"/>
  <c r="H2388" i="1"/>
  <c r="H2119" i="1"/>
  <c r="H2554" i="1"/>
  <c r="H968" i="1"/>
  <c r="H596" i="1"/>
  <c r="H209" i="1"/>
  <c r="H1212" i="1"/>
  <c r="H2221" i="1"/>
  <c r="H765" i="1"/>
  <c r="H1702" i="1"/>
  <c r="H1316" i="1"/>
  <c r="H1076" i="1"/>
  <c r="H1483" i="1"/>
  <c r="H1479" i="1"/>
  <c r="H975" i="1"/>
  <c r="H2232" i="1"/>
  <c r="H2345" i="1"/>
  <c r="H2317" i="1"/>
  <c r="H646" i="1"/>
  <c r="H163" i="1"/>
  <c r="H2273" i="1"/>
  <c r="H1128" i="1"/>
  <c r="H977" i="1"/>
  <c r="H1695" i="1"/>
  <c r="H425" i="1"/>
  <c r="H2411" i="1"/>
  <c r="H1574" i="1"/>
  <c r="H1895" i="1"/>
  <c r="H2656" i="1"/>
  <c r="H1118" i="1"/>
  <c r="H1849" i="1"/>
  <c r="H2259" i="1"/>
  <c r="H2483" i="1"/>
  <c r="H931" i="1"/>
  <c r="H2699" i="1"/>
  <c r="H179" i="1"/>
  <c r="H1637" i="1"/>
  <c r="H2510" i="1"/>
  <c r="H503" i="1"/>
  <c r="H2301" i="1"/>
  <c r="H1389" i="1"/>
  <c r="H2102" i="1"/>
  <c r="H526" i="1"/>
  <c r="H936" i="1"/>
  <c r="H317" i="1"/>
  <c r="H1561" i="1"/>
  <c r="H1731" i="1"/>
  <c r="H1646" i="1"/>
  <c r="H1039" i="1"/>
  <c r="H1748" i="1"/>
  <c r="H247" i="1"/>
  <c r="H1407" i="1"/>
  <c r="H439" i="1"/>
  <c r="H1946" i="1"/>
  <c r="H1119" i="1"/>
  <c r="H2404" i="1"/>
  <c r="H135" i="1"/>
  <c r="H2427" i="1"/>
  <c r="H2675" i="1"/>
  <c r="H10" i="1"/>
  <c r="H2424" i="1"/>
  <c r="H2135" i="1"/>
  <c r="H2047" i="1"/>
  <c r="H182" i="1"/>
  <c r="H870" i="1"/>
  <c r="H51" i="1"/>
  <c r="H1232" i="1"/>
  <c r="H1962" i="1"/>
  <c r="H1218" i="1"/>
  <c r="H11" i="1"/>
  <c r="H1187" i="1"/>
  <c r="H140" i="1"/>
  <c r="H2657" i="1"/>
  <c r="H636" i="1"/>
  <c r="H803" i="1"/>
  <c r="H1683" i="1"/>
  <c r="H2535" i="1"/>
  <c r="H61" i="1"/>
  <c r="H2580" i="1"/>
  <c r="H2410" i="1"/>
  <c r="H2371" i="1"/>
  <c r="H452" i="1"/>
  <c r="H2018" i="1"/>
  <c r="H2230" i="1"/>
  <c r="H2663" i="1"/>
  <c r="H1430" i="1"/>
  <c r="H1924" i="1"/>
  <c r="H2711" i="1"/>
  <c r="H2418" i="1"/>
  <c r="H1186" i="1"/>
  <c r="H325" i="1"/>
  <c r="H473" i="1"/>
  <c r="H1922" i="1"/>
  <c r="H1263" i="1"/>
  <c r="H172" i="1"/>
  <c r="H573" i="1"/>
  <c r="H2850" i="1"/>
  <c r="H942" i="1"/>
  <c r="H2443" i="1"/>
  <c r="H2161" i="1"/>
  <c r="H2149" i="1"/>
  <c r="H2530" i="1"/>
  <c r="H2175" i="1"/>
  <c r="H1442" i="1"/>
  <c r="H2239" i="1"/>
  <c r="H377" i="1"/>
  <c r="H771" i="1"/>
  <c r="H2034" i="1"/>
  <c r="H1722" i="1"/>
  <c r="H2574" i="1"/>
  <c r="H2548" i="1"/>
  <c r="H1426" i="1"/>
  <c r="H2725" i="1"/>
  <c r="H1711" i="1"/>
  <c r="H170" i="1"/>
  <c r="H2853" i="1"/>
  <c r="H523" i="1"/>
  <c r="H2201" i="1"/>
  <c r="H1328" i="1"/>
  <c r="H1500" i="1"/>
  <c r="H1261" i="1"/>
  <c r="H772" i="1"/>
  <c r="H490" i="1"/>
  <c r="H2020" i="1"/>
  <c r="H16" i="1"/>
  <c r="H1816" i="1"/>
  <c r="H2354" i="1"/>
  <c r="H65" i="1"/>
  <c r="H1879" i="1"/>
  <c r="H1627" i="1"/>
  <c r="H1739" i="1"/>
  <c r="H1691" i="1"/>
  <c r="H450" i="1"/>
  <c r="H495" i="1"/>
  <c r="H2732" i="1"/>
  <c r="H704" i="1"/>
  <c r="H1227" i="1"/>
  <c r="H2543" i="1"/>
  <c r="H1505" i="1"/>
  <c r="H812" i="1"/>
  <c r="H1260" i="1"/>
  <c r="H2163" i="1"/>
  <c r="H2056" i="1"/>
  <c r="H292" i="1"/>
  <c r="H2437" i="1"/>
  <c r="H1284" i="1"/>
  <c r="H2323" i="1"/>
  <c r="H2289" i="1"/>
  <c r="H633" i="1"/>
  <c r="H1996" i="1"/>
  <c r="H1222" i="1"/>
  <c r="H588" i="1"/>
  <c r="H1801" i="1"/>
  <c r="H113" i="1"/>
  <c r="H1485" i="1"/>
  <c r="H2098" i="1"/>
  <c r="H2031" i="1"/>
  <c r="H1367" i="1"/>
  <c r="H705" i="1"/>
  <c r="H1290" i="1"/>
  <c r="H46" i="1"/>
  <c r="H2001" i="1"/>
  <c r="H1172" i="1"/>
  <c r="H1916" i="1"/>
  <c r="H1174" i="1"/>
  <c r="H1148" i="1"/>
  <c r="H834" i="1"/>
  <c r="H601" i="1"/>
  <c r="H754" i="1"/>
  <c r="H1274" i="1"/>
  <c r="H1301" i="1"/>
  <c r="H2430" i="1"/>
  <c r="H1243" i="1"/>
  <c r="H983" i="1"/>
  <c r="H468" i="1"/>
  <c r="H1064" i="1"/>
  <c r="H2828" i="1"/>
  <c r="H657" i="1"/>
  <c r="H2573" i="1"/>
  <c r="H2403" i="1"/>
  <c r="H363" i="1"/>
  <c r="H1675" i="1"/>
  <c r="H1635" i="1"/>
  <c r="H2794" i="1"/>
  <c r="H2413" i="1"/>
  <c r="H2156" i="1"/>
  <c r="H2172" i="1"/>
  <c r="H2506" i="1"/>
  <c r="H913" i="1"/>
  <c r="H741" i="1"/>
  <c r="H2405" i="1"/>
  <c r="H2702" i="1"/>
  <c r="H2496" i="1"/>
  <c r="H993" i="1"/>
  <c r="H1935" i="1"/>
  <c r="H2218" i="1"/>
  <c r="H2460" i="1"/>
  <c r="H420" i="1"/>
  <c r="H725" i="1"/>
  <c r="H1228" i="1"/>
  <c r="H796" i="1"/>
  <c r="H1982" i="1"/>
  <c r="H498" i="1"/>
  <c r="H2364" i="1"/>
  <c r="H2382" i="1"/>
  <c r="H18" i="1"/>
  <c r="H2362" i="1"/>
  <c r="H897" i="1"/>
  <c r="H115" i="1"/>
  <c r="H994" i="1"/>
  <c r="H848" i="1"/>
  <c r="H1460" i="1"/>
  <c r="H1705" i="1"/>
  <c r="H506" i="1"/>
  <c r="H2697" i="1"/>
  <c r="H2021" i="1"/>
  <c r="H2130" i="1"/>
  <c r="H2242" i="1"/>
  <c r="H1764" i="1"/>
  <c r="H300" i="1"/>
  <c r="H755" i="1"/>
  <c r="H2114" i="1"/>
  <c r="H2025" i="1"/>
  <c r="H1889" i="1"/>
  <c r="H2625" i="1"/>
  <c r="H751" i="1"/>
  <c r="H568" i="1"/>
  <c r="H1656" i="1"/>
  <c r="H1434" i="1"/>
  <c r="H2611" i="1"/>
  <c r="H586" i="1"/>
  <c r="H1610" i="1"/>
  <c r="H964" i="1"/>
  <c r="H818" i="1"/>
  <c r="H2626" i="1"/>
  <c r="H279" i="1"/>
  <c r="H390" i="1"/>
  <c r="H840" i="1"/>
  <c r="H1414" i="1"/>
  <c r="H785" i="1"/>
  <c r="H2318" i="1"/>
  <c r="H2077" i="1"/>
  <c r="H2380" i="1"/>
  <c r="H478" i="1"/>
  <c r="H191" i="1"/>
  <c r="H830" i="1"/>
  <c r="H2236" i="1"/>
  <c r="H1196" i="1"/>
  <c r="H1563" i="1"/>
  <c r="H2703" i="1"/>
  <c r="H587" i="1"/>
  <c r="H1757" i="1"/>
  <c r="H123" i="1"/>
  <c r="H122" i="1"/>
  <c r="H1377" i="1"/>
  <c r="H1998" i="1"/>
  <c r="H885" i="1"/>
  <c r="H2749" i="1"/>
  <c r="H1686" i="1"/>
  <c r="H727" i="1"/>
  <c r="H1134" i="1"/>
  <c r="H1794" i="1"/>
  <c r="H484" i="1"/>
  <c r="H349" i="1"/>
  <c r="H2363" i="1"/>
  <c r="H2539" i="1"/>
  <c r="H1871" i="1"/>
  <c r="H2596" i="1"/>
  <c r="H683" i="1"/>
  <c r="H2190" i="1"/>
  <c r="H823" i="1"/>
  <c r="H2730" i="1"/>
  <c r="H298" i="1"/>
  <c r="H2670" i="1"/>
  <c r="H1865" i="1"/>
  <c r="H1555" i="1"/>
  <c r="H318" i="1"/>
  <c r="H1356" i="1"/>
  <c r="H2283" i="1"/>
  <c r="H403" i="1"/>
  <c r="H958" i="1"/>
  <c r="H433" i="1"/>
  <c r="H394" i="1"/>
  <c r="H1062" i="1"/>
  <c r="H1427" i="1"/>
  <c r="H2735" i="1"/>
  <c r="H730" i="1"/>
  <c r="H793" i="1"/>
  <c r="H37" i="1"/>
  <c r="H472" i="1"/>
  <c r="H73" i="1"/>
  <c r="H1575" i="1"/>
  <c r="H314" i="1"/>
  <c r="H79" i="1"/>
  <c r="H1721" i="1"/>
  <c r="H1209" i="1"/>
  <c r="H2683" i="1"/>
  <c r="H1905" i="1"/>
  <c r="H2832" i="1"/>
  <c r="H1412" i="1"/>
  <c r="H1358" i="1"/>
  <c r="H1028" i="1"/>
  <c r="H990" i="1"/>
  <c r="H1517" i="1"/>
  <c r="H1052" i="1"/>
  <c r="H2524" i="1"/>
  <c r="H2186" i="1"/>
  <c r="H1348" i="1"/>
  <c r="H429" i="1"/>
  <c r="H194" i="1"/>
  <c r="H930" i="1"/>
  <c r="H821" i="1"/>
  <c r="H1658" i="1"/>
  <c r="H753" i="1"/>
  <c r="H2826" i="1"/>
  <c r="H2105" i="1"/>
  <c r="H1651" i="1"/>
  <c r="H2233" i="1"/>
  <c r="H681" i="1"/>
  <c r="H2473" i="1"/>
  <c r="H25" i="1"/>
  <c r="H1277" i="1"/>
  <c r="H1938" i="1"/>
  <c r="H1808" i="1"/>
  <c r="H2183" i="1"/>
  <c r="H2568" i="1"/>
  <c r="H1421" i="1"/>
  <c r="H2724" i="1"/>
  <c r="H2113" i="1"/>
  <c r="H352" i="1"/>
  <c r="H2107" i="1"/>
  <c r="H20" i="1"/>
  <c r="H481" i="1"/>
  <c r="H1734" i="1"/>
  <c r="H1699" i="1"/>
  <c r="H2482" i="1"/>
  <c r="H1936" i="1"/>
  <c r="H2636" i="1"/>
  <c r="H1146" i="1"/>
  <c r="H1693" i="1"/>
  <c r="H1578" i="1"/>
  <c r="H939" i="1"/>
  <c r="H2088" i="1"/>
  <c r="H1215" i="1"/>
  <c r="H547" i="1"/>
  <c r="H2478" i="1"/>
  <c r="H1441" i="1"/>
  <c r="H118" i="1"/>
  <c r="H162" i="1"/>
  <c r="H611" i="1"/>
  <c r="H150" i="1"/>
  <c r="H1885" i="1"/>
  <c r="H2825" i="1"/>
  <c r="H1890" i="1"/>
  <c r="H384" i="1"/>
  <c r="H1456" i="1"/>
  <c r="H269" i="1"/>
  <c r="H522" i="1"/>
  <c r="H969" i="1"/>
  <c r="H2476" i="1"/>
  <c r="H204" i="1"/>
  <c r="H2032" i="1"/>
  <c r="H2672" i="1"/>
  <c r="H1307" i="1"/>
  <c r="H2848" i="1"/>
  <c r="H1315" i="1"/>
  <c r="H1474" i="1"/>
  <c r="H887" i="1"/>
  <c r="H697" i="1"/>
  <c r="H689" i="1"/>
  <c r="H2693" i="1"/>
  <c r="H1044" i="1"/>
  <c r="H2421" i="1"/>
  <c r="H2768" i="1"/>
  <c r="H2824" i="1"/>
  <c r="H267" i="1"/>
  <c r="H1978" i="1"/>
  <c r="H1875" i="1"/>
  <c r="H2588" i="1"/>
  <c r="H2247" i="1"/>
  <c r="H1649" i="1"/>
  <c r="H1872" i="1"/>
  <c r="H2180" i="1"/>
  <c r="H987" i="1"/>
  <c r="H1918" i="1"/>
  <c r="H1171" i="1"/>
  <c r="H2860" i="1"/>
  <c r="H386" i="1"/>
  <c r="H76" i="1"/>
  <c r="H41" i="1"/>
  <c r="H2063" i="1"/>
  <c r="H533" i="1"/>
  <c r="H1737" i="1"/>
  <c r="H1497" i="1"/>
  <c r="H817" i="1"/>
  <c r="H583" i="1"/>
  <c r="H1008" i="1"/>
  <c r="H1565" i="1"/>
  <c r="H2450" i="1"/>
  <c r="H2012" i="1"/>
  <c r="H2267" i="1"/>
  <c r="H1437" i="1"/>
  <c r="H1684" i="1"/>
  <c r="H960" i="1"/>
  <c r="H380" i="1"/>
  <c r="H757" i="1"/>
  <c r="H101" i="1"/>
  <c r="H339" i="1"/>
  <c r="H1832" i="1"/>
  <c r="H1387" i="1"/>
  <c r="H746" i="1"/>
  <c r="H2014" i="1"/>
  <c r="H1882" i="1"/>
  <c r="H2316" i="1"/>
  <c r="H418" i="1"/>
  <c r="H159" i="1"/>
  <c r="H1429" i="1"/>
  <c r="H2651" i="1"/>
  <c r="H1127" i="1"/>
  <c r="H845" i="1"/>
  <c r="H1332" i="1"/>
  <c r="H1740" i="1"/>
  <c r="H2142" i="1"/>
  <c r="H1219" i="1"/>
  <c r="H602" i="1"/>
  <c r="H715" i="1"/>
  <c r="H2565" i="1"/>
  <c r="H1787" i="1"/>
  <c r="H2299" i="1"/>
  <c r="H776" i="1"/>
  <c r="H2792" i="1"/>
  <c r="H1867" i="1"/>
  <c r="H14" i="1"/>
  <c r="H863" i="1"/>
  <c r="H2764" i="1"/>
  <c r="H1334" i="1"/>
  <c r="H2609" i="1"/>
  <c r="H2432" i="1"/>
  <c r="H2715" i="1"/>
  <c r="H905" i="1"/>
  <c r="H1346" i="1"/>
  <c r="H2350" i="1"/>
  <c r="H1054" i="1"/>
  <c r="H408" i="1"/>
  <c r="H2558" i="1"/>
  <c r="H2778" i="1"/>
  <c r="H1378" i="1"/>
  <c r="H1986" i="1"/>
  <c r="H2269" i="1"/>
  <c r="H1379" i="1"/>
  <c r="H2198" i="1"/>
  <c r="H2617" i="1"/>
  <c r="H2246" i="1"/>
  <c r="H2009" i="1"/>
  <c r="H2229" i="1"/>
  <c r="H250" i="1"/>
  <c r="H798" i="1"/>
  <c r="H1101" i="1"/>
  <c r="H1177" i="1"/>
  <c r="H606" i="1"/>
  <c r="H45" i="1"/>
  <c r="H2846" i="1"/>
  <c r="H1438" i="1"/>
  <c r="H1049" i="1"/>
  <c r="H1792" i="1"/>
  <c r="H957" i="1"/>
  <c r="H2257" i="1"/>
  <c r="H1020" i="1"/>
  <c r="H1318" i="1"/>
  <c r="H1837" i="1"/>
  <c r="H1099" i="1"/>
  <c r="H1700" i="1"/>
  <c r="H68" i="1"/>
  <c r="H1786" i="1"/>
  <c r="H2372" i="1"/>
  <c r="H2727" i="1"/>
  <c r="H474" i="1"/>
  <c r="H255" i="1"/>
  <c r="H2351" i="1"/>
  <c r="H2668" i="1"/>
  <c r="H1653" i="1"/>
  <c r="H1314" i="1"/>
  <c r="H1987" i="1"/>
  <c r="H1599" i="1"/>
  <c r="H2647" i="1"/>
  <c r="H918" i="1"/>
  <c r="H2200" i="1"/>
  <c r="H38" i="1"/>
  <c r="H1326" i="1"/>
  <c r="H1523" i="1"/>
  <c r="H2811" i="1"/>
  <c r="H148" i="1"/>
  <c r="H1080" i="1"/>
  <c r="H2570" i="1"/>
  <c r="H2143" i="1"/>
  <c r="H2211" i="1"/>
  <c r="H2874" i="1"/>
  <c r="H2550" i="1"/>
  <c r="H1604" i="1"/>
  <c r="H412" i="1"/>
  <c r="H2659" i="1"/>
  <c r="H1904" i="1"/>
  <c r="H334" i="1"/>
  <c r="H1824" i="1"/>
  <c r="H1679" i="1"/>
  <c r="H2253" i="1"/>
  <c r="H2484" i="1"/>
  <c r="H104" i="1"/>
  <c r="H623" i="1"/>
  <c r="H2008" i="1"/>
  <c r="H1760" i="1"/>
  <c r="H1266" i="1"/>
  <c r="H2662" i="1"/>
  <c r="H2219" i="1"/>
  <c r="H2131" i="1"/>
  <c r="H2115" i="1"/>
  <c r="H2117" i="1"/>
  <c r="H1116" i="1"/>
  <c r="H1625" i="1"/>
  <c r="H1122" i="1"/>
  <c r="H1297" i="1"/>
  <c r="H1810" i="1"/>
  <c r="H1645" i="1"/>
  <c r="H2753" i="1"/>
  <c r="H2132" i="1"/>
  <c r="H2655" i="1"/>
  <c r="H951" i="1"/>
  <c r="H2307" i="1"/>
  <c r="H819" i="1"/>
  <c r="H2028" i="1"/>
  <c r="H1972" i="1"/>
  <c r="H2610" i="1"/>
  <c r="H850" i="1"/>
  <c r="H2868" i="1"/>
  <c r="H517" i="1"/>
  <c r="H395" i="1"/>
  <c r="H1193" i="1"/>
  <c r="H114" i="1"/>
  <c r="H1382" i="1"/>
  <c r="H866" i="1"/>
  <c r="H604" i="1"/>
  <c r="H1851" i="1"/>
  <c r="H937" i="1"/>
  <c r="H652" i="1"/>
  <c r="H1570" i="1"/>
  <c r="H155" i="1"/>
  <c r="H1418" i="1"/>
  <c r="H808" i="1"/>
  <c r="H2124" i="1"/>
  <c r="H2669" i="1"/>
  <c r="H230" i="1"/>
  <c r="H2844" i="1"/>
  <c r="H2007" i="1"/>
  <c r="H1718" i="1"/>
  <c r="H2303" i="1"/>
  <c r="H2295" i="1"/>
  <c r="H487" i="1"/>
  <c r="H1751" i="1"/>
  <c r="H1617" i="1"/>
  <c r="H708" i="1"/>
  <c r="H2671" i="1"/>
  <c r="H2059" i="1"/>
  <c r="H759" i="1"/>
  <c r="H1580" i="1"/>
  <c r="H950" i="1"/>
  <c r="H1990" i="1"/>
  <c r="H144" i="1"/>
  <c r="H362" i="1"/>
  <c r="H2449" i="1"/>
  <c r="H2386" i="1"/>
  <c r="H2721" i="1"/>
  <c r="H276" i="1"/>
  <c r="H2694" i="1"/>
  <c r="H1142" i="1"/>
  <c r="H2490" i="1"/>
  <c r="H416" i="1"/>
  <c r="H4" i="1"/>
  <c r="H2033" i="1"/>
  <c r="H2069" i="1"/>
  <c r="H509" i="1"/>
  <c r="H2664" i="1"/>
  <c r="H924" i="1"/>
  <c r="H124" i="1"/>
  <c r="H1341" i="1"/>
  <c r="H2644" i="1"/>
  <c r="H836" i="1"/>
  <c r="H1742" i="1"/>
  <c r="H786" i="1"/>
  <c r="H1113" i="1"/>
  <c r="H1287" i="1"/>
  <c r="H2399" i="1"/>
  <c r="H1286" i="1"/>
  <c r="H1338" i="1"/>
  <c r="H142" i="1"/>
  <c r="H2370" i="1"/>
  <c r="H1640" i="1"/>
  <c r="H1504" i="1"/>
  <c r="H1100" i="1"/>
  <c r="H947" i="1"/>
  <c r="H1977" i="1"/>
  <c r="H1435" i="1"/>
  <c r="H2641" i="1"/>
  <c r="H2137" i="1"/>
  <c r="H1253" i="1"/>
  <c r="H651" i="1"/>
  <c r="H192" i="1"/>
  <c r="H405" i="1"/>
  <c r="H274" i="1"/>
  <c r="H2600" i="1"/>
  <c r="H1351" i="1"/>
  <c r="H2286" i="1"/>
  <c r="H1371" i="1"/>
  <c r="H972" i="1"/>
  <c r="H83" i="1"/>
  <c r="H1530" i="1"/>
  <c r="H613" i="1"/>
  <c r="H1959" i="1"/>
  <c r="H66" i="1"/>
  <c r="H129" i="1"/>
  <c r="H1932" i="1"/>
  <c r="H643" i="1"/>
  <c r="H1778" i="1"/>
  <c r="H2456" i="1"/>
  <c r="H1911" i="1"/>
  <c r="H256" i="1"/>
  <c r="H1735" i="1"/>
  <c r="H91" i="1"/>
  <c r="H2222" i="1"/>
  <c r="H1910" i="1"/>
  <c r="H1459" i="1"/>
  <c r="H2379" i="1"/>
  <c r="H2817" i="1"/>
  <c r="H42" i="1"/>
  <c r="H1966" i="1"/>
  <c r="H39" i="1"/>
  <c r="H674" i="1"/>
  <c r="H2619" i="1"/>
  <c r="H1160" i="1"/>
  <c r="H1325" i="1"/>
  <c r="H1471" i="1"/>
  <c r="H635" i="1"/>
  <c r="H1538" i="1"/>
  <c r="H1211" i="1"/>
  <c r="H356" i="1"/>
  <c r="H2046" i="1"/>
  <c r="H1749" i="1"/>
  <c r="H945" i="1"/>
  <c r="H2534" i="1"/>
  <c r="H1784" i="1"/>
  <c r="H961" i="1"/>
  <c r="H894" i="1"/>
  <c r="H1200" i="1"/>
  <c r="H212" i="1"/>
  <c r="H2120" i="1"/>
  <c r="H1480" i="1"/>
  <c r="H2599" i="1"/>
  <c r="H2577" i="1"/>
  <c r="H67" i="1"/>
  <c r="H1048" i="1"/>
  <c r="H2099" i="1"/>
  <c r="H832" i="1"/>
  <c r="H518" i="1"/>
  <c r="H2202" i="1"/>
  <c r="H1552" i="1"/>
  <c r="H1247" i="1"/>
  <c r="H1622" i="1"/>
  <c r="H2529" i="1"/>
  <c r="H594" i="1"/>
  <c r="H2504" i="1"/>
  <c r="H1590" i="1"/>
  <c r="H2829" i="1"/>
  <c r="H323" i="1"/>
  <c r="H74" i="1"/>
  <c r="H396" i="1"/>
  <c r="H49" i="1"/>
  <c r="H2195" i="1"/>
  <c r="H2352" i="1"/>
  <c r="H1472" i="1"/>
  <c r="H441" i="1"/>
  <c r="H1522" i="1"/>
  <c r="H775" i="1"/>
  <c r="H2812" i="1"/>
  <c r="H2859" i="1"/>
  <c r="H2256" i="1"/>
  <c r="H1618" i="1"/>
  <c r="H1878" i="1"/>
  <c r="H1752" i="1"/>
  <c r="H1798" i="1"/>
  <c r="H1397" i="1"/>
  <c r="H2472" i="1"/>
  <c r="H2054" i="1"/>
  <c r="H1628" i="1"/>
  <c r="H2498" i="1"/>
  <c r="H1450" i="1"/>
  <c r="H2029" i="1"/>
  <c r="H880" i="1"/>
  <c r="H469" i="1"/>
  <c r="H2673" i="1"/>
  <c r="H2237" i="1"/>
  <c r="H1072" i="1"/>
  <c r="H2245" i="1"/>
  <c r="H368" i="1"/>
  <c r="H1365" i="1"/>
  <c r="H329" i="1"/>
  <c r="H313" i="1"/>
  <c r="H2373" i="1"/>
  <c r="H1129" i="1"/>
  <c r="H2204" i="1"/>
  <c r="H2648" i="1"/>
  <c r="H2744" i="1"/>
  <c r="H277" i="1"/>
  <c r="H1399" i="1"/>
  <c r="H443" i="1"/>
  <c r="H2428" i="1"/>
  <c r="H1803" i="1"/>
  <c r="H223" i="1"/>
  <c r="H2268" i="1"/>
  <c r="H2060" i="1"/>
  <c r="H553" i="1"/>
  <c r="H1995" i="1"/>
  <c r="H2123" i="1"/>
  <c r="H1506" i="1"/>
  <c r="H2112" i="1"/>
  <c r="H2604" i="1"/>
  <c r="H1753" i="1"/>
  <c r="H315" i="1"/>
  <c r="H2415" i="1"/>
  <c r="H2713" i="1"/>
  <c r="H1004" i="1"/>
  <c r="H2563" i="1"/>
  <c r="H691" i="1"/>
  <c r="H98" i="1"/>
  <c r="H1265" i="1"/>
  <c r="H2464" i="1"/>
  <c r="H2802" i="1"/>
  <c r="H2276" i="1"/>
  <c r="H448" i="1"/>
  <c r="H2818" i="1"/>
  <c r="H2752" i="1"/>
  <c r="H54" i="1"/>
  <c r="H2322" i="1"/>
  <c r="H632" i="1"/>
  <c r="H1551" i="1"/>
  <c r="H1950" i="1"/>
  <c r="H2871" i="1"/>
  <c r="H137" i="1"/>
  <c r="H2358" i="1"/>
  <c r="H238" i="1"/>
  <c r="H1390" i="1"/>
  <c r="H369" i="1"/>
  <c r="H1942" i="1"/>
  <c r="H310" i="1"/>
  <c r="H240" i="1"/>
  <c r="H2212" i="1"/>
  <c r="H722" i="1"/>
  <c r="H2452" i="1"/>
  <c r="H1893" i="1"/>
  <c r="H1823" i="1"/>
  <c r="H2030" i="1"/>
  <c r="H435" i="1"/>
  <c r="H929" i="1"/>
  <c r="H1639" i="1"/>
  <c r="H2509" i="1"/>
  <c r="H1283" i="1"/>
  <c r="H263" i="1"/>
  <c r="H2079" i="1"/>
  <c r="H1774" i="1"/>
  <c r="H1233" i="1"/>
  <c r="H2284" i="1"/>
  <c r="H1147" i="1"/>
  <c r="H2291" i="1"/>
  <c r="H2274" i="1"/>
  <c r="H2193" i="1"/>
  <c r="H388" i="1"/>
  <c r="H2091" i="1"/>
  <c r="H2285" i="1"/>
  <c r="H1094" i="1"/>
  <c r="H205" i="1"/>
  <c r="H562" i="1"/>
  <c r="H1176" i="1"/>
  <c r="H920" i="1"/>
  <c r="H2281" i="1"/>
  <c r="H1814" i="1"/>
  <c r="H847" i="1"/>
  <c r="H2166" i="1"/>
  <c r="H1205" i="1"/>
  <c r="H696" i="1"/>
  <c r="H53" i="1"/>
  <c r="H2547" i="1"/>
  <c r="H2564" i="1"/>
  <c r="H2228" i="1"/>
  <c r="H2074" i="1"/>
  <c r="H1185" i="1"/>
  <c r="H1436" i="1"/>
  <c r="H254" i="1"/>
  <c r="H287" i="1"/>
  <c r="H1776" i="1"/>
  <c r="H916" i="1"/>
  <c r="H1250" i="1"/>
  <c r="H391" i="1"/>
  <c r="H214" i="1"/>
  <c r="H1707" i="1"/>
  <c r="H264" i="1"/>
  <c r="H2199" i="1"/>
  <c r="H2263" i="1"/>
  <c r="H795" i="1"/>
  <c r="H165" i="1"/>
  <c r="H1709" i="1"/>
  <c r="H2439" i="1"/>
  <c r="H998" i="1"/>
  <c r="H1333" i="1"/>
  <c r="H393" i="1"/>
  <c r="H2758" i="1"/>
  <c r="H291" i="1"/>
  <c r="H40" i="1"/>
  <c r="H660" i="1"/>
  <c r="H1206" i="1"/>
  <c r="H1521" i="1"/>
  <c r="H1216" i="1"/>
  <c r="H491" i="1"/>
  <c r="H1720" i="1"/>
  <c r="H2310" i="1"/>
  <c r="H2726" i="1"/>
  <c r="H2862" i="1"/>
  <c r="H2157" i="1"/>
  <c r="H922" i="1"/>
  <c r="H440" i="1"/>
  <c r="H154" i="1"/>
  <c r="H2556" i="1"/>
  <c r="H1019" i="1"/>
  <c r="H2698" i="1"/>
  <c r="H666" i="1"/>
  <c r="H680" i="1"/>
  <c r="H2071" i="1"/>
  <c r="H1544" i="1"/>
  <c r="H2434" i="1"/>
  <c r="H1023" i="1"/>
  <c r="H190" i="1"/>
  <c r="H2262" i="1"/>
  <c r="H253" i="1"/>
  <c r="H1309" i="1"/>
  <c r="H1812" i="1"/>
  <c r="H750" i="1"/>
  <c r="H985" i="1"/>
  <c r="H2309" i="1"/>
  <c r="H64" i="1"/>
  <c r="H644" i="1"/>
  <c r="H2520" i="1"/>
  <c r="H1725" i="1"/>
  <c r="H882" i="1"/>
  <c r="H556" i="1"/>
  <c r="H658" i="1"/>
  <c r="H1698" i="1"/>
  <c r="H2108" i="1"/>
  <c r="H1413" i="1"/>
  <c r="H2360" i="1"/>
  <c r="H2728" i="1"/>
  <c r="H1354" i="1"/>
  <c r="H575" i="1"/>
  <c r="H2767" i="1"/>
  <c r="H401" i="1"/>
  <c r="H1016" i="1"/>
  <c r="H1454" i="1"/>
  <c r="H2417" i="1"/>
  <c r="H2294" i="1"/>
  <c r="H871" i="1"/>
  <c r="H1385" i="1"/>
  <c r="H1809" i="1"/>
  <c r="H779" i="1"/>
  <c r="H2729" i="1"/>
  <c r="H2762" i="1"/>
  <c r="H1696" i="1"/>
  <c r="H519" i="1"/>
  <c r="H301" i="1"/>
  <c r="H2736" i="1"/>
  <c r="H1303" i="1"/>
  <c r="H1730" i="1"/>
  <c r="H121" i="1"/>
  <c r="H900" i="1"/>
  <c r="H822" i="1"/>
  <c r="H2027" i="1"/>
  <c r="H117" i="1"/>
  <c r="H510" i="1"/>
  <c r="H2665" i="1"/>
  <c r="H320" i="1"/>
  <c r="H208" i="1"/>
  <c r="H543" i="1"/>
  <c r="H2290" i="1"/>
  <c r="H1806" i="1"/>
  <c r="H2167" i="1"/>
  <c r="H333" i="1"/>
  <c r="H2712" i="1"/>
  <c r="H2356" i="1"/>
  <c r="H718" i="1"/>
  <c r="H669" i="1"/>
  <c r="H1269" i="1"/>
  <c r="H2686" i="1"/>
  <c r="H1085" i="1"/>
  <c r="H740" i="1"/>
  <c r="H1796" i="1"/>
  <c r="H119" i="1"/>
  <c r="H289" i="1"/>
  <c r="H2793" i="1"/>
  <c r="H136" i="1"/>
  <c r="H1202" i="1"/>
  <c r="H1834" i="1"/>
  <c r="H820" i="1"/>
  <c r="H1360" i="1"/>
  <c r="H2215" i="1"/>
  <c r="H744" i="1"/>
  <c r="H919" i="1"/>
  <c r="H1384" i="1"/>
  <c r="H2705" i="1"/>
  <c r="H2311" i="1"/>
  <c r="H542" i="1"/>
  <c r="H2503" i="1"/>
  <c r="H1902" i="1"/>
  <c r="H282" i="1"/>
  <c r="H501" i="1"/>
  <c r="H2238" i="1"/>
  <c r="H1481" i="1"/>
  <c r="H603" i="1"/>
  <c r="H706" i="1"/>
  <c r="H1858" i="1"/>
  <c r="H63" i="1"/>
  <c r="H211" i="1"/>
  <c r="H1357" i="1"/>
  <c r="H736" i="1"/>
  <c r="H827" i="1"/>
  <c r="H1491" i="1"/>
  <c r="H1207" i="1"/>
  <c r="H1322" i="1"/>
  <c r="H2416" i="1"/>
  <c r="H650" i="1"/>
  <c r="H638" i="1"/>
  <c r="H1457" i="1"/>
  <c r="H2810" i="1"/>
  <c r="H397" i="1"/>
  <c r="H2508" i="1"/>
  <c r="H1831" i="1"/>
  <c r="H1238" i="1"/>
  <c r="H747" i="1"/>
  <c r="H1022" i="1"/>
  <c r="H1166" i="1"/>
  <c r="H1813" i="1"/>
  <c r="H107" i="1"/>
  <c r="H454" i="1"/>
  <c r="H535" i="1"/>
  <c r="H1619" i="1"/>
  <c r="H1388" i="1"/>
  <c r="H2843" i="1"/>
  <c r="H1631" i="1"/>
  <c r="H1024" i="1"/>
  <c r="H2700" i="1"/>
  <c r="H59" i="1"/>
  <c r="H1829" i="1"/>
  <c r="H620" i="1"/>
  <c r="H156" i="1"/>
  <c r="H732" i="1"/>
  <c r="H26" i="1"/>
  <c r="H1532" i="1"/>
  <c r="H1392" i="1"/>
  <c r="H539" i="1"/>
  <c r="H404" i="1"/>
  <c r="H934" i="1"/>
  <c r="H147" i="1"/>
  <c r="H2184" i="1"/>
  <c r="H1240" i="1"/>
  <c r="H2249" i="1"/>
  <c r="H1811" i="1"/>
  <c r="H2407" i="1"/>
  <c r="H1415" i="1"/>
  <c r="H2785" i="1"/>
  <c r="H2136" i="1"/>
  <c r="H1855" i="1"/>
  <c r="H1687" i="1"/>
  <c r="H1715" i="1"/>
  <c r="H1275" i="1"/>
  <c r="H1446" i="1"/>
  <c r="H2076" i="1"/>
  <c r="H180" i="1"/>
  <c r="H1799" i="1"/>
  <c r="H1848" i="1"/>
  <c r="H1908" i="1"/>
  <c r="H151" i="1"/>
  <c r="H1069" i="1"/>
  <c r="H1317" i="1"/>
  <c r="H2164" i="1"/>
  <c r="H2716" i="1"/>
  <c r="H100" i="1"/>
  <c r="H963" i="1"/>
  <c r="H86" i="1"/>
  <c r="H1025" i="1"/>
  <c r="H2522" i="1"/>
  <c r="H467" i="1"/>
  <c r="H1654" i="1"/>
  <c r="H2576" i="1"/>
  <c r="H1770" i="1"/>
  <c r="H2679" i="1"/>
  <c r="H2296" i="1"/>
  <c r="H2297" i="1"/>
  <c r="H2579" i="1"/>
  <c r="H2852" i="1"/>
  <c r="H1927" i="1"/>
  <c r="H728" i="1"/>
  <c r="H2104" i="1"/>
  <c r="H1489" i="1"/>
  <c r="H642" i="1"/>
  <c r="H2261" i="1"/>
  <c r="H837" i="1"/>
  <c r="H1256" i="1"/>
  <c r="H5" i="1"/>
  <c r="H574" i="1"/>
  <c r="H600" i="1"/>
  <c r="H88" i="1"/>
  <c r="H2540" i="1"/>
  <c r="H2090" i="1"/>
  <c r="H2567" i="1"/>
  <c r="H2845" i="1"/>
  <c r="H734" i="1"/>
  <c r="H1992" i="1"/>
  <c r="H152" i="1"/>
  <c r="H1477" i="1"/>
  <c r="H525" i="1"/>
  <c r="H2385" i="1"/>
  <c r="H1726" i="1"/>
  <c r="H2419" i="1"/>
  <c r="H2420" i="1"/>
  <c r="H1082" i="1"/>
  <c r="H75" i="1"/>
  <c r="H546" i="1"/>
  <c r="H1680" i="1"/>
  <c r="H220" i="1"/>
  <c r="H824" i="1"/>
  <c r="H2622" i="1"/>
  <c r="H903" i="1"/>
  <c r="H853" i="1"/>
  <c r="H1669" i="1"/>
  <c r="H1817" i="1"/>
  <c r="H262" i="1"/>
  <c r="H69" i="1"/>
  <c r="H2346" i="1"/>
  <c r="H1595" i="1"/>
  <c r="H133" i="1"/>
  <c r="H1144" i="1"/>
  <c r="H1304" i="1"/>
  <c r="H367" i="1"/>
  <c r="H453" i="1"/>
  <c r="H2595" i="1"/>
  <c r="H197" i="1"/>
  <c r="H2514" i="1"/>
  <c r="H307" i="1"/>
  <c r="H907" i="1"/>
  <c r="H47" i="1"/>
  <c r="H2197" i="1"/>
  <c r="H2153" i="1"/>
  <c r="H2433" i="1"/>
  <c r="H2366" i="1"/>
  <c r="H1400" i="1"/>
  <c r="H2691" i="1"/>
  <c r="H57" i="1"/>
  <c r="H2128" i="1"/>
  <c r="H157" i="1"/>
  <c r="H2361" i="1"/>
  <c r="H2479" i="1"/>
  <c r="H904" i="1"/>
  <c r="H1029" i="1"/>
  <c r="H949" i="1"/>
  <c r="H979" i="1"/>
  <c r="H1868" i="1"/>
  <c r="H549" i="1"/>
  <c r="H2192" i="1"/>
  <c r="H2784" i="1"/>
  <c r="H2252" i="1"/>
  <c r="H1361" i="1"/>
  <c r="H199" i="1"/>
  <c r="H815" i="1"/>
  <c r="H677" i="1"/>
  <c r="H1057" i="1"/>
  <c r="H1535" i="1"/>
  <c r="H1110" i="1"/>
  <c r="H85" i="1"/>
  <c r="H355" i="1"/>
  <c r="H1761" i="1"/>
  <c r="H678" i="1"/>
  <c r="H1259" i="1"/>
  <c r="H1573" i="1"/>
  <c r="H2804" i="1"/>
  <c r="H2260" i="1"/>
  <c r="H1271" i="1"/>
  <c r="H2544" i="1"/>
  <c r="H1815" i="1"/>
  <c r="H1854" i="1"/>
  <c r="H2159" i="1"/>
  <c r="H737" i="1"/>
  <c r="H2155" i="1"/>
  <c r="H1000" i="1"/>
  <c r="H2820" i="1"/>
  <c r="H1964" i="1"/>
  <c r="H1380" i="1"/>
  <c r="H2013" i="1"/>
  <c r="H249" i="1"/>
  <c r="H2513" i="1"/>
  <c r="H719" i="1"/>
  <c r="H597" i="1"/>
  <c r="H2701" i="1"/>
  <c r="H2248" i="1"/>
  <c r="H1862" i="1"/>
  <c r="H427" i="1"/>
  <c r="H784" i="1"/>
  <c r="H809" i="1"/>
  <c r="H1465" i="1"/>
  <c r="H745" i="1"/>
  <c r="H2401" i="1"/>
  <c r="H225" i="1"/>
  <c r="H304" i="1"/>
  <c r="H908" i="1"/>
  <c r="H811" i="1"/>
  <c r="H2857" i="1"/>
  <c r="H97" i="1"/>
  <c r="H326" i="1"/>
  <c r="H2277" i="1"/>
  <c r="H272" i="1"/>
  <c r="H1612" i="1"/>
  <c r="H221" i="1"/>
  <c r="H760" i="1"/>
  <c r="H365" i="1"/>
  <c r="H995" i="1"/>
  <c r="H169" i="1"/>
  <c r="H626" i="1"/>
  <c r="H826" i="1"/>
  <c r="H2461" i="1"/>
  <c r="H766" i="1"/>
  <c r="H1839" i="1"/>
  <c r="H2628" i="1"/>
  <c r="H577" i="1"/>
  <c r="H80" i="1"/>
  <c r="H1363" i="1"/>
  <c r="H807" i="1"/>
  <c r="H2387" i="1"/>
  <c r="H346" i="1"/>
  <c r="H219" i="1"/>
  <c r="H1140" i="1"/>
  <c r="H925" i="1"/>
  <c r="H582" i="1"/>
  <c r="H372" i="1"/>
  <c r="H781" i="1"/>
  <c r="H876" i="1"/>
  <c r="H2777" i="1"/>
  <c r="H1199" i="1"/>
  <c r="H1098" i="1"/>
  <c r="H801" i="1"/>
  <c r="H2094" i="1"/>
  <c r="H1453" i="1"/>
  <c r="H1073" i="1"/>
  <c r="H1644" i="1"/>
  <c r="H529" i="1"/>
  <c r="H19" i="1"/>
  <c r="H2017" i="1"/>
  <c r="H92" i="1"/>
  <c r="H1597" i="1"/>
  <c r="H2244" i="1"/>
  <c r="H2766" i="1"/>
  <c r="H2746" i="1"/>
  <c r="H2016" i="1"/>
  <c r="H1439" i="1"/>
  <c r="H2335" i="1"/>
  <c r="H2147" i="1"/>
  <c r="H1673" i="1"/>
  <c r="H1859" i="1"/>
  <c r="H862" i="1"/>
  <c r="H2065" i="1"/>
  <c r="H1468" i="1"/>
  <c r="H2511" i="1"/>
  <c r="H831" i="1"/>
  <c r="H1901" i="1"/>
  <c r="H232" i="1"/>
  <c r="H2251" i="1"/>
  <c r="H1431" i="1"/>
  <c r="H470" i="1"/>
  <c r="H2830" i="1"/>
  <c r="H800" i="1"/>
  <c r="H132" i="1"/>
  <c r="H1979" i="1"/>
  <c r="H1046" i="1"/>
  <c r="H1268" i="1"/>
  <c r="H1300" i="1"/>
  <c r="H2717" i="1"/>
  <c r="H2836" i="1"/>
  <c r="H780" i="1"/>
  <c r="H1001" i="1"/>
  <c r="H2092" i="1"/>
  <c r="H1852" i="1"/>
  <c r="H2489" i="1"/>
  <c r="H619" i="1"/>
  <c r="H982" i="1"/>
  <c r="H2068" i="1"/>
  <c r="H1542" i="1"/>
  <c r="H1941" i="1"/>
  <c r="H2723" i="1"/>
  <c r="H1112" i="1"/>
  <c r="H2004" i="1"/>
  <c r="H2491" i="1"/>
  <c r="H364" i="1"/>
  <c r="H1708" i="1"/>
  <c r="H1086" i="1"/>
  <c r="H2265" i="1"/>
  <c r="H1853" i="1"/>
  <c r="H1015" i="1"/>
  <c r="H1562" i="1"/>
  <c r="H1130" i="1"/>
  <c r="H1594" i="1"/>
  <c r="H1703" i="1"/>
  <c r="H55" i="1"/>
  <c r="H1873" i="1"/>
  <c r="H437" i="1"/>
  <c r="H1827" i="1"/>
  <c r="H1507" i="1"/>
  <c r="H1234" i="1"/>
</calcChain>
</file>

<file path=xl/sharedStrings.xml><?xml version="1.0" encoding="utf-8"?>
<sst xmlns="http://schemas.openxmlformats.org/spreadsheetml/2006/main" count="52620" uniqueCount="6634">
  <si>
    <t>POIName</t>
  </si>
  <si>
    <t>POI_code</t>
  </si>
  <si>
    <t>Activity_tag</t>
  </si>
  <si>
    <t>A.BEDARO</t>
  </si>
  <si>
    <t>MG52516190009001</t>
  </si>
  <si>
    <t>Treatment of moderate acute malnutrition</t>
  </si>
  <si>
    <t>ABC DOMINO AMBOLA</t>
  </si>
  <si>
    <t>School feeding (on-site)</t>
  </si>
  <si>
    <t>ABC DOMINO ANDRANOTOHOKY</t>
  </si>
  <si>
    <t>ABC DOMINO Ankilibory</t>
  </si>
  <si>
    <t>ABC DOMINO ANKILIMIVONY</t>
  </si>
  <si>
    <t>ABC DOMINO BEHELOKA</t>
  </si>
  <si>
    <t>ABC DOMINO Belitsaka</t>
  </si>
  <si>
    <t>Adabolava</t>
  </si>
  <si>
    <t>MG53519190007001</t>
  </si>
  <si>
    <t>AFONDRALAMBO EVAZY</t>
  </si>
  <si>
    <t>AFONDRAVOATSY NORD</t>
  </si>
  <si>
    <t>AFONDRIAMBITA</t>
  </si>
  <si>
    <t>AGNAFONDRAVOAY</t>
  </si>
  <si>
    <t>MG53517150085001</t>
  </si>
  <si>
    <t>Agnalalava</t>
  </si>
  <si>
    <t>MG52513030010001</t>
  </si>
  <si>
    <t>AGNALAMENA</t>
  </si>
  <si>
    <t>AGNALAMIHOATSE</t>
  </si>
  <si>
    <t>Agnalamisaka</t>
  </si>
  <si>
    <t>MG51507050020001</t>
  </si>
  <si>
    <t>Agnanademby</t>
  </si>
  <si>
    <t>MG52513030020001</t>
  </si>
  <si>
    <t>AGNANAKIRIHITSE</t>
  </si>
  <si>
    <t>AGNANATSAKOA SOATAMEA</t>
  </si>
  <si>
    <t>Agnanilahy</t>
  </si>
  <si>
    <t>MG52516170043</t>
  </si>
  <si>
    <t>Prevention of acute malnutrition</t>
  </si>
  <si>
    <t>Agnaramaike</t>
  </si>
  <si>
    <t>MG51507050015002</t>
  </si>
  <si>
    <t>AGNARAMAIKY</t>
  </si>
  <si>
    <t>Agnaramalinike</t>
  </si>
  <si>
    <t>MG51507050015001</t>
  </si>
  <si>
    <t>Agnaramiteraka</t>
  </si>
  <si>
    <t>MG51507070057001</t>
  </si>
  <si>
    <t>Agnena</t>
  </si>
  <si>
    <t>MG51507190008001</t>
  </si>
  <si>
    <t>AGNENA CENTRE</t>
  </si>
  <si>
    <t>AGNENA SUD</t>
  </si>
  <si>
    <t>Agnena-Ankiliabo</t>
  </si>
  <si>
    <t>MG51507070076001</t>
  </si>
  <si>
    <t>Agnirinihamba</t>
  </si>
  <si>
    <t>MG52513030003001</t>
  </si>
  <si>
    <t>Agnivovorano</t>
  </si>
  <si>
    <t>MG52516151080009</t>
  </si>
  <si>
    <t>Prevention of stunting</t>
  </si>
  <si>
    <t>Agnorike</t>
  </si>
  <si>
    <t>MG52516111017001</t>
  </si>
  <si>
    <t>AJAFARO</t>
  </si>
  <si>
    <t>MG52516170069001</t>
  </si>
  <si>
    <t>Akarana</t>
  </si>
  <si>
    <t>MG52518092089</t>
  </si>
  <si>
    <t>AKILETOKA</t>
  </si>
  <si>
    <t>Akonatsy</t>
  </si>
  <si>
    <t>MG52518152051001</t>
  </si>
  <si>
    <t>AKONDRIA</t>
  </si>
  <si>
    <t>MG52518251077001</t>
  </si>
  <si>
    <t>Akororoky Mahazosoa</t>
  </si>
  <si>
    <t>MG52516071030</t>
  </si>
  <si>
    <t>Alohavala</t>
  </si>
  <si>
    <t>MG25217051006001</t>
  </si>
  <si>
    <t>Ambahevahe</t>
  </si>
  <si>
    <t>MG51520358003001</t>
  </si>
  <si>
    <t>Ambahevahe-Amborompotsy</t>
  </si>
  <si>
    <t>MG51507050003001</t>
  </si>
  <si>
    <t>AMBAHITA</t>
  </si>
  <si>
    <t>Ambahita centrale</t>
  </si>
  <si>
    <t>MG52518151045001</t>
  </si>
  <si>
    <t>Ambahita Centre</t>
  </si>
  <si>
    <t>MG52518151001</t>
  </si>
  <si>
    <t>AMBAHONA</t>
  </si>
  <si>
    <t>Ambahotera</t>
  </si>
  <si>
    <t>MG51507090011001</t>
  </si>
  <si>
    <t>Ambahy Ianakafy</t>
  </si>
  <si>
    <t>MG53519070006001</t>
  </si>
  <si>
    <t>AMBAKOANA</t>
  </si>
  <si>
    <t>Ambalabe Beavoha</t>
  </si>
  <si>
    <t>MG51507310027001</t>
  </si>
  <si>
    <t>Ambalabe(Mahatsara)</t>
  </si>
  <si>
    <t>MG25217030004001</t>
  </si>
  <si>
    <t>Ambaladara</t>
  </si>
  <si>
    <t>MG23209110002001</t>
  </si>
  <si>
    <t>Ambaladoda</t>
  </si>
  <si>
    <t>MG51507310043001</t>
  </si>
  <si>
    <t>Ambalagoavy</t>
  </si>
  <si>
    <t>MG23211011007001</t>
  </si>
  <si>
    <t>Ambalahazo</t>
  </si>
  <si>
    <t>MG33312152009001</t>
  </si>
  <si>
    <t>AMBALAHORAKY</t>
  </si>
  <si>
    <t>Ambalahosy sud</t>
  </si>
  <si>
    <t>Ambalakazaha</t>
  </si>
  <si>
    <t>MG41405090003001</t>
  </si>
  <si>
    <t>AMBALAKONDRO</t>
  </si>
  <si>
    <t>AMBALALANGY</t>
  </si>
  <si>
    <t>Ambalamasy</t>
  </si>
  <si>
    <t>MG52513070061001</t>
  </si>
  <si>
    <t>Ambalandambo</t>
  </si>
  <si>
    <t>MG51507310090001</t>
  </si>
  <si>
    <t>AMBALANOSY</t>
  </si>
  <si>
    <t>Ambalaromba</t>
  </si>
  <si>
    <t>Ambalasaraka</t>
  </si>
  <si>
    <t>MG52518251003002</t>
  </si>
  <si>
    <t>Ambalasaraka Bekily</t>
  </si>
  <si>
    <t>MG52518251003001</t>
  </si>
  <si>
    <t>AMBALASAVOA</t>
  </si>
  <si>
    <t>Ambalatany</t>
  </si>
  <si>
    <t>MG51507290070001</t>
  </si>
  <si>
    <t>Ambalatany-Ambalatany</t>
  </si>
  <si>
    <t>MG25213471001001</t>
  </si>
  <si>
    <t>AMBALATENINA</t>
  </si>
  <si>
    <t>MG31310130010001</t>
  </si>
  <si>
    <t>Ambalatraka</t>
  </si>
  <si>
    <t>MG25213410001001</t>
  </si>
  <si>
    <t>Ambalatsiefa</t>
  </si>
  <si>
    <t>MG51506050020001</t>
  </si>
  <si>
    <t>Ambalatsimivike</t>
  </si>
  <si>
    <t>MG51507310039</t>
  </si>
  <si>
    <t>Ambalatsimiviky</t>
  </si>
  <si>
    <t>MG51507310039001</t>
  </si>
  <si>
    <t>Ambalatsmiviky</t>
  </si>
  <si>
    <t>MG51507310039002</t>
  </si>
  <si>
    <t>Ambalavato</t>
  </si>
  <si>
    <t>MG51507010003001</t>
  </si>
  <si>
    <t>AMBALAVATO CENTRE</t>
  </si>
  <si>
    <t>Ambalavato Nord</t>
  </si>
  <si>
    <t>MG51503011004001</t>
  </si>
  <si>
    <t>AMBALAVOLO</t>
  </si>
  <si>
    <t>MG23211011003001</t>
  </si>
  <si>
    <t>Ambalavolo-Efatsy</t>
  </si>
  <si>
    <t>MG25213430003001</t>
  </si>
  <si>
    <t>AMBALAVOTAKA</t>
  </si>
  <si>
    <t>AMBALIANDRO</t>
  </si>
  <si>
    <t>Ambalolo</t>
  </si>
  <si>
    <t>MG25213110002001</t>
  </si>
  <si>
    <t>Ambanditse</t>
  </si>
  <si>
    <t>MG52516170025</t>
  </si>
  <si>
    <t>Ambanekily sud</t>
  </si>
  <si>
    <t>MG52516013054001</t>
  </si>
  <si>
    <t>AMBANIALA</t>
  </si>
  <si>
    <t>AMBANIKILY NORD</t>
  </si>
  <si>
    <t>Ambanikily Volankira</t>
  </si>
  <si>
    <t>MG52514050078001</t>
  </si>
  <si>
    <t>AMBANINATO</t>
  </si>
  <si>
    <t>Ambanisarika</t>
  </si>
  <si>
    <t>MG52516031001</t>
  </si>
  <si>
    <t>Ambanisarika Centre</t>
  </si>
  <si>
    <t>MG52516031035001</t>
  </si>
  <si>
    <t>AMBANIZA</t>
  </si>
  <si>
    <t>AMBARAHOLONA</t>
  </si>
  <si>
    <t>MG23211051004001</t>
  </si>
  <si>
    <t>Ambaramafaitra</t>
  </si>
  <si>
    <t>MG25217090002001</t>
  </si>
  <si>
    <t>Ambararata</t>
  </si>
  <si>
    <t>MG25215031004001</t>
  </si>
  <si>
    <t>Ambararata Centre</t>
  </si>
  <si>
    <t>MG52516130a_14001</t>
  </si>
  <si>
    <t>AMBARARATA GOUDRON</t>
  </si>
  <si>
    <t>Ambararata Haut</t>
  </si>
  <si>
    <t>MG51507050002001</t>
  </si>
  <si>
    <t>AMBARARATA NORD(Antanimainty)</t>
  </si>
  <si>
    <t>MG53517332003001</t>
  </si>
  <si>
    <t>Ambararata Ouest</t>
  </si>
  <si>
    <t>MG52518010006001</t>
  </si>
  <si>
    <t>Ambario</t>
  </si>
  <si>
    <t>MG51506191011001</t>
  </si>
  <si>
    <t>Ambaro</t>
  </si>
  <si>
    <t>MG23209032002001</t>
  </si>
  <si>
    <t>MG52516130039031</t>
  </si>
  <si>
    <t>Ambaro Cente</t>
  </si>
  <si>
    <t>MG52516130039</t>
  </si>
  <si>
    <t>Ambaro III</t>
  </si>
  <si>
    <t>MG52516072072001</t>
  </si>
  <si>
    <t>AMBARO SUD</t>
  </si>
  <si>
    <t>AMBAROABO</t>
  </si>
  <si>
    <t>AMBAROANINTSY</t>
  </si>
  <si>
    <t>Ambarobe</t>
  </si>
  <si>
    <t>Ambaromanoy</t>
  </si>
  <si>
    <t>MG52514071014001</t>
  </si>
  <si>
    <t>Ambary</t>
  </si>
  <si>
    <t>MG52516170042</t>
  </si>
  <si>
    <t>AMBASIA I</t>
  </si>
  <si>
    <t>Ambasy</t>
  </si>
  <si>
    <t>MG53519050014001</t>
  </si>
  <si>
    <t>AMBASY CENTRE</t>
  </si>
  <si>
    <t>AMBASY TANAMBAO</t>
  </si>
  <si>
    <t>AMBATO</t>
  </si>
  <si>
    <t>AMBATOBE</t>
  </si>
  <si>
    <t>AMBATOFOTSY</t>
  </si>
  <si>
    <t>Ambatofotsy Bekily</t>
  </si>
  <si>
    <t>MG24216192004001</t>
  </si>
  <si>
    <t>Ambatofotsy I</t>
  </si>
  <si>
    <t>MG51507250005001</t>
  </si>
  <si>
    <t>Ambatofotsy Mahasoa</t>
  </si>
  <si>
    <t>MG51506012018</t>
  </si>
  <si>
    <t>AMBATOFOTSY-II</t>
  </si>
  <si>
    <t>Ambatofoty</t>
  </si>
  <si>
    <t>MG52513050078001</t>
  </si>
  <si>
    <t>Ambatofoty Ouest</t>
  </si>
  <si>
    <t>MG51506015003001</t>
  </si>
  <si>
    <t>AMBATOHARANANA</t>
  </si>
  <si>
    <t>AMBATOKAPEKE EJEDA</t>
  </si>
  <si>
    <t>AMBATOKAPEKE VOHITANY</t>
  </si>
  <si>
    <t>Ambatokapike</t>
  </si>
  <si>
    <t>MG51507150062001</t>
  </si>
  <si>
    <t>Ambatokapike Centre</t>
  </si>
  <si>
    <t>MG51507150005</t>
  </si>
  <si>
    <t>Ambatokapike Sud</t>
  </si>
  <si>
    <t>MG51506050018001</t>
  </si>
  <si>
    <t>Ambatolahinaore</t>
  </si>
  <si>
    <t>MG54509070010001</t>
  </si>
  <si>
    <t>Ambatolahitsirara</t>
  </si>
  <si>
    <t>MG51507130010001</t>
  </si>
  <si>
    <t>AMBATOLAMPY</t>
  </si>
  <si>
    <t>MG23A21101108001</t>
  </si>
  <si>
    <t>Ambatolava</t>
  </si>
  <si>
    <t>MG31309050014001</t>
  </si>
  <si>
    <t>AMBATOLILY</t>
  </si>
  <si>
    <t>Ambatomainty</t>
  </si>
  <si>
    <t>MG51506210002001</t>
  </si>
  <si>
    <t>AMBATOMAINTY ANAVIAVY</t>
  </si>
  <si>
    <t>AMBATOMAINTY ANIVORANO</t>
  </si>
  <si>
    <t>Ambatomainty Haut</t>
  </si>
  <si>
    <t>MG52518151020</t>
  </si>
  <si>
    <t>Ambatomainty Ii</t>
  </si>
  <si>
    <t>MG51506210022</t>
  </si>
  <si>
    <t>AMBATOMAINTY SAKOAMBELOMY</t>
  </si>
  <si>
    <t>AMBATOMAINTY-AMPETSAPETSA</t>
  </si>
  <si>
    <t>Ambatomainty-Antondabe</t>
  </si>
  <si>
    <t>MG25222012002001</t>
  </si>
  <si>
    <t>Ambatomainty-Bekily</t>
  </si>
  <si>
    <t>MG52516014002001</t>
  </si>
  <si>
    <t>Ambatomainty-BEKITRO</t>
  </si>
  <si>
    <t>MG52518230002001</t>
  </si>
  <si>
    <t>Ambatomainty-Ifotaka</t>
  </si>
  <si>
    <t>MG53519090002001</t>
  </si>
  <si>
    <t>Ambatomanambahatse</t>
  </si>
  <si>
    <t>MG51507050004001</t>
  </si>
  <si>
    <t>AMBATOMANOY</t>
  </si>
  <si>
    <t>AMBATOMASY</t>
  </si>
  <si>
    <t>Ambatomena</t>
  </si>
  <si>
    <t>MG51507290050001</t>
  </si>
  <si>
    <t>Ambatomena Tanandava</t>
  </si>
  <si>
    <t>MG53519050024001</t>
  </si>
  <si>
    <t>AMBATOMENA-BEKOROBO</t>
  </si>
  <si>
    <t>MG53517250004001</t>
  </si>
  <si>
    <t>Ambatomenaloha</t>
  </si>
  <si>
    <t>Ambatomena-Tanandava Sud</t>
  </si>
  <si>
    <t>MG53519050024002</t>
  </si>
  <si>
    <t>AMBATOMIALA</t>
  </si>
  <si>
    <t>MG53517310005001</t>
  </si>
  <si>
    <t>AMBATOMITIKITSE</t>
  </si>
  <si>
    <t>AMBATORATY</t>
  </si>
  <si>
    <t>MG52516170070001</t>
  </si>
  <si>
    <t>Ambatoroheva</t>
  </si>
  <si>
    <t>MG54509030052001</t>
  </si>
  <si>
    <t>Ambatosarotra</t>
  </si>
  <si>
    <t>MG25214290004001</t>
  </si>
  <si>
    <t>AMBATOSOLA</t>
  </si>
  <si>
    <t>Ambatosola Centre</t>
  </si>
  <si>
    <t>MG53519130033001</t>
  </si>
  <si>
    <t>Ambatotsara</t>
  </si>
  <si>
    <t>Ambatotsivala</t>
  </si>
  <si>
    <t>MG52513091013</t>
  </si>
  <si>
    <t>Ambatovaky</t>
  </si>
  <si>
    <t>MG43404171013001</t>
  </si>
  <si>
    <t>MG51507150011</t>
  </si>
  <si>
    <t>AMBATOVAKY CENTRE</t>
  </si>
  <si>
    <t>Ambatovaky Haut</t>
  </si>
  <si>
    <t>MG51507310060001</t>
  </si>
  <si>
    <t>Ambatovaky-Ejeda</t>
  </si>
  <si>
    <t>MG51507150063001</t>
  </si>
  <si>
    <t>AMBATOVAKY-HAUT</t>
  </si>
  <si>
    <t>AMBATOVITA</t>
  </si>
  <si>
    <t>MG53517050003001</t>
  </si>
  <si>
    <t>Ambatry ambony</t>
  </si>
  <si>
    <t>MG51506013009001</t>
  </si>
  <si>
    <t>Ambatry Manory</t>
  </si>
  <si>
    <t>MG51506013004001</t>
  </si>
  <si>
    <t>Ambatry Mitsinjo</t>
  </si>
  <si>
    <t>MG51506013001001</t>
  </si>
  <si>
    <t>Ambatry tanambao</t>
  </si>
  <si>
    <t>MG51506013010001</t>
  </si>
  <si>
    <t>AMBAZOA</t>
  </si>
  <si>
    <t>MG52514050012001</t>
  </si>
  <si>
    <t>AMBAZOAMAZAVA</t>
  </si>
  <si>
    <t>Ambazoamiloloke</t>
  </si>
  <si>
    <t>MG52513030071001</t>
  </si>
  <si>
    <t>AMBAZOAMIRAFY</t>
  </si>
  <si>
    <t>MG52516011015001</t>
  </si>
  <si>
    <t>Ambendra</t>
  </si>
  <si>
    <t>MG51507050024001</t>
  </si>
  <si>
    <t>AMBENDRANA</t>
  </si>
  <si>
    <t>MG33312152007001</t>
  </si>
  <si>
    <t>AMBIKY</t>
  </si>
  <si>
    <t>Ambila</t>
  </si>
  <si>
    <t>MG23210070001001</t>
  </si>
  <si>
    <t>Ambilany Haut</t>
  </si>
  <si>
    <t>MG51507290047001</t>
  </si>
  <si>
    <t>Ambinagny Est</t>
  </si>
  <si>
    <t>MG52516130056001</t>
  </si>
  <si>
    <t>AMBINANIBE</t>
  </si>
  <si>
    <t>AMBINANIKELY</t>
  </si>
  <si>
    <t>Ambinanitelo</t>
  </si>
  <si>
    <t>MG31306070016001</t>
  </si>
  <si>
    <t>Ambinanivelo</t>
  </si>
  <si>
    <t>MG52518031012001</t>
  </si>
  <si>
    <t>AMBINANY I</t>
  </si>
  <si>
    <t>AMBINANY SUD</t>
  </si>
  <si>
    <t>MG53517332002001</t>
  </si>
  <si>
    <t>Ambinda</t>
  </si>
  <si>
    <t>MG51507150064001</t>
  </si>
  <si>
    <t>Ambinda-Ankazomanga Ouest</t>
  </si>
  <si>
    <t>MG51506130011001</t>
  </si>
  <si>
    <t>AMBITIKE I</t>
  </si>
  <si>
    <t>AMBITIKE II</t>
  </si>
  <si>
    <t>Amboaido</t>
  </si>
  <si>
    <t>MG51507130012001</t>
  </si>
  <si>
    <t>Amboanato</t>
  </si>
  <si>
    <t>MG53515010003</t>
  </si>
  <si>
    <t>MG53515010003001</t>
  </si>
  <si>
    <t>AMBOANGIMASINA</t>
  </si>
  <si>
    <t>AMBOANGISAY</t>
  </si>
  <si>
    <t>MG25213210008001</t>
  </si>
  <si>
    <t>Amboangy</t>
  </si>
  <si>
    <t>MG31309050022001</t>
  </si>
  <si>
    <t>MG53519190011</t>
  </si>
  <si>
    <t>Amboanio</t>
  </si>
  <si>
    <t>MG25213010045001</t>
  </si>
  <si>
    <t>Amboasary</t>
  </si>
  <si>
    <t>MG43404173004001</t>
  </si>
  <si>
    <t>AMBOASARY CENTRE</t>
  </si>
  <si>
    <t>AMBOASARY I</t>
  </si>
  <si>
    <t>AMBOASARY II</t>
  </si>
  <si>
    <t>MG52516011013001</t>
  </si>
  <si>
    <t>AMBOAVOLA</t>
  </si>
  <si>
    <t>Amboazokibo</t>
  </si>
  <si>
    <t>AMBOBOKA (TOLONA)</t>
  </si>
  <si>
    <t>AMBODIAKATRA</t>
  </si>
  <si>
    <t>Ambodibonary</t>
  </si>
  <si>
    <t>Ambodilazabe</t>
  </si>
  <si>
    <t>MG23211012004001</t>
  </si>
  <si>
    <t>Ambodipaiso Vakoanina</t>
  </si>
  <si>
    <t>MG23211092008001</t>
  </si>
  <si>
    <t>Ambodivoangy</t>
  </si>
  <si>
    <t>Ambodizoho</t>
  </si>
  <si>
    <t>MG25215052022001</t>
  </si>
  <si>
    <t>Ambodrokily</t>
  </si>
  <si>
    <t>MG51507210081001</t>
  </si>
  <si>
    <t>AMBOHIBARY</t>
  </si>
  <si>
    <t>AMBOHIBARY I</t>
  </si>
  <si>
    <t>Ambohibola</t>
  </si>
  <si>
    <t>MG51507230017001</t>
  </si>
  <si>
    <t>Ambohigogo</t>
  </si>
  <si>
    <t>MG25213270001001</t>
  </si>
  <si>
    <t>AMBOHIMAGNARE</t>
  </si>
  <si>
    <t>Ambohimahasoa</t>
  </si>
  <si>
    <t>MG23209170056</t>
  </si>
  <si>
    <t>AMBOHIMAHASOA NORD</t>
  </si>
  <si>
    <t>MG23211011011001</t>
  </si>
  <si>
    <t>Ambohimahatazana</t>
  </si>
  <si>
    <t>MG51507010007001</t>
  </si>
  <si>
    <t>AMBOHIMAHAVELONA</t>
  </si>
  <si>
    <t>Ambohimalaza</t>
  </si>
  <si>
    <t>MG31309050012001</t>
  </si>
  <si>
    <t>Ambohimana</t>
  </si>
  <si>
    <t>MG25217090001001</t>
  </si>
  <si>
    <t>Ambohimandroso</t>
  </si>
  <si>
    <t>MG52518010004001</t>
  </si>
  <si>
    <t>Ambohimandroso-Ambohimandroso</t>
  </si>
  <si>
    <t>MG25213330001001</t>
  </si>
  <si>
    <t>Ambohimandroso-Vondrozo</t>
  </si>
  <si>
    <t>MG25217051002001</t>
  </si>
  <si>
    <t>AMBOHIMARINA</t>
  </si>
  <si>
    <t>Ambohimiarina</t>
  </si>
  <si>
    <t>MG33313151006001</t>
  </si>
  <si>
    <t>Ambohimiarina I</t>
  </si>
  <si>
    <t>MG23209070066</t>
  </si>
  <si>
    <t>AMBOHIMIARY</t>
  </si>
  <si>
    <t>MG23210190005001</t>
  </si>
  <si>
    <t>Ambohitraivo</t>
  </si>
  <si>
    <t>MG25213450010001</t>
  </si>
  <si>
    <t>Ambohitsara</t>
  </si>
  <si>
    <t>MG25217012009001</t>
  </si>
  <si>
    <t>AMBOHITSARABE</t>
  </si>
  <si>
    <t>MG23211033007001</t>
  </si>
  <si>
    <t>Ambohitsara-Vondrozo</t>
  </si>
  <si>
    <t>MG25217130003001</t>
  </si>
  <si>
    <t>AMBOHITSE</t>
  </si>
  <si>
    <t>AMBOHITSE MORAFENO</t>
  </si>
  <si>
    <t>Ambohitsoa</t>
  </si>
  <si>
    <t>Ambohivola</t>
  </si>
  <si>
    <t>MG52513010076001</t>
  </si>
  <si>
    <t>AMBOKOKE</t>
  </si>
  <si>
    <t>Ambola</t>
  </si>
  <si>
    <t>MG51520358016001</t>
  </si>
  <si>
    <t>Ambolisarike</t>
  </si>
  <si>
    <t>MG51507230018</t>
  </si>
  <si>
    <t>Ambolisogno</t>
  </si>
  <si>
    <t>MG51507310089001</t>
  </si>
  <si>
    <t>AMBOLITSIFA</t>
  </si>
  <si>
    <t>AMBOLOLOMENA</t>
  </si>
  <si>
    <t>Ambolomareagne</t>
  </si>
  <si>
    <t>MG53515090078001</t>
  </si>
  <si>
    <t>Ambolosogno</t>
  </si>
  <si>
    <t>MG51507310061</t>
  </si>
  <si>
    <t>AMBOLOVOHITSE TANAMIARY</t>
  </si>
  <si>
    <t>AMBOLOVOHITSY</t>
  </si>
  <si>
    <t>Ambonaivo</t>
  </si>
  <si>
    <t>MG52514071019001</t>
  </si>
  <si>
    <t>Ambonaivo Ankilibe</t>
  </si>
  <si>
    <t>MG52514072004</t>
  </si>
  <si>
    <t>AMBONAIVO-Ambovombe-Androy</t>
  </si>
  <si>
    <t>MG52516050019001</t>
  </si>
  <si>
    <t>Ambondro</t>
  </si>
  <si>
    <t>MG51520310023001</t>
  </si>
  <si>
    <t>MG52518010011</t>
  </si>
  <si>
    <t>AMBONDRO ANATIROVA</t>
  </si>
  <si>
    <t>Ambondro I</t>
  </si>
  <si>
    <t>MG52516091057001</t>
  </si>
  <si>
    <t>AMBONDROKILY</t>
  </si>
  <si>
    <t>Ambondrombe</t>
  </si>
  <si>
    <t>MG52516151029007</t>
  </si>
  <si>
    <t>MG52518251007001</t>
  </si>
  <si>
    <t>Ambondrombe Sud</t>
  </si>
  <si>
    <t>MG52516151029</t>
  </si>
  <si>
    <t>AMBONDROMBE-ANDALATANOSY</t>
  </si>
  <si>
    <t>MG52516151065001</t>
  </si>
  <si>
    <t>Ambondromena</t>
  </si>
  <si>
    <t>MG51507290021001</t>
  </si>
  <si>
    <t>Ambondromena-Fotadrevo</t>
  </si>
  <si>
    <t>MG51507290067001</t>
  </si>
  <si>
    <t>Ambongo</t>
  </si>
  <si>
    <t>MG25214211012001</t>
  </si>
  <si>
    <t>AMBONGO-IANAKAFY</t>
  </si>
  <si>
    <t>MG53517310012001</t>
  </si>
  <si>
    <t>AMBONIARIVO</t>
  </si>
  <si>
    <t>AMBONIATSIMO</t>
  </si>
  <si>
    <t>AMBORIGNABO</t>
  </si>
  <si>
    <t>MG52513070008001</t>
  </si>
  <si>
    <t>AMBORIMAHASOA</t>
  </si>
  <si>
    <t>AMBORINABO</t>
  </si>
  <si>
    <t>Amboro</t>
  </si>
  <si>
    <t>MG52516014052001</t>
  </si>
  <si>
    <t>Amboro Bekokako</t>
  </si>
  <si>
    <t>MG53515090079001</t>
  </si>
  <si>
    <t>AMBOROGNEOKE</t>
  </si>
  <si>
    <t>AMBOROKAHAKE</t>
  </si>
  <si>
    <t>Amboroke</t>
  </si>
  <si>
    <t>MG52516014006</t>
  </si>
  <si>
    <t>MG52516014053001</t>
  </si>
  <si>
    <t>AMBOROMINENDRA</t>
  </si>
  <si>
    <t>MG52516092045001</t>
  </si>
  <si>
    <t>Amborompotsy</t>
  </si>
  <si>
    <t>MG51507230059</t>
  </si>
  <si>
    <t>AMBORONDRA</t>
  </si>
  <si>
    <t>Amboropotsy I</t>
  </si>
  <si>
    <t>MG51507050001001</t>
  </si>
  <si>
    <t>Amboropotsy II</t>
  </si>
  <si>
    <t>MG51507050013001</t>
  </si>
  <si>
    <t>Ambory</t>
  </si>
  <si>
    <t>MG51506015008001</t>
  </si>
  <si>
    <t>AMBORY Bas</t>
  </si>
  <si>
    <t>MG52516170027001</t>
  </si>
  <si>
    <t>AMBORY I</t>
  </si>
  <si>
    <t>Ambory-ERADA</t>
  </si>
  <si>
    <t>MG52516013008001</t>
  </si>
  <si>
    <t>AMBOTABE</t>
  </si>
  <si>
    <t>AMBOTRY</t>
  </si>
  <si>
    <t>Ambovo</t>
  </si>
  <si>
    <t>MG52516111045001</t>
  </si>
  <si>
    <t>AMBOVO l</t>
  </si>
  <si>
    <t>AMBOVO NORD</t>
  </si>
  <si>
    <t>AMBOVONDREDADA</t>
  </si>
  <si>
    <t>Ambovororo</t>
  </si>
  <si>
    <t>MG51507250057001</t>
  </si>
  <si>
    <t>Ambovotoka</t>
  </si>
  <si>
    <t>MG52514012076001</t>
  </si>
  <si>
    <t>Amibasy</t>
  </si>
  <si>
    <t>MG25213190010001</t>
  </si>
  <si>
    <t>Ampagnorita</t>
  </si>
  <si>
    <t>MG51507070004001</t>
  </si>
  <si>
    <t>AMPAHEJOLOKE</t>
  </si>
  <si>
    <t>MG52518251078001</t>
  </si>
  <si>
    <t>Ampahipeno</t>
  </si>
  <si>
    <t>AMPAIPAIKA</t>
  </si>
  <si>
    <t>Ampakabo</t>
  </si>
  <si>
    <t>MG51506011002001</t>
  </si>
  <si>
    <t>AMPAMAKIAMBATO</t>
  </si>
  <si>
    <t>Ampamata</t>
  </si>
  <si>
    <t>MG51507310061001</t>
  </si>
  <si>
    <t>AMPAMATA CENTRE</t>
  </si>
  <si>
    <t>MG52516152045001</t>
  </si>
  <si>
    <t>Ampamatoha  (au bureau ORN Anosy FTU)</t>
  </si>
  <si>
    <t>MG53519210005001</t>
  </si>
  <si>
    <t>Ampamatoha (bureau ORN Fort Dauphin)</t>
  </si>
  <si>
    <t>MG53519210005002</t>
  </si>
  <si>
    <t>AMPAMOLORA</t>
  </si>
  <si>
    <t>AMPAMORITA</t>
  </si>
  <si>
    <t>Ampanagnira</t>
  </si>
  <si>
    <t>MG52513092067001</t>
  </si>
  <si>
    <t>Ampanamperandrotsy</t>
  </si>
  <si>
    <t>MG53519050056001</t>
  </si>
  <si>
    <t>AMPANAPERANDROTSY I</t>
  </si>
  <si>
    <t>AMPANARENA</t>
  </si>
  <si>
    <t>AMPANASA</t>
  </si>
  <si>
    <t>MG53515115072001</t>
  </si>
  <si>
    <t>Ampanavy Fototsambo</t>
  </si>
  <si>
    <t>MG52516072003001</t>
  </si>
  <si>
    <t>AMPANDRAMBE ANIVORANO</t>
  </si>
  <si>
    <t>Ampandrandava</t>
  </si>
  <si>
    <t>MG51506252005001</t>
  </si>
  <si>
    <t>Ampanihy Antarabory</t>
  </si>
  <si>
    <t>MG51506130017001</t>
  </si>
  <si>
    <t>Ampanihy Centre</t>
  </si>
  <si>
    <t>MG51507010001</t>
  </si>
  <si>
    <t>MG51507010001001</t>
  </si>
  <si>
    <t>AMPANIHY-HAUT</t>
  </si>
  <si>
    <t>Ampanimaro</t>
  </si>
  <si>
    <t>MG51506012017001</t>
  </si>
  <si>
    <t>Ampany</t>
  </si>
  <si>
    <t>MG52518151024</t>
  </si>
  <si>
    <t>Ampany Anivorano</t>
  </si>
  <si>
    <t>MG52518032045001</t>
  </si>
  <si>
    <t>Ampany/ Androtsy</t>
  </si>
  <si>
    <t>MG52518151046001</t>
  </si>
  <si>
    <t>AMPARAKY</t>
  </si>
  <si>
    <t>AMPASEMAHASOA</t>
  </si>
  <si>
    <t>AMPASIKIBO (MILAVONJY)</t>
  </si>
  <si>
    <t>AMPASIMAIKY</t>
  </si>
  <si>
    <t>Ampasimalemy</t>
  </si>
  <si>
    <t>MG23211012009001</t>
  </si>
  <si>
    <t>Ampasimandroake</t>
  </si>
  <si>
    <t>MG51506011006001</t>
  </si>
  <si>
    <t>Ampasimbola</t>
  </si>
  <si>
    <t>MG31309050006001</t>
  </si>
  <si>
    <t>AMPASIMPOLAKA</t>
  </si>
  <si>
    <t>Ampasina</t>
  </si>
  <si>
    <t>Ampasindava</t>
  </si>
  <si>
    <t>MG51506130016001</t>
  </si>
  <si>
    <t>Ampasindava-Ampasimalemy</t>
  </si>
  <si>
    <t>MG25214031016001</t>
  </si>
  <si>
    <t>Ampasipotsy</t>
  </si>
  <si>
    <t>AMPASY</t>
  </si>
  <si>
    <t>AMPASY NAHAMPONA</t>
  </si>
  <si>
    <t>AMPASY-MORAFENO</t>
  </si>
  <si>
    <t>Ampataka</t>
  </si>
  <si>
    <t>MG25217030009001</t>
  </si>
  <si>
    <t>Ampataka-Ampataka</t>
  </si>
  <si>
    <t>MG25214132001001</t>
  </si>
  <si>
    <t>Ampatranila</t>
  </si>
  <si>
    <t>MG25215031003001</t>
  </si>
  <si>
    <t>AMPIATSAHA</t>
  </si>
  <si>
    <t>MG23211031010001</t>
  </si>
  <si>
    <t>AMPIHA</t>
  </si>
  <si>
    <t>Ampiha Amboasary</t>
  </si>
  <si>
    <t>MG53519230005001</t>
  </si>
  <si>
    <t>AMPIHAMY</t>
  </si>
  <si>
    <t>Ampihamy/ Behabobo</t>
  </si>
  <si>
    <t>MG53519010014001</t>
  </si>
  <si>
    <t>AMPIKAZO</t>
  </si>
  <si>
    <t>Ampiketra</t>
  </si>
  <si>
    <t>MG53519250065001</t>
  </si>
  <si>
    <t>Ampilira</t>
  </si>
  <si>
    <t>MG53519110058001</t>
  </si>
  <si>
    <t>Ampilofilo</t>
  </si>
  <si>
    <t>MG52513050008001</t>
  </si>
  <si>
    <t>AMPILOFILO-IMANOMBO</t>
  </si>
  <si>
    <t>MG52516190008001</t>
  </si>
  <si>
    <t>AMPIRIKY MAROVAHO</t>
  </si>
  <si>
    <t>Ampisandrata</t>
  </si>
  <si>
    <t>MG52516050058001</t>
  </si>
  <si>
    <t>Ampisopiso</t>
  </si>
  <si>
    <t>MG52518151009</t>
  </si>
  <si>
    <t>Ampitanake</t>
  </si>
  <si>
    <t>MG51507310023001</t>
  </si>
  <si>
    <t>Ampiterena</t>
  </si>
  <si>
    <t>AMPOEZY</t>
  </si>
  <si>
    <t>Amporoforo</t>
  </si>
  <si>
    <t>MG25213190001001</t>
  </si>
  <si>
    <t>Ampotake</t>
  </si>
  <si>
    <t>MG52513070062001</t>
  </si>
  <si>
    <t>Ampotobato</t>
  </si>
  <si>
    <t>MG53519050010001</t>
  </si>
  <si>
    <t>AMPOZY ANKARAMANOY</t>
  </si>
  <si>
    <t>ANADABO</t>
  </si>
  <si>
    <t>Anadabolahimaeva</t>
  </si>
  <si>
    <t>MG52518251089001</t>
  </si>
  <si>
    <t>Anadabolava</t>
  </si>
  <si>
    <t>MG51506013007001</t>
  </si>
  <si>
    <t>ANAFONDRAVOAY</t>
  </si>
  <si>
    <t>ANAKANIA</t>
  </si>
  <si>
    <t>Anakatrika</t>
  </si>
  <si>
    <t>MG25213050010001</t>
  </si>
  <si>
    <t>Anakona</t>
  </si>
  <si>
    <t>Analabe</t>
  </si>
  <si>
    <t>MG51507290041001</t>
  </si>
  <si>
    <t>Analabe Bekily</t>
  </si>
  <si>
    <t>MG52518251088001</t>
  </si>
  <si>
    <t>Analafaly</t>
  </si>
  <si>
    <t>MG51506130010001</t>
  </si>
  <si>
    <t>Analafantsika</t>
  </si>
  <si>
    <t>MG51507290011001</t>
  </si>
  <si>
    <t>Analafantsike</t>
  </si>
  <si>
    <t>MG51507290011</t>
  </si>
  <si>
    <t>MG52518251090001</t>
  </si>
  <si>
    <t>Analahova</t>
  </si>
  <si>
    <t>MG53515033003001</t>
  </si>
  <si>
    <t>ANALAISOKA</t>
  </si>
  <si>
    <t>Analaisoke</t>
  </si>
  <si>
    <t>MG52516111015001</t>
  </si>
  <si>
    <t>Analaisoke I</t>
  </si>
  <si>
    <t>MG52516111046001</t>
  </si>
  <si>
    <t>ANALALAVA</t>
  </si>
  <si>
    <t>ANALALAVA HAUT</t>
  </si>
  <si>
    <t>Analalava Ouest</t>
  </si>
  <si>
    <t>MG52513010005</t>
  </si>
  <si>
    <t>ANALALAVA-NORD</t>
  </si>
  <si>
    <t>Analalentika</t>
  </si>
  <si>
    <t>Analalentike</t>
  </si>
  <si>
    <t>MG51506015004001</t>
  </si>
  <si>
    <t>ANALAMAHAVELO</t>
  </si>
  <si>
    <t>ANALAMANOY</t>
  </si>
  <si>
    <t>ANALAMARINA</t>
  </si>
  <si>
    <t>ANALAMARY</t>
  </si>
  <si>
    <t>MG52518152008001</t>
  </si>
  <si>
    <t>ANALAMARY CENTRE</t>
  </si>
  <si>
    <t>Analamateza Bas</t>
  </si>
  <si>
    <t>MG51507070002001</t>
  </si>
  <si>
    <t>Analamateza Be</t>
  </si>
  <si>
    <t>MG54509030053001</t>
  </si>
  <si>
    <t>ANALAMATEZA-BAS</t>
  </si>
  <si>
    <t>ANALAMATEZA-HAUT</t>
  </si>
  <si>
    <t>ANALAMBENDRANA</t>
  </si>
  <si>
    <t>Analamena</t>
  </si>
  <si>
    <t>MG51521050009001</t>
  </si>
  <si>
    <t>ANALAMIDITRA</t>
  </si>
  <si>
    <t>ANALANDRAVY</t>
  </si>
  <si>
    <t>ANALAPANGITSY</t>
  </si>
  <si>
    <t>ANALAPATSY</t>
  </si>
  <si>
    <t>Analapatsy II</t>
  </si>
  <si>
    <t>Analavaky</t>
  </si>
  <si>
    <t>MG25217011002001</t>
  </si>
  <si>
    <t>ANALAVAO</t>
  </si>
  <si>
    <t>MG52516050009001</t>
  </si>
  <si>
    <t>Analave Foty</t>
  </si>
  <si>
    <t>MG52516130a_10001</t>
  </si>
  <si>
    <t>Analave Mainty Ii</t>
  </si>
  <si>
    <t>MG52516130021</t>
  </si>
  <si>
    <t>Analavory</t>
  </si>
  <si>
    <t>Analavye Mainty</t>
  </si>
  <si>
    <t>MG52516130020024</t>
  </si>
  <si>
    <t>Analoalo</t>
  </si>
  <si>
    <t>MG53519090009001</t>
  </si>
  <si>
    <t>Analoalo-Ifotaka</t>
  </si>
  <si>
    <t>MG53519090009002</t>
  </si>
  <si>
    <t>Anambakaka</t>
  </si>
  <si>
    <t>MG25213210007001</t>
  </si>
  <si>
    <t>ANAMBILAZO</t>
  </si>
  <si>
    <t>Anambotaka II</t>
  </si>
  <si>
    <t>MG25214050006001</t>
  </si>
  <si>
    <t>Anamonta</t>
  </si>
  <si>
    <t>MG51507210082001</t>
  </si>
  <si>
    <t>Ananaja/Ananakirihitse</t>
  </si>
  <si>
    <t>MG52513050079001</t>
  </si>
  <si>
    <t>ANANAKARAKY</t>
  </si>
  <si>
    <t>ANANAKIRIHITSE</t>
  </si>
  <si>
    <t>ANANAKOFANDRA SUD</t>
  </si>
  <si>
    <t>ANANARA</t>
  </si>
  <si>
    <t>Anandranto Sud</t>
  </si>
  <si>
    <t>MG51507270010001</t>
  </si>
  <si>
    <t>Anantaka</t>
  </si>
  <si>
    <t>MG42409150006001</t>
  </si>
  <si>
    <t>Anapatra</t>
  </si>
  <si>
    <t>MG25214050005</t>
  </si>
  <si>
    <t>Anara</t>
  </si>
  <si>
    <t>MG25217192002001</t>
  </si>
  <si>
    <t>ANARABAJY</t>
  </si>
  <si>
    <t>Anarabe I</t>
  </si>
  <si>
    <t>MG52518031004001</t>
  </si>
  <si>
    <t>Anarabe II</t>
  </si>
  <si>
    <t>MG52518031006001</t>
  </si>
  <si>
    <t>Anarabe-Ii</t>
  </si>
  <si>
    <t>MG52518031004</t>
  </si>
  <si>
    <t>Anarabemoko</t>
  </si>
  <si>
    <t>MG51507290056</t>
  </si>
  <si>
    <t>MG51507290056001</t>
  </si>
  <si>
    <t>ANATO</t>
  </si>
  <si>
    <t>Anatsosa Centre</t>
  </si>
  <si>
    <t>MG52514012015001</t>
  </si>
  <si>
    <t>Anaviavy</t>
  </si>
  <si>
    <t>MG52518270054001</t>
  </si>
  <si>
    <t>Anaviavy-Belafike Haut</t>
  </si>
  <si>
    <t>MG51507170005001</t>
  </si>
  <si>
    <t>ANAVOHA</t>
  </si>
  <si>
    <t>Anavoha Ambonirano</t>
  </si>
  <si>
    <t>MG51507290008001</t>
  </si>
  <si>
    <t>Anavoha Centre</t>
  </si>
  <si>
    <t>MG51507290012</t>
  </si>
  <si>
    <t>MG51507290012001</t>
  </si>
  <si>
    <t>Anavoha Centre - Ampanihy Ouest</t>
  </si>
  <si>
    <t>MG51507290080001</t>
  </si>
  <si>
    <t>ANDABOLY ANTANIMORA SUD</t>
  </si>
  <si>
    <t>ANDAGOA NORD</t>
  </si>
  <si>
    <t>Andahivozake</t>
  </si>
  <si>
    <t>MG52516170013</t>
  </si>
  <si>
    <t>Andakana</t>
  </si>
  <si>
    <t>MG24216070003001</t>
  </si>
  <si>
    <t>Andakato</t>
  </si>
  <si>
    <t>MG51507310062001</t>
  </si>
  <si>
    <t>MG52518151005</t>
  </si>
  <si>
    <t>ANDALAKAOLO</t>
  </si>
  <si>
    <t>MG52516151005001</t>
  </si>
  <si>
    <t>ANDALAMBY</t>
  </si>
  <si>
    <t>MG53517250002001</t>
  </si>
  <si>
    <t>Andalatanosy</t>
  </si>
  <si>
    <t>MG52516151001</t>
  </si>
  <si>
    <t>Andalatanosy Centre</t>
  </si>
  <si>
    <t>MG52516151001001</t>
  </si>
  <si>
    <t>ANDALATANOSY NORD</t>
  </si>
  <si>
    <t>MG52518251079001</t>
  </si>
  <si>
    <t>ANDALATANOSY SUD</t>
  </si>
  <si>
    <t>MG52518251080001</t>
  </si>
  <si>
    <t>ANDALIPITO</t>
  </si>
  <si>
    <t>MG52516152004001</t>
  </si>
  <si>
    <t>ANDALOA BEDARO</t>
  </si>
  <si>
    <t>Andamaky Centre</t>
  </si>
  <si>
    <t>MG51507290050</t>
  </si>
  <si>
    <t>MG52518251091001</t>
  </si>
  <si>
    <t>ANDAMBOLO</t>
  </si>
  <si>
    <t>ANDAMBOMITRO</t>
  </si>
  <si>
    <t>Andamilamy</t>
  </si>
  <si>
    <t>MG52513091019001</t>
  </si>
  <si>
    <t>Andamilamy-BEKITRO</t>
  </si>
  <si>
    <t>MG52518230019001</t>
  </si>
  <si>
    <t>Andamonty</t>
  </si>
  <si>
    <t>MG52514072003</t>
  </si>
  <si>
    <t>ANDAMOTIGNABO</t>
  </si>
  <si>
    <t>Andamoty</t>
  </si>
  <si>
    <t>MG51507070077001</t>
  </si>
  <si>
    <t>Andaro</t>
  </si>
  <si>
    <t>MG52518270006001</t>
  </si>
  <si>
    <t>ANDARO-ISOANALA</t>
  </si>
  <si>
    <t>MG53517291056001</t>
  </si>
  <si>
    <t>ANDASARY</t>
  </si>
  <si>
    <t>ANDASIBE</t>
  </si>
  <si>
    <t>Andasy</t>
  </si>
  <si>
    <t>MG24216231007001</t>
  </si>
  <si>
    <t>Andavabaza</t>
  </si>
  <si>
    <t>MG53519030019001</t>
  </si>
  <si>
    <t>Andavabaza-Behara</t>
  </si>
  <si>
    <t>MG53519030019002</t>
  </si>
  <si>
    <t>Andavabiby</t>
  </si>
  <si>
    <t>MG53519250066001</t>
  </si>
  <si>
    <t>Andavaboay</t>
  </si>
  <si>
    <t>MG42413110014001</t>
  </si>
  <si>
    <t>ANDAVAKIO</t>
  </si>
  <si>
    <t>ANDAY I</t>
  </si>
  <si>
    <t>ANDAZA</t>
  </si>
  <si>
    <t>ANDEFAPONY</t>
  </si>
  <si>
    <t>MG23211092006001</t>
  </si>
  <si>
    <t>ANDEMBY</t>
  </si>
  <si>
    <t>MG53515115007001</t>
  </si>
  <si>
    <t>Andina</t>
  </si>
  <si>
    <t>Andindo</t>
  </si>
  <si>
    <t>MG53519250003001</t>
  </si>
  <si>
    <t>Andingolingo</t>
  </si>
  <si>
    <t>MG52513091a_4001</t>
  </si>
  <si>
    <t>ANDOHALAMBO</t>
  </si>
  <si>
    <t>Andoharano</t>
  </si>
  <si>
    <t>MG51507150065001</t>
  </si>
  <si>
    <t>MG52518152058</t>
  </si>
  <si>
    <t>ANDOHARANO-SAKAMAHILY</t>
  </si>
  <si>
    <t>MG41403050016001</t>
  </si>
  <si>
    <t>ANDOHARANOVELONA</t>
  </si>
  <si>
    <t>Andohasatra</t>
  </si>
  <si>
    <t>MG51506090010</t>
  </si>
  <si>
    <t>ANDOHATRAGNO MAHAVONJY</t>
  </si>
  <si>
    <t>ANDOHAVONDRO</t>
  </si>
  <si>
    <t>ANDOMBIRY</t>
  </si>
  <si>
    <t>Andovoke</t>
  </si>
  <si>
    <t>MG53519250067001</t>
  </si>
  <si>
    <t>Andovoky/Ankilevalo</t>
  </si>
  <si>
    <t>MG52513070063001</t>
  </si>
  <si>
    <t>ANDOVOSIRA</t>
  </si>
  <si>
    <t>ANDRAGIRAGY</t>
  </si>
  <si>
    <t>MG53517291084001</t>
  </si>
  <si>
    <t>Andragnanivo Centre</t>
  </si>
  <si>
    <t>MG52516170078001</t>
  </si>
  <si>
    <t>Andrahavia</t>
  </si>
  <si>
    <t>MG51506014005001</t>
  </si>
  <si>
    <t>ANDRAKARAKA</t>
  </si>
  <si>
    <t>Andraketa</t>
  </si>
  <si>
    <t>MG51506111018001</t>
  </si>
  <si>
    <t>Andraketa centre</t>
  </si>
  <si>
    <t>MG52516130057001</t>
  </si>
  <si>
    <t>Andraketalahy</t>
  </si>
  <si>
    <t>MG52513070003001</t>
  </si>
  <si>
    <t>Andrakia Centre</t>
  </si>
  <si>
    <t>MG51507130008001</t>
  </si>
  <si>
    <t>ANDRAMAKA</t>
  </si>
  <si>
    <t>ANDRAMANAKA</t>
  </si>
  <si>
    <t>ANDRAMANERA</t>
  </si>
  <si>
    <t>Andramanera II</t>
  </si>
  <si>
    <t>MG52516111047001</t>
  </si>
  <si>
    <t>Andrambale</t>
  </si>
  <si>
    <t>MG52513010010001</t>
  </si>
  <si>
    <t>Andrambale I</t>
  </si>
  <si>
    <t>MG52513010002</t>
  </si>
  <si>
    <t>ANDRAMBALY</t>
  </si>
  <si>
    <t>ANDRAMBAROTRA</t>
  </si>
  <si>
    <t>Andramirava Centre</t>
  </si>
  <si>
    <t>MG52514072009</t>
  </si>
  <si>
    <t>ANDRANAGNOMBE</t>
  </si>
  <si>
    <t>Andranamy</t>
  </si>
  <si>
    <t>MG51506015002001</t>
  </si>
  <si>
    <t>ANDRANARA</t>
  </si>
  <si>
    <t>Andranoboaka</t>
  </si>
  <si>
    <t>ANDRANOBOKA</t>
  </si>
  <si>
    <t>ANDRANOBORY</t>
  </si>
  <si>
    <t>ANDRANOGISO</t>
  </si>
  <si>
    <t>ANDRANOHAZOKILY</t>
  </si>
  <si>
    <t>ANDRANOHAZONAILY</t>
  </si>
  <si>
    <t>Andranohereke</t>
  </si>
  <si>
    <t>MG52513030075001</t>
  </si>
  <si>
    <t>ANDRANOHERIKE</t>
  </si>
  <si>
    <t>ANDRANOHINALY</t>
  </si>
  <si>
    <t>Andranokototo</t>
  </si>
  <si>
    <t>MG51506013002001</t>
  </si>
  <si>
    <t>Andranolalike</t>
  </si>
  <si>
    <t>MG52516151031</t>
  </si>
  <si>
    <t>Andranolaliky</t>
  </si>
  <si>
    <t>MG52516151031021</t>
  </si>
  <si>
    <t>Andranolalina</t>
  </si>
  <si>
    <t>MG25215031001001</t>
  </si>
  <si>
    <t>Andranolava</t>
  </si>
  <si>
    <t>MG52513010015001</t>
  </si>
  <si>
    <t>Andranolava-Ankilizato</t>
  </si>
  <si>
    <t>MG51507070042001</t>
  </si>
  <si>
    <t>Andranolava-Anosy Tsararafa</t>
  </si>
  <si>
    <t>MG25213070043001</t>
  </si>
  <si>
    <t>ANDRANOLAVA-NORD</t>
  </si>
  <si>
    <t>ANDRANOMAINTSO</t>
  </si>
  <si>
    <t>Andranomakoko</t>
  </si>
  <si>
    <t>MG25213010002001</t>
  </si>
  <si>
    <t>Andranomaleotse</t>
  </si>
  <si>
    <t>MG51507250015001</t>
  </si>
  <si>
    <t>Andranomamy</t>
  </si>
  <si>
    <t>MG41405150001001</t>
  </si>
  <si>
    <t>Andranomamy-Ampanihy Ouest</t>
  </si>
  <si>
    <t>MG54509070001001</t>
  </si>
  <si>
    <t>Andranomangatsiaka</t>
  </si>
  <si>
    <t>MG51506191001001</t>
  </si>
  <si>
    <t>ANDRANOMANINTSY</t>
  </si>
  <si>
    <t>ANDRANOMANINTSY II</t>
  </si>
  <si>
    <t>Andranomanitsy</t>
  </si>
  <si>
    <t>MG24216031005001</t>
  </si>
  <si>
    <t>Andranomasintsoa</t>
  </si>
  <si>
    <t>MG51507310017001</t>
  </si>
  <si>
    <t>ANDRANOMASY</t>
  </si>
  <si>
    <t>ANDRANOMASY HAUT</t>
  </si>
  <si>
    <t>Andranomasy Vohitany</t>
  </si>
  <si>
    <t>MG52518032008001</t>
  </si>
  <si>
    <t>Andranomatavy</t>
  </si>
  <si>
    <t>MG52518032003001</t>
  </si>
  <si>
    <t>Andranomavo</t>
  </si>
  <si>
    <t>MG41403050001001</t>
  </si>
  <si>
    <t>MG52518170018</t>
  </si>
  <si>
    <t>ANDRANOMAVO I</t>
  </si>
  <si>
    <t>ANDRANOMAVO II</t>
  </si>
  <si>
    <t>Andranomena</t>
  </si>
  <si>
    <t>MG51507150066001</t>
  </si>
  <si>
    <t>ANDRANOMENA (NY FANDROSOANA)</t>
  </si>
  <si>
    <t>ANDRANOMENA-MAHABO</t>
  </si>
  <si>
    <t>MG54510152006001</t>
  </si>
  <si>
    <t>ANDRANOMIHERY</t>
  </si>
  <si>
    <t>Andranomilitry</t>
  </si>
  <si>
    <t>MG51507250015</t>
  </si>
  <si>
    <t>MG51507290061</t>
  </si>
  <si>
    <t>Andranomilitse</t>
  </si>
  <si>
    <t>MG51507290015001</t>
  </si>
  <si>
    <t>Andranomilitse Ankilimasy</t>
  </si>
  <si>
    <t>MG51507250058001</t>
  </si>
  <si>
    <t>ANDRANOMITEKA</t>
  </si>
  <si>
    <t>Andranomiteraky</t>
  </si>
  <si>
    <t>MG54502010003001</t>
  </si>
  <si>
    <t>Andranonagnombe</t>
  </si>
  <si>
    <t>MG52514050079001</t>
  </si>
  <si>
    <t>Andranondambo</t>
  </si>
  <si>
    <t>MG53519130007001</t>
  </si>
  <si>
    <t>Andranotakatse</t>
  </si>
  <si>
    <t>MG51506050011002</t>
  </si>
  <si>
    <t>Andranotakatse-Masiaboay</t>
  </si>
  <si>
    <t>MG51506050011001</t>
  </si>
  <si>
    <t>Andranotantely</t>
  </si>
  <si>
    <t>MG51506013003001</t>
  </si>
  <si>
    <t>Andranotsikioe</t>
  </si>
  <si>
    <t>MG52513092068001</t>
  </si>
  <si>
    <t>Andranotsiriry</t>
  </si>
  <si>
    <t>MG51507290060</t>
  </si>
  <si>
    <t>MG54510011005001</t>
  </si>
  <si>
    <t>ANDRANOTSIRIRY MANKATRATSE</t>
  </si>
  <si>
    <t>MG52516033056001</t>
  </si>
  <si>
    <t>Andranovaho</t>
  </si>
  <si>
    <t>MG51507010025001</t>
  </si>
  <si>
    <t>Andranovao</t>
  </si>
  <si>
    <t>MG44421194001001</t>
  </si>
  <si>
    <t>Andraompe</t>
  </si>
  <si>
    <t>MG54509030054001</t>
  </si>
  <si>
    <t>ANDRARAKE</t>
  </si>
  <si>
    <t>ANDRAREZO</t>
  </si>
  <si>
    <t>ANDRASEKE SUD</t>
  </si>
  <si>
    <t>Andraseky</t>
  </si>
  <si>
    <t>MG52513030012001</t>
  </si>
  <si>
    <t>ANDRATINO</t>
  </si>
  <si>
    <t>ANDRAVINDAHY II</t>
  </si>
  <si>
    <t>Andrea Andradie</t>
  </si>
  <si>
    <t>MG53519250068001</t>
  </si>
  <si>
    <t>ANDREBASY</t>
  </si>
  <si>
    <t>Andremareo</t>
  </si>
  <si>
    <t>MG25217072033001</t>
  </si>
  <si>
    <t>Andremba</t>
  </si>
  <si>
    <t>MG51507110a_12001</t>
  </si>
  <si>
    <t>Andremba Centre</t>
  </si>
  <si>
    <t>MG51506015011</t>
  </si>
  <si>
    <t>Andremba Mihaga</t>
  </si>
  <si>
    <t>MG51506015013001</t>
  </si>
  <si>
    <t>Andremba Mihary</t>
  </si>
  <si>
    <t>MG51506015012001</t>
  </si>
  <si>
    <t>Andremihory</t>
  </si>
  <si>
    <t>MG51506015009001</t>
  </si>
  <si>
    <t>Andrenara</t>
  </si>
  <si>
    <t>MG53519030003001</t>
  </si>
  <si>
    <t>ANDREVAVO</t>
  </si>
  <si>
    <t>Andrevisike</t>
  </si>
  <si>
    <t>MG51507050026001</t>
  </si>
  <si>
    <t>Andriabe</t>
  </si>
  <si>
    <t>MG52518031005001</t>
  </si>
  <si>
    <t>Andriamanalina</t>
  </si>
  <si>
    <t>ANDRIAMBE</t>
  </si>
  <si>
    <t>Andriambola Nord</t>
  </si>
  <si>
    <t>MG52518152002</t>
  </si>
  <si>
    <t>MG52518152002001</t>
  </si>
  <si>
    <t>Andriana</t>
  </si>
  <si>
    <t>MG23210070003001</t>
  </si>
  <si>
    <t>ANDRIVORY</t>
  </si>
  <si>
    <t>ANDROANGALAVA</t>
  </si>
  <si>
    <t>ANDRODAVA</t>
  </si>
  <si>
    <t>ANDROHONDROHO</t>
  </si>
  <si>
    <t>Androimpano</t>
  </si>
  <si>
    <t>MG51507310058001</t>
  </si>
  <si>
    <t>Androipano</t>
  </si>
  <si>
    <t>MG51507310036</t>
  </si>
  <si>
    <t>MG51507310036001</t>
  </si>
  <si>
    <t>ANDROKA</t>
  </si>
  <si>
    <t>MG53517291003001</t>
  </si>
  <si>
    <t>Androka Betohoke</t>
  </si>
  <si>
    <t>MG51507010068</t>
  </si>
  <si>
    <t>Androka Ela</t>
  </si>
  <si>
    <t>MG51507230012001</t>
  </si>
  <si>
    <t>Androka Vao</t>
  </si>
  <si>
    <t>MG51507230001</t>
  </si>
  <si>
    <t>MG51507230001001</t>
  </si>
  <si>
    <t>ANDROMASY</t>
  </si>
  <si>
    <t>ANDROMBA</t>
  </si>
  <si>
    <t>MG33313194001001</t>
  </si>
  <si>
    <t>ANDRORANGAVOLA</t>
  </si>
  <si>
    <t>MG23211012011001</t>
  </si>
  <si>
    <t>ANDROTOKA</t>
  </si>
  <si>
    <t>ANDROTSY AGNAPOLY</t>
  </si>
  <si>
    <t>Androvakely</t>
  </si>
  <si>
    <t>Androvamare</t>
  </si>
  <si>
    <t>Androvamare II</t>
  </si>
  <si>
    <t>MG52516170077001</t>
  </si>
  <si>
    <t>Androvasoa</t>
  </si>
  <si>
    <t>MG52516151015001</t>
  </si>
  <si>
    <t>MG52516151030003</t>
  </si>
  <si>
    <t>Androvasoa Centre</t>
  </si>
  <si>
    <t>MG52516151030</t>
  </si>
  <si>
    <t>Androvasoa Sampona</t>
  </si>
  <si>
    <t>MG53519070015001</t>
  </si>
  <si>
    <t>ANDROVASOA-AMBOHIMALAZA</t>
  </si>
  <si>
    <t>MG52516033015001</t>
  </si>
  <si>
    <t>ANENA</t>
  </si>
  <si>
    <t>Angirazato</t>
  </si>
  <si>
    <t>MG52513030009001</t>
  </si>
  <si>
    <t>Angobegobe</t>
  </si>
  <si>
    <t>MG52513010077001</t>
  </si>
  <si>
    <t>Anilobe</t>
  </si>
  <si>
    <t>MG25214112001001</t>
  </si>
  <si>
    <t>ANINAKY II</t>
  </si>
  <si>
    <t>Anivorano</t>
  </si>
  <si>
    <t>MG23209070055</t>
  </si>
  <si>
    <t>MG31309050023001</t>
  </si>
  <si>
    <t>MG52516151069</t>
  </si>
  <si>
    <t>ANIVORANO BEANGILY</t>
  </si>
  <si>
    <t>Anivorano Centre</t>
  </si>
  <si>
    <t>MG51507290081001</t>
  </si>
  <si>
    <t>Anivorano I</t>
  </si>
  <si>
    <t>MG51507290046001</t>
  </si>
  <si>
    <t>Anivorano Mitsinjo</t>
  </si>
  <si>
    <t>MG52518290001002</t>
  </si>
  <si>
    <t>Anivorano Mitsinjo Bekily</t>
  </si>
  <si>
    <t>MG52518290001001</t>
  </si>
  <si>
    <t>Anivorano-Ejeda</t>
  </si>
  <si>
    <t>MG51507150061001</t>
  </si>
  <si>
    <t>ANIVORANO-I</t>
  </si>
  <si>
    <t>Anivotsara</t>
  </si>
  <si>
    <t>MG23210190003001</t>
  </si>
  <si>
    <t>ANJA NORD</t>
  </si>
  <si>
    <t>ANJA OUEST</t>
  </si>
  <si>
    <t>MG52518130012001</t>
  </si>
  <si>
    <t>Anjabelitsake</t>
  </si>
  <si>
    <t>MG51507310092001</t>
  </si>
  <si>
    <t>ANJABIHY</t>
  </si>
  <si>
    <t>Anjadavo</t>
  </si>
  <si>
    <t>MG52513070017001</t>
  </si>
  <si>
    <t>ANJAHAMAVELO II</t>
  </si>
  <si>
    <t>ANJAKAMBA</t>
  </si>
  <si>
    <t>MG53515090080001</t>
  </si>
  <si>
    <t>Anjakamba Bas</t>
  </si>
  <si>
    <t>MG52516170015</t>
  </si>
  <si>
    <t>ANJAKAMBA HAUT</t>
  </si>
  <si>
    <t>MG52516170006001</t>
  </si>
  <si>
    <t>Anjamahavelo</t>
  </si>
  <si>
    <t>MG53519090017</t>
  </si>
  <si>
    <t>MG53519090017001</t>
  </si>
  <si>
    <t>ANJAMALINEKE</t>
  </si>
  <si>
    <t>MG53517150087001</t>
  </si>
  <si>
    <t>ANJAMARO</t>
  </si>
  <si>
    <t>Anjamarotea</t>
  </si>
  <si>
    <t>MG51507130002001</t>
  </si>
  <si>
    <t>Anjambalo</t>
  </si>
  <si>
    <t>MG51506030004001</t>
  </si>
  <si>
    <t>Anjamena Nord</t>
  </si>
  <si>
    <t>MG51506050008001</t>
  </si>
  <si>
    <t>Anjamena Sud</t>
  </si>
  <si>
    <t>MG51506050009001</t>
  </si>
  <si>
    <t>ANJAMIKORY</t>
  </si>
  <si>
    <t>Anjamisaro</t>
  </si>
  <si>
    <t>MG51507070078001</t>
  </si>
  <si>
    <t>ANJAMIVARO</t>
  </si>
  <si>
    <t>ANJAMPALY</t>
  </si>
  <si>
    <t>ANJAMPANANIKA</t>
  </si>
  <si>
    <t>ANJANDAVO</t>
  </si>
  <si>
    <t>Anja-Nord</t>
  </si>
  <si>
    <t>MG52518050072001</t>
  </si>
  <si>
    <t>ANJANTSOA</t>
  </si>
  <si>
    <t>ANJAPOTY</t>
  </si>
  <si>
    <t>Anjapoty Nord</t>
  </si>
  <si>
    <t>MG52513050014001</t>
  </si>
  <si>
    <t>Anjatakary</t>
  </si>
  <si>
    <t>MG54502110066001</t>
  </si>
  <si>
    <t>ANJATELO</t>
  </si>
  <si>
    <t>ANJATOVO</t>
  </si>
  <si>
    <t>Anjatsampa</t>
  </si>
  <si>
    <t>MG52514011081001</t>
  </si>
  <si>
    <t>ANJATSOA</t>
  </si>
  <si>
    <t>MG52518110077001</t>
  </si>
  <si>
    <t>ANJEBA</t>
  </si>
  <si>
    <t>MG52516170030001</t>
  </si>
  <si>
    <t>Anjeba-Ankilizato</t>
  </si>
  <si>
    <t>MG54509030055001</t>
  </si>
  <si>
    <t>ANJEKOVA</t>
  </si>
  <si>
    <t>ANJEKY AMBOROKE</t>
  </si>
  <si>
    <t>ANJEKY BEIEVOTSE</t>
  </si>
  <si>
    <t>ANJEKY ENIKONTY</t>
  </si>
  <si>
    <t>Anjeky Erada</t>
  </si>
  <si>
    <t>MG52516014011</t>
  </si>
  <si>
    <t>Anjeky Tanandava</t>
  </si>
  <si>
    <t>MG52516014051001</t>
  </si>
  <si>
    <t>Anjidava</t>
  </si>
  <si>
    <t>MG51507070007001</t>
  </si>
  <si>
    <t>Anjira</t>
  </si>
  <si>
    <t>MG52514071006001</t>
  </si>
  <si>
    <t>Anjoty Marolava II</t>
  </si>
  <si>
    <t>MG52516014054001</t>
  </si>
  <si>
    <t>ANKA MAROMAGNIRY</t>
  </si>
  <si>
    <t>Ankaboa</t>
  </si>
  <si>
    <t>MG52513030011001</t>
  </si>
  <si>
    <t>Ankadibe</t>
  </si>
  <si>
    <t>MG43404070006001</t>
  </si>
  <si>
    <t>Ankafoja</t>
  </si>
  <si>
    <t>MG52516151011001</t>
  </si>
  <si>
    <t>Ankako</t>
  </si>
  <si>
    <t>MG52516031004</t>
  </si>
  <si>
    <t>MG52516031004001</t>
  </si>
  <si>
    <t>Ankalimboro Tsiavihandro</t>
  </si>
  <si>
    <t>MG52516072073001</t>
  </si>
  <si>
    <t>ANKALIRANO/BESATRA</t>
  </si>
  <si>
    <t>ANKALITRANDRAKE</t>
  </si>
  <si>
    <t>ANKAMBOA</t>
  </si>
  <si>
    <t>Ankamena</t>
  </si>
  <si>
    <t>MG51506050014001</t>
  </si>
  <si>
    <t>Ankamena  I</t>
  </si>
  <si>
    <t>MG51507310040001</t>
  </si>
  <si>
    <t>Ankamena II</t>
  </si>
  <si>
    <t>MG51507310041001</t>
  </si>
  <si>
    <t>Ankamena tanantsoa</t>
  </si>
  <si>
    <t>MG53519010024001</t>
  </si>
  <si>
    <t>ANKANANAVY</t>
  </si>
  <si>
    <t>Ankandy</t>
  </si>
  <si>
    <t>MG51506014010001</t>
  </si>
  <si>
    <t>ANKANKA</t>
  </si>
  <si>
    <t>MG53515090081001</t>
  </si>
  <si>
    <t>ANKARA</t>
  </si>
  <si>
    <t>Ankara Berano</t>
  </si>
  <si>
    <t>MG53519050002001</t>
  </si>
  <si>
    <t>Ankaragnabo</t>
  </si>
  <si>
    <t>MG52516013005001</t>
  </si>
  <si>
    <t>Ankarahara</t>
  </si>
  <si>
    <t>MG51507090015001</t>
  </si>
  <si>
    <t>ANKARAHARA AMANDA</t>
  </si>
  <si>
    <t>ANKARAHARA NONOKY</t>
  </si>
  <si>
    <t>ANKARAMAROFOTY</t>
  </si>
  <si>
    <t>ANKARAMENA</t>
  </si>
  <si>
    <t>MG53515090005001</t>
  </si>
  <si>
    <t>Ankarana</t>
  </si>
  <si>
    <t>MG25213350001001</t>
  </si>
  <si>
    <t>Ankaranabo Nord Centre</t>
  </si>
  <si>
    <t>MG52518031065001</t>
  </si>
  <si>
    <t>ANKARANABO_NORD</t>
  </si>
  <si>
    <t>Ankaranandindo</t>
  </si>
  <si>
    <t>MG52516170002</t>
  </si>
  <si>
    <t>ANKARANANIVO</t>
  </si>
  <si>
    <t>ANKARANDOHA</t>
  </si>
  <si>
    <t>MG52516050005001</t>
  </si>
  <si>
    <t>ANKARANILA (SOATEZA)</t>
  </si>
  <si>
    <t>ANKARANTIHY</t>
  </si>
  <si>
    <t>Ankaraobato</t>
  </si>
  <si>
    <t>Ankarapotsy</t>
  </si>
  <si>
    <t>MG25222052003001</t>
  </si>
  <si>
    <t>Ankarefo</t>
  </si>
  <si>
    <t>MG53515033004001</t>
  </si>
  <si>
    <t>Ankarenantsoa</t>
  </si>
  <si>
    <t>MG52518190005</t>
  </si>
  <si>
    <t>MG52518190005001</t>
  </si>
  <si>
    <t>ANKARIA</t>
  </si>
  <si>
    <t>ANKARIERA</t>
  </si>
  <si>
    <t>ANKAROKA TOBY</t>
  </si>
  <si>
    <t>MG53517130003001</t>
  </si>
  <si>
    <t>Ankarongana</t>
  </si>
  <si>
    <t>MG23209070077</t>
  </si>
  <si>
    <t>MG33312152011001</t>
  </si>
  <si>
    <t>ANKASIKITOKA</t>
  </si>
  <si>
    <t>ANKASY</t>
  </si>
  <si>
    <t>MG53517310006001</t>
  </si>
  <si>
    <t>ANKATAFANA</t>
  </si>
  <si>
    <t>ANKATAMBOALAVO</t>
  </si>
  <si>
    <t>ANKATRAFAIMAZAVA</t>
  </si>
  <si>
    <t>Ankatrafay</t>
  </si>
  <si>
    <t>MG51507290058001</t>
  </si>
  <si>
    <t>Ankatrafay Est</t>
  </si>
  <si>
    <t>MG53517270006</t>
  </si>
  <si>
    <t>Ankatrafay-Anavoha</t>
  </si>
  <si>
    <t>MG51507290006001</t>
  </si>
  <si>
    <t>Ankatrafay-Ifotaka</t>
  </si>
  <si>
    <t>MG52518251004001</t>
  </si>
  <si>
    <t>Ankatrakatraka</t>
  </si>
  <si>
    <t>MG51520170006001</t>
  </si>
  <si>
    <t>Ankatrakatrake</t>
  </si>
  <si>
    <t>MG54509030056001</t>
  </si>
  <si>
    <t>Ankatsakatsa</t>
  </si>
  <si>
    <t>MG52518050073001</t>
  </si>
  <si>
    <t>Ankavola</t>
  </si>
  <si>
    <t>MG51506090008001</t>
  </si>
  <si>
    <t>ANKAZOABO</t>
  </si>
  <si>
    <t>MG52518130009001</t>
  </si>
  <si>
    <t>ANKAZOABO II</t>
  </si>
  <si>
    <t>Ankazoabo-Amborompotsy</t>
  </si>
  <si>
    <t>MG51507050059001</t>
  </si>
  <si>
    <t>Ankazoabo-Tranomaro</t>
  </si>
  <si>
    <t>MG53519110009001</t>
  </si>
  <si>
    <t>ANKAZOFOTSY</t>
  </si>
  <si>
    <t>ANKAZOFOTSY I</t>
  </si>
  <si>
    <t>ANKAZOFOTSY II</t>
  </si>
  <si>
    <t>ANKAZOMAGNITSE</t>
  </si>
  <si>
    <t>ANKAZOMALAGNY</t>
  </si>
  <si>
    <t>Ankazomanga</t>
  </si>
  <si>
    <t>MG25215012004001</t>
  </si>
  <si>
    <t>Ankazomanga Ouest</t>
  </si>
  <si>
    <t>MG51506014001</t>
  </si>
  <si>
    <t>Ankazomanga Sud(Fanato)</t>
  </si>
  <si>
    <t>MG51506014001001</t>
  </si>
  <si>
    <t>Ankazomanga-Betioky Atsimo</t>
  </si>
  <si>
    <t>MG51506014056001</t>
  </si>
  <si>
    <t>Ankazomasy Vazako</t>
  </si>
  <si>
    <t>Ankazonta</t>
  </si>
  <si>
    <t>MG51507150045</t>
  </si>
  <si>
    <t>Ankazota</t>
  </si>
  <si>
    <t>MG51507150045001</t>
  </si>
  <si>
    <t>Ankazota Centre</t>
  </si>
  <si>
    <t>MG52518070004</t>
  </si>
  <si>
    <t>Ankazotokana</t>
  </si>
  <si>
    <t>Ankazovelo</t>
  </si>
  <si>
    <t>MG25215012001001</t>
  </si>
  <si>
    <t>ANKEHEO</t>
  </si>
  <si>
    <t>ANKENIHENY</t>
  </si>
  <si>
    <t>MG53517270002001</t>
  </si>
  <si>
    <t>Ankeoheo Marolava</t>
  </si>
  <si>
    <t>MG52516014055001</t>
  </si>
  <si>
    <t>ANKERAKERAKY</t>
  </si>
  <si>
    <t>ANKEREREAKE</t>
  </si>
  <si>
    <t>ANKETA</t>
  </si>
  <si>
    <t>Anketrake</t>
  </si>
  <si>
    <t>MG51506011008001</t>
  </si>
  <si>
    <t>Ankevo</t>
  </si>
  <si>
    <t>MG41407091005001</t>
  </si>
  <si>
    <t>ANKIBAINIMAY</t>
  </si>
  <si>
    <t>ANKILEFALY</t>
  </si>
  <si>
    <t>MG52516130058001</t>
  </si>
  <si>
    <t>ANKILEFALY-AMBOVOMBE</t>
  </si>
  <si>
    <t>MG53515090082001</t>
  </si>
  <si>
    <t>Ankilehogo</t>
  </si>
  <si>
    <t>MG52516071064001</t>
  </si>
  <si>
    <t>ANKILEISOKE</t>
  </si>
  <si>
    <t>ANKILEMALANGE</t>
  </si>
  <si>
    <t>Ankilemare</t>
  </si>
  <si>
    <t>MG51507050030001</t>
  </si>
  <si>
    <t>ANKILEMASY</t>
  </si>
  <si>
    <t>MG53515090083001</t>
  </si>
  <si>
    <t>ANKILEMASY TEDO TSIMIALONJAFY</t>
  </si>
  <si>
    <t>Ankilemiary</t>
  </si>
  <si>
    <t>MG52518230057001</t>
  </si>
  <si>
    <t>Ankilemiharatsy</t>
  </si>
  <si>
    <t>MG52516111048001</t>
  </si>
  <si>
    <t>Ankilemivory Esogny</t>
  </si>
  <si>
    <t>MG52518290065001</t>
  </si>
  <si>
    <t>Ankilerandro</t>
  </si>
  <si>
    <t>MG52516014056001</t>
  </si>
  <si>
    <t>ANKILEROE MAROLAVA</t>
  </si>
  <si>
    <t>Ankiletelo</t>
  </si>
  <si>
    <t>MG52516111049001</t>
  </si>
  <si>
    <t>ANKILETELO-AMBOHIMALAZA</t>
  </si>
  <si>
    <t>MG52516033057001</t>
  </si>
  <si>
    <t>ANKILETOKA I</t>
  </si>
  <si>
    <t>Ankilevalo I</t>
  </si>
  <si>
    <t>MG52513030072001</t>
  </si>
  <si>
    <t>Ankilevalo II</t>
  </si>
  <si>
    <t>MG52513030073001</t>
  </si>
  <si>
    <t>Ankiliabo</t>
  </si>
  <si>
    <t>MG54502090001001</t>
  </si>
  <si>
    <t>ANKILIABO NORD</t>
  </si>
  <si>
    <t>Ankiliabo Sud</t>
  </si>
  <si>
    <t>MG52516111050001</t>
  </si>
  <si>
    <t>Ankiliabo-Amborompotsy</t>
  </si>
  <si>
    <t>MG51507030001001</t>
  </si>
  <si>
    <t>Ankiliabon'Ibona</t>
  </si>
  <si>
    <t>MG52516031037001</t>
  </si>
  <si>
    <t>Ankiliambany</t>
  </si>
  <si>
    <t>MG51507310045001</t>
  </si>
  <si>
    <t>ANKILIANAGNO</t>
  </si>
  <si>
    <t>Ankiliarivo</t>
  </si>
  <si>
    <t>MG52518230056001</t>
  </si>
  <si>
    <t>Ankiliarivo-Beantake</t>
  </si>
  <si>
    <t>MG51506030002001</t>
  </si>
  <si>
    <t>ANKILIBE</t>
  </si>
  <si>
    <t>Ankilibe Nord</t>
  </si>
  <si>
    <t>MG52514072002</t>
  </si>
  <si>
    <t>Ankilibe Vahavola</t>
  </si>
  <si>
    <t>MG53519070011001</t>
  </si>
  <si>
    <t>ANKILIBEHARA</t>
  </si>
  <si>
    <t>Ankilibory</t>
  </si>
  <si>
    <t>MG51507310071001</t>
  </si>
  <si>
    <t>Ankilibory I</t>
  </si>
  <si>
    <t>MG51507270004</t>
  </si>
  <si>
    <t>Ankilibory-Beheloka</t>
  </si>
  <si>
    <t>MG51520358011001</t>
  </si>
  <si>
    <t>Ankilibory-Beroy Atsimo</t>
  </si>
  <si>
    <t>MG51507270011001</t>
  </si>
  <si>
    <t>ANKILIFALY</t>
  </si>
  <si>
    <t>ANKILIFOLO</t>
  </si>
  <si>
    <t>ANKILIHOGO HAUT</t>
  </si>
  <si>
    <t>Ankilikira</t>
  </si>
  <si>
    <t>MG52516014017</t>
  </si>
  <si>
    <t>MG52516014057001</t>
  </si>
  <si>
    <t>Ankililaza</t>
  </si>
  <si>
    <t>MG51506030010001</t>
  </si>
  <si>
    <t>ANKILILIRY</t>
  </si>
  <si>
    <t>ANKILILOAKE</t>
  </si>
  <si>
    <t>ANKILIMAFAITSE</t>
  </si>
  <si>
    <t>MG53515090084001</t>
  </si>
  <si>
    <t>Ankilimahare</t>
  </si>
  <si>
    <t>MG52516013064001</t>
  </si>
  <si>
    <t>ANKILIMAHAVELO</t>
  </si>
  <si>
    <t>ANKILIMALAINDIO</t>
  </si>
  <si>
    <t>Ankilimalangy</t>
  </si>
  <si>
    <t>MG51520270008001</t>
  </si>
  <si>
    <t>ANKILIMALANGY I</t>
  </si>
  <si>
    <t>ANKILIMALANGY II</t>
  </si>
  <si>
    <t>ANKILIMAMONDRO</t>
  </si>
  <si>
    <t>Ankilimanara</t>
  </si>
  <si>
    <t>MG53519070002001</t>
  </si>
  <si>
    <t>Ankilimanintsy</t>
  </si>
  <si>
    <t>MG51507250059001</t>
  </si>
  <si>
    <t>ANKILIMANINTSY II</t>
  </si>
  <si>
    <t>Ankilimanintsy-Ifotaka</t>
  </si>
  <si>
    <t>MG51507250008001</t>
  </si>
  <si>
    <t>Ankilimanitsy</t>
  </si>
  <si>
    <t>Ankilimanondro</t>
  </si>
  <si>
    <t>MG51507050009001</t>
  </si>
  <si>
    <t>Ankilimanondro Nord</t>
  </si>
  <si>
    <t>MG51507050009002</t>
  </si>
  <si>
    <t>Ankilimara</t>
  </si>
  <si>
    <t>MG51507070058001</t>
  </si>
  <si>
    <t>Ankilimara-Ambanisarika</t>
  </si>
  <si>
    <t>MG52516031038001</t>
  </si>
  <si>
    <t>ANKILIMAROALOKA</t>
  </si>
  <si>
    <t>Ankilimary</t>
  </si>
  <si>
    <t>MG51521031011001</t>
  </si>
  <si>
    <t>ANKILIMARY-IANAKAFY</t>
  </si>
  <si>
    <t>MG51506090011001</t>
  </si>
  <si>
    <t>Ankilimasy</t>
  </si>
  <si>
    <t>MG51506170009001</t>
  </si>
  <si>
    <t>Ankilimasy Haut</t>
  </si>
  <si>
    <t>MG52518031008</t>
  </si>
  <si>
    <t>Ankilimasy-Belafike Haut</t>
  </si>
  <si>
    <t>MG51507170009001</t>
  </si>
  <si>
    <t>Ankilimasy-Betioky Atsimo</t>
  </si>
  <si>
    <t>MG51506011009001</t>
  </si>
  <si>
    <t>Ankilimasy-Gogogogo</t>
  </si>
  <si>
    <t>MG51507210009001</t>
  </si>
  <si>
    <t>ANKILIMIANDRA</t>
  </si>
  <si>
    <t>Ankilimiangatse</t>
  </si>
  <si>
    <t>MG51506011010001</t>
  </si>
  <si>
    <t>ANKILIMIARY</t>
  </si>
  <si>
    <t>Ankilimidega</t>
  </si>
  <si>
    <t>MG51507150067001</t>
  </si>
  <si>
    <t>Ankilimigahy</t>
  </si>
  <si>
    <t>MG52514012012001</t>
  </si>
  <si>
    <t>Ankilimihada</t>
  </si>
  <si>
    <t>MG51506015007001</t>
  </si>
  <si>
    <t>Ankilimihamy</t>
  </si>
  <si>
    <t>MG51507090004001</t>
  </si>
  <si>
    <t>ANKILIMILALY</t>
  </si>
  <si>
    <t>ANKILIMILOPAKE</t>
  </si>
  <si>
    <t>ANKILIMILOPAKY</t>
  </si>
  <si>
    <t>MG52518110007001</t>
  </si>
  <si>
    <t>ANKILIMIRAFY</t>
  </si>
  <si>
    <t>Ankilimitraha</t>
  </si>
  <si>
    <t>MG53519070005001</t>
  </si>
  <si>
    <t>Ankilimitraha (Anjado)</t>
  </si>
  <si>
    <t>MG53519090019001</t>
  </si>
  <si>
    <t>Ankilimivony</t>
  </si>
  <si>
    <t>MG51520358002001</t>
  </si>
  <si>
    <t>Ankilimivory</t>
  </si>
  <si>
    <t>MG51507130001001</t>
  </si>
  <si>
    <t>ANKILINDREHOZOKE</t>
  </si>
  <si>
    <t>ANKILISANA</t>
  </si>
  <si>
    <t>Ankilisinao</t>
  </si>
  <si>
    <t>MG52513030007001</t>
  </si>
  <si>
    <t>ANKILISOASOMANGY</t>
  </si>
  <si>
    <t>MG52518130098001</t>
  </si>
  <si>
    <t>Ankilitelo</t>
  </si>
  <si>
    <t>MG51507310006001</t>
  </si>
  <si>
    <t>Ankilitelo Ii (Beroy)</t>
  </si>
  <si>
    <t>MG51507310093001</t>
  </si>
  <si>
    <t>ANKILITELOMISAVARA</t>
  </si>
  <si>
    <t>Ankilitoka</t>
  </si>
  <si>
    <t>MG44417031003001</t>
  </si>
  <si>
    <t>Ankilivahare</t>
  </si>
  <si>
    <t>MG52513091016</t>
  </si>
  <si>
    <t>ANKILIVAHARY</t>
  </si>
  <si>
    <t>Ankilivalo</t>
  </si>
  <si>
    <t>MG52516014004001</t>
  </si>
  <si>
    <t>Ankilivalo Haut</t>
  </si>
  <si>
    <t>MG52518190002001</t>
  </si>
  <si>
    <t>ANKILIVALO SUD</t>
  </si>
  <si>
    <t>Ankilivao</t>
  </si>
  <si>
    <t>MG51506330017</t>
  </si>
  <si>
    <t>ANKILIVOANGY</t>
  </si>
  <si>
    <t>Ankilizato</t>
  </si>
  <si>
    <t>MG54509030057001</t>
  </si>
  <si>
    <t>Ankily</t>
  </si>
  <si>
    <t>MG53519190075001</t>
  </si>
  <si>
    <t>Ankily Bekily</t>
  </si>
  <si>
    <t>MG53519230088001</t>
  </si>
  <si>
    <t>Ankily Soarano</t>
  </si>
  <si>
    <t>MG52518032009001</t>
  </si>
  <si>
    <t>ANKINDRANOKE</t>
  </si>
  <si>
    <t>Ankininy</t>
  </si>
  <si>
    <t>MG53519050057001</t>
  </si>
  <si>
    <t>Ankininy-Belafike Haut</t>
  </si>
  <si>
    <t>MG51507310064001</t>
  </si>
  <si>
    <t>ANKIRAVA</t>
  </si>
  <si>
    <t>Ankirikirika</t>
  </si>
  <si>
    <t>MG53519030006001</t>
  </si>
  <si>
    <t>Ankirikirika Centre</t>
  </si>
  <si>
    <t>MG53519030078001</t>
  </si>
  <si>
    <t>Ankirikirika I Est Ambato</t>
  </si>
  <si>
    <t>MG53519030111001</t>
  </si>
  <si>
    <t>Ankirikirika PPNR</t>
  </si>
  <si>
    <t>MG53519030067001</t>
  </si>
  <si>
    <t>Ankirikirika Vaonoro</t>
  </si>
  <si>
    <t>MG53519030018001</t>
  </si>
  <si>
    <t>ANKIRIKIRY</t>
  </si>
  <si>
    <t>Ankisakisake</t>
  </si>
  <si>
    <t>MG51507050012001</t>
  </si>
  <si>
    <t>Ankitikitike</t>
  </si>
  <si>
    <t>MG51507310094001</t>
  </si>
  <si>
    <t>Ankitry</t>
  </si>
  <si>
    <t>MG53519010019001</t>
  </si>
  <si>
    <t>Ankliabo Nord</t>
  </si>
  <si>
    <t>MG52516111051001</t>
  </si>
  <si>
    <t>Ankobo</t>
  </si>
  <si>
    <t>MG52516170024</t>
  </si>
  <si>
    <t>ANKONABE</t>
  </si>
  <si>
    <t>Ankonatse</t>
  </si>
  <si>
    <t>MG51507050029001</t>
  </si>
  <si>
    <t>Ankondria</t>
  </si>
  <si>
    <t>MG52516151008</t>
  </si>
  <si>
    <t>MG52516151008002</t>
  </si>
  <si>
    <t>Ankorabe</t>
  </si>
  <si>
    <t>Ankorakosy</t>
  </si>
  <si>
    <t>MG52514011083001</t>
  </si>
  <si>
    <t>ANKORITSIKE</t>
  </si>
  <si>
    <t>ANKOROKOROKE</t>
  </si>
  <si>
    <t>ANKOROROKA MAHAZOSOA</t>
  </si>
  <si>
    <t>Ankororoke</t>
  </si>
  <si>
    <t>MG52514050077001</t>
  </si>
  <si>
    <t>Ankororoke Mahazosoa</t>
  </si>
  <si>
    <t>MG52516071065001</t>
  </si>
  <si>
    <t>Ankotobe Avaradrano</t>
  </si>
  <si>
    <t>MG52518251092001</t>
  </si>
  <si>
    <t>Ankotoboke Soarano</t>
  </si>
  <si>
    <t>MG51506030008001</t>
  </si>
  <si>
    <t>ANKOTRAKY</t>
  </si>
  <si>
    <t>Ankotrobe</t>
  </si>
  <si>
    <t>MG52516170040</t>
  </si>
  <si>
    <t>ANKOTSOBE</t>
  </si>
  <si>
    <t>MG52516170040001</t>
  </si>
  <si>
    <t>Ankozohozo</t>
  </si>
  <si>
    <t>MG51507150014</t>
  </si>
  <si>
    <t>Ankozohozo Andakilasy</t>
  </si>
  <si>
    <t>MG51507150068001</t>
  </si>
  <si>
    <t>Anontsy</t>
  </si>
  <si>
    <t>MG51506030001001</t>
  </si>
  <si>
    <t>ANORAMBE</t>
  </si>
  <si>
    <t>Anosa</t>
  </si>
  <si>
    <t>MG51507030008001</t>
  </si>
  <si>
    <t>Anosikely</t>
  </si>
  <si>
    <t>MG25213070042001</t>
  </si>
  <si>
    <t>Anosimahasoa</t>
  </si>
  <si>
    <t>Anosimparihy</t>
  </si>
  <si>
    <t>Anosy</t>
  </si>
  <si>
    <t>MG25213070040001</t>
  </si>
  <si>
    <t>Anovy</t>
  </si>
  <si>
    <t>ANOVY SUD</t>
  </si>
  <si>
    <t>ANTABOARA HAUT</t>
  </si>
  <si>
    <t>Antafianampela</t>
  </si>
  <si>
    <t>MG52516152046001</t>
  </si>
  <si>
    <t>MG52516170021</t>
  </si>
  <si>
    <t>ANTAHOVARY</t>
  </si>
  <si>
    <t>Antaly</t>
  </si>
  <si>
    <t>MG51507150034001</t>
  </si>
  <si>
    <t>MG52518151006</t>
  </si>
  <si>
    <t>Antaly Andrefa</t>
  </si>
  <si>
    <t>MG51507010026</t>
  </si>
  <si>
    <t>Antaly/Agnena</t>
  </si>
  <si>
    <t>MG52513010017001</t>
  </si>
  <si>
    <t>Antamotamo</t>
  </si>
  <si>
    <t>MG51506012004001</t>
  </si>
  <si>
    <t>Antamotamo-Sakamasay</t>
  </si>
  <si>
    <t>MG51506012067001</t>
  </si>
  <si>
    <t>ANTANA</t>
  </si>
  <si>
    <t>ANTANAMAEVA</t>
  </si>
  <si>
    <t>ANTANAMALANGY</t>
  </si>
  <si>
    <t>Antanamalaza</t>
  </si>
  <si>
    <t>MG53519030068001</t>
  </si>
  <si>
    <t>ANTANAMARY</t>
  </si>
  <si>
    <t>Antanambao</t>
  </si>
  <si>
    <t>MG25217191003001</t>
  </si>
  <si>
    <t>ANTANAMIARE ANKILITELO</t>
  </si>
  <si>
    <t>ANTANAMIARY</t>
  </si>
  <si>
    <t>ANTANAMIHERY</t>
  </si>
  <si>
    <t>MG52516092046001</t>
  </si>
  <si>
    <t>ANTANANDAVA SUD</t>
  </si>
  <si>
    <t>MG24218050006001</t>
  </si>
  <si>
    <t>Antanantsoa</t>
  </si>
  <si>
    <t>MG52513091017001</t>
  </si>
  <si>
    <t>ANTANATANAPOTY</t>
  </si>
  <si>
    <t>MG53515090085001</t>
  </si>
  <si>
    <t>Antanemainty</t>
  </si>
  <si>
    <t>MG51507010006001</t>
  </si>
  <si>
    <t>Antanemavo</t>
  </si>
  <si>
    <t>MG51507050019001</t>
  </si>
  <si>
    <t>Antanemiare I</t>
  </si>
  <si>
    <t>MG52516014058001</t>
  </si>
  <si>
    <t>ANTANETIBE OUEST</t>
  </si>
  <si>
    <t>Antanifoty</t>
  </si>
  <si>
    <t>MG53519030003002</t>
  </si>
  <si>
    <t>ANTANILEBE</t>
  </si>
  <si>
    <t>Antanimainty</t>
  </si>
  <si>
    <t>MG53517130006</t>
  </si>
  <si>
    <t>MG54511011010001</t>
  </si>
  <si>
    <t>Antanimary</t>
  </si>
  <si>
    <t>MG52518070003</t>
  </si>
  <si>
    <t>ANTANIMAVO</t>
  </si>
  <si>
    <t>Antanimena</t>
  </si>
  <si>
    <t>MG33312071005001</t>
  </si>
  <si>
    <t>ANTANIMENA RENDAITSE</t>
  </si>
  <si>
    <t>ANTANIMENA SUD</t>
  </si>
  <si>
    <t>ANTANIMENA-NORD</t>
  </si>
  <si>
    <t>ANTANIMIEVA</t>
  </si>
  <si>
    <t>ANTANIMIHERY</t>
  </si>
  <si>
    <t>Antanimora Centre</t>
  </si>
  <si>
    <t>MG52516130001</t>
  </si>
  <si>
    <t>MG52516130001001</t>
  </si>
  <si>
    <t>Antaninarenina</t>
  </si>
  <si>
    <t>MG51501006001001</t>
  </si>
  <si>
    <t>Antaniperatsy</t>
  </si>
  <si>
    <t>MG51507270021001</t>
  </si>
  <si>
    <t>Antaranta</t>
  </si>
  <si>
    <t>MG52514011082001</t>
  </si>
  <si>
    <t>Antararaty</t>
  </si>
  <si>
    <t>MG51506050022002</t>
  </si>
  <si>
    <t>Antararaty-Masiaboay</t>
  </si>
  <si>
    <t>MG51506050022001</t>
  </si>
  <si>
    <t>Antaritarika</t>
  </si>
  <si>
    <t>MG52514071067001</t>
  </si>
  <si>
    <t>ANTARITARIKA CENTRE</t>
  </si>
  <si>
    <t>ANTATABE</t>
  </si>
  <si>
    <t>MG53517130007001</t>
  </si>
  <si>
    <t>Antavimalahay</t>
  </si>
  <si>
    <t>MG25214152002001</t>
  </si>
  <si>
    <t>ANTAVOLO</t>
  </si>
  <si>
    <t>MG23211011020001</t>
  </si>
  <si>
    <t>ANTAVY NORD</t>
  </si>
  <si>
    <t>ANTEKOHO</t>
  </si>
  <si>
    <t>MG23211011009001</t>
  </si>
  <si>
    <t>Antemanara(Antokonala)</t>
  </si>
  <si>
    <t>MG25217072001001</t>
  </si>
  <si>
    <t>Antenimary</t>
  </si>
  <si>
    <t>MG25217150005001</t>
  </si>
  <si>
    <t>ANTENY EST</t>
  </si>
  <si>
    <t>ANTESOAMAY</t>
  </si>
  <si>
    <t>MG52516190011001</t>
  </si>
  <si>
    <t>ANTETEBEY</t>
  </si>
  <si>
    <t>Antevamena</t>
  </si>
  <si>
    <t>MG54502070002001</t>
  </si>
  <si>
    <t>Antevongo</t>
  </si>
  <si>
    <t>MG25217011003001</t>
  </si>
  <si>
    <t>Antodinga</t>
  </si>
  <si>
    <t>MG23211112001001</t>
  </si>
  <si>
    <t>Antoetra</t>
  </si>
  <si>
    <t>Antohabo</t>
  </si>
  <si>
    <t>MG51507290082001</t>
  </si>
  <si>
    <t>Antokoboritelo</t>
  </si>
  <si>
    <t>MG25222031002001</t>
  </si>
  <si>
    <t>ANTOMBINANDRIANA</t>
  </si>
  <si>
    <t>Antondabe</t>
  </si>
  <si>
    <t>MG25213390006001</t>
  </si>
  <si>
    <t>Antondabe-Antondabe</t>
  </si>
  <si>
    <t>MG25222012006001</t>
  </si>
  <si>
    <t>ANTONGOMBATO</t>
  </si>
  <si>
    <t>ANTRANOKAKY</t>
  </si>
  <si>
    <t>ANTRANOLAHATRA</t>
  </si>
  <si>
    <t>ANTRANOTSIEFA</t>
  </si>
  <si>
    <t>ANTREAKE</t>
  </si>
  <si>
    <t>ANTSAGNIRA</t>
  </si>
  <si>
    <t>ANTSAHAMAINA</t>
  </si>
  <si>
    <t>Antsakoa</t>
  </si>
  <si>
    <t>MG51507230008001</t>
  </si>
  <si>
    <t>ANTSAKOAMALANGY</t>
  </si>
  <si>
    <t>ANTSAKOAMAMY</t>
  </si>
  <si>
    <t>Antsakoamaro</t>
  </si>
  <si>
    <t>MG51506130014001</t>
  </si>
  <si>
    <t>Antsakoamaro Centre</t>
  </si>
  <si>
    <t>MG52518070001</t>
  </si>
  <si>
    <t>Antsakoamaro-ANTSAKOAMARO</t>
  </si>
  <si>
    <t>MG52518070014001</t>
  </si>
  <si>
    <t>Antsakoamasy</t>
  </si>
  <si>
    <t>MG51506011007001</t>
  </si>
  <si>
    <t>Antsakoambalo</t>
  </si>
  <si>
    <t>MG52516170039</t>
  </si>
  <si>
    <t>ANTSAKOAMIARY</t>
  </si>
  <si>
    <t>ANTSAKOAMIAVOTSE</t>
  </si>
  <si>
    <t>ANTSAKOAMITONDRITSE NORD</t>
  </si>
  <si>
    <t>Antsakoandahy</t>
  </si>
  <si>
    <t>Antsakoantsoa</t>
  </si>
  <si>
    <t>MG52514011084001</t>
  </si>
  <si>
    <t>ANTSANDRAHA</t>
  </si>
  <si>
    <t>ANTSAPANDRANO</t>
  </si>
  <si>
    <t>Antsaridava</t>
  </si>
  <si>
    <t>MG51507010013001</t>
  </si>
  <si>
    <t>ANTSARO</t>
  </si>
  <si>
    <t>Antsatra</t>
  </si>
  <si>
    <t>MG52518270007001</t>
  </si>
  <si>
    <t>ANTSATRAHAMASY</t>
  </si>
  <si>
    <t>MG52516011039001</t>
  </si>
  <si>
    <t>ANTSEJEBY</t>
  </si>
  <si>
    <t>ANTSEKY NORD</t>
  </si>
  <si>
    <t>ANTSELIBE</t>
  </si>
  <si>
    <t>Antsely</t>
  </si>
  <si>
    <t>MG52518251056001</t>
  </si>
  <si>
    <t>Antsely Bekily</t>
  </si>
  <si>
    <t>MG52518251009001</t>
  </si>
  <si>
    <t>ANTSENAVOLO</t>
  </si>
  <si>
    <t>Antseranambe</t>
  </si>
  <si>
    <t>MG31306050007001</t>
  </si>
  <si>
    <t>Antseta</t>
  </si>
  <si>
    <t>MG52514050011001</t>
  </si>
  <si>
    <t>ANTSEVA</t>
  </si>
  <si>
    <t>ANTSEVASEVA ANKILIMALANGE</t>
  </si>
  <si>
    <t>Antsevaseva-Rehinde</t>
  </si>
  <si>
    <t>MG51507150093001</t>
  </si>
  <si>
    <t>ANTSIFITSE</t>
  </si>
  <si>
    <t>ANTSIRA</t>
  </si>
  <si>
    <t>MG52516130078001</t>
  </si>
  <si>
    <t>ANTSIVAVY</t>
  </si>
  <si>
    <t>Antsivavy Ankamena</t>
  </si>
  <si>
    <t>MG53519090057001</t>
  </si>
  <si>
    <t>Antsohamamy</t>
  </si>
  <si>
    <t>MG52518031015</t>
  </si>
  <si>
    <t>Antsolo</t>
  </si>
  <si>
    <t>MG52513030076001</t>
  </si>
  <si>
    <t>ANTSOMONTSOY</t>
  </si>
  <si>
    <t>Antsomotsoy Ankeloke</t>
  </si>
  <si>
    <t>MG52516072074001</t>
  </si>
  <si>
    <t>Antsomotsoy Centre</t>
  </si>
  <si>
    <t>MG52516072075001</t>
  </si>
  <si>
    <t>Antsoro I (Manambidala)</t>
  </si>
  <si>
    <t>MG25217012001001</t>
  </si>
  <si>
    <t>Antsosa</t>
  </si>
  <si>
    <t>MG52518190008</t>
  </si>
  <si>
    <t>Antsosa I</t>
  </si>
  <si>
    <t>MG52518190056001</t>
  </si>
  <si>
    <t>ANTSOTRY FALIAKONDRO</t>
  </si>
  <si>
    <t>ANTSOVELA</t>
  </si>
  <si>
    <t>Antsovela SAMA</t>
  </si>
  <si>
    <t>MG53519050016001</t>
  </si>
  <si>
    <t>Antsovela Ville</t>
  </si>
  <si>
    <t>MG53519050017001</t>
  </si>
  <si>
    <t>APANDRATOLONY</t>
  </si>
  <si>
    <t>MG53517310003001</t>
  </si>
  <si>
    <t>Atondritsy</t>
  </si>
  <si>
    <t>MG52518290006001</t>
  </si>
  <si>
    <t>Avaradrova</t>
  </si>
  <si>
    <t>MG51504010007001</t>
  </si>
  <si>
    <t>AVOTRA AMBATOLAMPY</t>
  </si>
  <si>
    <t>Barabay</t>
  </si>
  <si>
    <t>MG52513030001001</t>
  </si>
  <si>
    <t>BASAKOA BAS</t>
  </si>
  <si>
    <t>MG52516170080001</t>
  </si>
  <si>
    <t>BAVARO BESENA</t>
  </si>
  <si>
    <t>BEABO</t>
  </si>
  <si>
    <t>BEADABO</t>
  </si>
  <si>
    <t>MG53517168056001</t>
  </si>
  <si>
    <t>Beadabo Behara</t>
  </si>
  <si>
    <t>MG52518251010001</t>
  </si>
  <si>
    <t>Beadala Antanisira</t>
  </si>
  <si>
    <t>MG51507310063001</t>
  </si>
  <si>
    <t>Beadala Bas</t>
  </si>
  <si>
    <t>MG51507210083001</t>
  </si>
  <si>
    <t>Beadala Bas-Belafike Haut</t>
  </si>
  <si>
    <t>MG51507310065001</t>
  </si>
  <si>
    <t>Beadala Faharaza</t>
  </si>
  <si>
    <t>MG51507310066001</t>
  </si>
  <si>
    <t>Beadala Haut</t>
  </si>
  <si>
    <t>MG51507210010001</t>
  </si>
  <si>
    <t>Beagnantara</t>
  </si>
  <si>
    <t>MG52516014001</t>
  </si>
  <si>
    <t>BEAHITSE</t>
  </si>
  <si>
    <t>Beamalo</t>
  </si>
  <si>
    <t>MG51506012003</t>
  </si>
  <si>
    <t>MG51506012003001</t>
  </si>
  <si>
    <t>Beamalo Centre</t>
  </si>
  <si>
    <t>MG51507290083001</t>
  </si>
  <si>
    <t>Beamalo-AMBAHITA</t>
  </si>
  <si>
    <t>MG52518032059001</t>
  </si>
  <si>
    <t>Beamalo-Fotadrevo</t>
  </si>
  <si>
    <t>MG51507290003001</t>
  </si>
  <si>
    <t>BEAMPEMBA</t>
  </si>
  <si>
    <t>Beanana</t>
  </si>
  <si>
    <t>MG23210070009001</t>
  </si>
  <si>
    <t>Beanantara</t>
  </si>
  <si>
    <t>MG52516014059001</t>
  </si>
  <si>
    <t>Beanantara I</t>
  </si>
  <si>
    <t>MG52516014060001</t>
  </si>
  <si>
    <t>BEANDRY</t>
  </si>
  <si>
    <t>BEANGEA</t>
  </si>
  <si>
    <t>BEANGILY</t>
  </si>
  <si>
    <t>BEANIKE</t>
  </si>
  <si>
    <t>MG53515090086001</t>
  </si>
  <si>
    <t>Beanike vohidroa</t>
  </si>
  <si>
    <t>MG51506012007001</t>
  </si>
  <si>
    <t>BEANIKEI</t>
  </si>
  <si>
    <t>Beantake</t>
  </si>
  <si>
    <t>MG51506030009001</t>
  </si>
  <si>
    <t>Beara</t>
  </si>
  <si>
    <t>MG51507150070001</t>
  </si>
  <si>
    <t>Beara Ambolamena</t>
  </si>
  <si>
    <t>MG51507150032</t>
  </si>
  <si>
    <t>BEAVAKE I</t>
  </si>
  <si>
    <t>Beavoha</t>
  </si>
  <si>
    <t>MG51506130001</t>
  </si>
  <si>
    <t>MG51506130001001</t>
  </si>
  <si>
    <t>Beavoha Ambalabe</t>
  </si>
  <si>
    <t>MG51507310095001</t>
  </si>
  <si>
    <t>BEAVOHA NORD</t>
  </si>
  <si>
    <t>Beavoha Sud</t>
  </si>
  <si>
    <t>MG51507230019</t>
  </si>
  <si>
    <t>Beavoha-Ankazombalala</t>
  </si>
  <si>
    <t>MG51506130001002</t>
  </si>
  <si>
    <t>Bebakaka</t>
  </si>
  <si>
    <t>MG51507290059</t>
  </si>
  <si>
    <t>MG51507290084001</t>
  </si>
  <si>
    <t>Bebalahazo</t>
  </si>
  <si>
    <t>MG51507250060001</t>
  </si>
  <si>
    <t>BEBARIMO</t>
  </si>
  <si>
    <t>Bebea</t>
  </si>
  <si>
    <t>MG53519050019001</t>
  </si>
  <si>
    <t>BEBORODOKE</t>
  </si>
  <si>
    <t>BEDARO</t>
  </si>
  <si>
    <t>Bedeboke</t>
  </si>
  <si>
    <t>MG51507150071001</t>
  </si>
  <si>
    <t>Bedona</t>
  </si>
  <si>
    <t>MG52518010010001</t>
  </si>
  <si>
    <t>Befaha</t>
  </si>
  <si>
    <t>MG51506030006001</t>
  </si>
  <si>
    <t>Befaitse</t>
  </si>
  <si>
    <t>MG53519030015001</t>
  </si>
  <si>
    <t>Befaitsy</t>
  </si>
  <si>
    <t>MG53519030015002</t>
  </si>
  <si>
    <t>Befamata</t>
  </si>
  <si>
    <t>MG51507030004001</t>
  </si>
  <si>
    <t>Befamata Ampanorita</t>
  </si>
  <si>
    <t>MG54509030058001</t>
  </si>
  <si>
    <t>Befamata-Ankilimivory</t>
  </si>
  <si>
    <t>MG51507130004001</t>
  </si>
  <si>
    <t>BEFAMATA-BAS</t>
  </si>
  <si>
    <t>Befamonty</t>
  </si>
  <si>
    <t>MG54502110007001</t>
  </si>
  <si>
    <t>BEFANDEFA</t>
  </si>
  <si>
    <t>Befangitsy</t>
  </si>
  <si>
    <t>MG52518010014001</t>
  </si>
  <si>
    <t>Befangitsy-BEKITRO</t>
  </si>
  <si>
    <t>MG52518230014001</t>
  </si>
  <si>
    <t>BEFANTSIOLOTSY</t>
  </si>
  <si>
    <t>Befasy</t>
  </si>
  <si>
    <t>MG25214332003001</t>
  </si>
  <si>
    <t>Befasy-Gogogogo</t>
  </si>
  <si>
    <t>MG51507210057001</t>
  </si>
  <si>
    <t>Befengoke</t>
  </si>
  <si>
    <t>MG51507310096001</t>
  </si>
  <si>
    <t>BEFENO</t>
  </si>
  <si>
    <t>BEFENO (Ex AMBALIANDRO)</t>
  </si>
  <si>
    <t>MG52516130095001</t>
  </si>
  <si>
    <t>Befihamy</t>
  </si>
  <si>
    <t>Befolotse</t>
  </si>
  <si>
    <t>MG51507310034002</t>
  </si>
  <si>
    <t>Befolotse-Itampolo</t>
  </si>
  <si>
    <t>MG51507310034001</t>
  </si>
  <si>
    <t>Befotaka</t>
  </si>
  <si>
    <t>MG25222011008001</t>
  </si>
  <si>
    <t>Befotaka-Andranomangatsiaka</t>
  </si>
  <si>
    <t>MG51506191008001</t>
  </si>
  <si>
    <t>Begorago</t>
  </si>
  <si>
    <t>MG51507090013001</t>
  </si>
  <si>
    <t>Behabobo</t>
  </si>
  <si>
    <t>MG51506150020001</t>
  </si>
  <si>
    <t>MG51507010087</t>
  </si>
  <si>
    <t>MG52513092001</t>
  </si>
  <si>
    <t>Behabobo Nord</t>
  </si>
  <si>
    <t>MG52513092004001</t>
  </si>
  <si>
    <t>BEHABOBO-AMBOVOMBE</t>
  </si>
  <si>
    <t>MG52516011020001</t>
  </si>
  <si>
    <t>Behalango I</t>
  </si>
  <si>
    <t>MG51507050006001</t>
  </si>
  <si>
    <t>Behalango II</t>
  </si>
  <si>
    <t>MG51507050007001</t>
  </si>
  <si>
    <t>Behalomboro</t>
  </si>
  <si>
    <t>MG51520170076001</t>
  </si>
  <si>
    <t>BEHANTAMAREAGNE</t>
  </si>
  <si>
    <t>MG53515090087001</t>
  </si>
  <si>
    <t>Behara</t>
  </si>
  <si>
    <t>MG53519030024001</t>
  </si>
  <si>
    <t>Behara bas</t>
  </si>
  <si>
    <t>MG53519030010001</t>
  </si>
  <si>
    <t>Behara Haut</t>
  </si>
  <si>
    <t>MG53519030005001</t>
  </si>
  <si>
    <t>Beharahake</t>
  </si>
  <si>
    <t>MG51507230005</t>
  </si>
  <si>
    <t>MG51507230005001</t>
  </si>
  <si>
    <t>Beharena</t>
  </si>
  <si>
    <t>MG25222032005001</t>
  </si>
  <si>
    <t>Behatravy</t>
  </si>
  <si>
    <t>MG51507150008</t>
  </si>
  <si>
    <t>Behatravy Ambatomainty</t>
  </si>
  <si>
    <t>MG51507150072001</t>
  </si>
  <si>
    <t>Behatravy Centre</t>
  </si>
  <si>
    <t>MG51507150073001</t>
  </si>
  <si>
    <t>Behavandra</t>
  </si>
  <si>
    <t>MG51507030009001</t>
  </si>
  <si>
    <t>BEHAVANDRA III</t>
  </si>
  <si>
    <t>Behazondregnetse</t>
  </si>
  <si>
    <t>MG51507150074001</t>
  </si>
  <si>
    <t>BEHELO</t>
  </si>
  <si>
    <t>Beheloka Bas</t>
  </si>
  <si>
    <t>MG51520358001001</t>
  </si>
  <si>
    <t>Beheloka Haut</t>
  </si>
  <si>
    <t>MG51520358005001</t>
  </si>
  <si>
    <t>BEHENA HAUT</t>
  </si>
  <si>
    <t>BEHIBAKE</t>
  </si>
  <si>
    <t>Beholive</t>
  </si>
  <si>
    <t>MG51507150076001</t>
  </si>
  <si>
    <t>BEHOMBY</t>
  </si>
  <si>
    <t>BEHOMPY MAHASOA</t>
  </si>
  <si>
    <t>BEHOROFA</t>
  </si>
  <si>
    <t>Beievotse Tanambao</t>
  </si>
  <si>
    <t>MG52514071068001</t>
  </si>
  <si>
    <t>Bejabihy</t>
  </si>
  <si>
    <t>MG52516013065001</t>
  </si>
  <si>
    <t>Bejio</t>
  </si>
  <si>
    <t>MG51506130009001</t>
  </si>
  <si>
    <t>Bekako Centre</t>
  </si>
  <si>
    <t>MG54509030059001</t>
  </si>
  <si>
    <t>Bekako Nord</t>
  </si>
  <si>
    <t>MG54509030060001</t>
  </si>
  <si>
    <t>Bekako Sud</t>
  </si>
  <si>
    <t>MG54509030061001</t>
  </si>
  <si>
    <t>BEKAKO-NORD</t>
  </si>
  <si>
    <t>Bekaraoka</t>
  </si>
  <si>
    <t>Bekaraoky</t>
  </si>
  <si>
    <t>MG51521031003001</t>
  </si>
  <si>
    <t>Bekaraoky-Vangaindrano</t>
  </si>
  <si>
    <t>MG25214033003001</t>
  </si>
  <si>
    <t>Bekatrafay</t>
  </si>
  <si>
    <t>MG51507170001001</t>
  </si>
  <si>
    <t>Bekignana</t>
  </si>
  <si>
    <t>MG51507150077001</t>
  </si>
  <si>
    <t>Bekignana Manakaralahy</t>
  </si>
  <si>
    <t>MG51507310067001</t>
  </si>
  <si>
    <t>Bekily</t>
  </si>
  <si>
    <t>MG51506050003001</t>
  </si>
  <si>
    <t>Bekily Centre</t>
  </si>
  <si>
    <t>MG52516013066001</t>
  </si>
  <si>
    <t>MG52518010001</t>
  </si>
  <si>
    <t>BEKILY I</t>
  </si>
  <si>
    <t>BEKILY II</t>
  </si>
  <si>
    <t>BEKILY-CENTRE</t>
  </si>
  <si>
    <t>BEKINAGNA</t>
  </si>
  <si>
    <t>BEKININY</t>
  </si>
  <si>
    <t>MG24218010013001</t>
  </si>
  <si>
    <t>Bekiria</t>
  </si>
  <si>
    <t>MG53519090007</t>
  </si>
  <si>
    <t>MG53519090056001</t>
  </si>
  <si>
    <t>Bekiria-Ifotaka</t>
  </si>
  <si>
    <t>MG53519090007001</t>
  </si>
  <si>
    <t>Bekiseny</t>
  </si>
  <si>
    <t>MG51507290044</t>
  </si>
  <si>
    <t>MG51507290044001</t>
  </si>
  <si>
    <t>BEKITRO</t>
  </si>
  <si>
    <t>Bekofafa</t>
  </si>
  <si>
    <t>MG25215011002001</t>
  </si>
  <si>
    <t>Bekofafa-Bekofafa Sud</t>
  </si>
  <si>
    <t>MG25222053002001</t>
  </si>
  <si>
    <t>Bekokako</t>
  </si>
  <si>
    <t>MG52516011029001</t>
  </si>
  <si>
    <t>Bekompitse</t>
  </si>
  <si>
    <t>MG51507210084001</t>
  </si>
  <si>
    <t>BEKOPIKE NORD</t>
  </si>
  <si>
    <t>BEKOPIKE SUD</t>
  </si>
  <si>
    <t>BEKOROBO(Manandrotsy)</t>
  </si>
  <si>
    <t>MG53517250001001</t>
  </si>
  <si>
    <t>BEKOTIKA</t>
  </si>
  <si>
    <t>Belafike Bas</t>
  </si>
  <si>
    <t>MG51507310068001</t>
  </si>
  <si>
    <t>Belafike Haut</t>
  </si>
  <si>
    <t>MG51507310069001</t>
  </si>
  <si>
    <t>Belafike Vohibe</t>
  </si>
  <si>
    <t>MG51507170070001</t>
  </si>
  <si>
    <t>BELALANDA</t>
  </si>
  <si>
    <t>Belalitse</t>
  </si>
  <si>
    <t>MG51506011023001</t>
  </si>
  <si>
    <t>Belalitsy</t>
  </si>
  <si>
    <t>MG51512112005001</t>
  </si>
  <si>
    <t>Belambo</t>
  </si>
  <si>
    <t>MG51507230007001</t>
  </si>
  <si>
    <t>Belambo Amborotsy</t>
  </si>
  <si>
    <t>MG51507210085001</t>
  </si>
  <si>
    <t>Belambo Fanavaozana</t>
  </si>
  <si>
    <t>MG52516071066001</t>
  </si>
  <si>
    <t>Belamonty</t>
  </si>
  <si>
    <t>MG51507050022001</t>
  </si>
  <si>
    <t>BELAMOTY</t>
  </si>
  <si>
    <t>BELAMOTY NORD</t>
  </si>
  <si>
    <t>BELAMOTY SUD</t>
  </si>
  <si>
    <t>BELAVENOKA</t>
  </si>
  <si>
    <t>BELAY</t>
  </si>
  <si>
    <t>BELAY MAROLAVA</t>
  </si>
  <si>
    <t>Belaza</t>
  </si>
  <si>
    <t>MG52516013007001</t>
  </si>
  <si>
    <t>BELEMBOKE</t>
  </si>
  <si>
    <t>Belemboke Ambany</t>
  </si>
  <si>
    <t>MG52516072076001</t>
  </si>
  <si>
    <t>Belemboke Sevohitse</t>
  </si>
  <si>
    <t>MG52516072077001</t>
  </si>
  <si>
    <t>Belenalena</t>
  </si>
  <si>
    <t>MG53519230045001</t>
  </si>
  <si>
    <t>Belenalena-IFOTAKA</t>
  </si>
  <si>
    <t>MG52518152003001</t>
  </si>
  <si>
    <t>Belesy Nord</t>
  </si>
  <si>
    <t>MG51507310091</t>
  </si>
  <si>
    <t>Belindo</t>
  </si>
  <si>
    <t>MG52516111052001</t>
  </si>
  <si>
    <t>BELINDO MAHASOA</t>
  </si>
  <si>
    <t>BELINDO/ANALAHOVA</t>
  </si>
  <si>
    <t>Belindo-BELINDO MAHASOA</t>
  </si>
  <si>
    <t>MG53519050058001</t>
  </si>
  <si>
    <t>Belinjo</t>
  </si>
  <si>
    <t>MG51507290017</t>
  </si>
  <si>
    <t>MG51507290085001</t>
  </si>
  <si>
    <t>BELINJO I</t>
  </si>
  <si>
    <t>BELIO HAUT</t>
  </si>
  <si>
    <t>MG52518110004001</t>
  </si>
  <si>
    <t>Belitsaka</t>
  </si>
  <si>
    <t>MG53519010010001</t>
  </si>
  <si>
    <t>Belitsake</t>
  </si>
  <si>
    <t>MG51504010003001</t>
  </si>
  <si>
    <t>Belitsake Dodo</t>
  </si>
  <si>
    <t>MG52516072078001</t>
  </si>
  <si>
    <t>BELITSAKY</t>
  </si>
  <si>
    <t>BELOBAKA NORD</t>
  </si>
  <si>
    <t>Belobaka Sud</t>
  </si>
  <si>
    <t>MG51507270022001</t>
  </si>
  <si>
    <t>BELOHA CENTRE</t>
  </si>
  <si>
    <t>Belolo Ankapiky</t>
  </si>
  <si>
    <t>MG51507170071001</t>
  </si>
  <si>
    <t>Belolo Antanimena</t>
  </si>
  <si>
    <t>MG51507250061001</t>
  </si>
  <si>
    <t>BELOLO-BAS</t>
  </si>
  <si>
    <t>Bema</t>
  </si>
  <si>
    <t>MG52514031006001</t>
  </si>
  <si>
    <t>Bemalo I</t>
  </si>
  <si>
    <t>MG52518151027</t>
  </si>
  <si>
    <t>BEMAMBA AMPOZY</t>
  </si>
  <si>
    <t>BEMANATEZA-HAUT</t>
  </si>
  <si>
    <t>Bemandresy</t>
  </si>
  <si>
    <t>MG51505071019001</t>
  </si>
  <si>
    <t>BEMELO</t>
  </si>
  <si>
    <t>MG51512012006001</t>
  </si>
  <si>
    <t>Bemena</t>
  </si>
  <si>
    <t>MG52513092050</t>
  </si>
  <si>
    <t>BEMOITA</t>
  </si>
  <si>
    <t>Bemoita Nord</t>
  </si>
  <si>
    <t>MG51507050016001</t>
  </si>
  <si>
    <t>Bemoita Sud</t>
  </si>
  <si>
    <t>MG51507050092001</t>
  </si>
  <si>
    <t>BEMOKA</t>
  </si>
  <si>
    <t>Bemoky</t>
  </si>
  <si>
    <t>MG44402072009001</t>
  </si>
  <si>
    <t>BEMOSESY CENTRE</t>
  </si>
  <si>
    <t>BENATO TOBY</t>
  </si>
  <si>
    <t>MG53517150001001</t>
  </si>
  <si>
    <t>Benenitra</t>
  </si>
  <si>
    <t>MG51521010001001</t>
  </si>
  <si>
    <t>BENONOKA</t>
  </si>
  <si>
    <t>BENONOKY(Isoanala)</t>
  </si>
  <si>
    <t>MG53517291099001</t>
  </si>
  <si>
    <t>Beonga</t>
  </si>
  <si>
    <t>MG51507050027001</t>
  </si>
  <si>
    <t>Beora Tanambao</t>
  </si>
  <si>
    <t>MG51506012011001</t>
  </si>
  <si>
    <t>Beparo</t>
  </si>
  <si>
    <t>MG52518070005</t>
  </si>
  <si>
    <t>Bepeha</t>
  </si>
  <si>
    <t>MG51507290045001</t>
  </si>
  <si>
    <t>BEPEHA-BENATO TOBY</t>
  </si>
  <si>
    <t>MG53517150004001</t>
  </si>
  <si>
    <t>BEPIA</t>
  </si>
  <si>
    <t>MG53517110006001</t>
  </si>
  <si>
    <t>Beraketa</t>
  </si>
  <si>
    <t>MG52518251001001</t>
  </si>
  <si>
    <t>Beraketa Est (Ambalavato dans l'FRN)</t>
  </si>
  <si>
    <t>MG51521010008001</t>
  </si>
  <si>
    <t>Beraketa I</t>
  </si>
  <si>
    <t>MG52518251057001</t>
  </si>
  <si>
    <t>Beraketa II</t>
  </si>
  <si>
    <t>MG52516091025001</t>
  </si>
  <si>
    <t>BERAKETA SUD</t>
  </si>
  <si>
    <t>MG53517291011001</t>
  </si>
  <si>
    <t>Berano</t>
  </si>
  <si>
    <t>MG33314092002001</t>
  </si>
  <si>
    <t>BERANO GALLOIS</t>
  </si>
  <si>
    <t>Berenty</t>
  </si>
  <si>
    <t>MG53519030021001</t>
  </si>
  <si>
    <t>BERENY</t>
  </si>
  <si>
    <t>Beretra</t>
  </si>
  <si>
    <t>MG23210070055001</t>
  </si>
  <si>
    <t>Beretra Ii</t>
  </si>
  <si>
    <t>MG25213552004001</t>
  </si>
  <si>
    <t>Berevo (Anadabo dans FRN)</t>
  </si>
  <si>
    <t>MG51521010007001</t>
  </si>
  <si>
    <t>Beroanga</t>
  </si>
  <si>
    <t>MG51506192003001</t>
  </si>
  <si>
    <t>BERONGO</t>
  </si>
  <si>
    <t>Beronono</t>
  </si>
  <si>
    <t>MG51507050018001</t>
  </si>
  <si>
    <t>BEROPITEKE</t>
  </si>
  <si>
    <t>BEROROHA</t>
  </si>
  <si>
    <t>MG25214190003001</t>
  </si>
  <si>
    <t>BEROTSY</t>
  </si>
  <si>
    <t>Beroy Atsimo</t>
  </si>
  <si>
    <t>MG51507270001001</t>
  </si>
  <si>
    <t>Beroy Avaratra</t>
  </si>
  <si>
    <t>MG51507270007001</t>
  </si>
  <si>
    <t>BEROY NORD TANANDAVA</t>
  </si>
  <si>
    <t>BEROY SUD</t>
  </si>
  <si>
    <t>BESAHATSY</t>
  </si>
  <si>
    <t>Besaihatsy</t>
  </si>
  <si>
    <t>MG51506012065001</t>
  </si>
  <si>
    <t>BESAKAY</t>
  </si>
  <si>
    <t>Besakoa</t>
  </si>
  <si>
    <t>MG51506210010</t>
  </si>
  <si>
    <t>MG51507010022</t>
  </si>
  <si>
    <t>MG51507290010001</t>
  </si>
  <si>
    <t>BESAKOA BAS</t>
  </si>
  <si>
    <t>Besakoa Bekily</t>
  </si>
  <si>
    <t>MG52518032010001</t>
  </si>
  <si>
    <t>Besakoa Centrale</t>
  </si>
  <si>
    <t>MG52518032046001</t>
  </si>
  <si>
    <t>Besakoa ifarantsa</t>
  </si>
  <si>
    <t>MG52518251013001</t>
  </si>
  <si>
    <t>Besakoa Liambositse</t>
  </si>
  <si>
    <t>MG51507150078001</t>
  </si>
  <si>
    <t>Besakoa nord</t>
  </si>
  <si>
    <t>MG51506050005001</t>
  </si>
  <si>
    <t>Besakoa Sud</t>
  </si>
  <si>
    <t>MG54509070006001</t>
  </si>
  <si>
    <t>Besakoa Sud-Ambatry Mitsinjo</t>
  </si>
  <si>
    <t>MG51506013057001</t>
  </si>
  <si>
    <t>Besakoa-Elonty</t>
  </si>
  <si>
    <t>MG53519150008001</t>
  </si>
  <si>
    <t>Besakoa-Nikoly</t>
  </si>
  <si>
    <t>MG51501006010001</t>
  </si>
  <si>
    <t>Besakoa-Soamanonga</t>
  </si>
  <si>
    <t>MG51506210010001</t>
  </si>
  <si>
    <t>Besaly</t>
  </si>
  <si>
    <t>MG51507090002001</t>
  </si>
  <si>
    <t>BESALY BAS</t>
  </si>
  <si>
    <t>Besamata</t>
  </si>
  <si>
    <t>MG52518252056001</t>
  </si>
  <si>
    <t>Besandraha</t>
  </si>
  <si>
    <t>MG52518050004001</t>
  </si>
  <si>
    <t>Besasavy Bas</t>
  </si>
  <si>
    <t>MG51507270020001</t>
  </si>
  <si>
    <t>BESASAVY SUD</t>
  </si>
  <si>
    <t>Besatra</t>
  </si>
  <si>
    <t>MG51506030046001</t>
  </si>
  <si>
    <t>BESATRA SOARANO</t>
  </si>
  <si>
    <t>MG52516152010001</t>
  </si>
  <si>
    <t>Besatra-Andranomangatsiaka</t>
  </si>
  <si>
    <t>MG51506191009001</t>
  </si>
  <si>
    <t>BESAVAVY NORD</t>
  </si>
  <si>
    <t>Besavoa</t>
  </si>
  <si>
    <t>MG25214152007001</t>
  </si>
  <si>
    <t>Besavoa Centre</t>
  </si>
  <si>
    <t>MG51506130045001</t>
  </si>
  <si>
    <t>Besavoa-Amborompotsy</t>
  </si>
  <si>
    <t>MG51507050045001</t>
  </si>
  <si>
    <t>Besely</t>
  </si>
  <si>
    <t>MG51506130015</t>
  </si>
  <si>
    <t>MG51506130015001</t>
  </si>
  <si>
    <t>Besely  Sud</t>
  </si>
  <si>
    <t>MG51507310046002</t>
  </si>
  <si>
    <t>Besely Nord</t>
  </si>
  <si>
    <t>MG51507310097001</t>
  </si>
  <si>
    <t>Besely Nord-Itampolo</t>
  </si>
  <si>
    <t>MG51507310032001</t>
  </si>
  <si>
    <t>Besely Sud</t>
  </si>
  <si>
    <t>MG51507310046</t>
  </si>
  <si>
    <t>MG51507310046001</t>
  </si>
  <si>
    <t>BESELY-NORD</t>
  </si>
  <si>
    <t>Besohihy</t>
  </si>
  <si>
    <t>MG52518032005002</t>
  </si>
  <si>
    <t>Besohihy Bekily</t>
  </si>
  <si>
    <t>MG52518032005001</t>
  </si>
  <si>
    <t>Betaimbala</t>
  </si>
  <si>
    <t>MG51506012002001</t>
  </si>
  <si>
    <t>Betaimbala Centre</t>
  </si>
  <si>
    <t>MG52518152052001</t>
  </si>
  <si>
    <t>Betaimbala Haut</t>
  </si>
  <si>
    <t>MG52518152053001</t>
  </si>
  <si>
    <t>Betaimbala-Ankiliabo</t>
  </si>
  <si>
    <t>MG54502090002001</t>
  </si>
  <si>
    <t>BETAIMBALA-ISOANALA</t>
  </si>
  <si>
    <t>MG51507030002001</t>
  </si>
  <si>
    <t>Betaimbolo</t>
  </si>
  <si>
    <t>MG52513030018001</t>
  </si>
  <si>
    <t>BETAIMBORAKA</t>
  </si>
  <si>
    <t>Betaimborake</t>
  </si>
  <si>
    <t>MG52514050076001</t>
  </si>
  <si>
    <t>BETAINDAMBO</t>
  </si>
  <si>
    <t>Betalaha</t>
  </si>
  <si>
    <t>MG51506130012001</t>
  </si>
  <si>
    <t>Betaly I</t>
  </si>
  <si>
    <t>MG51506330036</t>
  </si>
  <si>
    <t>Betampona</t>
  </si>
  <si>
    <t>BETAMPONA II</t>
  </si>
  <si>
    <t>Betampy</t>
  </si>
  <si>
    <t>MG51506252013001</t>
  </si>
  <si>
    <t>Betania</t>
  </si>
  <si>
    <t>MG51501005001001</t>
  </si>
  <si>
    <t>Betapoaky Ambatoraty</t>
  </si>
  <si>
    <t>MG52516170017</t>
  </si>
  <si>
    <t>Beteny Centre</t>
  </si>
  <si>
    <t>MG51507290086001</t>
  </si>
  <si>
    <t>BETEZA BAS</t>
  </si>
  <si>
    <t>Beteza Centrale</t>
  </si>
  <si>
    <t>MG52518190057001</t>
  </si>
  <si>
    <t>Beteza Centre</t>
  </si>
  <si>
    <t>MG52518190001</t>
  </si>
  <si>
    <t>Beteza Haut</t>
  </si>
  <si>
    <t>MG51507290027</t>
  </si>
  <si>
    <t>MG51507290027001</t>
  </si>
  <si>
    <t>BETINDRIA</t>
  </si>
  <si>
    <t>BETIOKY</t>
  </si>
  <si>
    <t>Betioky II</t>
  </si>
  <si>
    <t>MG51506011004001</t>
  </si>
  <si>
    <t>Betohoke</t>
  </si>
  <si>
    <t>MG51507210003001</t>
  </si>
  <si>
    <t>Betoko</t>
  </si>
  <si>
    <t>MG52516130067013</t>
  </si>
  <si>
    <t>Betoko Ambatosoavolo</t>
  </si>
  <si>
    <t>MG52516130024</t>
  </si>
  <si>
    <t>BETONAKE</t>
  </si>
  <si>
    <t>Betrandraky Bas</t>
  </si>
  <si>
    <t>MG52516013067001</t>
  </si>
  <si>
    <t>Betrandraky Haut</t>
  </si>
  <si>
    <t>MG52516013068001</t>
  </si>
  <si>
    <t>Betratratra</t>
  </si>
  <si>
    <t>MG51507310042001</t>
  </si>
  <si>
    <t>Betsako</t>
  </si>
  <si>
    <t>MG41415032001001</t>
  </si>
  <si>
    <t>Betsibarike</t>
  </si>
  <si>
    <t>MG51507010014</t>
  </si>
  <si>
    <t>Betsibaroke</t>
  </si>
  <si>
    <t>MG51507010014001</t>
  </si>
  <si>
    <t>Betsimeda</t>
  </si>
  <si>
    <t>MG52516071012</t>
  </si>
  <si>
    <t>MG52516071012001</t>
  </si>
  <si>
    <t>Betsimeda Ankilimilaly</t>
  </si>
  <si>
    <t>MG52516071067001</t>
  </si>
  <si>
    <t>BETSINEFO ANDRANOMIBOA</t>
  </si>
  <si>
    <t>BETSIOKY MANDATSA (NY HOAVY)</t>
  </si>
  <si>
    <t>BETSIOKY SOMOTSE (MAHASOA)</t>
  </si>
  <si>
    <t>BETSIRIRY</t>
  </si>
  <si>
    <t>Bevaho</t>
  </si>
  <si>
    <t>MG54510012009001</t>
  </si>
  <si>
    <t>BEVAHO IANABINDA</t>
  </si>
  <si>
    <t>MG53517130012001</t>
  </si>
  <si>
    <t>BEVAHO IANAKAFY</t>
  </si>
  <si>
    <t>MG53517310014001</t>
  </si>
  <si>
    <t>Bevahy</t>
  </si>
  <si>
    <t>MG51507250003001</t>
  </si>
  <si>
    <t>BEVAHY HAUT</t>
  </si>
  <si>
    <t>Bevala</t>
  </si>
  <si>
    <t>MG51507310019001</t>
  </si>
  <si>
    <t>BEVALA DP</t>
  </si>
  <si>
    <t>BEVALA TAMBANDITSE</t>
  </si>
  <si>
    <t>Bevala-Ankazomanga Ouest</t>
  </si>
  <si>
    <t>MG51506014008001</t>
  </si>
  <si>
    <t>Bevaro</t>
  </si>
  <si>
    <t>MG52514011039</t>
  </si>
  <si>
    <t>MG52514011039001</t>
  </si>
  <si>
    <t>BEVARO FOTADREVO</t>
  </si>
  <si>
    <t>BEVARO I</t>
  </si>
  <si>
    <t>BEVARO SORAMENA</t>
  </si>
  <si>
    <t>Bevaro-Fotadrevo</t>
  </si>
  <si>
    <t>MG51507290087001</t>
  </si>
  <si>
    <t>Bevata</t>
  </si>
  <si>
    <t>MG25214251001001</t>
  </si>
  <si>
    <t>BEVATO</t>
  </si>
  <si>
    <t>Bevato I</t>
  </si>
  <si>
    <t>MG52518151016</t>
  </si>
  <si>
    <t>BEVATO II</t>
  </si>
  <si>
    <t>Bevatry</t>
  </si>
  <si>
    <t>MG44421110003001</t>
  </si>
  <si>
    <t>Bevazavo</t>
  </si>
  <si>
    <t>MG52514011085001</t>
  </si>
  <si>
    <t>BEVENTIHAZO</t>
  </si>
  <si>
    <t>BEVILANY</t>
  </si>
  <si>
    <t>Bevinda</t>
  </si>
  <si>
    <t>MG52518152009001</t>
  </si>
  <si>
    <t>BEVIRO</t>
  </si>
  <si>
    <t>Beviro Betrongo</t>
  </si>
  <si>
    <t>MG51507150079001</t>
  </si>
  <si>
    <t>Beviro Centre</t>
  </si>
  <si>
    <t>MG51507150080001</t>
  </si>
  <si>
    <t>Bevitike</t>
  </si>
  <si>
    <t>MG52516013089001</t>
  </si>
  <si>
    <t>BEVITIKY</t>
  </si>
  <si>
    <t>Bevitiky Centre</t>
  </si>
  <si>
    <t>MG52518270001001</t>
  </si>
  <si>
    <t>Bevoalavo</t>
  </si>
  <si>
    <t>MG52516033001</t>
  </si>
  <si>
    <t>BEVOANGY</t>
  </si>
  <si>
    <t>Bevoay</t>
  </si>
  <si>
    <t>MG54509030002001</t>
  </si>
  <si>
    <t>Bevontake</t>
  </si>
  <si>
    <t>MG52513091a_8001</t>
  </si>
  <si>
    <t>BEVORY NORD</t>
  </si>
  <si>
    <t>BEVOSITRA</t>
  </si>
  <si>
    <t>BEVOTRY</t>
  </si>
  <si>
    <t>Bevovoka</t>
  </si>
  <si>
    <t>MG41406010003001</t>
  </si>
  <si>
    <t>Beza</t>
  </si>
  <si>
    <t>Bezaha I</t>
  </si>
  <si>
    <t>MG51506150001001</t>
  </si>
  <si>
    <t>Bezaha II</t>
  </si>
  <si>
    <t>MG51506150012001</t>
  </si>
  <si>
    <t>Bezaha III</t>
  </si>
  <si>
    <t>MG51506150013001</t>
  </si>
  <si>
    <t>Bezaha IV</t>
  </si>
  <si>
    <t>MG51506150011001</t>
  </si>
  <si>
    <t>Bezaha Mahafaly</t>
  </si>
  <si>
    <t>MG51506130008001</t>
  </si>
  <si>
    <t>BOBOKE</t>
  </si>
  <si>
    <t>Bokonake</t>
  </si>
  <si>
    <t>MG51507090006001</t>
  </si>
  <si>
    <t>Bololo Bas</t>
  </si>
  <si>
    <t>MG51507310072001</t>
  </si>
  <si>
    <t>BONGATSARA</t>
  </si>
  <si>
    <t>BONGAVATO</t>
  </si>
  <si>
    <t>BOTREOKE</t>
  </si>
  <si>
    <t>MG52516011062001</t>
  </si>
  <si>
    <t>CENTRE II</t>
  </si>
  <si>
    <t>Dabolava</t>
  </si>
  <si>
    <t>MG51506330059</t>
  </si>
  <si>
    <t>DORISA</t>
  </si>
  <si>
    <t>Ebelo</t>
  </si>
  <si>
    <t>MG53519291001</t>
  </si>
  <si>
    <t>MG53519291001001</t>
  </si>
  <si>
    <t>Ebobaky</t>
  </si>
  <si>
    <t>Eboro</t>
  </si>
  <si>
    <t>MG51506090007001</t>
  </si>
  <si>
    <t>ECOLE COMMUNAUTAIRE AMBALABE</t>
  </si>
  <si>
    <t>ECOLE COMMUNAUTAIRE AMBARARATA OUEST</t>
  </si>
  <si>
    <t>ECOLE COMMUNAUTAIRE AMBAZOAMILOLOKE</t>
  </si>
  <si>
    <t>ECOLE COMMUNAUTAIRE AMBINAKY ENAKALA</t>
  </si>
  <si>
    <t>ECOLE COMMUNAUTAIRE AMBOASARY</t>
  </si>
  <si>
    <t>ECOLE COMMUNAUTAIRE AMBOHITSY BEMAHATAZA</t>
  </si>
  <si>
    <t>ECOLE COMMUNAUTAIRE AMBONAIVO</t>
  </si>
  <si>
    <t>ECOLE COMMUNAUTAIRE AMBOROTSE</t>
  </si>
  <si>
    <t>ECOLE COMMUNAUTAIRE AMPATIOLOTSE</t>
  </si>
  <si>
    <t>ECOLE COMMUNAUTAIRE ANARABE</t>
  </si>
  <si>
    <t>ECOLE COMMUNAUTAIRE ANDARO</t>
  </si>
  <si>
    <t>ECOLE COMMUNAUTAIRE ANDAVABIBY</t>
  </si>
  <si>
    <t>ECOLE COMMUNAUTAIRE ANDEMBY</t>
  </si>
  <si>
    <t>ECOLE COMMUNAUTAIRE ANDRANOFOTY</t>
  </si>
  <si>
    <t>ECOLE COMMUNAUTAIRE ANDRANOMOLITSE HAUT</t>
  </si>
  <si>
    <t>ECOLE COMMUNAUTAIRE ANDRANOTSARA</t>
  </si>
  <si>
    <t>ECOLE COMMUNAUTAIRE ANDRAPIDRAPIKE</t>
  </si>
  <si>
    <t>ECOLE COMMUNAUTAIRE ANKILIABO</t>
  </si>
  <si>
    <t>ECOLE COMMUNAUTAIRE ANKILIMANINTSY</t>
  </si>
  <si>
    <t>ECOLE COMMUNAUTAIRE ANKILIMANITSY CENTRE</t>
  </si>
  <si>
    <t>ECOLE COMMUNAUTAIRE ANKILIMASY</t>
  </si>
  <si>
    <t>ECOLE COMMUNAUTAIRE ANKILIMIDEGA</t>
  </si>
  <si>
    <t>ECOLE COMMUNAUTAIRE ANKILIMILOPAKY</t>
  </si>
  <si>
    <t>ECOLE COMMUNAUTAIRE ANKILISINAO</t>
  </si>
  <si>
    <t>ECOLE COMMUNAUTAIRE ANKILISOA</t>
  </si>
  <si>
    <t>ECOLE COMMUNAUTAIRE ANKILISOA SOMANGY</t>
  </si>
  <si>
    <t>ECOLE COMMUNAUTAIRE ANKILIVAHO</t>
  </si>
  <si>
    <t>ECOLE COMMUNAUTAIRE ANKILIVALO MANDROSO</t>
  </si>
  <si>
    <t>ECOLE COMMUNAUTAIRE ANKISAKISAKE</t>
  </si>
  <si>
    <t>ECOLE COMMUNAUTAIRE ANTANANONDATY</t>
  </si>
  <si>
    <t>ECOLE COMMUNAUTAIRE ANTANIMENA</t>
  </si>
  <si>
    <t>ECOLE COMMUNAUTAIRE ANTSAGNIRA</t>
  </si>
  <si>
    <t>ECOLE COMMUNAUTAIRE ANTSAHA</t>
  </si>
  <si>
    <t>ECOLE COMMUNAUTAIRE ANTSATRA</t>
  </si>
  <si>
    <t>ECOLE COMMUNAUTAIRE ANTSELY TOBY</t>
  </si>
  <si>
    <t>ECOLE COMMUNAUTAIRE ANTSIFOKONINA</t>
  </si>
  <si>
    <t>ECOLE COMMUNAUTAIRE ANTSOSA</t>
  </si>
  <si>
    <t>ECOLE COMMUNAUTAIRE BEFANGITSY</t>
  </si>
  <si>
    <t>ECOLE COMMUNAUTAIRE BEKIJOLY</t>
  </si>
  <si>
    <t>ECOLE COMMUNAUTAIRE BEKILY</t>
  </si>
  <si>
    <t>ECOLE COMMUNAUTAIRE BELIO_HAUT</t>
  </si>
  <si>
    <t>ECOLE COMMUNAUTAIRE BERAKETA</t>
  </si>
  <si>
    <t>ECOLE COMMUNAUTAIRE BESANDRAHA</t>
  </si>
  <si>
    <t>ECOLE COMMUNAUTAIRE BESELY</t>
  </si>
  <si>
    <t>ECOLE COMMUNAUTAIRE BETSINTSY</t>
  </si>
  <si>
    <t>ECOLE COMMUNAUTAIRE BETSIPANGA</t>
  </si>
  <si>
    <t>ECOLE COMMUNAUTAIRE BEVATO CENTRE</t>
  </si>
  <si>
    <t>ECOLE COMMUNAUTAIRE EFOTY</t>
  </si>
  <si>
    <t>ECOLE COMMUNAUTAIRE ETSILA</t>
  </si>
  <si>
    <t>ECOLE COMMUNAUTAIRE FANAMBOSA</t>
  </si>
  <si>
    <t>ECOLE COMMUNAUTAIRE FENOARIVO II</t>
  </si>
  <si>
    <t>ECOLE COMMUNAUTAIRE FENOARIVO SUD</t>
  </si>
  <si>
    <t>ECOLE COMMUNAUTAIRE FIADANA</t>
  </si>
  <si>
    <t>ECOLE COMMUNAUTAIRE HORINJA</t>
  </si>
  <si>
    <t>ECOLE COMMUNAUTAIRE IFATAKA</t>
  </si>
  <si>
    <t>ECOLE COMMUNAUTAIRE LAHITSITELY</t>
  </si>
  <si>
    <t>ECOLE COMMUNAUTAIRE LAVAKIANJA</t>
  </si>
  <si>
    <t>ECOLE COMMUNAUTAIRE MAIKANDRO</t>
  </si>
  <si>
    <t>ECOLE COMMUNAUTAIRE MANGATSIAKY</t>
  </si>
  <si>
    <t>ECOLE COMMUNAUTAIRE MAROFANY</t>
  </si>
  <si>
    <t>ECOLE COMMUNAUTAIRE MIANGOLABE</t>
  </si>
  <si>
    <t>ECOLE COMMUNAUTAIRE MORAFENO</t>
  </si>
  <si>
    <t>ECOLE COMMUNAUTAIRE MORAFENO NORD</t>
  </si>
  <si>
    <t>ECOLE COMMUNAUTAIRE MORAFENO-SUD</t>
  </si>
  <si>
    <t>ECOLE COMMUNAUTAIRE NAGNARENA</t>
  </si>
  <si>
    <t>ECOLE COMMUNAUTAIRE REAMPOTOTSE</t>
  </si>
  <si>
    <t>ECOLE COMMUNAUTAIRE REMENGOKE</t>
  </si>
  <si>
    <t>ECOLE COMMUNAUTAIRE SAHENY</t>
  </si>
  <si>
    <t>ECOLE COMMUNAUTAIRE SAKALALY</t>
  </si>
  <si>
    <t>ECOLE COMMUNAUTAIRE SAKIVE</t>
  </si>
  <si>
    <t>ECOLE COMMUNAUTAIRE SAKOAMPOLO</t>
  </si>
  <si>
    <t>ECOLE COMMUNAUTAIRE SAKOANDAHY</t>
  </si>
  <si>
    <t>ECOLE COMMUNAUTAIRE SIHANAMITOHY MAROLAVA II</t>
  </si>
  <si>
    <t>ECOLE COMMUNAUTAIRE SOALOKE</t>
  </si>
  <si>
    <t>ECOLE COMMUNAUTAIRE SOANAVELA</t>
  </si>
  <si>
    <t>ECOLE COMMUNAUTAIRE SOASERAGNA</t>
  </si>
  <si>
    <t>ECOLE COMMUNAUTAIRE SONJORANO</t>
  </si>
  <si>
    <t>ECOLE COMMUNAUTAIRE TAOLAMBOSITRA</t>
  </si>
  <si>
    <t>ECOLE COMMUNAUTAIRE TEMAGNALO</t>
  </si>
  <si>
    <t>ECOLE COMMUNAUTAIRE TSIHOTOY</t>
  </si>
  <si>
    <t>ECOLE COMMUNAUTAIRE VOHITSOSY</t>
  </si>
  <si>
    <t>EDABA TANANTSOA</t>
  </si>
  <si>
    <t>EDASOTSE</t>
  </si>
  <si>
    <t>MG52516151010001</t>
  </si>
  <si>
    <t>Efatsy</t>
  </si>
  <si>
    <t>MG25213430023001</t>
  </si>
  <si>
    <t>Efoetse</t>
  </si>
  <si>
    <t>MG51520358015001</t>
  </si>
  <si>
    <t>Efoty</t>
  </si>
  <si>
    <t>MG51507090012001</t>
  </si>
  <si>
    <t>Egnelazana</t>
  </si>
  <si>
    <t>Ehavo</t>
  </si>
  <si>
    <t>MG52516111011</t>
  </si>
  <si>
    <t>MG52516111012001</t>
  </si>
  <si>
    <t>Ehavo Sihanamaro</t>
  </si>
  <si>
    <t>MG52516111011001</t>
  </si>
  <si>
    <t>EJEDA</t>
  </si>
  <si>
    <t>Ejeda Centre</t>
  </si>
  <si>
    <t>MG51507150001</t>
  </si>
  <si>
    <t>MG51507150081001</t>
  </si>
  <si>
    <t>Ejeda Sud</t>
  </si>
  <si>
    <t>MG51507150082001</t>
  </si>
  <si>
    <t>Ekelehaly</t>
  </si>
  <si>
    <t>MG51507070079001</t>
  </si>
  <si>
    <t>EKONKA CENTRAL</t>
  </si>
  <si>
    <t>MG53515090088001</t>
  </si>
  <si>
    <t>EKORITSIKE M</t>
  </si>
  <si>
    <t>Elonty</t>
  </si>
  <si>
    <t>MG51521050002001</t>
  </si>
  <si>
    <t>ELOVOKY AMPANGALAKONGO</t>
  </si>
  <si>
    <t>EMAGNEVY</t>
  </si>
  <si>
    <t>Emalo</t>
  </si>
  <si>
    <t>MG54509030051001</t>
  </si>
  <si>
    <t>Emalo-Ankiliabo</t>
  </si>
  <si>
    <t>MG51507070080001</t>
  </si>
  <si>
    <t>EMINA</t>
  </si>
  <si>
    <t>Emita</t>
  </si>
  <si>
    <t>MG25217191005001</t>
  </si>
  <si>
    <t>EMONTY</t>
  </si>
  <si>
    <t>ENAGNORASA</t>
  </si>
  <si>
    <t>ENATO</t>
  </si>
  <si>
    <t>Enjoty Behabobo</t>
  </si>
  <si>
    <t>MG52516014022</t>
  </si>
  <si>
    <t>Enosy Centre</t>
  </si>
  <si>
    <t>MG51507150083001</t>
  </si>
  <si>
    <t>Epp Ambalorao</t>
  </si>
  <si>
    <t>EPP AMBATOLAHILETSIVITSY</t>
  </si>
  <si>
    <t>EPP AMBOHIMIARINA I</t>
  </si>
  <si>
    <t>EPP AMBOLOKIRA</t>
  </si>
  <si>
    <t>EPP AMBOTSIBOTSIKE</t>
  </si>
  <si>
    <t>Epp Andranomanitsy</t>
  </si>
  <si>
    <t>Epp Angara</t>
  </si>
  <si>
    <t>Epp Ankilimalinike</t>
  </si>
  <si>
    <t>Epp Basibasy</t>
  </si>
  <si>
    <t>Epp Beavoha</t>
  </si>
  <si>
    <t>EPP BEKOAKE</t>
  </si>
  <si>
    <t>EPP Besely Est</t>
  </si>
  <si>
    <t>EPP EZAKA AMBILA NORD</t>
  </si>
  <si>
    <t>EPP GOROGODA</t>
  </si>
  <si>
    <t>EPP Mahazoarivo</t>
  </si>
  <si>
    <t>Epp Mampagnarivo</t>
  </si>
  <si>
    <t>Epp Mangolovolo</t>
  </si>
  <si>
    <t>Epp Miary</t>
  </si>
  <si>
    <t>Epp Tanadava Sation</t>
  </si>
  <si>
    <t>EPP TOLIARA CENTRE I</t>
  </si>
  <si>
    <t>EPP TOLIARA CENTRE II</t>
  </si>
  <si>
    <t>Erada</t>
  </si>
  <si>
    <t>MG52516013055001</t>
  </si>
  <si>
    <t>Eradabe Tsimivaky</t>
  </si>
  <si>
    <t>MG52516071031</t>
  </si>
  <si>
    <t>Erakoka</t>
  </si>
  <si>
    <t>MG52516071068001</t>
  </si>
  <si>
    <t>Erakoka Andrefana</t>
  </si>
  <si>
    <t>MG52516071020001</t>
  </si>
  <si>
    <t>Erakoke</t>
  </si>
  <si>
    <t>MG52516071004</t>
  </si>
  <si>
    <t>Eramamy</t>
  </si>
  <si>
    <t>Ereteke</t>
  </si>
  <si>
    <t>MG51506030007001</t>
  </si>
  <si>
    <t>Eroka II</t>
  </si>
  <si>
    <t>MG25213350005001</t>
  </si>
  <si>
    <t>EROMBAZA</t>
  </si>
  <si>
    <t>Esaka</t>
  </si>
  <si>
    <t>MG53519130010001</t>
  </si>
  <si>
    <t>ESAKA MAHABO</t>
  </si>
  <si>
    <t>ESALO</t>
  </si>
  <si>
    <t>ESANTA</t>
  </si>
  <si>
    <t>MG53515090089001</t>
  </si>
  <si>
    <t>Esifake</t>
  </si>
  <si>
    <t>MG51507150084001</t>
  </si>
  <si>
    <t>Esira</t>
  </si>
  <si>
    <t>MG53519170001001</t>
  </si>
  <si>
    <t>ESOHIHY MITSINJO</t>
  </si>
  <si>
    <t>Etakake</t>
  </si>
  <si>
    <t>MG51507030010001</t>
  </si>
  <si>
    <t>Etanjo</t>
  </si>
  <si>
    <t>MG51507010016001</t>
  </si>
  <si>
    <t>Etory</t>
  </si>
  <si>
    <t>MG51507150085001</t>
  </si>
  <si>
    <t>Etrobeke</t>
  </si>
  <si>
    <t>MG51507010015001</t>
  </si>
  <si>
    <t>Etroboke</t>
  </si>
  <si>
    <t>MG51507010015</t>
  </si>
  <si>
    <t>Etrotroka</t>
  </si>
  <si>
    <t>MG25213390001001</t>
  </si>
  <si>
    <t>ETSIFOHAVE</t>
  </si>
  <si>
    <t>Etsoha</t>
  </si>
  <si>
    <t>MG52516031039001</t>
  </si>
  <si>
    <t>ETSOHA ANKILIROMOTSY</t>
  </si>
  <si>
    <t>Etsoha Marofoty</t>
  </si>
  <si>
    <t>MG52516031011</t>
  </si>
  <si>
    <t>EVANGA</t>
  </si>
  <si>
    <t>Evato</t>
  </si>
  <si>
    <t>MG25213370001001</t>
  </si>
  <si>
    <t>Evazy</t>
  </si>
  <si>
    <t>MG51507010023</t>
  </si>
  <si>
    <t>MG52514011045001</t>
  </si>
  <si>
    <t>Evazy-Ampanihy Ouest</t>
  </si>
  <si>
    <t>MG51507010023001</t>
  </si>
  <si>
    <t>Evovo Centre</t>
  </si>
  <si>
    <t>MG51507150086001</t>
  </si>
  <si>
    <t>EVOVO-NORD</t>
  </si>
  <si>
    <t>EZAKA</t>
  </si>
  <si>
    <t>Fanantenana</t>
  </si>
  <si>
    <t>Fandiova</t>
  </si>
  <si>
    <t>MG53519030016001</t>
  </si>
  <si>
    <t>FANGATO</t>
  </si>
  <si>
    <t>Fangidraty</t>
  </si>
  <si>
    <t>FARAFARA-VATAMBE</t>
  </si>
  <si>
    <t>Farafatse</t>
  </si>
  <si>
    <t>MG51507150016</t>
  </si>
  <si>
    <t>MG51507150087001</t>
  </si>
  <si>
    <t>FARAVOHITRA</t>
  </si>
  <si>
    <t>Farivolo</t>
  </si>
  <si>
    <t>MG53519230013001</t>
  </si>
  <si>
    <t>FAUX CAP</t>
  </si>
  <si>
    <t>Fenoaivo</t>
  </si>
  <si>
    <t>MG53519090008001</t>
  </si>
  <si>
    <t>Fenoaivo-Ifotaka</t>
  </si>
  <si>
    <t>MG53519090008002</t>
  </si>
  <si>
    <t>Fenoala</t>
  </si>
  <si>
    <t>Fenoandala</t>
  </si>
  <si>
    <t>MG53515170003001</t>
  </si>
  <si>
    <t>Fenoanivo</t>
  </si>
  <si>
    <t>MG51506191014001</t>
  </si>
  <si>
    <t>Fenoarivo</t>
  </si>
  <si>
    <t>MG25213450006001</t>
  </si>
  <si>
    <t>Fenoarivo I</t>
  </si>
  <si>
    <t>MG51506290009001</t>
  </si>
  <si>
    <t>Fenoarivo I Bekily</t>
  </si>
  <si>
    <t>MG51506290009002</t>
  </si>
  <si>
    <t>Fenoarivo Sud</t>
  </si>
  <si>
    <t>MG52518091006001</t>
  </si>
  <si>
    <t>Fenoarivo(Com Fenoarivo)</t>
  </si>
  <si>
    <t>MG25214332006001</t>
  </si>
  <si>
    <t>Fenoarivo-Ampasimalemy</t>
  </si>
  <si>
    <t>MG25214031006001</t>
  </si>
  <si>
    <t>FENOARIVO-IANABINDA</t>
  </si>
  <si>
    <t>MG53517130085001</t>
  </si>
  <si>
    <t>Fenoarivo-Ranobe</t>
  </si>
  <si>
    <t>MG53519292047001</t>
  </si>
  <si>
    <t>Fenoatsimo</t>
  </si>
  <si>
    <t>MG53515111005001</t>
  </si>
  <si>
    <t>Ferena</t>
  </si>
  <si>
    <t>MG25217130005001</t>
  </si>
  <si>
    <t>FIADANANA</t>
  </si>
  <si>
    <t>Fierena</t>
  </si>
  <si>
    <t>MG25213050035001</t>
  </si>
  <si>
    <t>Firanga</t>
  </si>
  <si>
    <t>MG51507010024</t>
  </si>
  <si>
    <t>MG51507010024001</t>
  </si>
  <si>
    <t>Firifiry</t>
  </si>
  <si>
    <t>MG25213590007001</t>
  </si>
  <si>
    <t>FITSITIKA (TARATRA)</t>
  </si>
  <si>
    <t>Fonilaza</t>
  </si>
  <si>
    <t>MG25214111008</t>
  </si>
  <si>
    <t>FOTADREVO</t>
  </si>
  <si>
    <t>Fotadrevo Centre</t>
  </si>
  <si>
    <t>MG51507290001</t>
  </si>
  <si>
    <t>MG51507290088001</t>
  </si>
  <si>
    <t>Fotadrevo Centre-Fotadrevo</t>
  </si>
  <si>
    <t>MG51507290089001</t>
  </si>
  <si>
    <t>Fotadrevo Sud</t>
  </si>
  <si>
    <t>MG51507290090001</t>
  </si>
  <si>
    <t>Fotobohitra</t>
  </si>
  <si>
    <t>GOGOGOGO</t>
  </si>
  <si>
    <t>Gogogogo II</t>
  </si>
  <si>
    <t>MG51507210016001</t>
  </si>
  <si>
    <t>Gorogoda</t>
  </si>
  <si>
    <t>MG51507010011</t>
  </si>
  <si>
    <t>MG51507010011001</t>
  </si>
  <si>
    <t>Habohabo Nord</t>
  </si>
  <si>
    <t>MG52516013003001</t>
  </si>
  <si>
    <t>HABOHABONORD</t>
  </si>
  <si>
    <t>HABOKE</t>
  </si>
  <si>
    <t>Hanimbe Haut</t>
  </si>
  <si>
    <t>MG51507310073001</t>
  </si>
  <si>
    <t>Helibondro</t>
  </si>
  <si>
    <t>MG53519030022001</t>
  </si>
  <si>
    <t>HOVOTSOTSY</t>
  </si>
  <si>
    <t>IABOAKOHO</t>
  </si>
  <si>
    <t>Iabohazo</t>
  </si>
  <si>
    <t>MG25213210001001</t>
  </si>
  <si>
    <t>Iabomary (Mahabo)</t>
  </si>
  <si>
    <t>MG25213170023001</t>
  </si>
  <si>
    <t>IABOMARY II</t>
  </si>
  <si>
    <t>Iaborano</t>
  </si>
  <si>
    <t>MG51512130006001</t>
  </si>
  <si>
    <t>IABORANO(Analamary)</t>
  </si>
  <si>
    <t>MG53517110007001</t>
  </si>
  <si>
    <t>IABORANO(Mahabo)</t>
  </si>
  <si>
    <t>MG53517170006001</t>
  </si>
  <si>
    <t>IABOREFO</t>
  </si>
  <si>
    <t>MG25213330005001</t>
  </si>
  <si>
    <t>Iaborotsy</t>
  </si>
  <si>
    <t>MG53519230015001</t>
  </si>
  <si>
    <t>Iabovonany</t>
  </si>
  <si>
    <t>Iamonta</t>
  </si>
  <si>
    <t>MG25217052001001</t>
  </si>
  <si>
    <t>IANABINDA</t>
  </si>
  <si>
    <t>MG53517130001001</t>
  </si>
  <si>
    <t>Ianakafy</t>
  </si>
  <si>
    <t>MG52516111009001</t>
  </si>
  <si>
    <t>IANAKAFY/ANKATRAFAY</t>
  </si>
  <si>
    <t>MG53517310001001</t>
  </si>
  <si>
    <t>Ianakafy-Amboasary</t>
  </si>
  <si>
    <t>MG53519010009001</t>
  </si>
  <si>
    <t>Ianakasy</t>
  </si>
  <si>
    <t>MG25217030010001</t>
  </si>
  <si>
    <t>Iandraina</t>
  </si>
  <si>
    <t>MG25213030003001</t>
  </si>
  <si>
    <t>IANKANA</t>
  </si>
  <si>
    <t>Iara</t>
  </si>
  <si>
    <t>MG25214230001001</t>
  </si>
  <si>
    <t>Ifanrantsa</t>
  </si>
  <si>
    <t>MG52518251014001</t>
  </si>
  <si>
    <t>Ifarantsa</t>
  </si>
  <si>
    <t>MG52518251014002</t>
  </si>
  <si>
    <t>Ifoitry</t>
  </si>
  <si>
    <t>MG25217013002001</t>
  </si>
  <si>
    <t>Ifotaka</t>
  </si>
  <si>
    <t>MG53519090001002</t>
  </si>
  <si>
    <t>Ifotaka Amboasary</t>
  </si>
  <si>
    <t>MG53519090013001</t>
  </si>
  <si>
    <t>Ifotaka Centre</t>
  </si>
  <si>
    <t>MG53519090001</t>
  </si>
  <si>
    <t>MG53519090001001</t>
  </si>
  <si>
    <t>Ifotaka DP</t>
  </si>
  <si>
    <t>MG53519090011001</t>
  </si>
  <si>
    <t>IGARARANA</t>
  </si>
  <si>
    <t>IHAZOFOTSY</t>
  </si>
  <si>
    <t>MG53517310067001</t>
  </si>
  <si>
    <t>Ihela Bas</t>
  </si>
  <si>
    <t>MG51506252002001</t>
  </si>
  <si>
    <t>Ihela Haut</t>
  </si>
  <si>
    <t>MG51506252004001</t>
  </si>
  <si>
    <t>Ihodo</t>
  </si>
  <si>
    <t>MG52514071069001</t>
  </si>
  <si>
    <t>Ihorombe</t>
  </si>
  <si>
    <t>MG25213551001001</t>
  </si>
  <si>
    <t>Ihotry</t>
  </si>
  <si>
    <t>MG51506111017001</t>
  </si>
  <si>
    <t>Ikonda Tsimiarihandry</t>
  </si>
  <si>
    <t>MG52516130026</t>
  </si>
  <si>
    <t>IKOTOALA</t>
  </si>
  <si>
    <t>MG52516092016001</t>
  </si>
  <si>
    <t>IKOTOALABAS</t>
  </si>
  <si>
    <t>Imanjola</t>
  </si>
  <si>
    <t>MG53519230007001</t>
  </si>
  <si>
    <t>IMANOMBO CENTRE</t>
  </si>
  <si>
    <t>MG52516190001001</t>
  </si>
  <si>
    <t>Imongy</t>
  </si>
  <si>
    <t>MG52514072001</t>
  </si>
  <si>
    <t>IMONGY AMPIHAMY</t>
  </si>
  <si>
    <t>INANOTOANA</t>
  </si>
  <si>
    <t>INDROAMITA</t>
  </si>
  <si>
    <t>Inosy</t>
  </si>
  <si>
    <t>MG25222051003001</t>
  </si>
  <si>
    <t>IRITSOKA</t>
  </si>
  <si>
    <t>Irondro</t>
  </si>
  <si>
    <t>ISAKA-IVONDRO</t>
  </si>
  <si>
    <t>ISINGO</t>
  </si>
  <si>
    <t>ISOANALA NORD</t>
  </si>
  <si>
    <t>MG53517291002001</t>
  </si>
  <si>
    <t>ISOANALA SUD</t>
  </si>
  <si>
    <t>MG53517291001001</t>
  </si>
  <si>
    <t>ITALY</t>
  </si>
  <si>
    <t>ITAMPOLO</t>
  </si>
  <si>
    <t>Itampolo I</t>
  </si>
  <si>
    <t>MG51507310098001</t>
  </si>
  <si>
    <t>Itampolo Ii</t>
  </si>
  <si>
    <t>MG51507310082001</t>
  </si>
  <si>
    <t>Itampolo II-Ampanihy Ouest</t>
  </si>
  <si>
    <t>MG51507310081001</t>
  </si>
  <si>
    <t>ITAPERA</t>
  </si>
  <si>
    <t>ITOMBOINA (LOVASOA)</t>
  </si>
  <si>
    <t>ITROHO</t>
  </si>
  <si>
    <t>MG53517250005001</t>
  </si>
  <si>
    <t>Ivandrika</t>
  </si>
  <si>
    <t>MG25213110001001</t>
  </si>
  <si>
    <t>Ivato</t>
  </si>
  <si>
    <t>MG23212051001</t>
  </si>
  <si>
    <t>MG31307070008001</t>
  </si>
  <si>
    <t>Ivato Centre</t>
  </si>
  <si>
    <t>IVOHITSOA</t>
  </si>
  <si>
    <t>MG53517150009001</t>
  </si>
  <si>
    <t>Ivony Firaisantsoa</t>
  </si>
  <si>
    <t>JAFARO</t>
  </si>
  <si>
    <t>JONTANY</t>
  </si>
  <si>
    <t>JOSEPH ROBERT</t>
  </si>
  <si>
    <t>KALANGASA</t>
  </si>
  <si>
    <t>Karianga</t>
  </si>
  <si>
    <t>MG25217111001001</t>
  </si>
  <si>
    <t>Karimbary(Com Vohilengo)</t>
  </si>
  <si>
    <t>MG25213570011001</t>
  </si>
  <si>
    <t>Karimbary-Vangaindrano</t>
  </si>
  <si>
    <t>MG25214252046001</t>
  </si>
  <si>
    <t>Karimbary-Vondrozo</t>
  </si>
  <si>
    <t>MG25217111011001</t>
  </si>
  <si>
    <t>KARIMBELO</t>
  </si>
  <si>
    <t>Karinarivo</t>
  </si>
  <si>
    <t>MG25214172006001</t>
  </si>
  <si>
    <t>KATRAVITRA</t>
  </si>
  <si>
    <t>Katsakala</t>
  </si>
  <si>
    <t>MG52514012077001</t>
  </si>
  <si>
    <t>KEREMBOLA</t>
  </si>
  <si>
    <t>KIANJANAKANGA</t>
  </si>
  <si>
    <t>Kianjavato</t>
  </si>
  <si>
    <t>Kianjavola</t>
  </si>
  <si>
    <t>KILEMIRIMBO CENTRE</t>
  </si>
  <si>
    <t>KILIBORY</t>
  </si>
  <si>
    <t>KILILIGNISA</t>
  </si>
  <si>
    <t>KILIRO</t>
  </si>
  <si>
    <t>Kindria</t>
  </si>
  <si>
    <t>MG51507250062001</t>
  </si>
  <si>
    <t>KIRIMOSA</t>
  </si>
  <si>
    <t>KOBOARY</t>
  </si>
  <si>
    <t>Kopoky</t>
  </si>
  <si>
    <t>MG52514050080001</t>
  </si>
  <si>
    <t>Koronga</t>
  </si>
  <si>
    <t>MG52513091012</t>
  </si>
  <si>
    <t>MG52513091012001</t>
  </si>
  <si>
    <t>KOTOVOGNE</t>
  </si>
  <si>
    <t>Lafibato</t>
  </si>
  <si>
    <t>MG51507010004001</t>
  </si>
  <si>
    <t>LAFITSINANANA</t>
  </si>
  <si>
    <t>LAGNANE</t>
  </si>
  <si>
    <t>Lalangy</t>
  </si>
  <si>
    <t>MG25214190002001</t>
  </si>
  <si>
    <t>Lalikamany</t>
  </si>
  <si>
    <t>MG51507310074001</t>
  </si>
  <si>
    <t>LAMITIHY BELANKY</t>
  </si>
  <si>
    <t>LAMITIHY BELAZA</t>
  </si>
  <si>
    <t>Lamitihy sud</t>
  </si>
  <si>
    <t>MG52516050059001</t>
  </si>
  <si>
    <t>Laniry</t>
  </si>
  <si>
    <t>MG51506090012</t>
  </si>
  <si>
    <t>MG51506090012001</t>
  </si>
  <si>
    <t>LAVAKAPAHA</t>
  </si>
  <si>
    <t>LAVAKIANJA</t>
  </si>
  <si>
    <t>MG23209230007001</t>
  </si>
  <si>
    <t>LAVALILA</t>
  </si>
  <si>
    <t>MG53517291006001</t>
  </si>
  <si>
    <t>LAVANDRANDRA</t>
  </si>
  <si>
    <t>LAVANDRANDRA 1</t>
  </si>
  <si>
    <t>MG53515090090001</t>
  </si>
  <si>
    <t>Lavanono</t>
  </si>
  <si>
    <t>MG52513030021001</t>
  </si>
  <si>
    <t>Lavaposa</t>
  </si>
  <si>
    <t>MG51507010021001</t>
  </si>
  <si>
    <t>Lavaraty</t>
  </si>
  <si>
    <t>MG25215051001001</t>
  </si>
  <si>
    <t>LAVENOMBATO (TSARAFANIRY)</t>
  </si>
  <si>
    <t>Lazarivo</t>
  </si>
  <si>
    <t>MG51506012012</t>
  </si>
  <si>
    <t>LEOBONDRO</t>
  </si>
  <si>
    <t>Limby</t>
  </si>
  <si>
    <t>MG53519010017001</t>
  </si>
  <si>
    <t>Loasay</t>
  </si>
  <si>
    <t>MG25214332034001</t>
  </si>
  <si>
    <t>Lohafary</t>
  </si>
  <si>
    <t>MG25214131001001</t>
  </si>
  <si>
    <t>Lohagisy</t>
  </si>
  <si>
    <t>LOHALOVOKY</t>
  </si>
  <si>
    <t>Lohanosy</t>
  </si>
  <si>
    <t>MG25217012003001</t>
  </si>
  <si>
    <t>Loharano</t>
  </si>
  <si>
    <t>MG23210070004001</t>
  </si>
  <si>
    <t>Lohatranambo</t>
  </si>
  <si>
    <t>MG25213270010001</t>
  </si>
  <si>
    <t>Lokoarivo</t>
  </si>
  <si>
    <t>MG52513070064001</t>
  </si>
  <si>
    <t>Lopary</t>
  </si>
  <si>
    <t>MG25214091001001</t>
  </si>
  <si>
    <t>LOVASOA BEHABOBO</t>
  </si>
  <si>
    <t>LOVASOA IABOMARY</t>
  </si>
  <si>
    <t>LOVASOA SAINT AUGUSTIN</t>
  </si>
  <si>
    <t>Madiorano</t>
  </si>
  <si>
    <t>MG25217012012001</t>
  </si>
  <si>
    <t>Magnasoa Fanjairo</t>
  </si>
  <si>
    <t>Mahabe</t>
  </si>
  <si>
    <t>MG25213472003001</t>
  </si>
  <si>
    <t>MAHABO</t>
  </si>
  <si>
    <t>MG52518110002001</t>
  </si>
  <si>
    <t>MAHABO AMBANY</t>
  </si>
  <si>
    <t>Mahabo Mananino</t>
  </si>
  <si>
    <t>Mahabo Mananivo</t>
  </si>
  <si>
    <t>MG25213170024001</t>
  </si>
  <si>
    <t>Mahabo Sud</t>
  </si>
  <si>
    <t>MG51506191005001</t>
  </si>
  <si>
    <t>MAHABO(BENONOKY)</t>
  </si>
  <si>
    <t>MG53517170007001</t>
  </si>
  <si>
    <t>Mahabo-Ambatry Mitsinjo</t>
  </si>
  <si>
    <t>MG51506013011001</t>
  </si>
  <si>
    <t>Mahabo-Amboasary</t>
  </si>
  <si>
    <t>MG53519090003001</t>
  </si>
  <si>
    <t>MAHABODO</t>
  </si>
  <si>
    <t>MAHAFASA</t>
  </si>
  <si>
    <t>Mahafasa Centre</t>
  </si>
  <si>
    <t>MG25213170001001</t>
  </si>
  <si>
    <t>Mahafasa Nord</t>
  </si>
  <si>
    <t>MG25213010041001</t>
  </si>
  <si>
    <t>MAHALOTO</t>
  </si>
  <si>
    <t>Mahaly</t>
  </si>
  <si>
    <t>MG23211073002001</t>
  </si>
  <si>
    <t>Mahaly Centre</t>
  </si>
  <si>
    <t>MG53519190001</t>
  </si>
  <si>
    <t>Mahamany</t>
  </si>
  <si>
    <t>MG53517331004001</t>
  </si>
  <si>
    <t>MAHASOA</t>
  </si>
  <si>
    <t>MG23209290011001</t>
  </si>
  <si>
    <t>Mahasoa I</t>
  </si>
  <si>
    <t>MG25217112006001</t>
  </si>
  <si>
    <t>MAHASOA NORD</t>
  </si>
  <si>
    <t>MG54509030003001</t>
  </si>
  <si>
    <t>MAHASOA OUEST</t>
  </si>
  <si>
    <t>MG53517310054001</t>
  </si>
  <si>
    <t>Mahasoa Vohintany</t>
  </si>
  <si>
    <t>MG52518032047001</t>
  </si>
  <si>
    <t>Mahatalaky</t>
  </si>
  <si>
    <t>MG52518252006001</t>
  </si>
  <si>
    <t>Mahatomotse centre</t>
  </si>
  <si>
    <t>MG52516033058001</t>
  </si>
  <si>
    <t>MAHATOMOTSY</t>
  </si>
  <si>
    <t>MAHATSANDRY</t>
  </si>
  <si>
    <t>Mahatsandry Nord</t>
  </si>
  <si>
    <t>MG51507230023</t>
  </si>
  <si>
    <t>Mahatsara Sud</t>
  </si>
  <si>
    <t>MG23209050001001</t>
  </si>
  <si>
    <t>Mahatsara Sud(Lavakianja)</t>
  </si>
  <si>
    <t>MG23209050001</t>
  </si>
  <si>
    <t>Mahatsarasud</t>
  </si>
  <si>
    <t>Mahatsinjo</t>
  </si>
  <si>
    <t>MG25213230013001</t>
  </si>
  <si>
    <t>MG25217030078</t>
  </si>
  <si>
    <t>Mahatsinjo-Mahatsinjo</t>
  </si>
  <si>
    <t>MG25217030076001</t>
  </si>
  <si>
    <t>Mahatsinjo-Masianaka</t>
  </si>
  <si>
    <t>MG25214152013001</t>
  </si>
  <si>
    <t>Mahaty</t>
  </si>
  <si>
    <t>MG51506130002001</t>
  </si>
  <si>
    <t>MAHAVATSE II</t>
  </si>
  <si>
    <t>Mahavelo</t>
  </si>
  <si>
    <t>MG23210510024001</t>
  </si>
  <si>
    <t>MG52516011012</t>
  </si>
  <si>
    <t>Mahavelo(Com Manambotra Atsimo)</t>
  </si>
  <si>
    <t>MG25214070043001</t>
  </si>
  <si>
    <t>Mahavelo-Vondrozo</t>
  </si>
  <si>
    <t>MG25213150006001</t>
  </si>
  <si>
    <t>Mahavokake</t>
  </si>
  <si>
    <t>MG52516072079001</t>
  </si>
  <si>
    <t>Mahavoky Nord</t>
  </si>
  <si>
    <t>MG23209270001</t>
  </si>
  <si>
    <t>MAHAZO</t>
  </si>
  <si>
    <t>Mahazoarivo</t>
  </si>
  <si>
    <t>MG51505050005002</t>
  </si>
  <si>
    <t>MG53517291056</t>
  </si>
  <si>
    <t>Mahazoarivo (Ivandrika)</t>
  </si>
  <si>
    <t>MG25213110005001</t>
  </si>
  <si>
    <t>Mahazoarivo-AMBONDRO</t>
  </si>
  <si>
    <t>MG52516091005001</t>
  </si>
  <si>
    <t>Mahazoarivo-Ankazomanga Ouest</t>
  </si>
  <si>
    <t>MG51505050005001</t>
  </si>
  <si>
    <t>Mahazoarivo-Evato</t>
  </si>
  <si>
    <t>MG25213370005001</t>
  </si>
  <si>
    <t>Mahazoarivo-Mahafaly</t>
  </si>
  <si>
    <t>MG53519190005001</t>
  </si>
  <si>
    <t>Mahazoarivo-Vondrozo</t>
  </si>
  <si>
    <t>MG25217051005001</t>
  </si>
  <si>
    <t>Mahela II</t>
  </si>
  <si>
    <t>Mahendrake</t>
  </si>
  <si>
    <t>MG52514011086001</t>
  </si>
  <si>
    <t>MAHENIMBE</t>
  </si>
  <si>
    <t>MAHENY</t>
  </si>
  <si>
    <t>Maheriraty</t>
  </si>
  <si>
    <t>MG25213290004001</t>
  </si>
  <si>
    <t>MAHILIVAZA</t>
  </si>
  <si>
    <t>MAIAKOHO</t>
  </si>
  <si>
    <t>MAIKANDRO</t>
  </si>
  <si>
    <t>MG52518130015001</t>
  </si>
  <si>
    <t>Maintelime</t>
  </si>
  <si>
    <t>MG51520358a_6001</t>
  </si>
  <si>
    <t>Maintitondro</t>
  </si>
  <si>
    <t>MAKIFAHA</t>
  </si>
  <si>
    <t>Malangeriake (Ankoritsike)</t>
  </si>
  <si>
    <t>MG51507310020001</t>
  </si>
  <si>
    <t>MAMONO</t>
  </si>
  <si>
    <t>ManakanaI</t>
  </si>
  <si>
    <t>Manakaralahy</t>
  </si>
  <si>
    <t>MG51507150040</t>
  </si>
  <si>
    <t>Manakaralahy Nord</t>
  </si>
  <si>
    <t>MG51507150088001</t>
  </si>
  <si>
    <t>Manakaralahy Sud</t>
  </si>
  <si>
    <t>MG51507150089001</t>
  </si>
  <si>
    <t>Manakaravavy</t>
  </si>
  <si>
    <t>MG51507150047</t>
  </si>
  <si>
    <t>MG51507150090001</t>
  </si>
  <si>
    <t>MANAKOLIVA</t>
  </si>
  <si>
    <t>MANAKOMPY</t>
  </si>
  <si>
    <t>MG52518130001001</t>
  </si>
  <si>
    <t>Manalobe</t>
  </si>
  <si>
    <t>MG51506170001001</t>
  </si>
  <si>
    <t>Manambondro</t>
  </si>
  <si>
    <t>MG25214270087001</t>
  </si>
  <si>
    <t>Manambotra Sud</t>
  </si>
  <si>
    <t>MG25214171005001</t>
  </si>
  <si>
    <t>MANANARA II</t>
  </si>
  <si>
    <t>MANANDAVENOKA</t>
  </si>
  <si>
    <t>MANANKASINA</t>
  </si>
  <si>
    <t>MANANOVY</t>
  </si>
  <si>
    <t>MG53517250003001</t>
  </si>
  <si>
    <t>Manantsa</t>
  </si>
  <si>
    <t>MG51506191015001</t>
  </si>
  <si>
    <t>Manasoa</t>
  </si>
  <si>
    <t>MG51506130005001</t>
  </si>
  <si>
    <t>Manasoa-Ankazomanga Ouest</t>
  </si>
  <si>
    <t>MG51506130005002</t>
  </si>
  <si>
    <t>Manasoa-Vangaindrano</t>
  </si>
  <si>
    <t>MG25214010005001</t>
  </si>
  <si>
    <t>Manato</t>
  </si>
  <si>
    <t>MG25217112003001</t>
  </si>
  <si>
    <t>Manavy</t>
  </si>
  <si>
    <t>MG52516130033</t>
  </si>
  <si>
    <t>MG52516130033053</t>
  </si>
  <si>
    <t>Mandabe</t>
  </si>
  <si>
    <t>MG51507290004001</t>
  </si>
  <si>
    <t>Mandabe Ankilimaro</t>
  </si>
  <si>
    <t>MG51507290020001</t>
  </si>
  <si>
    <t>Mandabe Kilimaro</t>
  </si>
  <si>
    <t>MG51507290020</t>
  </si>
  <si>
    <t>Mandabe-AMBATOSOLA</t>
  </si>
  <si>
    <t>MG52518091004001</t>
  </si>
  <si>
    <t>MANDABE-MAHABO</t>
  </si>
  <si>
    <t>MG53517170004001</t>
  </si>
  <si>
    <t>Mandatsa</t>
  </si>
  <si>
    <t>MG25213050044001</t>
  </si>
  <si>
    <t>MANDEVIBE</t>
  </si>
  <si>
    <t>Mandily</t>
  </si>
  <si>
    <t>MG52516170028</t>
  </si>
  <si>
    <t>MG52516170028001</t>
  </si>
  <si>
    <t>Mandiso</t>
  </si>
  <si>
    <t>MANDISO CENTRE</t>
  </si>
  <si>
    <t>Mandopaka I</t>
  </si>
  <si>
    <t>MG51507150091001</t>
  </si>
  <si>
    <t>Mandopaka II</t>
  </si>
  <si>
    <t>MG51507150092001</t>
  </si>
  <si>
    <t>Mandrapasy Antsakoamasy</t>
  </si>
  <si>
    <t>MG53519070017001</t>
  </si>
  <si>
    <t>Mandritsara</t>
  </si>
  <si>
    <t>MG25214151003001</t>
  </si>
  <si>
    <t>MANDROMODROMOTRA</t>
  </si>
  <si>
    <t>Mandrosovelo</t>
  </si>
  <si>
    <t>MG23210070005001</t>
  </si>
  <si>
    <t>Manera</t>
  </si>
  <si>
    <t>MG51507230015001</t>
  </si>
  <si>
    <t>MANEVY</t>
  </si>
  <si>
    <t>MG53517170010001</t>
  </si>
  <si>
    <t>Manevy (au bureau ORN Anosy FTU)</t>
  </si>
  <si>
    <t>MG53519210001001</t>
  </si>
  <si>
    <t>Manevy (bureau ORN Fort Dauphin)</t>
  </si>
  <si>
    <t>MG53519210001002</t>
  </si>
  <si>
    <t>MANGAIKY</t>
  </si>
  <si>
    <t>MANGARIVOTRA</t>
  </si>
  <si>
    <t>MG23211011016001</t>
  </si>
  <si>
    <t>MANGIBE</t>
  </si>
  <si>
    <t>Manindra</t>
  </si>
  <si>
    <t>MG53519070012001</t>
  </si>
  <si>
    <t>Manindra Centre</t>
  </si>
  <si>
    <t>MG53519070016001</t>
  </si>
  <si>
    <t>MANINGAVAHATSY</t>
  </si>
  <si>
    <t>MG53517250067001</t>
  </si>
  <si>
    <t>Manintsy</t>
  </si>
  <si>
    <t>MG51506252006</t>
  </si>
  <si>
    <t>Maniry</t>
  </si>
  <si>
    <t>MG51507090001001</t>
  </si>
  <si>
    <t>MANISY</t>
  </si>
  <si>
    <t>Manitsevo</t>
  </si>
  <si>
    <t>MG53519050007001</t>
  </si>
  <si>
    <t>Manitsevo-Berano</t>
  </si>
  <si>
    <t>MG53519050007002</t>
  </si>
  <si>
    <t>Manja</t>
  </si>
  <si>
    <t>MG42410191005001</t>
  </si>
  <si>
    <t>MANOMBIKA</t>
  </si>
  <si>
    <t>Manombo</t>
  </si>
  <si>
    <t>MG25213350002001</t>
  </si>
  <si>
    <t>MANOMBO I (LOVASOA)</t>
  </si>
  <si>
    <t>MANOMBO II (MAHASOA)</t>
  </si>
  <si>
    <t>Manombo Tanemena</t>
  </si>
  <si>
    <t>MG52513070065001</t>
  </si>
  <si>
    <t>MANOMBO-ANALAMARY</t>
  </si>
  <si>
    <t>MG53517110002001</t>
  </si>
  <si>
    <t>MANOROKA</t>
  </si>
  <si>
    <t>Manory</t>
  </si>
  <si>
    <t>MG54509030062001</t>
  </si>
  <si>
    <t>Mantara</t>
  </si>
  <si>
    <t>MG52514050013001</t>
  </si>
  <si>
    <t>Mantsake</t>
  </si>
  <si>
    <t>MG53519010013001</t>
  </si>
  <si>
    <t>Maola Bas</t>
  </si>
  <si>
    <t>MG51507050025001</t>
  </si>
  <si>
    <t>Maola Haut</t>
  </si>
  <si>
    <t>MG51507050089001</t>
  </si>
  <si>
    <t>Marabory</t>
  </si>
  <si>
    <t>MG52518152054001</t>
  </si>
  <si>
    <t>Mareagne Tsihelegne</t>
  </si>
  <si>
    <t>MG52516072080001</t>
  </si>
  <si>
    <t>Maregny</t>
  </si>
  <si>
    <t>MG52516170033001</t>
  </si>
  <si>
    <t>Marevokasara</t>
  </si>
  <si>
    <t>MG51506290008</t>
  </si>
  <si>
    <t>MAROAFO</t>
  </si>
  <si>
    <t>Maroafo Marofoty</t>
  </si>
  <si>
    <t>MG52516014061001</t>
  </si>
  <si>
    <t>MAROAIKY II</t>
  </si>
  <si>
    <t>Maroakalo</t>
  </si>
  <si>
    <t>MG52514012078001</t>
  </si>
  <si>
    <t>Maroakoho</t>
  </si>
  <si>
    <t>MG51507050067001</t>
  </si>
  <si>
    <t>MAROAKY</t>
  </si>
  <si>
    <t>Maroalopoty I</t>
  </si>
  <si>
    <t>MG52516072081001</t>
  </si>
  <si>
    <t>Maroalopoty II</t>
  </si>
  <si>
    <t>MG52516072013001</t>
  </si>
  <si>
    <t>Maroalopoty III</t>
  </si>
  <si>
    <t>MG52516072082001</t>
  </si>
  <si>
    <t>MAROAMALONA (LOVASOA)</t>
  </si>
  <si>
    <t>Maroangira</t>
  </si>
  <si>
    <t>MG25217192003001</t>
  </si>
  <si>
    <t>Maroantsiva  (au bureau ORN Anosy FTU)</t>
  </si>
  <si>
    <t>MG53519210067001</t>
  </si>
  <si>
    <t>Maroantsiva (bureau ORN Fort Dauphin)</t>
  </si>
  <si>
    <t>MG53519210067002</t>
  </si>
  <si>
    <t>Maroarivo</t>
  </si>
  <si>
    <t>MG51506015005001</t>
  </si>
  <si>
    <t>Maroarivo Centre</t>
  </si>
  <si>
    <t>MG51506015001</t>
  </si>
  <si>
    <t>Maroarivo Tanandava</t>
  </si>
  <si>
    <t>MG51506015005002</t>
  </si>
  <si>
    <t>Marobasia Nord</t>
  </si>
  <si>
    <t>MG52513092006</t>
  </si>
  <si>
    <t>MG52513092006001</t>
  </si>
  <si>
    <t>MAROBASIA-NORD</t>
  </si>
  <si>
    <t>MAROBASIA-SUD</t>
  </si>
  <si>
    <t>MAROBE FAUX CAP</t>
  </si>
  <si>
    <t>Marodo Ankilemasy</t>
  </si>
  <si>
    <t>MG52516072083001</t>
  </si>
  <si>
    <t>MAROFANOGNE</t>
  </si>
  <si>
    <t>MG52516011037001</t>
  </si>
  <si>
    <t>Marofany</t>
  </si>
  <si>
    <t>MG33316052004001</t>
  </si>
  <si>
    <t>MG52518010070</t>
  </si>
  <si>
    <t>MAROFANY-ANDALATANOSY</t>
  </si>
  <si>
    <t>MG52516151004001</t>
  </si>
  <si>
    <t>MAROFODY</t>
  </si>
  <si>
    <t>MAROFOHY CENTRE</t>
  </si>
  <si>
    <t>MAROFOTOTSE</t>
  </si>
  <si>
    <t>MAROFOTOTSY</t>
  </si>
  <si>
    <t>Marofoty</t>
  </si>
  <si>
    <t>MG51520210001001</t>
  </si>
  <si>
    <t>MAROFOTY AVARADROVA</t>
  </si>
  <si>
    <t>Marohafotse</t>
  </si>
  <si>
    <t>MG52516014062001</t>
  </si>
  <si>
    <t>Marohandriana</t>
  </si>
  <si>
    <t>MG23209110056001</t>
  </si>
  <si>
    <t>MAROHATAKE</t>
  </si>
  <si>
    <t>Marohere</t>
  </si>
  <si>
    <t>MG52513092009</t>
  </si>
  <si>
    <t>Marohery</t>
  </si>
  <si>
    <t>MG52513091028001</t>
  </si>
  <si>
    <t>Marohira</t>
  </si>
  <si>
    <t>MG51506050024001</t>
  </si>
  <si>
    <t>MAROHIRA AMBORY</t>
  </si>
  <si>
    <t>Marohira Nord</t>
  </si>
  <si>
    <t>MG52514011087001</t>
  </si>
  <si>
    <t>Marohira Sud</t>
  </si>
  <si>
    <t>MG52514011038001</t>
  </si>
  <si>
    <t>MAROHITA</t>
  </si>
  <si>
    <t>MAROHO CENTRE</t>
  </si>
  <si>
    <t>MAROHOLA</t>
  </si>
  <si>
    <t>Marohola Nord</t>
  </si>
  <si>
    <t>MG51507130005001</t>
  </si>
  <si>
    <t>Marohola Sud</t>
  </si>
  <si>
    <t>MG51507130005002</t>
  </si>
  <si>
    <t>Marokarima</t>
  </si>
  <si>
    <t>MG23209110001001</t>
  </si>
  <si>
    <t>Marokibo</t>
  </si>
  <si>
    <t>MG53515253005001</t>
  </si>
  <si>
    <t>MAROLAVA</t>
  </si>
  <si>
    <t>MG52514050005001</t>
  </si>
  <si>
    <t>MAROLAVA-AMBONAIVO</t>
  </si>
  <si>
    <t>MG52516050057001</t>
  </si>
  <si>
    <t>Marolinta</t>
  </si>
  <si>
    <t>MG51507310091001</t>
  </si>
  <si>
    <t>Marolinta-Beloha</t>
  </si>
  <si>
    <t>MG54509130006001</t>
  </si>
  <si>
    <t>Marolinta-Itampolo</t>
  </si>
  <si>
    <t>MG51507310070001</t>
  </si>
  <si>
    <t>Maroloha</t>
  </si>
  <si>
    <t>MG53519050023002</t>
  </si>
  <si>
    <t>Maroloha Amboasary</t>
  </si>
  <si>
    <t>MG53519050023001</t>
  </si>
  <si>
    <t>MAROMAINTY</t>
  </si>
  <si>
    <t>MAROMALAY</t>
  </si>
  <si>
    <t>MG52516011042001</t>
  </si>
  <si>
    <t>MAROMASO</t>
  </si>
  <si>
    <t>Maromby</t>
  </si>
  <si>
    <t>MG53519130001001</t>
  </si>
  <si>
    <t>MAROMENA</t>
  </si>
  <si>
    <t>MAROMENA (MIVOATSE)</t>
  </si>
  <si>
    <t>Maromena Centre</t>
  </si>
  <si>
    <t>MG53519030017001</t>
  </si>
  <si>
    <t>MAROMENA I</t>
  </si>
  <si>
    <t>MAROMIANDRA (EZAKA LOVA SOA)</t>
  </si>
  <si>
    <t>Maromitilike</t>
  </si>
  <si>
    <t>MG51520358017001</t>
  </si>
  <si>
    <t>Marompanahy</t>
  </si>
  <si>
    <t>MG25214070044001</t>
  </si>
  <si>
    <t>Marondonaky</t>
  </si>
  <si>
    <t>MG51506130033001</t>
  </si>
  <si>
    <t>MAROPAIKA</t>
  </si>
  <si>
    <t>MAROPANAHY</t>
  </si>
  <si>
    <t>Maropia  Ambohimazava</t>
  </si>
  <si>
    <t>MG52516072071001</t>
  </si>
  <si>
    <t>MAROPIA AMPISOPISO</t>
  </si>
  <si>
    <t>Maropia Ankilibe</t>
  </si>
  <si>
    <t>MG52516072014001</t>
  </si>
  <si>
    <t>Maropia nord</t>
  </si>
  <si>
    <t>MG52516072015001</t>
  </si>
  <si>
    <t>MARORA</t>
  </si>
  <si>
    <t>MG53517110004001</t>
  </si>
  <si>
    <t>Maroroka</t>
  </si>
  <si>
    <t>MG25214070006001</t>
  </si>
  <si>
    <t>MAROROKY ISERINY</t>
  </si>
  <si>
    <t>Marosangy</t>
  </si>
  <si>
    <t>MG23209170001</t>
  </si>
  <si>
    <t>MAROSAVOA BAS</t>
  </si>
  <si>
    <t>Marosiky</t>
  </si>
  <si>
    <t>MG31307151013001</t>
  </si>
  <si>
    <t>Marosoritsy Est</t>
  </si>
  <si>
    <t>MG52516170079001</t>
  </si>
  <si>
    <t>MAROTANA</t>
  </si>
  <si>
    <t>Marotoko</t>
  </si>
  <si>
    <t>MG25213250007001</t>
  </si>
  <si>
    <t>Marotsiraky</t>
  </si>
  <si>
    <t>MG53519250014001</t>
  </si>
  <si>
    <t>Marovahatse</t>
  </si>
  <si>
    <t>MG51507150015</t>
  </si>
  <si>
    <t>MG51507150094001</t>
  </si>
  <si>
    <t>Marovaho</t>
  </si>
  <si>
    <t>MG54509030063001</t>
  </si>
  <si>
    <t>Marovaho Haut</t>
  </si>
  <si>
    <t>MG52518230058001</t>
  </si>
  <si>
    <t>Marovaho-Anjeky Ankilikira</t>
  </si>
  <si>
    <t>MG52516014009001</t>
  </si>
  <si>
    <t>Marovaho-Bas</t>
  </si>
  <si>
    <t>MG52518230059001</t>
  </si>
  <si>
    <t>MAROVALA</t>
  </si>
  <si>
    <t>MG53517291004001</t>
  </si>
  <si>
    <t>Marovandrika (Centre)</t>
  </si>
  <si>
    <t>MG25213590001001</t>
  </si>
  <si>
    <t>Marovato</t>
  </si>
  <si>
    <t>MG42411170013001</t>
  </si>
  <si>
    <t>MAROVATO BEFENO</t>
  </si>
  <si>
    <t>MAROVATO Centre</t>
  </si>
  <si>
    <t>MG52516112076001</t>
  </si>
  <si>
    <t>MAROVATO LAHABE</t>
  </si>
  <si>
    <t>MG52516112077001</t>
  </si>
  <si>
    <t>MAROVATOBE</t>
  </si>
  <si>
    <t>MAROVATOFORIHA</t>
  </si>
  <si>
    <t>MAROVIRO</t>
  </si>
  <si>
    <t>Maroviro centre</t>
  </si>
  <si>
    <t>MG52518152055001</t>
  </si>
  <si>
    <t>Marovitsika Sud</t>
  </si>
  <si>
    <t>MG25222031001001</t>
  </si>
  <si>
    <t>MAROVORO I</t>
  </si>
  <si>
    <t>Marovotry</t>
  </si>
  <si>
    <t>MG53519230008002</t>
  </si>
  <si>
    <t>Marovotry Amboasary</t>
  </si>
  <si>
    <t>MG53519230008001</t>
  </si>
  <si>
    <t>Marozano</t>
  </si>
  <si>
    <t>MG25213230011001</t>
  </si>
  <si>
    <t>Marozano-Marozano</t>
  </si>
  <si>
    <t>MG25215051056001</t>
  </si>
  <si>
    <t>Marozaza</t>
  </si>
  <si>
    <t>MASIABIBY</t>
  </si>
  <si>
    <t>Masiaboay</t>
  </si>
  <si>
    <t>MG51506050001002</t>
  </si>
  <si>
    <t>Masiaboay-Betioky Atsimo</t>
  </si>
  <si>
    <t>MG51506050001001</t>
  </si>
  <si>
    <t>MASIADILY</t>
  </si>
  <si>
    <t>MASIAKAMPY (LOVASOA)</t>
  </si>
  <si>
    <t>MASINDRANO</t>
  </si>
  <si>
    <t>Masitafika</t>
  </si>
  <si>
    <t>MG25217011004001</t>
  </si>
  <si>
    <t>Masombaha</t>
  </si>
  <si>
    <t>MG52513030002001</t>
  </si>
  <si>
    <t>Masomboay</t>
  </si>
  <si>
    <t>MG25217030008001</t>
  </si>
  <si>
    <t>Matanga</t>
  </si>
  <si>
    <t>MG25214151001001</t>
  </si>
  <si>
    <t>Matavay</t>
  </si>
  <si>
    <t>MG25214190006001</t>
  </si>
  <si>
    <t>MATAVE NORD</t>
  </si>
  <si>
    <t>MATAVIRANO</t>
  </si>
  <si>
    <t>MATSINJO</t>
  </si>
  <si>
    <t>MG52518092056001</t>
  </si>
  <si>
    <t>MENAGNARAVONY</t>
  </si>
  <si>
    <t>Menambahy I</t>
  </si>
  <si>
    <t>MG52518230060001</t>
  </si>
  <si>
    <t>Miadamandroso</t>
  </si>
  <si>
    <t>MG53519230014001</t>
  </si>
  <si>
    <t>MIANDRA</t>
  </si>
  <si>
    <t>MIANDRASOA</t>
  </si>
  <si>
    <t>MG52516112009001</t>
  </si>
  <si>
    <t>Miarinarivo</t>
  </si>
  <si>
    <t>MG41405150010001</t>
  </si>
  <si>
    <t>MIARINTSOA</t>
  </si>
  <si>
    <t>Miary</t>
  </si>
  <si>
    <t>MG53517291013</t>
  </si>
  <si>
    <t>Miary Haut</t>
  </si>
  <si>
    <t>MG52518230007001</t>
  </si>
  <si>
    <t>MIARY_TOBY</t>
  </si>
  <si>
    <t>MIDEBOKA II</t>
  </si>
  <si>
    <t>Mieba</t>
  </si>
  <si>
    <t>MG53519150002001</t>
  </si>
  <si>
    <t>MIHAIKY</t>
  </si>
  <si>
    <t>Mikaikarivo</t>
  </si>
  <si>
    <t>MG51507310075001</t>
  </si>
  <si>
    <t>Mikaikarivo Centre</t>
  </si>
  <si>
    <t>MG52518031002</t>
  </si>
  <si>
    <t>Mikaikarivo Haut</t>
  </si>
  <si>
    <t>MG52518290009001</t>
  </si>
  <si>
    <t>Mikaikarivo I</t>
  </si>
  <si>
    <t>MG52518050074001</t>
  </si>
  <si>
    <t>Mikaikarivo-Beantake</t>
  </si>
  <si>
    <t>MG25222031004001</t>
  </si>
  <si>
    <t>Milahane Fenoarivo</t>
  </si>
  <si>
    <t>MG52516011033001</t>
  </si>
  <si>
    <t>Milenake</t>
  </si>
  <si>
    <t>MILOMBOKA</t>
  </si>
  <si>
    <t>Milomboke</t>
  </si>
  <si>
    <t>MG51506130004001</t>
  </si>
  <si>
    <t>Miogo</t>
  </si>
  <si>
    <t>MG51506014003001</t>
  </si>
  <si>
    <t>Mirafe</t>
  </si>
  <si>
    <t>MG51507150095001</t>
  </si>
  <si>
    <t>MIRIA</t>
  </si>
  <si>
    <t>Misay</t>
  </si>
  <si>
    <t>MG51506150019001</t>
  </si>
  <si>
    <t>MITREAKE CENTRE</t>
  </si>
  <si>
    <t>MG52516112078001</t>
  </si>
  <si>
    <t>MITREAKY</t>
  </si>
  <si>
    <t>Mitremaka</t>
  </si>
  <si>
    <t>MG23211112011001</t>
  </si>
  <si>
    <t>MITSANGANA</t>
  </si>
  <si>
    <t>Mitsinjo</t>
  </si>
  <si>
    <t>MG51506191012001</t>
  </si>
  <si>
    <t>MG52518010003</t>
  </si>
  <si>
    <t>MITSINJO BETANIMENA (AKANISOA)</t>
  </si>
  <si>
    <t>MITSINJO I</t>
  </si>
  <si>
    <t>MITSINJO MAHAZOARIVO (TSITAMBATO)</t>
  </si>
  <si>
    <t>Mitsinjo_Benenitra</t>
  </si>
  <si>
    <t>MG51521010015001</t>
  </si>
  <si>
    <t>MITSINJO-AMBATOMIVARY</t>
  </si>
  <si>
    <t>MG53517350012001</t>
  </si>
  <si>
    <t>Mitsinjo-Andranomangatsiaka</t>
  </si>
  <si>
    <t>MG51506191058001</t>
  </si>
  <si>
    <t>Mitsinjo-Beroy Atsimo</t>
  </si>
  <si>
    <t>MG51507270012001</t>
  </si>
  <si>
    <t>Mitsoriake</t>
  </si>
  <si>
    <t>MG51507150033</t>
  </si>
  <si>
    <t>MG51507150096001</t>
  </si>
  <si>
    <t>MITSORIAKE SUD</t>
  </si>
  <si>
    <t>Mokofo</t>
  </si>
  <si>
    <t>MG52516012004001</t>
  </si>
  <si>
    <t>MONTIFENO</t>
  </si>
  <si>
    <t>MONTO</t>
  </si>
  <si>
    <t>Montombe</t>
  </si>
  <si>
    <t>MG51507050005001</t>
  </si>
  <si>
    <t>Montombe II</t>
  </si>
  <si>
    <t>MG52516111053001</t>
  </si>
  <si>
    <t>Montondava</t>
  </si>
  <si>
    <t>MG52516013090001</t>
  </si>
  <si>
    <t>Morabe</t>
  </si>
  <si>
    <t>MG25214111005</t>
  </si>
  <si>
    <t>Morafeno</t>
  </si>
  <si>
    <t>MG52516111054001</t>
  </si>
  <si>
    <t>MG52516111071</t>
  </si>
  <si>
    <t>MORAFENO BEAMALO</t>
  </si>
  <si>
    <t>MORAFENO HAUT</t>
  </si>
  <si>
    <t>Morafeno Sihanamaro</t>
  </si>
  <si>
    <t>MG52516111010001</t>
  </si>
  <si>
    <t>Morafeno Tanandava</t>
  </si>
  <si>
    <t>MG52518092006</t>
  </si>
  <si>
    <t>MG52518092006001</t>
  </si>
  <si>
    <t>Morafeno Tsivory</t>
  </si>
  <si>
    <t>MG53519230016001</t>
  </si>
  <si>
    <t>Morafeno/tan</t>
  </si>
  <si>
    <t>MG53519010004001</t>
  </si>
  <si>
    <t>Morafeno-Ankazomanga Ouest</t>
  </si>
  <si>
    <t>MG51506014004001</t>
  </si>
  <si>
    <t>MORAFENO-BENATO TOBY</t>
  </si>
  <si>
    <t>MG53517150034001</t>
  </si>
  <si>
    <t>MORARANO</t>
  </si>
  <si>
    <t>MORARANOKELY</t>
  </si>
  <si>
    <t>Moroteza</t>
  </si>
  <si>
    <t>MG25217191001001</t>
  </si>
  <si>
    <t>MOTOMBE</t>
  </si>
  <si>
    <t>NAMALAZA I</t>
  </si>
  <si>
    <t>NAMALAZA II</t>
  </si>
  <si>
    <t>MG52516112003001</t>
  </si>
  <si>
    <t>NAMANDRIHA</t>
  </si>
  <si>
    <t>Namanona</t>
  </si>
  <si>
    <t>Namelomampia</t>
  </si>
  <si>
    <t>MG51507310076001</t>
  </si>
  <si>
    <t>Namelompia Bas</t>
  </si>
  <si>
    <t>MG51507310077001</t>
  </si>
  <si>
    <t>Namelompia Haut</t>
  </si>
  <si>
    <t>MG51507310078001</t>
  </si>
  <si>
    <t>Namohona</t>
  </si>
  <si>
    <t>NAMOHORA</t>
  </si>
  <si>
    <t>Namohora (Ffg)</t>
  </si>
  <si>
    <t>MG25213230002001</t>
  </si>
  <si>
    <t>Namoia</t>
  </si>
  <si>
    <t>MG52514012014001</t>
  </si>
  <si>
    <t>Namolora</t>
  </si>
  <si>
    <t>MG52516130042</t>
  </si>
  <si>
    <t>MG52516130068080</t>
  </si>
  <si>
    <t>NAMOTAHA</t>
  </si>
  <si>
    <t>NANARENA</t>
  </si>
  <si>
    <t>MG25215011003001</t>
  </si>
  <si>
    <t>NANARENA BESAKOA</t>
  </si>
  <si>
    <t>MG53517293001001</t>
  </si>
  <si>
    <t>Nandritona</t>
  </si>
  <si>
    <t>MG53517150086001</t>
  </si>
  <si>
    <t>NANDROSOA</t>
  </si>
  <si>
    <t>MG52516050012001</t>
  </si>
  <si>
    <t>Nangananga</t>
  </si>
  <si>
    <t>MG25217192004001</t>
  </si>
  <si>
    <t>Natomasy</t>
  </si>
  <si>
    <t>MG52513030008001</t>
  </si>
  <si>
    <t>NIFANITSE</t>
  </si>
  <si>
    <t>Nisoa</t>
  </si>
  <si>
    <t>MG51507310030</t>
  </si>
  <si>
    <t>NISOROGNA</t>
  </si>
  <si>
    <t>NISORONA</t>
  </si>
  <si>
    <t>MG52516013056001</t>
  </si>
  <si>
    <t>NOSIBE</t>
  </si>
  <si>
    <t>Nosibe Masianaka</t>
  </si>
  <si>
    <t>MG43408150022001</t>
  </si>
  <si>
    <t>Nosifeno</t>
  </si>
  <si>
    <t>MG25215011001001</t>
  </si>
  <si>
    <t>Nosoa</t>
  </si>
  <si>
    <t>MG25214312006001</t>
  </si>
  <si>
    <t>Nosy Ala</t>
  </si>
  <si>
    <t>MG52514050075001</t>
  </si>
  <si>
    <t>Nosy Omby</t>
  </si>
  <si>
    <t>MG25214152005001</t>
  </si>
  <si>
    <t>PAPANGO</t>
  </si>
  <si>
    <t>MG23211011012001</t>
  </si>
  <si>
    <t>Pelaraiky</t>
  </si>
  <si>
    <t>MG52518190058001</t>
  </si>
  <si>
    <t>Pinjo Bas</t>
  </si>
  <si>
    <t>MG52516013069001</t>
  </si>
  <si>
    <t>PINJO I</t>
  </si>
  <si>
    <t>PINJO II</t>
  </si>
  <si>
    <t>Radabetsimivaky</t>
  </si>
  <si>
    <t>MG52516071028001</t>
  </si>
  <si>
    <t>Ranobe</t>
  </si>
  <si>
    <t>MG51520170012001</t>
  </si>
  <si>
    <t>MG53519292001</t>
  </si>
  <si>
    <t>RANOFOTY</t>
  </si>
  <si>
    <t>RANOMAINTY</t>
  </si>
  <si>
    <t>Ranomay</t>
  </si>
  <si>
    <t>Ranomena</t>
  </si>
  <si>
    <t>MG25214190001001</t>
  </si>
  <si>
    <t>Ranonda</t>
  </si>
  <si>
    <t>MG51506011003001</t>
  </si>
  <si>
    <t>Ranondahatse Be</t>
  </si>
  <si>
    <t>MG51507310079001</t>
  </si>
  <si>
    <t>RANOPISO</t>
  </si>
  <si>
    <t>Ranotsara</t>
  </si>
  <si>
    <t>MG51512130009001</t>
  </si>
  <si>
    <t>Ranotsara Sud</t>
  </si>
  <si>
    <t>MG25222051001001</t>
  </si>
  <si>
    <t>Ratsimanahy (Vohimary)</t>
  </si>
  <si>
    <t>MG25217071001001</t>
  </si>
  <si>
    <t>Reakaly</t>
  </si>
  <si>
    <t>MG51507070081001</t>
  </si>
  <si>
    <t>Reambohitse</t>
  </si>
  <si>
    <t>MG52516013070001</t>
  </si>
  <si>
    <t>Reambondro</t>
  </si>
  <si>
    <t>MG51507070082001</t>
  </si>
  <si>
    <t>Reampototse</t>
  </si>
  <si>
    <t>MG51507010002001</t>
  </si>
  <si>
    <t>REKOSO</t>
  </si>
  <si>
    <t>Remengoky</t>
  </si>
  <si>
    <t>MG52516013071001</t>
  </si>
  <si>
    <t>Rerango</t>
  </si>
  <si>
    <t>MG52513091010001</t>
  </si>
  <si>
    <t>RETOKA</t>
  </si>
  <si>
    <t>MG52516031002001</t>
  </si>
  <si>
    <t>RIANDAMPY</t>
  </si>
  <si>
    <t>MG53517170011001</t>
  </si>
  <si>
    <t>ROMBAZY</t>
  </si>
  <si>
    <t>Saboko</t>
  </si>
  <si>
    <t>MG52513030077001</t>
  </si>
  <si>
    <t>Sagnirantante</t>
  </si>
  <si>
    <t>MG51507150097001</t>
  </si>
  <si>
    <t>Sagory</t>
  </si>
  <si>
    <t>MG53519250069001</t>
  </si>
  <si>
    <t>Sahafero</t>
  </si>
  <si>
    <t>MG25214010003001</t>
  </si>
  <si>
    <t>Sahafoza</t>
  </si>
  <si>
    <t>SAHAKONDRO</t>
  </si>
  <si>
    <t>MG25214171015001</t>
  </si>
  <si>
    <t>Sahamara</t>
  </si>
  <si>
    <t>SAHANIMANGA</t>
  </si>
  <si>
    <t>MG23211012003001</t>
  </si>
  <si>
    <t>SAHAVANDRA</t>
  </si>
  <si>
    <t>MG23211011029001</t>
  </si>
  <si>
    <t>Sahavoangy</t>
  </si>
  <si>
    <t>MG25214111010001</t>
  </si>
  <si>
    <t>SAHAVONDRONY</t>
  </si>
  <si>
    <t>MG23211011010001</t>
  </si>
  <si>
    <t>SAKABERA</t>
  </si>
  <si>
    <t>SAKAMAHILY OUEST</t>
  </si>
  <si>
    <t>MG53517332001001</t>
  </si>
  <si>
    <t>Sakamalio</t>
  </si>
  <si>
    <t>Sakamasay</t>
  </si>
  <si>
    <t>MG51507070008002</t>
  </si>
  <si>
    <t>Sakamasay Centre</t>
  </si>
  <si>
    <t>MG51506012001</t>
  </si>
  <si>
    <t>Sakamasay I</t>
  </si>
  <si>
    <t>MG54509030064001</t>
  </si>
  <si>
    <t>Sakamasay II</t>
  </si>
  <si>
    <t>MG54509030065001</t>
  </si>
  <si>
    <t>Sakamasay-Sakamasay</t>
  </si>
  <si>
    <t>MG51507070008001</t>
  </si>
  <si>
    <t>Sakamasy</t>
  </si>
  <si>
    <t>MG52514011025001</t>
  </si>
  <si>
    <t>Sakara Haut</t>
  </si>
  <si>
    <t>MG52518210002001</t>
  </si>
  <si>
    <t>Sakaraty</t>
  </si>
  <si>
    <t>MG52513092069001</t>
  </si>
  <si>
    <t>MG52518190014</t>
  </si>
  <si>
    <t>Sakariaka</t>
  </si>
  <si>
    <t>MG51507310083001</t>
  </si>
  <si>
    <t>SAKEVO</t>
  </si>
  <si>
    <t>MG23211033009001</t>
  </si>
  <si>
    <t>Sakoamaro</t>
  </si>
  <si>
    <t>MG51506210008001</t>
  </si>
  <si>
    <t>SAKOANABO BAS</t>
  </si>
  <si>
    <t>Sakoandroa</t>
  </si>
  <si>
    <t>MG52518152056001</t>
  </si>
  <si>
    <t>Saloambany</t>
  </si>
  <si>
    <t>MG51506270006001</t>
  </si>
  <si>
    <t>Salobe</t>
  </si>
  <si>
    <t>MG51506270001</t>
  </si>
  <si>
    <t>MG51506270001001</t>
  </si>
  <si>
    <t>SAMBAINA GARA</t>
  </si>
  <si>
    <t>SAMBALAHY</t>
  </si>
  <si>
    <t>MG53517150002001</t>
  </si>
  <si>
    <t>SAMBALAHY-ANALAMARY</t>
  </si>
  <si>
    <t>MG53517110045001</t>
  </si>
  <si>
    <t>Sampeza</t>
  </si>
  <si>
    <t>MG52513010078001</t>
  </si>
  <si>
    <t>Sampona Centre</t>
  </si>
  <si>
    <t>MG53519070010001</t>
  </si>
  <si>
    <t>SANDRANGELY</t>
  </si>
  <si>
    <t>Sandravinany</t>
  </si>
  <si>
    <t>MG25214332007001</t>
  </si>
  <si>
    <t>Saodona</t>
  </si>
  <si>
    <t>MG51507230065001</t>
  </si>
  <si>
    <t>SARERIAKE</t>
  </si>
  <si>
    <t>Sarilasy</t>
  </si>
  <si>
    <t>MG25214312004001</t>
  </si>
  <si>
    <t>Sarilasy(Com Ambodirano)</t>
  </si>
  <si>
    <t>MG25217030036001</t>
  </si>
  <si>
    <t>SARINOSY</t>
  </si>
  <si>
    <t>Sarisambo</t>
  </si>
  <si>
    <t>MG52518210001001</t>
  </si>
  <si>
    <t>Sarodrano</t>
  </si>
  <si>
    <t>MG53519230003001</t>
  </si>
  <si>
    <t>SARODRANO-ISOANALA</t>
  </si>
  <si>
    <t>MG53517291067001</t>
  </si>
  <si>
    <t>Sarotsahatay</t>
  </si>
  <si>
    <t>MG51507070059001</t>
  </si>
  <si>
    <t>SATRAGNARIVO</t>
  </si>
  <si>
    <t>Satranarivo</t>
  </si>
  <si>
    <t>MG51507290037001</t>
  </si>
  <si>
    <t>SATRAPOTSY HAUT</t>
  </si>
  <si>
    <t>SATRAPOTSY MILANJA</t>
  </si>
  <si>
    <t>SATRIE</t>
  </si>
  <si>
    <t>Savara centre</t>
  </si>
  <si>
    <t>MG52516072084001</t>
  </si>
  <si>
    <t>Savilava</t>
  </si>
  <si>
    <t>MG52516111055001</t>
  </si>
  <si>
    <t>Savilava-Androy</t>
  </si>
  <si>
    <t>MG52516033059001</t>
  </si>
  <si>
    <t>Savilintotse</t>
  </si>
  <si>
    <t>MG52513030019001</t>
  </si>
  <si>
    <t>SENORO</t>
  </si>
  <si>
    <t>Seta</t>
  </si>
  <si>
    <t>MG51507290032</t>
  </si>
  <si>
    <t>Seta I</t>
  </si>
  <si>
    <t>MG51507290032001</t>
  </si>
  <si>
    <t>Seta II</t>
  </si>
  <si>
    <t>MG51507290091001</t>
  </si>
  <si>
    <t>SETA-II</t>
  </si>
  <si>
    <t>Sevaseva Befoe</t>
  </si>
  <si>
    <t>MG51507150098001</t>
  </si>
  <si>
    <t>SEVOHIPOTY</t>
  </si>
  <si>
    <t>MG52516011054001</t>
  </si>
  <si>
    <t>Sifiry Tanantsoa</t>
  </si>
  <si>
    <t>MG52516031006</t>
  </si>
  <si>
    <t>Sihanaboay</t>
  </si>
  <si>
    <t>MG52513010079001</t>
  </si>
  <si>
    <t>Sihanadaly</t>
  </si>
  <si>
    <t>MG52513010027001</t>
  </si>
  <si>
    <t>SIHANADAVA</t>
  </si>
  <si>
    <t>SIHANADROTSY</t>
  </si>
  <si>
    <t>SIHANAKA</t>
  </si>
  <si>
    <t>SIHANAKAMPAHA</t>
  </si>
  <si>
    <t>Sihanamitohy</t>
  </si>
  <si>
    <t>MG51507010017</t>
  </si>
  <si>
    <t>MG51507010017001</t>
  </si>
  <si>
    <t>SIHANAMITOHY CENTRE</t>
  </si>
  <si>
    <t>Sihanamitohy I</t>
  </si>
  <si>
    <t>MG52516111078001</t>
  </si>
  <si>
    <t>Sihananilambo</t>
  </si>
  <si>
    <t>MG51507010019</t>
  </si>
  <si>
    <t>MG51507010019001</t>
  </si>
  <si>
    <t>Silimosa</t>
  </si>
  <si>
    <t>MG52516111023</t>
  </si>
  <si>
    <t>MG52516111023001</t>
  </si>
  <si>
    <t>Sindrikatsy</t>
  </si>
  <si>
    <t>MG25213552019001</t>
  </si>
  <si>
    <t>Soakibany</t>
  </si>
  <si>
    <t>MG25215052001001</t>
  </si>
  <si>
    <t>Soakijaha</t>
  </si>
  <si>
    <t>MG52518252057001</t>
  </si>
  <si>
    <t>SOALARA SUD</t>
  </si>
  <si>
    <t>Soalazaina</t>
  </si>
  <si>
    <t>SOALIOKE</t>
  </si>
  <si>
    <t>SOAMAHATAZANA</t>
  </si>
  <si>
    <t>Soamandroso</t>
  </si>
  <si>
    <t>Soamanitra</t>
  </si>
  <si>
    <t>MG52513030023001</t>
  </si>
  <si>
    <t>SOAMANONGA</t>
  </si>
  <si>
    <t>Soamanonga I</t>
  </si>
  <si>
    <t>MG51506210011</t>
  </si>
  <si>
    <t>Soamanonga II</t>
  </si>
  <si>
    <t>MG51506210001001</t>
  </si>
  <si>
    <t>Soamanonga Ouest</t>
  </si>
  <si>
    <t>MG51507250063001</t>
  </si>
  <si>
    <t>SOAMANONGA/BEVAHO</t>
  </si>
  <si>
    <t>Soamanova</t>
  </si>
  <si>
    <t>MG25214070001001</t>
  </si>
  <si>
    <t>SOAMBOTRY</t>
  </si>
  <si>
    <t>SOAMIAMPITA</t>
  </si>
  <si>
    <t>SOANIERANA</t>
  </si>
  <si>
    <t>Soanierana Volazato</t>
  </si>
  <si>
    <t>Soarano Sud</t>
  </si>
  <si>
    <t>MG51507270017</t>
  </si>
  <si>
    <t>SOARAVINA LIMBY</t>
  </si>
  <si>
    <t>SOARAVY</t>
  </si>
  <si>
    <t>SOASERANA</t>
  </si>
  <si>
    <t>Soatamea centre</t>
  </si>
  <si>
    <t>MG52516072085001</t>
  </si>
  <si>
    <t>SOATAMEA MORAFENO</t>
  </si>
  <si>
    <t>SOATSIFA</t>
  </si>
  <si>
    <t>Soatsifa Agnivorano</t>
  </si>
  <si>
    <t>MG52516072086001</t>
  </si>
  <si>
    <t>Soatsifa Haut</t>
  </si>
  <si>
    <t>MG52516072087001</t>
  </si>
  <si>
    <t>Soatsifa I</t>
  </si>
  <si>
    <t>MG52516072088001</t>
  </si>
  <si>
    <t>SOATSIRANA</t>
  </si>
  <si>
    <t>SOAVARY</t>
  </si>
  <si>
    <t>SOAVINARIVO</t>
  </si>
  <si>
    <t>Somisiky</t>
  </si>
  <si>
    <t>MG25214290006001</t>
  </si>
  <si>
    <t>Sonjo Ii</t>
  </si>
  <si>
    <t>MG51507290092001</t>
  </si>
  <si>
    <t>Soramena</t>
  </si>
  <si>
    <t>MG52514050008001</t>
  </si>
  <si>
    <t>Sosobahy</t>
  </si>
  <si>
    <t>MG25217111006001</t>
  </si>
  <si>
    <t>SPSM</t>
  </si>
  <si>
    <t>SSM</t>
  </si>
  <si>
    <t>MG53519010008001</t>
  </si>
  <si>
    <t>TAFIANAMPELA</t>
  </si>
  <si>
    <t>Tahiembanga</t>
  </si>
  <si>
    <t>MG52518010008</t>
  </si>
  <si>
    <t>Takoandra</t>
  </si>
  <si>
    <t>MG25213350003001</t>
  </si>
  <si>
    <t>Talakifeno</t>
  </si>
  <si>
    <t>MG53515112004001</t>
  </si>
  <si>
    <t>TALAKY</t>
  </si>
  <si>
    <t>Talaky bas</t>
  </si>
  <si>
    <t>MG52514071025001</t>
  </si>
  <si>
    <t>TALAKY Centre</t>
  </si>
  <si>
    <t>MG53515090091001</t>
  </si>
  <si>
    <t>TALATA TSIMADILO</t>
  </si>
  <si>
    <t>TALIMBOLA</t>
  </si>
  <si>
    <t>TAMBAHY</t>
  </si>
  <si>
    <t>TAMBOHOBE</t>
  </si>
  <si>
    <t>Tameantsoa</t>
  </si>
  <si>
    <t>MG51506090001</t>
  </si>
  <si>
    <t>MG51506090001001</t>
  </si>
  <si>
    <t>TAMONTO OUEST</t>
  </si>
  <si>
    <t>Tampototse Maromainte</t>
  </si>
  <si>
    <t>MG52514012079001</t>
  </si>
  <si>
    <t>Tampototse Nord</t>
  </si>
  <si>
    <t>MG52514012023001</t>
  </si>
  <si>
    <t>TANAMANJARY</t>
  </si>
  <si>
    <t>Tanambao</t>
  </si>
  <si>
    <t>MG51507130011001</t>
  </si>
  <si>
    <t>Tanambao Ambony</t>
  </si>
  <si>
    <t>MG51506290004</t>
  </si>
  <si>
    <t>TANAMBAO ANKILIFALY</t>
  </si>
  <si>
    <t>Tanambao Bemoky</t>
  </si>
  <si>
    <t>MG51506090004</t>
  </si>
  <si>
    <t>Tanambao Efaly</t>
  </si>
  <si>
    <t>MG52516072089001</t>
  </si>
  <si>
    <t>Tanambao II</t>
  </si>
  <si>
    <t>MG51506191013001</t>
  </si>
  <si>
    <t>Tanambao Ii-Ampataka</t>
  </si>
  <si>
    <t>MG25214132013001</t>
  </si>
  <si>
    <t>TANAMBAO MAROFODY</t>
  </si>
  <si>
    <t>Tanambao Matirano</t>
  </si>
  <si>
    <t>MG25214190005001</t>
  </si>
  <si>
    <t>Tanambao Sud</t>
  </si>
  <si>
    <t>MG52516071089001</t>
  </si>
  <si>
    <t>TANAMBAO TSIRANDRANY</t>
  </si>
  <si>
    <t>TANAMBAO TSIRANDRANY CENTRE</t>
  </si>
  <si>
    <t>MG52518092057001</t>
  </si>
  <si>
    <t>Tanambao Tsivory</t>
  </si>
  <si>
    <t>MG53519030002001</t>
  </si>
  <si>
    <t>TANAMBAO-ISOANALA</t>
  </si>
  <si>
    <t>MG53517291035001</t>
  </si>
  <si>
    <t>Tanambe</t>
  </si>
  <si>
    <t>MG25213430008001</t>
  </si>
  <si>
    <t>Tanamiary</t>
  </si>
  <si>
    <t>MG52514012080001</t>
  </si>
  <si>
    <t>Tanandava</t>
  </si>
  <si>
    <t>MG52516111058001</t>
  </si>
  <si>
    <t>MG52516111070</t>
  </si>
  <si>
    <t>Tanandava Ambovombe</t>
  </si>
  <si>
    <t>MG52516111056001</t>
  </si>
  <si>
    <t>Tanandava Centre</t>
  </si>
  <si>
    <t>MG51507290018</t>
  </si>
  <si>
    <t>Tanandava I</t>
  </si>
  <si>
    <t>MG31306010017001</t>
  </si>
  <si>
    <t>Tanandava I - Anavoha</t>
  </si>
  <si>
    <t>MG31306010017002</t>
  </si>
  <si>
    <t>TANANDAVA MAHABO</t>
  </si>
  <si>
    <t>TANANDAVA MATOMBOLY</t>
  </si>
  <si>
    <t>TANANDAVA MIKAMBANA</t>
  </si>
  <si>
    <t>Tanandava Nord</t>
  </si>
  <si>
    <t>MG53517293005001</t>
  </si>
  <si>
    <t>TANANDAVA OUEST</t>
  </si>
  <si>
    <t>MG53517310008001</t>
  </si>
  <si>
    <t>TANANDAVA SUD</t>
  </si>
  <si>
    <t>TANANDAVA TOBY</t>
  </si>
  <si>
    <t>Tanandava Village</t>
  </si>
  <si>
    <t>Tanandava-Ejeda</t>
  </si>
  <si>
    <t>MG51507150099001</t>
  </si>
  <si>
    <t>Tanandava-Marolinta</t>
  </si>
  <si>
    <t>MG52513070079001</t>
  </si>
  <si>
    <t>TANANDAVA-NANARENA BESAKOA</t>
  </si>
  <si>
    <t>MG53517293025001</t>
  </si>
  <si>
    <t>TANANOLO</t>
  </si>
  <si>
    <t>Tananomby</t>
  </si>
  <si>
    <t>Tananondate</t>
  </si>
  <si>
    <t>MG51507150069001</t>
  </si>
  <si>
    <t>Tanantsoa</t>
  </si>
  <si>
    <t>MG51507290068001</t>
  </si>
  <si>
    <t>MG52518170019</t>
  </si>
  <si>
    <t>Tanantsoa Vohimaro</t>
  </si>
  <si>
    <t>MG51507050028001</t>
  </si>
  <si>
    <t>Tanantsoa-BELINDO MAHASOA</t>
  </si>
  <si>
    <t>MG52518170010001</t>
  </si>
  <si>
    <t>Tanantsoa-Masiaboay</t>
  </si>
  <si>
    <t>MG51506050010001</t>
  </si>
  <si>
    <t>Tanapiso</t>
  </si>
  <si>
    <t>MG51521010009001</t>
  </si>
  <si>
    <t>Tanataloha</t>
  </si>
  <si>
    <t>MG53519030089001</t>
  </si>
  <si>
    <t>Tanetibe</t>
  </si>
  <si>
    <t>Tangainony</t>
  </si>
  <si>
    <t>MG43408150044001</t>
  </si>
  <si>
    <t>Tanimena</t>
  </si>
  <si>
    <t>MG25214010012001</t>
  </si>
  <si>
    <t>Tanindranto</t>
  </si>
  <si>
    <t>MG51507310004001</t>
  </si>
  <si>
    <t>Taolambositse</t>
  </si>
  <si>
    <t>MG51507310080001</t>
  </si>
  <si>
    <t>Taolambositse Ankininy</t>
  </si>
  <si>
    <t>MG51507210086001</t>
  </si>
  <si>
    <t>Taranaka Ankilimena</t>
  </si>
  <si>
    <t>MG52516111025001</t>
  </si>
  <si>
    <t>Taranake</t>
  </si>
  <si>
    <t>MG52516111025</t>
  </si>
  <si>
    <t>MG52516111089001</t>
  </si>
  <si>
    <t>TARANTSOA ANKITRY</t>
  </si>
  <si>
    <t>TARANTY BAS</t>
  </si>
  <si>
    <t>Taranty Haut</t>
  </si>
  <si>
    <t>MG53519030013001</t>
  </si>
  <si>
    <t>TARANTY-AMBENDRA</t>
  </si>
  <si>
    <t>TATY</t>
  </si>
  <si>
    <t>TAVIALA</t>
  </si>
  <si>
    <t>Telorano</t>
  </si>
  <si>
    <t>MG25215012006001</t>
  </si>
  <si>
    <t>Terabovo</t>
  </si>
  <si>
    <t>MG52516111001</t>
  </si>
  <si>
    <t>MG52516111001001</t>
  </si>
  <si>
    <t>Terabovo Ambovombe</t>
  </si>
  <si>
    <t>MG52516111001002</t>
  </si>
  <si>
    <t>Terahanaombitelo</t>
  </si>
  <si>
    <t>MG51507010018001</t>
  </si>
  <si>
    <t>Terahanombitelo</t>
  </si>
  <si>
    <t>MG51507010018</t>
  </si>
  <si>
    <t>Tirimby</t>
  </si>
  <si>
    <t>MG52513010021001</t>
  </si>
  <si>
    <t>Tobodriha</t>
  </si>
  <si>
    <t>MG52516014003</t>
  </si>
  <si>
    <t>TOBY MAHAVELO</t>
  </si>
  <si>
    <t>Tohabato</t>
  </si>
  <si>
    <t>MG51507290093001</t>
  </si>
  <si>
    <t>Tokoendolo</t>
  </si>
  <si>
    <t>MG51506014006001</t>
  </si>
  <si>
    <t>Tokove</t>
  </si>
  <si>
    <t>MG51507010010001</t>
  </si>
  <si>
    <t>Toliara ville</t>
  </si>
  <si>
    <t>MG51501001003001</t>
  </si>
  <si>
    <t>Tomboarivo</t>
  </si>
  <si>
    <t>MG53519270001001</t>
  </si>
  <si>
    <t>Tomboarivo 1</t>
  </si>
  <si>
    <t>MG52518251020001</t>
  </si>
  <si>
    <t>Tombodriha</t>
  </si>
  <si>
    <t>MG52516014063001</t>
  </si>
  <si>
    <t>TOMILY</t>
  </si>
  <si>
    <t>TONDROKE</t>
  </si>
  <si>
    <t>Tongaenoro</t>
  </si>
  <si>
    <t>MG51507310025001</t>
  </si>
  <si>
    <t>Tongainoro</t>
  </si>
  <si>
    <t>MG51507310084001</t>
  </si>
  <si>
    <t>TONGAY</t>
  </si>
  <si>
    <t>Tongobory</t>
  </si>
  <si>
    <t>MG51506111001001</t>
  </si>
  <si>
    <t>TORONDREHY</t>
  </si>
  <si>
    <t>Tragnomaro</t>
  </si>
  <si>
    <t>MG53519110001001</t>
  </si>
  <si>
    <t>TRAMBA</t>
  </si>
  <si>
    <t>Tranobe Maromainty (EKONKA)</t>
  </si>
  <si>
    <t>MG53515090092001</t>
  </si>
  <si>
    <t>Tranomaro</t>
  </si>
  <si>
    <t>TRANOMBORO</t>
  </si>
  <si>
    <t>TRANOROA</t>
  </si>
  <si>
    <t>Tranovaho</t>
  </si>
  <si>
    <t>MG52513030013001</t>
  </si>
  <si>
    <t>TRATRAVAKY</t>
  </si>
  <si>
    <t>TRATRIOTSE-BAS</t>
  </si>
  <si>
    <t>TRATRIOTSE-KANDE</t>
  </si>
  <si>
    <t>TROKAGNOMBE</t>
  </si>
  <si>
    <t>Tsaingy</t>
  </si>
  <si>
    <t>TSAKABALALA</t>
  </si>
  <si>
    <t>Tsamoro</t>
  </si>
  <si>
    <t>MG25214111011001</t>
  </si>
  <si>
    <t>Tsaniria/Ampatiolobe</t>
  </si>
  <si>
    <t>MG52513010080001</t>
  </si>
  <si>
    <t>TSANORIHA</t>
  </si>
  <si>
    <t>Tsarahafatra</t>
  </si>
  <si>
    <t>TSARAMODY AMBALAFENO</t>
  </si>
  <si>
    <t>Tsarapioky</t>
  </si>
  <si>
    <t>MG53519090015001</t>
  </si>
  <si>
    <t>Tsararano</t>
  </si>
  <si>
    <t>MG25214050067</t>
  </si>
  <si>
    <t>Tsararano(Com Tsiately)</t>
  </si>
  <si>
    <t>MG23210271003001</t>
  </si>
  <si>
    <t>Tsararano(Com Vohimasy-Farafangana)</t>
  </si>
  <si>
    <t>MG25213030006001</t>
  </si>
  <si>
    <t>Tsaratanana</t>
  </si>
  <si>
    <t>MG25217090007001</t>
  </si>
  <si>
    <t>TSARATANTERAKA</t>
  </si>
  <si>
    <t>MG23211011030001</t>
  </si>
  <si>
    <t>Tsaravary</t>
  </si>
  <si>
    <t>MG23209031001001</t>
  </si>
  <si>
    <t>TSARIMPIOKY</t>
  </si>
  <si>
    <t>Tsatsiotse Kande</t>
  </si>
  <si>
    <t>MG51507170081001</t>
  </si>
  <si>
    <t>TSEREDREO</t>
  </si>
  <si>
    <t>Tsiabetrake</t>
  </si>
  <si>
    <t>MG52516170005</t>
  </si>
  <si>
    <t>TSIABETSAKA</t>
  </si>
  <si>
    <t>Tsiamaly Ankilemamy</t>
  </si>
  <si>
    <t>MG52516111057001</t>
  </si>
  <si>
    <t>Tsiandeo</t>
  </si>
  <si>
    <t>MG51507070051001</t>
  </si>
  <si>
    <t>Tsiandriona Sud</t>
  </si>
  <si>
    <t>MG51507310044</t>
  </si>
  <si>
    <t>MG51507310044001</t>
  </si>
  <si>
    <t>TSIANDRIONA-SUD</t>
  </si>
  <si>
    <t>TSIANDRORA</t>
  </si>
  <si>
    <t>Tsianofana</t>
  </si>
  <si>
    <t>MG25214032001001</t>
  </si>
  <si>
    <t>TSIANOHA</t>
  </si>
  <si>
    <t>Tsiasimo</t>
  </si>
  <si>
    <t>MG51507090009001</t>
  </si>
  <si>
    <t>Tsiately</t>
  </si>
  <si>
    <t>MG25214050001</t>
  </si>
  <si>
    <t>MG25214050001001</t>
  </si>
  <si>
    <t>Tsiatoro</t>
  </si>
  <si>
    <t>Tsiatosika</t>
  </si>
  <si>
    <t>MG23209070001</t>
  </si>
  <si>
    <t>MG23209070001001</t>
  </si>
  <si>
    <t>Tsiboraky</t>
  </si>
  <si>
    <t>MG51506011022001</t>
  </si>
  <si>
    <t>TSIFAHERA</t>
  </si>
  <si>
    <t>TSIFAHERA Ampaipaike</t>
  </si>
  <si>
    <t>MG52516092047001</t>
  </si>
  <si>
    <t>TSIHAROA</t>
  </si>
  <si>
    <t>TSIHOMBE CENTRE II</t>
  </si>
  <si>
    <t>TSIHOMBE CENTRE-I</t>
  </si>
  <si>
    <t>Tsihombe I</t>
  </si>
  <si>
    <t>MG52514011022001</t>
  </si>
  <si>
    <t>Tsihombe II</t>
  </si>
  <si>
    <t>MG52514011023001</t>
  </si>
  <si>
    <t>Tsijobogne</t>
  </si>
  <si>
    <t>MG51507030005001</t>
  </si>
  <si>
    <t>Tsikoakahitse</t>
  </si>
  <si>
    <t>MG51507150129001</t>
  </si>
  <si>
    <t>MG51507290034</t>
  </si>
  <si>
    <t>TSIKOLAKY</t>
  </si>
  <si>
    <t>MG52518110001001</t>
  </si>
  <si>
    <t>Tsikombo Ambany</t>
  </si>
  <si>
    <t>MG51507270014001</t>
  </si>
  <si>
    <t>Tsikombo Haut</t>
  </si>
  <si>
    <t>MG51507270016001</t>
  </si>
  <si>
    <t>Tsilamaha</t>
  </si>
  <si>
    <t>MG53519110013001</t>
  </si>
  <si>
    <t>Tsilavondrivotse</t>
  </si>
  <si>
    <t>MG51506013006001</t>
  </si>
  <si>
    <t>Tsilimbe Marofoty</t>
  </si>
  <si>
    <t>MG52516111134001</t>
  </si>
  <si>
    <t>Tsimafaitse</t>
  </si>
  <si>
    <t>MG51507230011001</t>
  </si>
  <si>
    <t>Tsimagnanto</t>
  </si>
  <si>
    <t>MG52516050060001</t>
  </si>
  <si>
    <t>Tsimagnarake centre</t>
  </si>
  <si>
    <t>MG52516170092001</t>
  </si>
  <si>
    <t>Tsimaimpaoso</t>
  </si>
  <si>
    <t>MG51507210087001</t>
  </si>
  <si>
    <t>TSIMAITO</t>
  </si>
  <si>
    <t>TSIMAITO-AMBANY</t>
  </si>
  <si>
    <t>TSIMANANKIARAKY</t>
  </si>
  <si>
    <t>TSIMANARAKE</t>
  </si>
  <si>
    <t>TSIMANATEBOLY</t>
  </si>
  <si>
    <t>Tsimarea Nord</t>
  </si>
  <si>
    <t>MG51507150112001</t>
  </si>
  <si>
    <t>TSIMATAHOMIKA</t>
  </si>
  <si>
    <t>TSIMELAHY</t>
  </si>
  <si>
    <t>Tsimidretsy</t>
  </si>
  <si>
    <t>MG52516013091001</t>
  </si>
  <si>
    <t>Tsimihevo</t>
  </si>
  <si>
    <t>MG52516014064001</t>
  </si>
  <si>
    <t>Tsimilafike</t>
  </si>
  <si>
    <t>MG52513030005001</t>
  </si>
  <si>
    <t>TSIMILOFO</t>
  </si>
  <si>
    <t>Tsindambo</t>
  </si>
  <si>
    <t>MG52514011088001</t>
  </si>
  <si>
    <t>TSINGIVILAHY</t>
  </si>
  <si>
    <t>TSINJORIAKE</t>
  </si>
  <si>
    <t>Tsioga Vohimary</t>
  </si>
  <si>
    <t>MG52518270005001</t>
  </si>
  <si>
    <t>Tsiondriana  Sud</t>
  </si>
  <si>
    <t>MG51507310044002</t>
  </si>
  <si>
    <t>Tsiondriana Nord</t>
  </si>
  <si>
    <t>MG51507310085001</t>
  </si>
  <si>
    <t>Tsipanga Ii</t>
  </si>
  <si>
    <t>MG25214010010001</t>
  </si>
  <si>
    <t>Tsirandrany</t>
  </si>
  <si>
    <t>MG52516072090001</t>
  </si>
  <si>
    <t>Tsirandrany I</t>
  </si>
  <si>
    <t>MG52518092001</t>
  </si>
  <si>
    <t>TSIRANGOTY</t>
  </si>
  <si>
    <t>MG52516011025001</t>
  </si>
  <si>
    <t>TSIROBOY</t>
  </si>
  <si>
    <t>TSITEKE HAZOLAVA</t>
  </si>
  <si>
    <t>TSITINDROKA</t>
  </si>
  <si>
    <t>Tsitove</t>
  </si>
  <si>
    <t>Tsivorikely</t>
  </si>
  <si>
    <t>MG52514011089001</t>
  </si>
  <si>
    <t>Tsivory</t>
  </si>
  <si>
    <t>MG53519230001002</t>
  </si>
  <si>
    <t>Tsivory Amboasary</t>
  </si>
  <si>
    <t>MG53519230001001</t>
  </si>
  <si>
    <t>Tsizarae</t>
  </si>
  <si>
    <t>MG51507150128001</t>
  </si>
  <si>
    <t>TSONGOBORY</t>
  </si>
  <si>
    <t>Tsotsama</t>
  </si>
  <si>
    <t>MG51507050017001</t>
  </si>
  <si>
    <t>TSOTSO</t>
  </si>
  <si>
    <t>VAHAVOLA</t>
  </si>
  <si>
    <t>VAHAVOLA ANKILESOA</t>
  </si>
  <si>
    <t>Vahavola centre</t>
  </si>
  <si>
    <t>MG52516071017001</t>
  </si>
  <si>
    <t>Vahavola Centre Amboasary</t>
  </si>
  <si>
    <t>MG52516070017001</t>
  </si>
  <si>
    <t>Vangaindranobe</t>
  </si>
  <si>
    <t>MG51506130032001</t>
  </si>
  <si>
    <t>VANGAY AMBANEAVOHA</t>
  </si>
  <si>
    <t>MG53515090093001</t>
  </si>
  <si>
    <t>VAPAKY</t>
  </si>
  <si>
    <t>VAREMARO</t>
  </si>
  <si>
    <t>Vatoarivo</t>
  </si>
  <si>
    <t>MG52518270009001</t>
  </si>
  <si>
    <t>VATOHANDRNA</t>
  </si>
  <si>
    <t>Vatolalake</t>
  </si>
  <si>
    <t>MG51520358004001</t>
  </si>
  <si>
    <t>Vatovory</t>
  </si>
  <si>
    <t>Vavaomby</t>
  </si>
  <si>
    <t>MG52513030074001</t>
  </si>
  <si>
    <t>Vazako</t>
  </si>
  <si>
    <t>MG25213070041001</t>
  </si>
  <si>
    <t>VAZOA</t>
  </si>
  <si>
    <t>VILIMENA</t>
  </si>
  <si>
    <t>VINANINTSAHA</t>
  </si>
  <si>
    <t>Vinanitelo</t>
  </si>
  <si>
    <t>MG51507170082001</t>
  </si>
  <si>
    <t>Vinanitelo Ankilimaro</t>
  </si>
  <si>
    <t>MG51507170083001</t>
  </si>
  <si>
    <t>VINETA MAHASOA</t>
  </si>
  <si>
    <t>Vohibary</t>
  </si>
  <si>
    <t>MG32315030006002</t>
  </si>
  <si>
    <t>Vohibary Amboasary</t>
  </si>
  <si>
    <t>MG32315030006001</t>
  </si>
  <si>
    <t>Vohibasie Anivorano</t>
  </si>
  <si>
    <t>MG53519030020001</t>
  </si>
  <si>
    <t>Vohibe</t>
  </si>
  <si>
    <t>MG51506111015001</t>
  </si>
  <si>
    <t>Vohibe II</t>
  </si>
  <si>
    <t>MG25217052003001</t>
  </si>
  <si>
    <t>VOHIBIAVY</t>
  </si>
  <si>
    <t>VOHIBOANJO</t>
  </si>
  <si>
    <t>MG23211072006001</t>
  </si>
  <si>
    <t>Vohibola</t>
  </si>
  <si>
    <t>MG52513091007001</t>
  </si>
  <si>
    <t>Vohibolo</t>
  </si>
  <si>
    <t>MG23212090004001</t>
  </si>
  <si>
    <t>Vohiboreka</t>
  </si>
  <si>
    <t>MG25217192001001</t>
  </si>
  <si>
    <t>Vohidrakitse</t>
  </si>
  <si>
    <t>MG51507090010001</t>
  </si>
  <si>
    <t>Vohilava</t>
  </si>
  <si>
    <t>MG71713170004001</t>
  </si>
  <si>
    <t>Vohilava(Com Vohilava manampatra)</t>
  </si>
  <si>
    <t>MG25213050045001</t>
  </si>
  <si>
    <t>Vohilengo</t>
  </si>
  <si>
    <t>MG32315010005001</t>
  </si>
  <si>
    <t>Vohimalaza</t>
  </si>
  <si>
    <t>MG25214112005001</t>
  </si>
  <si>
    <t>Vohimanga Centrale</t>
  </si>
  <si>
    <t>MG52518252058001</t>
  </si>
  <si>
    <t>Vohimanga I</t>
  </si>
  <si>
    <t>MG52518252005001</t>
  </si>
  <si>
    <t>Vohimanoro</t>
  </si>
  <si>
    <t>MG25215011010001</t>
  </si>
  <si>
    <t>Vohimary</t>
  </si>
  <si>
    <t>MG24216192003001</t>
  </si>
  <si>
    <t>Vohimary I</t>
  </si>
  <si>
    <t>MG52518031011001</t>
  </si>
  <si>
    <t>Vohimary II</t>
  </si>
  <si>
    <t>MG52518031013001</t>
  </si>
  <si>
    <t>Vohimasy</t>
  </si>
  <si>
    <t>Vohimiary</t>
  </si>
  <si>
    <t>MG52516072091001</t>
  </si>
  <si>
    <t>Vohimiroro I</t>
  </si>
  <si>
    <t>MG51507130006001</t>
  </si>
  <si>
    <t>Vohimiroro II</t>
  </si>
  <si>
    <t>MG51507130009002</t>
  </si>
  <si>
    <t>Vohipaho</t>
  </si>
  <si>
    <t>MG25214171001001</t>
  </si>
  <si>
    <t>VOHIPANDRANY</t>
  </si>
  <si>
    <t>MG52518251081001</t>
  </si>
  <si>
    <t>VOHIPENO</t>
  </si>
  <si>
    <t>Vohipetse Vohitsaragna</t>
  </si>
  <si>
    <t>MG53519250070001</t>
  </si>
  <si>
    <t>Vohipotsy I</t>
  </si>
  <si>
    <t>MG51506210023</t>
  </si>
  <si>
    <t>Vohipotsy II</t>
  </si>
  <si>
    <t>MG51506210026001</t>
  </si>
  <si>
    <t>Vohipotsy IV</t>
  </si>
  <si>
    <t>MG51506210030001</t>
  </si>
  <si>
    <t>VOHIPOTSY SUD</t>
  </si>
  <si>
    <t>Vohitany</t>
  </si>
  <si>
    <t>MG52518290007001</t>
  </si>
  <si>
    <t>VOHITELO</t>
  </si>
  <si>
    <t>MG53517310015001</t>
  </si>
  <si>
    <t>vohitolia</t>
  </si>
  <si>
    <t>MG51506012005001</t>
  </si>
  <si>
    <t>Vohitraivo</t>
  </si>
  <si>
    <t>Vohitrambo</t>
  </si>
  <si>
    <t>MG25214111001001</t>
  </si>
  <si>
    <t>MG25214111060</t>
  </si>
  <si>
    <t>VOHITRAMBOA</t>
  </si>
  <si>
    <t>MG53517350003001</t>
  </si>
  <si>
    <t>Vohitraomby</t>
  </si>
  <si>
    <t>MG52516151034</t>
  </si>
  <si>
    <t>Vohitrapanefy</t>
  </si>
  <si>
    <t>MG25214190008001</t>
  </si>
  <si>
    <t>Vohitrarivo</t>
  </si>
  <si>
    <t>MG25213471028001</t>
  </si>
  <si>
    <t>Vohitrarivo Centre</t>
  </si>
  <si>
    <t>MG52516151021</t>
  </si>
  <si>
    <t>Vohitromby</t>
  </si>
  <si>
    <t>MG23210330004001</t>
  </si>
  <si>
    <t>Vohitromby Centre</t>
  </si>
  <si>
    <t>MG25213090001001</t>
  </si>
  <si>
    <t>Vohitromby Mahafasa</t>
  </si>
  <si>
    <t>MG25213170004001</t>
  </si>
  <si>
    <t>VOHITSANOMBE</t>
  </si>
  <si>
    <t>MG52518251082001</t>
  </si>
  <si>
    <t>Vohitsarivo</t>
  </si>
  <si>
    <t>MG52516151021004</t>
  </si>
  <si>
    <t>VOHITSEVO</t>
  </si>
  <si>
    <t>MG53517291009001</t>
  </si>
  <si>
    <t>Vohitsidy</t>
  </si>
  <si>
    <t>MG25217071005001</t>
  </si>
  <si>
    <t>Vohitsova</t>
  </si>
  <si>
    <t>MG52516130017</t>
  </si>
  <si>
    <t>MG52516130017012</t>
  </si>
  <si>
    <t>VOLARIVO</t>
  </si>
  <si>
    <t>MG23211011031001</t>
  </si>
  <si>
    <t>Volojatsy</t>
  </si>
  <si>
    <t>MG25217030013001</t>
  </si>
  <si>
    <t>Volotara</t>
  </si>
  <si>
    <t>MG25213050003001</t>
  </si>
  <si>
    <t>Vombao</t>
  </si>
  <si>
    <t>MG51506014009001</t>
  </si>
  <si>
    <t>Vombe</t>
  </si>
  <si>
    <t>MG51507310014001</t>
  </si>
  <si>
    <t>VONDROTE</t>
  </si>
  <si>
    <t>Vonje</t>
  </si>
  <si>
    <t>MG51506014007001</t>
  </si>
  <si>
    <t>Vontovoatavo</t>
  </si>
  <si>
    <t>MG52516013072001</t>
  </si>
  <si>
    <t>Voroja</t>
  </si>
  <si>
    <t>MG51507310021001</t>
  </si>
  <si>
    <t>VORONKAFOTRA</t>
  </si>
  <si>
    <t>MG53517130008001</t>
  </si>
  <si>
    <t>Vovomena</t>
  </si>
  <si>
    <t>MG51506014002001</t>
  </si>
  <si>
    <t>Zafindravala</t>
  </si>
  <si>
    <t>MG52514011037001</t>
  </si>
  <si>
    <t>Zamasy</t>
  </si>
  <si>
    <t>MG51507230050</t>
  </si>
  <si>
    <t>MG51507230067001</t>
  </si>
  <si>
    <t>ZAMBE</t>
  </si>
  <si>
    <t>Zandroe</t>
  </si>
  <si>
    <t>MG52513070066001</t>
  </si>
  <si>
    <t>Zantelo</t>
  </si>
  <si>
    <t>MG52516111059001</t>
  </si>
  <si>
    <t>Zara</t>
  </si>
  <si>
    <t>MG25215032078001</t>
  </si>
  <si>
    <t>Zazafotsy</t>
  </si>
  <si>
    <t>MG52516170060</t>
  </si>
  <si>
    <t>ZOENARIVO BEVALA</t>
  </si>
  <si>
    <t>Adm4Code</t>
  </si>
  <si>
    <t>Adm4Name</t>
  </si>
  <si>
    <t>MG23209031001</t>
  </si>
  <si>
    <t>MG23209110001</t>
  </si>
  <si>
    <t>MG23209110002</t>
  </si>
  <si>
    <t>MG23209110056</t>
  </si>
  <si>
    <t>MG23210070001</t>
  </si>
  <si>
    <t>MG23210070003</t>
  </si>
  <si>
    <t>MG23210070004</t>
  </si>
  <si>
    <t>MG23210070005</t>
  </si>
  <si>
    <t>MG23210070009</t>
  </si>
  <si>
    <t>MG23210070055</t>
  </si>
  <si>
    <t>MG23210510024</t>
  </si>
  <si>
    <t>MG24216192004</t>
  </si>
  <si>
    <t>Ambatofotsy</t>
  </si>
  <si>
    <t>MG31306010017</t>
  </si>
  <si>
    <t>MG31309050006</t>
  </si>
  <si>
    <t>MG31309050023</t>
  </si>
  <si>
    <t>MG32315030006</t>
  </si>
  <si>
    <t>MG33312152011</t>
  </si>
  <si>
    <t>MG33313151006</t>
  </si>
  <si>
    <t>MG41406010003</t>
  </si>
  <si>
    <t>MG42413110014</t>
  </si>
  <si>
    <t>MG44421194001</t>
  </si>
  <si>
    <t>MG51505050005</t>
  </si>
  <si>
    <t>MG51506012004</t>
  </si>
  <si>
    <t>MG51506050001</t>
  </si>
  <si>
    <t>MG51506050011</t>
  </si>
  <si>
    <t>MG51506050022</t>
  </si>
  <si>
    <t>MG51506130005</t>
  </si>
  <si>
    <t>MG51506130045</t>
  </si>
  <si>
    <t>MG51506290009</t>
  </si>
  <si>
    <t>MG51507070008</t>
  </si>
  <si>
    <t>MG51507290010</t>
  </si>
  <si>
    <t>MG51507290015</t>
  </si>
  <si>
    <t>MG51507290021</t>
  </si>
  <si>
    <t>MG51507290046</t>
  </si>
  <si>
    <t>MG51507290047</t>
  </si>
  <si>
    <t>MG51507290058</t>
  </si>
  <si>
    <t>MG51507290068</t>
  </si>
  <si>
    <t>MG51507290070</t>
  </si>
  <si>
    <t>MG51507290081</t>
  </si>
  <si>
    <t>MG51507290083</t>
  </si>
  <si>
    <t>MG51507290084</t>
  </si>
  <si>
    <t>MG51507290085</t>
  </si>
  <si>
    <t>MG51507290086</t>
  </si>
  <si>
    <t>MG51507290088</t>
  </si>
  <si>
    <t>MG51507290092</t>
  </si>
  <si>
    <t>MG51507290093</t>
  </si>
  <si>
    <t>MG51507310004</t>
  </si>
  <si>
    <t>MG51507310014</t>
  </si>
  <si>
    <t>MG51507310017</t>
  </si>
  <si>
    <t>MG51507310020</t>
  </si>
  <si>
    <t>Malangeriake</t>
  </si>
  <si>
    <t>MG51507310021</t>
  </si>
  <si>
    <t>MG51507310023</t>
  </si>
  <si>
    <t>MG51507310025</t>
  </si>
  <si>
    <t>MG51507310027</t>
  </si>
  <si>
    <t>MG51507310034</t>
  </si>
  <si>
    <t>MG51507310058</t>
  </si>
  <si>
    <t>MG51507310071</t>
  </si>
  <si>
    <t>MG51507310082</t>
  </si>
  <si>
    <t>MG51507310089</t>
  </si>
  <si>
    <t>MG51507310092</t>
  </si>
  <si>
    <t>MG51507310093</t>
  </si>
  <si>
    <t>Ankilitelo Ii</t>
  </si>
  <si>
    <t>MG51507310094</t>
  </si>
  <si>
    <t>MG51507310097</t>
  </si>
  <si>
    <t>MG52516070017</t>
  </si>
  <si>
    <t>Vahavola Centre</t>
  </si>
  <si>
    <t>MG52516111010</t>
  </si>
  <si>
    <t>MG52516111056</t>
  </si>
  <si>
    <t>MG52516130020</t>
  </si>
  <si>
    <t>MG52516130067</t>
  </si>
  <si>
    <t>MG52516130068</t>
  </si>
  <si>
    <t>MG52516151080</t>
  </si>
  <si>
    <t>MG52518032005</t>
  </si>
  <si>
    <t>MG52518032008</t>
  </si>
  <si>
    <t>MG52518032009</t>
  </si>
  <si>
    <t>MG52518032010</t>
  </si>
  <si>
    <t>MG52518251001</t>
  </si>
  <si>
    <t>MG52518251003</t>
  </si>
  <si>
    <t>MG52518251009</t>
  </si>
  <si>
    <t>Antsely Be</t>
  </si>
  <si>
    <t>MG52518251010</t>
  </si>
  <si>
    <t>Beadabo</t>
  </si>
  <si>
    <t>MG52518251014</t>
  </si>
  <si>
    <t>MG52518251020</t>
  </si>
  <si>
    <t>MG52518251088</t>
  </si>
  <si>
    <t>MG52518251090</t>
  </si>
  <si>
    <t>MG52518290001</t>
  </si>
  <si>
    <t>MG52518290006</t>
  </si>
  <si>
    <t>Antondritsy</t>
  </si>
  <si>
    <t>MG52518290007</t>
  </si>
  <si>
    <t>MG52518290009</t>
  </si>
  <si>
    <t>MG53519030002</t>
  </si>
  <si>
    <t>MG53519030003</t>
  </si>
  <si>
    <t>Andregnara</t>
  </si>
  <si>
    <t>MG53519030013</t>
  </si>
  <si>
    <t>MG53519030015</t>
  </si>
  <si>
    <t>MG53519030016</t>
  </si>
  <si>
    <t>MG53519030017</t>
  </si>
  <si>
    <t>Maromena</t>
  </si>
  <si>
    <t>MG53519030018</t>
  </si>
  <si>
    <t>MG53519030019</t>
  </si>
  <si>
    <t>Andavabazaha Haut</t>
  </si>
  <si>
    <t>MG53519030020</t>
  </si>
  <si>
    <t>MG53519030022</t>
  </si>
  <si>
    <t>MG53519030024</t>
  </si>
  <si>
    <t>MG53519030067</t>
  </si>
  <si>
    <t>MG53519030068</t>
  </si>
  <si>
    <t>MG53519030078</t>
  </si>
  <si>
    <t>MG53519030089</t>
  </si>
  <si>
    <t>MG53519030111</t>
  </si>
  <si>
    <t>MG53519050002</t>
  </si>
  <si>
    <t>MG53519050007</t>
  </si>
  <si>
    <t>MG53519050010</t>
  </si>
  <si>
    <t>MG53519050017</t>
  </si>
  <si>
    <t>MG53519050023</t>
  </si>
  <si>
    <t>MG53519050024</t>
  </si>
  <si>
    <t>MG53519070010</t>
  </si>
  <si>
    <t>MG53519070015</t>
  </si>
  <si>
    <t>MG53519070016</t>
  </si>
  <si>
    <t>Mandrapasy Centre</t>
  </si>
  <si>
    <t>MG53519070017</t>
  </si>
  <si>
    <t>Mandrapasy Amborignabo</t>
  </si>
  <si>
    <t>MG53519090008</t>
  </si>
  <si>
    <t>MG53519090009</t>
  </si>
  <si>
    <t>MG53519090013</t>
  </si>
  <si>
    <t>MG53519090019</t>
  </si>
  <si>
    <t>MG53519090056</t>
  </si>
  <si>
    <t>Bekiria I</t>
  </si>
  <si>
    <t>MG53519150002</t>
  </si>
  <si>
    <t>MG53519230001</t>
  </si>
  <si>
    <t>MG53519230003</t>
  </si>
  <si>
    <t>MG53519230005</t>
  </si>
  <si>
    <t>Ampiha</t>
  </si>
  <si>
    <t>MG53519230007</t>
  </si>
  <si>
    <t>MG53519230008</t>
  </si>
  <si>
    <t>MG53519230013</t>
  </si>
  <si>
    <t>MG53519230014</t>
  </si>
  <si>
    <t>MG53519230015</t>
  </si>
  <si>
    <t>MG53519230016</t>
  </si>
  <si>
    <t>MG53519230045</t>
  </si>
  <si>
    <t>MG53519230088</t>
  </si>
  <si>
    <t>MG54510011005</t>
  </si>
  <si>
    <t>(blank)</t>
  </si>
  <si>
    <t>Ifotaka centre</t>
  </si>
  <si>
    <t>Mahaly centre</t>
  </si>
  <si>
    <t>ETSOHA MAROFOTY</t>
  </si>
  <si>
    <t>AMBANISARIKA</t>
  </si>
  <si>
    <t>ANKAKO</t>
  </si>
  <si>
    <t>SIFIRY TANANTSOA</t>
  </si>
  <si>
    <t>TOBODRIHA</t>
  </si>
  <si>
    <t>AMBOROKE</t>
  </si>
  <si>
    <t>ANJEKY ERADA</t>
  </si>
  <si>
    <t>ENJOTY BEHABOBO</t>
  </si>
  <si>
    <t>BEAGNANTARA</t>
  </si>
  <si>
    <t>ANKILIKIRA</t>
  </si>
  <si>
    <t>BETSIMEDA</t>
  </si>
  <si>
    <t>ERAKOKE</t>
  </si>
  <si>
    <t>AKOROROKY MAHAZOSOA</t>
  </si>
  <si>
    <t>ERADABE TSIMIVAKY</t>
  </si>
  <si>
    <t>VOHITRARIVO CENTRE</t>
  </si>
  <si>
    <t>AMBONDROMBE SUD</t>
  </si>
  <si>
    <t>ANDALATANOSY</t>
  </si>
  <si>
    <t>ANDROVASOA CENTRE</t>
  </si>
  <si>
    <t>ANDRANOLALIKE</t>
  </si>
  <si>
    <t>AMBARO CENTE</t>
  </si>
  <si>
    <t>IKONDA TSIMIARIHANDRY</t>
  </si>
  <si>
    <t>BETOKO AMBATOSOAVOLO</t>
  </si>
  <si>
    <t>ANALAVE MAINTY II</t>
  </si>
  <si>
    <t>AMBANDITSE</t>
  </si>
  <si>
    <t>ANTSAKOAMBALO</t>
  </si>
  <si>
    <t>ANKOBO</t>
  </si>
  <si>
    <t>ANKOTROBE</t>
  </si>
  <si>
    <t>ANTAFIANAMPELA</t>
  </si>
  <si>
    <t>ANDAHIVOZAKE</t>
  </si>
  <si>
    <t>ANKARANANDINDO</t>
  </si>
  <si>
    <t>ANJAKAMBA BAS</t>
  </si>
  <si>
    <t>MANDILY</t>
  </si>
  <si>
    <t>TSIABETRAKE</t>
  </si>
  <si>
    <t>BETAPOAKY AMBATORATY</t>
  </si>
  <si>
    <t>AMBARY</t>
  </si>
  <si>
    <t>AGNANILAHY</t>
  </si>
  <si>
    <t>ZAZAFOTSY</t>
  </si>
  <si>
    <t>AMPANY</t>
  </si>
  <si>
    <t>ANDAKATO</t>
  </si>
  <si>
    <t>AMBATOMAINTY HAUT</t>
  </si>
  <si>
    <t>ANTALY</t>
  </si>
  <si>
    <t>AMBAHITA CENTRE</t>
  </si>
  <si>
    <t>BEMALO I</t>
  </si>
  <si>
    <t>AMPISOPISO</t>
  </si>
  <si>
    <t>BEVATO I</t>
  </si>
  <si>
    <t>ANDRIAMBOLA NORD</t>
  </si>
  <si>
    <t>ANDOHARANO</t>
  </si>
  <si>
    <t>BEPARO</t>
  </si>
  <si>
    <t>ANTANIMARY</t>
  </si>
  <si>
    <t>ANKAZOTA CENTRE</t>
  </si>
  <si>
    <t>ANTSAKOAMARO CENTRE</t>
  </si>
  <si>
    <t>SAKARATY</t>
  </si>
  <si>
    <t>ANKARENANTSOA</t>
  </si>
  <si>
    <t>BETEZA CENTRE</t>
  </si>
  <si>
    <t>ANTSOSA</t>
  </si>
  <si>
    <t>ANKILIMASY HAUT</t>
  </si>
  <si>
    <t>ANTSOHAMAMY</t>
  </si>
  <si>
    <t>MIKAIKARIVO CENTRE</t>
  </si>
  <si>
    <t>ANARABE-II</t>
  </si>
  <si>
    <t>TAHIEMBANGA</t>
  </si>
  <si>
    <t>BEKILY CENTRE</t>
  </si>
  <si>
    <t>MITSINJO</t>
  </si>
  <si>
    <t>AMBONDRO</t>
  </si>
  <si>
    <t>MAROFANY</t>
  </si>
  <si>
    <t>AKARANA</t>
  </si>
  <si>
    <t>TSIRANDRANY I</t>
  </si>
  <si>
    <t>MORAFENO TANANDAVA</t>
  </si>
  <si>
    <t>KORONGA</t>
  </si>
  <si>
    <t>AMBATOTSIVALA</t>
  </si>
  <si>
    <t>ANKILIVAHARE</t>
  </si>
  <si>
    <t>MAROBASIA NORD</t>
  </si>
  <si>
    <t>MAROHERE</t>
  </si>
  <si>
    <t>BEMENA</t>
  </si>
  <si>
    <t>ANDRAMBALE I</t>
  </si>
  <si>
    <t>ANALALAVA OUEST</t>
  </si>
  <si>
    <t>ANKILIBE NORD</t>
  </si>
  <si>
    <t>ANDRAMIRAVA CENTRE</t>
  </si>
  <si>
    <t>IMONGY</t>
  </si>
  <si>
    <t>AMBONAIVO ANKILIBE</t>
  </si>
  <si>
    <t>ANDAMONTY</t>
  </si>
  <si>
    <t>Ampanihy centre</t>
  </si>
  <si>
    <t>SOARANO SUD</t>
  </si>
  <si>
    <t>MANDABE KILIMARO</t>
  </si>
  <si>
    <t>TANANDAVA CENTRE</t>
  </si>
  <si>
    <t>ANKATRAFAY EST</t>
  </si>
  <si>
    <t>NISOA</t>
  </si>
  <si>
    <t>ANDROIPANO</t>
  </si>
  <si>
    <t>AMBALATSIMIVIKE</t>
  </si>
  <si>
    <t>BELESY NORD</t>
  </si>
  <si>
    <t>AMBOLOSOGNO</t>
  </si>
  <si>
    <t>ANDROKA VAO</t>
  </si>
  <si>
    <t>BEHARAHAKE</t>
  </si>
  <si>
    <t>BEAVOHA SUD</t>
  </si>
  <si>
    <t>MAHATSANDRY NORD</t>
  </si>
  <si>
    <t>ANKILIBORY I</t>
  </si>
  <si>
    <t>BEVOALAVO</t>
  </si>
  <si>
    <t>ZAMASY</t>
  </si>
  <si>
    <t>FARAFATSE</t>
  </si>
  <si>
    <t>ANKAZONTA</t>
  </si>
  <si>
    <t>MITSORIAKE</t>
  </si>
  <si>
    <t>MAROVAHATSE</t>
  </si>
  <si>
    <t>BEHATRAVY</t>
  </si>
  <si>
    <t>EJEDA CENTRE</t>
  </si>
  <si>
    <t>BEARA AMBOLAMENA</t>
  </si>
  <si>
    <t>MANAKARALAHY</t>
  </si>
  <si>
    <t>ANKOZOHOZO</t>
  </si>
  <si>
    <t>AMBATOKAPIKE CENTRE</t>
  </si>
  <si>
    <t>MANAKARAVAVY</t>
  </si>
  <si>
    <t>TSIKOAKAHITSE</t>
  </si>
  <si>
    <t>AMBATOVAKY</t>
  </si>
  <si>
    <t>BEAMALO</t>
  </si>
  <si>
    <t>ANDRANOMILITRY</t>
  </si>
  <si>
    <t>SETA</t>
  </si>
  <si>
    <t>Ambatomainty II</t>
  </si>
  <si>
    <t>MG52518032003</t>
  </si>
  <si>
    <t>MG52518032059</t>
  </si>
  <si>
    <t>MG52518151045</t>
  </si>
  <si>
    <t>MG52518151046</t>
  </si>
  <si>
    <t>MG25213471001</t>
  </si>
  <si>
    <t>MG25213471028</t>
  </si>
  <si>
    <t>MG25213552004</t>
  </si>
  <si>
    <t>Beretra II</t>
  </si>
  <si>
    <t>MG25213552019</t>
  </si>
  <si>
    <t>MG25213410001</t>
  </si>
  <si>
    <t>MG51503011004</t>
  </si>
  <si>
    <t>MG51520210001</t>
  </si>
  <si>
    <t>MG52516031002</t>
  </si>
  <si>
    <t>Retoka</t>
  </si>
  <si>
    <t>MG52516031035</t>
  </si>
  <si>
    <t>MG52516031037</t>
  </si>
  <si>
    <t>MG52516031038</t>
  </si>
  <si>
    <t>MG52516031039</t>
  </si>
  <si>
    <t>MG23209290011</t>
  </si>
  <si>
    <t>Mahasoa</t>
  </si>
  <si>
    <t>MG23211031010</t>
  </si>
  <si>
    <t>Ampiatsaha</t>
  </si>
  <si>
    <t>MG31310130010</t>
  </si>
  <si>
    <t>Ambalatenina</t>
  </si>
  <si>
    <t>MG31309050014</t>
  </si>
  <si>
    <t>MG52516014002</t>
  </si>
  <si>
    <t>MG52518031006</t>
  </si>
  <si>
    <t>MG53517350003</t>
  </si>
  <si>
    <t>Vohitramboa</t>
  </si>
  <si>
    <t>MG53517350012</t>
  </si>
  <si>
    <t>MG51506013007</t>
  </si>
  <si>
    <t>MG52518091004</t>
  </si>
  <si>
    <t>MG53519130010</t>
  </si>
  <si>
    <t>MG53519130033</t>
  </si>
  <si>
    <t>MG52513091a_4</t>
  </si>
  <si>
    <t>MG51506013001</t>
  </si>
  <si>
    <t>MG51506013002</t>
  </si>
  <si>
    <t>MG51506013003</t>
  </si>
  <si>
    <t>MG51506013004</t>
  </si>
  <si>
    <t>MG51506013006</t>
  </si>
  <si>
    <t>MG51506013009</t>
  </si>
  <si>
    <t>Ambatry Ambony</t>
  </si>
  <si>
    <t>MG51506013010</t>
  </si>
  <si>
    <t>Ambatry Tanambao</t>
  </si>
  <si>
    <t>MG51506013011</t>
  </si>
  <si>
    <t>Mahabo</t>
  </si>
  <si>
    <t>MG51506013057</t>
  </si>
  <si>
    <t>MG51506050005</t>
  </si>
  <si>
    <t>Besakoa Nord</t>
  </si>
  <si>
    <t>MG52514050012</t>
  </si>
  <si>
    <t>Ambazoa</t>
  </si>
  <si>
    <t>MG52516092016</t>
  </si>
  <si>
    <t>Ikotoala</t>
  </si>
  <si>
    <t>MG52516092045</t>
  </si>
  <si>
    <t>MG52516092046</t>
  </si>
  <si>
    <t>MG52516092047</t>
  </si>
  <si>
    <t>MG53515112004</t>
  </si>
  <si>
    <t>MG53519010004</t>
  </si>
  <si>
    <t>MG53519010008</t>
  </si>
  <si>
    <t>Ankamena S.S.M</t>
  </si>
  <si>
    <t>MG53519010009</t>
  </si>
  <si>
    <t>MG53519010010</t>
  </si>
  <si>
    <t>MG53519010014</t>
  </si>
  <si>
    <t>MG53519010017</t>
  </si>
  <si>
    <t>MG53519010019</t>
  </si>
  <si>
    <t>MG53519010024</t>
  </si>
  <si>
    <t>Ankamena Tanantsoa</t>
  </si>
  <si>
    <t>MG25217030004</t>
  </si>
  <si>
    <t>Ambalabe Mahatsara</t>
  </si>
  <si>
    <t>MG25217030036</t>
  </si>
  <si>
    <t>MG25213270001</t>
  </si>
  <si>
    <t>MG25213270010</t>
  </si>
  <si>
    <t>MG52513091017</t>
  </si>
  <si>
    <t>MG52516033015</t>
  </si>
  <si>
    <t>MG52516033056</t>
  </si>
  <si>
    <t>MG52516033057</t>
  </si>
  <si>
    <t>ANKILETELO</t>
  </si>
  <si>
    <t>MG52516033058</t>
  </si>
  <si>
    <t>MG52516033059</t>
  </si>
  <si>
    <t>MG25217090001</t>
  </si>
  <si>
    <t>MG25217090002</t>
  </si>
  <si>
    <t>Ambarimafaitra</t>
  </si>
  <si>
    <t>MG25217090007</t>
  </si>
  <si>
    <t>MG25213330001</t>
  </si>
  <si>
    <t>MG25213330005</t>
  </si>
  <si>
    <t>MG23209230007</t>
  </si>
  <si>
    <t>Lavakianja</t>
  </si>
  <si>
    <t>MG23211092008</t>
  </si>
  <si>
    <t>Ambodipaiso</t>
  </si>
  <si>
    <t>MG23211012003</t>
  </si>
  <si>
    <t>Sahanimanga</t>
  </si>
  <si>
    <t>MG23211012004</t>
  </si>
  <si>
    <t>MG23211012009</t>
  </si>
  <si>
    <t>MG23211012011</t>
  </si>
  <si>
    <t>Androrangavola</t>
  </si>
  <si>
    <t>MG52516050005</t>
  </si>
  <si>
    <t>Ankarandoha</t>
  </si>
  <si>
    <t>MG52516050009</t>
  </si>
  <si>
    <t>Analavao</t>
  </si>
  <si>
    <t>MG52516050019</t>
  </si>
  <si>
    <t>MG52516050057</t>
  </si>
  <si>
    <t>MG52516050058</t>
  </si>
  <si>
    <t>MG52516050059</t>
  </si>
  <si>
    <t>MG52516050060</t>
  </si>
  <si>
    <t>MG52516091005</t>
  </si>
  <si>
    <t>MG52516091057</t>
  </si>
  <si>
    <t>MG53519050019</t>
  </si>
  <si>
    <t>MG25214211012</t>
  </si>
  <si>
    <t>MG53517331004</t>
  </si>
  <si>
    <t>MG41407091005</t>
  </si>
  <si>
    <t>MG51506011023</t>
  </si>
  <si>
    <t>MG51507030001</t>
  </si>
  <si>
    <t>MG51507050001</t>
  </si>
  <si>
    <t>Amborompotsy I</t>
  </si>
  <si>
    <t>MG51507050002</t>
  </si>
  <si>
    <t>MG51507050003</t>
  </si>
  <si>
    <t>Ambahivahy</t>
  </si>
  <si>
    <t>MG51507050004</t>
  </si>
  <si>
    <t>MG51507050005</t>
  </si>
  <si>
    <t>Motombe</t>
  </si>
  <si>
    <t>MG51507050006</t>
  </si>
  <si>
    <t>Bealango I</t>
  </si>
  <si>
    <t>MG51507050007</t>
  </si>
  <si>
    <t>Bealango II</t>
  </si>
  <si>
    <t>MG51507050009</t>
  </si>
  <si>
    <t>MG51507050012</t>
  </si>
  <si>
    <t>MG51507050013</t>
  </si>
  <si>
    <t>Amborompotsy II</t>
  </si>
  <si>
    <t>MG51507050015</t>
  </si>
  <si>
    <t>Anaramalinike</t>
  </si>
  <si>
    <t>MG51507050016</t>
  </si>
  <si>
    <t>MG51507050017</t>
  </si>
  <si>
    <t>MG51507050018</t>
  </si>
  <si>
    <t>MG51507050019</t>
  </si>
  <si>
    <t>Antanimavo</t>
  </si>
  <si>
    <t>MG51507050020</t>
  </si>
  <si>
    <t>Analamisaka</t>
  </si>
  <si>
    <t>MG51507050022</t>
  </si>
  <si>
    <t>Belamoty</t>
  </si>
  <si>
    <t>MG51507050025</t>
  </si>
  <si>
    <t>MG51507050026</t>
  </si>
  <si>
    <t>MG51507050027</t>
  </si>
  <si>
    <t>MG51507050028</t>
  </si>
  <si>
    <t>MG51507050029</t>
  </si>
  <si>
    <t>MG51507050030</t>
  </si>
  <si>
    <t>MG51507050045</t>
  </si>
  <si>
    <t>MG51507050059</t>
  </si>
  <si>
    <t>Ankazoabo</t>
  </si>
  <si>
    <t>MG51507050067</t>
  </si>
  <si>
    <t>MG51507050089</t>
  </si>
  <si>
    <t>MG51507050092</t>
  </si>
  <si>
    <t>MG51507170001</t>
  </si>
  <si>
    <t>MG52516151011</t>
  </si>
  <si>
    <t>MG52518091006</t>
  </si>
  <si>
    <t>MG53519250003</t>
  </si>
  <si>
    <t>MG53519250065</t>
  </si>
  <si>
    <t>MG53519250066</t>
  </si>
  <si>
    <t>MG53519250067</t>
  </si>
  <si>
    <t>MG53519250068</t>
  </si>
  <si>
    <t>MG53519250069</t>
  </si>
  <si>
    <t>MG53519250070</t>
  </si>
  <si>
    <t>MG25214190003</t>
  </si>
  <si>
    <t>Beroroha</t>
  </si>
  <si>
    <t>MG52516011013</t>
  </si>
  <si>
    <t>Amboasary II</t>
  </si>
  <si>
    <t>MG52516011015</t>
  </si>
  <si>
    <t>Ambazoamirafy</t>
  </si>
  <si>
    <t>MG52516011020</t>
  </si>
  <si>
    <t>MG52516011025</t>
  </si>
  <si>
    <t>Tsirangoty</t>
  </si>
  <si>
    <t>MG52516011033</t>
  </si>
  <si>
    <t>MG52516011037</t>
  </si>
  <si>
    <t>Marofanogne</t>
  </si>
  <si>
    <t>MG52516011039</t>
  </si>
  <si>
    <t>Antsatrahamasy</t>
  </si>
  <si>
    <t>MG52516011042</t>
  </si>
  <si>
    <t>Maromalay</t>
  </si>
  <si>
    <t>MG52516011054</t>
  </si>
  <si>
    <t>Sevohipoty</t>
  </si>
  <si>
    <t>MG53515090005</t>
  </si>
  <si>
    <t>Ankaramena</t>
  </si>
  <si>
    <t>MG53515090078</t>
  </si>
  <si>
    <t>MG53515090079</t>
  </si>
  <si>
    <t>MG53515090080</t>
  </si>
  <si>
    <t>MG53515090081</t>
  </si>
  <si>
    <t>MG53515090082</t>
  </si>
  <si>
    <t>MG53515090083</t>
  </si>
  <si>
    <t>MG53515090084</t>
  </si>
  <si>
    <t>MG53515090085</t>
  </si>
  <si>
    <t>MG53515090086</t>
  </si>
  <si>
    <t>MG53515090087</t>
  </si>
  <si>
    <t>MG53515090088</t>
  </si>
  <si>
    <t>MG53515090089</t>
  </si>
  <si>
    <t>MG53515090090</t>
  </si>
  <si>
    <t>MG53515090091</t>
  </si>
  <si>
    <t>MG53515090092</t>
  </si>
  <si>
    <t>MG53515090093</t>
  </si>
  <si>
    <t>MG52516050012</t>
  </si>
  <si>
    <t>Nandrosoa</t>
  </si>
  <si>
    <t>MG52516152004</t>
  </si>
  <si>
    <t>Andalipito</t>
  </si>
  <si>
    <t>MG52516152010</t>
  </si>
  <si>
    <t>Besatra Soarano</t>
  </si>
  <si>
    <t>MG52516152045</t>
  </si>
  <si>
    <t>MG52516152046</t>
  </si>
  <si>
    <t>MG44417031003</t>
  </si>
  <si>
    <t>MG51506050020</t>
  </si>
  <si>
    <t>MG51506150020</t>
  </si>
  <si>
    <t>MG51507010002</t>
  </si>
  <si>
    <t>Reambohitse Bas</t>
  </si>
  <si>
    <t>MG51507010003</t>
  </si>
  <si>
    <t>MG51507010004</t>
  </si>
  <si>
    <t>MG51507010006</t>
  </si>
  <si>
    <t>MG51507010007</t>
  </si>
  <si>
    <t>MG51507010010</t>
  </si>
  <si>
    <t>MG51507010013</t>
  </si>
  <si>
    <t>MG51507010016</t>
  </si>
  <si>
    <t>MG51507010021</t>
  </si>
  <si>
    <t>MG51507010025</t>
  </si>
  <si>
    <t>MG51507210003</t>
  </si>
  <si>
    <t>Betonake</t>
  </si>
  <si>
    <t>MG51520270008</t>
  </si>
  <si>
    <t>MG52516013007</t>
  </si>
  <si>
    <t>MG52516013089</t>
  </si>
  <si>
    <t>MG52516013090</t>
  </si>
  <si>
    <t>MG52516013091</t>
  </si>
  <si>
    <t>MG54509070001</t>
  </si>
  <si>
    <t>MG54509070006</t>
  </si>
  <si>
    <t>MG54509070010</t>
  </si>
  <si>
    <t>MG25214031006</t>
  </si>
  <si>
    <t>MG25214031016</t>
  </si>
  <si>
    <t>MG25214132001</t>
  </si>
  <si>
    <t>MG25214132013</t>
  </si>
  <si>
    <t>MG53515033004</t>
  </si>
  <si>
    <t>MG25213190001</t>
  </si>
  <si>
    <t>MG25213190010</t>
  </si>
  <si>
    <t>MG31307151013</t>
  </si>
  <si>
    <t>MG52514050005</t>
  </si>
  <si>
    <t>MG52518152008</t>
  </si>
  <si>
    <t>Analamary</t>
  </si>
  <si>
    <t>MG53517110002</t>
  </si>
  <si>
    <t>MG53517110004</t>
  </si>
  <si>
    <t>Marora</t>
  </si>
  <si>
    <t>MG53517110006</t>
  </si>
  <si>
    <t>Bepia</t>
  </si>
  <si>
    <t>MG53517110007</t>
  </si>
  <si>
    <t>MG53517110045</t>
  </si>
  <si>
    <t>Sambalahy</t>
  </si>
  <si>
    <t>MG53517150085</t>
  </si>
  <si>
    <t>MG53517150087</t>
  </si>
  <si>
    <t>MG25217013002</t>
  </si>
  <si>
    <t>MG53517150086</t>
  </si>
  <si>
    <t>MG51507290004</t>
  </si>
  <si>
    <t>MG51507290006</t>
  </si>
  <si>
    <t>MG51507290008</t>
  </si>
  <si>
    <t>MG51507290080</t>
  </si>
  <si>
    <t>MG52518251089</t>
  </si>
  <si>
    <t>MG52518251091</t>
  </si>
  <si>
    <t>MG52518251092</t>
  </si>
  <si>
    <t>MG24216070003</t>
  </si>
  <si>
    <t>MG41405090003</t>
  </si>
  <si>
    <t>MG52516151004</t>
  </si>
  <si>
    <t>MG52516151005</t>
  </si>
  <si>
    <t>Andalakaolo</t>
  </si>
  <si>
    <t>MG52516151010</t>
  </si>
  <si>
    <t>Edasotse</t>
  </si>
  <si>
    <t>MG52516151015</t>
  </si>
  <si>
    <t>MG52516151065</t>
  </si>
  <si>
    <t>MG52518251077</t>
  </si>
  <si>
    <t>MG52518251078</t>
  </si>
  <si>
    <t>MG52518251079</t>
  </si>
  <si>
    <t>MG52518251080</t>
  </si>
  <si>
    <t>MG52518251081</t>
  </si>
  <si>
    <t>MG52518251082</t>
  </si>
  <si>
    <t>MG23211092006</t>
  </si>
  <si>
    <t>Andefapony</t>
  </si>
  <si>
    <t>MG25217030008</t>
  </si>
  <si>
    <t>MG25217030013</t>
  </si>
  <si>
    <t>MG25217030018</t>
  </si>
  <si>
    <t>MG52516130056</t>
  </si>
  <si>
    <t>MG52516130057</t>
  </si>
  <si>
    <t>MG52516130a_10</t>
  </si>
  <si>
    <t>MG52516130a_14</t>
  </si>
  <si>
    <t>MG52516170033</t>
  </si>
  <si>
    <t>MG52516170077</t>
  </si>
  <si>
    <t>MG52516170078</t>
  </si>
  <si>
    <t>MG52516170079</t>
  </si>
  <si>
    <t>MG52516170092</t>
  </si>
  <si>
    <t>MG25215031001</t>
  </si>
  <si>
    <t>MG25215031003</t>
  </si>
  <si>
    <t>MG51506191001</t>
  </si>
  <si>
    <t>MG51506191005</t>
  </si>
  <si>
    <t>MG51506191008</t>
  </si>
  <si>
    <t>MG51506191009</t>
  </si>
  <si>
    <t>MG51506191011</t>
  </si>
  <si>
    <t>MG51506191013</t>
  </si>
  <si>
    <t>MG51506191014</t>
  </si>
  <si>
    <t>MG51506191015</t>
  </si>
  <si>
    <t>MG51506191058</t>
  </si>
  <si>
    <t>MG51506210008</t>
  </si>
  <si>
    <t>MG51507310040</t>
  </si>
  <si>
    <t>Ankamena I</t>
  </si>
  <si>
    <t>MG51507310041</t>
  </si>
  <si>
    <t>MG51507310042</t>
  </si>
  <si>
    <t>MG51507310043</t>
  </si>
  <si>
    <t>MG51507310045</t>
  </si>
  <si>
    <t>MG51507310090</t>
  </si>
  <si>
    <t>MG51507230007</t>
  </si>
  <si>
    <t>MG51507230008</t>
  </si>
  <si>
    <t>MG51507230011</t>
  </si>
  <si>
    <t>MG51507230012</t>
  </si>
  <si>
    <t>MG51507230015</t>
  </si>
  <si>
    <t>MG51507230017</t>
  </si>
  <si>
    <t>MG51507230065</t>
  </si>
  <si>
    <t>MG51507230067</t>
  </si>
  <si>
    <t>MG25214112001</t>
  </si>
  <si>
    <t>MG33312071005</t>
  </si>
  <si>
    <t>MG52518290065</t>
  </si>
  <si>
    <t>MG52518050004</t>
  </si>
  <si>
    <t>MG52518050072</t>
  </si>
  <si>
    <t>MG52518050073</t>
  </si>
  <si>
    <t>MG52518050074</t>
  </si>
  <si>
    <t>MG52516011029</t>
  </si>
  <si>
    <t>MG52516011062</t>
  </si>
  <si>
    <t>Botreoke</t>
  </si>
  <si>
    <t>MG52516012004</t>
  </si>
  <si>
    <t>MG52516014009</t>
  </si>
  <si>
    <t>MG52516014051</t>
  </si>
  <si>
    <t>MG52516014052</t>
  </si>
  <si>
    <t>MG52516014053</t>
  </si>
  <si>
    <t>MG52516014054</t>
  </si>
  <si>
    <t>MG52516014055</t>
  </si>
  <si>
    <t>MG52516014056</t>
  </si>
  <si>
    <t>MG52516014057</t>
  </si>
  <si>
    <t>MG52516014058</t>
  </si>
  <si>
    <t>MG52516014059</t>
  </si>
  <si>
    <t>MG52516014060</t>
  </si>
  <si>
    <t>MG52516014061</t>
  </si>
  <si>
    <t>MG52516014062</t>
  </si>
  <si>
    <t>MG52516014063</t>
  </si>
  <si>
    <t>MG52516014064</t>
  </si>
  <si>
    <t>MG25213350001</t>
  </si>
  <si>
    <t>MG25213350002</t>
  </si>
  <si>
    <t>MG25213350003</t>
  </si>
  <si>
    <t>MG25213350005</t>
  </si>
  <si>
    <t>MG24216031005</t>
  </si>
  <si>
    <t>MG52518031005</t>
  </si>
  <si>
    <t>MG52518031011</t>
  </si>
  <si>
    <t>MG52518031012</t>
  </si>
  <si>
    <t>MG52518031013</t>
  </si>
  <si>
    <t>MG52518031065</t>
  </si>
  <si>
    <t>MG51506014002</t>
  </si>
  <si>
    <t>MG51506014003</t>
  </si>
  <si>
    <t>MG51506014004</t>
  </si>
  <si>
    <t>MG51506014005</t>
  </si>
  <si>
    <t>MG51506014006</t>
  </si>
  <si>
    <t>MG51506014007</t>
  </si>
  <si>
    <t>MG51506014008</t>
  </si>
  <si>
    <t>MG51506014009</t>
  </si>
  <si>
    <t>MG51506014010</t>
  </si>
  <si>
    <t>MG51506014056</t>
  </si>
  <si>
    <t>MG51506090008</t>
  </si>
  <si>
    <t>MG25215031004</t>
  </si>
  <si>
    <t>MG51506130002</t>
  </si>
  <si>
    <t>MG51506130004</t>
  </si>
  <si>
    <t>MG51506130008</t>
  </si>
  <si>
    <t>Beza Mahafaly</t>
  </si>
  <si>
    <t>MG51506130009</t>
  </si>
  <si>
    <t>MG51506130010</t>
  </si>
  <si>
    <t>MG51506130011</t>
  </si>
  <si>
    <t>MG51506130012</t>
  </si>
  <si>
    <t>MG51506130017</t>
  </si>
  <si>
    <t>MG25215011010</t>
  </si>
  <si>
    <t>MG25215012001</t>
  </si>
  <si>
    <t>MG25215012006</t>
  </si>
  <si>
    <t>MG51507030005</t>
  </si>
  <si>
    <t>Tsijobony</t>
  </si>
  <si>
    <t>MG51507030008</t>
  </si>
  <si>
    <t>MG51507030009</t>
  </si>
  <si>
    <t>Behavandra I</t>
  </si>
  <si>
    <t>MG51507030010</t>
  </si>
  <si>
    <t>MG51507070004</t>
  </si>
  <si>
    <t>Ampanorita</t>
  </si>
  <si>
    <t>MG51507070076</t>
  </si>
  <si>
    <t>MG51507070077</t>
  </si>
  <si>
    <t>MG51507070078</t>
  </si>
  <si>
    <t>MG51507070079</t>
  </si>
  <si>
    <t>MG51507070080</t>
  </si>
  <si>
    <t>MG51507070081</t>
  </si>
  <si>
    <t>MG51507070082</t>
  </si>
  <si>
    <t>MG54502090001</t>
  </si>
  <si>
    <t>MG54502090002</t>
  </si>
  <si>
    <t>MG51521031011</t>
  </si>
  <si>
    <t>MG51507130005</t>
  </si>
  <si>
    <t>Marohola</t>
  </si>
  <si>
    <t>MG51507070051</t>
  </si>
  <si>
    <t>MG51507070057</t>
  </si>
  <si>
    <t>MG51507070058</t>
  </si>
  <si>
    <t>MG51507070059</t>
  </si>
  <si>
    <t>MG51507130001</t>
  </si>
  <si>
    <t>MG51507130004</t>
  </si>
  <si>
    <t>MG51507130006</t>
  </si>
  <si>
    <t>Vohimiroro</t>
  </si>
  <si>
    <t>MG51507130008</t>
  </si>
  <si>
    <t>Andrakia</t>
  </si>
  <si>
    <t>MG51507130010</t>
  </si>
  <si>
    <t>MG51507130011</t>
  </si>
  <si>
    <t>MG51507130012</t>
  </si>
  <si>
    <t>MG51507190008</t>
  </si>
  <si>
    <t>Agnena Centre</t>
  </si>
  <si>
    <t>MG51520358004</t>
  </si>
  <si>
    <t>MG51507070002</t>
  </si>
  <si>
    <t>MG51507070007</t>
  </si>
  <si>
    <t>MG51507070042</t>
  </si>
  <si>
    <t>MG54509030002</t>
  </si>
  <si>
    <t>MG54509030051</t>
  </si>
  <si>
    <t>MG54509030052</t>
  </si>
  <si>
    <t>MG54509030053</t>
  </si>
  <si>
    <t>MG54509030054</t>
  </si>
  <si>
    <t>MG54509030055</t>
  </si>
  <si>
    <t>Anjeba</t>
  </si>
  <si>
    <t>MG54509030056</t>
  </si>
  <si>
    <t>MG54509030057</t>
  </si>
  <si>
    <t>MG54509030058</t>
  </si>
  <si>
    <t>MG54509030059</t>
  </si>
  <si>
    <t>MG54509030060</t>
  </si>
  <si>
    <t>MG54509030061</t>
  </si>
  <si>
    <t>MG54509030062</t>
  </si>
  <si>
    <t>MG54509030063</t>
  </si>
  <si>
    <t>MG54509030064</t>
  </si>
  <si>
    <t>MG54509030065</t>
  </si>
  <si>
    <t>MG25213050010</t>
  </si>
  <si>
    <t>MG25213050035</t>
  </si>
  <si>
    <t>MG25213070040</t>
  </si>
  <si>
    <t>MG25213070041</t>
  </si>
  <si>
    <t>MG25213070042</t>
  </si>
  <si>
    <t>MG25213070043</t>
  </si>
  <si>
    <t>MG52516130058</t>
  </si>
  <si>
    <t>MG52516130078</t>
  </si>
  <si>
    <t>Antsira</t>
  </si>
  <si>
    <t>MG52516130095</t>
  </si>
  <si>
    <t>MG51501006001</t>
  </si>
  <si>
    <t>MG52513070003</t>
  </si>
  <si>
    <t>MG52514071006</t>
  </si>
  <si>
    <t>MG52514071014</t>
  </si>
  <si>
    <t>MG52514071019</t>
  </si>
  <si>
    <t>MG52514071025</t>
  </si>
  <si>
    <t>Talaky Bas</t>
  </si>
  <si>
    <t>MG52514071067</t>
  </si>
  <si>
    <t>MG52514071068</t>
  </si>
  <si>
    <t>MG52514071069</t>
  </si>
  <si>
    <t>MG23211112001</t>
  </si>
  <si>
    <t>MG23211112011</t>
  </si>
  <si>
    <t>MG24216231007</t>
  </si>
  <si>
    <t>MG25222031002</t>
  </si>
  <si>
    <t>MG25217072001</t>
  </si>
  <si>
    <t>Antemanara</t>
  </si>
  <si>
    <t>MG25217072033</t>
  </si>
  <si>
    <t>MG25222012002</t>
  </si>
  <si>
    <t>MG25222012006</t>
  </si>
  <si>
    <t>MG52518070014</t>
  </si>
  <si>
    <t>MG31306050007</t>
  </si>
  <si>
    <t>MG25222031004</t>
  </si>
  <si>
    <t>MG51506030001</t>
  </si>
  <si>
    <t>MG51506030002</t>
  </si>
  <si>
    <t>MG51506030004</t>
  </si>
  <si>
    <t>MG51506030006</t>
  </si>
  <si>
    <t>MG51506030007</t>
  </si>
  <si>
    <t>MG51506030008</t>
  </si>
  <si>
    <t>MG51506030009</t>
  </si>
  <si>
    <t>MG51506030010</t>
  </si>
  <si>
    <t>MG51506030046</t>
  </si>
  <si>
    <t>MG51506130016</t>
  </si>
  <si>
    <t>MG25213390006</t>
  </si>
  <si>
    <t>MG25222011008</t>
  </si>
  <si>
    <t>MG51520310023</t>
  </si>
  <si>
    <t>MG52513091028</t>
  </si>
  <si>
    <t>Marobasia</t>
  </si>
  <si>
    <t>MG52513092067</t>
  </si>
  <si>
    <t>MG52513092068</t>
  </si>
  <si>
    <t>MG52513092069</t>
  </si>
  <si>
    <t>MG53519030005</t>
  </si>
  <si>
    <t>Behara Ambony</t>
  </si>
  <si>
    <t>MG53519030006</t>
  </si>
  <si>
    <t>MG53519030010</t>
  </si>
  <si>
    <t>Behara Bas I</t>
  </si>
  <si>
    <t>MG53519030021</t>
  </si>
  <si>
    <t>Berenty Officiel</t>
  </si>
  <si>
    <t>MG25222032005</t>
  </si>
  <si>
    <t>MG25222052003</t>
  </si>
  <si>
    <t>MG52518152003</t>
  </si>
  <si>
    <t>MG51520358001</t>
  </si>
  <si>
    <t>MG51520358002</t>
  </si>
  <si>
    <t>MG51520358003</t>
  </si>
  <si>
    <t>MG51520358005</t>
  </si>
  <si>
    <t>MG51520358011</t>
  </si>
  <si>
    <t>MG25214033003</t>
  </si>
  <si>
    <t>MG52513030011</t>
  </si>
  <si>
    <t>MG52518230002</t>
  </si>
  <si>
    <t>MG52518230007</t>
  </si>
  <si>
    <t>MG52518230014</t>
  </si>
  <si>
    <t>MG52518230019</t>
  </si>
  <si>
    <t>MG52518230056</t>
  </si>
  <si>
    <t>MG52518230057</t>
  </si>
  <si>
    <t>MG52518230058</t>
  </si>
  <si>
    <t>MG52518230059</t>
  </si>
  <si>
    <t>MG52518230060</t>
  </si>
  <si>
    <t>MG25222053002</t>
  </si>
  <si>
    <t>MG53517250001</t>
  </si>
  <si>
    <t>Manandrotsy</t>
  </si>
  <si>
    <t>MG53517250002</t>
  </si>
  <si>
    <t>Andalamby</t>
  </si>
  <si>
    <t>MG53517250003</t>
  </si>
  <si>
    <t>Mananovy</t>
  </si>
  <si>
    <t>MG53517250004</t>
  </si>
  <si>
    <t>MG53517250005</t>
  </si>
  <si>
    <t>Itroho</t>
  </si>
  <si>
    <t>MG53517250067</t>
  </si>
  <si>
    <t>MG51507170005</t>
  </si>
  <si>
    <t>MG51507170009</t>
  </si>
  <si>
    <t>MG51507170070</t>
  </si>
  <si>
    <t>MG51507170071</t>
  </si>
  <si>
    <t>MG51507170081</t>
  </si>
  <si>
    <t>MG51507170082</t>
  </si>
  <si>
    <t>MG51507170083</t>
  </si>
  <si>
    <t>MG51507210010</t>
  </si>
  <si>
    <t>MG51507310006</t>
  </si>
  <si>
    <t>MG51507310060</t>
  </si>
  <si>
    <t>MG51507310062</t>
  </si>
  <si>
    <t>MG51507310063</t>
  </si>
  <si>
    <t>MG51507310064</t>
  </si>
  <si>
    <t>MG51507310065</t>
  </si>
  <si>
    <t>MG51507310066</t>
  </si>
  <si>
    <t>MG51507310067</t>
  </si>
  <si>
    <t>MG51507310068</t>
  </si>
  <si>
    <t>MG51507310069</t>
  </si>
  <si>
    <t>MG51507310072</t>
  </si>
  <si>
    <t>MG51507310073</t>
  </si>
  <si>
    <t>MG51507310074</t>
  </si>
  <si>
    <t>MG51507310075</t>
  </si>
  <si>
    <t>MG51507310076</t>
  </si>
  <si>
    <t>MG51507310077</t>
  </si>
  <si>
    <t>MG51507310078</t>
  </si>
  <si>
    <t>MG51507310079</t>
  </si>
  <si>
    <t>MG51507310080</t>
  </si>
  <si>
    <t>MG41403050001</t>
  </si>
  <si>
    <t>MG52518170010</t>
  </si>
  <si>
    <t>MG53519050014</t>
  </si>
  <si>
    <t>MG53519050056</t>
  </si>
  <si>
    <t>MG53519050057</t>
  </si>
  <si>
    <t>MG53519050058</t>
  </si>
  <si>
    <t>MG52513010015</t>
  </si>
  <si>
    <t>MG52513010021</t>
  </si>
  <si>
    <t>MG52513010027</t>
  </si>
  <si>
    <t>MG52513010076</t>
  </si>
  <si>
    <t>MG52513010077</t>
  </si>
  <si>
    <t>MG52513010078</t>
  </si>
  <si>
    <t>MG52513010079</t>
  </si>
  <si>
    <t>MG52513010080</t>
  </si>
  <si>
    <t>MG52514031006</t>
  </si>
  <si>
    <t>MG53517050003</t>
  </si>
  <si>
    <t>Ambatovita</t>
  </si>
  <si>
    <t>MG53517150001</t>
  </si>
  <si>
    <t>Benato Toby</t>
  </si>
  <si>
    <t>MG53517150002</t>
  </si>
  <si>
    <t>MG53517150004</t>
  </si>
  <si>
    <t>MG53517150009</t>
  </si>
  <si>
    <t>Ivohitsoa</t>
  </si>
  <si>
    <t>MG53517150034</t>
  </si>
  <si>
    <t>MG44421110003</t>
  </si>
  <si>
    <t>MG51512130009</t>
  </si>
  <si>
    <t>MG51521010001</t>
  </si>
  <si>
    <t>Benenitra I</t>
  </si>
  <si>
    <t>MG51521010007</t>
  </si>
  <si>
    <t>Berevo Bekily</t>
  </si>
  <si>
    <t>MG51521010008</t>
  </si>
  <si>
    <t>Beraketa Est</t>
  </si>
  <si>
    <t>MG51521010009</t>
  </si>
  <si>
    <t>MG51521010015</t>
  </si>
  <si>
    <t>MG52516014004</t>
  </si>
  <si>
    <t>MG51506012002</t>
  </si>
  <si>
    <t>MG51506012005</t>
  </si>
  <si>
    <t>Vohitolia</t>
  </si>
  <si>
    <t>MG51506012007</t>
  </si>
  <si>
    <t>Beanike Centre</t>
  </si>
  <si>
    <t>MG51506012011</t>
  </si>
  <si>
    <t>MG51506012017</t>
  </si>
  <si>
    <t>MG43404173004</t>
  </si>
  <si>
    <t>MG51506252005</t>
  </si>
  <si>
    <t>MG52516091025</t>
  </si>
  <si>
    <t>MG52518251007</t>
  </si>
  <si>
    <t>MG52518251013</t>
  </si>
  <si>
    <t>Besakoa Ifarantsa</t>
  </si>
  <si>
    <t>MG52518251056</t>
  </si>
  <si>
    <t>MG52518251057</t>
  </si>
  <si>
    <t>MG33314092002</t>
  </si>
  <si>
    <t>MG25213250007</t>
  </si>
  <si>
    <t>MG25214172006</t>
  </si>
  <si>
    <t>MG51507270001</t>
  </si>
  <si>
    <t>MG51507270007</t>
  </si>
  <si>
    <t>MG51507270010</t>
  </si>
  <si>
    <t>Anadranto Ankatrafay</t>
  </si>
  <si>
    <t>MG51507270011</t>
  </si>
  <si>
    <t>MG51507270012</t>
  </si>
  <si>
    <t>MG51507270014</t>
  </si>
  <si>
    <t>MG51507270016</t>
  </si>
  <si>
    <t>MG51507270020</t>
  </si>
  <si>
    <t>MG51507270021</t>
  </si>
  <si>
    <t>MG51507270022</t>
  </si>
  <si>
    <t>Belobaka Nord</t>
  </si>
  <si>
    <t>MG52518032045</t>
  </si>
  <si>
    <t>MG52518032046</t>
  </si>
  <si>
    <t>MG52518032047</t>
  </si>
  <si>
    <t>MG52518190002</t>
  </si>
  <si>
    <t>MG52518190056</t>
  </si>
  <si>
    <t>MG52518190057</t>
  </si>
  <si>
    <t>MG52518190058</t>
  </si>
  <si>
    <t>MG25214152007</t>
  </si>
  <si>
    <t>MG33312152009</t>
  </si>
  <si>
    <t>MG51506011002</t>
  </si>
  <si>
    <t>MG51506011003</t>
  </si>
  <si>
    <t>MG51506011004</t>
  </si>
  <si>
    <t>MG51506011006</t>
  </si>
  <si>
    <t>MG51506011007</t>
  </si>
  <si>
    <t>MG51506011008</t>
  </si>
  <si>
    <t>MG51506011009</t>
  </si>
  <si>
    <t>MG51506011010</t>
  </si>
  <si>
    <t>MG54510012009</t>
  </si>
  <si>
    <t>MG25214251001</t>
  </si>
  <si>
    <t>MG52518270001</t>
  </si>
  <si>
    <t>MG52518270005</t>
  </si>
  <si>
    <t>MG52518270006</t>
  </si>
  <si>
    <t>MG52518270007</t>
  </si>
  <si>
    <t>MG52518270009</t>
  </si>
  <si>
    <t>MG52518270054</t>
  </si>
  <si>
    <t>MG54502110007</t>
  </si>
  <si>
    <t>MG54502110066</t>
  </si>
  <si>
    <t>MG51506150001</t>
  </si>
  <si>
    <t>MG51506150011</t>
  </si>
  <si>
    <t>Bezaha Iv</t>
  </si>
  <si>
    <t>MG51506150012</t>
  </si>
  <si>
    <t>MG51506150013</t>
  </si>
  <si>
    <t>Bezaha IIi</t>
  </si>
  <si>
    <t>MG51506150019</t>
  </si>
  <si>
    <t>MG25213430003</t>
  </si>
  <si>
    <t>Ambalavolo</t>
  </si>
  <si>
    <t>MG25213430023</t>
  </si>
  <si>
    <t>MG51520358015</t>
  </si>
  <si>
    <t>MG51520358016</t>
  </si>
  <si>
    <t>MG51520358017</t>
  </si>
  <si>
    <t>MG51520358a_6</t>
  </si>
  <si>
    <t>MG51521050009</t>
  </si>
  <si>
    <t>MG51507150034</t>
  </si>
  <si>
    <t>MG51507150061</t>
  </si>
  <si>
    <t>MG51507150062</t>
  </si>
  <si>
    <t>MG51507150063</t>
  </si>
  <si>
    <t>MG51507150064</t>
  </si>
  <si>
    <t>MG51507150065</t>
  </si>
  <si>
    <t>MG51507150066</t>
  </si>
  <si>
    <t>MG51507150067</t>
  </si>
  <si>
    <t>MG51507150068</t>
  </si>
  <si>
    <t>MG51507150069</t>
  </si>
  <si>
    <t>MG51507150070</t>
  </si>
  <si>
    <t>MG51507150071</t>
  </si>
  <si>
    <t>MG51507150072</t>
  </si>
  <si>
    <t>MG51507150073</t>
  </si>
  <si>
    <t>MG51507150074</t>
  </si>
  <si>
    <t>MG51507150076</t>
  </si>
  <si>
    <t>MG51507150077</t>
  </si>
  <si>
    <t>MG51507150078</t>
  </si>
  <si>
    <t>MG51507150079</t>
  </si>
  <si>
    <t>MG51507150080</t>
  </si>
  <si>
    <t>MG51507150081</t>
  </si>
  <si>
    <t>MG51507150082</t>
  </si>
  <si>
    <t>MG51507150083</t>
  </si>
  <si>
    <t>MG51507150084</t>
  </si>
  <si>
    <t>MG51507150085</t>
  </si>
  <si>
    <t>MG51507150086</t>
  </si>
  <si>
    <t>MG51507150087</t>
  </si>
  <si>
    <t>MG51507150088</t>
  </si>
  <si>
    <t>MG51507150089</t>
  </si>
  <si>
    <t>MG51507150090</t>
  </si>
  <si>
    <t>MG51507150091</t>
  </si>
  <si>
    <t>MG51507150092</t>
  </si>
  <si>
    <t>MG51507150093</t>
  </si>
  <si>
    <t>MG51507150094</t>
  </si>
  <si>
    <t>MG51507150095</t>
  </si>
  <si>
    <t>MG51507150096</t>
  </si>
  <si>
    <t>MG51507150097</t>
  </si>
  <si>
    <t>MG51507150098</t>
  </si>
  <si>
    <t>MG51507150099</t>
  </si>
  <si>
    <t>MG51507150112</t>
  </si>
  <si>
    <t>MG51507150128</t>
  </si>
  <si>
    <t>MG51507150129</t>
  </si>
  <si>
    <t>MG51505071019</t>
  </si>
  <si>
    <t>MG51521050002</t>
  </si>
  <si>
    <t>MG53519150008</t>
  </si>
  <si>
    <t>MG52516013003</t>
  </si>
  <si>
    <t>MG52516013008</t>
  </si>
  <si>
    <t>MG52516013054</t>
  </si>
  <si>
    <t>MG52516013055</t>
  </si>
  <si>
    <t>MG52516013056</t>
  </si>
  <si>
    <t>MG53519170001</t>
  </si>
  <si>
    <t>MG25213390001</t>
  </si>
  <si>
    <t>MG24216192003</t>
  </si>
  <si>
    <t>MG25213370001</t>
  </si>
  <si>
    <t>MG25213370005</t>
  </si>
  <si>
    <t>MG25213010002</t>
  </si>
  <si>
    <t>MG25213010041</t>
  </si>
  <si>
    <t>MG25213010045</t>
  </si>
  <si>
    <t>MG25214290004</t>
  </si>
  <si>
    <t>MG25214290006</t>
  </si>
  <si>
    <t>MG53515170003</t>
  </si>
  <si>
    <t>MG25214332006</t>
  </si>
  <si>
    <t>MG25214332034</t>
  </si>
  <si>
    <t>MG25214111010</t>
  </si>
  <si>
    <t>MG25214111011</t>
  </si>
  <si>
    <t>MG51507290003</t>
  </si>
  <si>
    <t>MG51507290037</t>
  </si>
  <si>
    <t>MG51507290041</t>
  </si>
  <si>
    <t>MG51507290045</t>
  </si>
  <si>
    <t>MG51507290067</t>
  </si>
  <si>
    <t>MG51507290082</t>
  </si>
  <si>
    <t>MG51507290087</t>
  </si>
  <si>
    <t>MG51507290089</t>
  </si>
  <si>
    <t>MG51507290090</t>
  </si>
  <si>
    <t>MG51507290091</t>
  </si>
  <si>
    <t>MG51507210009</t>
  </si>
  <si>
    <t>MG51507210016</t>
  </si>
  <si>
    <t>MG51507210057</t>
  </si>
  <si>
    <t>MG51507210081</t>
  </si>
  <si>
    <t>MG51507210082</t>
  </si>
  <si>
    <t>MG51507210083</t>
  </si>
  <si>
    <t>MG51507210084</t>
  </si>
  <si>
    <t>MG51507210085</t>
  </si>
  <si>
    <t>MG51507210086</t>
  </si>
  <si>
    <t>MG51507210087</t>
  </si>
  <si>
    <t>MG25213210001</t>
  </si>
  <si>
    <t>MG25213210007</t>
  </si>
  <si>
    <t>MG25217052001</t>
  </si>
  <si>
    <t>MG25217052003</t>
  </si>
  <si>
    <t>MG51512012006</t>
  </si>
  <si>
    <t>Bemelo</t>
  </si>
  <si>
    <t>MG53517130001</t>
  </si>
  <si>
    <t>Ianabinda</t>
  </si>
  <si>
    <t>MG53517130003</t>
  </si>
  <si>
    <t>Ankaroka Toby</t>
  </si>
  <si>
    <t>MG53517130007</t>
  </si>
  <si>
    <t>Antatabe</t>
  </si>
  <si>
    <t>MG53517130008</t>
  </si>
  <si>
    <t>Voronkafotra Toby</t>
  </si>
  <si>
    <t>MG53517130012</t>
  </si>
  <si>
    <t>MG53517130085</t>
  </si>
  <si>
    <t>MG54511011010</t>
  </si>
  <si>
    <t>MG24218010013</t>
  </si>
  <si>
    <t>Bekininy</t>
  </si>
  <si>
    <t>MG51506090011</t>
  </si>
  <si>
    <t>MG53517310001</t>
  </si>
  <si>
    <t>MG53517310003</t>
  </si>
  <si>
    <t>Ampandratolony</t>
  </si>
  <si>
    <t>MG53517310005</t>
  </si>
  <si>
    <t>Ambatomihala</t>
  </si>
  <si>
    <t>MG53517310006</t>
  </si>
  <si>
    <t>Ankasy</t>
  </si>
  <si>
    <t>MG53517310008</t>
  </si>
  <si>
    <t>Antanandava Andrefana</t>
  </si>
  <si>
    <t>MG53517310012</t>
  </si>
  <si>
    <t>MG53517310014</t>
  </si>
  <si>
    <t>MG53517310015</t>
  </si>
  <si>
    <t>Vohitelo</t>
  </si>
  <si>
    <t>MG53517310054</t>
  </si>
  <si>
    <t>MG53517310067</t>
  </si>
  <si>
    <t>MG25214230001</t>
  </si>
  <si>
    <t>MG51507250008</t>
  </si>
  <si>
    <t>MG52518251004</t>
  </si>
  <si>
    <t>MG53519090002</t>
  </si>
  <si>
    <t>MG53519090011</t>
  </si>
  <si>
    <t>Ifotaka D.P.</t>
  </si>
  <si>
    <t>MG53519090015</t>
  </si>
  <si>
    <t>Tsaripioky</t>
  </si>
  <si>
    <t>MG53519090057</t>
  </si>
  <si>
    <t>MG23212090004</t>
  </si>
  <si>
    <t>MG25213551001</t>
  </si>
  <si>
    <t>MG23210190005</t>
  </si>
  <si>
    <t>Ambohimiary</t>
  </si>
  <si>
    <t>MG23211011003</t>
  </si>
  <si>
    <t>MG23211011007</t>
  </si>
  <si>
    <t>MG23211011009</t>
  </si>
  <si>
    <t>Antekoho</t>
  </si>
  <si>
    <t>MG23211011010</t>
  </si>
  <si>
    <t>Sahavondrony</t>
  </si>
  <si>
    <t>MG23211011011</t>
  </si>
  <si>
    <t>Ambohimahasoa Nord</t>
  </si>
  <si>
    <t>MG23211011012</t>
  </si>
  <si>
    <t>Papango</t>
  </si>
  <si>
    <t>MG23211011016</t>
  </si>
  <si>
    <t>Mangarivotra</t>
  </si>
  <si>
    <t>MG23211011020</t>
  </si>
  <si>
    <t>Antavolo</t>
  </si>
  <si>
    <t>MG23211011029</t>
  </si>
  <si>
    <t>Sahavandra</t>
  </si>
  <si>
    <t>MG23211011030</t>
  </si>
  <si>
    <t>Tsaratanteraka</t>
  </si>
  <si>
    <t>MG23211011031</t>
  </si>
  <si>
    <t>Volarivo</t>
  </si>
  <si>
    <t>MG23A21101108</t>
  </si>
  <si>
    <t>Ambatolampy</t>
  </si>
  <si>
    <t>MG25213210008</t>
  </si>
  <si>
    <t>Amboangisay</t>
  </si>
  <si>
    <t>MG25214171015</t>
  </si>
  <si>
    <t>Sahakondro</t>
  </si>
  <si>
    <t>MG33313194001</t>
  </si>
  <si>
    <t>Andromba</t>
  </si>
  <si>
    <t>MG52516190001</t>
  </si>
  <si>
    <t>MG52516190008</t>
  </si>
  <si>
    <t>MG52516190009</t>
  </si>
  <si>
    <t>MG52516190011</t>
  </si>
  <si>
    <t>MG53515115007</t>
  </si>
  <si>
    <t>Andemby</t>
  </si>
  <si>
    <t>MG53515115072</t>
  </si>
  <si>
    <t>MG25222051003</t>
  </si>
  <si>
    <t>MG24218050006</t>
  </si>
  <si>
    <t>Antanandava Sud</t>
  </si>
  <si>
    <t>MG51507030002</t>
  </si>
  <si>
    <t>MG53517291001</t>
  </si>
  <si>
    <t>Isoanala Sud</t>
  </si>
  <si>
    <t>MG53517291002</t>
  </si>
  <si>
    <t>Isoanala Nord</t>
  </si>
  <si>
    <t>MG53517291003</t>
  </si>
  <si>
    <t>Androka</t>
  </si>
  <si>
    <t>MG53517291004</t>
  </si>
  <si>
    <t>Marovala Toby</t>
  </si>
  <si>
    <t>MG53517291006</t>
  </si>
  <si>
    <t>Lavalila</t>
  </si>
  <si>
    <t>MG53517291009</t>
  </si>
  <si>
    <t>Vohitsevo</t>
  </si>
  <si>
    <t>MG53517291011</t>
  </si>
  <si>
    <t>Beraketa Sud</t>
  </si>
  <si>
    <t>MG53517291035</t>
  </si>
  <si>
    <t>MG53517291067</t>
  </si>
  <si>
    <t>MG53517291084</t>
  </si>
  <si>
    <t>MG53517291099</t>
  </si>
  <si>
    <t>BENONOKY</t>
  </si>
  <si>
    <t>MG51507310019</t>
  </si>
  <si>
    <t>MG51507310032</t>
  </si>
  <si>
    <t>MG51507310070</t>
  </si>
  <si>
    <t>MG51507310081</t>
  </si>
  <si>
    <t>MG51507310083</t>
  </si>
  <si>
    <t>MG51507310084</t>
  </si>
  <si>
    <t>MG51507310085</t>
  </si>
  <si>
    <t>MG51507310095</t>
  </si>
  <si>
    <t>MG51507310096</t>
  </si>
  <si>
    <t>MG51507310098</t>
  </si>
  <si>
    <t>MG25213110001</t>
  </si>
  <si>
    <t>MG25213110002</t>
  </si>
  <si>
    <t>MG25213110005</t>
  </si>
  <si>
    <t>MG51521031003</t>
  </si>
  <si>
    <t>MG25217130003</t>
  </si>
  <si>
    <t>MG25217130005</t>
  </si>
  <si>
    <t>MG31307070008</t>
  </si>
  <si>
    <t>MG25215051001</t>
  </si>
  <si>
    <t>MG25215051056</t>
  </si>
  <si>
    <t>MG52516170006</t>
  </si>
  <si>
    <t>Anjakamba Haut</t>
  </si>
  <si>
    <t>MG52516170027</t>
  </si>
  <si>
    <t>Ambory Bas</t>
  </si>
  <si>
    <t>MG52516170030</t>
  </si>
  <si>
    <t>Ankotsobe</t>
  </si>
  <si>
    <t>MG52516170069</t>
  </si>
  <si>
    <t>MG52516170070</t>
  </si>
  <si>
    <t>MG52516170080</t>
  </si>
  <si>
    <t>MG25217111001</t>
  </si>
  <si>
    <t>MG25217111006</t>
  </si>
  <si>
    <t>MG25217111011</t>
  </si>
  <si>
    <t>Karimbary</t>
  </si>
  <si>
    <t>MG25214252046</t>
  </si>
  <si>
    <t>MG52513050008</t>
  </si>
  <si>
    <t>MG52513050014</t>
  </si>
  <si>
    <t>Anjapoty</t>
  </si>
  <si>
    <t>MG52513050078</t>
  </si>
  <si>
    <t>MG52513050079</t>
  </si>
  <si>
    <t>MG52513070017</t>
  </si>
  <si>
    <t>Anjedava</t>
  </si>
  <si>
    <t>MG52514050011</t>
  </si>
  <si>
    <t>MG52514050080</t>
  </si>
  <si>
    <t>MG25214131001</t>
  </si>
  <si>
    <t>MG25213472003</t>
  </si>
  <si>
    <t>MG25214091001</t>
  </si>
  <si>
    <t>MG53517168056</t>
  </si>
  <si>
    <t>MG53517170004</t>
  </si>
  <si>
    <t>MG53517170006</t>
  </si>
  <si>
    <t>MG53517170007</t>
  </si>
  <si>
    <t>Benonoka I</t>
  </si>
  <si>
    <t>MG53517170010</t>
  </si>
  <si>
    <t>Manevy</t>
  </si>
  <si>
    <t>MG53517170011</t>
  </si>
  <si>
    <t>Riandampy</t>
  </si>
  <si>
    <t>MG53517270002</t>
  </si>
  <si>
    <t>Ankeniheny</t>
  </si>
  <si>
    <t>MG53519090003</t>
  </si>
  <si>
    <t>MG54510152006</t>
  </si>
  <si>
    <t>MG25213170023</t>
  </si>
  <si>
    <t>Iabomary</t>
  </si>
  <si>
    <t>MG25213170024</t>
  </si>
  <si>
    <t>MG52513010010</t>
  </si>
  <si>
    <t>MG52513010017</t>
  </si>
  <si>
    <t>MG25213170001</t>
  </si>
  <si>
    <t>MG25213170004</t>
  </si>
  <si>
    <t>MG23211073002</t>
  </si>
  <si>
    <t>MG31309050022</t>
  </si>
  <si>
    <t>MG53519190005</t>
  </si>
  <si>
    <t>MG53519190007</t>
  </si>
  <si>
    <t>Adabolava Sud</t>
  </si>
  <si>
    <t>MG53519190075</t>
  </si>
  <si>
    <t>MG25217030009</t>
  </si>
  <si>
    <t>MG25217030010</t>
  </si>
  <si>
    <t>MG25217030076</t>
  </si>
  <si>
    <t>MG23210190003</t>
  </si>
  <si>
    <t>MG25213150006</t>
  </si>
  <si>
    <t>MG25217150005</t>
  </si>
  <si>
    <t>MG25217051002</t>
  </si>
  <si>
    <t>MG25217051005</t>
  </si>
  <si>
    <t>MG25217051006</t>
  </si>
  <si>
    <t>MG25213290004</t>
  </si>
  <si>
    <t>MG25215032078</t>
  </si>
  <si>
    <t>MG52513070008</t>
  </si>
  <si>
    <t>Amborignabo</t>
  </si>
  <si>
    <t>MG52518130001</t>
  </si>
  <si>
    <t>Manakompy</t>
  </si>
  <si>
    <t>MG52518130009</t>
  </si>
  <si>
    <t>MG52518130012</t>
  </si>
  <si>
    <t>Anja Ouest</t>
  </si>
  <si>
    <t>MG52518130015</t>
  </si>
  <si>
    <t>Maikandro</t>
  </si>
  <si>
    <t>MG52518130098</t>
  </si>
  <si>
    <t>MG51506170001</t>
  </si>
  <si>
    <t>MG51506170009</t>
  </si>
  <si>
    <t>MG23210330004</t>
  </si>
  <si>
    <t>MG25217012001</t>
  </si>
  <si>
    <t>Antsoro I</t>
  </si>
  <si>
    <t>MG25217012003</t>
  </si>
  <si>
    <t>MG25217012009</t>
  </si>
  <si>
    <t>MG25217012012</t>
  </si>
  <si>
    <t>MG25214270087</t>
  </si>
  <si>
    <t>MG25214070006</t>
  </si>
  <si>
    <t>MG25214070043</t>
  </si>
  <si>
    <t>MG25214070044</t>
  </si>
  <si>
    <t>MG25214171005</t>
  </si>
  <si>
    <t>Manambotra</t>
  </si>
  <si>
    <t>MG23211051004</t>
  </si>
  <si>
    <t>Ambaraholona</t>
  </si>
  <si>
    <t>MG31309050012</t>
  </si>
  <si>
    <t>MG25217112003</t>
  </si>
  <si>
    <t>MG25217112006</t>
  </si>
  <si>
    <t>MG53519210001</t>
  </si>
  <si>
    <t>MG53519210005</t>
  </si>
  <si>
    <t>Ampamatoha</t>
  </si>
  <si>
    <t>MG53519210067</t>
  </si>
  <si>
    <t>Maroantsiva</t>
  </si>
  <si>
    <t>MG31306070016</t>
  </si>
  <si>
    <t>MG41415032001</t>
  </si>
  <si>
    <t>MG51507090001</t>
  </si>
  <si>
    <t>MG51507090002</t>
  </si>
  <si>
    <t>MG51507090004</t>
  </si>
  <si>
    <t>MG51507090006</t>
  </si>
  <si>
    <t>MG51507090009</t>
  </si>
  <si>
    <t>MG51507090010</t>
  </si>
  <si>
    <t>MG51507090011</t>
  </si>
  <si>
    <t>MG51507090012</t>
  </si>
  <si>
    <t>MG51507090013</t>
  </si>
  <si>
    <t>MG51507090015</t>
  </si>
  <si>
    <t>MG51507130002</t>
  </si>
  <si>
    <t>MG52516013005</t>
  </si>
  <si>
    <t>MG52516013064</t>
  </si>
  <si>
    <t>MG52516013065</t>
  </si>
  <si>
    <t>MG52516013066</t>
  </si>
  <si>
    <t>MG52516013067</t>
  </si>
  <si>
    <t>MG52516013068</t>
  </si>
  <si>
    <t>MG52516013069</t>
  </si>
  <si>
    <t>MG52516013070</t>
  </si>
  <si>
    <t>MG52516013071</t>
  </si>
  <si>
    <t>MG52516013072</t>
  </si>
  <si>
    <t>MG52516071017</t>
  </si>
  <si>
    <t>MG52516071020</t>
  </si>
  <si>
    <t>MG52516071028</t>
  </si>
  <si>
    <t>MG52516071064</t>
  </si>
  <si>
    <t>MG52516071065</t>
  </si>
  <si>
    <t>MG52516071066</t>
  </si>
  <si>
    <t>MG52516071067</t>
  </si>
  <si>
    <t>MG52516071068</t>
  </si>
  <si>
    <t>MG52513092004</t>
  </si>
  <si>
    <t>MG52516071089</t>
  </si>
  <si>
    <t>MG52516072003</t>
  </si>
  <si>
    <t>MG52516072013</t>
  </si>
  <si>
    <t>MG52516072014</t>
  </si>
  <si>
    <t>MG52516072015</t>
  </si>
  <si>
    <t>Maropia Nord</t>
  </si>
  <si>
    <t>MG52516072071</t>
  </si>
  <si>
    <t>MG52516072072</t>
  </si>
  <si>
    <t>MG52516072073</t>
  </si>
  <si>
    <t>MG52516072074</t>
  </si>
  <si>
    <t>MG52516072075</t>
  </si>
  <si>
    <t>MG52516072076</t>
  </si>
  <si>
    <t>MG52516072077</t>
  </si>
  <si>
    <t>MG52516072078</t>
  </si>
  <si>
    <t>MG52516072079</t>
  </si>
  <si>
    <t>MG52516072080</t>
  </si>
  <si>
    <t>MG52516072081</t>
  </si>
  <si>
    <t>MG52516072082</t>
  </si>
  <si>
    <t>MG52516072083</t>
  </si>
  <si>
    <t>MG52516072084</t>
  </si>
  <si>
    <t>MG52516072085</t>
  </si>
  <si>
    <t>MG52516072086</t>
  </si>
  <si>
    <t>MG52516072087</t>
  </si>
  <si>
    <t>MG52516072088</t>
  </si>
  <si>
    <t>MG52516072089</t>
  </si>
  <si>
    <t>MG52516072090</t>
  </si>
  <si>
    <t>MG52516072091</t>
  </si>
  <si>
    <t>MG51506015005</t>
  </si>
  <si>
    <t>MG51506015002</t>
  </si>
  <si>
    <t>MG51506015003</t>
  </si>
  <si>
    <t>MG51506015004</t>
  </si>
  <si>
    <t>MG51506015007</t>
  </si>
  <si>
    <t>MG51506015008</t>
  </si>
  <si>
    <t>MG51506015009</t>
  </si>
  <si>
    <t>MG51506015012</t>
  </si>
  <si>
    <t>MG51506015013</t>
  </si>
  <si>
    <t>MG51506130014</t>
  </si>
  <si>
    <t>MG51507110a_12</t>
  </si>
  <si>
    <t>MG53515253005</t>
  </si>
  <si>
    <t>MG52513070061</t>
  </si>
  <si>
    <t>MG52513070062</t>
  </si>
  <si>
    <t>MG52513070063</t>
  </si>
  <si>
    <t>MG52513070064</t>
  </si>
  <si>
    <t>MG52513070065</t>
  </si>
  <si>
    <t>MG52513070066</t>
  </si>
  <si>
    <t>MG52513070079</t>
  </si>
  <si>
    <t>MG54509130006</t>
  </si>
  <si>
    <t>MG53517293005</t>
  </si>
  <si>
    <t>MG53519130001</t>
  </si>
  <si>
    <t>MG53519130007</t>
  </si>
  <si>
    <t>MG23211033007</t>
  </si>
  <si>
    <t>Ambohitsarabe</t>
  </si>
  <si>
    <t>MG23211033009</t>
  </si>
  <si>
    <t>Sakevo</t>
  </si>
  <si>
    <t>MG53519250014</t>
  </si>
  <si>
    <t>Marotsiraka</t>
  </si>
  <si>
    <t>MG25213590001</t>
  </si>
  <si>
    <t>Marovandrika</t>
  </si>
  <si>
    <t>MG25213590007</t>
  </si>
  <si>
    <t>MG23209032002</t>
  </si>
  <si>
    <t>MG42411170013</t>
  </si>
  <si>
    <t>MG51504010003</t>
  </si>
  <si>
    <t>MG52514050008</t>
  </si>
  <si>
    <t>MG52514050013</t>
  </si>
  <si>
    <t>MG52514050075</t>
  </si>
  <si>
    <t>MG52514050076</t>
  </si>
  <si>
    <t>MG52514050077</t>
  </si>
  <si>
    <t>MG52514050078</t>
  </si>
  <si>
    <t>MG52514050079</t>
  </si>
  <si>
    <t>MG33312152007</t>
  </si>
  <si>
    <t>Ambendrana</t>
  </si>
  <si>
    <t>MG52516112003</t>
  </si>
  <si>
    <t>Namalaza II</t>
  </si>
  <si>
    <t>MG52516112009</t>
  </si>
  <si>
    <t>Miandrasoa</t>
  </si>
  <si>
    <t>MG52516112076</t>
  </si>
  <si>
    <t>MG52516112077</t>
  </si>
  <si>
    <t>MG52516112078</t>
  </si>
  <si>
    <t>MG52518152051</t>
  </si>
  <si>
    <t>MG52518152052</t>
  </si>
  <si>
    <t>MG52518152053</t>
  </si>
  <si>
    <t>MG52518152054</t>
  </si>
  <si>
    <t>MG52518152055</t>
  </si>
  <si>
    <t>MG52518152056</t>
  </si>
  <si>
    <t>MG25222031001</t>
  </si>
  <si>
    <t>MG51506050003</t>
  </si>
  <si>
    <t>MG51506050008</t>
  </si>
  <si>
    <t>MG51506050009</t>
  </si>
  <si>
    <t>MG51506050010</t>
  </si>
  <si>
    <t>MG51506050014</t>
  </si>
  <si>
    <t>MG51506050018</t>
  </si>
  <si>
    <t>MG51506050024</t>
  </si>
  <si>
    <t>MG51520170006</t>
  </si>
  <si>
    <t>MG52513091a_8</t>
  </si>
  <si>
    <t>MG25214152002</t>
  </si>
  <si>
    <t>MG25214152005</t>
  </si>
  <si>
    <t>MG25214152013</t>
  </si>
  <si>
    <t>MG43408150022</t>
  </si>
  <si>
    <t>MG25214151001</t>
  </si>
  <si>
    <t>MG25214151003</t>
  </si>
  <si>
    <t>MG25213230011</t>
  </si>
  <si>
    <t>MG25215011001</t>
  </si>
  <si>
    <t>MG25215011002</t>
  </si>
  <si>
    <t>MG33316052004</t>
  </si>
  <si>
    <t>MG41405150001</t>
  </si>
  <si>
    <t>MG51506191012</t>
  </si>
  <si>
    <t>MG52518010004</t>
  </si>
  <si>
    <t>MG52518010006</t>
  </si>
  <si>
    <t>MG52518010010</t>
  </si>
  <si>
    <t>MG52518010014</t>
  </si>
  <si>
    <t>MG54502010003</t>
  </si>
  <si>
    <t>MG25217191001</t>
  </si>
  <si>
    <t>MG25217191003</t>
  </si>
  <si>
    <t>MG25217191005</t>
  </si>
  <si>
    <t>MG25213230002</t>
  </si>
  <si>
    <t>Namohora</t>
  </si>
  <si>
    <t>MG53517293001</t>
  </si>
  <si>
    <t>Nanarena Besakoa</t>
  </si>
  <si>
    <t>MG53517293025</t>
  </si>
  <si>
    <t>MG51501006010</t>
  </si>
  <si>
    <t>MG52514012012</t>
  </si>
  <si>
    <t>MG52514012014</t>
  </si>
  <si>
    <t>MG52514012015</t>
  </si>
  <si>
    <t>MG52514012023</t>
  </si>
  <si>
    <t>MG52514012076</t>
  </si>
  <si>
    <t>MG52514012077</t>
  </si>
  <si>
    <t>MG52514012078</t>
  </si>
  <si>
    <t>MG52514012079</t>
  </si>
  <si>
    <t>MG52514012080</t>
  </si>
  <si>
    <t>MG51520170012</t>
  </si>
  <si>
    <t>MG51520170076</t>
  </si>
  <si>
    <t>MG53519292047</t>
  </si>
  <si>
    <t>MG25214190001</t>
  </si>
  <si>
    <t>MG25214190002</t>
  </si>
  <si>
    <t>MG25214190005</t>
  </si>
  <si>
    <t>MG25214190006</t>
  </si>
  <si>
    <t>MG25214190008</t>
  </si>
  <si>
    <t>MG25222051001</t>
  </si>
  <si>
    <t>MG41403050016</t>
  </si>
  <si>
    <t>MG53517332001</t>
  </si>
  <si>
    <t>Sakamahily Ouest</t>
  </si>
  <si>
    <t>MG53517332002</t>
  </si>
  <si>
    <t>Ambinany Sud</t>
  </si>
  <si>
    <t>MG53517332003</t>
  </si>
  <si>
    <t>Ambararata Nord</t>
  </si>
  <si>
    <t>MG54509030003</t>
  </si>
  <si>
    <t>Mahasoa Nord</t>
  </si>
  <si>
    <t>MG51506011022</t>
  </si>
  <si>
    <t>Tsiborake</t>
  </si>
  <si>
    <t>MG51506012065</t>
  </si>
  <si>
    <t>MG51506012067</t>
  </si>
  <si>
    <t>MG51512112005</t>
  </si>
  <si>
    <t>MG51506270006</t>
  </si>
  <si>
    <t>MG53519070002</t>
  </si>
  <si>
    <t>MG53519070005</t>
  </si>
  <si>
    <t>MG53519070006</t>
  </si>
  <si>
    <t>MG53519070011</t>
  </si>
  <si>
    <t>MG53519070012</t>
  </si>
  <si>
    <t>MG25214332003</t>
  </si>
  <si>
    <t>MG25214332007</t>
  </si>
  <si>
    <t>MG25215012004</t>
  </si>
  <si>
    <t>MG42410191005</t>
  </si>
  <si>
    <t>MG52516111089</t>
  </si>
  <si>
    <t>MG52516111134</t>
  </si>
  <si>
    <t>MG52516111009</t>
  </si>
  <si>
    <t>MG52516111012</t>
  </si>
  <si>
    <t>MG52516111015</t>
  </si>
  <si>
    <t>MG52516111017</t>
  </si>
  <si>
    <t>MG52516111045</t>
  </si>
  <si>
    <t>MG52516111046</t>
  </si>
  <si>
    <t>MG52516111047</t>
  </si>
  <si>
    <t>MG52516111048</t>
  </si>
  <si>
    <t>MG52516111049</t>
  </si>
  <si>
    <t>MG52516111050</t>
  </si>
  <si>
    <t>MG52516111051</t>
  </si>
  <si>
    <t>MG52516111052</t>
  </si>
  <si>
    <t>MG52516111053</t>
  </si>
  <si>
    <t>MG52516111054</t>
  </si>
  <si>
    <t>MG52516111055</t>
  </si>
  <si>
    <t>MG52516111057</t>
  </si>
  <si>
    <t>MG52516111058</t>
  </si>
  <si>
    <t>MG52516111059</t>
  </si>
  <si>
    <t>MG52516111078</t>
  </si>
  <si>
    <t>MG53515033003</t>
  </si>
  <si>
    <t>MG53519010013</t>
  </si>
  <si>
    <t>MG25215052001</t>
  </si>
  <si>
    <t>MG25215052022</t>
  </si>
  <si>
    <t>MG51506192003</t>
  </si>
  <si>
    <t>MG51506210001</t>
  </si>
  <si>
    <t>MG51506210002</t>
  </si>
  <si>
    <t>MG51506210026</t>
  </si>
  <si>
    <t>MG51506210030</t>
  </si>
  <si>
    <t>MG51506252002</t>
  </si>
  <si>
    <t>MG51506252004</t>
  </si>
  <si>
    <t>MG51506252013</t>
  </si>
  <si>
    <t>MG52518152009</t>
  </si>
  <si>
    <t>MG25214070001</t>
  </si>
  <si>
    <t>MG44402072009</t>
  </si>
  <si>
    <t>MG51506090007</t>
  </si>
  <si>
    <t>MG23211072006</t>
  </si>
  <si>
    <t>Vohiboanjo</t>
  </si>
  <si>
    <t>MG25215011003</t>
  </si>
  <si>
    <t>Nanarena</t>
  </si>
  <si>
    <t>MG42409150006</t>
  </si>
  <si>
    <t>MG52518210001</t>
  </si>
  <si>
    <t>MG52518210002</t>
  </si>
  <si>
    <t>MG25213430008</t>
  </si>
  <si>
    <t>MG53519050016</t>
  </si>
  <si>
    <t>Antsovela Sama</t>
  </si>
  <si>
    <t>MG25213230013</t>
  </si>
  <si>
    <t>MG43408150044</t>
  </si>
  <si>
    <t>MG51501001003</t>
  </si>
  <si>
    <t>Toliara Centre</t>
  </si>
  <si>
    <t>MG51501005001</t>
  </si>
  <si>
    <t>Betania Centre</t>
  </si>
  <si>
    <t>MG53519270001</t>
  </si>
  <si>
    <t>MG51506111001</t>
  </si>
  <si>
    <t>MG51506111015</t>
  </si>
  <si>
    <t>MG51506111017</t>
  </si>
  <si>
    <t>MG51506111018</t>
  </si>
  <si>
    <t>MG53515111005</t>
  </si>
  <si>
    <t>MG54502070002</t>
  </si>
  <si>
    <t>MG25213450006</t>
  </si>
  <si>
    <t>MG25213450010</t>
  </si>
  <si>
    <t>MG53519110001</t>
  </si>
  <si>
    <t>Tranomaro I</t>
  </si>
  <si>
    <t>MG53519110009</t>
  </si>
  <si>
    <t>MG53519110013</t>
  </si>
  <si>
    <t>Tsilamaha I</t>
  </si>
  <si>
    <t>MG53519110058</t>
  </si>
  <si>
    <t>MG52513030075</t>
  </si>
  <si>
    <t>MG52513030076</t>
  </si>
  <si>
    <t>MG52513030077</t>
  </si>
  <si>
    <t>MG52513091007</t>
  </si>
  <si>
    <t>MG52513091010</t>
  </si>
  <si>
    <t>MG52513091019</t>
  </si>
  <si>
    <t>MG51507030004</t>
  </si>
  <si>
    <t>MG52513030001</t>
  </si>
  <si>
    <t>MG52513030002</t>
  </si>
  <si>
    <t>Masombaho</t>
  </si>
  <si>
    <t>MG52513030003</t>
  </si>
  <si>
    <t>MG52513030005</t>
  </si>
  <si>
    <t>Tsimilafika</t>
  </si>
  <si>
    <t>MG52513030007</t>
  </si>
  <si>
    <t>MG52513030008</t>
  </si>
  <si>
    <t>MG52513030009</t>
  </si>
  <si>
    <t>MG52513030010</t>
  </si>
  <si>
    <t>Analalava</t>
  </si>
  <si>
    <t>MG52513030012</t>
  </si>
  <si>
    <t>MG52513030013</t>
  </si>
  <si>
    <t>MG52513030018</t>
  </si>
  <si>
    <t>MG52513030019</t>
  </si>
  <si>
    <t>Savilintotsy</t>
  </si>
  <si>
    <t>MG52513030020</t>
  </si>
  <si>
    <t>Ananademby</t>
  </si>
  <si>
    <t>MG52513030021</t>
  </si>
  <si>
    <t>MG52513030023</t>
  </si>
  <si>
    <t>Soamagnitse I</t>
  </si>
  <si>
    <t>MG52513030071</t>
  </si>
  <si>
    <t>MG52513030072</t>
  </si>
  <si>
    <t>MG52513030073</t>
  </si>
  <si>
    <t>MG52513030074</t>
  </si>
  <si>
    <t>MG25214032001</t>
  </si>
  <si>
    <t>MG71713170004</t>
  </si>
  <si>
    <t>MG23210271003</t>
  </si>
  <si>
    <t>MG25214050006</t>
  </si>
  <si>
    <t>MG51504010007</t>
  </si>
  <si>
    <t>MG52514011022</t>
  </si>
  <si>
    <t>MG52514011023</t>
  </si>
  <si>
    <t>MG52514011025</t>
  </si>
  <si>
    <t>MG52514011037</t>
  </si>
  <si>
    <t>MG52514011038</t>
  </si>
  <si>
    <t>MG52514011045</t>
  </si>
  <si>
    <t>MG52514011081</t>
  </si>
  <si>
    <t>MG52514011082</t>
  </si>
  <si>
    <t>MG52514011083</t>
  </si>
  <si>
    <t>MG52514011084</t>
  </si>
  <si>
    <t>MG52514011085</t>
  </si>
  <si>
    <t>MG52514011086</t>
  </si>
  <si>
    <t>MG52514011087</t>
  </si>
  <si>
    <t>MG52514011088</t>
  </si>
  <si>
    <t>MG52514011089</t>
  </si>
  <si>
    <t>MG52518110001</t>
  </si>
  <si>
    <t>Tsikolaky</t>
  </si>
  <si>
    <t>MG52518110002</t>
  </si>
  <si>
    <t>MG52518110004</t>
  </si>
  <si>
    <t>Belio Haut</t>
  </si>
  <si>
    <t>MG52518110007</t>
  </si>
  <si>
    <t>Ankilimilopaky</t>
  </si>
  <si>
    <t>MG52518110077</t>
  </si>
  <si>
    <t>MG52518092056</t>
  </si>
  <si>
    <t>MG52518092057</t>
  </si>
  <si>
    <t>MG25214010003</t>
  </si>
  <si>
    <t>MG25214010005</t>
  </si>
  <si>
    <t>MG25214010010</t>
  </si>
  <si>
    <t>Tsipanga II</t>
  </si>
  <si>
    <t>MG25214010012</t>
  </si>
  <si>
    <t>MG51506130032</t>
  </si>
  <si>
    <t>MG51506130033</t>
  </si>
  <si>
    <t>MG25217192001</t>
  </si>
  <si>
    <t>MG25217192002</t>
  </si>
  <si>
    <t>MG25217192003</t>
  </si>
  <si>
    <t>MG25217192004</t>
  </si>
  <si>
    <t>MG25213050003</t>
  </si>
  <si>
    <t>MG25213050044</t>
  </si>
  <si>
    <t>MG25213050045</t>
  </si>
  <si>
    <t>MG25213570011</t>
  </si>
  <si>
    <t>MG32315010005</t>
  </si>
  <si>
    <t>MG25214112005</t>
  </si>
  <si>
    <t>MG25214312004</t>
  </si>
  <si>
    <t>MG25214312006</t>
  </si>
  <si>
    <t>MG52518252005</t>
  </si>
  <si>
    <t>MG52518252006</t>
  </si>
  <si>
    <t>MG52518252056</t>
  </si>
  <si>
    <t>MG52518252057</t>
  </si>
  <si>
    <t>MG52518252058</t>
  </si>
  <si>
    <t>MG25217071001</t>
  </si>
  <si>
    <t>Ratsimanahy</t>
  </si>
  <si>
    <t>MG25217071005</t>
  </si>
  <si>
    <t>MG25213030003</t>
  </si>
  <si>
    <t>MG25213030006</t>
  </si>
  <si>
    <t>MG25214171001</t>
  </si>
  <si>
    <t>MG43404171013</t>
  </si>
  <si>
    <t>MG51507250003</t>
  </si>
  <si>
    <t>MG51507250005</t>
  </si>
  <si>
    <t>MG51507250057</t>
  </si>
  <si>
    <t>MG51507250058</t>
  </si>
  <si>
    <t>MG51507250059</t>
  </si>
  <si>
    <t>MG51507250060</t>
  </si>
  <si>
    <t>MG51507250061</t>
  </si>
  <si>
    <t>MG51507250062</t>
  </si>
  <si>
    <t>MG51507250063</t>
  </si>
  <si>
    <t>MG25214111001</t>
  </si>
  <si>
    <t>MG25213090001</t>
  </si>
  <si>
    <t>MG51512130006</t>
  </si>
  <si>
    <t>MG25217011002</t>
  </si>
  <si>
    <t>MG25217011003</t>
  </si>
  <si>
    <t>MG25217011004</t>
  </si>
  <si>
    <t>MG43404070006</t>
  </si>
  <si>
    <t>Grand Total</t>
  </si>
  <si>
    <t>Adm2Name</t>
  </si>
  <si>
    <t>Antanimora Atsimo</t>
  </si>
  <si>
    <t>Ampanihy Ouest</t>
  </si>
  <si>
    <t>Mananjary</t>
  </si>
  <si>
    <t>Farafangana</t>
  </si>
  <si>
    <t>Tsihombe</t>
  </si>
  <si>
    <t>Amboasary-Atsimo</t>
  </si>
  <si>
    <t>Betroka</t>
  </si>
  <si>
    <t>Manakara Atsimo</t>
  </si>
  <si>
    <t>Ambovombe-Androy</t>
  </si>
  <si>
    <t>Betioky Atsimo</t>
  </si>
  <si>
    <t>Toliary-II</t>
  </si>
  <si>
    <t>Vondrozo</t>
  </si>
  <si>
    <t>Vangaindrano</t>
  </si>
  <si>
    <t>BELOHA</t>
  </si>
  <si>
    <t>Vohipeno</t>
  </si>
  <si>
    <t>Ikongo</t>
  </si>
  <si>
    <t>Antanimora Sud</t>
  </si>
  <si>
    <t>Midongy-Atsimo</t>
  </si>
  <si>
    <t>Toliary-I</t>
  </si>
  <si>
    <t>Taolagnaro</t>
  </si>
  <si>
    <t>Ambositra</t>
  </si>
  <si>
    <t>Manandriana</t>
  </si>
  <si>
    <t>Arivonimamo</t>
  </si>
  <si>
    <t>AMBOASARY ATSIMO</t>
  </si>
  <si>
    <t>ANTSIRABE II</t>
  </si>
  <si>
    <t>Ifanadiana</t>
  </si>
  <si>
    <t>Morombe</t>
  </si>
  <si>
    <t>Sakaraha</t>
  </si>
  <si>
    <t>Adm1Name</t>
  </si>
  <si>
    <t>Adm1Code</t>
  </si>
  <si>
    <t>Adm2Code</t>
  </si>
  <si>
    <t>Adm3Name</t>
  </si>
  <si>
    <t>Adm3Code</t>
  </si>
  <si>
    <t>Amoron I Mania</t>
  </si>
  <si>
    <t>MG22</t>
  </si>
  <si>
    <t>MG53519</t>
  </si>
  <si>
    <t>Alakamisy</t>
  </si>
  <si>
    <t>MG12118050</t>
  </si>
  <si>
    <t>Vakinankaratra</t>
  </si>
  <si>
    <t>MAHALY</t>
  </si>
  <si>
    <t>Androy</t>
  </si>
  <si>
    <t>MG52</t>
  </si>
  <si>
    <t>Ambahikily</t>
  </si>
  <si>
    <t>MG51504050</t>
  </si>
  <si>
    <t>Atsimo Andrefana</t>
  </si>
  <si>
    <t>MG53</t>
  </si>
  <si>
    <t>MG22203</t>
  </si>
  <si>
    <t>MG52518151</t>
  </si>
  <si>
    <t>MG51</t>
  </si>
  <si>
    <t>MG52516</t>
  </si>
  <si>
    <t>Ambalasoa</t>
  </si>
  <si>
    <t>MG53517070</t>
  </si>
  <si>
    <t>Atsimo Atsinanana</t>
  </si>
  <si>
    <t>MG25</t>
  </si>
  <si>
    <t>MG51507</t>
  </si>
  <si>
    <t>MG25213471</t>
  </si>
  <si>
    <t>Fitovinany</t>
  </si>
  <si>
    <t>MG23A</t>
  </si>
  <si>
    <t>MG52516a</t>
  </si>
  <si>
    <t>Ambalavato Antevato</t>
  </si>
  <si>
    <t>MG25213552</t>
  </si>
  <si>
    <t>Mahaenegne</t>
  </si>
  <si>
    <t>ITASY</t>
  </si>
  <si>
    <t>MG13</t>
  </si>
  <si>
    <t>MG25213410</t>
  </si>
  <si>
    <t>MG12</t>
  </si>
  <si>
    <t>MG12118</t>
  </si>
  <si>
    <t>MG52516031</t>
  </si>
  <si>
    <t>MG42</t>
  </si>
  <si>
    <t>MG13105</t>
  </si>
  <si>
    <t>Ambatoabo</t>
  </si>
  <si>
    <t>MG53515112</t>
  </si>
  <si>
    <t>Vatovavy</t>
  </si>
  <si>
    <t>MG23</t>
  </si>
  <si>
    <t>MG25222</t>
  </si>
  <si>
    <t>MG23211031</t>
  </si>
  <si>
    <t>Sihanamaro</t>
  </si>
  <si>
    <t>MG52518</t>
  </si>
  <si>
    <t>MG25214212</t>
  </si>
  <si>
    <t>MG52513</t>
  </si>
  <si>
    <t>AMBATOMAINTY</t>
  </si>
  <si>
    <t>MG33312031</t>
  </si>
  <si>
    <t>MG51506</t>
  </si>
  <si>
    <t>Ambatomanjaka</t>
  </si>
  <si>
    <t>MG13112050</t>
  </si>
  <si>
    <t>MG53517</t>
  </si>
  <si>
    <t>AMBATOMIVARY</t>
  </si>
  <si>
    <t>MG53517350</t>
  </si>
  <si>
    <t>MG25213</t>
  </si>
  <si>
    <t>MG52518091</t>
  </si>
  <si>
    <t>MAROALOMAINTY</t>
  </si>
  <si>
    <t>MG23206</t>
  </si>
  <si>
    <t>MG52513091a</t>
  </si>
  <si>
    <t>MG23211</t>
  </si>
  <si>
    <t>MG51506013</t>
  </si>
  <si>
    <t>MG23210</t>
  </si>
  <si>
    <t>MG52516092</t>
  </si>
  <si>
    <t>MG22223</t>
  </si>
  <si>
    <t>MG23210070</t>
  </si>
  <si>
    <t>MG23209</t>
  </si>
  <si>
    <t>Ambinany</t>
  </si>
  <si>
    <t>MG51512150</t>
  </si>
  <si>
    <t>Beheloka</t>
  </si>
  <si>
    <t>MG13112</t>
  </si>
  <si>
    <t>Amboanjo</t>
  </si>
  <si>
    <t>MG23210171</t>
  </si>
  <si>
    <t>MG25215</t>
  </si>
  <si>
    <t>Amboasary Atsimo</t>
  </si>
  <si>
    <t>MG53519010</t>
  </si>
  <si>
    <t>Sampona</t>
  </si>
  <si>
    <t>MG51504</t>
  </si>
  <si>
    <t>Ambodinonoka</t>
  </si>
  <si>
    <t>MG23209391</t>
  </si>
  <si>
    <t>Itampolo</t>
  </si>
  <si>
    <t>MG51512</t>
  </si>
  <si>
    <t>Ambodirano</t>
  </si>
  <si>
    <t>MG25217030b</t>
  </si>
  <si>
    <t>MG53515</t>
  </si>
  <si>
    <t>Ambohibary</t>
  </si>
  <si>
    <t>MG12118331</t>
  </si>
  <si>
    <t>MG51501</t>
  </si>
  <si>
    <t>MG25213270</t>
  </si>
  <si>
    <t>MG51520</t>
  </si>
  <si>
    <t>Ambohimahavelona</t>
  </si>
  <si>
    <t>MG51520111</t>
  </si>
  <si>
    <t>MG52514</t>
  </si>
  <si>
    <t>AMBOHIMALAZA</t>
  </si>
  <si>
    <t>MG52516033</t>
  </si>
  <si>
    <t>MG25214</t>
  </si>
  <si>
    <t>MG25217090</t>
  </si>
  <si>
    <t>MG23212</t>
  </si>
  <si>
    <t>MG25213330</t>
  </si>
  <si>
    <t>MG25217</t>
  </si>
  <si>
    <t>Ambohimisafy</t>
  </si>
  <si>
    <t>MG23211092</t>
  </si>
  <si>
    <t>Ambolomadinika</t>
  </si>
  <si>
    <t>MG23211012</t>
  </si>
  <si>
    <t>AMBONAIVO</t>
  </si>
  <si>
    <t>MG52516050</t>
  </si>
  <si>
    <t>MG52516091</t>
  </si>
  <si>
    <t>Fotadrevo</t>
  </si>
  <si>
    <t>MG25214211</t>
  </si>
  <si>
    <t>MG51507050</t>
  </si>
  <si>
    <t>Amborondra</t>
  </si>
  <si>
    <t>MG23210430</t>
  </si>
  <si>
    <t>Ambositra I</t>
  </si>
  <si>
    <t>MG22203010</t>
  </si>
  <si>
    <t>Ambositra II</t>
  </si>
  <si>
    <t>MG22203030</t>
  </si>
  <si>
    <t>AMBOVOMBE</t>
  </si>
  <si>
    <t>MG52516011</t>
  </si>
  <si>
    <t>AMPAMATA</t>
  </si>
  <si>
    <t>MG52516152</t>
  </si>
  <si>
    <t>MG51507010</t>
  </si>
  <si>
    <t>MG54509070</t>
  </si>
  <si>
    <t>MG25214031</t>
  </si>
  <si>
    <t>ERADA</t>
  </si>
  <si>
    <t>Ampasimena</t>
  </si>
  <si>
    <t>MG53515230</t>
  </si>
  <si>
    <t>Ampasy Nahampoana</t>
  </si>
  <si>
    <t>MG53515031</t>
  </si>
  <si>
    <t>MG25214132</t>
  </si>
  <si>
    <t>MG25213190</t>
  </si>
  <si>
    <t>Manampatrana</t>
  </si>
  <si>
    <t>Anakao</t>
  </si>
  <si>
    <t>MG51520132</t>
  </si>
  <si>
    <t>Ankazombalala</t>
  </si>
  <si>
    <t>MG53517110</t>
  </si>
  <si>
    <t>Analamisampy</t>
  </si>
  <si>
    <t>MG51520330</t>
  </si>
  <si>
    <t>SAKAMAHILY</t>
  </si>
  <si>
    <t>Analapatsy</t>
  </si>
  <si>
    <t>MG53515114</t>
  </si>
  <si>
    <t>MORAFENO BEKILY</t>
  </si>
  <si>
    <t>MG23210272</t>
  </si>
  <si>
    <t>Anandravy</t>
  </si>
  <si>
    <t>MG25217013</t>
  </si>
  <si>
    <t>Anavoha</t>
  </si>
  <si>
    <t>MG51507290a</t>
  </si>
  <si>
    <t>MG25217170</t>
  </si>
  <si>
    <t>Antanimora</t>
  </si>
  <si>
    <t>MG52516151</t>
  </si>
  <si>
    <t>MAROALOPOTY</t>
  </si>
  <si>
    <t>Andamasiny Vineta</t>
  </si>
  <si>
    <t>MG51512111</t>
  </si>
  <si>
    <t>Andefampony</t>
  </si>
  <si>
    <t>MG23211092a</t>
  </si>
  <si>
    <t>MG22203090</t>
  </si>
  <si>
    <t>MG25217030a</t>
  </si>
  <si>
    <t>MG52516130a</t>
  </si>
  <si>
    <t>ANDRAGNANIVO</t>
  </si>
  <si>
    <t>MG52516170a</t>
  </si>
  <si>
    <t>Maroarivo Ankazomanga</t>
  </si>
  <si>
    <t>Ejeda</t>
  </si>
  <si>
    <t>Andranobory</t>
  </si>
  <si>
    <t>MG53515115</t>
  </si>
  <si>
    <t>Andranohinaly</t>
  </si>
  <si>
    <t>MG51520112</t>
  </si>
  <si>
    <t>MG25215031</t>
  </si>
  <si>
    <t>MG51506191</t>
  </si>
  <si>
    <t>Andranomiely</t>
  </si>
  <si>
    <t>MG13105216</t>
  </si>
  <si>
    <t>MG51507310a</t>
  </si>
  <si>
    <t>MG51507230</t>
  </si>
  <si>
    <t>MG25214112</t>
  </si>
  <si>
    <t>Soamanonga</t>
  </si>
  <si>
    <t>MG52518290</t>
  </si>
  <si>
    <t>Anja Nord</t>
  </si>
  <si>
    <t>MG52518050</t>
  </si>
  <si>
    <t>Anjampaly</t>
  </si>
  <si>
    <t>MG52514032</t>
  </si>
  <si>
    <t>Anjeky Ankilikira</t>
  </si>
  <si>
    <t>MG52516014</t>
  </si>
  <si>
    <t>ANJEKY BEGNANTARA</t>
  </si>
  <si>
    <t>MG53515090</t>
  </si>
  <si>
    <t>Ankarana Miraihina</t>
  </si>
  <si>
    <t>MG25213350</t>
  </si>
  <si>
    <t>ANKARANABO NORD</t>
  </si>
  <si>
    <t>MG52518031</t>
  </si>
  <si>
    <t>BEKOROBO</t>
  </si>
  <si>
    <t>Ankariera</t>
  </si>
  <si>
    <t>MG53515113</t>
  </si>
  <si>
    <t>Tanandava Sud</t>
  </si>
  <si>
    <t>Ankatsakantsa atsimo_Nosy Ambositra</t>
  </si>
  <si>
    <t>MG51504090</t>
  </si>
  <si>
    <t>IANAKAFY</t>
  </si>
  <si>
    <t>Ankazoambo</t>
  </si>
  <si>
    <t>MG22203050</t>
  </si>
  <si>
    <t>MG51506014</t>
  </si>
  <si>
    <t>MG51506130</t>
  </si>
  <si>
    <t>Fenoambany</t>
  </si>
  <si>
    <t>MG25215012</t>
  </si>
  <si>
    <t>MG51507030</t>
  </si>
  <si>
    <t>Ankililoaka</t>
  </si>
  <si>
    <t>MG51520310</t>
  </si>
  <si>
    <t>MG51521031b</t>
  </si>
  <si>
    <t>MG51507130</t>
  </si>
  <si>
    <t>MG51506192</t>
  </si>
  <si>
    <t>MG51507070</t>
  </si>
  <si>
    <t>Anorombato</t>
  </si>
  <si>
    <t>MG23210172</t>
  </si>
  <si>
    <t>MG23209450</t>
  </si>
  <si>
    <t>Anosivelo</t>
  </si>
  <si>
    <t>MG25213050</t>
  </si>
  <si>
    <t>Anosy Tsararafa</t>
  </si>
  <si>
    <t>MG25213070</t>
  </si>
  <si>
    <t>MG51507110</t>
  </si>
  <si>
    <t>MG12118370</t>
  </si>
  <si>
    <t>Antanimieva</t>
  </si>
  <si>
    <t>MG51504130</t>
  </si>
  <si>
    <t>MG52516130</t>
  </si>
  <si>
    <t>MG25222032</t>
  </si>
  <si>
    <t>Antaretra</t>
  </si>
  <si>
    <t>MG23206012</t>
  </si>
  <si>
    <t>MG52514071</t>
  </si>
  <si>
    <t>Anteza</t>
  </si>
  <si>
    <t>MG23210510</t>
  </si>
  <si>
    <t>MG23211112</t>
  </si>
  <si>
    <t>Antohabato</t>
  </si>
  <si>
    <t>MG51506070</t>
  </si>
  <si>
    <t>MG25222031a</t>
  </si>
  <si>
    <t>Antokonala</t>
  </si>
  <si>
    <t>MG25217072</t>
  </si>
  <si>
    <t>MG25222012</t>
  </si>
  <si>
    <t>ANTSAKOAMARO</t>
  </si>
  <si>
    <t>MG52518070</t>
  </si>
  <si>
    <t>Antsenavolo</t>
  </si>
  <si>
    <t>MG23209150</t>
  </si>
  <si>
    <t>MG25213530</t>
  </si>
  <si>
    <t>Basibasy</t>
  </si>
  <si>
    <t>MG51504150</t>
  </si>
  <si>
    <t>Beahitse</t>
  </si>
  <si>
    <t>MG51507190</t>
  </si>
  <si>
    <t>MG51506030</t>
  </si>
  <si>
    <t>MG51507110a</t>
  </si>
  <si>
    <t>Befandefa</t>
  </si>
  <si>
    <t>MG51504030</t>
  </si>
  <si>
    <t>Befandriana Sud</t>
  </si>
  <si>
    <t>MG51504110</t>
  </si>
  <si>
    <t>Gogogogo</t>
  </si>
  <si>
    <t>Befotaka Sud</t>
  </si>
  <si>
    <t>MG25222011</t>
  </si>
  <si>
    <t>BEHABOBO</t>
  </si>
  <si>
    <t>MG52513092</t>
  </si>
  <si>
    <t>MG53519030</t>
  </si>
  <si>
    <t>MG25222052</t>
  </si>
  <si>
    <t>Behazomanga</t>
  </si>
  <si>
    <t>MG52514011b</t>
  </si>
  <si>
    <t>MG51520358</t>
  </si>
  <si>
    <t>Behompy</t>
  </si>
  <si>
    <t>MG51520072</t>
  </si>
  <si>
    <t>MG25214033</t>
  </si>
  <si>
    <t>MG52518230</t>
  </si>
  <si>
    <t>Bekofafa Sud</t>
  </si>
  <si>
    <t>MG25222053</t>
  </si>
  <si>
    <t>MG53517250</t>
  </si>
  <si>
    <t>MG51507170</t>
  </si>
  <si>
    <t>Belalanda</t>
  </si>
  <si>
    <t>MG51520030</t>
  </si>
  <si>
    <t>MG51506311</t>
  </si>
  <si>
    <t>Tovona</t>
  </si>
  <si>
    <t>MG52518170</t>
  </si>
  <si>
    <t>Manambidala</t>
  </si>
  <si>
    <t>Beloha</t>
  </si>
  <si>
    <t>MG52513010</t>
  </si>
  <si>
    <t>MG25214092</t>
  </si>
  <si>
    <t>Maromiandra</t>
  </si>
  <si>
    <t>MG53517150</t>
  </si>
  <si>
    <t>MG51521010</t>
  </si>
  <si>
    <t>Beora</t>
  </si>
  <si>
    <t>MG51506012a</t>
  </si>
  <si>
    <t>MG52518251</t>
  </si>
  <si>
    <t>MG53519050a</t>
  </si>
  <si>
    <t>Beretra Bevoay</t>
  </si>
  <si>
    <t>MG25213250</t>
  </si>
  <si>
    <t>MG51507270</t>
  </si>
  <si>
    <t>MG52518032</t>
  </si>
  <si>
    <t>MG51506112</t>
  </si>
  <si>
    <t>Betanty (Faux Cap)</t>
  </si>
  <si>
    <t>MG52514031</t>
  </si>
  <si>
    <t>BETEZA</t>
  </si>
  <si>
    <t>MG52518190</t>
  </si>
  <si>
    <t>MG51506011</t>
  </si>
  <si>
    <t>Betsinjaka</t>
  </si>
  <si>
    <t>MG51520050</t>
  </si>
  <si>
    <t>MG25215032</t>
  </si>
  <si>
    <t>MG25214251</t>
  </si>
  <si>
    <t>MG52518270</t>
  </si>
  <si>
    <t>Bezaha</t>
  </si>
  <si>
    <t>MG51506150</t>
  </si>
  <si>
    <t>EBELO</t>
  </si>
  <si>
    <t>MG53519291</t>
  </si>
  <si>
    <t>MG25213430</t>
  </si>
  <si>
    <t>MG51520358a</t>
  </si>
  <si>
    <t>Ehara</t>
  </si>
  <si>
    <t>MG51521050</t>
  </si>
  <si>
    <t>MG51507150</t>
  </si>
  <si>
    <t>ELONTY</t>
  </si>
  <si>
    <t>MG53519150</t>
  </si>
  <si>
    <t>MG52516013</t>
  </si>
  <si>
    <t>ESIRA</t>
  </si>
  <si>
    <t>MG53519170</t>
  </si>
  <si>
    <t>Etrotroka Atsimo</t>
  </si>
  <si>
    <t>MG25213390</t>
  </si>
  <si>
    <t>MG25213370</t>
  </si>
  <si>
    <t>Fahizay</t>
  </si>
  <si>
    <t>MG22203190</t>
  </si>
  <si>
    <t>MG25213010</t>
  </si>
  <si>
    <t>MG25214290</t>
  </si>
  <si>
    <t>MG51506230</t>
  </si>
  <si>
    <t>MG25213510</t>
  </si>
  <si>
    <t>Fenomby</t>
  </si>
  <si>
    <t>MG23210390</t>
  </si>
  <si>
    <t>MG25214111a</t>
  </si>
  <si>
    <t>MG51507290</t>
  </si>
  <si>
    <t>Nikoly</t>
  </si>
  <si>
    <t>MG51507210</t>
  </si>
  <si>
    <t>Iaboakoho</t>
  </si>
  <si>
    <t>MG53515132</t>
  </si>
  <si>
    <t>MG25213210</t>
  </si>
  <si>
    <t>MG25217052</t>
  </si>
  <si>
    <t>MG53517130</t>
  </si>
  <si>
    <t>MG53517310</t>
  </si>
  <si>
    <t>MG25214230</t>
  </si>
  <si>
    <t>MG53519090</t>
  </si>
  <si>
    <t>MG25213551</t>
  </si>
  <si>
    <t>IMANOMBO</t>
  </si>
  <si>
    <t>MG23211011</t>
  </si>
  <si>
    <t>MG52516190</t>
  </si>
  <si>
    <t>MG52514072</t>
  </si>
  <si>
    <t>MG25222051a</t>
  </si>
  <si>
    <t>Isahara</t>
  </si>
  <si>
    <t>MG25214311</t>
  </si>
  <si>
    <t>Isaka-Ivondro</t>
  </si>
  <si>
    <t>MG53515052</t>
  </si>
  <si>
    <t>ISOANALA</t>
  </si>
  <si>
    <t>MG53517291</t>
  </si>
  <si>
    <t>MG51507310</t>
  </si>
  <si>
    <t>MG25213110</t>
  </si>
  <si>
    <t>MG22203130</t>
  </si>
  <si>
    <t>MG23212051</t>
  </si>
  <si>
    <t>Ivondro</t>
  </si>
  <si>
    <t>MG25215051</t>
  </si>
  <si>
    <t>Ivony Miaramiasa</t>
  </si>
  <si>
    <t>MG22203070</t>
  </si>
  <si>
    <t>MG52516170</t>
  </si>
  <si>
    <t>MG25217111</t>
  </si>
  <si>
    <t>MG25214252</t>
  </si>
  <si>
    <t>MG23209410</t>
  </si>
  <si>
    <t>MG52513050</t>
  </si>
  <si>
    <t>MG51506330</t>
  </si>
  <si>
    <t>TRANOMARO</t>
  </si>
  <si>
    <t>MG25214131</t>
  </si>
  <si>
    <t>MG25214091</t>
  </si>
  <si>
    <t>MG53517170</t>
  </si>
  <si>
    <t>MG53519090a</t>
  </si>
  <si>
    <t>MG25213310</t>
  </si>
  <si>
    <t>MG52513010a</t>
  </si>
  <si>
    <t>MG25213170</t>
  </si>
  <si>
    <t>MG53519190</t>
  </si>
  <si>
    <t>MG53515131</t>
  </si>
  <si>
    <t>MG23209050</t>
  </si>
  <si>
    <t>MG25217030</t>
  </si>
  <si>
    <t>MG25213150</t>
  </si>
  <si>
    <t>MG23209270</t>
  </si>
  <si>
    <t>MG25217051</t>
  </si>
  <si>
    <t>MG25213290</t>
  </si>
  <si>
    <t>Maliorano</t>
  </si>
  <si>
    <t>MG25215032a</t>
  </si>
  <si>
    <t>MG52518130</t>
  </si>
  <si>
    <t>MG51506170</t>
  </si>
  <si>
    <t>Manambaro</t>
  </si>
  <si>
    <t>MG53515071</t>
  </si>
  <si>
    <t>MG25217012</t>
  </si>
  <si>
    <t>MG25214270</t>
  </si>
  <si>
    <t>Manambotra Atsimo</t>
  </si>
  <si>
    <t>MG25213130</t>
  </si>
  <si>
    <t>MG23211051</t>
  </si>
  <si>
    <t>MG23209010</t>
  </si>
  <si>
    <t>Manantenina</t>
  </si>
  <si>
    <t>MG53515251</t>
  </si>
  <si>
    <t>MG25217112</t>
  </si>
  <si>
    <t>MG53515053</t>
  </si>
  <si>
    <t>Mandromondromotra</t>
  </si>
  <si>
    <t>MG53515032</t>
  </si>
  <si>
    <t>Mandrosohasina</t>
  </si>
  <si>
    <t>MG12118332</t>
  </si>
  <si>
    <t>MG53519210</t>
  </si>
  <si>
    <t>MG51507090</t>
  </si>
  <si>
    <t>Manombo Sud</t>
  </si>
  <si>
    <t>MG51520250</t>
  </si>
  <si>
    <t>Manorofify</t>
  </si>
  <si>
    <t>MG51520192</t>
  </si>
  <si>
    <t>MG52516071</t>
  </si>
  <si>
    <t>MG52516072</t>
  </si>
  <si>
    <t>MG51506015</t>
  </si>
  <si>
    <t>MG23209110</t>
  </si>
  <si>
    <t>MG25214172</t>
  </si>
  <si>
    <t>MG52513070</t>
  </si>
  <si>
    <t>MAROMBY</t>
  </si>
  <si>
    <t>MG53519130</t>
  </si>
  <si>
    <t>MG23211033</t>
  </si>
  <si>
    <t>MG51520090</t>
  </si>
  <si>
    <t>MG23209170</t>
  </si>
  <si>
    <t>MIKAIKARIVO AMBATOMAINTY</t>
  </si>
  <si>
    <t>MG53519250</t>
  </si>
  <si>
    <t>MG25213590</t>
  </si>
  <si>
    <t>MG52514050</t>
  </si>
  <si>
    <t>MG52516112</t>
  </si>
  <si>
    <t>MG52518152</t>
  </si>
  <si>
    <t>MG25222031</t>
  </si>
  <si>
    <t>MG51506050</t>
  </si>
  <si>
    <t>Masianaka</t>
  </si>
  <si>
    <t>MG25214152</t>
  </si>
  <si>
    <t>MG25214151</t>
  </si>
  <si>
    <t>Miandrandra</t>
  </si>
  <si>
    <t>MG13105292</t>
  </si>
  <si>
    <t>Miarinarivo II</t>
  </si>
  <si>
    <t>MG13112030</t>
  </si>
  <si>
    <t>Midongy (Nosifeno)</t>
  </si>
  <si>
    <t>MG25215011</t>
  </si>
  <si>
    <t>MG52518031a</t>
  </si>
  <si>
    <t>Milenaka</t>
  </si>
  <si>
    <t>MG51520290</t>
  </si>
  <si>
    <t>Mitanty</t>
  </si>
  <si>
    <t>MG23210271</t>
  </si>
  <si>
    <t>Mitsinjo Betanimena</t>
  </si>
  <si>
    <t>MG51520010</t>
  </si>
  <si>
    <t>Mizilo Gara</t>
  </si>
  <si>
    <t>MG23210110</t>
  </si>
  <si>
    <t>MG52518010</t>
  </si>
  <si>
    <t>MG51504010</t>
  </si>
  <si>
    <t>MG25217191</t>
  </si>
  <si>
    <t>Namohora Iaborano</t>
  </si>
  <si>
    <t>MG25213472</t>
  </si>
  <si>
    <t>MG53517293</t>
  </si>
  <si>
    <t>MG52514012</t>
  </si>
  <si>
    <t>Tranoroa</t>
  </si>
  <si>
    <t>RANOBE</t>
  </si>
  <si>
    <t>MG53519292</t>
  </si>
  <si>
    <t>MG25214190</t>
  </si>
  <si>
    <t>Ranopiso</t>
  </si>
  <si>
    <t>MG53515111</t>
  </si>
  <si>
    <t>MG25222051</t>
  </si>
  <si>
    <t>Saint Augustin</t>
  </si>
  <si>
    <t>MG51520131</t>
  </si>
  <si>
    <t>MG53517332</t>
  </si>
  <si>
    <t>MG51506012</t>
  </si>
  <si>
    <t>MG51512011</t>
  </si>
  <si>
    <t>MG51506270</t>
  </si>
  <si>
    <t>MG53519070</t>
  </si>
  <si>
    <t>MG25214332</t>
  </si>
  <si>
    <t>MG53515072</t>
  </si>
  <si>
    <t>MG52516111</t>
  </si>
  <si>
    <t>Soahazo</t>
  </si>
  <si>
    <t>MG51520330a</t>
  </si>
  <si>
    <t>MG25215052</t>
  </si>
  <si>
    <t>Soalara Sud</t>
  </si>
  <si>
    <t>MG51520133</t>
  </si>
  <si>
    <t>Soamahamanina</t>
  </si>
  <si>
    <t>MG13112090</t>
  </si>
  <si>
    <t>MG51506210</t>
  </si>
  <si>
    <t>MG25214070</t>
  </si>
  <si>
    <t>Soanierana</t>
  </si>
  <si>
    <t>MG53515033</t>
  </si>
  <si>
    <t>Soaserana</t>
  </si>
  <si>
    <t>MG51506251</t>
  </si>
  <si>
    <t>Soavary</t>
  </si>
  <si>
    <t>MG53515253</t>
  </si>
  <si>
    <t>Talata Tsimadilo</t>
  </si>
  <si>
    <t>MG13105190a</t>
  </si>
  <si>
    <t>MG51506090</t>
  </si>
  <si>
    <t>Tanakambana</t>
  </si>
  <si>
    <t>MG23211072</t>
  </si>
  <si>
    <t>Tanambao Haut</t>
  </si>
  <si>
    <t>MG51506290</t>
  </si>
  <si>
    <t>MG52518092</t>
  </si>
  <si>
    <t>MG52518210</t>
  </si>
  <si>
    <t>Tanandava Mandrare</t>
  </si>
  <si>
    <t>MG53515230a</t>
  </si>
  <si>
    <t>Tanandava station</t>
  </si>
  <si>
    <t>MG51504050a</t>
  </si>
  <si>
    <t>MG53519050</t>
  </si>
  <si>
    <t>MG25213230</t>
  </si>
  <si>
    <t>Taolagnaro Fort-Dauphin</t>
  </si>
  <si>
    <t>MG53515010</t>
  </si>
  <si>
    <t>Toliara</t>
  </si>
  <si>
    <t>MG51501001a</t>
  </si>
  <si>
    <t>TOMBOARIVO</t>
  </si>
  <si>
    <t>MG53519270</t>
  </si>
  <si>
    <t>MG51506111</t>
  </si>
  <si>
    <t>MG25213450</t>
  </si>
  <si>
    <t>MG53519110</t>
  </si>
  <si>
    <t>MG52513091</t>
  </si>
  <si>
    <t>MG52513030</t>
  </si>
  <si>
    <t>Tsarahonenana</t>
  </si>
  <si>
    <t>MG12118350</t>
  </si>
  <si>
    <t>MG23209031</t>
  </si>
  <si>
    <t>MG25214032</t>
  </si>
  <si>
    <t>MG25214050</t>
  </si>
  <si>
    <t>MG23209070</t>
  </si>
  <si>
    <t>MG52514011</t>
  </si>
  <si>
    <t>MG52518110</t>
  </si>
  <si>
    <t>Tsimananada</t>
  </si>
  <si>
    <t>MG52516012</t>
  </si>
  <si>
    <t>MG53519230</t>
  </si>
  <si>
    <t>MG25214010</t>
  </si>
  <si>
    <t>Vatanato</t>
  </si>
  <si>
    <t>MG25214313</t>
  </si>
  <si>
    <t>Vatohandrina</t>
  </si>
  <si>
    <t>MG23209350</t>
  </si>
  <si>
    <t>Vinany Andakatanikely</t>
  </si>
  <si>
    <t>MG22223130</t>
  </si>
  <si>
    <t>MG25217192</t>
  </si>
  <si>
    <t>MG23207090</t>
  </si>
  <si>
    <t>MG23209230</t>
  </si>
  <si>
    <t>MG25213570</t>
  </si>
  <si>
    <t>MG25214312</t>
  </si>
  <si>
    <t>VOHIMANGA</t>
  </si>
  <si>
    <t>MG52518252</t>
  </si>
  <si>
    <t>MG25217071</t>
  </si>
  <si>
    <t>MG25213030</t>
  </si>
  <si>
    <t>MG25214171</t>
  </si>
  <si>
    <t>MG51507250</t>
  </si>
  <si>
    <t>MG25214111</t>
  </si>
  <si>
    <t>MG25213090</t>
  </si>
  <si>
    <t>MG25217011</t>
  </si>
  <si>
    <t>ID</t>
  </si>
  <si>
    <t>Field_office</t>
  </si>
  <si>
    <t>Field_office_code</t>
  </si>
  <si>
    <t>Field_office_code_ancien</t>
  </si>
  <si>
    <t>Adm1Code_ancien</t>
  </si>
  <si>
    <t>Adm2Code_ancien</t>
  </si>
  <si>
    <t>Adm3Code_ancien</t>
  </si>
  <si>
    <t>Adm4Code_ancien</t>
  </si>
  <si>
    <t>POI_code_ancien</t>
  </si>
  <si>
    <t>Tag_Code</t>
  </si>
  <si>
    <t>HHCoord</t>
  </si>
  <si>
    <t>Longitude</t>
  </si>
  <si>
    <t>Latitude</t>
  </si>
  <si>
    <t>Latest Visit</t>
  </si>
  <si>
    <t>Performance</t>
  </si>
  <si>
    <t>Antananarivo</t>
  </si>
  <si>
    <t>ANOSY</t>
  </si>
  <si>
    <t>MANDRITSARA</t>
  </si>
  <si>
    <t>AMBOHITSOA</t>
  </si>
  <si>
    <t>Itasy</t>
  </si>
  <si>
    <t>Manakara</t>
  </si>
  <si>
    <t>ANALAVORY</t>
  </si>
  <si>
    <t>Miarinarivo Ii</t>
  </si>
  <si>
    <t>Ambositra Ii</t>
  </si>
  <si>
    <t>TSARARANO</t>
  </si>
  <si>
    <t>ATSIMO ATSINANANA</t>
  </si>
  <si>
    <t>ANIVOTSARA</t>
  </si>
  <si>
    <t>MAHAVELO</t>
  </si>
  <si>
    <t>AMBOHIMIARINA</t>
  </si>
  <si>
    <t>FENOARIVO</t>
  </si>
  <si>
    <t>IABORANO</t>
  </si>
  <si>
    <t>MAROKARIMA</t>
  </si>
  <si>
    <t>TSIATOSIKA</t>
  </si>
  <si>
    <t>AMPASINDAVA</t>
  </si>
  <si>
    <t>AMPATAKA</t>
  </si>
  <si>
    <t>BESAVOA</t>
  </si>
  <si>
    <t>RANOMENA</t>
  </si>
  <si>
    <t>Tulear</t>
  </si>
  <si>
    <t>Ambovombe</t>
  </si>
  <si>
    <t>VATOLALAKE</t>
  </si>
  <si>
    <t>SARODRANO</t>
  </si>
  <si>
    <t>BEFASY</t>
  </si>
  <si>
    <t>ANDAVABAZA</t>
  </si>
  <si>
    <t>BEFAITSY</t>
  </si>
  <si>
    <t>FANDIOVA</t>
  </si>
  <si>
    <t>HELIBONDRO</t>
  </si>
  <si>
    <t>Ranomainty</t>
  </si>
  <si>
    <t>ANJAMAHAVELO</t>
  </si>
  <si>
    <t>BERAKETA</t>
  </si>
  <si>
    <t>BESELY</t>
  </si>
  <si>
    <t>IFOTAKA CENTRE</t>
  </si>
  <si>
    <t>AMBOVO</t>
  </si>
  <si>
    <t>ANKAZOTA</t>
  </si>
  <si>
    <t>BESAKOA</t>
  </si>
  <si>
    <t>MANINDRA</t>
  </si>
  <si>
    <t>ANKILIMANARA</t>
  </si>
  <si>
    <t>AMPOTOBATO</t>
  </si>
  <si>
    <t>BEVAHY</t>
  </si>
  <si>
    <t>IMANJOLA</t>
  </si>
  <si>
    <t>ANALOALO</t>
  </si>
  <si>
    <t>AMBASY</t>
  </si>
  <si>
    <t>BELALITSE</t>
  </si>
  <si>
    <t>LAMITIHY SUD</t>
  </si>
  <si>
    <t>AMBOLOMAREAGNE</t>
  </si>
  <si>
    <t>ANTANAMBAO</t>
  </si>
  <si>
    <t>AMBONDROMBE</t>
  </si>
  <si>
    <t>BEANANTARA</t>
  </si>
  <si>
    <t>Maroalomainty</t>
  </si>
  <si>
    <t>TSIMIHEVO</t>
  </si>
  <si>
    <t>ANTANIMORA CENTRE</t>
  </si>
  <si>
    <t>MANAVY</t>
  </si>
  <si>
    <t>VOHITSOVA</t>
  </si>
  <si>
    <t>ANKARAGNABO</t>
  </si>
  <si>
    <t>Imanombo</t>
  </si>
  <si>
    <t>Jafaro</t>
  </si>
  <si>
    <t>Andragnanivo</t>
  </si>
  <si>
    <t>ANKILIMALANGY</t>
  </si>
  <si>
    <t>BELAMBO</t>
  </si>
  <si>
    <t>RADABETSIMIVAKY</t>
  </si>
  <si>
    <t>ERAKOKA</t>
  </si>
  <si>
    <t>Maroalopoty</t>
  </si>
  <si>
    <t>BEHABOBO NORD</t>
  </si>
  <si>
    <t>MAROALOPOTY II</t>
  </si>
  <si>
    <t>TANAMBAO SUD</t>
  </si>
  <si>
    <t>SAVARA CENTRE</t>
  </si>
  <si>
    <t>Marovato Befeno</t>
  </si>
  <si>
    <t>ANALAISOKE</t>
  </si>
  <si>
    <t>ANKAZOMANGA</t>
  </si>
  <si>
    <t>MANTSAKE</t>
  </si>
  <si>
    <t>MORAFENO</t>
  </si>
  <si>
    <t>SILIMOSA</t>
  </si>
  <si>
    <t>TANANDAVA</t>
  </si>
  <si>
    <t>TERABOVO</t>
  </si>
  <si>
    <t>MOKOFO</t>
  </si>
  <si>
    <t>Ampanihy</t>
  </si>
  <si>
    <t>AMBOROMPOTSY</t>
  </si>
  <si>
    <t>ANTANIMAINTY</t>
  </si>
  <si>
    <t>BELAZA</t>
  </si>
  <si>
    <t>LAFIBATO</t>
  </si>
  <si>
    <t>LAVAPOSA</t>
  </si>
  <si>
    <t>AMBALATSIEFA</t>
  </si>
  <si>
    <t>AMPANIHY CENTRE</t>
  </si>
  <si>
    <t>ANDRANOMAMY</t>
  </si>
  <si>
    <t>ETANJO</t>
  </si>
  <si>
    <t>ETROBEKE</t>
  </si>
  <si>
    <t>SIHANAMITOHY</t>
  </si>
  <si>
    <t>AMBOLISARIKE</t>
  </si>
  <si>
    <t>ANTSAKOA</t>
  </si>
  <si>
    <t>SAODONA</t>
  </si>
  <si>
    <t>AMBOAIDO</t>
  </si>
  <si>
    <t>ANJAMAROTEA</t>
  </si>
  <si>
    <t>ANKILIMIVORY</t>
  </si>
  <si>
    <t>MAROVAHO</t>
  </si>
  <si>
    <t>SAKAMASAY</t>
  </si>
  <si>
    <t>ANDRANOLAVA</t>
  </si>
  <si>
    <t>EMALO</t>
  </si>
  <si>
    <t>BEDEBOKE</t>
  </si>
  <si>
    <t>VOHIBE</t>
  </si>
  <si>
    <t>BEARA</t>
  </si>
  <si>
    <t>ANTANIMENA</t>
  </si>
  <si>
    <t>MIKAIKARIVO</t>
  </si>
  <si>
    <t>BELAFIKE HAUT</t>
  </si>
  <si>
    <t>BEADALA BAS</t>
  </si>
  <si>
    <t>BELAFIKE BAS</t>
  </si>
  <si>
    <t>BEHAZONDREGNETSE</t>
  </si>
  <si>
    <t>ESIFAKE</t>
  </si>
  <si>
    <t>ANIVORANO</t>
  </si>
  <si>
    <t>AMBILANY HAUT</t>
  </si>
  <si>
    <t>ANALABE</t>
  </si>
  <si>
    <t>ANDRANOTSIRIRY</t>
  </si>
  <si>
    <t>SETA I</t>
  </si>
  <si>
    <t>ANAMONTA</t>
  </si>
  <si>
    <t>ANKILIMASY</t>
  </si>
  <si>
    <t>ANDRANOVAO</t>
  </si>
  <si>
    <t>AMBALABE BEAVOHA</t>
  </si>
  <si>
    <t>AMPITANAKE</t>
  </si>
  <si>
    <t>ANDROIMPANO</t>
  </si>
  <si>
    <t>BEFOLOTSE</t>
  </si>
  <si>
    <t>BETRATRATRA</t>
  </si>
  <si>
    <t>TONGAENORO</t>
  </si>
  <si>
    <t>VOMBE</t>
  </si>
  <si>
    <t>AMBAHOTERA</t>
  </si>
  <si>
    <t>AMBINANITELO</t>
  </si>
  <si>
    <t>BEGORAGO</t>
  </si>
  <si>
    <t>BOKONAKE</t>
  </si>
  <si>
    <t>MANIRY</t>
  </si>
  <si>
    <t>BEBALAHAZO</t>
  </si>
  <si>
    <t>BETAIMBALA</t>
  </si>
  <si>
    <t>ANJAMISARO</t>
  </si>
  <si>
    <t>ANKILIABO</t>
  </si>
  <si>
    <t>ANOSA</t>
  </si>
  <si>
    <t>REAMBONDRO</t>
  </si>
  <si>
    <t>BEVALA</t>
  </si>
  <si>
    <t>Ambahita</t>
  </si>
  <si>
    <t>SOAKIBANY</t>
  </si>
  <si>
    <t>Ambatosola</t>
  </si>
  <si>
    <t>Mikaikarivo Ambatomainty</t>
  </si>
  <si>
    <t>Bekitro</t>
  </si>
  <si>
    <t>ANADABOLAVA</t>
  </si>
  <si>
    <t>MAHABO SUD</t>
  </si>
  <si>
    <t>ANIVORANO MITSINJO</t>
  </si>
  <si>
    <t>Ankaranabo Nord</t>
  </si>
  <si>
    <t>ANARABE I</t>
  </si>
  <si>
    <t>VOHIMARY I</t>
  </si>
  <si>
    <t>Bevitiky</t>
  </si>
  <si>
    <t>BEFANGITSY</t>
  </si>
  <si>
    <t>Belindo Mahasoa</t>
  </si>
  <si>
    <t>ANKILY</t>
  </si>
  <si>
    <t>ANKININY</t>
  </si>
  <si>
    <t>AMPANAMPERANDROTSY</t>
  </si>
  <si>
    <t>Vohimanga</t>
  </si>
  <si>
    <t>Beteza</t>
  </si>
  <si>
    <t>ANKILIVALO HAUT</t>
  </si>
  <si>
    <t>BEFAMONTY</t>
  </si>
  <si>
    <t>ANDARO</t>
  </si>
  <si>
    <t>AMPILOFILO</t>
  </si>
  <si>
    <t>ANTSAKOAMASY</t>
  </si>
  <si>
    <t>Maroviro</t>
  </si>
  <si>
    <t>Morafeno Bekily</t>
  </si>
  <si>
    <t>TANAMBAO</t>
  </si>
  <si>
    <t>BEDONA</t>
  </si>
  <si>
    <t>SARISAMBO</t>
  </si>
  <si>
    <t>ANDRANOMASY VOHITANY</t>
  </si>
  <si>
    <t>BESOHIHY</t>
  </si>
  <si>
    <t>ANDRANOMATAVY</t>
  </si>
  <si>
    <t>AMPANY ANIVORANO</t>
  </si>
  <si>
    <t>AMBOHIVOLA</t>
  </si>
  <si>
    <t>ANDOVOKE</t>
  </si>
  <si>
    <t>BETSAKO</t>
  </si>
  <si>
    <t>KOPOKY</t>
  </si>
  <si>
    <t>ANTSETA</t>
  </si>
  <si>
    <t>AMPOTAKE</t>
  </si>
  <si>
    <t>MANOMBO</t>
  </si>
  <si>
    <t>MAROLINTA</t>
  </si>
  <si>
    <t>ANDAMILAMY</t>
  </si>
  <si>
    <t>ANDINGOLINGO</t>
  </si>
  <si>
    <t>RERANGO</t>
  </si>
  <si>
    <t>VOHIBOLA</t>
  </si>
  <si>
    <t>ANKILIMIHAMY</t>
  </si>
  <si>
    <t>ANTSOLO</t>
  </si>
  <si>
    <t>BARABAY</t>
  </si>
  <si>
    <t>SOAMANITRA</t>
  </si>
  <si>
    <t>TRANOVAHO</t>
  </si>
  <si>
    <t>VAVAOMBY</t>
  </si>
  <si>
    <t>LAVANONO</t>
  </si>
  <si>
    <t>MAROHERY</t>
  </si>
  <si>
    <t>ANTSAKOANTSOA</t>
  </si>
  <si>
    <t>ANDRANOMANGATSIAKA</t>
  </si>
  <si>
    <t>ANJAMBALO</t>
  </si>
  <si>
    <t>ANONTSY</t>
  </si>
  <si>
    <t>BEFAHA</t>
  </si>
  <si>
    <t>AMPAKABO</t>
  </si>
  <si>
    <t>AVARADROVA</t>
  </si>
  <si>
    <t>FENOANDALA</t>
  </si>
  <si>
    <t>LAZARIVO</t>
  </si>
  <si>
    <t>TANANTSOA</t>
  </si>
  <si>
    <t>ANDOHASATRA</t>
  </si>
  <si>
    <t>BEMOKY</t>
  </si>
  <si>
    <t>EBORO</t>
  </si>
  <si>
    <t>TAMEANTSOA</t>
  </si>
  <si>
    <t>FENOANIVO</t>
  </si>
  <si>
    <t>ANKANDY</t>
  </si>
  <si>
    <t>ANKAZOMANGA OUEST</t>
  </si>
  <si>
    <t>VOVOMENA</t>
  </si>
  <si>
    <t>MAROARIVO</t>
  </si>
  <si>
    <t>ANDREMBA CENTRE</t>
  </si>
  <si>
    <t>ANDRANOKOTOTO</t>
  </si>
  <si>
    <t>SAKOAMARO</t>
  </si>
  <si>
    <t>Sakamahily</t>
  </si>
  <si>
    <t>MAHATALAKY</t>
  </si>
  <si>
    <t>ANKAREFO</t>
  </si>
  <si>
    <t>ANKILIVALO</t>
  </si>
  <si>
    <t>AMBOANATO</t>
  </si>
  <si>
    <t>Tanandava Station</t>
  </si>
  <si>
    <t>BELITSAKE</t>
  </si>
  <si>
    <t>Ankatsakantsa Atsimo_Nosy Ambositra</t>
  </si>
  <si>
    <t>ANDROVAMARE</t>
  </si>
  <si>
    <t>ANJIRA</t>
  </si>
  <si>
    <t>TALAKY BAS</t>
  </si>
  <si>
    <t>AMBANIKILY VOLANKIRA</t>
  </si>
  <si>
    <t>MAROVATO</t>
  </si>
  <si>
    <t>ANKORAKOSY</t>
  </si>
  <si>
    <t>MAROHIRA SUD</t>
  </si>
  <si>
    <t>SAKAMASY</t>
  </si>
  <si>
    <t>AMBORY</t>
  </si>
  <si>
    <t>ANKILIMIGAHY</t>
  </si>
  <si>
    <t>ANKILITOKA</t>
  </si>
  <si>
    <t>BERONONO</t>
  </si>
  <si>
    <t>NAMOIA</t>
  </si>
  <si>
    <t>48.29978 -21.23748</t>
  </si>
  <si>
    <t>48.3196 -21.16913</t>
  </si>
  <si>
    <t>48.23018 -21.1757</t>
  </si>
  <si>
    <t>48.13763 -21.23452</t>
  </si>
  <si>
    <t>48.10883 -21.16095</t>
  </si>
  <si>
    <t>48.12778 -21.29582</t>
  </si>
  <si>
    <t>47.9706 -22.00342</t>
  </si>
  <si>
    <t>47.96397 -21.93935</t>
  </si>
  <si>
    <t>48.10508 -21.95043</t>
  </si>
  <si>
    <t>47.99585 -21.9573</t>
  </si>
  <si>
    <t>48.00023 -22.0064</t>
  </si>
  <si>
    <t>47.9272 -21.97237</t>
  </si>
  <si>
    <t>47.87122 -21.66877</t>
  </si>
  <si>
    <t>45.62315 -24.35073</t>
  </si>
  <si>
    <t>Isoanala</t>
  </si>
  <si>
    <t>44.92062 -24.04252</t>
  </si>
  <si>
    <t>48.27005 -21.23185</t>
  </si>
  <si>
    <t>48.25255 -21.10902</t>
  </si>
  <si>
    <t>Fort Dauphin</t>
  </si>
  <si>
    <t>45.43082 -24.19892</t>
  </si>
  <si>
    <t>48.23135 -21.15683</t>
  </si>
  <si>
    <t>48.18883 -21.19037</t>
  </si>
  <si>
    <t>45.94833 -24.12068</t>
  </si>
  <si>
    <t>46.40673 -25.1459</t>
  </si>
  <si>
    <t>43.84958 -24.50082</t>
  </si>
  <si>
    <t>44.25443 -22.32023</t>
  </si>
  <si>
    <t>44.68143 -23.7866</t>
  </si>
  <si>
    <t>44.47158 -23.9044</t>
  </si>
  <si>
    <t>44.3932 -23.9644</t>
  </si>
  <si>
    <t>44.55622 -23.9757</t>
  </si>
  <si>
    <t>44.69767 -23.654</t>
  </si>
  <si>
    <t>44.61212 -23.6147</t>
  </si>
  <si>
    <t>44.44018 -23.70085</t>
  </si>
  <si>
    <t>44.68925 -23.59018</t>
  </si>
  <si>
    <t>44.7331 -23.55435</t>
  </si>
  <si>
    <t>44.69517 -24.5786</t>
  </si>
  <si>
    <t>FOTADREVO CENTRE</t>
  </si>
  <si>
    <t>43.6637 -23.34828</t>
  </si>
  <si>
    <t>ANALAFANTSIKE</t>
  </si>
  <si>
    <t>44.9179 -23.99755</t>
  </si>
  <si>
    <t>ANAVOHA CENTRE</t>
  </si>
  <si>
    <t>44.79815 -24.11705</t>
  </si>
  <si>
    <t>BELINJO</t>
  </si>
  <si>
    <t>44.88993 -24.02955</t>
  </si>
  <si>
    <t>44.8798 -24.0585</t>
  </si>
  <si>
    <t>44.98328 -24.0903</t>
  </si>
  <si>
    <t>BETEZA HAUT</t>
  </si>
  <si>
    <t>45.04107 -24.1013</t>
  </si>
  <si>
    <t>45.00888 -24.18182</t>
  </si>
  <si>
    <t>BEKISENY</t>
  </si>
  <si>
    <t>45.14742 -24.16598</t>
  </si>
  <si>
    <t>45.02068 -24.19773</t>
  </si>
  <si>
    <t>45.05603 -24.25758</t>
  </si>
  <si>
    <t>ANARABEMOKO</t>
  </si>
  <si>
    <t>45.55545 -24.1466</t>
  </si>
  <si>
    <t>BEBAKAKA</t>
  </si>
  <si>
    <t>44.32625 -23.98108</t>
  </si>
  <si>
    <t>48.20013 -20.90663</t>
  </si>
  <si>
    <t>45.13078 -24.18032</t>
  </si>
  <si>
    <t>45.13113 -23.97122</t>
  </si>
  <si>
    <t>45.1019 -23.92665</t>
  </si>
  <si>
    <t>44.99228 -24.01967</t>
  </si>
  <si>
    <t>45.08807 -24.22323</t>
  </si>
  <si>
    <t>45.01735 -24.05543</t>
  </si>
  <si>
    <t>45.02447 -24.11997</t>
  </si>
  <si>
    <t>45.04218 -24.13923</t>
  </si>
  <si>
    <t>43.72403 -24.31825</t>
  </si>
  <si>
    <t>43.80735 -24.41473</t>
  </si>
  <si>
    <t>43.86053 -24.47582</t>
  </si>
  <si>
    <t>43.91573 -24.58008</t>
  </si>
  <si>
    <t>44.20535 -24.47075</t>
  </si>
  <si>
    <t>44.33358 -24.58792</t>
  </si>
  <si>
    <t>43.95675 -24.75413</t>
  </si>
  <si>
    <t>43.98073 -24.80353</t>
  </si>
  <si>
    <t>44.02662 -24.86248</t>
  </si>
  <si>
    <t>44.09775 -24.93667</t>
  </si>
  <si>
    <t>44.09467 -24.97027</t>
  </si>
  <si>
    <t>TSIANDRIONA SUD</t>
  </si>
  <si>
    <t>44.1072 -24.98482</t>
  </si>
  <si>
    <t>BESELY SUD</t>
  </si>
  <si>
    <t>44.04657 -24.8783</t>
  </si>
  <si>
    <t>43.70655 -24.30363</t>
  </si>
  <si>
    <t>Itampolo II</t>
  </si>
  <si>
    <t>43.94413 -24.68617</t>
  </si>
  <si>
    <t>44.13017 -24.97042</t>
  </si>
  <si>
    <t>43.96958 -24.79078</t>
  </si>
  <si>
    <t>43.74398 -24.38907</t>
  </si>
  <si>
    <t>43.73355 -24.36163</t>
  </si>
  <si>
    <t>44.23095 -24.31163</t>
  </si>
  <si>
    <t>44.02077 -24.83705</t>
  </si>
  <si>
    <t>Maheny</t>
  </si>
  <si>
    <t>45.38485 -25.1553</t>
  </si>
  <si>
    <t>BEVARO</t>
  </si>
  <si>
    <t>Marolava</t>
  </si>
  <si>
    <t>Anjeky Begnantara</t>
  </si>
  <si>
    <t>46.17327 -25.19445</t>
  </si>
  <si>
    <t>45.73137 -25.21532</t>
  </si>
  <si>
    <t>47.91558 -21.44878</t>
  </si>
  <si>
    <t>45.86353 -25.05483</t>
  </si>
  <si>
    <t>EHAVO</t>
  </si>
  <si>
    <t>45.76048 -25.13953</t>
  </si>
  <si>
    <t>45.81942 -25.13665</t>
  </si>
  <si>
    <t>TARANAKE</t>
  </si>
  <si>
    <t>45.77905 -25.238</t>
  </si>
  <si>
    <t>45.697468 -24.853417</t>
  </si>
  <si>
    <t>45.823103 -24.709221</t>
  </si>
  <si>
    <t>45.834525 -24.777750</t>
  </si>
  <si>
    <t>45.742440 -24.977625</t>
  </si>
  <si>
    <t>45.686760 -25.038301</t>
  </si>
  <si>
    <t>NAMOLORA</t>
  </si>
  <si>
    <t>45.642264 -24.930273</t>
  </si>
  <si>
    <t>45.699966 -24.819034</t>
  </si>
  <si>
    <t>45.601813 -24.674243</t>
  </si>
  <si>
    <t>45.618945 -24.593580</t>
  </si>
  <si>
    <t>ANKONDRIA</t>
  </si>
  <si>
    <t>ANDROVASOA</t>
  </si>
  <si>
    <t>45.451907 -24.664963</t>
  </si>
  <si>
    <t>45.604669 -24.719215</t>
  </si>
  <si>
    <t>45.611093 -24.776322</t>
  </si>
  <si>
    <t>45.661776 -24.744200</t>
  </si>
  <si>
    <t>45.623229 -24.699942</t>
  </si>
  <si>
    <t>45.2376 -24.16153</t>
  </si>
  <si>
    <t>45.18113 -24.16185</t>
  </si>
  <si>
    <t>45.2957 -24.17863</t>
  </si>
  <si>
    <t>Tanambao Tsirandrany</t>
  </si>
  <si>
    <t>Andriambola nord</t>
  </si>
  <si>
    <t>45.67457 -24.18055</t>
  </si>
  <si>
    <t>45.66557 -24.26395</t>
  </si>
  <si>
    <t>45.52465 -24.11615</t>
  </si>
  <si>
    <t>45.62065 -24.28262</t>
  </si>
  <si>
    <t>45.687 -24.21532</t>
  </si>
  <si>
    <t>45.68395 -24.26825</t>
  </si>
  <si>
    <t>45.66232 -24.0884</t>
  </si>
  <si>
    <t>44.95778 -23.99225</t>
  </si>
  <si>
    <t>45.62113 -24.3524</t>
  </si>
  <si>
    <t>45.69493 -24.3527</t>
  </si>
  <si>
    <t>45.5928 -24.39397</t>
  </si>
  <si>
    <t>45.58967 -24.41998</t>
  </si>
  <si>
    <t>46.98345 -25.02447</t>
  </si>
  <si>
    <t>Bekorobo</t>
  </si>
  <si>
    <t>Ambatomivary</t>
  </si>
  <si>
    <t>46.24452 -25.12032</t>
  </si>
  <si>
    <t>46.42267 -24.92018</t>
  </si>
  <si>
    <t>46.53383 -24.99857</t>
  </si>
  <si>
    <t>46.29498 -24.76623</t>
  </si>
  <si>
    <t>46.24578 -24.90662</t>
  </si>
  <si>
    <t>46.28658 -24.93985</t>
  </si>
  <si>
    <t>46.24972 -24.8803</t>
  </si>
  <si>
    <t>46.3008 -24.98585</t>
  </si>
  <si>
    <t>46.35273 -25.00607</t>
  </si>
  <si>
    <t>46.36338 -24.97853</t>
  </si>
  <si>
    <t>46.38702 -24.95722</t>
  </si>
  <si>
    <t>46.52603 -18.85772</t>
  </si>
  <si>
    <t>46.4021 -24.98492</t>
  </si>
  <si>
    <t>46.26633 -24.94035</t>
  </si>
  <si>
    <t>46.39053 -25.10758</t>
  </si>
  <si>
    <t>46.3661 -25.14493</t>
  </si>
  <si>
    <t>46.38645 -25.15585</t>
  </si>
  <si>
    <t>46.4707 -25.09725</t>
  </si>
  <si>
    <t>46.5201 -25.15227</t>
  </si>
  <si>
    <t>45.5124 -24.31167</t>
  </si>
  <si>
    <t>46.30993 -25.13557</t>
  </si>
  <si>
    <t>45.98688 -25.12378</t>
  </si>
  <si>
    <t>46.27563 -25.16387</t>
  </si>
  <si>
    <t>46.2793 -25.17585</t>
  </si>
  <si>
    <t>46.13255 -24.79158</t>
  </si>
  <si>
    <t>46.05888 -24.80855</t>
  </si>
  <si>
    <t>46.1178 -24.80672</t>
  </si>
  <si>
    <t>46.13818 -24.80115</t>
  </si>
  <si>
    <t>46.22192 -24.87943</t>
  </si>
  <si>
    <t>46.05268 -24.77467</t>
  </si>
  <si>
    <t>46.3033 -23.90163</t>
  </si>
  <si>
    <t>46.07443 -24.06667</t>
  </si>
  <si>
    <t>46.07503 -24.0705</t>
  </si>
  <si>
    <t>46.0668 -24.07095</t>
  </si>
  <si>
    <t>45.94657 -24.12592</t>
  </si>
  <si>
    <t>45.99887 -23.20588</t>
  </si>
  <si>
    <t>46.21178 -24.21623</t>
  </si>
  <si>
    <t>45.9513 -24.12888</t>
  </si>
  <si>
    <t>46.09718 -24.04995</t>
  </si>
  <si>
    <t>45.31503 -23.86987</t>
  </si>
  <si>
    <t>46.09212 -24.06468</t>
  </si>
  <si>
    <t>44.89095 -24.09413</t>
  </si>
  <si>
    <t>EnuPartner</t>
  </si>
  <si>
    <t>EnuPartner_Code</t>
  </si>
  <si>
    <t>EnuPartner_Code_ancien</t>
  </si>
  <si>
    <t>Association TOMPY</t>
  </si>
  <si>
    <t>1</t>
  </si>
  <si>
    <t>LALANA</t>
  </si>
  <si>
    <t>2</t>
  </si>
  <si>
    <t>MAHAVOTSE</t>
  </si>
  <si>
    <t>3</t>
  </si>
  <si>
    <t>ONG AINA</t>
  </si>
  <si>
    <t>4</t>
  </si>
  <si>
    <t>YP</t>
  </si>
  <si>
    <t>6</t>
  </si>
  <si>
    <t>WFP</t>
  </si>
  <si>
    <t>Others</t>
  </si>
  <si>
    <t>Activity tag</t>
  </si>
  <si>
    <t>tag*</t>
  </si>
  <si>
    <t>Food assistance for asset</t>
  </si>
  <si>
    <t>FFA</t>
  </si>
  <si>
    <t>Forecast-based Anticipatory Actions</t>
  </si>
  <si>
    <t>FBA</t>
  </si>
  <si>
    <t>General Distribution</t>
  </si>
  <si>
    <t>GD</t>
  </si>
  <si>
    <t>PREV</t>
  </si>
  <si>
    <t>STUNT</t>
  </si>
  <si>
    <t>SMP</t>
  </si>
  <si>
    <t>Smallholder agricultural market support Activities</t>
  </si>
  <si>
    <t>SMS</t>
  </si>
  <si>
    <t>MAM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</si>
</sst>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0" fillId="2" borderId="0" xfId="0" applyFill="1"/>
    <xf numFmtId="0" fontId="0" fillId="4" borderId="0" xfId="0" applyFill="1"/>
    <xf numFmtId="0" fontId="1" fillId="3" borderId="1" xfId="0" applyFont="1" applyFill="1" applyBorder="1"/>
    <xf numFmtId="0" fontId="0" fillId="0" borderId="0" xfId="0" pivotButton="1"/>
  </cellXfs>
  <cellStyles count="1">
    <cellStyle name="Normal" xfId="0" builtinId="0"/>
  </cellStyles>
  <dxfs count="30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theme="0" tint="-4.9989318521683403E-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0" tint="-4.9989318521683403E-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antsoa VAGNONDILY" refreshedDate="46044.377762731485" createdVersion="8" refreshedVersion="8" minRefreshableVersion="3" recordCount="2872" xr:uid="{5BC1C6F8-E9D2-4ED7-A1AC-FC015FDB5412}">
  <cacheSource type="worksheet">
    <worksheetSource name="Sites_per_tag"/>
  </cacheSource>
  <cacheFields count="26">
    <cacheField name="ID" numFmtId="0">
      <sharedItems/>
    </cacheField>
    <cacheField name="Field_office" numFmtId="0">
      <sharedItems count="7">
        <s v="Manakara"/>
        <s v="Ampanihy"/>
        <s v="Bekily"/>
        <s v="Tulear"/>
        <s v="Fort Dauphin"/>
        <s v="Ambovombe"/>
        <s v="Antananarivo"/>
      </sharedItems>
    </cacheField>
    <cacheField name="Field_office_code" numFmtId="0">
      <sharedItems containsSemiMixedTypes="0" containsString="0" containsNumber="1" containsInteger="1" minValue="1" maxValue="10" count="7">
        <n v="4"/>
        <n v="9"/>
        <n v="1"/>
        <n v="10"/>
        <n v="2"/>
        <n v="6"/>
        <n v="3"/>
      </sharedItems>
    </cacheField>
    <cacheField name="Field_office_code_ancien" numFmtId="0">
      <sharedItems containsNonDate="0" containsString="0" containsBlank="1"/>
    </cacheField>
    <cacheField name="Adm1Name" numFmtId="0">
      <sharedItems count="9">
        <s v="Vatovavy"/>
        <s v="Atsimo Andrefana"/>
        <s v="Androy"/>
        <s v="Anosy"/>
        <s v="Atsimo Atsinanana"/>
        <s v="Fitovinany"/>
        <s v="Amoron I Mania"/>
        <s v="ITASY"/>
        <s v="Vakinankaratra"/>
      </sharedItems>
    </cacheField>
    <cacheField name="Adm1Code" numFmtId="0">
      <sharedItems count="10">
        <s v="MG23"/>
        <s v="MG51"/>
        <s v="MG52"/>
        <s v="MG53"/>
        <s v="MG25"/>
        <s v="MG23A"/>
        <s v="MG22"/>
        <s v="MG13"/>
        <s v="MG42"/>
        <s v="MG12"/>
      </sharedItems>
    </cacheField>
    <cacheField name="Adm1Code_ancien" numFmtId="0">
      <sharedItems containsNonDate="0" containsString="0" containsBlank="1"/>
    </cacheField>
    <cacheField name="Adm2Name" numFmtId="0">
      <sharedItems count="31">
        <s v="Manakara Atsimo"/>
        <s v="Ampanihy Ouest"/>
        <s v="Bekily"/>
        <s v="Betioky Atsimo"/>
        <s v="Amboasary-Atsimo"/>
        <s v="Mananjary"/>
        <s v="Ambovombe-Androy"/>
        <s v="Antanimora Atsimo"/>
        <s v="BELOHA"/>
        <s v="Tsihombe"/>
        <s v="Vangaindrano"/>
        <s v="Farafangana"/>
        <s v="Vondrozo"/>
        <s v="Vohipeno"/>
        <s v="Ikongo"/>
        <s v="Betroka"/>
        <s v="Midongy-Atsimo"/>
        <s v="Toliary-II"/>
        <s v="Antanimora Sud"/>
        <s v="Befotaka"/>
        <s v="Toliary-I"/>
        <s v="Taolagnaro"/>
        <s v="Ambositra"/>
        <s v="Manandriana"/>
        <s v="Arivonimamo"/>
        <s v="AMBOASARY ATSIMO"/>
        <s v="Miarinarivo"/>
        <s v="ANTSIRABE II"/>
        <s v="Ifanadiana"/>
        <s v="Morombe"/>
        <s v="Sakaraha"/>
      </sharedItems>
    </cacheField>
    <cacheField name="Adm2Code" numFmtId="0">
      <sharedItems count="29">
        <s v="MG23210"/>
        <s v="MG51507"/>
        <s v="MG52518"/>
        <s v="MG51506"/>
        <s v="MG53519"/>
        <s v="MG23209"/>
        <s v="MG52516"/>
        <s v="MG52516a"/>
        <s v="MG52513"/>
        <s v="MG52514"/>
        <s v="MG25214"/>
        <s v="MG25213"/>
        <s v="MG25217"/>
        <s v="MG23212"/>
        <s v="MG23211"/>
        <s v="MG53517"/>
        <s v="MG25215"/>
        <s v="MG51520"/>
        <s v="MG25222"/>
        <s v="MG51501"/>
        <s v="MG53515"/>
        <s v="MG22203"/>
        <s v="MG22223"/>
        <s v="MG13105"/>
        <s v="MG13112"/>
        <s v="MG12118"/>
        <s v="MG23206"/>
        <s v="MG51504"/>
        <s v="MG51512"/>
      </sharedItems>
    </cacheField>
    <cacheField name="Adm2Code_ancien" numFmtId="0">
      <sharedItems containsNonDate="0" containsString="0" containsBlank="1"/>
    </cacheField>
    <cacheField name="Adm3Name" numFmtId="0">
      <sharedItems count="327">
        <s v="Ambila"/>
        <s v="Anavoha"/>
        <s v="Androipano"/>
        <s v="Anivorano Mitsinjo"/>
        <s v="Ankazombalala"/>
        <s v="Behara"/>
        <s v="Anteza"/>
        <s v="Beraketa"/>
        <s v="Berano"/>
        <s v="Besakoa"/>
        <s v="Fotadrevo"/>
        <s v="Ifotaka"/>
        <s v="Itampolo"/>
        <s v="Mahatsara Sud"/>
        <s v="Marokarima"/>
        <s v="Masiaboay"/>
        <s v="Sakamasay"/>
        <s v="Sampona"/>
        <s v="Sihanamaro"/>
        <s v="Tanandava Sud"/>
        <s v="Tsaravary"/>
        <s v="Tsiatosika"/>
        <s v="Tsivory"/>
        <s v="Antanimora"/>
        <s v="Andalatanosy"/>
        <s v="EBELO"/>
        <s v="MAHALY"/>
        <s v="RANOBE"/>
        <s v="AMBANISARIKA"/>
        <s v="ANJEKY BEGNANTARA"/>
        <s v="MAROALOMAINTY"/>
        <s v="JAFARO"/>
        <s v="AMBAHITA"/>
        <s v="ANTSAKOAMARO"/>
        <s v="BETEZA"/>
        <s v="MIKAIKARIVO AMBATOMAINTY"/>
        <s v="MORAFENO BEKILY"/>
        <s v="TANAMBAO TSIRANDRANY"/>
        <s v="AMBATOTSIVALA"/>
        <s v="BEHABOBO"/>
        <s v="MAHENY"/>
        <s v="IMONGY"/>
        <s v="Ampanihy centre"/>
        <s v="Androka"/>
        <s v="Ejeda"/>
        <s v="Ankazomanga Ouest"/>
        <s v="Lazarivo"/>
        <s v="Maroarivo Ankazomanga"/>
        <s v="Salobe"/>
        <s v="Soamanonga"/>
        <s v="Tameantsoa"/>
        <s v="Tanambao Haut"/>
        <s v="Fonilaza"/>
        <s v="Mahavelo"/>
        <s v="Tsiately"/>
        <s v="Vohitrambo"/>
        <s v="Mahatsinjo"/>
        <s v="Ivato"/>
        <s v="Mahavoky Nord"/>
        <s v="Marosangy"/>
        <s v="Ambalatany"/>
        <s v="Ambalavato Antevato"/>
        <s v="Ambalavato Nord"/>
        <s v="Ambatofotsy"/>
        <s v="Ambatolava"/>
        <s v="AMBATOMAINTY"/>
        <s v="AMBATOMIVARY"/>
        <s v="AMBATOSOLA"/>
        <s v="Ambatry Mitsinjo"/>
        <s v="AMBAZOA"/>
        <s v="Amboasary Atsimo"/>
        <s v="Ambodirano"/>
        <s v="Ambohigogo"/>
        <s v="AMBOHIMALAZA"/>
        <s v="Ambohimana"/>
        <s v="Ambohimandroso"/>
        <s v="Ambohimisafy"/>
        <s v="Ambolomadinika"/>
        <s v="AMBONAIVO"/>
        <s v="AMBONDRO"/>
        <s v="Ambongo"/>
        <s v="Amborompotsy"/>
        <s v="AMBOVOMBE"/>
        <s v="AMPAMATA"/>
        <s v="Ampanihy Ouest"/>
        <s v="Ampasimalemy"/>
        <s v="Ampataka"/>
        <s v="Amporoforo"/>
        <s v="Analamary"/>
        <s v="Anandravy"/>
        <s v="Andakana"/>
        <s v="Andefampony"/>
        <s v="Andoharano"/>
        <s v="ANDRAGNANIVO"/>
        <s v="Andranolalina"/>
        <s v="Andranomangatsiaka"/>
        <s v="Anilobe"/>
        <s v="Anja Nord"/>
        <s v="Anjeky Ankilikira"/>
        <s v="Ankarana Miraihina"/>
        <s v="ANKARANABO NORD"/>
        <s v="Ankazovelo"/>
        <s v="Ankiliabo"/>
        <s v="Ankilimary"/>
        <s v="Ankilimivory"/>
        <s v="Ankilizato"/>
        <s v="Anosivelo"/>
        <s v="Anosy Tsararafa"/>
        <s v="Antaninarenina"/>
        <s v="Antaritarika"/>
        <s v="Antodinga"/>
        <s v="Antokoboritelo"/>
        <s v="Antokonala"/>
        <s v="Antondabe"/>
        <s v="Antseranambe"/>
        <s v="Beantake"/>
        <s v="Befotaka Sud"/>
        <s v="Beharena"/>
        <s v="Beheloka"/>
        <s v="Bekaraoky"/>
        <s v="BEKITRO"/>
        <s v="Bekofafa Sud"/>
        <s v="BEKOROBO"/>
        <s v="Belafike Haut"/>
        <s v="BELINDO MAHASOA"/>
        <s v="Beloha"/>
        <s v="Bema"/>
        <s v="BENATO TOBY"/>
        <s v="Benenitra"/>
        <s v="Beora"/>
        <s v="Beretra Bevoay"/>
        <s v="Beroy Atsimo"/>
        <s v="Betioky Atsimo"/>
        <s v="Bevaho"/>
        <s v="Bevata"/>
        <s v="BEVITIKY"/>
        <s v="Bezaha"/>
        <s v="Efatsy"/>
        <s v="Efoetse"/>
        <s v="Ehara"/>
        <s v="ELONTY"/>
        <s v="ERADA"/>
        <s v="ESIRA"/>
        <s v="Etrotroka Atsimo"/>
        <s v="Evato"/>
        <s v="Farafangana"/>
        <s v="Fenoambany"/>
        <s v="Fenoandala"/>
        <s v="Fenoarivo"/>
        <s v="Gogogogo"/>
        <s v="Iabohazo"/>
        <s v="Iamonta"/>
        <s v="IANABINDA"/>
        <s v="IANAKAFY"/>
        <s v="Iara"/>
        <s v="Ihorombe"/>
        <s v="Ikongo"/>
        <s v="IMANOMBO"/>
        <s v="Inosy"/>
        <s v="ISOANALA"/>
        <s v="Ivandrika"/>
        <s v="Ivondro"/>
        <s v="Karianga"/>
        <s v="Karimbary"/>
        <s v="Kopoky"/>
        <s v="Lohafary"/>
        <s v="Lopary"/>
        <s v="MAHABO"/>
        <s v="Mahabo Mananivo"/>
        <s v="Mahaenegne"/>
        <s v="Mahafasa Centre"/>
        <s v="Mahazoarivo"/>
        <s v="Maheriraty"/>
        <s v="Maliorano"/>
        <s v="MANAKOMPY"/>
        <s v="Manalobe"/>
        <s v="Manambidala"/>
        <s v="Manambondro"/>
        <s v="Manambotra Atsimo"/>
        <s v="Manampatrana"/>
        <s v="Manato"/>
        <s v="MANEVY"/>
        <s v="Maniry"/>
        <s v="MAROALOPOTY"/>
        <s v="Marokibo"/>
        <s v="Marolinta"/>
        <s v="MAROMBY"/>
        <s v="Maromiandra"/>
        <s v="Marotsiraka"/>
        <s v="Marovandrika"/>
        <s v="Marovato"/>
        <s v="MAROVATO BEFENO"/>
        <s v="MAROVIRO"/>
        <s v="Marovitsika Sud"/>
        <s v="Masianaka"/>
        <s v="Matanga"/>
        <s v="Midongy (Nosifeno)"/>
        <s v="Moroteza"/>
        <s v="Namohora Iaborano"/>
        <s v="NANARENA BESAKOA"/>
        <s v="Nikoly"/>
        <s v="Ranomena"/>
        <s v="Ranotsara Sud"/>
        <s v="SAKAMAHILY"/>
        <s v="Sandravinany"/>
        <s v="Soakibany"/>
        <s v="Soamanova"/>
        <s v="Tanakambana"/>
        <s v="Tanandava"/>
        <s v="Tangainony"/>
        <s v="Toliara"/>
        <s v="TOMBOARIVO"/>
        <s v="Tongobory"/>
        <s v="Tovona"/>
        <s v="TRANOMARO"/>
        <s v="Tranoroa"/>
        <s v="Tranovaho"/>
        <s v="Tsianofana"/>
        <s v="Tsihombe"/>
        <s v="TSIKOLAKY"/>
        <s v="Tsirandrany"/>
        <s v="Vangaindrano"/>
        <s v="Vatanato"/>
        <s v="Vohiboreka"/>
        <s v="Vohilava"/>
        <s v="Vohilengo"/>
        <s v="Vohimalaza"/>
        <s v="VOHIMANGA"/>
        <s v="Vohimary"/>
        <s v="Vohimasy"/>
        <s v="Vohipaho"/>
        <s v="Vohitany"/>
        <s v="Vohitromby"/>
        <s v="Vondrozo"/>
        <s v="Tsimananada"/>
        <s v="Antanimora Atsimo"/>
        <s v="Ambalasoa"/>
        <s v="Analapatsy"/>
        <s v="Andranobory"/>
        <s v="Ranopiso"/>
        <s v="Ankaramena"/>
        <s v="Ankariera"/>
        <s v="Soanierana"/>
        <s v="Manambaro"/>
        <s v="Ampasy Nahampoana"/>
        <s v="Tanandava Mandrare"/>
        <s v="Taolagnaro Fort-Dauphin"/>
        <s v="Sarisambo"/>
        <s v="Ampasimena"/>
        <s v="Mahatalaky"/>
        <s v="Soavary"/>
        <s v="Manantenina"/>
        <s v="Ambatoabo"/>
        <s v="Mandromondromotra"/>
        <s v="Iaboakoho"/>
        <s v="Isaka-Ivondro"/>
        <s v="Mandiso"/>
        <s v="Betanty (Faux Cap)"/>
        <s v="Anjampaly"/>
        <s v="Behazomanga"/>
        <s v="Antaly"/>
        <s v="Beara"/>
        <s v="Beahitse"/>
        <s v="Antsenavolo"/>
        <s v="Ambositra I"/>
        <s v="Ambositra II"/>
        <s v="Andina"/>
        <s v="Ankazoambo"/>
        <s v="Fahizay"/>
        <s v="Ivony Miaramiasa"/>
        <s v="Vinany Andakatanikely"/>
        <s v="Andranomiely"/>
        <s v="Ambatomanjaka"/>
        <s v="Miandrandra"/>
        <s v="Miarinarivo II"/>
        <s v="Soamahamanina"/>
        <s v="Talata Tsimadilo"/>
        <s v="Tsarahonenana"/>
        <s v="Alakamisy"/>
        <s v="Ambohibary"/>
        <s v="Antanambao"/>
        <s v="Mandrosohasina"/>
        <s v="Antaretra"/>
        <s v="Mizilo Gara"/>
        <s v="Analavory"/>
        <s v="Fenomby"/>
        <s v="Amborondra"/>
        <s v="Amboanjo"/>
        <s v="Mitanty"/>
        <s v="Anorombato"/>
        <s v="Anosimparihy"/>
        <s v="Kianjavato"/>
        <s v="Ambodinonoka"/>
        <s v="Mananjary"/>
        <s v="Vatohandrina"/>
        <s v="Isahara"/>
        <s v="Ankilivalo"/>
        <s v="Antohabato"/>
        <s v="Soaserana"/>
        <s v="Belamoty"/>
        <s v="Besely"/>
        <s v="Antanimieva"/>
        <s v="Befandefa"/>
        <s v="Basibasy"/>
        <s v="Befandriana Sud"/>
        <s v="Ankatsakantsa atsimo_Nosy Ambositra"/>
        <s v="Morombe"/>
        <s v="Tanandava station"/>
        <s v="Ambahikily"/>
        <s v="Sakaraha"/>
        <s v="Ambinany"/>
        <s v="Andamasiny Vineta"/>
        <s v="Anakao"/>
        <s v="Soalara Sud"/>
        <s v="Saint Augustin"/>
        <s v="Manorofify"/>
        <s v="Ambohimahavelona"/>
        <s v="Betsinjaka"/>
        <s v="Mitsinjo Betanimena"/>
        <s v="Belalanda"/>
        <s v="Behompy"/>
        <s v="Andranohinaly"/>
        <s v="Manombo Sud"/>
        <s v="Milenaka"/>
        <s v="Ankililoaka"/>
        <s v="Analamisampy"/>
        <s v="Soahazo"/>
      </sharedItems>
    </cacheField>
    <cacheField name="Adm3Code" numFmtId="0">
      <sharedItems count="328">
        <s v="MG23210070"/>
        <s v="MG51507290a"/>
        <s v="MG51507310a"/>
        <s v="MG52518290"/>
        <s v="MG51506130"/>
        <s v="MG53519030"/>
        <s v="MG23210510"/>
        <s v="MG52518251"/>
        <s v="MG53519050a"/>
        <s v="MG52518032"/>
        <s v="MG51507290"/>
        <s v="MG53519090"/>
        <s v="MG51507310"/>
        <s v="MG23209050"/>
        <s v="MG23209110"/>
        <s v="MG51506050"/>
        <s v="MG51506012"/>
        <s v="MG53519070"/>
        <s v="MG52516111"/>
        <s v="MG53519050"/>
        <s v="MG23209031"/>
        <s v="MG23209070"/>
        <s v="MG53519230"/>
        <s v="MG52516130"/>
        <s v="MG52516151"/>
        <s v="MG53519291"/>
        <s v="MG53519190"/>
        <s v="MG53519292"/>
        <s v="MG52516031"/>
        <s v="MG52516014"/>
        <s v="MG52516071"/>
        <s v="MG52516170"/>
        <s v="MG52518151"/>
        <s v="MG52518070"/>
        <s v="MG52518190"/>
        <s v="MG52518031a"/>
        <s v="MG52518010"/>
        <s v="MG52518092"/>
        <s v="MG52513091a"/>
        <s v="MG52513092"/>
        <s v="MG52513010a"/>
        <s v="MG52514072"/>
        <s v="MG51507010"/>
        <s v="MG51507230"/>
        <s v="MG51507150"/>
        <s v="MG51506014"/>
        <s v="MG51506330"/>
        <s v="MG51506015"/>
        <s v="MG51506270"/>
        <s v="MG51506210"/>
        <s v="MG51506090"/>
        <s v="MG51506290"/>
        <s v="MG25214111a"/>
        <s v="MG25213150"/>
        <s v="MG25214050"/>
        <s v="MG25214111"/>
        <s v="MG25217030"/>
        <s v="MG23212051"/>
        <s v="MG23209270"/>
        <s v="MG23209170"/>
        <s v="MG25213471"/>
        <s v="MG25213552"/>
        <s v="MG25213410"/>
        <s v="MG23211031"/>
        <s v="MG25214212"/>
        <s v="MG33312031"/>
        <s v="MG53517350"/>
        <s v="MG52518091"/>
        <s v="MG51506013"/>
        <s v="MG52516092"/>
        <s v="MG53519010"/>
        <s v="MG25217030b"/>
        <s v="MG25213270"/>
        <s v="MG52516033"/>
        <s v="MG25217090"/>
        <s v="MG25213330"/>
        <s v="MG23211092"/>
        <s v="MG23211012"/>
        <s v="MG52516050"/>
        <s v="MG52516091"/>
        <s v="MG25214211"/>
        <s v="MG51507050"/>
        <s v="MG52516011"/>
        <s v="MG52516152"/>
        <s v="MG54509070"/>
        <s v="MG25214031"/>
        <s v="MG25214132"/>
        <s v="MG25213190"/>
        <s v="MG53517110"/>
        <s v="MG25217013"/>
        <s v="MG25217170"/>
        <s v="MG23211092a"/>
        <s v="MG25217030a"/>
        <s v="MG52516130a"/>
        <s v="MG52516170a"/>
        <s v="MG25215031"/>
        <s v="MG51506191"/>
        <s v="MG25214112"/>
        <s v="MG52518050"/>
        <s v="MG25213350"/>
        <s v="MG52518031"/>
        <s v="MG25215012"/>
        <s v="MG51507030"/>
        <s v="MG51521031b"/>
        <s v="MG51507130"/>
        <s v="MG51507070"/>
        <s v="MG25213050"/>
        <s v="MG25213070"/>
        <s v="MG25222032"/>
        <s v="MG52514071"/>
        <s v="MG23211112"/>
        <s v="MG25222031a"/>
        <s v="MG25217072"/>
        <s v="MG25222012"/>
        <s v="MG25213530"/>
        <s v="MG51506030"/>
        <s v="MG25222011"/>
        <s v="MG25222052"/>
        <s v="MG51520358"/>
        <s v="MG25214033"/>
        <s v="MG52518230"/>
        <s v="MG25222053"/>
        <s v="MG53517250"/>
        <s v="MG51507170"/>
        <s v="MG52518170"/>
        <s v="MG52513010"/>
        <s v="MG25214092"/>
        <s v="MG53517150"/>
        <s v="MG51521010"/>
        <s v="MG51506012a"/>
        <s v="MG25213250"/>
        <s v="MG51507270"/>
        <s v="MG51506011"/>
        <s v="MG25215032"/>
        <s v="MG25214251"/>
        <s v="MG52518270"/>
        <s v="MG51506150"/>
        <s v="MG25213430"/>
        <s v="MG51520358a"/>
        <s v="MG51521050"/>
        <s v="MG53519150"/>
        <s v="MG52516013"/>
        <s v="MG53519170"/>
        <s v="MG25213390"/>
        <s v="MG25213370"/>
        <s v="MG25213010"/>
        <s v="MG25214290"/>
        <s v="MG51506230"/>
        <s v="MG25213510"/>
        <s v="MG51507210"/>
        <s v="MG25213210"/>
        <s v="MG25217052"/>
        <s v="MG53517130"/>
        <s v="MG53517310"/>
        <s v="MG25214230"/>
        <s v="MG25213551"/>
        <s v="MG23211011"/>
        <s v="MG52516190"/>
        <s v="MG25222051a"/>
        <s v="MG53517291"/>
        <s v="MG25213110"/>
        <s v="MG25215051"/>
        <s v="MG25217111"/>
        <s v="MG25214252"/>
        <s v="MG52513050"/>
        <s v="MG25214131"/>
        <s v="MG25214091"/>
        <s v="MG53517170"/>
        <s v="MG53519090a"/>
        <s v="MG25213310"/>
        <s v="MG25213170"/>
        <s v="MG25217051"/>
        <s v="MG25213290"/>
        <s v="MG25215032a"/>
        <s v="MG52518130"/>
        <s v="MG51506170"/>
        <s v="MG25217012"/>
        <s v="MG25214270"/>
        <s v="MG25213130"/>
        <s v="MG23211051"/>
        <s v="MG25217112"/>
        <s v="MG53519210"/>
        <s v="MG51507090"/>
        <s v="MG52516072"/>
        <s v="MG25214172"/>
        <s v="MG52513070"/>
        <s v="MG53519130"/>
        <s v="MG23211033"/>
        <s v="MG53519250"/>
        <s v="MG25213590"/>
        <s v="MG52514050"/>
        <s v="MG52516112"/>
        <s v="MG52518152"/>
        <s v="MG25222031"/>
        <s v="MG25214152"/>
        <s v="MG25214151"/>
        <s v="MG25215011"/>
        <s v="MG25217191"/>
        <s v="MG25213472"/>
        <s v="MG53517293"/>
        <s v="MG52514012"/>
        <s v="MG25214190"/>
        <s v="MG25222051"/>
        <s v="MG53517332"/>
        <s v="MG25214332"/>
        <s v="MG25215052"/>
        <s v="MG25214070"/>
        <s v="MG23211072"/>
        <s v="MG52518210"/>
        <s v="MG25213230"/>
        <s v="MG51501001a"/>
        <s v="MG53519270"/>
        <s v="MG51506111"/>
        <s v="MG25213450"/>
        <s v="MG53519110"/>
        <s v="MG52513091"/>
        <s v="MG52513030"/>
        <s v="MG25214032"/>
        <s v="MG52514011"/>
        <s v="MG52518110"/>
        <s v="MG25214010"/>
        <s v="MG25214313"/>
        <s v="MG25217192"/>
        <s v="MG23207090"/>
        <s v="MG25213570"/>
        <s v="MG25214312"/>
        <s v="MG52518252"/>
        <s v="MG25217071"/>
        <s v="MG25213030"/>
        <s v="MG25214171"/>
        <s v="MG51507250"/>
        <s v="MG25213090"/>
        <s v="MG25217011"/>
        <s v="MG52516012"/>
        <s v="MG53517070"/>
        <s v="MG53515114"/>
        <s v="MG53515115"/>
        <s v="MG53515111"/>
        <s v="MG53515090"/>
        <s v="MG53515113"/>
        <s v="MG53515033"/>
        <s v="MG53515071"/>
        <s v="MG53515031"/>
        <s v="MG53515230a"/>
        <s v="MG53515010"/>
        <s v="MG53515072"/>
        <s v="MG53515230"/>
        <s v="MG53515131"/>
        <s v="MG53515253"/>
        <s v="MG53515251"/>
        <s v="MG53515112"/>
        <s v="MG53515032"/>
        <s v="MG53515132"/>
        <s v="MG53515052"/>
        <s v="MG53515053"/>
        <s v="MG52514031"/>
        <s v="MG52514032"/>
        <s v="MG52514011b"/>
        <s v="MG51507110"/>
        <s v="MG51507110a"/>
        <s v="MG51507190"/>
        <s v="MG23209150"/>
        <s v="MG22203010"/>
        <s v="MG22203030"/>
        <s v="MG22203090"/>
        <s v="MG22203050"/>
        <s v="MG22203190"/>
        <s v="MG22203130"/>
        <s v="MG22203070"/>
        <s v="MG22223130"/>
        <s v="MG13105216"/>
        <s v="MG13112050"/>
        <s v="MG13105292"/>
        <s v="MG13112030"/>
        <s v="MG13112090"/>
        <s v="MG13105190a"/>
        <s v="MG12118350"/>
        <s v="MG12118050"/>
        <s v="MG12118331"/>
        <s v="MG12118370"/>
        <s v="MG12118332"/>
        <s v="MG23206012"/>
        <s v="MG23210110"/>
        <s v="MG23210272"/>
        <s v="MG23210390"/>
        <s v="MG23210430"/>
        <s v="MG23210171"/>
        <s v="MG23210271"/>
        <s v="MG23210172"/>
        <s v="MG23209450"/>
        <s v="MG23209410"/>
        <s v="MG23209230"/>
        <s v="MG23209391"/>
        <s v="MG23209010"/>
        <s v="MG23209350"/>
        <s v="MG25214311"/>
        <s v="MG51506192"/>
        <s v="MG51506070"/>
        <s v="MG51506251"/>
        <s v="MG51506311"/>
        <s v="MG51506112"/>
        <s v="MG51504130"/>
        <s v="MG51504030"/>
        <s v="MG51504150"/>
        <s v="MG51504110"/>
        <s v="MG51504090"/>
        <s v="MG51504010"/>
        <s v="MG51504050a"/>
        <s v="MG51504050"/>
        <s v="MG51512011"/>
        <s v="MG51512150"/>
        <s v="MG51512111"/>
        <s v="MG51520132"/>
        <s v="MG51520133"/>
        <s v="MG51520131"/>
        <s v="MG51520192"/>
        <s v="MG51520111"/>
        <s v="MG51520050"/>
        <s v="MG51520010"/>
        <s v="MG51520030"/>
        <s v="MG51520072"/>
        <s v="MG51520090"/>
        <s v="MG51520112"/>
        <s v="MG51520250"/>
        <s v="MG51520290"/>
        <s v="MG51520310"/>
        <s v="MG51520330"/>
        <s v="MG51520330a"/>
      </sharedItems>
    </cacheField>
    <cacheField name="Adm3Code_ancien" numFmtId="0">
      <sharedItems containsNonDate="0" containsString="0" containsBlank="1"/>
    </cacheField>
    <cacheField name="Adm4Name" numFmtId="0">
      <sharedItems containsBlank="1" count="1302">
        <s v="Beanana"/>
        <s v="Loharano"/>
        <s v="Andriana"/>
        <s v="Ambila"/>
        <s v="Mandrosovelo"/>
        <s v="Beretra"/>
        <s v="Tanandava I"/>
        <s v="Anavoha Centre"/>
        <s v="Mandabe Ankilimaro"/>
        <s v="Ankatrafay"/>
        <s v="Analafantsike"/>
        <s v="Ambolisogno"/>
        <s v="Androimpano"/>
        <s v="Ambalatsimiviky"/>
        <s v="Tsiandriona Sud"/>
        <s v="Besely Sud"/>
        <s v="Ambatofotsy"/>
        <s v="Antondritsy"/>
        <s v="Vohitany"/>
        <s v="Mikaikarivo Haut"/>
        <s v="Anivorano Mitsinjo"/>
        <s v="Mahazoarivo"/>
        <s v="Beavoha"/>
        <s v="Besely"/>
        <s v="Besavoa Centre"/>
        <s v="Manasoa"/>
        <s v="Ankirikirika Centre"/>
        <s v="Antanamalaza"/>
        <s v="Ankirikirika I Est Ambato"/>
        <s v="Ankirikirika PPNR"/>
        <s v="Ankirikirika Vaonoro"/>
        <s v="Tanataloha"/>
        <s v="Vohibasie Anivorano"/>
        <s v="Taranty Haut"/>
        <s v="Tanambao"/>
        <s v="Mahavelo"/>
        <s v="Fandiova"/>
        <s v="Maromena"/>
        <s v="Helibondro"/>
        <s v="Beraketa"/>
        <s v="Mieba"/>
        <s v="Andregnara"/>
        <s v="Befaitsy"/>
        <s v="Andavabazaha Haut"/>
        <s v="Tomboarivo"/>
        <s v="Analabe"/>
        <s v="Beadabo"/>
        <s v="Antsely Be"/>
        <s v="Ambalasaraka"/>
        <s v="Ifarantsa"/>
        <s v="Andavaboay"/>
        <s v="Ankara Berano"/>
        <s v="Ampotobato"/>
        <s v="Manitsevo"/>
        <s v="Fenoarivo I"/>
        <s v="Besakoa"/>
        <s v="Andranomasy Vohitany"/>
        <s v="Ankily Soarano"/>
        <s v="Besohihy"/>
        <s v="Ambalatany"/>
        <s v="Tanantsoa"/>
        <s v="Andranomilitse"/>
        <s v="Ambondromena"/>
        <s v="Beteza Haut"/>
        <s v="Seta I"/>
        <s v="Bekiseny"/>
        <s v="Anivorano I"/>
        <s v="Ambilany Haut"/>
        <s v="Anarabemoko"/>
        <s v="Anivorano Centre"/>
        <s v="Beamalo Centre"/>
        <s v="Bebakaka"/>
        <s v="Belinjo"/>
        <s v="Beteny Centre"/>
        <s v="Fotadrevo Centre"/>
        <s v="Sonjo Ii"/>
        <s v="Tohabato"/>
        <s v="Bevaro"/>
        <s v="Andranotsiriry"/>
        <s v="Bekiria I"/>
        <s v="Ankilimitraha (Anjado)"/>
        <s v="Ifotaka"/>
        <s v="Fenoaivo"/>
        <s v="Analoalo"/>
        <s v="Befolotse"/>
        <s v="Andranovao"/>
        <s v="Tanindranto"/>
        <s v="Vombe"/>
        <s v="Andranomasintsoa"/>
        <s v="Malangeriake"/>
        <s v="Voroja"/>
        <s v="Ampitanake"/>
        <s v="Tongaenoro"/>
        <s v="Ambalabe Beavoha"/>
        <s v="Ankilibory"/>
        <s v="Itampolo Ii"/>
        <s v="Marolinta"/>
        <s v="Anjabelitsake"/>
        <s v="Ankilitelo Ii"/>
        <s v="Ankitikitike"/>
        <s v="Besely Nord"/>
        <s v="Mahatsara Sud"/>
        <s v="Amboanato"/>
        <s v="Marokarima"/>
        <s v="Ambaladara"/>
        <s v="Marohandriana"/>
        <s v="Masiaboay"/>
        <s v="Andranotakatse"/>
        <s v="Antararaty"/>
        <s v="Sakamasay"/>
        <s v="Antamotamo"/>
        <s v="Androvasoa"/>
        <s v="Vahavola Centre"/>
        <s v="Sampona Centre"/>
        <s v="Mandrapasy Centre"/>
        <s v="Mandrapasy Amborignabo"/>
        <s v="Terabovo"/>
        <s v="Morafeno"/>
        <s v="Ehavo"/>
        <s v="Silimosa"/>
        <s v="Taranake"/>
        <s v="Tanandava"/>
        <s v="Vohibary"/>
        <s v="Maroloha"/>
        <s v="Antsovela Ville"/>
        <s v="Ambatomena"/>
        <s v="Tsaravary"/>
        <s v="Ampasimbola"/>
        <s v="Tsiatosika"/>
        <s v="Anivorano"/>
        <s v="Ankarongana"/>
        <s v="Ambohimiarina"/>
        <s v="Ankily"/>
        <s v="Bevovoka"/>
        <s v="Sarodrano"/>
        <s v="Belenalena"/>
        <s v="Ampiha"/>
        <s v="Imanjola"/>
        <s v="Farivolo"/>
        <s v="Miadamandroso"/>
        <s v="Iaborotsy"/>
        <s v="Tsivory"/>
        <s v="Marovotry"/>
        <s v="Antanimora Centre"/>
        <s v="Namolora"/>
        <s v="Manavy"/>
        <s v="Ambaro"/>
        <s v="Betoko"/>
        <s v="Analavye Mainty"/>
        <s v="Vohitsova"/>
        <s v="Andranolaliky"/>
        <s v="Ambondrombe"/>
        <s v="Agnivovorano"/>
        <s v="Ankondria"/>
        <s v="Andalatanosy Centre"/>
        <s v="Vohitsarivo"/>
        <s v="Ebelo"/>
        <s v="Bekiria"/>
        <s v="Anjamahavelo"/>
        <s v="Ifotaka centre"/>
        <s v="Mahaly centre"/>
        <s v="Amboangy"/>
        <s v="Dabolava"/>
        <s v="Ranobe"/>
        <s v="ETSOHA MAROFOTY"/>
        <s v="AMBANISARIKA"/>
        <s v="ANKAKO"/>
        <s v="SIFIRY TANANTSOA"/>
        <s v="TOBODRIHA"/>
        <s v="AMBOROKE"/>
        <s v="ANJEKY ERADA"/>
        <s v="ENJOTY BEHABOBO"/>
        <s v="BEAGNANTARA"/>
        <s v="ANKILIKIRA"/>
        <s v="BETSIMEDA"/>
        <s v="ERAKOKE"/>
        <s v="AKOROROKY MAHAZOSOA"/>
        <s v="ERADABE TSIMIVAKY"/>
        <s v="VOHITRARIVO CENTRE"/>
        <s v="AMBONDROMBE SUD"/>
        <s v="ANDALATANOSY"/>
        <s v="ANDROVASOA CENTRE"/>
        <s v="ANDRANOLALIKE"/>
        <s v="AMBARO CENTE"/>
        <s v="IKONDA TSIMIARIHANDRY"/>
        <s v="BETOKO AMBATOSOAVOLO"/>
        <s v="ANALAVE MAINTY II"/>
        <s v="AMBANDITSE"/>
        <s v="ANTSAKOAMBALO"/>
        <s v="ANKOBO"/>
        <s v="ANKOTROBE"/>
        <s v="ANTAFIANAMPELA"/>
        <s v="ANDAHIVOZAKE"/>
        <s v="ANKARANANDINDO"/>
        <s v="ANJAKAMBA BAS"/>
        <s v="MANDILY"/>
        <s v="TSIABETRAKE"/>
        <s v="BETAPOAKY AMBATORATY"/>
        <s v="AMBARY"/>
        <s v="AGNANILAHY"/>
        <s v="ZAZAFOTSY"/>
        <s v="AMPANY"/>
        <s v="ANDAKATO"/>
        <s v="AMBATOMAINTY HAUT"/>
        <s v="ANTALY"/>
        <s v="AMBAHITA CENTRE"/>
        <s v="BEMALO I"/>
        <s v="AMPISOPISO"/>
        <s v="BEVATO I"/>
        <s v="ANDRIAMBOLA NORD"/>
        <s v="ANDOHARANO"/>
        <s v="BEPARO"/>
        <s v="ANTANIMARY"/>
        <s v="ANKAZOTA CENTRE"/>
        <s v="ANTSAKOAMARO CENTRE"/>
        <s v="SAKARATY"/>
        <s v="ANKARENANTSOA"/>
        <s v="BETEZA CENTRE"/>
        <s v="ANTSOSA"/>
        <s v="ANKILIMASY HAUT"/>
        <s v="ANTSOHAMAMY"/>
        <s v="MIKAIKARIVO CENTRE"/>
        <s v="ANARABE-II"/>
        <s v="TAHIEMBANGA"/>
        <s v="BEKILY CENTRE"/>
        <s v="MITSINJO"/>
        <s v="AMBONDRO"/>
        <s v="MAROFANY"/>
        <s v="AKARANA"/>
        <s v="TSIRANDRANY I"/>
        <s v="MORAFENO TANANDAVA"/>
        <s v="KORONGA"/>
        <s v="AMBATOTSIVALA"/>
        <s v="ANKILIVAHARE"/>
        <s v="MAROBASIA NORD"/>
        <s v="Behabobo"/>
        <s v="MAROHERE"/>
        <s v="BEMENA"/>
        <s v="ANDRAMBALE I"/>
        <s v="ANALALAVA OUEST"/>
        <s v="ANKILIBE NORD"/>
        <s v="ANDRAMIRAVA CENTRE"/>
        <s v="IMONGY"/>
        <s v="AMBONAIVO ANKILIBE"/>
        <s v="ANDAMONTY"/>
        <s v="Etroboke"/>
        <s v="Sihanamitohy"/>
        <s v="Firanga"/>
        <s v="Evazy"/>
        <s v="Sihananilambo"/>
        <s v="Terahanombitelo"/>
        <s v="Ampanihy centre"/>
        <s v="Androka Betohoke"/>
        <s v="Betsibarike"/>
        <s v="Gorogoda"/>
        <s v="Antanimainty"/>
        <s v="Antaly Andrefa"/>
        <s v="SOARANO SUD"/>
        <s v="MANDABE KILIMARO"/>
        <s v="Andamaky Centre"/>
        <s v="TANANDAVA CENTRE"/>
        <s v="ANKATRAFAY EST"/>
        <s v="NISOA"/>
        <s v="ANDROIPANO"/>
        <s v="AMBALATSIMIVIKE"/>
        <s v="BELESY NORD"/>
        <s v="AMBOLOSOGNO"/>
        <s v="ANDROKA VAO"/>
        <s v="BEHARAHAKE"/>
        <s v="BEAVOHA SUD"/>
        <s v="MAHATSANDRY NORD"/>
        <s v="Ambolisarike"/>
        <s v="ANKILIBORY I"/>
        <s v="BEVOALAVO"/>
        <s v="ZAMASY"/>
        <s v="Amborompotsy"/>
        <s v="FARAFATSE"/>
        <s v="ANKAZONTA"/>
        <s v="MITSORIAKE"/>
        <s v="MAROVAHATSE"/>
        <s v="BEHATRAVY"/>
        <s v="EJEDA CENTRE"/>
        <s v="BEARA AMBOLAMENA"/>
        <s v="MANAKARALAHY"/>
        <s v="ANKOZOHOZO"/>
        <s v="AMBATOKAPIKE CENTRE"/>
        <s v="MANAKARAVAVY"/>
        <s v="TSIKOAKAHITSE"/>
        <s v="AMBATOVAKY"/>
        <s v="BEAMALO"/>
        <s v="ANDRANOMILITRY"/>
        <s v="SETA"/>
        <s v="Ankazomanga Ouest"/>
        <s v="Miary"/>
        <s v="Lazarivo"/>
        <s v="Betaly I"/>
        <s v="Ankilivao"/>
        <s v="Andranomavo"/>
        <s v="Maroarivo Centre"/>
        <s v="Andremba Centre"/>
        <s v="Ambatofotsy Mahasoa"/>
        <s v="Sakamasay Centre"/>
        <s v="Salobe"/>
        <s v="Vohipotsy I"/>
        <s v="Soamanonga I"/>
        <s v="Manintsy"/>
        <s v="Ambatomainty II"/>
        <s v="Laniry"/>
        <s v="Tanambao Bemoky"/>
        <s v="Tameantsoa"/>
        <s v="Andohasatra"/>
        <s v="Tanambao Ambony"/>
        <s v="Marevokasara"/>
        <s v="Vohitraomby"/>
        <s v="Fonilaza"/>
        <s v="Tsiately"/>
        <s v="Anapatra"/>
        <s v="Tsararano"/>
        <s v="Morabe"/>
        <s v="Vohitrambo"/>
        <s v="Mahatsinjo"/>
        <s v="Ivato"/>
        <s v="Mahatsara Sud(Lavakianja)"/>
        <s v="Ambohimiarina I"/>
        <s v="Mahavoky Nord"/>
        <s v="Marosangy"/>
        <s v="Ambohimahasoa"/>
        <s v="Andranomatavy"/>
        <s v="Ambahita centrale"/>
        <s v="Ampany/ Androtsy"/>
        <s v="Vohitrarivo"/>
        <s v="Beretra II"/>
        <s v="Sindrikatsy"/>
        <s v="Ambalatraka"/>
        <s v="Ambalavato Nord"/>
        <s v="Marofoty"/>
        <s v="Retoka"/>
        <s v="Ambanisarika Centre"/>
        <s v="Ankiliabon'Ibona"/>
        <s v="Ankilimara"/>
        <s v="Etsoha"/>
        <s v="Mahasoa"/>
        <s v="Ampiatsaha"/>
        <s v="Ambalatenina"/>
        <s v="Ambatolava"/>
        <s v="Ambatomainty"/>
        <s v="Anarabe II"/>
        <s v="Vohitramboa"/>
        <s v="Anadabolava"/>
        <s v="Mandabe"/>
        <s v="Esaka"/>
        <s v="Ambatosola Centre"/>
        <s v="Andingolingo"/>
        <s v="Ambatry Mitsinjo"/>
        <s v="Andranokototo"/>
        <s v="Andranotantely"/>
        <s v="Ambatry Manory"/>
        <s v="Tsilavondrivotse"/>
        <s v="Ambatry Ambony"/>
        <s v="Ambatry Tanambao"/>
        <s v="Mahabo"/>
        <s v="Besakoa Sud"/>
        <s v="Besakoa Nord"/>
        <s v="Ambazoa"/>
        <s v="Ikotoala"/>
        <s v="AMBOROMINENDRA"/>
        <s v="ANTANAMIHERY"/>
        <s v="TSIFAHERA Ampaipaike"/>
        <s v="Talakifeno"/>
        <s v="Ankamena S.S.M"/>
        <s v="Ianakafy"/>
        <s v="Belitsaka"/>
        <s v="Limby"/>
        <s v="Ankitry"/>
        <s v="Ankamena Tanantsoa"/>
        <s v="Ambalabe Mahatsara"/>
        <s v="Sarilasy"/>
        <s v="Ambohigogo"/>
        <s v="Lohatranambo"/>
        <s v="Antanantsoa"/>
        <s v="ANDRANOTSIRIRY MANKATRATSE"/>
        <s v="ANKILETELO"/>
        <s v="Mahatomotse centre"/>
        <s v="Savilava-Androy"/>
        <s v="Ambohimana"/>
        <s v="Ambarimafaitra"/>
        <s v="Tsaratanana"/>
        <s v="Ambohimandroso"/>
        <s v="IABOREFO"/>
        <s v="Lavakianja"/>
        <s v="Ambodipaiso"/>
        <s v="Sahanimanga"/>
        <s v="Ambodilazabe"/>
        <s v="Ampasimalemy"/>
        <s v="Androrangavola"/>
        <s v="Ankarandoha"/>
        <s v="Analavao"/>
        <s v="Ambonaivo"/>
        <s v="MAROLAVA"/>
        <s v="Ampisandrata"/>
        <s v="Lamitihy sud"/>
        <s v="Tsimagnanto"/>
        <s v="Ambondro I"/>
        <s v="Bebea"/>
        <s v="Ambongo"/>
        <s v="Mahamany"/>
        <s v="Ankevo"/>
        <s v="Belalitse"/>
        <s v="Ankiliabo"/>
        <s v="Amborompotsy I"/>
        <s v="Ambararata Haut"/>
        <s v="Ambahivahy"/>
        <s v="Ambatomanambahatse"/>
        <s v="Motombe"/>
        <s v="Bealango I"/>
        <s v="Bealango II"/>
        <s v="Ankilimanondro Nord"/>
        <s v="Ankisakisake"/>
        <s v="Amborompotsy II"/>
        <s v="Anaramalinike"/>
        <s v="Bemoita Nord"/>
        <s v="Tsotsama"/>
        <s v="Beronono"/>
        <s v="Antanimavo"/>
        <s v="Analamisaka"/>
        <s v="Belamoty"/>
        <s v="Maola Bas"/>
        <s v="Andrevisike"/>
        <s v="Beonga"/>
        <s v="Tanantsoa Vohimaro"/>
        <s v="Ankonatse"/>
        <s v="Ankilemare"/>
        <s v="Besavoa"/>
        <s v="Ankazoabo"/>
        <s v="Maroakoho"/>
        <s v="Maola Haut"/>
        <s v="Bemoita Sud"/>
        <s v="Belafike Haut"/>
        <s v="Ankafoja"/>
        <s v="Fenoarivo Sud"/>
        <s v="Andindo"/>
        <s v="Ampiketra"/>
        <s v="Andavabiby"/>
        <s v="Andovoke"/>
        <s v="Andrea Andradie"/>
        <s v="Sagory"/>
        <s v="Vohipetse Vohitsaragna"/>
        <s v="Beroroha"/>
        <s v="Amboasary II"/>
        <s v="Ambazoamirafy"/>
        <s v="Tsirangoty"/>
        <s v="Milahane Fenoarivo"/>
        <s v="Marofanogne"/>
        <s v="Antsatrahamasy"/>
        <s v="Maromalay"/>
        <s v="Sevohipoty"/>
        <s v="Ankaramena"/>
        <s v="Ambolomareagne"/>
        <s v="Amboro Bekokako"/>
        <s v="ANJAKAMBA"/>
        <s v="ANKANKA"/>
        <s v="ANKILEFALY"/>
        <s v="ANKILEMASY"/>
        <s v="ANKILIMAFAITSE"/>
        <s v="ANTANATANAPOTY"/>
        <s v="BEANIKE"/>
        <s v="BEHANTAMAREAGNE"/>
        <s v="EKONKA CENTRAL"/>
        <s v="ESANTA"/>
        <s v="LAVANDRANDRA 1"/>
        <s v="TALAKY Centre"/>
        <s v="Tranobe Maromainty (EKONKA)"/>
        <s v="VANGAY AMBANEAVOHA"/>
        <s v="Nandrosoa"/>
        <s v="Andalipito"/>
        <s v="Besatra Soarano"/>
        <s v="AMPAMATA CENTRE"/>
        <s v="Ankilitoka"/>
        <s v="Ambalatsiefa"/>
        <s v="Reambohitse Bas"/>
        <s v="Ambalavato"/>
        <s v="Lafibato"/>
        <s v="Ambohimahatazana"/>
        <s v="Tokove"/>
        <s v="Antsaridava"/>
        <s v="Betsibaroke"/>
        <s v="Etrobeke"/>
        <s v="Etanjo"/>
        <s v="Terahanaombitelo"/>
        <s v="Lavaposa"/>
        <s v="Andranovaho"/>
        <s v="Betonake"/>
        <s v="Ankilimalangy"/>
        <s v="Belaza"/>
        <s v="Bevitike"/>
        <s v="Montondava"/>
        <s v="Tsimidretsy"/>
        <s v="Andranomamy"/>
        <s v="Ambatolahitsirara"/>
        <s v="Fenoarivo"/>
        <s v="Ampasindava"/>
        <s v="Ampataka"/>
        <s v="Tanambao II"/>
        <s v="Ankarefo"/>
        <s v="Amporoforo"/>
        <s v="Amibasy"/>
        <s v="Marosiky"/>
        <s v="Analamary"/>
        <s v="Manombo"/>
        <s v="Marora"/>
        <s v="Bepia"/>
        <s v="Iaborano"/>
        <s v="Sambalahy"/>
        <s v="AGNAFONDRAVOAY"/>
        <s v="ANJAMALINEKE"/>
        <s v="Ifoitry"/>
        <s v="Nandritona"/>
        <s v="Anavoha Ambonirano"/>
        <s v="Analafantsika"/>
        <s v="Anadabolahimaeva"/>
        <s v="Ankotobe Avaradrano"/>
        <s v="Andakana"/>
        <s v="Ambalakazaha"/>
        <s v="Andalakaolo"/>
        <s v="Edasotse"/>
        <s v="AKONDRIA"/>
        <s v="AMPAHEJOLOKE"/>
        <s v="ANDALATANOSY NORD"/>
        <s v="ANDALATANOSY SUD"/>
        <s v="VOHIPANDRANY"/>
        <s v="VOHITSANOMBE"/>
        <s v="Andefapony"/>
        <s v="Masomboay"/>
        <s v="Volojatsy"/>
        <s v="Miarinarivo"/>
        <s v="Ambinagny Est"/>
        <s v="Andraketa centre"/>
        <s v="Analave Foty"/>
        <s v="Ambararata Centre"/>
        <s v="Maregny"/>
        <s v="Androvamare II"/>
        <s v="Andragnanivo Centre"/>
        <s v="Marosoritsy Est"/>
        <s v="Tsimagnarake centre"/>
        <s v="Andranolalina"/>
        <s v="Ampatranila"/>
        <s v="Andranomangatsiaka"/>
        <s v="Mahabo Sud"/>
        <s v="Befotaka"/>
        <s v="Besatra"/>
        <s v="Ambario"/>
        <s v="Fenoanivo"/>
        <s v="Manantsa"/>
        <s v="Sakoamaro"/>
        <s v="Ankamena I"/>
        <s v="Ankamena II"/>
        <s v="Betratratra"/>
        <s v="Ambaladoda"/>
        <s v="Ankiliambany"/>
        <s v="Ambalandambo"/>
        <s v="Belambo"/>
        <s v="Antsakoa"/>
        <s v="Tsimafaitse"/>
        <s v="Androka Ela"/>
        <s v="Manera"/>
        <s v="Ambohibola"/>
        <s v="Saodona"/>
        <s v="Anilobe"/>
        <s v="Antanimena"/>
        <s v="Ankilemivory Esogny"/>
        <s v="Besandraha"/>
        <s v="Anja-Nord"/>
        <s v="Ankatsakatsa"/>
        <s v="Mikaikarivo I"/>
        <s v="Bekokako"/>
        <s v="Botreoke"/>
        <s v="Mokofo"/>
        <s v="Marovaho"/>
        <s v="Anjeky Tanandava"/>
        <s v="Amboro"/>
        <s v="Anjoty Marolava II"/>
        <s v="Ankeoheo Marolava"/>
        <s v="Ankilerandro"/>
        <s v="Antanemiare I"/>
        <s v="Beanantara"/>
        <s v="Beanantara I"/>
        <s v="Maroafo Marofoty"/>
        <s v="Marohafotse"/>
        <s v="Tombodriha"/>
        <s v="Tsimihevo"/>
        <s v="Ankarana"/>
        <s v="Takoandra"/>
        <s v="Eroka II"/>
        <s v="Andranomanitsy"/>
        <s v="Anarabe I"/>
        <s v="Andriabe"/>
        <s v="Vohimary I"/>
        <s v="Ambinanivelo"/>
        <s v="Vohimary II"/>
        <s v="Ankaranabo Nord Centre"/>
        <s v="Vovomena"/>
        <s v="Miogo"/>
        <s v="Andrahavia"/>
        <s v="Tokoendolo"/>
        <s v="Vonje"/>
        <s v="Bevala"/>
        <s v="Vombao"/>
        <s v="Ankandy"/>
        <s v="Ankazomanga"/>
        <s v="Ankavola"/>
        <s v="Ambararata"/>
        <s v="Mahaty"/>
        <s v="Milomboke"/>
        <s v="Beza Mahafaly"/>
        <s v="Bejio"/>
        <s v="Analafaly"/>
        <s v="Ambinda"/>
        <s v="Betalaha"/>
        <s v="Ampanihy Antarabory"/>
        <s v="Vohimanoro"/>
        <s v="Ankazovelo"/>
        <s v="Telorano"/>
        <s v="Tsijobony"/>
        <s v="Anosa"/>
        <s v="Behavandra I"/>
        <s v="Etakake"/>
        <s v="Ampanorita"/>
        <s v="Agnena"/>
        <s v="Andamoty"/>
        <s v="Anjamisaro"/>
        <s v="Ekelehaly"/>
        <s v="Emalo"/>
        <s v="Reakaly"/>
        <s v="Reambondro"/>
        <s v="Betaimbala"/>
        <s v="Ankilimary"/>
        <s v="Marohola"/>
        <s v="Tsiandeo"/>
        <s v="Agnaramiteraka"/>
        <s v="Sarotsahatay"/>
        <s v="Ankilimivory"/>
        <s v="Befamata"/>
        <s v="Vohimiroro"/>
        <s v="Andrakia"/>
        <s v="Amboaido"/>
        <s v="Agnena Centre"/>
        <s v="Vatolalake"/>
        <s v="Analamateza Bas"/>
        <s v="Anjidava"/>
        <s v="Andranolava"/>
        <s v="Bevoay"/>
        <s v="Ambatoroheva"/>
        <s v="Analamateza Be"/>
        <s v="Andraompe"/>
        <s v="Anjeba"/>
        <s v="Ankatrakatrake"/>
        <s v="Ankilizato"/>
        <s v="Befamata Ampanorita"/>
        <s v="Bekako Centre"/>
        <s v="Bekako Nord"/>
        <s v="Bekako Sud"/>
        <s v="Manory"/>
        <s v="Sakamasay I"/>
        <s v="Sakamasay II"/>
        <s v="Anakatrika"/>
        <s v="Fierena"/>
        <s v="Anosy"/>
        <s v="Vazako"/>
        <s v="Anosikely"/>
        <s v="Antsira"/>
        <s v="BEFENO"/>
        <s v="Antaninarenina"/>
        <s v="Andraketalahy"/>
        <s v="Anjira"/>
        <s v="Ambaromanoy"/>
        <s v="Talaky Bas"/>
        <s v="Antaritarika"/>
        <s v="Beievotse Tanambao"/>
        <s v="Ihodo"/>
        <s v="Antodinga"/>
        <s v="Mitremaka"/>
        <s v="Andasy"/>
        <s v="Antokoboritelo"/>
        <s v="Antemanara"/>
        <s v="Andremareo"/>
        <s v="Antondabe"/>
        <s v="Ankazota"/>
        <s v="Antsakoamaro"/>
        <s v="Antseranambe"/>
        <s v="Mikaikarivo"/>
        <s v="Anontsy"/>
        <s v="Ankiliarivo"/>
        <s v="Anjambalo"/>
        <s v="Befaha"/>
        <s v="Ereteke"/>
        <s v="Ankotoboke Soarano"/>
        <s v="Beantake"/>
        <s v="Ankililaza"/>
        <s v="Marohery"/>
        <s v="Marobasia"/>
        <s v="Ampanagnira"/>
        <s v="Andranotsikioe"/>
        <s v="Behara Ambony"/>
        <s v="Ankirikirika"/>
        <s v="Behara Bas I"/>
        <s v="Berenty Officiel"/>
        <s v="Beharena"/>
        <s v="Ankarapotsy"/>
        <s v="Beheloka Bas"/>
        <s v="Ankilimivony"/>
        <s v="Beheloka Haut"/>
        <s v="Bekaraoky"/>
        <s v="Ankaboa"/>
        <s v="Miary Haut"/>
        <s v="Befangitsy"/>
        <s v="Andamilamy"/>
        <s v="Ankilemiary"/>
        <s v="Marovaho Haut"/>
        <s v="Marovaho-Bas"/>
        <s v="Menambahy I"/>
        <s v="Bekofafa"/>
        <s v="Manandrotsy"/>
        <s v="Andalamby"/>
        <s v="Mananovy"/>
        <s v="Itroho"/>
        <s v="MANINGAVAHATSY"/>
        <s v="Anaviavy"/>
        <s v="Ankilimasy"/>
        <s v="Belafike Vohibe"/>
        <s v="Belolo Ankapiky"/>
        <s v="Tsatsiotse Kande"/>
        <s v="Vinanitelo"/>
        <s v="Vinanitelo Ankilimaro"/>
        <s v="Beadala Haut"/>
        <s v="Ankilitelo"/>
        <s v="Ambatovaky Haut"/>
        <s v="Ampamata"/>
        <s v="Beadala Antanisira"/>
        <s v="Ankininy"/>
        <s v="Beadala Bas"/>
        <s v="Beadala Faharaza"/>
        <s v="Bekignana Manakaralahy"/>
        <s v="Belafike Bas"/>
        <s v="Bololo Bas"/>
        <s v="Hanimbe Haut"/>
        <s v="Lalikamany"/>
        <s v="Namelomampia"/>
        <s v="Namelompia Bas"/>
        <s v="Namelompia Haut"/>
        <s v="Ranondahatse Be"/>
        <s v="Taolambositse"/>
        <s v="Ambasy"/>
        <s v="Ampanamperandrotsy"/>
        <s v="Belindo"/>
        <s v="Tirimby"/>
        <s v="Sihanadaly"/>
        <s v="Ambohivola"/>
        <s v="Angobegobe"/>
        <s v="Sampeza"/>
        <s v="Sihanaboay"/>
        <s v="Tsaniria/Ampatiolobe"/>
        <s v="Bema"/>
        <s v="Ambatovita"/>
        <s v="Benato Toby"/>
        <s v="Bepeha"/>
        <s v="Ivohitsoa"/>
        <s v="Bevatry"/>
        <s v="Ranotsara"/>
        <s v="Benenitra I"/>
        <s v="Berevo Bekily"/>
        <s v="Beraketa Est"/>
        <s v="Tanapiso"/>
        <s v="Ankilivalo"/>
        <s v="Vohitolia"/>
        <s v="Beanike Centre"/>
        <s v="Beora Tanambao"/>
        <s v="Ampanimaro"/>
        <s v="Amboasary"/>
        <s v="Ampandrandava"/>
        <s v="Beraketa II"/>
        <s v="Besakoa Ifarantsa"/>
        <s v="Antsely"/>
        <s v="Beraketa I"/>
        <s v="Berano"/>
        <s v="Marotoko"/>
        <s v="Karinarivo"/>
        <s v="Beroy Atsimo"/>
        <s v="Beroy Avaratra"/>
        <s v="Anadranto Ankatrafay"/>
        <s v="Tsikombo Ambany"/>
        <s v="Tsikombo Haut"/>
        <s v="Besasavy Bas"/>
        <s v="Antaniperatsy"/>
        <s v="Belobaka Nord"/>
        <s v="Ampany Anivorano"/>
        <s v="Besakoa Centrale"/>
        <s v="Mahasoa Vohintany"/>
        <s v="Ankilivalo Haut"/>
        <s v="Antsosa I"/>
        <s v="Beteza Centrale"/>
        <s v="Pelaraiky"/>
        <s v="Ambalahazo"/>
        <s v="Ampakabo"/>
        <s v="Ranonda"/>
        <s v="Betioky II"/>
        <s v="Ampasimandroake"/>
        <s v="Antsakoamasy"/>
        <s v="Anketrake"/>
        <s v="Ankilimiangatse"/>
        <s v="Bevaho"/>
        <s v="Bevata"/>
        <s v="Bevitiky Centre"/>
        <s v="Tsioga Vohimary"/>
        <s v="Andaro"/>
        <s v="Antsatra"/>
        <s v="Vatoarivo"/>
        <s v="Befamonty"/>
        <s v="Anjatakary"/>
        <s v="Bezaha I"/>
        <s v="Bezaha Iv"/>
        <s v="Bezaha II"/>
        <s v="Bezaha IIi"/>
        <s v="Misay"/>
        <s v="Ambalavolo"/>
        <s v="Efatsy"/>
        <s v="Efoetse"/>
        <s v="Ambola"/>
        <s v="Maromitilike"/>
        <s v="Maintelime"/>
        <s v="Analamena"/>
        <s v="Ambatokapike"/>
        <s v="Andranomena"/>
        <s v="Ankilimidega"/>
        <s v="Ankozohozo Andakilasy"/>
        <s v="Tananondate"/>
        <s v="Beara"/>
        <s v="Bedeboke"/>
        <s v="Behatravy Ambatomainty"/>
        <s v="Behatravy Centre"/>
        <s v="Behazondregnetse"/>
        <s v="Beholive"/>
        <s v="Bekignana"/>
        <s v="Besakoa Liambositse"/>
        <s v="Beviro Betrongo"/>
        <s v="Beviro Centre"/>
        <s v="Ejeda Sud"/>
        <s v="Enosy Centre"/>
        <s v="Esifake"/>
        <s v="Etory"/>
        <s v="Evovo Centre"/>
        <s v="Manakaralahy Nord"/>
        <s v="Manakaralahy Sud"/>
        <s v="Mandopaka I"/>
        <s v="Mandopaka II"/>
        <s v="Antsevaseva-Rehinde"/>
        <s v="Mirafe"/>
        <s v="Sagnirantante"/>
        <s v="Sevaseva Befoe"/>
        <s v="Tsimarea Nord"/>
        <s v="Tsizarae"/>
        <s v="Bemandresy"/>
        <s v="Elonty"/>
        <s v="Habohabo Nord"/>
        <s v="Ambory"/>
        <s v="Ambanekily sud"/>
        <s v="Erada"/>
        <s v="NISORONA"/>
        <s v="Esira"/>
        <s v="Etrotroka"/>
        <s v="Vohimary"/>
        <s v="Evato"/>
        <s v="Andranomakoko"/>
        <s v="Mahafasa Nord"/>
        <s v="Amboanio"/>
        <s v="Ambatosarotra"/>
        <s v="Somisiky"/>
        <s v="Fenoandala"/>
        <s v="Loasay"/>
        <s v="Sahavoangy"/>
        <s v="Tsamoro"/>
        <s v="Satranarivo"/>
        <s v="Antohabo"/>
        <s v="Fotadrevo Sud"/>
        <s v="Seta II"/>
        <s v="Gogogogo II"/>
        <s v="Befasy"/>
        <s v="Ambodrokily"/>
        <s v="Anamonta"/>
        <s v="Bekompitse"/>
        <s v="Belambo Amborotsy"/>
        <s v="Taolambositse Ankininy"/>
        <s v="Tsimaimpaoso"/>
        <s v="Iabohazo"/>
        <s v="Anambakaka"/>
        <s v="Iamonta"/>
        <s v="Vohibe II"/>
        <s v="Bemelo"/>
        <s v="Ianabinda"/>
        <s v="Ankaroka Toby"/>
        <s v="Antatabe"/>
        <s v="Voronkafotra Toby"/>
        <s v="Bekininy"/>
        <s v="Ampandratolony"/>
        <s v="Ambatomihala"/>
        <s v="Ankasy"/>
        <s v="Antanandava Andrefana"/>
        <s v="Vohitelo"/>
        <s v="MAHASOA OUEST"/>
        <s v="IHAZOFOTSY"/>
        <s v="Iara"/>
        <s v="Ankilimanintsy"/>
        <s v="Ifotaka D.P."/>
        <s v="Tsaripioky"/>
        <s v="Antsivavy Ankamena"/>
        <s v="Vohibolo"/>
        <s v="Ihorombe"/>
        <s v="Ambohimiary"/>
        <s v="Ambalagoavy"/>
        <s v="Antekoho"/>
        <s v="Sahavondrony"/>
        <s v="Ambohimahasoa Nord"/>
        <s v="Papango"/>
        <s v="Mangarivotra"/>
        <s v="Antavolo"/>
        <s v="Sahavandra"/>
        <s v="Tsaratanteraka"/>
        <s v="Volarivo"/>
        <s v="Ambatolampy"/>
        <s v="Amboangisay"/>
        <s v="Sahakondro"/>
        <s v="Andromba"/>
        <s v="IMANOMBO CENTRE"/>
        <s v="Ampilofilo"/>
        <s v="BEDARO"/>
        <s v="ANTESOAMAY"/>
        <s v="Andemby"/>
        <s v="AMPANASA"/>
        <s v="Inosy"/>
        <s v="Antanandava Sud"/>
        <s v="Isoanala Sud"/>
        <s v="Isoanala Nord"/>
        <s v="Androka"/>
        <s v="Marovala Toby"/>
        <s v="Lavalila"/>
        <s v="Vohitsevo"/>
        <s v="Beraketa Sud"/>
        <s v="ANDRAGIRAGY"/>
        <s v="BENONOKY"/>
        <s v="Sakariaka"/>
        <s v="Tongainoro"/>
        <s v="Tsiondriana Nord"/>
        <s v="Beavoha Ambalabe"/>
        <s v="Befengoke"/>
        <s v="Itampolo I"/>
        <s v="Ivandrika"/>
        <s v="Ambalolo"/>
        <s v="Ambohitsara"/>
        <s v="Ferena"/>
        <s v="Lavaraty"/>
        <s v="Marozano"/>
        <s v="Anjakamba Haut"/>
        <s v="Ambory Bas"/>
        <s v="Ankotsobe"/>
        <s v="AJAFARO"/>
        <s v="AMBATORATY"/>
        <s v="BASAKOA BAS"/>
        <s v="Karianga"/>
        <s v="Sosobahy"/>
        <s v="Karimbary"/>
        <s v="Anjapoty"/>
        <s v="Ambatofoty"/>
        <s v="Ananaja/Ananakirihitse"/>
        <s v="Anjedava"/>
        <s v="Antseta"/>
        <s v="Kopoky"/>
        <s v="Lohafary"/>
        <s v="Mahabe"/>
        <s v="Lopary"/>
        <s v="Benonoka I"/>
        <s v="Manevy"/>
        <s v="Riandampy"/>
        <s v="Ankeniheny"/>
        <s v="Iabomary"/>
        <s v="Mahabo Mananivo"/>
        <s v="Andrambale"/>
        <s v="Mahafasa Centre"/>
        <s v="Vohitromby"/>
        <s v="Mahaly"/>
        <s v="Adabolava Sud"/>
        <s v="Ianakasy"/>
        <s v="Anivotsara"/>
        <s v="Antenimary"/>
        <s v="Alohavala"/>
        <s v="Maheriraty"/>
        <s v="Zara"/>
        <s v="Amborignabo"/>
        <s v="Manakompy"/>
        <s v="Anja Ouest"/>
        <s v="Maikandro"/>
        <s v="ANKILISOASOMANGY"/>
        <s v="Manalobe"/>
        <s v="Antsoro I"/>
        <s v="Lohanosy"/>
        <s v="Madiorano"/>
        <s v="Manambondro"/>
        <s v="Maroroka"/>
        <s v="Marompanahy"/>
        <s v="Manambotra"/>
        <s v="Ambaraholona"/>
        <s v="Ambohimalaza"/>
        <s v="Manato"/>
        <s v="Mahasoa I"/>
        <s v="Ampamatoha"/>
        <s v="Maroantsiva"/>
        <s v="Ambinanitelo"/>
        <s v="Betsako"/>
        <s v="Maniry"/>
        <s v="Besaly"/>
        <s v="Ankilimihamy"/>
        <s v="Bokonake"/>
        <s v="Tsiasimo"/>
        <s v="Vohidrakitse"/>
        <s v="Ambahotera"/>
        <s v="Efoty"/>
        <s v="Begorago"/>
        <s v="Ankarahara"/>
        <s v="Anjamarotea"/>
        <s v="Ankaragnabo"/>
        <s v="Ankilimahare"/>
        <s v="Bejabihy"/>
        <s v="Betrandraky Bas"/>
        <s v="Betrandraky Haut"/>
        <s v="Pinjo Bas"/>
        <s v="Reambohitse"/>
        <s v="Remengoky"/>
        <s v="Vontovoatavo"/>
        <s v="Erakoka Andrefana"/>
        <s v="Radabetsimivaky"/>
        <s v="Ankilehogo"/>
        <s v="Ankororoke Mahazosoa"/>
        <s v="Belambo Fanavaozana"/>
        <s v="Betsimeda Ankilimilaly"/>
        <s v="Erakoka"/>
        <s v="Behabobo Nord"/>
        <s v="Tanambao Sud"/>
        <s v="Ampanavy Fototsambo"/>
        <s v="Maroalopoty II"/>
        <s v="Maropia Ankilibe"/>
        <s v="Maropia Nord"/>
        <s v="Maropia  Ambohimazava"/>
        <s v="Ambaro III"/>
        <s v="Ankalimboro Tsiavihandro"/>
        <s v="Antsomotsoy Ankeloke"/>
        <s v="Antsomotsoy Centre"/>
        <s v="Belemboke Ambany"/>
        <s v="Belemboke Sevohitse"/>
        <s v="Belitsake Dodo"/>
        <s v="Mahavokake"/>
        <s v="Mareagne Tsihelegne"/>
        <s v="Maroalopoty I"/>
        <s v="Maroalopoty III"/>
        <s v="Marodo Ankilemasy"/>
        <s v="Savara centre"/>
        <s v="Soatamea centre"/>
        <s v="Soatsifa Agnivorano"/>
        <s v="Soatsifa Haut"/>
        <s v="Soatsifa I"/>
        <s v="Tanambao Efaly"/>
        <s v="Tsirandrany"/>
        <s v="Vohimiary"/>
        <s v="Maroarivo Tanandava"/>
        <s v="Andranamy"/>
        <s v="Ambatofoty Ouest"/>
        <s v="Analalentike"/>
        <s v="Ankilimihada"/>
        <s v="Andremihory"/>
        <s v="Andremba Mihary"/>
        <s v="Andremba Mihaga"/>
        <s v="Andremba"/>
        <s v="Marokibo"/>
        <s v="Ambalamasy"/>
        <s v="Ampotake"/>
        <s v="Andovoky/Ankilevalo"/>
        <s v="Lokoarivo"/>
        <s v="Manombo Tanemena"/>
        <s v="Zandroe"/>
        <s v="Tanandava Nord"/>
        <s v="Maromby"/>
        <s v="Andranondambo"/>
        <s v="Ambohitsarabe"/>
        <s v="Sakevo"/>
        <s v="Marotsiraka"/>
        <s v="Marovandrika"/>
        <s v="Firifiry"/>
        <s v="Marovato"/>
        <s v="Belitsake"/>
        <s v="Soramena"/>
        <s v="Mantara"/>
        <s v="Nosy Ala"/>
        <s v="Betaimborake"/>
        <s v="Ankororoke"/>
        <s v="Ambanikily Volankira"/>
        <s v="Andranonagnombe"/>
        <s v="Ambendrana"/>
        <s v="Namalaza II"/>
        <s v="Miandrasoa"/>
        <s v="MAROVATO Centre"/>
        <s v="MAROVATO LAHABE"/>
        <s v="MITREAKE CENTRE"/>
        <s v="Akonatsy"/>
        <s v="Betaimbala Centre"/>
        <s v="Betaimbala Haut"/>
        <s v="Marabory"/>
        <s v="Maroviro centre"/>
        <s v="Sakoandroa"/>
        <s v="Marovitsika Sud"/>
        <s v="Bekily"/>
        <s v="Anjamena Nord"/>
        <s v="Anjamena Sud"/>
        <s v="Ankamena"/>
        <s v="Ambatokapike Sud"/>
        <s v="Marohira"/>
        <s v="Ankatrakatraka"/>
        <s v="Bevontake"/>
        <s v="Antavimalahay"/>
        <s v="Nosy Omby"/>
        <s v="Nosibe Masianaka"/>
        <s v="Matanga"/>
        <s v="Mandritsara"/>
        <s v="Nosifeno"/>
        <s v="Ambararata Ouest"/>
        <s v="Bedona"/>
        <s v="Andranomiteraky"/>
        <s v="Moroteza"/>
        <s v="Antanambao"/>
        <s v="Emita"/>
        <s v="Namohora"/>
        <s v="Nanarena Besakoa"/>
        <s v="Ankilimigahy"/>
        <s v="Namoia"/>
        <s v="Anatsosa Centre"/>
        <s v="Tampototse Nord"/>
        <s v="Ambovotoka"/>
        <s v="Katsakala"/>
        <s v="Maroakalo"/>
        <s v="Tampototse Maromainte"/>
        <s v="Tanamiary"/>
        <s v="Behalomboro"/>
        <s v="Ranomena"/>
        <s v="Lalangy"/>
        <s v="Tanambao Matirano"/>
        <s v="Matavay"/>
        <s v="Vohitrapanefy"/>
        <s v="Ranotsara Sud"/>
        <s v="Sakamahily Ouest"/>
        <s v="Ambinany Sud"/>
        <s v="Ambararata Nord"/>
        <s v="Mahasoa Nord"/>
        <s v="Tsiborake"/>
        <s v="Besaihatsy"/>
        <s v="Belalitsy"/>
        <s v="Saloambany"/>
        <s v="Ankilimanara"/>
        <s v="Ankilimitraha"/>
        <s v="Ambahy Ianakafy"/>
        <s v="Ankilibe Vahavola"/>
        <s v="Manindra"/>
        <s v="Sandravinany"/>
        <s v="Manja"/>
        <s v="Tsilimbe Marofoty"/>
        <s v="Analaisoke"/>
        <s v="Agnorike"/>
        <s v="Ambovo"/>
        <s v="Analaisoke I"/>
        <s v="Andramanera II"/>
        <s v="Ankilemiharatsy"/>
        <s v="Ankiliabo Sud"/>
        <s v="Ankliabo Nord"/>
        <s v="Montombe II"/>
        <s v="Savilava"/>
        <s v="Tsiamaly Ankilemamy"/>
        <s v="Zantelo"/>
        <s v="Sihanamitohy I"/>
        <s v="Analahova"/>
        <s v="Mantsake"/>
        <s v="Soakibany"/>
        <s v="Ambodizoho"/>
        <s v="Beroanga"/>
        <s v="Soamanonga II"/>
        <s v="Vohipotsy II"/>
        <s v="Vohipotsy IV"/>
        <s v="Ihela Bas"/>
        <s v="Ihela Haut"/>
        <s v="Betampy"/>
        <s v="Bevinda"/>
        <s v="Soamanova"/>
        <s v="Bemoky"/>
        <s v="Eboro"/>
        <s v="Vohiboanjo"/>
        <s v="Nanarena"/>
        <s v="Anantaka"/>
        <s v="Sarisambo"/>
        <s v="Sakara Haut"/>
        <s v="Tanambe"/>
        <s v="Antsovela Sama"/>
        <s v="Tangainony"/>
        <s v="Toliara Centre"/>
        <s v="Betania Centre"/>
        <s v="Tongobory"/>
        <s v="Vohibe"/>
        <s v="Ihotry"/>
        <s v="Andraketa"/>
        <s v="Fenoatsimo"/>
        <s v="Antevamena"/>
        <s v="Ambohitraivo"/>
        <s v="Tranomaro I"/>
        <s v="Tsilamaha I"/>
        <s v="Ampilira"/>
        <s v="Andranohereke"/>
        <s v="Antsolo"/>
        <s v="Saboko"/>
        <s v="Vohibola"/>
        <s v="Rerango"/>
        <s v="Barabay"/>
        <s v="Masombaho"/>
        <s v="Agnirinihamba"/>
        <s v="Tsimilafika"/>
        <s v="Ankilisinao"/>
        <s v="Natomasy"/>
        <s v="Angirazato"/>
        <s v="Analalava"/>
        <s v="Andraseky"/>
        <s v="Tranovaho"/>
        <s v="Betaimbolo"/>
        <s v="Savilintotsy"/>
        <s v="Ananademby"/>
        <s v="Lavanono"/>
        <s v="Soamagnitse I"/>
        <s v="Ambazoamiloloke"/>
        <s v="Ankilevalo I"/>
        <s v="Ankilevalo II"/>
        <s v="Vavaomby"/>
        <s v="Tsianofana"/>
        <s v="Vohilava"/>
        <s v="Anambotaka II"/>
        <s v="Avaradrova"/>
        <s v="Tsihombe I"/>
        <s v="Tsihombe II"/>
        <s v="Sakamasy"/>
        <s v="Zafindravala"/>
        <s v="Marohira Sud"/>
        <s v="Anjatsampa"/>
        <s v="Antaranta"/>
        <s v="Ankorakosy"/>
        <s v="Antsakoantsoa"/>
        <s v="Bevazavo"/>
        <s v="Mahendrake"/>
        <s v="Marohira Nord"/>
        <s v="Tsindambo"/>
        <s v="Tsivorikely"/>
        <s v="Tsikolaky"/>
        <s v="Belio Haut"/>
        <s v="Ankilimilopaky"/>
        <s v="ANJATSOA"/>
        <s v="MATSINJO"/>
        <s v="TANAMBAO TSIRANDRANY CENTRE"/>
        <s v="Sahafero"/>
        <s v="Tsipanga II"/>
        <s v="Tanimena"/>
        <s v="Vangaindranobe"/>
        <s v="Marondonaky"/>
        <s v="Vohiboreka"/>
        <s v="Anara"/>
        <s v="Maroangira"/>
        <s v="Nangananga"/>
        <s v="Volotara"/>
        <s v="Mandatsa"/>
        <s v="Vohilengo"/>
        <s v="Vohimalaza"/>
        <s v="Nosoa"/>
        <s v="Vohimanga I"/>
        <s v="Mahatalaky"/>
        <s v="Besamata"/>
        <s v="Soakijaha"/>
        <s v="Vohimanga Centrale"/>
        <s v="Ratsimanahy"/>
        <s v="Vohitsidy"/>
        <s v="Iandraina"/>
        <s v="Vohipaho"/>
        <s v="Bevahy"/>
        <s v="Ambatofotsy I"/>
        <s v="Ambovororo"/>
        <s v="Andranomilitse Ankilimasy"/>
        <s v="Bebalahazo"/>
        <s v="Belolo Antanimena"/>
        <s v="Kindria"/>
        <s v="Soamanonga Ouest"/>
        <s v="Analavaky"/>
        <s v="Antevongo"/>
        <s v="Masitafika"/>
        <s v="Ankadibe"/>
        <m/>
      </sharedItems>
    </cacheField>
    <cacheField name="Adm4Code" numFmtId="0">
      <sharedItems containsBlank="1" count="1348">
        <s v="MG23210070009"/>
        <s v="MG23210070004"/>
        <s v="MG23210070003"/>
        <s v="MG23210070001"/>
        <s v="MG23210070005"/>
        <s v="MG23210070055"/>
        <s v="MG31306010017"/>
        <s v="MG51507290012"/>
        <s v="MG51507290020"/>
        <s v="MG51507290058"/>
        <s v="MG52518251090"/>
        <s v="MG51507310089"/>
        <s v="MG51507310058"/>
        <s v="MG51507310039"/>
        <s v="MG51507310044"/>
        <s v="MG51507310046"/>
        <s v="MG24216192004"/>
        <s v="MG52518290006"/>
        <s v="MG52518290007"/>
        <s v="MG52518290009"/>
        <s v="MG52518290001"/>
        <s v="MG51505050005"/>
        <s v="MG51506130001"/>
        <s v="MG51506130015"/>
        <s v="MG51506130045"/>
        <s v="MG51506130005"/>
        <s v="MG53519030078"/>
        <s v="MG53519030068"/>
        <s v="MG53519030111"/>
        <s v="MG53519030067"/>
        <s v="MG53519030018"/>
        <s v="MG53519030089"/>
        <s v="MG53519030020"/>
        <s v="MG53519030013"/>
        <s v="MG53519030002"/>
        <s v="MG23210510024"/>
        <s v="MG53519030016"/>
        <s v="MG53519030017"/>
        <s v="MG53519030022"/>
        <s v="MG53519030024"/>
        <s v="MG53519150002"/>
        <s v="MG53519030003"/>
        <s v="MG53519030015"/>
        <s v="MG53519030019"/>
        <s v="MG52518251020"/>
        <s v="MG52518251001"/>
        <s v="MG52518251088"/>
        <s v="MG52518251010"/>
        <s v="MG52518251009"/>
        <s v="MG52518251003"/>
        <s v="MG52518251014"/>
        <s v="MG42413110014"/>
        <s v="MG53519050002"/>
        <s v="MG53519050010"/>
        <s v="MG53519050007"/>
        <s v="MG51506290009"/>
        <s v="MG52518032010"/>
        <s v="MG52518032008"/>
        <s v="MG52518032009"/>
        <s v="MG52518032005"/>
        <s v="MG51507290070"/>
        <s v="MG51507290010"/>
        <s v="MG51507290068"/>
        <s v="MG51507290015"/>
        <s v="MG51507290021"/>
        <s v="MG51507290027"/>
        <s v="MG51507290032"/>
        <s v="MG51507290044"/>
        <s v="MG51507290046"/>
        <s v="MG51507290047"/>
        <s v="MG51507290056"/>
        <s v="MG51507290081"/>
        <s v="MG51507290083"/>
        <s v="MG51507290084"/>
        <s v="MG51507290085"/>
        <s v="MG51507290086"/>
        <s v="MG51507290088"/>
        <s v="MG51507290092"/>
        <s v="MG51507290093"/>
        <s v="MG52514011039"/>
        <s v="MG54510011005"/>
        <s v="MG53519090013"/>
        <s v="MG53519090056"/>
        <s v="MG53519090019"/>
        <s v="MG53519090001"/>
        <s v="MG53519090008"/>
        <s v="MG53519090009"/>
        <s v="MG51507310034"/>
        <s v="MG44421194001"/>
        <s v="MG51507310004"/>
        <s v="MG51507310014"/>
        <s v="MG51507310017"/>
        <s v="MG51507310020"/>
        <s v="MG51507310021"/>
        <s v="MG51507310023"/>
        <s v="MG51507310025"/>
        <s v="MG51507310027"/>
        <s v="MG51507310071"/>
        <s v="MG51507310082"/>
        <s v="MG51507310091"/>
        <s v="MG51507310092"/>
        <s v="MG51507310093"/>
        <s v="MG51507310094"/>
        <s v="MG51507310097"/>
        <s v="MG23209050001"/>
        <s v="MG53515010003"/>
        <s v="MG23209110001"/>
        <s v="MG23209110002"/>
        <s v="MG23209110056"/>
        <s v="MG51506050001"/>
        <s v="MG51506050011"/>
        <s v="MG51506050022"/>
        <s v="MG51507070008"/>
        <s v="MG51506012004"/>
        <s v="MG53519070015"/>
        <s v="MG52516070017"/>
        <s v="MG53519070010"/>
        <s v="MG53519070016"/>
        <s v="MG53519070017"/>
        <s v="MG52516111001"/>
        <s v="MG52516111010"/>
        <s v="MG52516111011"/>
        <s v="MG52516111023"/>
        <s v="MG52516111025"/>
        <s v="MG52516111056"/>
        <s v="MG32315030006"/>
        <s v="MG53519050023"/>
        <s v="MG53519050017"/>
        <s v="MG53519050024"/>
        <s v="MG23209031001"/>
        <s v="MG31309050006"/>
        <s v="MG23209070001"/>
        <s v="MG31309050023"/>
        <s v="MG33312152011"/>
        <s v="MG33313151006"/>
        <s v="MG53519230016"/>
        <s v="MG53519230088"/>
        <s v="MG41406010003"/>
        <s v="MG53519230003"/>
        <s v="MG53519230045"/>
        <s v="MG53519230005"/>
        <s v="MG53519230007"/>
        <s v="MG53519230013"/>
        <s v="MG53519230014"/>
        <s v="MG53519230015"/>
        <s v="MG53519230001"/>
        <s v="MG53519230008"/>
        <s v="MG52516130001"/>
        <s v="MG52516130068"/>
        <s v="MG52516130033"/>
        <s v="MG52516130039"/>
        <s v="MG52516130067"/>
        <s v="MG52516130020"/>
        <s v="MG52516130017"/>
        <s v="MG52516151031"/>
        <s v="MG52516151029"/>
        <s v="MG52516151030"/>
        <s v="MG52516151080"/>
        <s v="MG52516151008"/>
        <s v="MG52516151001"/>
        <s v="MG52516151021"/>
        <m/>
        <s v="MG52518032003"/>
        <s v="MG52518032059"/>
        <s v="MG52518151045"/>
        <s v="MG52518151046"/>
        <s v="MG25213471001"/>
        <s v="MG25213471028"/>
        <s v="MG25213552004"/>
        <s v="MG25213552019"/>
        <s v="MG25213410001"/>
        <s v="MG51503011004"/>
        <s v="MG51520210001"/>
        <s v="MG52516031002"/>
        <s v="MG52516031004"/>
        <s v="MG52516031035"/>
        <s v="MG52516031037"/>
        <s v="MG52516031038"/>
        <s v="MG52516031039"/>
        <s v="MG23209290011"/>
        <s v="MG23211031010"/>
        <s v="MG31310130010"/>
        <s v="MG31309050014"/>
        <s v="MG52516014002"/>
        <s v="MG52518031006"/>
        <s v="MG53517350003"/>
        <s v="MG53517350012"/>
        <s v="MG51506013007"/>
        <s v="MG52518091004"/>
        <s v="MG53519130010"/>
        <s v="MG53519130033"/>
        <s v="MG52513091012"/>
        <s v="MG52513091a_4"/>
        <s v="MG51506013001"/>
        <s v="MG51506013002"/>
        <s v="MG51506013003"/>
        <s v="MG51506013004"/>
        <s v="MG51506013006"/>
        <s v="MG51506013009"/>
        <s v="MG51506013010"/>
        <s v="MG51506013011"/>
        <s v="MG51506013057"/>
        <s v="MG51506050005"/>
        <s v="MG52514050012"/>
        <s v="MG52516092016"/>
        <s v="MG52516092045"/>
        <s v="MG52516092046"/>
        <s v="MG52516092047"/>
        <s v="MG53515112004"/>
        <s v="MG53519010004"/>
        <s v="MG53519010008"/>
        <s v="MG53519010009"/>
        <s v="MG53519010010"/>
        <s v="MG53519010014"/>
        <s v="MG53519010017"/>
        <s v="MG53519010019"/>
        <s v="MG53519010024"/>
        <s v="MG25217030004"/>
        <s v="MG25217030036"/>
        <s v="MG25213270001"/>
        <s v="MG25213270010"/>
        <s v="MG52513091017"/>
        <s v="MG52516033015"/>
        <s v="MG52516033056"/>
        <s v="MG52516033057"/>
        <s v="MG52516033058"/>
        <s v="MG52516033059"/>
        <s v="MG25217090001"/>
        <s v="MG25217090002"/>
        <s v="MG25217090007"/>
        <s v="MG25213330001"/>
        <s v="MG25213330005"/>
        <s v="MG23209230007"/>
        <s v="MG23211092008"/>
        <s v="MG23211012003"/>
        <s v="MG23211012004"/>
        <s v="MG23211012009"/>
        <s v="MG23211012011"/>
        <s v="MG52516050005"/>
        <s v="MG52516050009"/>
        <s v="MG52516050019"/>
        <s v="MG52516050057"/>
        <s v="MG52516050058"/>
        <s v="MG52516050059"/>
        <s v="MG52516050060"/>
        <s v="MG52516091005"/>
        <s v="MG52516091057"/>
        <s v="MG53519050019"/>
        <s v="MG25214211012"/>
        <s v="MG53517331004"/>
        <s v="MG41407091005"/>
        <s v="MG51506011023"/>
        <s v="MG51507030001"/>
        <s v="MG51507050001"/>
        <s v="MG51507050002"/>
        <s v="MG51507050003"/>
        <s v="MG51507050004"/>
        <s v="MG51507050005"/>
        <s v="MG51507050006"/>
        <s v="MG51507050007"/>
        <s v="MG51507050009"/>
        <s v="MG51507050012"/>
        <s v="MG51507050013"/>
        <s v="MG51507050015"/>
        <s v="MG51507050016"/>
        <s v="MG51507050017"/>
        <s v="MG51507050018"/>
        <s v="MG51507050019"/>
        <s v="MG51507050020"/>
        <s v="MG51507050022"/>
        <s v="MG51507050025"/>
        <s v="MG51507050026"/>
        <s v="MG51507050027"/>
        <s v="MG51507050028"/>
        <s v="MG51507050029"/>
        <s v="MG51507050030"/>
        <s v="MG51507050045"/>
        <s v="MG51507050059"/>
        <s v="MG51507050067"/>
        <s v="MG51507050089"/>
        <s v="MG51507050092"/>
        <s v="MG51507170001"/>
        <s v="MG51507250015"/>
        <s v="MG52516151011"/>
        <s v="MG52518091006"/>
        <s v="MG53519250003"/>
        <s v="MG53519250065"/>
        <s v="MG53519250066"/>
        <s v="MG53519250067"/>
        <s v="MG53519250068"/>
        <s v="MG53519250069"/>
        <s v="MG53519250070"/>
        <s v="MG25214190003"/>
        <s v="MG52516011013"/>
        <s v="MG52516011015"/>
        <s v="MG52516011020"/>
        <s v="MG52516011025"/>
        <s v="MG52516011033"/>
        <s v="MG52516011037"/>
        <s v="MG52516011039"/>
        <s v="MG52516011042"/>
        <s v="MG52516011054"/>
        <s v="MG53515090005"/>
        <s v="MG53515090078"/>
        <s v="MG53515090079"/>
        <s v="MG53515090080"/>
        <s v="MG53515090081"/>
        <s v="MG53515090082"/>
        <s v="MG53515090083"/>
        <s v="MG53515090084"/>
        <s v="MG53515090085"/>
        <s v="MG53515090086"/>
        <s v="MG53515090087"/>
        <s v="MG53515090088"/>
        <s v="MG53515090089"/>
        <s v="MG53515090090"/>
        <s v="MG53515090091"/>
        <s v="MG53515090092"/>
        <s v="MG53515090093"/>
        <s v="MG52516050012"/>
        <s v="MG52516152004"/>
        <s v="MG52516152010"/>
        <s v="MG52516152045"/>
        <s v="MG52516152046"/>
        <s v="MG44417031003"/>
        <s v="MG51506050020"/>
        <s v="MG51506150020"/>
        <s v="MG51507010001"/>
        <s v="MG51507010002"/>
        <s v="MG51507010003"/>
        <s v="MG51507010004"/>
        <s v="MG51507010006"/>
        <s v="MG51507010007"/>
        <s v="MG51507010010"/>
        <s v="MG51507010011"/>
        <s v="MG51507010013"/>
        <s v="MG51507010014"/>
        <s v="MG51507010015"/>
        <s v="MG51507010016"/>
        <s v="MG51507010017"/>
        <s v="MG51507010018"/>
        <s v="MG51507010019"/>
        <s v="MG51507010021"/>
        <s v="MG51507010023"/>
        <s v="MG51507010024"/>
        <s v="MG51507010025"/>
        <s v="MG51507210003"/>
        <s v="MG51520270008"/>
        <s v="MG52516013007"/>
        <s v="MG52516013089"/>
        <s v="MG52516013090"/>
        <s v="MG52516013091"/>
        <s v="MG54509070001"/>
        <s v="MG54509070006"/>
        <s v="MG54509070010"/>
        <s v="MG25214031006"/>
        <s v="MG25214031016"/>
        <s v="MG25214132001"/>
        <s v="MG25214132013"/>
        <s v="MG53515033004"/>
        <s v="MG25213190001"/>
        <s v="MG25213190010"/>
        <s v="MG31307151013"/>
        <s v="MG52514050005"/>
        <s v="MG52518152008"/>
        <s v="MG53517110002"/>
        <s v="MG53517110004"/>
        <s v="MG53517110006"/>
        <s v="MG53517110007"/>
        <s v="MG53517110045"/>
        <s v="MG53517150085"/>
        <s v="MG53517150087"/>
        <s v="MG25217013002"/>
        <s v="MG53517150086"/>
        <s v="MG51507290004"/>
        <s v="MG51507290006"/>
        <s v="MG51507290008"/>
        <s v="MG51507290011"/>
        <s v="MG51507290050"/>
        <s v="MG51507290080"/>
        <s v="MG52518251089"/>
        <s v="MG52518251091"/>
        <s v="MG52518251092"/>
        <s v="MG24216070003"/>
        <s v="MG41405090003"/>
        <s v="MG52516151004"/>
        <s v="MG52516151005"/>
        <s v="MG52516151010"/>
        <s v="MG52516151015"/>
        <s v="MG52516151065"/>
        <s v="MG52518251077"/>
        <s v="MG52518251078"/>
        <s v="MG52518251079"/>
        <s v="MG52518251080"/>
        <s v="MG52518251081"/>
        <s v="MG52518251082"/>
        <s v="MG23211092006"/>
        <s v="MG25217030008"/>
        <s v="MG25217030013"/>
        <s v="MG25217030018"/>
        <s v="MG52516130056"/>
        <s v="MG52516130057"/>
        <s v="MG52516130a_10"/>
        <s v="MG52516130a_14"/>
        <s v="MG52516170033"/>
        <s v="MG52516170077"/>
        <s v="MG52516170078"/>
        <s v="MG52516170079"/>
        <s v="MG52516170092"/>
        <s v="MG25215031001"/>
        <s v="MG25215031003"/>
        <s v="MG51506191001"/>
        <s v="MG51506191005"/>
        <s v="MG51506191008"/>
        <s v="MG51506191009"/>
        <s v="MG51506191011"/>
        <s v="MG51506191013"/>
        <s v="MG51506191014"/>
        <s v="MG51506191015"/>
        <s v="MG51506191058"/>
        <s v="MG51506210008"/>
        <s v="MG51507310036"/>
        <s v="MG51507310040"/>
        <s v="MG51507310041"/>
        <s v="MG51507310042"/>
        <s v="MG51507310043"/>
        <s v="MG51507310045"/>
        <s v="MG51507310090"/>
        <s v="MG51507230001"/>
        <s v="MG51507230005"/>
        <s v="MG51507230007"/>
        <s v="MG51507230008"/>
        <s v="MG51507230011"/>
        <s v="MG51507230012"/>
        <s v="MG51507230015"/>
        <s v="MG51507230017"/>
        <s v="MG51507230065"/>
        <s v="MG51507230067"/>
        <s v="MG25214112001"/>
        <s v="MG33312071005"/>
        <s v="MG52518290065"/>
        <s v="MG52518050004"/>
        <s v="MG52518050072"/>
        <s v="MG52518050073"/>
        <s v="MG52518050074"/>
        <s v="MG52516011029"/>
        <s v="MG52516011062"/>
        <s v="MG52516012004"/>
        <s v="MG52516014009"/>
        <s v="MG52516014051"/>
        <s v="MG52516014052"/>
        <s v="MG52516014053"/>
        <s v="MG52516014054"/>
        <s v="MG52516014055"/>
        <s v="MG52516014056"/>
        <s v="MG52516014057"/>
        <s v="MG52516014058"/>
        <s v="MG52516014059"/>
        <s v="MG52516014060"/>
        <s v="MG52516014061"/>
        <s v="MG52516014062"/>
        <s v="MG52516014063"/>
        <s v="MG52516014064"/>
        <s v="MG25213350001"/>
        <s v="MG25213350002"/>
        <s v="MG25213350003"/>
        <s v="MG25213350005"/>
        <s v="MG24216031005"/>
        <s v="MG52518031004"/>
        <s v="MG52518031005"/>
        <s v="MG52518031011"/>
        <s v="MG52518031012"/>
        <s v="MG52518031013"/>
        <s v="MG52518031065"/>
        <s v="MG51506014001"/>
        <s v="MG51506014002"/>
        <s v="MG51506014003"/>
        <s v="MG51506014004"/>
        <s v="MG51506014005"/>
        <s v="MG51506014006"/>
        <s v="MG51506014007"/>
        <s v="MG51506014008"/>
        <s v="MG51506014009"/>
        <s v="MG51506014010"/>
        <s v="MG51506014056"/>
        <s v="MG51506090008"/>
        <s v="MG25215031004"/>
        <s v="MG51506130002"/>
        <s v="MG51506130004"/>
        <s v="MG51506130008"/>
        <s v="MG51506130009"/>
        <s v="MG51506130010"/>
        <s v="MG51506130011"/>
        <s v="MG51506130012"/>
        <s v="MG51506130017"/>
        <s v="MG25215011010"/>
        <s v="MG25215012001"/>
        <s v="MG25215012006"/>
        <s v="MG51507030005"/>
        <s v="MG51507030008"/>
        <s v="MG51507030009"/>
        <s v="MG51507030010"/>
        <s v="MG51507070004"/>
        <s v="MG51507070076"/>
        <s v="MG51507070077"/>
        <s v="MG51507070078"/>
        <s v="MG51507070079"/>
        <s v="MG51507070080"/>
        <s v="MG51507070081"/>
        <s v="MG51507070082"/>
        <s v="MG54502090001"/>
        <s v="MG54502090002"/>
        <s v="MG51521031011"/>
        <s v="MG51507130005"/>
        <s v="MG51507070051"/>
        <s v="MG51507070057"/>
        <s v="MG51507070058"/>
        <s v="MG51507070059"/>
        <s v="MG51507130001"/>
        <s v="MG51507130004"/>
        <s v="MG51507130006"/>
        <s v="MG51507130008"/>
        <s v="MG51507130010"/>
        <s v="MG51507130011"/>
        <s v="MG51507130012"/>
        <s v="MG51507190008"/>
        <s v="MG51520358004"/>
        <s v="MG51507070002"/>
        <s v="MG51507070007"/>
        <s v="MG51507070042"/>
        <s v="MG54509030002"/>
        <s v="MG54509030051"/>
        <s v="MG54509030052"/>
        <s v="MG54509030053"/>
        <s v="MG54509030054"/>
        <s v="MG54509030055"/>
        <s v="MG54509030056"/>
        <s v="MG54509030057"/>
        <s v="MG54509030058"/>
        <s v="MG54509030059"/>
        <s v="MG54509030060"/>
        <s v="MG54509030061"/>
        <s v="MG54509030062"/>
        <s v="MG54509030063"/>
        <s v="MG54509030064"/>
        <s v="MG54509030065"/>
        <s v="MG25213050010"/>
        <s v="MG25213050035"/>
        <s v="MG25213070040"/>
        <s v="MG25213070041"/>
        <s v="MG25213070042"/>
        <s v="MG25213070043"/>
        <s v="MG52516130058"/>
        <s v="MG52516130078"/>
        <s v="MG52516130095"/>
        <s v="MG51501006001"/>
        <s v="MG52513070003"/>
        <s v="MG52514071006"/>
        <s v="MG52514071014"/>
        <s v="MG52514071019"/>
        <s v="MG52514071025"/>
        <s v="MG52514071067"/>
        <s v="MG52514071068"/>
        <s v="MG52514071069"/>
        <s v="MG23211112001"/>
        <s v="MG23211112011"/>
        <s v="MG24216231007"/>
        <s v="MG25222031002"/>
        <s v="MG25217072001"/>
        <s v="MG25217072033"/>
        <s v="MG25222012002"/>
        <s v="MG25222012006"/>
        <s v="MG51507150045"/>
        <s v="MG52518070014"/>
        <s v="MG31306050007"/>
        <s v="MG25222031004"/>
        <s v="MG51506030001"/>
        <s v="MG51506030002"/>
        <s v="MG51506030004"/>
        <s v="MG51506030006"/>
        <s v="MG51506030007"/>
        <s v="MG51506030008"/>
        <s v="MG51506030009"/>
        <s v="MG51506030010"/>
        <s v="MG51506030046"/>
        <s v="MG51506130016"/>
        <s v="MG25213390006"/>
        <s v="MG25222011008"/>
        <s v="MG51520310023"/>
        <s v="MG52513091028"/>
        <s v="MG52513092006"/>
        <s v="MG52513092067"/>
        <s v="MG52513092068"/>
        <s v="MG52513092069"/>
        <s v="MG53519030005"/>
        <s v="MG53519030006"/>
        <s v="MG53519030010"/>
        <s v="MG53519030021"/>
        <s v="MG25222032005"/>
        <s v="MG25222052003"/>
        <s v="MG52518152003"/>
        <s v="MG51520358001"/>
        <s v="MG51520358002"/>
        <s v="MG51520358003"/>
        <s v="MG51520358005"/>
        <s v="MG51520358011"/>
        <s v="MG25214033003"/>
        <s v="MG52513030011"/>
        <s v="MG52518230002"/>
        <s v="MG52518230007"/>
        <s v="MG52518230014"/>
        <s v="MG52518230019"/>
        <s v="MG52518230056"/>
        <s v="MG52518230057"/>
        <s v="MG52518230058"/>
        <s v="MG52518230059"/>
        <s v="MG52518230060"/>
        <s v="MG25222053002"/>
        <s v="MG53517250001"/>
        <s v="MG53517250002"/>
        <s v="MG53517250003"/>
        <s v="MG53517250004"/>
        <s v="MG53517250005"/>
        <s v="MG53517250067"/>
        <s v="MG51507170005"/>
        <s v="MG51507170009"/>
        <s v="MG51507170070"/>
        <s v="MG51507170071"/>
        <s v="MG51507170081"/>
        <s v="MG51507170082"/>
        <s v="MG51507170083"/>
        <s v="MG51507210010"/>
        <s v="MG51507310006"/>
        <s v="MG51507310060"/>
        <s v="MG51507310061"/>
        <s v="MG51507310062"/>
        <s v="MG51507310063"/>
        <s v="MG51507310064"/>
        <s v="MG51507310065"/>
        <s v="MG51507310066"/>
        <s v="MG51507310067"/>
        <s v="MG51507310068"/>
        <s v="MG51507310069"/>
        <s v="MG51507310072"/>
        <s v="MG51507310073"/>
        <s v="MG51507310074"/>
        <s v="MG51507310075"/>
        <s v="MG51507310076"/>
        <s v="MG51507310077"/>
        <s v="MG51507310078"/>
        <s v="MG51507310079"/>
        <s v="MG51507310080"/>
        <s v="MG41403050001"/>
        <s v="MG52518170010"/>
        <s v="MG53519050014"/>
        <s v="MG53519050056"/>
        <s v="MG53519050057"/>
        <s v="MG53519050058"/>
        <s v="MG52513010015"/>
        <s v="MG52513010021"/>
        <s v="MG52513010027"/>
        <s v="MG52513010076"/>
        <s v="MG52513010077"/>
        <s v="MG52513010078"/>
        <s v="MG52513010079"/>
        <s v="MG52513010080"/>
        <s v="MG52514031006"/>
        <s v="MG53517050003"/>
        <s v="MG53517150001"/>
        <s v="MG53517150002"/>
        <s v="MG53517150004"/>
        <s v="MG53517150009"/>
        <s v="MG53517150034"/>
        <s v="MG44421110003"/>
        <s v="MG51512130009"/>
        <s v="MG51521010001"/>
        <s v="MG51521010007"/>
        <s v="MG51521010008"/>
        <s v="MG51521010009"/>
        <s v="MG51521010015"/>
        <s v="MG52516014004"/>
        <s v="MG51506012002"/>
        <s v="MG51506012005"/>
        <s v="MG51506012007"/>
        <s v="MG51506012011"/>
        <s v="MG51506012017"/>
        <s v="MG43404173004"/>
        <s v="MG51506252005"/>
        <s v="MG52516091025"/>
        <s v="MG52518251007"/>
        <s v="MG52518251013"/>
        <s v="MG52518251056"/>
        <s v="MG52518251057"/>
        <s v="MG33314092002"/>
        <s v="MG25213250007"/>
        <s v="MG25214172006"/>
        <s v="MG51507270001"/>
        <s v="MG51507270007"/>
        <s v="MG51507270010"/>
        <s v="MG51507270011"/>
        <s v="MG51507270012"/>
        <s v="MG51507270014"/>
        <s v="MG51507270016"/>
        <s v="MG51507270020"/>
        <s v="MG51507270021"/>
        <s v="MG51507270022"/>
        <s v="MG52518032045"/>
        <s v="MG52518032046"/>
        <s v="MG52518032047"/>
        <s v="MG52518190002"/>
        <s v="MG52518190005"/>
        <s v="MG52518190056"/>
        <s v="MG52518190057"/>
        <s v="MG52518190058"/>
        <s v="MG25214152007"/>
        <s v="MG33312152009"/>
        <s v="MG51506011002"/>
        <s v="MG51506011003"/>
        <s v="MG51506011004"/>
        <s v="MG51506011006"/>
        <s v="MG51506011007"/>
        <s v="MG51506011008"/>
        <s v="MG51506011009"/>
        <s v="MG51506011010"/>
        <s v="MG54510012009"/>
        <s v="MG25214251001"/>
        <s v="MG52518270001"/>
        <s v="MG52518270005"/>
        <s v="MG52518270006"/>
        <s v="MG52518270007"/>
        <s v="MG52518270009"/>
        <s v="MG52518270054"/>
        <s v="MG54502110007"/>
        <s v="MG54502110066"/>
        <s v="MG51506150001"/>
        <s v="MG51506150011"/>
        <s v="MG51506150012"/>
        <s v="MG51506150013"/>
        <s v="MG51506150019"/>
        <s v="MG53519291001"/>
        <s v="MG25213430003"/>
        <s v="MG25213430023"/>
        <s v="MG51520358015"/>
        <s v="MG51520358016"/>
        <s v="MG51520358017"/>
        <s v="MG51520358a_6"/>
        <s v="MG51521050009"/>
        <s v="MG51507150034"/>
        <s v="MG51507150061"/>
        <s v="MG51507150062"/>
        <s v="MG51507150063"/>
        <s v="MG51507150064"/>
        <s v="MG51507150065"/>
        <s v="MG51507150066"/>
        <s v="MG51507150067"/>
        <s v="MG51507150068"/>
        <s v="MG51507150069"/>
        <s v="MG51507150070"/>
        <s v="MG51507150071"/>
        <s v="MG51507150072"/>
        <s v="MG51507150073"/>
        <s v="MG51507150074"/>
        <s v="MG51507150076"/>
        <s v="MG51507150077"/>
        <s v="MG51507150078"/>
        <s v="MG51507150079"/>
        <s v="MG51507150080"/>
        <s v="MG51507150081"/>
        <s v="MG51507150082"/>
        <s v="MG51507150083"/>
        <s v="MG51507150084"/>
        <s v="MG51507150085"/>
        <s v="MG51507150086"/>
        <s v="MG51507150087"/>
        <s v="MG51507150088"/>
        <s v="MG51507150089"/>
        <s v="MG51507150090"/>
        <s v="MG51507150091"/>
        <s v="MG51507150092"/>
        <s v="MG51507150093"/>
        <s v="MG51507150094"/>
        <s v="MG51507150095"/>
        <s v="MG51507150096"/>
        <s v="MG51507150097"/>
        <s v="MG51507150098"/>
        <s v="MG51507150099"/>
        <s v="MG51507150112"/>
        <s v="MG51507150128"/>
        <s v="MG51507150129"/>
        <s v="MG51505071019"/>
        <s v="MG51521050002"/>
        <s v="MG53519150008"/>
        <s v="MG52516013003"/>
        <s v="MG52516013008"/>
        <s v="MG52516013054"/>
        <s v="MG52516013055"/>
        <s v="MG52516013056"/>
        <s v="MG53519170001"/>
        <s v="MG25213390001"/>
        <s v="MG24216192003"/>
        <s v="MG25213370001"/>
        <s v="MG25213370005"/>
        <s v="MG25213010002"/>
        <s v="MG25213010041"/>
        <s v="MG25213010045"/>
        <s v="MG25214290004"/>
        <s v="MG25214290006"/>
        <s v="MG53515170003"/>
        <s v="MG25214332006"/>
        <s v="MG25214332034"/>
        <s v="MG25214111010"/>
        <s v="MG25214111011"/>
        <s v="MG51507290003"/>
        <s v="MG51507290037"/>
        <s v="MG51507290041"/>
        <s v="MG51507290045"/>
        <s v="MG51507290067"/>
        <s v="MG51507290082"/>
        <s v="MG51507290087"/>
        <s v="MG51507290089"/>
        <s v="MG51507290090"/>
        <s v="MG51507290091"/>
        <s v="MG51507210009"/>
        <s v="MG51507210016"/>
        <s v="MG51507210057"/>
        <s v="MG51507210081"/>
        <s v="MG51507210082"/>
        <s v="MG51507210083"/>
        <s v="MG51507210084"/>
        <s v="MG51507210085"/>
        <s v="MG51507210086"/>
        <s v="MG51507210087"/>
        <s v="MG25213210001"/>
        <s v="MG25213210007"/>
        <s v="MG25217052001"/>
        <s v="MG25217052003"/>
        <s v="MG51512012006"/>
        <s v="MG53517130001"/>
        <s v="MG53517130003"/>
        <s v="MG53517130007"/>
        <s v="MG53517130008"/>
        <s v="MG53517130012"/>
        <s v="MG53517130085"/>
        <s v="MG54511011010"/>
        <s v="MG24218010013"/>
        <s v="MG51506090011"/>
        <s v="MG53517310001"/>
        <s v="MG53517310003"/>
        <s v="MG53517310005"/>
        <s v="MG53517310006"/>
        <s v="MG53517310008"/>
        <s v="MG53517310012"/>
        <s v="MG53517310014"/>
        <s v="MG53517310015"/>
        <s v="MG53517310054"/>
        <s v="MG53517310067"/>
        <s v="MG25214230001"/>
        <s v="MG51507250008"/>
        <s v="MG52518251004"/>
        <s v="MG53519090002"/>
        <s v="MG53519090007"/>
        <s v="MG53519090011"/>
        <s v="MG53519090015"/>
        <s v="MG53519090017"/>
        <s v="MG53519090057"/>
        <s v="MG23212090004"/>
        <s v="MG25213551001"/>
        <s v="MG23210190005"/>
        <s v="MG23211011003"/>
        <s v="MG23211011007"/>
        <s v="MG23211011009"/>
        <s v="MG23211011010"/>
        <s v="MG23211011011"/>
        <s v="MG23211011012"/>
        <s v="MG23211011016"/>
        <s v="MG23211011020"/>
        <s v="MG23211011029"/>
        <s v="MG23211011030"/>
        <s v="MG23211011031"/>
        <s v="MG23A21101108"/>
        <s v="MG25213210008"/>
        <s v="MG25214171015"/>
        <s v="MG33313194001"/>
        <s v="MG52516190001"/>
        <s v="MG52516190008"/>
        <s v="MG52516190009"/>
        <s v="MG52516190011"/>
        <s v="MG53515115007"/>
        <s v="MG53515115072"/>
        <s v="MG25222051003"/>
        <s v="MG24218050006"/>
        <s v="MG51507030002"/>
        <s v="MG53517291001"/>
        <s v="MG53517291002"/>
        <s v="MG53517291003"/>
        <s v="MG53517291004"/>
        <s v="MG53517291006"/>
        <s v="MG53517291009"/>
        <s v="MG53517291011"/>
        <s v="MG53517291035"/>
        <s v="MG53517291056"/>
        <s v="MG53517291067"/>
        <s v="MG53517291084"/>
        <s v="MG53517291099"/>
        <s v="MG51507310019"/>
        <s v="MG51507310032"/>
        <s v="MG51507310070"/>
        <s v="MG51507310081"/>
        <s v="MG51507310083"/>
        <s v="MG51507310084"/>
        <s v="MG51507310085"/>
        <s v="MG51507310095"/>
        <s v="MG51507310096"/>
        <s v="MG51507310098"/>
        <s v="MG25213110001"/>
        <s v="MG25213110002"/>
        <s v="MG25213110005"/>
        <s v="MG51521031003"/>
        <s v="MG25217130003"/>
        <s v="MG25217130005"/>
        <s v="MG31307070008"/>
        <s v="MG25215051001"/>
        <s v="MG25215051056"/>
        <s v="MG52516170006"/>
        <s v="MG52516170027"/>
        <s v="MG52516170028"/>
        <s v="MG52516170030"/>
        <s v="MG52516170040"/>
        <s v="MG52516170069"/>
        <s v="MG52516170070"/>
        <s v="MG52516170080"/>
        <s v="MG25217111001"/>
        <s v="MG25217111006"/>
        <s v="MG25217111011"/>
        <s v="MG25214252046"/>
        <s v="MG52513050008"/>
        <s v="MG52513050014"/>
        <s v="MG52513050078"/>
        <s v="MG52513050079"/>
        <s v="MG52513070017"/>
        <s v="MG52514050011"/>
        <s v="MG52514050080"/>
        <s v="MG25214131001"/>
        <s v="MG25213472003"/>
        <s v="MG25214091001"/>
        <s v="MG53517168056"/>
        <s v="MG53517170004"/>
        <s v="MG53517170006"/>
        <s v="MG53517170007"/>
        <s v="MG53517170010"/>
        <s v="MG53517170011"/>
        <s v="MG53517270002"/>
        <s v="MG53519090003"/>
        <s v="MG54510152006"/>
        <s v="MG25213170023"/>
        <s v="MG25213170024"/>
        <s v="MG52513010010"/>
        <s v="MG52513010017"/>
        <s v="MG25213170001"/>
        <s v="MG25213170004"/>
        <s v="MG23211073002"/>
        <s v="MG31309050022"/>
        <s v="MG53519190005"/>
        <s v="MG53519190007"/>
        <s v="MG53519190075"/>
        <s v="MG25217030009"/>
        <s v="MG25217030010"/>
        <s v="MG25217030076"/>
        <s v="MG23210190003"/>
        <s v="MG25213150006"/>
        <s v="MG25217150005"/>
        <s v="MG25217051002"/>
        <s v="MG25217051005"/>
        <s v="MG25217051006"/>
        <s v="MG25213290004"/>
        <s v="MG25215032078"/>
        <s v="MG52513070008"/>
        <s v="MG52518130001"/>
        <s v="MG52518130009"/>
        <s v="MG52518130012"/>
        <s v="MG52518130015"/>
        <s v="MG52518130098"/>
        <s v="MG51506170001"/>
        <s v="MG51506170009"/>
        <s v="MG23210330004"/>
        <s v="MG25217012001"/>
        <s v="MG25217012003"/>
        <s v="MG25217012009"/>
        <s v="MG25217012012"/>
        <s v="MG25214270087"/>
        <s v="MG25214070006"/>
        <s v="MG25214070043"/>
        <s v="MG25214070044"/>
        <s v="MG25214171005"/>
        <s v="MG23211051004"/>
        <s v="MG31309050012"/>
        <s v="MG25217112003"/>
        <s v="MG25217112006"/>
        <s v="MG53519210001"/>
        <s v="MG53519210005"/>
        <s v="MG53519210067"/>
        <s v="MG31306070016"/>
        <s v="MG41415032001"/>
        <s v="MG51507090001"/>
        <s v="MG51507090002"/>
        <s v="MG51507090004"/>
        <s v="MG51507090006"/>
        <s v="MG51507090009"/>
        <s v="MG51507090010"/>
        <s v="MG51507090011"/>
        <s v="MG51507090012"/>
        <s v="MG51507090013"/>
        <s v="MG51507090015"/>
        <s v="MG51507130002"/>
        <s v="MG52516013005"/>
        <s v="MG52516013064"/>
        <s v="MG52516013065"/>
        <s v="MG52516013066"/>
        <s v="MG52516013067"/>
        <s v="MG52516013068"/>
        <s v="MG52516013069"/>
        <s v="MG52516013070"/>
        <s v="MG52516013071"/>
        <s v="MG52516013072"/>
        <s v="MG52516071012"/>
        <s v="MG52516071017"/>
        <s v="MG52516071020"/>
        <s v="MG52516071028"/>
        <s v="MG52516071064"/>
        <s v="MG52516071065"/>
        <s v="MG52516071066"/>
        <s v="MG52516071067"/>
        <s v="MG52516071068"/>
        <s v="MG52513092004"/>
        <s v="MG52516071089"/>
        <s v="MG52516072003"/>
        <s v="MG52516072013"/>
        <s v="MG52516072014"/>
        <s v="MG52516072015"/>
        <s v="MG52516072071"/>
        <s v="MG52516072072"/>
        <s v="MG52516072073"/>
        <s v="MG52516072074"/>
        <s v="MG52516072075"/>
        <s v="MG52516072076"/>
        <s v="MG52516072077"/>
        <s v="MG52516072078"/>
        <s v="MG52516072079"/>
        <s v="MG52516072080"/>
        <s v="MG52516072081"/>
        <s v="MG52516072082"/>
        <s v="MG52516072083"/>
        <s v="MG52516072084"/>
        <s v="MG52516072085"/>
        <s v="MG52516072086"/>
        <s v="MG52516072087"/>
        <s v="MG52516072088"/>
        <s v="MG52516072089"/>
        <s v="MG52516072090"/>
        <s v="MG52516072091"/>
        <s v="MG51506015005"/>
        <s v="MG51506015002"/>
        <s v="MG51506015003"/>
        <s v="MG51506015004"/>
        <s v="MG51506015007"/>
        <s v="MG51506015008"/>
        <s v="MG51506015009"/>
        <s v="MG51506015012"/>
        <s v="MG51506015013"/>
        <s v="MG51506130014"/>
        <s v="MG51507110a_12"/>
        <s v="MG53515253005"/>
        <s v="MG52513070061"/>
        <s v="MG52513070062"/>
        <s v="MG52513070063"/>
        <s v="MG52513070064"/>
        <s v="MG52513070065"/>
        <s v="MG52513070066"/>
        <s v="MG52513070079"/>
        <s v="MG54509130006"/>
        <s v="MG53517293005"/>
        <s v="MG53519130001"/>
        <s v="MG53519130007"/>
        <s v="MG23211033007"/>
        <s v="MG23211033009"/>
        <s v="MG53519250014"/>
        <s v="MG25213590001"/>
        <s v="MG25213590007"/>
        <s v="MG23209032002"/>
        <s v="MG42411170013"/>
        <s v="MG51504010003"/>
        <s v="MG52514050008"/>
        <s v="MG52514050013"/>
        <s v="MG52514050075"/>
        <s v="MG52514050076"/>
        <s v="MG52514050077"/>
        <s v="MG52514050078"/>
        <s v="MG52514050079"/>
        <s v="MG33312152007"/>
        <s v="MG52516112003"/>
        <s v="MG52516112009"/>
        <s v="MG52516112076"/>
        <s v="MG52516112077"/>
        <s v="MG52516112078"/>
        <s v="MG52518152002"/>
        <s v="MG52518152051"/>
        <s v="MG52518152052"/>
        <s v="MG52518152053"/>
        <s v="MG52518152054"/>
        <s v="MG52518152055"/>
        <s v="MG52518152056"/>
        <s v="MG25222031001"/>
        <s v="MG51506050003"/>
        <s v="MG51506050008"/>
        <s v="MG51506050009"/>
        <s v="MG51506050010"/>
        <s v="MG51506050014"/>
        <s v="MG51506050018"/>
        <s v="MG51506050024"/>
        <s v="MG51520170006"/>
        <s v="MG52513091a_8"/>
        <s v="MG25214152002"/>
        <s v="MG25214152005"/>
        <s v="MG25214152013"/>
        <s v="MG43408150022"/>
        <s v="MG25214151001"/>
        <s v="MG25214151003"/>
        <s v="MG25213230011"/>
        <s v="MG25215011001"/>
        <s v="MG25215011002"/>
        <s v="MG33316052004"/>
        <s v="MG41405150001"/>
        <s v="MG51506191012"/>
        <s v="MG52518010004"/>
        <s v="MG52518010006"/>
        <s v="MG52518010010"/>
        <s v="MG52518010014"/>
        <s v="MG54502010003"/>
        <s v="MG25217191001"/>
        <s v="MG25217191003"/>
        <s v="MG25217191005"/>
        <s v="MG25213230002"/>
        <s v="MG53517293001"/>
        <s v="MG53517293025"/>
        <s v="MG51501006010"/>
        <s v="MG52514012012"/>
        <s v="MG52514012014"/>
        <s v="MG52514012015"/>
        <s v="MG52514012023"/>
        <s v="MG52514012076"/>
        <s v="MG52514012077"/>
        <s v="MG52514012078"/>
        <s v="MG52514012079"/>
        <s v="MG52514012080"/>
        <s v="MG51520170012"/>
        <s v="MG51520170076"/>
        <s v="MG53519292047"/>
        <s v="MG25214190001"/>
        <s v="MG25214190002"/>
        <s v="MG25214190005"/>
        <s v="MG25214190006"/>
        <s v="MG25214190008"/>
        <s v="MG25222051001"/>
        <s v="MG41403050016"/>
        <s v="MG53517332001"/>
        <s v="MG53517332002"/>
        <s v="MG53517332003"/>
        <s v="MG54509030003"/>
        <s v="MG51506011022"/>
        <s v="MG51506012003"/>
        <s v="MG51506012065"/>
        <s v="MG51506012067"/>
        <s v="MG51512112005"/>
        <s v="MG51506270001"/>
        <s v="MG51506270006"/>
        <s v="MG53519070002"/>
        <s v="MG53519070005"/>
        <s v="MG53519070006"/>
        <s v="MG53519070011"/>
        <s v="MG53519070012"/>
        <s v="MG25214332003"/>
        <s v="MG25214332007"/>
        <s v="MG25215012004"/>
        <s v="MG42410191005"/>
        <s v="MG52516111089"/>
        <s v="MG52516111134"/>
        <s v="MG52516111009"/>
        <s v="MG52516111012"/>
        <s v="MG52516111015"/>
        <s v="MG52516111017"/>
        <s v="MG52516111045"/>
        <s v="MG52516111046"/>
        <s v="MG52516111047"/>
        <s v="MG52516111048"/>
        <s v="MG52516111049"/>
        <s v="MG52516111050"/>
        <s v="MG52516111051"/>
        <s v="MG52516111052"/>
        <s v="MG52516111053"/>
        <s v="MG52516111054"/>
        <s v="MG52516111055"/>
        <s v="MG52516111057"/>
        <s v="MG52516111058"/>
        <s v="MG52516111059"/>
        <s v="MG52516111078"/>
        <s v="MG53515033003"/>
        <s v="MG53519010013"/>
        <s v="MG25215052001"/>
        <s v="MG25215052022"/>
        <s v="MG51506192003"/>
        <s v="MG51506210001"/>
        <s v="MG51506210002"/>
        <s v="MG51506210010"/>
        <s v="MG51506210026"/>
        <s v="MG51506210030"/>
        <s v="MG51506252002"/>
        <s v="MG51506252004"/>
        <s v="MG51506252013"/>
        <s v="MG52518152009"/>
        <s v="MG25214070001"/>
        <s v="MG44402072009"/>
        <s v="MG51506090001"/>
        <s v="MG51506090007"/>
        <s v="MG51506090012"/>
        <s v="MG23211072006"/>
        <s v="MG25215011003"/>
        <s v="MG42409150006"/>
        <s v="MG52518210001"/>
        <s v="MG52518210002"/>
        <s v="MG25213430008"/>
        <s v="MG53519050016"/>
        <s v="MG25213230013"/>
        <s v="MG43408150044"/>
        <s v="MG51501001003"/>
        <s v="MG51501005001"/>
        <s v="MG53519270001"/>
        <s v="MG51506111001"/>
        <s v="MG51506111015"/>
        <s v="MG51506111017"/>
        <s v="MG51506111018"/>
        <s v="MG53515111005"/>
        <s v="MG54502070002"/>
        <s v="MG25213450006"/>
        <s v="MG25213450010"/>
        <s v="MG53519110001"/>
        <s v="MG53519110009"/>
        <s v="MG53519110013"/>
        <s v="MG53519110058"/>
        <s v="MG52513030075"/>
        <s v="MG52513030076"/>
        <s v="MG52513030077"/>
        <s v="MG52513091007"/>
        <s v="MG52513091010"/>
        <s v="MG52513091019"/>
        <s v="MG51507030004"/>
        <s v="MG52513030001"/>
        <s v="MG52513030002"/>
        <s v="MG52513030003"/>
        <s v="MG52513030005"/>
        <s v="MG52513030007"/>
        <s v="MG52513030008"/>
        <s v="MG52513030009"/>
        <s v="MG52513030010"/>
        <s v="MG52513030012"/>
        <s v="MG52513030013"/>
        <s v="MG52513030018"/>
        <s v="MG52513030019"/>
        <s v="MG52513030020"/>
        <s v="MG52513030021"/>
        <s v="MG52513030023"/>
        <s v="MG52513030071"/>
        <s v="MG52513030072"/>
        <s v="MG52513030073"/>
        <s v="MG52513030074"/>
        <s v="MG25214032001"/>
        <s v="MG71713170004"/>
        <s v="MG23210271003"/>
        <s v="MG25214050001"/>
        <s v="MG25214050006"/>
        <s v="MG51504010007"/>
        <s v="MG52514011022"/>
        <s v="MG52514011023"/>
        <s v="MG52514011025"/>
        <s v="MG52514011037"/>
        <s v="MG52514011038"/>
        <s v="MG52514011045"/>
        <s v="MG52514011081"/>
        <s v="MG52514011082"/>
        <s v="MG52514011083"/>
        <s v="MG52514011084"/>
        <s v="MG52514011085"/>
        <s v="MG52514011086"/>
        <s v="MG52514011087"/>
        <s v="MG52514011088"/>
        <s v="MG52514011089"/>
        <s v="MG52518110001"/>
        <s v="MG52518110002"/>
        <s v="MG52518110004"/>
        <s v="MG52518110007"/>
        <s v="MG52518110077"/>
        <s v="MG52518092006"/>
        <s v="MG52518092056"/>
        <s v="MG52518092057"/>
        <s v="MG25214010003"/>
        <s v="MG25214010005"/>
        <s v="MG25214010010"/>
        <s v="MG25214010012"/>
        <s v="MG51506130032"/>
        <s v="MG51506130033"/>
        <s v="MG25217192001"/>
        <s v="MG25217192002"/>
        <s v="MG25217192003"/>
        <s v="MG25217192004"/>
        <s v="MG25213050003"/>
        <s v="MG25213050044"/>
        <s v="MG25213050045"/>
        <s v="MG25213570011"/>
        <s v="MG32315010005"/>
        <s v="MG25214112005"/>
        <s v="MG25214312004"/>
        <s v="MG25214312006"/>
        <s v="MG52518252005"/>
        <s v="MG52518252006"/>
        <s v="MG52518252056"/>
        <s v="MG52518252057"/>
        <s v="MG52518252058"/>
        <s v="MG25217071001"/>
        <s v="MG25217071005"/>
        <s v="MG25213030003"/>
        <s v="MG25213030006"/>
        <s v="MG25214171001"/>
        <s v="MG43404171013"/>
        <s v="MG51507250003"/>
        <s v="MG51507250005"/>
        <s v="MG51507250057"/>
        <s v="MG51507250058"/>
        <s v="MG51507250059"/>
        <s v="MG51507250060"/>
        <s v="MG51507250061"/>
        <s v="MG51507250062"/>
        <s v="MG51507250063"/>
        <s v="MG25214111001"/>
        <s v="MG25213090001"/>
        <s v="MG51512130006"/>
        <s v="MG25217011002"/>
        <s v="MG25217011003"/>
        <s v="MG25217011004"/>
        <s v="MG43404070006"/>
      </sharedItems>
    </cacheField>
    <cacheField name="Adm4Code_ancien" numFmtId="0">
      <sharedItems containsNonDate="0" containsString="0" containsBlank="1"/>
    </cacheField>
    <cacheField name="POIName" numFmtId="0">
      <sharedItems count="2410">
        <s v="Beanana"/>
        <s v="Loharano"/>
        <s v="Andriana"/>
        <s v="Ambila"/>
        <s v="Mandrosovelo"/>
        <s v="Beretra"/>
        <s v="Tanandava I"/>
        <s v="Anavoha Centre"/>
        <s v="Mandabe Ankilimaro"/>
        <s v="Ankatrafay"/>
        <s v="Analafantsike"/>
        <s v="Ambolisogno"/>
        <s v="Androimpano"/>
        <s v="Ambalatsimiviky"/>
        <s v="Tsiandriona Sud"/>
        <s v="Besely Sud"/>
        <s v="Ambatofotsy Bekily"/>
        <s v="Atondritsy"/>
        <s v="Vohitany"/>
        <s v="Mikaikarivo Haut"/>
        <s v="Anivorano Mitsinjo Bekily"/>
        <s v="Mahazoarivo"/>
        <s v="Beavoha"/>
        <s v="Besely"/>
        <s v="Besavoa Centre"/>
        <s v="Manasoa"/>
        <s v="Ankirikirika Centre"/>
        <s v="Antanamalaza"/>
        <s v="Ankirikirika I Est Ambato"/>
        <s v="Ankirikirika PPNR"/>
        <s v="Ankirikirika Vaonoro"/>
        <s v="Tanataloha"/>
        <s v="Vohibasie Anivorano"/>
        <s v="Taranty Haut"/>
        <s v="Tanambao Tsivory"/>
        <s v="Mahavelo"/>
        <s v="Fandiova"/>
        <s v="Maromena Centre"/>
        <s v="Helibondro"/>
        <s v="Behara"/>
        <s v="Mieba"/>
        <s v="Andrenara"/>
        <s v="Antanifoty"/>
        <s v="Befaitse"/>
        <s v="Andavabaza"/>
        <s v="Tomboarivo 1"/>
        <s v="Beraketa"/>
        <s v="Analabe Bekily"/>
        <s v="Beadabo Behara"/>
        <s v="Antsely Bekily"/>
        <s v="Ambalasaraka Bekily"/>
        <s v="Ifanrantsa"/>
        <s v="Andavaboay"/>
        <s v="Ankara Berano"/>
        <s v="Ampotobato"/>
        <s v="Manitsevo"/>
        <s v="Fenoarivo I Bekily"/>
        <s v="Besakoa Bekily"/>
        <s v="Andranomasy Vohitany"/>
        <s v="Ankily Soarano"/>
        <s v="Besohihy Bekily"/>
        <s v="Ambalatany"/>
        <s v="Besakoa"/>
        <s v="Tanantsoa"/>
        <s v="Andranomilitse"/>
        <s v="Ambondromena"/>
        <s v="Beteza Haut"/>
        <s v="Seta I"/>
        <s v="Bekiseny"/>
        <s v="Anivorano I"/>
        <s v="Ambilany Haut"/>
        <s v="Anarabemoko"/>
        <s v="Anivorano Centre"/>
        <s v="Beamalo Centre"/>
        <s v="Bebakaka"/>
        <s v="Belinjo"/>
        <s v="Beteny Centre"/>
        <s v="Fotadrevo Centre"/>
        <s v="Sonjo Ii"/>
        <s v="Tohabato"/>
        <s v="Bevaro"/>
        <s v="Andranotsiriry"/>
        <s v="Ifotaka Amboasary"/>
        <s v="Bekiria"/>
        <s v="Ankilimitraha (Anjado)"/>
        <s v="Ifotaka Centre"/>
        <s v="Fenoaivo"/>
        <s v="Analoalo"/>
        <s v="Befolotse"/>
        <s v="Andranovao"/>
        <s v="Tanindranto"/>
        <s v="Vombe"/>
        <s v="Andranomasintsoa"/>
        <s v="Malangeriake (Ankoritsike)"/>
        <s v="Voroja"/>
        <s v="Ampitanake"/>
        <s v="Tongaenoro"/>
        <s v="Ambalabe Beavoha"/>
        <s v="Ankilibory"/>
        <s v="Itampolo Ii"/>
        <s v="Marolinta"/>
        <s v="Anjabelitsake"/>
        <s v="Ankilitelo Ii (Beroy)"/>
        <s v="Ankitikitike"/>
        <s v="Besely Nord"/>
        <s v="Mahatsara Sud"/>
        <s v="Amboanato"/>
        <s v="Marokarima"/>
        <s v="Ambaladara"/>
        <s v="Marohandriana"/>
        <s v="Masiaboay"/>
        <s v="Andranotakatse"/>
        <s v="Antararaty"/>
        <s v="Sakamasay"/>
        <s v="Antamotamo"/>
        <s v="Androvasoa Sampona"/>
        <s v="Vahavola Centre Amboasary"/>
        <s v="Sampona Centre"/>
        <s v="Manindra Centre"/>
        <s v="Mandrapasy Antsakoamasy"/>
        <s v="Terabovo Ambovombe"/>
        <s v="Morafeno Sihanamaro"/>
        <s v="Ehavo Sihanamaro"/>
        <s v="Silimosa"/>
        <s v="Taranaka Ankilimena"/>
        <s v="Tanandava Ambovombe"/>
        <s v="Vohibary Amboasary"/>
        <s v="Maroloha Amboasary"/>
        <s v="Antsovela Ville"/>
        <s v="Ambatomena Tanandava"/>
        <s v="Tsaravary"/>
        <s v="Ampasimbola"/>
        <s v="Tsiatosika"/>
        <s v="Anivorano"/>
        <s v="Ankarongana"/>
        <s v="Ambohimiarina"/>
        <s v="Morafeno Tsivory"/>
        <s v="Ankily Bekily"/>
        <s v="Bevovoka"/>
        <s v="Sarodrano"/>
        <s v="Belenalena"/>
        <s v="Ampiha Amboasary"/>
        <s v="Imanjola"/>
        <s v="Farivolo"/>
        <s v="Miadamandroso"/>
        <s v="Iaborotsy"/>
        <s v="Tsivory Amboasary"/>
        <s v="Marovotry Amboasary"/>
        <s v="Antanimora Centre"/>
        <s v="Namolora"/>
        <s v="Manavy"/>
        <s v="Ambaro"/>
        <s v="Betoko"/>
        <s v="Analavye Mainty"/>
        <s v="Vohitsova"/>
        <s v="Andranolaliky"/>
        <s v="Ambondrombe"/>
        <s v="Androvasoa"/>
        <s v="Agnivovorano"/>
        <s v="Ankondria"/>
        <s v="Andalatanosy Centre"/>
        <s v="Vohitsarivo"/>
        <s v="Ebelo"/>
        <s v="Anjamahavelo"/>
        <s v="Mahaly Centre"/>
        <s v="Amboangy"/>
        <s v="Dabolava"/>
        <s v="Ranobe"/>
        <s v="Etsoha Marofoty"/>
        <s v="Ambanisarika"/>
        <s v="Ankako"/>
        <s v="Sifiry Tanantsoa"/>
        <s v="Tobodriha"/>
        <s v="Amboroke"/>
        <s v="Anjeky Erada"/>
        <s v="Enjoty Behabobo"/>
        <s v="Beagnantara"/>
        <s v="Ankilikira"/>
        <s v="Betsimeda"/>
        <s v="Erakoke"/>
        <s v="Akororoky Mahazosoa"/>
        <s v="Eradabe Tsimivaky"/>
        <s v="Terabovo"/>
        <s v="Taranake"/>
        <s v="Ehavo"/>
        <s v="Tanandava"/>
        <s v="Morafeno"/>
        <s v="Vohitrarivo Centre"/>
        <s v="Ambondrombe Sud"/>
        <s v="Andalatanosy"/>
        <s v="Androvasoa Centre"/>
        <s v="Andranolalike"/>
        <s v="Ambaro Cente"/>
        <s v="Ikonda Tsimiarihandry"/>
        <s v="Betoko Ambatosoavolo"/>
        <s v="Analave Mainty Ii"/>
        <s v="Ambanditse"/>
        <s v="Antsakoambalo"/>
        <s v="Ankobo"/>
        <s v="Ankotrobe"/>
        <s v="Antafianampela"/>
        <s v="Andahivozake"/>
        <s v="Ankaranandindo"/>
        <s v="Anjakamba Bas"/>
        <s v="Mandily"/>
        <s v="Tsiabetrake"/>
        <s v="Betapoaky Ambatoraty"/>
        <s v="Ambary"/>
        <s v="Agnanilahy"/>
        <s v="Zazafotsy"/>
        <s v="Ampany"/>
        <s v="Andakato"/>
        <s v="Ambatomainty Haut"/>
        <s v="Antaly"/>
        <s v="Ambahita Centre"/>
        <s v="Bemalo I"/>
        <s v="Ampisopiso"/>
        <s v="Bevato I"/>
        <s v="Andriambola Nord"/>
        <s v="Andoharano"/>
        <s v="Beparo"/>
        <s v="Antanimary"/>
        <s v="Ankazota Centre"/>
        <s v="Antsakoamaro Centre"/>
        <s v="Sakaraty"/>
        <s v="Ankarenantsoa"/>
        <s v="Beteza Centre"/>
        <s v="Antsosa"/>
        <s v="Ankilimasy Haut"/>
        <s v="Antsohamamy"/>
        <s v="Mikaikarivo Centre"/>
        <s v="Anarabe-Ii"/>
        <s v="Tahiembanga"/>
        <s v="Bekily Centre"/>
        <s v="Mitsinjo"/>
        <s v="Ambondro"/>
        <s v="Marofany"/>
        <s v="Akarana"/>
        <s v="Tsirandrany I"/>
        <s v="Morafeno Tanandava"/>
        <s v="Koronga"/>
        <s v="Ambatotsivala"/>
        <s v="Ankilivahare"/>
        <s v="Marobasia Nord"/>
        <s v="Behabobo"/>
        <s v="Marohere"/>
        <s v="Bemena"/>
        <s v="Andrambale I"/>
        <s v="Analalava Ouest"/>
        <s v="Ankilibe Nord"/>
        <s v="Andramirava Centre"/>
        <s v="Imongy"/>
        <s v="Ambonaivo Ankilibe"/>
        <s v="Andamonty"/>
        <s v="Etroboke"/>
        <s v="Sihanamitohy"/>
        <s v="Firanga"/>
        <s v="Evazy"/>
        <s v="Sihananilambo"/>
        <s v="Terahanombitelo"/>
        <s v="Ampanihy Centre"/>
        <s v="Androka Betohoke"/>
        <s v="Betsibarike"/>
        <s v="Gorogoda"/>
        <s v="Antanimainty"/>
        <s v="Antaly Andrefa"/>
        <s v="Soarano Sud"/>
        <s v="Mandabe Kilimaro"/>
        <s v="Andamaky Centre"/>
        <s v="Tanandava Centre"/>
        <s v="Ankatrafay Est"/>
        <s v="Nisoa"/>
        <s v="Androipano"/>
        <s v="Ambalatsimivike"/>
        <s v="Belesy Nord"/>
        <s v="Ambolosogno"/>
        <s v="Androka Vao"/>
        <s v="Beharahake"/>
        <s v="Beavoha Sud"/>
        <s v="Mahatsandry Nord"/>
        <s v="Ambolisarike"/>
        <s v="Ankilibory I"/>
        <s v="Bevoalavo"/>
        <s v="Zamasy"/>
        <s v="Amborompotsy"/>
        <s v="Farafatse"/>
        <s v="Ankazonta"/>
        <s v="Mitsoriake"/>
        <s v="Marovahatse"/>
        <s v="Behatravy"/>
        <s v="Ejeda Centre"/>
        <s v="Beara Ambolamena"/>
        <s v="Manakaralahy"/>
        <s v="Ankozohozo"/>
        <s v="Ambatokapike Centre"/>
        <s v="Manakaravavy"/>
        <s v="Tsikoakahitse"/>
        <s v="Ambatovaky"/>
        <s v="Beamalo"/>
        <s v="Andranomilitry"/>
        <s v="Seta"/>
        <s v="Ankazomanga Ouest"/>
        <s v="Miary"/>
        <s v="Lazarivo"/>
        <s v="Betaly I"/>
        <s v="Ankilivao"/>
        <s v="Andranomavo"/>
        <s v="Maroarivo Centre"/>
        <s v="Andremba Centre"/>
        <s v="Ambatofotsy Mahasoa"/>
        <s v="Sakamasay Centre"/>
        <s v="Salobe"/>
        <s v="Vohipotsy I"/>
        <s v="Soamanonga I"/>
        <s v="Manintsy"/>
        <s v="Ambatomainty Ii"/>
        <s v="Laniry"/>
        <s v="Tanambao Bemoky"/>
        <s v="Tameantsoa"/>
        <s v="Andohasatra"/>
        <s v="Tanambao Ambony"/>
        <s v="Marevokasara"/>
        <s v="Vohitraomby"/>
        <s v="Fonilaza"/>
        <s v="Tsiately"/>
        <s v="Anapatra"/>
        <s v="Tsararano"/>
        <s v="Morabe"/>
        <s v="Vohitrambo"/>
        <s v="Mahatsinjo"/>
        <s v="Ivato"/>
        <s v="Mahatsara Sud(Lavakianja)"/>
        <s v="Ambohimiarina I"/>
        <s v="Mahavoky Nord"/>
        <s v="Marosangy"/>
        <s v="Ambohimahasoa"/>
        <s v="Andranomatavy"/>
        <s v="Beamalo-AMBAHITA"/>
        <s v="Ambahita centrale"/>
        <s v="Ampany/ Androtsy"/>
        <s v="Ambalatany-Ambalatany"/>
        <s v="Vohitrarivo"/>
        <s v="Beretra Ii"/>
        <s v="Sindrikatsy"/>
        <s v="Ambalatraka"/>
        <s v="Ambalavato Nord"/>
        <s v="Marofoty"/>
        <s v="RETOKA"/>
        <s v="Ambanisarika Centre"/>
        <s v="Ankiliabon'Ibona"/>
        <s v="Ankilimara-Ambanisarika"/>
        <s v="Etsoha"/>
        <s v="MAHASOA"/>
        <s v="AMPIATSAHA"/>
        <s v="AMBALATENINA"/>
        <s v="Ambatolava"/>
        <s v="Ambatomainty-Bekily"/>
        <s v="Anarabe II"/>
        <s v="VOHITRAMBOA"/>
        <s v="MITSINJO-AMBATOMIVARY"/>
        <s v="Anadabolava"/>
        <s v="Mandabe-AMBATOSOLA"/>
        <s v="Esaka"/>
        <s v="Ambatosola Centre"/>
        <s v="Andingolingo"/>
        <s v="Ambatry Mitsinjo"/>
        <s v="Andranokototo"/>
        <s v="Andranotantely"/>
        <s v="Ambatry Manory"/>
        <s v="Tsilavondrivotse"/>
        <s v="Ambatry ambony"/>
        <s v="Ambatry tanambao"/>
        <s v="Mahabo-Ambatry Mitsinjo"/>
        <s v="Besakoa Sud-Ambatry Mitsinjo"/>
        <s v="Besakoa nord"/>
        <s v="AMBAZOA"/>
        <s v="IKOTOALA"/>
        <s v="AMBOROMINENDRA"/>
        <s v="ANTANAMIHERY"/>
        <s v="TSIFAHERA Ampaipaike"/>
        <s v="Talakifeno"/>
        <s v="Morafeno/tan"/>
        <s v="SSM"/>
        <s v="Ianakafy-Amboasary"/>
        <s v="Belitsaka"/>
        <s v="Ampihamy/ Behabobo"/>
        <s v="Limby"/>
        <s v="Ankitry"/>
        <s v="Ankamena tanantsoa"/>
        <s v="Ambalabe(Mahatsara)"/>
        <s v="Sarilasy(Com Ambodirano)"/>
        <s v="Ambohigogo"/>
        <s v="Lohatranambo"/>
        <s v="Antanantsoa"/>
        <s v="ANDROVASOA-AMBOHIMALAZA"/>
        <s v="ANDRANOTSIRIRY MANKATRATSE"/>
        <s v="ANKILETELO-AMBOHIMALAZA"/>
        <s v="Mahatomotse centre"/>
        <s v="Savilava-Androy"/>
        <s v="Ambohimana"/>
        <s v="Ambaramafaitra"/>
        <s v="Tsaratanana"/>
        <s v="Ambohimandroso-Ambohimandroso"/>
        <s v="IABOREFO"/>
        <s v="LAVAKIANJA"/>
        <s v="Ambodipaiso Vakoanina"/>
        <s v="SAHANIMANGA"/>
        <s v="Ambodilazabe"/>
        <s v="Ampasimalemy"/>
        <s v="ANDRORANGAVOLA"/>
        <s v="ANKARANDOHA"/>
        <s v="ANALAVAO"/>
        <s v="AMBONAIVO-Ambovombe-Androy"/>
        <s v="MAROLAVA-AMBONAIVO"/>
        <s v="Ampisandrata"/>
        <s v="Lamitihy sud"/>
        <s v="Tsimagnanto"/>
        <s v="Mahazoarivo-AMBONDRO"/>
        <s v="Ambondro I"/>
        <s v="Bebea"/>
        <s v="Ambongo"/>
        <s v="Mahamany"/>
        <s v="Ankevo"/>
        <s v="Belalitse"/>
        <s v="Ankiliabo-Amborompotsy"/>
        <s v="Amboropotsy I"/>
        <s v="Ambararata Haut"/>
        <s v="Ambahevahe-Amborompotsy"/>
        <s v="Ambatomanambahatse"/>
        <s v="Montombe"/>
        <s v="Behalango I"/>
        <s v="Behalango II"/>
        <s v="Ankilimanondro"/>
        <s v="Ankisakisake"/>
        <s v="Amboropotsy II"/>
        <s v="Ankilimanondro Nord"/>
        <s v="Agnaramalinike"/>
        <s v="Bemoita Nord"/>
        <s v="Tsotsama"/>
        <s v="Beronono"/>
        <s v="Antanemavo"/>
        <s v="Agnalamisaka"/>
        <s v="Belamonty"/>
        <s v="Ambendra"/>
        <s v="Maola Bas"/>
        <s v="Andrevisike"/>
        <s v="Beonga"/>
        <s v="Tanantsoa Vohimaro"/>
        <s v="Ankonatse"/>
        <s v="Ankilemare"/>
        <s v="Besavoa-Amborompotsy"/>
        <s v="Ankazoabo-Amborompotsy"/>
        <s v="Maroakoho"/>
        <s v="Maola Haut"/>
        <s v="Bemoita Sud"/>
        <s v="Agnaramaike"/>
        <s v="Bekatrafay"/>
        <s v="Andranomaleotse"/>
        <s v="Ankafoja"/>
        <s v="Fenoarivo Sud"/>
        <s v="Andindo"/>
        <s v="Ampiketra"/>
        <s v="Andavabiby"/>
        <s v="Andovoke"/>
        <s v="Andrea Andradie"/>
        <s v="Sagory"/>
        <s v="Vohipetse Vohitsaragna"/>
        <s v="BEROROHA"/>
        <s v="AMBOASARY II"/>
        <s v="AMBAZOAMIRAFY"/>
        <s v="BEHABOBO-AMBOVOMBE"/>
        <s v="TSIRANGOTY"/>
        <s v="Milahane Fenoarivo"/>
        <s v="MAROFANOGNE"/>
        <s v="ANTSATRAHAMASY"/>
        <s v="MAROMALAY"/>
        <s v="SEVOHIPOTY"/>
        <s v="ANKARAMENA"/>
        <s v="Ambolomareagne"/>
        <s v="Amboro Bekokako"/>
        <s v="ANJAKAMBA"/>
        <s v="ANKANKA"/>
        <s v="ANKILEFALY-AMBOVOMBE"/>
        <s v="ANKILEMASY"/>
        <s v="ANKILIMAFAITSE"/>
        <s v="ANTANATANAPOTY"/>
        <s v="BEANIKE"/>
        <s v="BEHANTAMAREAGNE"/>
        <s v="EKONKA CENTRAL"/>
        <s v="ESANTA"/>
        <s v="LAVANDRANDRA 1"/>
        <s v="TALAKY Centre"/>
        <s v="Tranobe Maromainty (EKONKA)"/>
        <s v="VANGAY AMBANEAVOHA"/>
        <s v="NANDROSOA"/>
        <s v="ANDALIPITO"/>
        <s v="BESATRA SOARANO"/>
        <s v="AMPAMATA CENTRE"/>
        <s v="Ankilitoka"/>
        <s v="Ambalatsiefa"/>
        <s v="Reampototse"/>
        <s v="Ambalavato"/>
        <s v="Lafibato"/>
        <s v="Antanemainty"/>
        <s v="Ambohimahatazana"/>
        <s v="Tokove"/>
        <s v="Antsaridava"/>
        <s v="Betsibaroke"/>
        <s v="Etrobeke"/>
        <s v="Etanjo"/>
        <s v="Terahanaombitelo"/>
        <s v="Lavaposa"/>
        <s v="Evazy-Ampanihy Ouest"/>
        <s v="Andranovaho"/>
        <s v="Betohoke"/>
        <s v="Ankilimalangy"/>
        <s v="Belaza"/>
        <s v="Bevitike"/>
        <s v="Montondava"/>
        <s v="Tsimidretsy"/>
        <s v="Andranomamy-Ampanihy Ouest"/>
        <s v="Besakoa Sud"/>
        <s v="Ambatolahinaore"/>
        <s v="Fenoarivo-Ampasimalemy"/>
        <s v="Ampasindava-Ampasimalemy"/>
        <s v="Ampataka-Ampataka"/>
        <s v="Tanambao Ii-Ampataka"/>
        <s v="Ankarefo"/>
        <s v="Amporoforo"/>
        <s v="Amibasy"/>
        <s v="Marosiky"/>
        <s v="MAROLAVA"/>
        <s v="ANALAMARY"/>
        <s v="MANOMBO-ANALAMARY"/>
        <s v="MARORA"/>
        <s v="BEPIA"/>
        <s v="IABORANO(Analamary)"/>
        <s v="SAMBALAHY-ANALAMARY"/>
        <s v="AGNAFONDRAVOAY"/>
        <s v="ANJAMALINEKE"/>
        <s v="Ifoitry"/>
        <s v="Nandritona"/>
        <s v="Tanandava I - Anavoha"/>
        <s v="Mandabe"/>
        <s v="Ankatrafay-Anavoha"/>
        <s v="Anavoha Ambonirano"/>
        <s v="Analafantsika"/>
        <s v="Ambatomena"/>
        <s v="Anavoha Centre - Ampanihy Ouest"/>
        <s v="Anadabolahimaeva"/>
        <s v="Ankotobe Avaradrano"/>
        <s v="Andakana"/>
        <s v="Ambalakazaha"/>
        <s v="MAROFANY-ANDALATANOSY"/>
        <s v="ANDALAKAOLO"/>
        <s v="EDASOTSE"/>
        <s v="AMBONDROMBE-ANDALATANOSY"/>
        <s v="AKONDRIA"/>
        <s v="AMPAHEJOLOKE"/>
        <s v="ANDALATANOSY NORD"/>
        <s v="ANDALATANOSY SUD"/>
        <s v="VOHIPANDRANY"/>
        <s v="VOHITSANOMBE"/>
        <s v="ANDEFAPONY"/>
        <s v="Masomboay"/>
        <s v="Volojatsy"/>
        <s v="Miarinarivo"/>
        <s v="Ambinagny Est"/>
        <s v="Andraketa centre"/>
        <s v="Analave Foty"/>
        <s v="Ambararata Centre"/>
        <s v="Maregny"/>
        <s v="Androvamare II"/>
        <s v="Andragnanivo Centre"/>
        <s v="Marosoritsy Est"/>
        <s v="Tsimagnarake centre"/>
        <s v="Andranolalina"/>
        <s v="Ampatranila"/>
        <s v="Andranomangatsiaka"/>
        <s v="Mahabo Sud"/>
        <s v="Befotaka-Andranomangatsiaka"/>
        <s v="Besatra-Andranomangatsiaka"/>
        <s v="Ambario"/>
        <s v="Tanambao II"/>
        <s v="Fenoanivo"/>
        <s v="Manantsa"/>
        <s v="Mitsinjo-Andranomangatsiaka"/>
        <s v="Sakoamaro"/>
        <s v="Ambalatsmiviky"/>
        <s v="Tsiondriana  Sud"/>
        <s v="Besely  Sud"/>
        <s v="Ankamena  I"/>
        <s v="Ankamena II"/>
        <s v="Betratratra"/>
        <s v="Ambaladoda"/>
        <s v="Ankiliambany"/>
        <s v="Ambalandambo"/>
        <s v="Belambo"/>
        <s v="Antsakoa"/>
        <s v="Tsimafaitse"/>
        <s v="Androka Ela"/>
        <s v="Manera"/>
        <s v="Ambohibola"/>
        <s v="Saodona"/>
        <s v="Anilobe"/>
        <s v="Antanimena"/>
        <s v="Anivorano Mitsinjo"/>
        <s v="Ankilemivory Esogny"/>
        <s v="Besandraha"/>
        <s v="Anja-Nord"/>
        <s v="Ankatsakatsa"/>
        <s v="Mikaikarivo I"/>
        <s v="Bekokako"/>
        <s v="BOTREOKE"/>
        <s v="Mokofo"/>
        <s v="Marovaho-Anjeky Ankilikira"/>
        <s v="Anjeky Tanandava"/>
        <s v="Amboro"/>
        <s v="Anjoty Marolava II"/>
        <s v="Ankeoheo Marolava"/>
        <s v="Ankilerandro"/>
        <s v="Antanemiare I"/>
        <s v="Beanantara"/>
        <s v="Beanantara I"/>
        <s v="Maroafo Marofoty"/>
        <s v="Marohafotse"/>
        <s v="Tombodriha"/>
        <s v="Tsimihevo"/>
        <s v="Ankarana"/>
        <s v="Manombo"/>
        <s v="Takoandra"/>
        <s v="Eroka II"/>
        <s v="Andranomanitsy"/>
        <s v="Anarabe I"/>
        <s v="Andriabe"/>
        <s v="Vohimary I"/>
        <s v="Ambinanivelo"/>
        <s v="Vohimary II"/>
        <s v="Ankaranabo Nord Centre"/>
        <s v="Ankazomanga Sud(Fanato)"/>
        <s v="Vovomena"/>
        <s v="Miogo"/>
        <s v="Morafeno-Ankazomanga Ouest"/>
        <s v="Andrahavia"/>
        <s v="Tokoendolo"/>
        <s v="Vonje"/>
        <s v="Bevala-Ankazomanga Ouest"/>
        <s v="Vombao"/>
        <s v="Ankandy"/>
        <s v="Ankazomanga-Betioky Atsimo"/>
        <s v="Ankavola"/>
        <s v="Ambararata"/>
        <s v="Mahazoarivo-Ankazomanga Ouest"/>
        <s v="Beavoha-Ankazombalala"/>
        <s v="Mahaty"/>
        <s v="Milomboke"/>
        <s v="Manasoa-Ankazomanga Ouest"/>
        <s v="Bezaha Mahafaly"/>
        <s v="Bejio"/>
        <s v="Analafaly"/>
        <s v="Ambinda-Ankazomanga Ouest"/>
        <s v="Betalaha"/>
        <s v="Ampanihy Antarabory"/>
        <s v="Vohimanoro"/>
        <s v="Ankazovelo"/>
        <s v="Telorano"/>
        <s v="Tsijobogne"/>
        <s v="Anosa"/>
        <s v="Behavandra"/>
        <s v="Etakake"/>
        <s v="Ampagnorita"/>
        <s v="Agnena-Ankiliabo"/>
        <s v="Andamoty"/>
        <s v="Anjamisaro"/>
        <s v="Ekelehaly"/>
        <s v="Emalo-Ankiliabo"/>
        <s v="Reakaly"/>
        <s v="Reambondro"/>
        <s v="Ankiliabo"/>
        <s v="Betaimbala-Ankiliabo"/>
        <s v="Ankilimary"/>
        <s v="Marohola Nord"/>
        <s v="Marohola Sud"/>
        <s v="Tsiandeo"/>
        <s v="Agnaramiteraka"/>
        <s v="Ankilimara"/>
        <s v="Sarotsahatay"/>
        <s v="Ankilimivory"/>
        <s v="Befamata-Ankilimivory"/>
        <s v="Vohimiroro I"/>
        <s v="Andrakia Centre"/>
        <s v="Vohimiroro II"/>
        <s v="Ambatolahitsirara"/>
        <s v="Tanambao"/>
        <s v="Amboaido"/>
        <s v="Agnena"/>
        <s v="Vatolalake"/>
        <s v="Analamateza Bas"/>
        <s v="Anjidava"/>
        <s v="Andranolava-Ankilizato"/>
        <s v="Bevoay"/>
        <s v="Emalo"/>
        <s v="Ambatoroheva"/>
        <s v="Analamateza Be"/>
        <s v="Andraompe"/>
        <s v="Anjeba-Ankilizato"/>
        <s v="Ankatrakatrake"/>
        <s v="Ankilizato"/>
        <s v="Befamata Ampanorita"/>
        <s v="Bekako Centre"/>
        <s v="Bekako Nord"/>
        <s v="Bekako Sud"/>
        <s v="Manory"/>
        <s v="Marovaho"/>
        <s v="Sakamasay I"/>
        <s v="Sakamasay II"/>
        <s v="Anakatrika"/>
        <s v="Fierena"/>
        <s v="Anosy"/>
        <s v="Vazako"/>
        <s v="Anosikely"/>
        <s v="Andranolava-Anosy Tsararafa"/>
        <s v="ANKILEFALY"/>
        <s v="ANTSIRA"/>
        <s v="BEFENO (Ex AMBALIANDRO)"/>
        <s v="Antaninarenina"/>
        <s v="Andraketalahy"/>
        <s v="Anjira"/>
        <s v="Ambaromanoy"/>
        <s v="Ambonaivo"/>
        <s v="Talaky bas"/>
        <s v="Antaritarika"/>
        <s v="Beievotse Tanambao"/>
        <s v="Ihodo"/>
        <s v="Antodinga"/>
        <s v="Mitremaka"/>
        <s v="Andasy"/>
        <s v="Antokoboritelo"/>
        <s v="Antemanara(Antokonala)"/>
        <s v="Andremareo"/>
        <s v="Ambatomainty-Antondabe"/>
        <s v="Antondabe-Antondabe"/>
        <s v="Ankazota"/>
        <s v="Antsakoamaro-ANTSAKOAMARO"/>
        <s v="Antseranambe"/>
        <s v="Mikaikarivo-Beantake"/>
        <s v="Anontsy"/>
        <s v="Ankiliarivo-Beantake"/>
        <s v="Anjambalo"/>
        <s v="Befaha"/>
        <s v="Ereteke"/>
        <s v="Ankotoboke Soarano"/>
        <s v="Beantake"/>
        <s v="Ankililaza"/>
        <s v="Besatra"/>
        <s v="Ampasindava"/>
        <s v="Antondabe"/>
        <s v="Befotaka"/>
        <s v="Marohery"/>
        <s v="Ampanagnira"/>
        <s v="Andranotsikioe"/>
        <s v="Befaitsy"/>
        <s v="Andavabaza-Behara"/>
        <s v="Behara Haut"/>
        <s v="Ankirikirika"/>
        <s v="Behara bas"/>
        <s v="Berenty"/>
        <s v="Beharena"/>
        <s v="Ankarapotsy"/>
        <s v="Belenalena-IFOTAKA"/>
        <s v="Beheloka Bas"/>
        <s v="Ankilimivony"/>
        <s v="Ambahevahe"/>
        <s v="Beheloka Haut"/>
        <s v="Ankilibory-Beheloka"/>
        <s v="Bekaraoky-Vangaindrano"/>
        <s v="Ankaboa"/>
        <s v="Ambatomainty-BEKITRO"/>
        <s v="Miary Haut"/>
        <s v="Befangitsy-BEKITRO"/>
        <s v="Andamilamy-BEKITRO"/>
        <s v="Ankiliarivo"/>
        <s v="Ankilemiary"/>
        <s v="Marovaho Haut"/>
        <s v="Marovaho-Bas"/>
        <s v="Menambahy I"/>
        <s v="Bekofafa-Bekofafa Sud"/>
        <s v="BEKOROBO(Manandrotsy)"/>
        <s v="ANDALAMBY"/>
        <s v="MANANOVY"/>
        <s v="AMBATOMENA-BEKOROBO"/>
        <s v="ITROHO"/>
        <s v="MANINGAVAHATSY"/>
        <s v="Anaviavy-Belafike Haut"/>
        <s v="Ankilimasy-Belafike Haut"/>
        <s v="Belafike Vohibe"/>
        <s v="Belolo Ankapiky"/>
        <s v="Tsatsiotse Kande"/>
        <s v="Vinanitelo"/>
        <s v="Vinanitelo Ankilimaro"/>
        <s v="Beadala Haut"/>
        <s v="Ankilitelo"/>
        <s v="Ambatovaky Haut"/>
        <s v="Ampamata"/>
        <s v="Beadala Antanisira"/>
        <s v="Ankininy-Belafike Haut"/>
        <s v="Beadala Bas-Belafike Haut"/>
        <s v="Beadala Faharaza"/>
        <s v="Bekignana Manakaralahy"/>
        <s v="Belafike Bas"/>
        <s v="Belafike Haut"/>
        <s v="Bololo Bas"/>
        <s v="Hanimbe Haut"/>
        <s v="Lalikamany"/>
        <s v="Mikaikarivo"/>
        <s v="Namelomampia"/>
        <s v="Namelompia Bas"/>
        <s v="Namelompia Haut"/>
        <s v="Ranondahatse Be"/>
        <s v="Taolambositse"/>
        <s v="Tanantsoa-BELINDO MAHASOA"/>
        <s v="Ambasy"/>
        <s v="Ampanamperandrotsy"/>
        <s v="Ankininy"/>
        <s v="Belindo-BELINDO MAHASOA"/>
        <s v="Andranolava"/>
        <s v="Tirimby"/>
        <s v="Sihanadaly"/>
        <s v="Ambohivola"/>
        <s v="Angobegobe"/>
        <s v="Sampeza"/>
        <s v="Sihanaboay"/>
        <s v="Tsaniria/Ampatiolobe"/>
        <s v="Bema"/>
        <s v="AMBATOVITA"/>
        <s v="BENATO TOBY"/>
        <s v="SAMBALAHY"/>
        <s v="BEPEHA-BENATO TOBY"/>
        <s v="IVOHITSOA"/>
        <s v="MORAFENO-BENATO TOBY"/>
        <s v="Bevatry"/>
        <s v="Ranotsara"/>
        <s v="Benenitra"/>
        <s v="Berevo (Anadabo dans FRN)"/>
        <s v="Beraketa Est (Ambalavato dans l'FRN)"/>
        <s v="Tanapiso"/>
        <s v="Mitsinjo_Benenitra"/>
        <s v="Ankilivalo"/>
        <s v="Betaimbala"/>
        <s v="vohitolia"/>
        <s v="Beanike vohidroa"/>
        <s v="Beora Tanambao"/>
        <s v="Ampanimaro"/>
        <s v="Amboasary"/>
        <s v="Ampandrandava"/>
        <s v="Beraketa II"/>
        <s v="Ambalasaraka"/>
        <s v="Ifarantsa"/>
        <s v="Besakoa ifarantsa"/>
        <s v="Antsely"/>
        <s v="Beraketa I"/>
        <s v="Berano"/>
        <s v="Manitsevo-Berano"/>
        <s v="Marotoko"/>
        <s v="Karinarivo"/>
        <s v="Beroy Atsimo"/>
        <s v="Beroy Avaratra"/>
        <s v="Anandranto Sud"/>
        <s v="Ankilibory-Beroy Atsimo"/>
        <s v="Mitsinjo-Beroy Atsimo"/>
        <s v="Tsikombo Ambany"/>
        <s v="Tsikombo Haut"/>
        <s v="Besasavy Bas"/>
        <s v="Antaniperatsy"/>
        <s v="Belobaka Sud"/>
        <s v="Fenoarivo I"/>
        <s v="Besohihy"/>
        <s v="Ampany Anivorano"/>
        <s v="Besakoa Centrale"/>
        <s v="Mahasoa Vohintany"/>
        <s v="Ankilivalo Haut"/>
        <s v="Antsosa I"/>
        <s v="Beteza Centrale"/>
        <s v="Pelaraiky"/>
        <s v="Besavoa"/>
        <s v="Ambalahazo"/>
        <s v="Ampakabo"/>
        <s v="Ranonda"/>
        <s v="Betioky II"/>
        <s v="Ampasimandroake"/>
        <s v="Antsakoamasy"/>
        <s v="Anketrake"/>
        <s v="Ankilimasy-Betioky Atsimo"/>
        <s v="Ankilimiangatse"/>
        <s v="Bevaho"/>
        <s v="Bevata"/>
        <s v="Bevitiky Centre"/>
        <s v="Tsioga Vohimary"/>
        <s v="Andaro"/>
        <s v="Antsatra"/>
        <s v="Vatoarivo"/>
        <s v="Anaviavy"/>
        <s v="Befamonty"/>
        <s v="Anjatakary"/>
        <s v="Bezaha I"/>
        <s v="Bezaha IV"/>
        <s v="Bezaha II"/>
        <s v="Bezaha III"/>
        <s v="Misay"/>
        <s v="Ambalavolo-Efatsy"/>
        <s v="Efatsy"/>
        <s v="Efoetse"/>
        <s v="Ambola"/>
        <s v="Maromitilike"/>
        <s v="Maintelime"/>
        <s v="Analamena"/>
        <s v="Anivorano-Ejeda"/>
        <s v="Ambatokapike"/>
        <s v="Ambatovaky-Ejeda"/>
        <s v="Ambinda"/>
        <s v="Andranomena"/>
        <s v="Ankilimidega"/>
        <s v="Ankozohozo Andakilasy"/>
        <s v="Tananondate"/>
        <s v="Beara"/>
        <s v="Bedeboke"/>
        <s v="Behatravy Ambatomainty"/>
        <s v="Behatravy Centre"/>
        <s v="Behazondregnetse"/>
        <s v="Beholive"/>
        <s v="Bekignana"/>
        <s v="Besakoa Liambositse"/>
        <s v="Beviro Betrongo"/>
        <s v="Beviro Centre"/>
        <s v="Ejeda Sud"/>
        <s v="Enosy Centre"/>
        <s v="Esifake"/>
        <s v="Etory"/>
        <s v="Evovo Centre"/>
        <s v="Manakaralahy Nord"/>
        <s v="Manakaralahy Sud"/>
        <s v="Mandopaka I"/>
        <s v="Mandopaka II"/>
        <s v="Antsevaseva-Rehinde"/>
        <s v="Mirafe"/>
        <s v="Sagnirantante"/>
        <s v="Sevaseva Befoe"/>
        <s v="Tanandava-Ejeda"/>
        <s v="Tsimarea Nord"/>
        <s v="Tsizarae"/>
        <s v="Bemandresy"/>
        <s v="Elonty"/>
        <s v="Besakoa-Elonty"/>
        <s v="Habohabo Nord"/>
        <s v="Ambory-ERADA"/>
        <s v="Ambanekily sud"/>
        <s v="Erada"/>
        <s v="NISORONA"/>
        <s v="Esira"/>
        <s v="Etrotroka"/>
        <s v="Vohimary"/>
        <s v="Evato"/>
        <s v="Mahazoarivo-Evato"/>
        <s v="Andranomakoko"/>
        <s v="Mahafasa Nord"/>
        <s v="Amboanio"/>
        <s v="Ambatosarotra"/>
        <s v="Somisiky"/>
        <s v="Fenoandala"/>
        <s v="Fenoarivo(Com Fenoarivo)"/>
        <s v="Loasay"/>
        <s v="Sahavoangy"/>
        <s v="Tsamoro"/>
        <s v="Beamalo-Fotadrevo"/>
        <s v="Satranarivo"/>
        <s v="Analabe"/>
        <s v="Bepeha"/>
        <s v="Ambondromena-Fotadrevo"/>
        <s v="Antohabo"/>
        <s v="Bevaro-Fotadrevo"/>
        <s v="Fotadrevo Centre-Fotadrevo"/>
        <s v="Fotadrevo Sud"/>
        <s v="Seta II"/>
        <s v="Ankilimasy-Gogogogo"/>
        <s v="Gogogogo II"/>
        <s v="Befasy-Gogogogo"/>
        <s v="Ambodrokily"/>
        <s v="Anamonta"/>
        <s v="Beadala Bas"/>
        <s v="Bekompitse"/>
        <s v="Belambo Amborotsy"/>
        <s v="Taolambositse Ankininy"/>
        <s v="Tsimaimpaoso"/>
        <s v="Iabohazo"/>
        <s v="Anambakaka"/>
        <s v="Iamonta"/>
        <s v="Vohibe II"/>
        <s v="BEMELO"/>
        <s v="IANABINDA"/>
        <s v="ANKAROKA TOBY"/>
        <s v="ANTATABE"/>
        <s v="VORONKAFOTRA"/>
        <s v="BEVAHO IANABINDA"/>
        <s v="FENOARIVO-IANABINDA"/>
        <s v="BEKININY"/>
        <s v="ANKILIMARY-IANAKAFY"/>
        <s v="IANAKAFY/ANKATRAFAY"/>
        <s v="APANDRATOLONY"/>
        <s v="AMBATOMIALA"/>
        <s v="ANKASY"/>
        <s v="TANANDAVA OUEST"/>
        <s v="AMBONGO-IANAKAFY"/>
        <s v="BEVAHO IANAKAFY"/>
        <s v="VOHITELO"/>
        <s v="MAHASOA OUEST"/>
        <s v="IHAZOFOTSY"/>
        <s v="Iara"/>
        <s v="Ankilimanintsy-Ifotaka"/>
        <s v="Ankatrafay-Ifotaka"/>
        <s v="Ifotaka"/>
        <s v="Fenoaivo-Ifotaka"/>
        <s v="Ambatomainty-Ifotaka"/>
        <s v="Bekiria-Ifotaka"/>
        <s v="Analoalo-Ifotaka"/>
        <s v="Ifotaka DP"/>
        <s v="Tsarapioky"/>
        <s v="Antsivavy Ankamena"/>
        <s v="Vohibolo"/>
        <s v="Ihorombe"/>
        <s v="AMBOHIMIARY"/>
        <s v="AMBALAVOLO"/>
        <s v="Ambalagoavy"/>
        <s v="ANTEKOHO"/>
        <s v="SAHAVONDRONY"/>
        <s v="AMBOHIMAHASOA NORD"/>
        <s v="PAPANGO"/>
        <s v="MANGARIVOTRA"/>
        <s v="ANTAVOLO"/>
        <s v="SAHAVANDRA"/>
        <s v="TSARATANTERAKA"/>
        <s v="VOLARIVO"/>
        <s v="AMBATOLAMPY"/>
        <s v="AMBOANGISAY"/>
        <s v="SAHAKONDRO"/>
        <s v="ANDROMBA"/>
        <s v="IMANOMBO CENTRE"/>
        <s v="AMPILOFILO-IMANOMBO"/>
        <s v="A.BEDARO"/>
        <s v="ANTESOAMAY"/>
        <s v="ANDEMBY"/>
        <s v="AMPANASA"/>
        <s v="Inosy"/>
        <s v="ANTANANDAVA SUD"/>
        <s v="BETAIMBALA-ISOANALA"/>
        <s v="ISOANALA SUD"/>
        <s v="ISOANALA NORD"/>
        <s v="ANDROKA"/>
        <s v="MAROVALA"/>
        <s v="LAVALILA"/>
        <s v="VOHITSEVO"/>
        <s v="BERAKETA SUD"/>
        <s v="TANAMBAO-ISOANALA"/>
        <s v="ANDARO-ISOANALA"/>
        <s v="SARODRANO-ISOANALA"/>
        <s v="ANDRAGIRAGY"/>
        <s v="BENONOKY(Isoanala)"/>
        <s v="Befolotse-Itampolo"/>
        <s v="Bevala"/>
        <s v="Besely Nord-Itampolo"/>
        <s v="Marolinta-Itampolo"/>
        <s v="Itampolo II-Ampanihy Ouest"/>
        <s v="Sakariaka"/>
        <s v="Tongainoro"/>
        <s v="Tsiondriana Nord"/>
        <s v="Beavoha Ambalabe"/>
        <s v="Befengoke"/>
        <s v="Itampolo I"/>
        <s v="Ivandrika"/>
        <s v="Ambalolo"/>
        <s v="Mahazoarivo (Ivandrika)"/>
        <s v="Bekaraoky"/>
        <s v="Ambohitsara-Vondrozo"/>
        <s v="Ferena"/>
        <s v="Lavaraty"/>
        <s v="Marozano-Marozano"/>
        <s v="ANJAKAMBA HAUT"/>
        <s v="AMBORY Bas"/>
        <s v="ANJEBA"/>
        <s v="ANKOTSOBE"/>
        <s v="AJAFARO"/>
        <s v="AMBATORATY"/>
        <s v="BASAKOA BAS"/>
        <s v="Karianga"/>
        <s v="Sosobahy"/>
        <s v="Karimbary-Vondrozo"/>
        <s v="Karimbary-Vangaindrano"/>
        <s v="Ampilofilo"/>
        <s v="Anjapoty Nord"/>
        <s v="Ambatofoty"/>
        <s v="Ananaja/Ananakirihitse"/>
        <s v="Anjadavo"/>
        <s v="Antseta"/>
        <s v="Kopoky"/>
        <s v="Lohafary"/>
        <s v="Mahabe"/>
        <s v="Lopary"/>
        <s v="BEADABO"/>
        <s v="MANDABE-MAHABO"/>
        <s v="IABORANO(Mahabo)"/>
        <s v="MAHABO(BENONOKY)"/>
        <s v="MANEVY"/>
        <s v="RIANDAMPY"/>
        <s v="ANKENIHENY"/>
        <s v="Mahabo-Amboasary"/>
        <s v="ANDRANOMENA-MAHABO"/>
        <s v="Iabomary (Mahabo)"/>
        <s v="Mahabo Mananivo"/>
        <s v="Andrambale"/>
        <s v="Antaly/Agnena"/>
        <s v="Mahafasa Centre"/>
        <s v="Vohitromby Mahafasa"/>
        <s v="Mahaly"/>
        <s v="Mahazoarivo-Mahafaly"/>
        <s v="Adabolava"/>
        <s v="Ankily"/>
        <s v="Ampataka"/>
        <s v="Ianakasy"/>
        <s v="Mahatsinjo-Mahatsinjo"/>
        <s v="Anivotsara"/>
        <s v="Mahavelo-Vondrozo"/>
        <s v="Antenimary"/>
        <s v="Ambohimandroso-Vondrozo"/>
        <s v="Mahazoarivo-Vondrozo"/>
        <s v="Alohavala"/>
        <s v="Maheriraty"/>
        <s v="Zara"/>
        <s v="AMBORIGNABO"/>
        <s v="MANAKOMPY"/>
        <s v="ANKAZOABO"/>
        <s v="ANJA OUEST"/>
        <s v="MAIKANDRO"/>
        <s v="ANKILISOASOMANGY"/>
        <s v="Manalobe"/>
        <s v="Ankilimasy"/>
        <s v="Vohitromby"/>
        <s v="Antsoro I (Manambidala)"/>
        <s v="Lohanosy"/>
        <s v="Ambohitsara"/>
        <s v="Madiorano"/>
        <s v="Manambondro"/>
        <s v="Maroroka"/>
        <s v="Mahavelo(Com Manambotra Atsimo)"/>
        <s v="Marompanahy"/>
        <s v="Manambotra Sud"/>
        <s v="AMBARAHOLONA"/>
        <s v="Ambohimalaza"/>
        <s v="Manato"/>
        <s v="Mahasoa I"/>
        <s v="Manevy (au bureau ORN Anosy FTU)"/>
        <s v="Manevy (bureau ORN Fort Dauphin)"/>
        <s v="Ampamatoha  (au bureau ORN Anosy FTU)"/>
        <s v="Ampamatoha (bureau ORN Fort Dauphin)"/>
        <s v="Maroantsiva  (au bureau ORN Anosy FTU)"/>
        <s v="Maroantsiva (bureau ORN Fort Dauphin)"/>
        <s v="Ambinanitelo"/>
        <s v="Betsako"/>
        <s v="Maniry"/>
        <s v="Besaly"/>
        <s v="Ankilimihamy"/>
        <s v="Bokonake"/>
        <s v="Tsiasimo"/>
        <s v="Vohidrakitse"/>
        <s v="Ambahotera"/>
        <s v="Efoty"/>
        <s v="Begorago"/>
        <s v="Ankarahara"/>
        <s v="Anjamarotea"/>
        <s v="Ankaragnabo"/>
        <s v="Ankilimahare"/>
        <s v="Bejabihy"/>
        <s v="Betrandraky Bas"/>
        <s v="Betrandraky Haut"/>
        <s v="Pinjo Bas"/>
        <s v="Reambohitse"/>
        <s v="Remengoky"/>
        <s v="Vontovoatavo"/>
        <s v="Vahavola centre"/>
        <s v="Erakoka Andrefana"/>
        <s v="Radabetsimivaky"/>
        <s v="Ankilehogo"/>
        <s v="Ankororoke Mahazosoa"/>
        <s v="Belambo Fanavaozana"/>
        <s v="Betsimeda Ankilimilaly"/>
        <s v="Erakoka"/>
        <s v="Behabobo Nord"/>
        <s v="Tanambao Sud"/>
        <s v="Ampanavy Fototsambo"/>
        <s v="Maroalopoty II"/>
        <s v="Maropia Ankilibe"/>
        <s v="Maropia nord"/>
        <s v="Maropia  Ambohimazava"/>
        <s v="Ambaro III"/>
        <s v="Ankalimboro Tsiavihandro"/>
        <s v="Antsomotsoy Ankeloke"/>
        <s v="Antsomotsoy Centre"/>
        <s v="Belemboke Ambany"/>
        <s v="Belemboke Sevohitse"/>
        <s v="Belitsake Dodo"/>
        <s v="Mahavokake"/>
        <s v="Mareagne Tsihelegne"/>
        <s v="Maroalopoty I"/>
        <s v="Maroalopoty III"/>
        <s v="Marodo Ankilemasy"/>
        <s v="Savara centre"/>
        <s v="Soatamea centre"/>
        <s v="Soatsifa Agnivorano"/>
        <s v="Soatsifa Haut"/>
        <s v="Soatsifa I"/>
        <s v="Tanambao Efaly"/>
        <s v="Tsirandrany"/>
        <s v="Vohimiary"/>
        <s v="Maroarivo"/>
        <s v="Maroarivo Tanandava"/>
        <s v="Andranamy"/>
        <s v="Ambatofoty Ouest"/>
        <s v="Analalentike"/>
        <s v="Ankilimihada"/>
        <s v="Ambory"/>
        <s v="Andremihory"/>
        <s v="Andremba Mihary"/>
        <s v="Andremba Mihaga"/>
        <s v="Antsakoamaro"/>
        <s v="Andremba"/>
        <s v="Marokibo"/>
        <s v="Ambalamasy"/>
        <s v="Ampotake"/>
        <s v="Andovoky/Ankilevalo"/>
        <s v="Lokoarivo"/>
        <s v="Manombo Tanemena"/>
        <s v="Zandroe"/>
        <s v="Tanandava-Marolinta"/>
        <s v="Marolinta-Beloha"/>
        <s v="Tanandava Nord"/>
        <s v="Maromby"/>
        <s v="Andranondambo"/>
        <s v="AMBOHITSARABE"/>
        <s v="SAKEVO"/>
        <s v="Marotsiraky"/>
        <s v="Marovandrika (Centre)"/>
        <s v="Firifiry"/>
        <s v="Marovato"/>
        <s v="Belitsake"/>
        <s v="Soramena"/>
        <s v="Mantara"/>
        <s v="Nosy Ala"/>
        <s v="Betaimborake"/>
        <s v="Ankororoke"/>
        <s v="Ambanikily Volankira"/>
        <s v="Andranonagnombe"/>
        <s v="AMBENDRANA"/>
        <s v="NAMALAZA II"/>
        <s v="MIANDRASOA"/>
        <s v="MAROVATO Centre"/>
        <s v="MAROVATO LAHABE"/>
        <s v="MITREAKE CENTRE"/>
        <s v="Akonatsy"/>
        <s v="Betaimbala Centre"/>
        <s v="Betaimbala Haut"/>
        <s v="Marabory"/>
        <s v="Maroviro centre"/>
        <s v="Sakoandroa"/>
        <s v="Marovitsika Sud"/>
        <s v="Masiaboay-Betioky Atsimo"/>
        <s v="Andranotakatse-Masiaboay"/>
        <s v="Bekily"/>
        <s v="Anjamena Nord"/>
        <s v="Anjamena Sud"/>
        <s v="Tanantsoa-Masiaboay"/>
        <s v="Ankamena"/>
        <s v="Ambatokapike Sud"/>
        <s v="Antararaty-Masiaboay"/>
        <s v="Marohira"/>
        <s v="Ankatrakatraka"/>
        <s v="Bevontake"/>
        <s v="Antavimalahay"/>
        <s v="Nosy Omby"/>
        <s v="Mahatsinjo-Masianaka"/>
        <s v="Nosibe Masianaka"/>
        <s v="Matanga"/>
        <s v="Mandritsara"/>
        <s v="Marozano"/>
        <s v="Nosifeno"/>
        <s v="Bekofafa"/>
        <s v="Andranomamy"/>
        <s v="Ambohimandroso"/>
        <s v="Ambararata Ouest"/>
        <s v="Bedona"/>
        <s v="Befangitsy"/>
        <s v="Andranomiteraky"/>
        <s v="Moroteza"/>
        <s v="Antanambao"/>
        <s v="Emita"/>
        <s v="Namohora (Ffg)"/>
        <s v="NANARENA BESAKOA"/>
        <s v="TANANDAVA-NANARENA BESAKOA"/>
        <s v="Besakoa-Nikoly"/>
        <s v="Ankilimigahy"/>
        <s v="Namoia"/>
        <s v="Anatsosa Centre"/>
        <s v="Tampototse Nord"/>
        <s v="Ambovotoka"/>
        <s v="Katsakala"/>
        <s v="Maroakalo"/>
        <s v="Tampototse Maromainte"/>
        <s v="Tanamiary"/>
        <s v="Behalomboro"/>
        <s v="Fenoarivo-Ranobe"/>
        <s v="Ranomena"/>
        <s v="Lalangy"/>
        <s v="Tanambao Matirano"/>
        <s v="Matavay"/>
        <s v="Vohitrapanefy"/>
        <s v="Ranotsara Sud"/>
        <s v="ANDOHARANO-SAKAMAHILY"/>
        <s v="SAKAMAHILY OUEST"/>
        <s v="AMBINANY SUD"/>
        <s v="AMBARARATA NORD(Antanimainty)"/>
        <s v="MAHASOA NORD"/>
        <s v="Tsiboraky"/>
        <s v="Besaihatsy"/>
        <s v="Antamotamo-Sakamasay"/>
        <s v="Sakamasay-Sakamasay"/>
        <s v="Belalitsy"/>
        <s v="Saloambany"/>
        <s v="Ankilimanara"/>
        <s v="Ankilimitraha"/>
        <s v="Ambahy Ianakafy"/>
        <s v="Ankilibe Vahavola"/>
        <s v="Manindra"/>
        <s v="Befasy"/>
        <s v="Sandravinany"/>
        <s v="Ankazomanga"/>
        <s v="Manja"/>
        <s v="Tsilimbe Marofoty"/>
        <s v="Ianakafy"/>
        <s v="Analaisoke"/>
        <s v="Agnorike"/>
        <s v="Ambovo"/>
        <s v="Analaisoke I"/>
        <s v="Andramanera II"/>
        <s v="Ankilemiharatsy"/>
        <s v="Ankiletelo"/>
        <s v="Ankiliabo Sud"/>
        <s v="Ankliabo Nord"/>
        <s v="Belindo"/>
        <s v="Montombe II"/>
        <s v="Savilava"/>
        <s v="Tsiamaly Ankilemamy"/>
        <s v="Zantelo"/>
        <s v="Sihanamitohy I"/>
        <s v="Analahova"/>
        <s v="Mantsake"/>
        <s v="Soakibany"/>
        <s v="Ambodizoho"/>
        <s v="Beroanga"/>
        <s v="Soamanonga II"/>
        <s v="Ambatomainty"/>
        <s v="Besakoa-Soamanonga"/>
        <s v="Vohipotsy II"/>
        <s v="Vohipotsy IV"/>
        <s v="Ihela Bas"/>
        <s v="Ihela Haut"/>
        <s v="Betampy"/>
        <s v="Bevinda"/>
        <s v="Soamanova"/>
        <s v="Bemoky"/>
        <s v="Eboro"/>
        <s v="VOHIBOANJO"/>
        <s v="NANARENA"/>
        <s v="Anantaka"/>
        <s v="Sarisambo"/>
        <s v="Sakara Haut"/>
        <s v="Tanambe"/>
        <s v="Vohibary"/>
        <s v="Maroloha"/>
        <s v="Ambatomena-Tanandava Sud"/>
        <s v="Antsovela SAMA"/>
        <s v="Tangainony"/>
        <s v="Toliara ville"/>
        <s v="Betania"/>
        <s v="Tomboarivo"/>
        <s v="Tongobory"/>
        <s v="Vohibe"/>
        <s v="Ihotry"/>
        <s v="Andraketa"/>
        <s v="Fenoatsimo"/>
        <s v="Antevamena"/>
        <s v="Fenoarivo"/>
        <s v="Ambohitraivo"/>
        <s v="Tragnomaro"/>
        <s v="Ankazoabo-Tranomaro"/>
        <s v="Tsilamaha"/>
        <s v="Ampilira"/>
        <s v="Andranohereke"/>
        <s v="Antsolo"/>
        <s v="Saboko"/>
        <s v="Vohibola"/>
        <s v="Rerango"/>
        <s v="Andamilamy"/>
        <s v="Befamata"/>
        <s v="Barabay"/>
        <s v="Masombaha"/>
        <s v="Agnirinihamba"/>
        <s v="Tsimilafike"/>
        <s v="Ankilisinao"/>
        <s v="Natomasy"/>
        <s v="Angirazato"/>
        <s v="Agnalalava"/>
        <s v="Andraseky"/>
        <s v="Tranovaho"/>
        <s v="Betaimbolo"/>
        <s v="Savilintotse"/>
        <s v="Agnanademby"/>
        <s v="Lavanono"/>
        <s v="Soamanitra"/>
        <s v="Ambazoamiloloke"/>
        <s v="Ankilevalo I"/>
        <s v="Ankilevalo II"/>
        <s v="Vavaomby"/>
        <s v="Tsianofana"/>
        <s v="Vohilava"/>
        <s v="Tsararano(Com Tsiately)"/>
        <s v="Anambotaka II"/>
        <s v="Avaradrova"/>
        <s v="Tsihombe I"/>
        <s v="Tsihombe II"/>
        <s v="Sakamasy"/>
        <s v="Zafindravala"/>
        <s v="Marohira Sud"/>
        <s v="Anjatsampa"/>
        <s v="Antaranta"/>
        <s v="Ankorakosy"/>
        <s v="Antsakoantsoa"/>
        <s v="Bevazavo"/>
        <s v="Mahendrake"/>
        <s v="Marohira Nord"/>
        <s v="Tsindambo"/>
        <s v="Tsivorikely"/>
        <s v="TSIKOLAKY"/>
        <s v="MAHABO"/>
        <s v="BELIO HAUT"/>
        <s v="ANKILIMILOPAKY"/>
        <s v="ANJATSOA"/>
        <s v="MATSINJO"/>
        <s v="TANAMBAO TSIRANDRANY CENTRE"/>
        <s v="Tsivory"/>
        <s v="Marovotry"/>
        <s v="Sahafero"/>
        <s v="Manasoa-Vangaindrano"/>
        <s v="Tsipanga Ii"/>
        <s v="Tanimena"/>
        <s v="Vangaindranobe"/>
        <s v="Marondonaky"/>
        <s v="Vohiboreka"/>
        <s v="Anara"/>
        <s v="Maroangira"/>
        <s v="Nangananga"/>
        <s v="Volotara"/>
        <s v="Mandatsa"/>
        <s v="Vohilava(Com Vohilava manampatra)"/>
        <s v="Karimbary(Com Vohilengo)"/>
        <s v="Vohilengo"/>
        <s v="Vohimalaza"/>
        <s v="Sarilasy"/>
        <s v="Nosoa"/>
        <s v="Vohimanga I"/>
        <s v="Mahatalaky"/>
        <s v="Besamata"/>
        <s v="Soakijaha"/>
        <s v="Vohimanga Centrale"/>
        <s v="Ratsimanahy (Vohimary)"/>
        <s v="Vohitsidy"/>
        <s v="Iandraina"/>
        <s v="Tsararano(Com Vohimasy-Farafangana)"/>
        <s v="Vohipaho"/>
        <s v="Bevahy"/>
        <s v="Ambatofotsy I"/>
        <s v="Ambovororo"/>
        <s v="Andranomilitse Ankilimasy"/>
        <s v="Ankilimanintsy"/>
        <s v="Bebalahazo"/>
        <s v="Belolo Antanimena"/>
        <s v="Kindria"/>
        <s v="Soamanonga Ouest"/>
        <s v="Vohitromby Centre"/>
        <s v="Iaborano"/>
        <s v="Analavaky"/>
        <s v="Antevongo"/>
        <s v="Masitafika"/>
        <s v="Ankadibe"/>
        <s v="ANKILIMALAINDIO"/>
        <s v="VAHAVOLA"/>
        <s v="AMPASIMPOLAKA"/>
        <s v="BERANO GALLOIS"/>
        <s v="ROMBAZY"/>
        <s v="BEVALA DP"/>
        <s v="TARANTSOA ANKITRY"/>
        <s v="ANKILEISOKE"/>
        <s v="ANARABAJY"/>
        <s v="RANOMAINTY"/>
        <s v="ANKIRIKIRY"/>
        <s v="Ankilimanitsy"/>
        <s v="TSARIMPIOKY"/>
        <s v="BELAY"/>
        <s v="Tranomaro"/>
        <s v="Beza"/>
        <s v="Befihamy"/>
        <s v="Eramamy"/>
        <s v="AMBANIZA"/>
        <s v="AMBASY CENTRE"/>
        <s v="AMBASY TANAMBAO"/>
        <s v="AMBOASARY CENTRE"/>
        <s v="AMBOLOVOHITSE TANAMIARY"/>
        <s v="AMBOLOVOHITSY"/>
        <s v="ANDALOA BEDARO"/>
        <s v="ANDRANOGISO"/>
        <s v="ANDROMASY"/>
        <s v="ANJAHAMAVELO II"/>
        <s v="ANKARAHARA AMANDA"/>
        <s v="ANKARAHARA NONOKY"/>
        <s v="ANKASIKITOKA"/>
        <s v="ANTSIVAVY"/>
        <s v="BEBARIMO"/>
        <s v="BEDARO"/>
        <s v="BEVOANGY"/>
        <s v="EZAKA"/>
        <s v="HOVOTSOTSY"/>
        <s v="LAVAKAPAHA"/>
        <s v="LOVASOA BEHABOBO"/>
        <s v="MANANDAVENOKA"/>
        <s v="MAROAIKY II"/>
        <s v="MAROMENA"/>
        <s v="MAROMENA I"/>
        <s v="MASIABIBY"/>
        <s v="SOARAVINA LIMBY"/>
        <s v="SPSM"/>
        <s v="TARANTY BAS"/>
        <s v="TARANTY-AMBENDRA"/>
        <s v="ECOLE COMMUNAUTAIRE ETSILA"/>
        <s v="IKOTOALABAS"/>
        <s v="ANTANIMIHERY"/>
        <s v="AMBAZOAMAZAVA"/>
        <s v="AMPAIPAIKA"/>
        <s v="LAMITIHY BELAZA"/>
        <s v="SATRIE"/>
        <s v="AMBANIKILY NORD"/>
        <s v="AMPASEMAHASOA"/>
        <s v="ANKAZOABO II"/>
        <s v="BELAY MAROLAVA"/>
        <s v="ANTSOTRY FALIAKONDRO"/>
        <s v="TSIFAHERA"/>
        <s v="HABOHABONORD"/>
        <s v="AMBORY I"/>
        <s v="MITREAKY"/>
        <s v="VAZOA"/>
        <s v="AMBOKOKE"/>
        <s v="BEANIKEI"/>
        <s v="NISOROGNA"/>
        <s v="MONTIFENO"/>
        <s v="LAMITIHY BELANKY"/>
        <s v="ANDASARY"/>
        <s v="ANKALITRANDRAKE"/>
        <s v="TSIMANANKIARAKY"/>
        <s v="MAROMAINTY"/>
        <s v="TSINGIVILAHY"/>
        <s v="ANTETEBEY"/>
        <s v="AMBONDRO ANATIROVA"/>
        <s v="TALAKY"/>
        <s v="ETSOHA ANKILIROMOTSY"/>
        <s v="MAHALOTO"/>
        <s v="ANKILIMAROALOKA"/>
        <s v="MIARINTSOA"/>
        <s v="ANKOROROKA MAHAZOSOA"/>
        <s v="ANTSAKOAMAMY"/>
        <s v="TONDROKE"/>
        <s v="MITSANGANA"/>
        <s v="ANTSEKY NORD"/>
        <s v="TOBY MAHAVELO"/>
        <s v="ANTSOMONTSOY"/>
        <s v="ANKILIHOGO HAUT"/>
        <s v="ANKIRAVA"/>
        <s v="ANDRAMANERA"/>
        <s v="ANJAMARO"/>
        <s v="AMBOASARY I"/>
        <s v="VAHAVOLA ANKILESOA"/>
        <s v="BEABO"/>
        <s v="ANKILIABO NORD"/>
        <s v="ANDROHONDROHO"/>
        <s v="BELINDO/ANALAHOVA"/>
        <s v="ANKILIMANINTSY II"/>
        <s v="MAROPIA AMPISOPISO"/>
        <s v="TSEREDREO"/>
        <s v="SOATAMEA MORAFENO"/>
        <s v="TANAMBAO ANKILIFALY"/>
        <s v="SOATSIFA"/>
        <s v="TATY"/>
        <s v="ANTANAMIARE ANKILITELO"/>
        <s v="BEVATO"/>
        <s v="AMPAMOLORA"/>
        <s v="ANTRANOTSIEFA"/>
        <s v="ANJEKY ENIKONTY"/>
        <s v="MAROFOTY AVARADROVA"/>
        <s v="ANDOHALAMBO"/>
        <s v="ANDAMBOMITRO"/>
        <s v="ANJEKY AMBOROKE"/>
        <s v="AMBITIKE I"/>
        <s v="AGNANATSAKOA SOATAMEA"/>
        <s v="MAROHO CENTRE"/>
        <s v="AMBITIKE II"/>
        <s v="ANKARA"/>
        <s v="TANANDAVA MATOMBOLY"/>
        <s v="SOALIOKE"/>
        <s v="BELITSAKY"/>
        <s v="SOAMBOTRY"/>
        <s v="ANALAMANOY"/>
        <s v="ANDOHATRAGNO MAHAVONJY"/>
        <s v="ANJEKY BEIEVOTSE"/>
        <s v="ANKATRAFAIMAZAVA"/>
        <s v="ANKILEROE MAROLAVA"/>
        <s v="BEANGEA"/>
        <s v="EDABA TANANTSOA"/>
        <s v="IMONGY AMPIHAMY"/>
        <s v="LAVANDRANDRA"/>
        <s v="MAHATOMOTSY"/>
        <s v="MIANDRA"/>
        <s v="ECOLE COMMUNAUTAIRE SIHANAMITOHY MAROLAVA II"/>
        <s v="AMBOROKAHAKE"/>
        <s v="TSITEKE HAZOLAVA"/>
        <s v="MAROVATO BEFENO"/>
        <s v="NAMALAZA I"/>
        <s v="ECOLE COMMUNAUTAIRE ANKISAKISAKE"/>
        <s v="TSIMANARAKE"/>
        <s v="ANKOROKOROKE"/>
        <s v="BEVOTRY"/>
        <s v="BESAKOA BAS"/>
        <s v="JAFARO"/>
        <s v="LAGNANE"/>
        <s v="TSIABETSAKA"/>
        <s v="ANDABOLY ANTANIMORA SUD"/>
        <s v="ANKARANANIVO"/>
        <s v="ANKILIMIARY"/>
        <s v="ANKILIMIANDRA"/>
        <s v="BEHENA HAUT"/>
        <s v="ANDRAMBAROTRA"/>
        <s v="BEKOPIKE SUD"/>
        <s v="BEKOPIKE NORD"/>
        <s v="ANKILIMILOPAKE"/>
        <s v="ANKILEMASY TEDO TSIMIALONJAFY"/>
        <s v="AMBINANY I"/>
        <s v="AMPANAPERANDROTSY I"/>
        <s v="AMPANIHY-HAUT"/>
        <s v="AMPOZY ANKARAMANOY"/>
        <s v="ANDROTOKA"/>
        <s v="ANKALIRANO/BESATRA"/>
        <s v="ANKILIFALY"/>
        <s v="BEMAMBA AMPOZY"/>
        <s v="BETSIRIRY"/>
        <s v="TAFIANAMPELA"/>
        <s v="Androvamare"/>
        <s v="ECOLE COMMUNAUTAIRE ANDEMBY"/>
        <s v="ECOLE COMMUNAUTAIRE BETSINTSY"/>
        <s v="ANIVORANO BEANGILY"/>
        <s v="BEANGILY"/>
        <s v="AMBATOFOTSY"/>
        <s v="ECOLE COMMUNAUTAIRE ANTSATRA"/>
        <s v="AMPIRIKY MAROVAHO"/>
        <s v="BEVITIKY"/>
        <s v="BEVOSITRA"/>
        <s v="AMBAROABO"/>
        <s v="ANKERAKERAKY"/>
        <s v="ANANAKARAKY"/>
        <s v="ANDRANOMIHERY"/>
        <s v="ECOLE COMMUNAUTAIRE ANTSAHA"/>
        <s v="BEKITRO"/>
        <s v="ECOLE COMMUNAUTAIRE VOHITSOSY"/>
        <s v="AMBATO"/>
        <s v="AFONDRIAMBITA"/>
        <s v="ECOLE COMMUNAUTAIRE AMBOASARY"/>
        <s v="BEMOITA"/>
        <s v="ECOLE COMMUNAUTAIRE ANDRANOFOTY"/>
        <s v="ECOLE COMMUNAUTAIRE SOASERAGNA"/>
        <s v="ECOLE COMMUNAUTAIRE SOALOKE"/>
        <s v="BELINDO MAHASOA"/>
        <s v="ANDRANOMAVO I"/>
        <s v="ANDRANOMAVO II"/>
        <s v="MIARY_TOBY"/>
        <s v="ANDAMOTIGNABO"/>
        <s v="ANTSAKOAMIARY"/>
        <s v="ECOLE COMMUNAUTAIRE ANARABE"/>
        <s v="AMBATOMAINTY ANIVORANO"/>
        <s v="ECOLE COMMUNAUTAIRE ANTSOSA"/>
        <s v="ECOLE COMMUNAUTAIRE ANKILIMILOPAKY"/>
        <s v="ECOLE COMMUNAUTAIRE AMBONAIVO"/>
        <s v="ANATO"/>
        <s v="ECOLE COMMUNAUTAIRE MAIKANDRO"/>
        <s v="ANTANAMARY"/>
        <s v="ECOLE COMMUNAUTAIRE AMPATIOLOTSE"/>
        <s v="ANTSAKOAMALANGY"/>
        <s v="ANALALAVA HAUT"/>
        <s v="AMBORINABO"/>
        <s v="MIRIA"/>
        <s v="ECOLE COMMUNAUTAIRE BELIO_HAUT"/>
        <s v="TSIANDRORA"/>
        <s v="ECOLE COMMUNAUTAIRE BESANDRAHA"/>
        <s v="ANJA NORD"/>
        <s v="ANALAMAHAVELO"/>
        <s v="ANTABOARA HAUT"/>
        <s v="TAMBAHY"/>
        <s v="ECOLE COMMUNAUTAIRE AMBARARATA OUEST"/>
        <s v="AMBALANOSY"/>
        <s v="ANKARANABO_NORD"/>
        <s v="MORAFENO HAUT"/>
        <s v="AMBOHITSE MORAFENO"/>
        <s v="ECOLE COMMUNAUTAIRE FENOARIVO II"/>
        <s v="IABOMARY II"/>
        <s v="ANDRANOMANINTSY II"/>
        <s v="TANAMBAO TSIRANDRANY"/>
        <s v="VOHIPENO"/>
        <s v="BEKILY I"/>
        <s v="BEKILY II"/>
        <s v="ECOLE COMMUNAUTAIRE BEFANGITSY"/>
        <s v="ECOLE COMMUNAUTAIRE MAROFANY"/>
        <s v="MITSINJO I"/>
        <s v="ECOLE COMMUNAUTAIRE ANTSELY TOBY"/>
        <s v="ANKANANAVY"/>
        <s v="ANTSELIBE"/>
        <s v="AMBATOMAINTY SAKOAMBELOMY"/>
        <s v="AMBATOSOLA"/>
        <s v="BEVATO II"/>
        <s v="MANAKOLIVA"/>
        <s v="ESAKA MAHABO"/>
        <s v="AMBAHITA"/>
        <s v="SOARAVY"/>
        <s v="MAROVIRO"/>
        <s v="EPP TOLIARA CENTRE II"/>
        <s v="EPP TOLIARA CENTRE I"/>
        <s v="ANJANTSOA"/>
        <s v="ECOLE COMMUNAUTAIRE AMBOHITSY BEMAHATAZA"/>
        <s v="ECOLE COMMUNAUTAIRE ANDARO"/>
        <s v="ECOLE COMMUNAUTAIRE ANKILIMANINTSY"/>
        <s v="ECOLE COMMUNAUTAIRE ANKILISOA SOMANGY"/>
        <s v="ECOLE COMMUNAUTAIRE ANKILIVAHO"/>
        <s v="ECOLE COMMUNAUTAIRE BEKIJOLY"/>
        <s v="ECOLE COMMUNAUTAIRE BEVATO CENTRE"/>
        <s v="ECOLE COMMUNAUTAIRE FENOARIVO SUD"/>
        <s v="ECOLE COMMUNAUTAIRE SAKOAMPOLO"/>
        <s v="ECOLE COMMUNAUTAIRE TEMAGNALO"/>
        <s v="AMBORIMAHASOA"/>
        <s v="MAROVORO I"/>
        <s v="SARERIAKE"/>
        <s v="AMPIHAMY"/>
        <s v="TRAMBA"/>
        <s v="BETINDRIA"/>
        <s v="ANTANIMENA SUD"/>
        <s v="ANDRASEKE SUD"/>
        <s v="ANANAKOFANDRA SUD"/>
        <s v="ANKAMBOA"/>
        <s v="AMBOHIMAGNARE"/>
        <s v="ANALALAVA"/>
        <s v="AKILETOKA"/>
        <s v="ANJATOVO"/>
        <s v="TSIMAITO-AMBANY"/>
        <s v="AMBOLITSIFA"/>
        <s v="TSIMAITO"/>
        <s v="AMBOROGNEOKE"/>
        <s v="TANANDAVA SUD"/>
        <s v="TRATRAVAKY"/>
        <s v="ANDOMBIRY"/>
        <s v="ANJAPOTY"/>
        <s v="ANJANDAVO"/>
        <s v="ECOLE COMMUNAUTAIRE ANKILISINAO"/>
        <s v="NAMANDRIHA"/>
        <s v="AFONDRAVOATSY NORD"/>
        <s v="ANKILIMILALY"/>
        <s v="ANKAZOMAGNITSE"/>
        <s v="ANJAMIKORY"/>
        <s v="NIFANITSE"/>
        <s v="AGNANAKIRIHITSE"/>
        <s v="BELOHA CENTRE"/>
        <s v="MAHILIVAZA"/>
        <s v="ZAMBE"/>
        <s v="ECOLE COMMUNAUTAIRE ANTANIMENA"/>
        <s v="VAREMARO"/>
        <s v="ANTREAKE"/>
        <s v="KIRIMOSA"/>
        <s v="ANDRANOHAZOKILY"/>
        <s v="SIHANAKAMPAHA"/>
        <s v="SATRAGNARIVO"/>
        <s v="MONTO"/>
        <s v="ANKILIVOANGY"/>
        <s v="ECOLE COMMUNAUTAIRE AMBOROTSE"/>
        <s v="ANDRANOHAZONAILY"/>
        <s v="ANKILIBEHARA"/>
        <s v="ANDRAMBALY"/>
        <s v="ANDRANOLAVA-NORD"/>
        <s v="TSIMILOFO"/>
        <s v="ANTSAKOAMIAVOTSE"/>
        <s v="MAROBASIA-SUD"/>
        <s v="MAROBASIA-NORD"/>
        <s v="ANALALAVA-NORD"/>
        <s v="ANTSAKOAMITONDRITSE NORD"/>
        <s v="ECOLE COMMUNAUTAIRE ANTSAGNIRA"/>
        <s v="ANTANIMENA-NORD"/>
        <s v="MAROMASO"/>
        <s v="ANKIBAINIMAY"/>
        <s v="MAHENY"/>
        <s v="KEREMBOLA"/>
        <s v="MAHENIMBE"/>
        <s v="ANKILIANAGNO"/>
        <s v="BEHOROFA"/>
        <s v="BOBOKE"/>
        <s v="VONDROTE"/>
        <s v="ANKILIVAHARY"/>
        <s v="SIHANADROTSY"/>
        <s v="AGNALAMIHOATSE"/>
        <s v="ANTSIFITSE"/>
        <s v="ANDRANOHERIKE"/>
        <s v="TRANOROA"/>
        <s v="TSOTSO"/>
        <s v="KOBOARY"/>
        <s v="JONTANY"/>
        <s v="AMBATOMASY"/>
        <s v="BEBORODOKE"/>
        <s v="ECOLE COMMUNAUTAIRE AMBAZOAMILOLOKE"/>
        <s v="ECOLE COMMUNAUTAIRE ANKILISOA"/>
        <s v="ECOLE COMMUNAUTAIRE ANKILIVALO MANDROSO"/>
        <s v="ANAFONDRAVOAY"/>
        <s v="ANALAMARY CENTRE"/>
        <s v="ANKILIMALANGY II"/>
        <s v="ANKILISANA"/>
        <s v="ANKILIMALANGY I"/>
        <s v="BEVENTIHAZO"/>
        <s v="IRITSOKA"/>
        <s v="MORARANO"/>
        <s v="ECOLE COMMUNAUTAIRE FIADANA"/>
        <s v="ECOLE COMMUNAUTAIRE IFATAKA"/>
        <s v="ECOLE COMMUNAUTAIRE NAGNARENA"/>
        <s v="ECOLE COMMUNAUTAIRE SAHENY"/>
        <s v="ECOLE COMMUNAUTAIRE SAKALALY"/>
        <s v="ECOLE COMMUNAUTAIRE TSIHOTOY"/>
        <s v="Namanona"/>
        <s v="Analapatsy II"/>
        <s v="Ambarobe"/>
        <s v="ANALAPATSY"/>
        <s v="MAROAKY"/>
        <s v="ANDRANOBORY"/>
        <s v="ANDRODAVA"/>
        <s v="RANOPISO"/>
        <s v="ANDREBASY"/>
        <s v="BERONGO"/>
        <s v="Ebobaky"/>
        <s v="Tsiatoro"/>
        <s v="BEFENO"/>
        <s v="ANDRAMAKA"/>
        <s v="ANJEKOVA"/>
        <s v="ANKAZOFOTSY I"/>
        <s v="ANDRANARA"/>
        <s v="BEVILANY"/>
        <s v="NOSIBE"/>
        <s v="ESALO"/>
        <s v="AMPASY NAHAMPONA"/>
        <s v="MANGAIKY"/>
        <s v="AMBANIALA"/>
        <s v="AMBALALANGY"/>
        <s v="AMBINANIBE"/>
        <s v="AMBINANIKELY"/>
        <s v="AMBOAVOLA"/>
        <s v="AMBOTABE"/>
        <s v="AMPAMAKIAMBATO"/>
        <s v="AMPASY"/>
        <s v="AMPASY-MORAFENO"/>
        <s v="AMPIKAZO"/>
        <s v="ANALAMBENDRANA"/>
        <s v="ANALANDRAVY"/>
        <s v="ANDASIBE"/>
        <s v="ANDOHAVONDRO"/>
        <s v="ANDRAKARAKA"/>
        <s v="ANDRAMANAKA"/>
        <s v="ANDREVAVO"/>
        <s v="ANDRIAMBE"/>
        <s v="ANDRIVORY"/>
        <s v="ANDROANGALAVA"/>
        <s v="ANDROTSY AGNAPOLY"/>
        <s v="ANENA"/>
        <s v="ANKA MAROMAGNIRY"/>
        <s v="ANKARIA"/>
        <s v="ANKARIERA"/>
        <s v="ANKAZOFOTSY II"/>
        <s v="ANKAZOMALAGNY"/>
        <s v="ANKOTRAKY"/>
        <s v="ANTAHOVARY"/>
        <s v="BEANDRY"/>
        <s v="BEROTSY"/>
        <s v="CENTRE II"/>
        <s v="ELOVOKY AMPANGALAKONGO"/>
        <s v="EMAGNEVY"/>
        <s v="EMONTY"/>
        <s v="ENAGNORASA"/>
        <s v="ENATO"/>
        <s v="ESOHIHY MITSINJO"/>
        <s v="FARAFARA-VATAMBE"/>
        <s v="IABOAKOHO"/>
        <s v="ITALY"/>
        <s v="ITAPERA"/>
        <s v="LAFITSINANANA"/>
        <s v="LOHALOVOKY"/>
        <s v="MANANARA II"/>
        <s v="MANDROMODROMOTRA"/>
        <s v="MANGIBE"/>
        <s v="MANISY"/>
        <s v="MAROVATOBE"/>
        <s v="SOANIERANA"/>
        <s v="SOAVARY"/>
        <s v="TANANOLO"/>
        <s v="TAVIALA"/>
        <s v="TORONDREHY"/>
        <s v="TSANORIHA"/>
        <s v="TSIHAROA"/>
        <s v="TSIMELAHY"/>
        <s v="VINANINTSAHA"/>
        <s v="ECOLE COMMUNAUTAIRE AMBINAKY ENAKALA"/>
        <s v="ECOLE COMMUNAUTAIRE ANTSIFOKONINA"/>
        <s v="ECOLE COMMUNAUTAIRE BERAKETA"/>
        <s v="ECOLE COMMUNAUTAIRE BETSIPANGA"/>
        <s v="ECOLE COMMUNAUTAIRE MANGATSIAKY"/>
        <s v="ECOLE COMMUNAUTAIRE MORAFENO"/>
        <s v="ECOLE COMMUNAUTAIRE MORAFENO NORD"/>
        <s v="ECOLE COMMUNAUTAIRE MORAFENO-SUD"/>
        <s v="ISAKA-IVONDRO"/>
        <s v="MANDISO CENTRE"/>
        <s v="ANDRARAKE"/>
        <s v="FAUX CAP"/>
        <s v="KATRAVITRA"/>
        <s v="ANOVY SUD"/>
        <s v="BETAIMBORAKA"/>
        <s v="MAROBE FAUX CAP"/>
        <s v="BENONOKA"/>
        <s v="ANJATELO"/>
        <s v="TSITINDROKA"/>
        <s v="AMBOTRY"/>
        <s v="TANAMANJARY"/>
        <s v="ANDAZA"/>
        <s v="ANDRANAGNOMBE"/>
        <s v="ANJABIHY"/>
        <s v="BEVORY NORD"/>
        <s v="ANDAY I"/>
        <s v="ANTAVY NORD"/>
        <s v="ANJAMPALY"/>
        <s v="ANKATAMBOALAVO"/>
        <s v="BEVARO SORAMENA"/>
        <s v="BAVARO BESENA"/>
        <s v="ANTENY EST"/>
        <s v="ANTANAMIARY"/>
        <s v="ANDAVAKIO"/>
        <s v="BERENY"/>
        <s v="AMBOHITSE"/>
        <s v="MAROAFO"/>
        <s v="AMBARO SUD"/>
        <s v="ANANAKIRIHITSE"/>
        <s v="ANTANAMALANGY"/>
        <s v="ANTARITARIKA CENTRE"/>
        <s v="ANDAGOA NORD"/>
        <s v="AMBASIA I"/>
        <s v="ANAKANIA"/>
        <s v="MAROHIRA AMBORY"/>
        <s v="DORISA"/>
        <s v="AMBOVO l"/>
        <s v="ANKILITELOMISAVARA"/>
        <s v="AMBOVO NORD"/>
        <s v="ANTANA"/>
        <s v="AMBALIANDRO"/>
        <s v="ANINAKY II"/>
        <s v="ANKORITSIKE"/>
        <s v="TROKAGNOMBE"/>
        <s v="AMBAROANINTSY"/>
        <s v="ANKILILIRY"/>
        <s v="MAROHATAKE"/>
        <s v="ISINGO"/>
        <s v="MAROTANA"/>
        <s v="ANTSOVELA"/>
        <s v="ANJAMPANANIKA"/>
        <s v="TSIHOMBE CENTRE II"/>
        <s v="BEAVOHA NORD"/>
        <s v="TSIHOMBE CENTRE-I"/>
        <s v="TSIANOHA"/>
        <s v="MAKIFAHA"/>
        <s v="ANTSANDRAHA"/>
        <s v="ANALAISOKA"/>
        <s v="ANDRATINO"/>
        <s v="AFONDRALAMBO EVAZY"/>
        <s v="ANKARAMAROFOTY"/>
        <s v="TAMONTO OUEST"/>
        <s v="MAROFOHY CENTRE"/>
        <s v="BEVALA TAMBANDITSE"/>
        <s v="SIHANADAVA"/>
        <s v="BEROPITEKE"/>
        <s v="BELEMBOKE"/>
        <s v="TOMILY"/>
        <s v="SENORO"/>
        <s v="ANKILIBE"/>
        <s v="BEMOSESY CENTRE"/>
        <s v="BEVARO I"/>
        <s v="ECOLE COMMUNAUTAIRE FANAMBOSA"/>
        <s v="MAHATSANDRY"/>
        <s v="ECOLE COMMUNAUTAIRE LAHITSITELY"/>
        <s v="ECOLE COMMUNAUTAIRE ANDRAPIDRAPIKE"/>
        <s v="ECOLE COMMUNAUTAIRE HORINJA"/>
        <s v="ANKEHEO"/>
        <s v="KILIBORY"/>
        <s v="KILEMIRIMBO CENTRE"/>
        <s v="EMINA"/>
        <s v="KALANGASA"/>
        <s v="KILILIGNISA"/>
        <s v="EVANGA"/>
        <s v="TSIANDRIONA-SUD"/>
        <s v="KILIRO"/>
        <s v="ANTSAGNIRA"/>
        <s v="BESELY-NORD"/>
        <s v="AGNARAMAIKY"/>
        <s v="SIHANAMITOHY CENTRE"/>
        <s v="BESASAVY SUD"/>
        <s v="ANKILETOKA I"/>
        <s v="ANTANIMAVO"/>
        <s v="ECOLE COMMUNAUTAIRE REAMPOTOTSE"/>
        <s v="EPP GOROGODA"/>
        <s v="ZOENARIVO BEVALA"/>
        <s v="ITAMPOLO"/>
        <s v="AMBOVONDREDADA"/>
        <s v="AMBALAVATO CENTRE"/>
        <s v="BEFAMATA-BAS"/>
        <s v="BETIOKY"/>
        <s v="EKORITSIKE M"/>
        <s v="BEKILY-CENTRE"/>
        <s v="ECOLE COMMUNAUTAIRE EFOTY"/>
        <s v="ETSIFOHAVE"/>
        <s v="MASINDRANO"/>
        <s v="MOTOMBE"/>
        <s v="ECOLE COMMUNAUTAIRE BEKILY"/>
        <s v="MASIADILY"/>
        <s v="BEKAKO-NORD"/>
        <s v="REKOSO"/>
        <s v="AMPAMORITA"/>
        <s v="ECOLE COMMUNAUTAIRE ANDAVABIBY"/>
        <s v="ECOLE COMMUNAUTAIRE REMENGOKE"/>
        <s v="ANALAMATEZA-BAS"/>
        <s v="BEMANATEZA-HAUT"/>
        <s v="AMBONDROKILY"/>
        <s v="ANALAMATEZA-HAUT"/>
        <s v="BESAVAVY NORD"/>
        <s v="PINJO I"/>
        <s v="PINJO II"/>
        <s v="MATAVE NORD"/>
        <s v="ANTANAMAEVA"/>
        <s v="MAROHOLA"/>
        <s v="TRATRIOTSE-KANDE"/>
        <s v="MITSORIAKE SUD"/>
        <s v="AMBATOVAKY-HAUT"/>
        <s v="AMPIHA"/>
        <s v="ABC DOMINO Belitsaka"/>
        <s v="BESALY BAS"/>
        <s v="ANTSEVASEVA ANKILIMALANGE"/>
        <s v="BEVIRO"/>
        <s v="EJEDA"/>
        <s v="BEKINAGNA"/>
        <s v="BELAMOTY"/>
        <s v="BEAVAKE I"/>
        <s v="ABC DOMINO Ankilibory"/>
        <s v="TRATRIOTSE-BAS"/>
        <s v="ANJAMIVARO"/>
        <s v="AMBATOMAINTY ANAVIAVY"/>
        <s v="ECOLE COMMUNAUTAIRE TAOLAMBOSITRA"/>
        <s v="SATRAPOTSY MILANJA"/>
        <s v="TALIMBOLA"/>
        <s v="ECOLE COMMUNAUTAIRE ANKILIMIDEGA"/>
        <s v="ECOLE COMMUNAUTAIRE BESELY"/>
        <s v="BELAMOTY SUD"/>
        <s v="BEHOMBY"/>
        <s v="SATRAPOTSY HAUT"/>
        <s v="ANKILINDREHOZOKE"/>
        <s v="ANKILIFOLO"/>
        <s v="AMBATOBE"/>
        <s v="ECOLE COMMUNAUTAIRE SAKIVE"/>
        <s v="AMBATOVAKY CENTRE"/>
        <s v="BELAMOTY NORD"/>
        <s v="BELOLO-BAS"/>
        <s v="HABOKE"/>
        <s v="ANKILIMAMONDRO"/>
        <s v="BETONAKE"/>
        <s v="GOGOGOGO"/>
        <s v="MAROFOTOTSE"/>
        <s v="ANDRANOMASY HAUT"/>
        <s v="BEAMPEMBA"/>
        <s v="EVOVO-NORD"/>
        <s v="ANALAPANGITSY"/>
        <s v="KOTOVOGNE"/>
        <s v="AMBATOKAPEKE VOHITANY"/>
        <s v="SAKOANABO BAS"/>
        <s v="ECOLE COMMUNAUTAIRE ANKILIMANITSY CENTRE"/>
        <s v="ANIVORANO-I"/>
        <s v="AGNENA SUD"/>
        <s v="ECOLE COMMUNAUTAIRE ANKILIMASY"/>
        <s v="ECOLE COMMUNAUTAIRE ANTANANONDATY"/>
        <s v="ECOLE COMMUNAUTAIRE ANKILIABO"/>
        <s v="SETA-II"/>
        <s v="AMBATOFOTSY-II"/>
        <s v="ECOLE COMMUNAUTAIRE ANDRANOMOLITSE HAUT"/>
        <s v="AMBATOKAPEKE EJEDA"/>
        <s v="ANKILEMALANGE"/>
        <s v="BETSINEFO ANDRANOMIBOA"/>
        <s v="AGNENA CENTRE"/>
        <s v="BEVAHY HAUT"/>
        <s v="BETEZA BAS"/>
        <s v="BEVARO FOTADREVO"/>
        <s v="FOTADREVO"/>
        <s v="ANKARANTIHY"/>
        <s v="AMBATOMITIKITSE"/>
        <s v="TRANOMBORO"/>
        <s v="AMBONIARIVO"/>
        <s v="BELINJO I"/>
        <s v="AMPANDRAMBE ANIVORANO"/>
        <s v="ECOLE COMMUNAUTAIRE SONJORANO"/>
        <s v="BEROY SUD"/>
        <s v="BELOBAKA NORD"/>
        <s v="ANAVOHA"/>
        <s v="BEROY NORD TANANDAVA"/>
        <s v="MORAFENO BEAMALO"/>
        <s v="BEAHITSE"/>
        <s v="ANTSARO"/>
        <s v="BEHAVANDRA III"/>
        <s v="ECOLE COMMUNAUTAIRE SAKOANDAHY"/>
        <s v="Irondro"/>
        <s v="Tanetibe"/>
        <s v="Antoetra"/>
        <s v="Vatovory"/>
        <s v="Andriamanalina"/>
        <s v="Andina"/>
        <s v="Ampasina"/>
        <s v="Tananomby"/>
        <s v="Ampiterena"/>
        <s v="Vohitraivo"/>
        <s v="Ambatomenaloha"/>
        <s v="Ambohitsoa"/>
        <s v="Soanierana Volazato"/>
        <s v="Ampahipeno"/>
        <s v="Ankorabe"/>
        <s v="Anovy"/>
        <s v="Soamandroso"/>
        <s v="Ivato Centre"/>
        <s v="Tsaingy"/>
        <s v="Ivony Firaisantsoa"/>
        <s v="Maintitondro"/>
        <s v="Soalazaina"/>
        <s v="Kianjavola"/>
        <s v="Ankazomasy Vazako"/>
        <s v="Namohona"/>
        <s v="BONGAVATO"/>
        <s v="Fangidraty"/>
        <s v="ANDRANOMANINTSY"/>
        <s v="AMBANINATO"/>
        <s v="ANTSEJEBY"/>
        <s v="BEFANTSIOLOTSY"/>
        <s v="TSIMANATEBOLY"/>
        <s v="ECOLE COMMUNAUTAIRE SOANAVELA"/>
        <s v="ANORAMBE"/>
        <s v="BONGATSARA"/>
        <s v="ANDOHARANOVELONA"/>
        <s v="IGARARANA"/>
        <s v="AMBAHONA"/>
        <s v="ANKAZOFOTSY"/>
        <s v="ANTANETIBE OUEST"/>
        <s v="ANTSAHAMAINA"/>
        <s v="MANANKASINA"/>
        <s v="MORARANOKELY"/>
        <s v="ECOLE COMMUNAUTAIRE MIANGOLABE"/>
        <s v="TALATA TSIMADILO"/>
        <s v="SOAVINARIVO"/>
        <s v="SOAMAHATAZANA"/>
        <s v="MAHABODO"/>
        <s v="AMBOHIBARY"/>
        <s v="AMBATOMAINTY-AMPETSAPETSA"/>
        <s v="AMBOHIMARINA"/>
        <s v="AMBONIATSIMO"/>
        <s v="ANTSAPANDRANO"/>
        <s v="FARAVOHITRA"/>
        <s v="SAMBAINA GARA"/>
        <s v="INDROAMITA"/>
        <s v="ANTOMBINANDRIANA"/>
        <s v="INANOTOANA"/>
        <s v="SOAMIAMPITA"/>
        <s v="KIANJANAKANGA"/>
        <s v="TSARAMODY AMBALAFENO"/>
        <s v="Mahabo Mananino"/>
        <s v="LOVASOA IABOMARY"/>
        <s v="Lohagisy"/>
        <s v="MAROPANAHY"/>
        <s v="Andranoboaka"/>
        <s v="MAHABO AMBANY"/>
        <s v="Vohimasy"/>
        <s v="Bekaraoka"/>
        <s v="Anosimahasoa"/>
        <s v="Egnelazana"/>
        <s v="AMBALAVOTAKA"/>
        <s v="Marozaza"/>
        <s v="Sahafoza"/>
        <s v="TSIROBOY"/>
        <s v="MAIAKOHO"/>
        <s v="Anakona"/>
        <s v="AMBOLOLOMENA"/>
        <s v="AMPANARENA"/>
        <s v="ANANARA"/>
        <s v="KARIMBELO"/>
        <s v="MATAVIRANO"/>
        <s v="NAMOHORA"/>
        <s v="SARINOSY"/>
        <s v="TAMBOHOBE"/>
        <s v="ECOLE COMMUNAUTAIRE LAVAKIANJA"/>
        <s v="ANALAMIDITRA"/>
        <s v="Analavory"/>
        <s v="Ampasipotsy"/>
        <s v="EPP EZAKA AMBILA NORD"/>
        <s v="AMBOHIBARY I"/>
        <s v="ANTONGOMBATO"/>
        <s v="AMBORONDRA"/>
        <s v="ANKATAFANA"/>
        <s v="BETAMPONA II"/>
        <s v="MIDEBOKA II"/>
        <s v="AMPARAKY"/>
        <s v="ANKONABE"/>
        <s v="ECOLE COMMUNAUTAIRE AMBALABE"/>
        <s v="Anosimparihy"/>
        <s v="AMBODIAKATRA"/>
        <s v="ANTSENAVOLO"/>
        <s v="Ambalahosy sud"/>
        <s v="Ambodibonary"/>
        <s v="Kianjavato"/>
        <s v="Fotobohitra"/>
        <s v="Ambodivoangy"/>
        <s v="Ankazotokana"/>
        <s v="ANDRANOMITEKA"/>
        <s v="Tsarahafatra"/>
        <s v="Ambalaromba"/>
        <s v="EPP AMBATOLAHILETSIVITSY"/>
        <s v="Ambatotsara"/>
        <s v="ManakanaI"/>
        <s v="Betampona"/>
        <s v="SANDRANGELY"/>
        <s v="Mahatsarasud"/>
        <s v="EPP AMBOHIMIARINA I"/>
        <s v="Sahamara"/>
        <s v="AMBAKOANA"/>
        <s v="AMBALAKONDRO"/>
        <s v="AMBATOHARANANA"/>
        <s v="AMBOANGIMASINA"/>
        <s v="ANALAMARINA"/>
        <s v="ANDOVOSIRA"/>
        <s v="FANGATO"/>
        <s v="FIADANANA"/>
        <s v="IANKANA"/>
        <s v="JOSEPH ROBERT"/>
        <s v="MAROFODY"/>
        <s v="MAROHITA"/>
        <s v="MAROPAIKA"/>
        <s v="TANAMBAO MAROFODY"/>
        <s v="VATOHANDRNA"/>
        <s v="VOHIBIAVY"/>
        <s v="ECOLE COMMUNAUTAIRE ANDRANOTSARA"/>
        <s v="Mahela II"/>
        <s v="Amboazokibo"/>
        <s v="MAROROKY ISERINY"/>
        <s v="Iabovonany"/>
        <s v="MAHAFASA"/>
        <s v="Tsitove"/>
        <s v="BESAKAY"/>
        <s v="AMBALAHORAKY"/>
        <s v="AMBALASAVOA"/>
        <s v="ANAMBILAZO"/>
        <s v="ANDRAREZO"/>
        <s v="MENAGNARAVONY"/>
        <s v="SOATSIRANA"/>
        <s v="VAPAKY"/>
        <s v="VILIMENA"/>
        <s v="ANDRANOMASY"/>
        <s v="EROMBAZA"/>
        <s v="TONGAY"/>
        <s v="ANKILIVALO SUD"/>
        <s v="NAMOTAHA"/>
        <s v="MAROVATOFORIHA"/>
        <s v="AMBATOMANOY"/>
        <s v="MAROFOTOTSY"/>
        <s v="VOHIPOTSY SUD"/>
        <s v="SOASERANA"/>
        <s v="MAROSAVOA BAS"/>
        <s v="SOAMANONGA"/>
        <s v="Analalentika"/>
        <s v="RANOFOTY"/>
        <s v="Epp Miary"/>
        <s v="AGNALAMENA"/>
        <s v="Epp Beavoha"/>
        <s v="Antsakoandahy"/>
        <s v="EPP Besely Est"/>
        <s v="SOAMANONGA/BEVAHO"/>
        <s v="BEKOTIKA"/>
        <s v="LEOBONDRO"/>
        <s v="TSAKABALALA"/>
        <s v="BEHELO"/>
        <s v="Ranomay"/>
        <s v="TSIMATAHOMIKA"/>
        <s v="ANKILIMIRAFY"/>
        <s v="MIHAIKY"/>
        <s v="Sakamalio"/>
        <s v="Androvakely"/>
        <s v="AMPOEZY"/>
        <s v="AMPASIMAIKY"/>
        <s v="MAHAZO"/>
        <s v="Mandiso"/>
        <s v="Magnasoa Fanjairo"/>
        <s v="TANANDAVA TOBY"/>
        <s v="BESAHATSY"/>
        <s v="Fenoala"/>
        <s v="MILOMBOKA"/>
        <s v="ANTANIMIEVA"/>
        <s v="MANOMBIKA"/>
        <s v="ANKINDRANOKE"/>
        <s v="Epp Basibasy"/>
        <s v="BEMOKA"/>
        <s v="BEFANDEFA"/>
        <s v="SIHANAKA"/>
        <s v="Epp Ankilimalinike"/>
        <s v="Epp Ambalorao"/>
        <s v="ANDRANOBOKA"/>
        <s v="MAMONO"/>
        <s v="Epp Angara"/>
        <s v="Epp Tanadava Sation"/>
        <s v="Epp Mangolovolo"/>
        <s v="Tanandava Village"/>
        <s v="ANKILIMAHAVELO"/>
        <s v="Epp Andranomanitsy"/>
        <s v="EPP Mahazoarivo"/>
        <s v="ANADABO"/>
        <s v="ANKILILOAKE"/>
        <s v="BEHIBAKE"/>
        <s v="MANDEVIBE"/>
        <s v="Epp Mampagnarivo"/>
        <s v="ANDRANOMAINTSO"/>
        <s v="ANTRANOKAKY"/>
        <s v="VINETA MAHASOA"/>
        <s v="ANDRAVINDAHY II"/>
        <s v="AMBARARATA GOUDRON"/>
        <s v="MAHAVATSE II"/>
        <s v="ANKETA"/>
        <s v="TSONGOBORY"/>
        <s v="BETAINDAMBO"/>
        <s v="SAKABERA"/>
        <s v="Fanantenana"/>
        <s v="ABC DOMINO AMBOLA"/>
        <s v="ABC DOMINO BEHELOKA"/>
        <s v="ITOMBOINA (LOVASOA)"/>
        <s v="MAROMENA (MIVOATSE)"/>
        <s v="ABC DOMINO ANKILIMIVONY"/>
        <s v="ABC DOMINO ANDRANOTOHOKY"/>
        <s v="SOALARA SUD"/>
        <s v="LOVASOA SAINT AUGUSTIN"/>
        <s v="ANKEREREAKE"/>
        <s v="MANOROKA"/>
        <s v="AVOTRA AMBATOLAMPY"/>
        <s v="TANANDAVA MAHABO"/>
        <s v="AMBIKY"/>
        <s v="AMBOHIMAHAVELONA"/>
        <s v="MAROAMALONA (LOVASOA)"/>
        <s v="ANDRANOMENA (NY FANDROSOANA)"/>
        <s v="MITSINJO BETANIMENA (AKANISOA)"/>
        <s v="TANANDAVA MIKAMBANA"/>
        <s v="TSINJORIAKE"/>
        <s v="EPP BEKOAKE"/>
        <s v="BELALANDA"/>
        <s v="EPP AMBOLOKIRA"/>
        <s v="MITSINJO MAHAZOARIVO (TSITAMBATO)"/>
        <s v="ANDRANOHINALY"/>
        <s v="MAROMIANDRA (EZAKA LOVA SOA)"/>
        <s v="MASIAKAMPY (LOVASOA)"/>
        <s v="BEHOMPY MAHASOA"/>
        <s v="EPP AMBOTSIBOTSIKE"/>
        <s v="FITSITIKA (TARATRA)"/>
        <s v="MANOMBO I (LOVASOA)"/>
        <s v="MANOMBO II (MAHASOA)"/>
        <s v="BELAVENOKA"/>
        <s v="ANTANIMENA RENDAITSE"/>
        <s v="Milenake"/>
        <s v="AMBATOLILY"/>
        <s v="ANTRANOLAHATRA"/>
        <s v="Ankaraobato"/>
        <s v="ANDAMBOLO"/>
        <s v="AMBOBOKA (TOLONA)"/>
        <s v="ANTSEVA"/>
        <s v="ANTANILEBE"/>
        <s v="AMPASIKIBO (MILAVONJY)"/>
        <s v="BETSIOKY SOMOTSE (MAHASOA)"/>
        <s v="BETSIOKY MANDATSA (NY HOAVY)"/>
        <s v="ANKARANILA (SOATEZA)"/>
        <s v="LAVENOMBATO (TSARAFANIRY)"/>
      </sharedItems>
    </cacheField>
    <cacheField name="POI_code" numFmtId="0">
      <sharedItems containsMixedTypes="1" containsNumber="1" containsInteger="1" minValue="0" maxValue="621080040" count="2872">
        <s v="MG23210070009001"/>
        <s v="MG23210070004001"/>
        <s v="MG23210070003001"/>
        <s v="MG23210070001001"/>
        <s v="MG23210070005001"/>
        <s v="MG23210070055001"/>
        <s v="MG31306010017001"/>
        <s v="MG51507290012001"/>
        <s v="MG51507290020001"/>
        <s v="MG51507290058001"/>
        <s v="MG52518251090001"/>
        <s v="MG51507310089001"/>
        <s v="MG51507310058001"/>
        <s v="MG51507310039001"/>
        <s v="MG51507310044001"/>
        <s v="MG51507310046001"/>
        <s v="MG24216192004001"/>
        <s v="MG52518290006001"/>
        <s v="MG52518290007001"/>
        <s v="MG52518290009001"/>
        <s v="MG52518290001001"/>
        <s v="MG51505050005002"/>
        <s v="MG51506130001001"/>
        <s v="MG51506130015001"/>
        <s v="MG51506130045001"/>
        <s v="MG51506130005001"/>
        <s v="MG53519030078001"/>
        <s v="MG53519030068001"/>
        <s v="MG53519030111001"/>
        <s v="MG53519030067001"/>
        <s v="MG53519030018001"/>
        <s v="MG53519030089001"/>
        <s v="MG53519030020001"/>
        <s v="MG53519030013001"/>
        <s v="MG53519030002001"/>
        <s v="MG23210510024001"/>
        <s v="MG53519030016001"/>
        <s v="MG53519030017001"/>
        <s v="MG53519030022001"/>
        <s v="MG53519030024001"/>
        <s v="MG53519150002001"/>
        <s v="MG53519030003001"/>
        <s v="MG53519030003002"/>
        <s v="MG53519030015001"/>
        <s v="MG53519030019001"/>
        <s v="MG52518251020001"/>
        <s v="MG52518251001001"/>
        <s v="MG52518251088001"/>
        <s v="MG52518251010001"/>
        <s v="MG52518251009001"/>
        <s v="MG52518251003001"/>
        <s v="MG52518251014001"/>
        <s v="MG42413110014001"/>
        <s v="MG53519050002001"/>
        <s v="MG53519050010001"/>
        <s v="MG53519050007001"/>
        <s v="MG51506290009002"/>
        <s v="MG52518032010001"/>
        <s v="MG52518032008001"/>
        <s v="MG52518032009001"/>
        <s v="MG52518032005001"/>
        <s v="MG51507290070001"/>
        <s v="MG51507290010001"/>
        <s v="MG51507290068001"/>
        <s v="MG51507290015001"/>
        <s v="MG51507290021001"/>
        <s v="MG51507290027001"/>
        <s v="MG51507290032001"/>
        <s v="MG51507290044001"/>
        <s v="MG51507290046001"/>
        <s v="MG51507290047001"/>
        <s v="MG51507290056001"/>
        <s v="MG51507290081001"/>
        <s v="MG51507290083001"/>
        <s v="MG51507290084001"/>
        <s v="MG51507290085001"/>
        <s v="MG51507290086001"/>
        <s v="MG51507290088001"/>
        <s v="MG51507290092001"/>
        <s v="MG51507290093001"/>
        <s v="MG52514011039001"/>
        <s v="MG54510011005001"/>
        <s v="MG53519090013001"/>
        <s v="MG53519090056001"/>
        <s v="MG53519090019001"/>
        <s v="MG53519090001001"/>
        <s v="MG53519090008001"/>
        <s v="MG53519090009001"/>
        <s v="MG51507310034002"/>
        <s v="MG44421194001001"/>
        <s v="MG51507310004001"/>
        <s v="MG51507310014001"/>
        <s v="MG51507310017001"/>
        <s v="MG51507310020001"/>
        <s v="MG51507310021001"/>
        <s v="MG51507310023001"/>
        <s v="MG51507310025001"/>
        <s v="MG51507310027001"/>
        <s v="MG51507310071001"/>
        <s v="MG51507310082001"/>
        <s v="MG51507310091001"/>
        <s v="MG51507310092001"/>
        <s v="MG51507310093001"/>
        <s v="MG51507310094001"/>
        <s v="MG51507310097001"/>
        <s v="MG23209050001001"/>
        <s v="MG53515010003001"/>
        <s v="MG23209110001001"/>
        <s v="MG23209110002001"/>
        <s v="MG23209110056001"/>
        <s v="MG51506050001002"/>
        <s v="MG51506050011002"/>
        <s v="MG51506050022002"/>
        <s v="MG51507070008002"/>
        <s v="MG51506012004001"/>
        <s v="MG53519070015001"/>
        <s v="MG52516070017001"/>
        <s v="MG53519070010001"/>
        <s v="MG53519070016001"/>
        <s v="MG53519070017001"/>
        <s v="MG52516111001002"/>
        <s v="MG52516111010001"/>
        <s v="MG52516111011001"/>
        <s v="MG52516111023001"/>
        <s v="MG52516111025001"/>
        <s v="MG52516111056001"/>
        <s v="MG32315030006001"/>
        <s v="MG53519050023001"/>
        <s v="MG53519050017001"/>
        <s v="MG53519050024001"/>
        <s v="MG23209031001001"/>
        <s v="MG31309050006001"/>
        <s v="MG23209070001001"/>
        <s v="MG31309050023001"/>
        <s v="MG33312152011001"/>
        <s v="MG33313151006001"/>
        <s v="MG53519230016001"/>
        <s v="MG53519230088001"/>
        <s v="MG41406010003001"/>
        <s v="MG53519230003001"/>
        <s v="MG53519230045001"/>
        <s v="MG53519230005001"/>
        <s v="MG53519230007001"/>
        <s v="MG53519230013001"/>
        <s v="MG53519230014001"/>
        <s v="MG53519230015001"/>
        <s v="MG53519230001001"/>
        <s v="MG53519230008001"/>
        <s v="MG52516130001001"/>
        <s v="MG52516130068080"/>
        <s v="MG52516130033053"/>
        <s v="MG52516130039031"/>
        <s v="MG52516130067013"/>
        <s v="MG52516130020024"/>
        <s v="MG52516130017012"/>
        <s v="MG52516151031021"/>
        <s v="MG52516151029007"/>
        <s v="MG52516151030003"/>
        <s v="MG52516151080009"/>
        <s v="MG52516151008002"/>
        <s v="MG52516151001001"/>
        <s v="MG52516151021004"/>
        <s v="MG53519291001"/>
        <s v="MG53519090007"/>
        <s v="MG53519090017"/>
        <s v="MG53519090001"/>
        <s v="MG53519190001"/>
        <s v="MG53519190011"/>
        <s v="MG51506330059"/>
        <s v="MG53519292001"/>
        <s v="MG52516031011"/>
        <s v="MG52516031001"/>
        <s v="MG52516031004"/>
        <s v="MG52516031006"/>
        <s v="MG52516014003"/>
        <s v="MG52516014006"/>
        <s v="MG52516014011"/>
        <s v="MG52516014022"/>
        <s v="MG52516014001"/>
        <s v="MG52516014017"/>
        <s v="MG52516071012"/>
        <s v="MG52516071004"/>
        <s v="MG52516071030"/>
        <s v="MG52516071031"/>
        <s v="MG52516111001"/>
        <s v="MG52516111023"/>
        <s v="MG52516111025"/>
        <s v="MG52516111011"/>
        <s v="MG52516111070"/>
        <s v="MG52516111071"/>
        <s v="MG52516151021"/>
        <s v="MG52516151029"/>
        <s v="MG52516151001"/>
        <s v="MG52516151030"/>
        <s v="MG52516151008"/>
        <s v="MG52516151031"/>
        <s v="MG52516151069"/>
        <s v="MG52516130001"/>
        <s v="MG52516130039"/>
        <s v="MG52516130026"/>
        <s v="MG52516130033"/>
        <s v="MG52516130024"/>
        <s v="MG52516130021"/>
        <s v="MG52516130017"/>
        <s v="MG52516130042"/>
        <s v="MG52516170025"/>
        <s v="MG52516170039"/>
        <s v="MG52516170024"/>
        <s v="MG52516170040"/>
        <s v="MG52516170021"/>
        <s v="MG52516170013"/>
        <s v="MG52516170002"/>
        <s v="MG52516170015"/>
        <s v="MG52516170028"/>
        <s v="MG52516170005"/>
        <s v="MG52516170017"/>
        <s v="MG52516170042"/>
        <s v="MG52516170043"/>
        <s v="MG52516170060"/>
        <s v="MG52518151024"/>
        <s v="MG52518151005"/>
        <s v="MG52518151020"/>
        <s v="MG52518151006"/>
        <s v="MG52518151001"/>
        <s v="MG52518151027"/>
        <s v="MG52518151009"/>
        <s v="MG52518151016"/>
        <s v="MG52518152002"/>
        <s v="MG52518152058"/>
        <s v="MG52518070005"/>
        <s v="MG52518070003"/>
        <s v="MG52518070004"/>
        <s v="MG52518070001"/>
        <s v="MG52518190014"/>
        <s v="MG52518190005"/>
        <s v="MG52518190001"/>
        <s v="MG52518190008"/>
        <s v="MG52518031008"/>
        <s v="MG52518031015"/>
        <s v="MG52518031002"/>
        <s v="MG52518031004"/>
        <s v="MG52518010008"/>
        <s v="MG52518010001"/>
        <s v="MG52518010003"/>
        <s v="MG52518010011"/>
        <s v="MG52518010070"/>
        <s v="MG52518092089"/>
        <s v="MG52518092001"/>
        <s v="MG52518092006"/>
        <s v="MG52513091012"/>
        <s v="MG52513091013"/>
        <s v="MG52513091016"/>
        <s v="MG52513092006"/>
        <s v="MG52513092001"/>
        <s v="MG52513092009"/>
        <s v="MG52513092050"/>
        <s v="MG52513010002"/>
        <s v="MG52513010005"/>
        <s v="MG52514072002"/>
        <s v="MG52514072009"/>
        <s v="MG52514072001"/>
        <s v="MG52514072004"/>
        <s v="MG52514072003"/>
        <s v="MG51507010022"/>
        <s v="MG51507010015"/>
        <s v="MG51507010017"/>
        <s v="MG51507010024"/>
        <s v="MG51507010023"/>
        <s v="MG51507010019"/>
        <s v="MG51507010018"/>
        <s v="MG51507010001"/>
        <s v="MG51507010068"/>
        <s v="MG51507010014"/>
        <s v="MG51507010011"/>
        <s v="MG51507010087"/>
        <s v="MG53517130006"/>
        <s v="MG51507010026"/>
        <s v="MG51507270017"/>
        <s v="MG51507290020"/>
        <s v="MG51507290050"/>
        <s v="MG51507290018"/>
        <s v="MG51507290012"/>
        <s v="MG51507290011"/>
        <s v="MG53517270006"/>
        <s v="MG51507310030"/>
        <s v="MG51507310036"/>
        <s v="MG51507310044"/>
        <s v="MG51507310039"/>
        <s v="MG51507310046"/>
        <s v="MG51507310091"/>
        <s v="MG51507310061"/>
        <s v="MG51507230001"/>
        <s v="MG51507230005"/>
        <s v="MG51507230019"/>
        <s v="MG51507230023"/>
        <s v="MG51507230018"/>
        <s v="MG51507270004"/>
        <s v="MG52516033001"/>
        <s v="MG51507230050"/>
        <s v="MG51507230059"/>
        <s v="MG51507150016"/>
        <s v="MG51507150045"/>
        <s v="MG51507150033"/>
        <s v="MG51507150015"/>
        <s v="MG51507150008"/>
        <s v="MG51507150001"/>
        <s v="MG51507150032"/>
        <s v="MG51507150040"/>
        <s v="MG51507150014"/>
        <s v="MG51507150005"/>
        <s v="MG51507150047"/>
        <s v="MG51507290034"/>
        <s v="MG51507150011"/>
        <s v="MG51506012003"/>
        <s v="MG51507250015"/>
        <s v="MG51507290017"/>
        <s v="MG51507290027"/>
        <s v="MG51507290044"/>
        <s v="MG51507290032"/>
        <s v="MG51507290001"/>
        <s v="MG51507290056"/>
        <s v="MG52514011039"/>
        <s v="MG52518170019"/>
        <s v="MG51507290059"/>
        <s v="MG51507290060"/>
        <s v="MG51507290061"/>
        <s v="MG51506014001"/>
        <s v="MG51506130015"/>
        <s v="MG51506130001"/>
        <s v="MG53517291013"/>
        <s v="MG53517291056"/>
        <s v="MG51506012012"/>
        <s v="MG51506330036"/>
        <s v="MG51506330017"/>
        <s v="MG52518170018"/>
        <s v="MG51506015001"/>
        <s v="MG51506015011"/>
        <s v="MG51506012018"/>
        <s v="MG51506012001"/>
        <s v="MG51506270001"/>
        <s v="MG51506210010"/>
        <s v="MG51506210023"/>
        <s v="MG51506210011"/>
        <s v="MG51506252006"/>
        <s v="MG51506210022"/>
        <s v="MG51506090012"/>
        <s v="MG51506090004"/>
        <s v="MG51506090001"/>
        <s v="MG51506090010"/>
        <s v="MG51506290004"/>
        <s v="MG51506290008"/>
        <s v="MG52516151034"/>
        <s v="MG25214111008"/>
        <s v="MG52516011012"/>
        <s v="MG25214050001"/>
        <s v="MG25214050005"/>
        <s v="MG25214050067"/>
        <s v="MG25214111005"/>
        <s v="MG25214111060"/>
        <s v="MG25217030078"/>
        <s v="MG23212051001"/>
        <s v="MG53515010003"/>
        <s v="MG23209050001"/>
        <s v="MG23209070001"/>
        <s v="MG23209070055"/>
        <s v="MG23209070066"/>
        <s v="MG23209070077"/>
        <s v="MG23209270001"/>
        <s v="MG23209170001"/>
        <s v="MG23209170056"/>
        <s v="MG52518032003001"/>
        <s v="MG52518032059001"/>
        <s v="MG52518151045001"/>
        <s v="MG52518151046001"/>
        <s v="MG25213471001001"/>
        <s v="MG25213471028001"/>
        <s v="MG25213552004001"/>
        <s v="MG25213552019001"/>
        <s v="MG25213410001001"/>
        <s v="MG51503011004001"/>
        <s v="MG51520210001001"/>
        <s v="MG52516031002001"/>
        <s v="MG52516031004001"/>
        <s v="MG52516031035001"/>
        <s v="MG52516031037001"/>
        <s v="MG52516031038001"/>
        <s v="MG52516031039001"/>
        <s v="MG23209290011001"/>
        <s v="MG23211031010001"/>
        <s v="MG31310130010001"/>
        <s v="MG31309050014001"/>
        <s v="MG52516014002001"/>
        <s v="MG52518031006001"/>
        <s v="MG53517350003001"/>
        <s v="MG53517350012001"/>
        <s v="MG51506013007001"/>
        <s v="MG52518091004001"/>
        <s v="MG53519130010001"/>
        <s v="MG53519130033001"/>
        <s v="MG52513091012001"/>
        <s v="MG52513091a_4001"/>
        <s v="MG51506013001001"/>
        <s v="MG51506013002001"/>
        <s v="MG51506013003001"/>
        <s v="MG51506013004001"/>
        <s v="MG51506013006001"/>
        <s v="MG51506013009001"/>
        <s v="MG51506013010001"/>
        <s v="MG51506013011001"/>
        <s v="MG51506013057001"/>
        <s v="MG51506050005001"/>
        <s v="MG52514050012001"/>
        <s v="MG52516092016001"/>
        <s v="MG52516092045001"/>
        <s v="MG52516092046001"/>
        <s v="MG52516092047001"/>
        <s v="MG53515112004001"/>
        <s v="MG53519010004001"/>
        <s v="MG53519010008001"/>
        <s v="MG53519010009001"/>
        <s v="MG53519010010001"/>
        <s v="MG53519010014001"/>
        <s v="MG53519010017001"/>
        <s v="MG53519010019001"/>
        <s v="MG53519010024001"/>
        <s v="MG25217030004001"/>
        <s v="MG25217030036001"/>
        <s v="MG25213270001001"/>
        <s v="MG25213270010001"/>
        <s v="MG52513091017001"/>
        <s v="MG52516033015001"/>
        <s v="MG52516033056001"/>
        <s v="MG52516033057001"/>
        <s v="MG52516033058001"/>
        <s v="MG52516033059001"/>
        <s v="MG25217090001001"/>
        <s v="MG25217090002001"/>
        <s v="MG25217090007001"/>
        <s v="MG25213330001001"/>
        <s v="MG25213330005001"/>
        <s v="MG23209230007001"/>
        <s v="MG23211092008001"/>
        <s v="MG23211012003001"/>
        <s v="MG23211012004001"/>
        <s v="MG23211012009001"/>
        <s v="MG23211012011001"/>
        <s v="MG52516050005001"/>
        <s v="MG52516050009001"/>
        <s v="MG52516050019001"/>
        <s v="MG52516050057001"/>
        <s v="MG52516050058001"/>
        <s v="MG52516050059001"/>
        <s v="MG52516050060001"/>
        <s v="MG52516091005001"/>
        <s v="MG52516091057001"/>
        <s v="MG53519050019001"/>
        <s v="MG25214211012001"/>
        <s v="MG53517331004001"/>
        <s v="MG41407091005001"/>
        <s v="MG51506011023001"/>
        <s v="MG51507030001001"/>
        <s v="MG51507050001001"/>
        <s v="MG51507050002001"/>
        <s v="MG51507050003001"/>
        <s v="MG51507050004001"/>
        <s v="MG51507050005001"/>
        <s v="MG51507050006001"/>
        <s v="MG51507050007001"/>
        <s v="MG51507050009001"/>
        <s v="MG51507050012001"/>
        <s v="MG51507050013001"/>
        <s v="MG51507050009002"/>
        <s v="MG51507050015001"/>
        <s v="MG51507050016001"/>
        <s v="MG51507050017001"/>
        <s v="MG51507050018001"/>
        <s v="MG51507050019001"/>
        <s v="MG51507050020001"/>
        <s v="MG51507050022001"/>
        <s v="MG51507050024001"/>
        <s v="MG51507050025001"/>
        <s v="MG51507050026001"/>
        <s v="MG51507050027001"/>
        <s v="MG51507050028001"/>
        <s v="MG51507050029001"/>
        <s v="MG51507050030001"/>
        <s v="MG51507050045001"/>
        <s v="MG51507050059001"/>
        <s v="MG51507050067001"/>
        <s v="MG51507050089001"/>
        <s v="MG51507050092001"/>
        <s v="MG51507050015002"/>
        <s v="MG51507170001001"/>
        <s v="MG51507250015001"/>
        <s v="MG52516151011001"/>
        <s v="MG52518091006001"/>
        <s v="MG53519250003001"/>
        <s v="MG53519250065001"/>
        <s v="MG53519250066001"/>
        <s v="MG53519250067001"/>
        <s v="MG53519250068001"/>
        <s v="MG53519250069001"/>
        <s v="MG53519250070001"/>
        <s v="MG25214190003001"/>
        <s v="MG52516011013001"/>
        <s v="MG52516011015001"/>
        <s v="MG52516011020001"/>
        <s v="MG52516011025001"/>
        <s v="MG52516011033001"/>
        <s v="MG52516011037001"/>
        <s v="MG52516011039001"/>
        <s v="MG52516011042001"/>
        <s v="MG52516011054001"/>
        <s v="MG53515090005001"/>
        <s v="MG53515090078001"/>
        <s v="MG53515090079001"/>
        <s v="MG53515090080001"/>
        <s v="MG53515090081001"/>
        <s v="MG53515090082001"/>
        <s v="MG53515090083001"/>
        <s v="MG53515090084001"/>
        <s v="MG53515090085001"/>
        <s v="MG53515090086001"/>
        <s v="MG53515090087001"/>
        <s v="MG53515090088001"/>
        <s v="MG53515090089001"/>
        <s v="MG53515090090001"/>
        <s v="MG53515090091001"/>
        <s v="MG53515090092001"/>
        <s v="MG53515090093001"/>
        <s v="MG52516050012001"/>
        <s v="MG52516152004001"/>
        <s v="MG52516152010001"/>
        <s v="MG52516152045001"/>
        <s v="MG52516152046001"/>
        <s v="MG44417031003001"/>
        <s v="MG51506050020001"/>
        <s v="MG51506150020001"/>
        <s v="MG51507010001001"/>
        <s v="MG51507010002001"/>
        <s v="MG51507010003001"/>
        <s v="MG51507010004001"/>
        <s v="MG51507010006001"/>
        <s v="MG51507010007001"/>
        <s v="MG51507010010001"/>
        <s v="MG51507010011001"/>
        <s v="MG51507010013001"/>
        <s v="MG51507010014001"/>
        <s v="MG51507010015001"/>
        <s v="MG51507010016001"/>
        <s v="MG51507010017001"/>
        <s v="MG51507010018001"/>
        <s v="MG51507010019001"/>
        <s v="MG51507010021001"/>
        <s v="MG51507010023001"/>
        <s v="MG51507010024001"/>
        <s v="MG51507010025001"/>
        <s v="MG51507210003001"/>
        <s v="MG51520270008001"/>
        <s v="MG52516013007001"/>
        <s v="MG52516013089001"/>
        <s v="MG52516013090001"/>
        <s v="MG52516013091001"/>
        <s v="MG54509070001001"/>
        <s v="MG54509070006001"/>
        <s v="MG54509070010001"/>
        <s v="MG25214031006001"/>
        <s v="MG25214031016001"/>
        <s v="MG25214132001001"/>
        <s v="MG25214132013001"/>
        <s v="MG53515033004001"/>
        <s v="MG25213190001001"/>
        <s v="MG25213190010001"/>
        <s v="MG31307151013001"/>
        <s v="MG52514050005001"/>
        <s v="MG52518152008001"/>
        <s v="MG53517110002001"/>
        <s v="MG53517110004001"/>
        <s v="MG53517110006001"/>
        <s v="MG53517110007001"/>
        <s v="MG53517110045001"/>
        <s v="MG53517150085001"/>
        <s v="MG53517150087001"/>
        <s v="MG25217013002001"/>
        <s v="MG53517150086001"/>
        <s v="MG31306010017002"/>
        <s v="MG51507290004001"/>
        <s v="MG51507290006001"/>
        <s v="MG51507290008001"/>
        <s v="MG51507290011001"/>
        <s v="MG51507290050001"/>
        <s v="MG51507290080001"/>
        <s v="MG52518251089001"/>
        <s v="MG52518251091001"/>
        <s v="MG52518251092001"/>
        <s v="MG24216070003001"/>
        <s v="MG41405090003001"/>
        <s v="MG52516151004001"/>
        <s v="MG52516151005001"/>
        <s v="MG52516151010001"/>
        <s v="MG52516151015001"/>
        <s v="MG52516151065001"/>
        <s v="MG52518251077001"/>
        <s v="MG52518251078001"/>
        <s v="MG52518251079001"/>
        <s v="MG52518251080001"/>
        <s v="MG52518251081001"/>
        <s v="MG52518251082001"/>
        <s v="MG23211092006001"/>
        <s v="MG25217030008001"/>
        <s v="MG25217030013001"/>
        <s v="MG41405150010001"/>
        <s v="MG52516130056001"/>
        <s v="MG52516130057001"/>
        <s v="MG52516130a_10001"/>
        <s v="MG52516130a_14001"/>
        <s v="MG52516170033001"/>
        <s v="MG52516170077001"/>
        <s v="MG52516170078001"/>
        <s v="MG52516170079001"/>
        <s v="MG52516170092001"/>
        <s v="MG25215031001001"/>
        <s v="MG25215031003001"/>
        <s v="MG51506191001001"/>
        <s v="MG51506191005001"/>
        <s v="MG51506191008001"/>
        <s v="MG51506191009001"/>
        <s v="MG51506191011001"/>
        <s v="MG51506191013001"/>
        <s v="MG51506191014001"/>
        <s v="MG51506191015001"/>
        <s v="MG51506191058001"/>
        <s v="MG51506210008001"/>
        <s v="MG51507310039002"/>
        <s v="MG51507310044002"/>
        <s v="MG51507310046002"/>
        <s v="MG51507310036001"/>
        <s v="MG51507310040001"/>
        <s v="MG51507310041001"/>
        <s v="MG51507310042001"/>
        <s v="MG51507310043001"/>
        <s v="MG51507310045001"/>
        <s v="MG51507310090001"/>
        <s v="MG51507230001001"/>
        <s v="MG51507230005001"/>
        <s v="MG51507230007001"/>
        <s v="MG51507230008001"/>
        <s v="MG51507230011001"/>
        <s v="MG51507230012001"/>
        <s v="MG51507230015001"/>
        <s v="MG51507230017001"/>
        <s v="MG51507230065001"/>
        <s v="MG51507230067001"/>
        <s v="MG25214112001001"/>
        <s v="MG33312071005001"/>
        <s v="MG52518290001002"/>
        <s v="MG52518290065001"/>
        <s v="MG52518050004001"/>
        <s v="MG52518050072001"/>
        <s v="MG52518050073001"/>
        <s v="MG52518050074001"/>
        <s v="MG52516011029001"/>
        <s v="MG52516011062001"/>
        <s v="MG52516012004001"/>
        <s v="MG52516014009001"/>
        <s v="MG52516014051001"/>
        <s v="MG52516014052001"/>
        <s v="MG52516014053001"/>
        <s v="MG52516014054001"/>
        <s v="MG52516014055001"/>
        <s v="MG52516014056001"/>
        <s v="MG52516014057001"/>
        <s v="MG52516014058001"/>
        <s v="MG52516014059001"/>
        <s v="MG52516014060001"/>
        <s v="MG52516014061001"/>
        <s v="MG52516014062001"/>
        <s v="MG52516014063001"/>
        <s v="MG52516014064001"/>
        <s v="MG25213350001001"/>
        <s v="MG25213350002001"/>
        <s v="MG25213350003001"/>
        <s v="MG25213350005001"/>
        <s v="MG24216031005001"/>
        <s v="MG52518031004001"/>
        <s v="MG52518031005001"/>
        <s v="MG52518031011001"/>
        <s v="MG52518031012001"/>
        <s v="MG52518031013001"/>
        <s v="MG52518031065001"/>
        <s v="MG51506014001001"/>
        <s v="MG51506014002001"/>
        <s v="MG51506014003001"/>
        <s v="MG51506014004001"/>
        <s v="MG51506014005001"/>
        <s v="MG51506014006001"/>
        <s v="MG51506014007001"/>
        <s v="MG51506014008001"/>
        <s v="MG51506014009001"/>
        <s v="MG51506014010001"/>
        <s v="MG51506014056001"/>
        <s v="MG51506090008001"/>
        <s v="MG25215031004001"/>
        <s v="MG51505050005001"/>
        <s v="MG51506130001002"/>
        <s v="MG51506130002001"/>
        <s v="MG51506130004001"/>
        <s v="MG51506130005002"/>
        <s v="MG51506130008001"/>
        <s v="MG51506130009001"/>
        <s v="MG51506130010001"/>
        <s v="MG51506130011001"/>
        <s v="MG51506130012001"/>
        <s v="MG51506130017001"/>
        <s v="MG25215011010001"/>
        <s v="MG25215012001001"/>
        <s v="MG25215012006001"/>
        <s v="MG51507030005001"/>
        <s v="MG51507030008001"/>
        <s v="MG51507030009001"/>
        <s v="MG51507030010001"/>
        <s v="MG51507070004001"/>
        <s v="MG51507070076001"/>
        <s v="MG51507070077001"/>
        <s v="MG51507070078001"/>
        <s v="MG51507070079001"/>
        <s v="MG51507070080001"/>
        <s v="MG51507070081001"/>
        <s v="MG51507070082001"/>
        <s v="MG54502090001001"/>
        <s v="MG54502090002001"/>
        <s v="MG51521031011001"/>
        <s v="MG51507130005001"/>
        <s v="MG51507130005002"/>
        <s v="MG51507070051001"/>
        <s v="MG51507070057001"/>
        <s v="MG51507070058001"/>
        <s v="MG51507070059001"/>
        <s v="MG51507130001001"/>
        <s v="MG51507130004001"/>
        <s v="MG51507130006001"/>
        <s v="MG51507130008001"/>
        <s v="MG51507130009002"/>
        <s v="MG51507130010001"/>
        <s v="MG51507130011001"/>
        <s v="MG51507130012001"/>
        <s v="MG51507190008001"/>
        <s v="MG51520358004001"/>
        <s v="MG51507070002001"/>
        <s v="MG51507070007001"/>
        <s v="MG51507070042001"/>
        <s v="MG54509030002001"/>
        <s v="MG54509030051001"/>
        <s v="MG54509030052001"/>
        <s v="MG54509030053001"/>
        <s v="MG54509030054001"/>
        <s v="MG54509030055001"/>
        <s v="MG54509030056001"/>
        <s v="MG54509030057001"/>
        <s v="MG54509030058001"/>
        <s v="MG54509030059001"/>
        <s v="MG54509030060001"/>
        <s v="MG54509030061001"/>
        <s v="MG54509030062001"/>
        <s v="MG54509030063001"/>
        <s v="MG54509030064001"/>
        <s v="MG54509030065001"/>
        <s v="MG25213050010001"/>
        <s v="MG25213050035001"/>
        <s v="MG25213070040001"/>
        <s v="MG25213070041001"/>
        <s v="MG25213070042001"/>
        <s v="MG25213070043001"/>
        <s v="MG52516130058001"/>
        <s v="MG52516130078001"/>
        <s v="MG52516130095001"/>
        <s v="MG51501006001001"/>
        <s v="MG52513070003001"/>
        <s v="MG52514071006001"/>
        <s v="MG52514071014001"/>
        <s v="MG52514071019001"/>
        <s v="MG52514071025001"/>
        <s v="MG52514071067001"/>
        <s v="MG52514071068001"/>
        <s v="MG52514071069001"/>
        <s v="MG23211112001001"/>
        <s v="MG23211112011001"/>
        <s v="MG24216231007001"/>
        <s v="MG25222031002001"/>
        <s v="MG25217072001001"/>
        <s v="MG25217072033001"/>
        <s v="MG25222012002001"/>
        <s v="MG25222012006001"/>
        <s v="MG51507150045001"/>
        <s v="MG52518070014001"/>
        <s v="MG31306050007001"/>
        <s v="MG25222031004001"/>
        <s v="MG51506030001001"/>
        <s v="MG51506030002001"/>
        <s v="MG51506030004001"/>
        <s v="MG51506030006001"/>
        <s v="MG51506030007001"/>
        <s v="MG51506030008001"/>
        <s v="MG51506030009001"/>
        <s v="MG51506030010001"/>
        <s v="MG51506030046001"/>
        <s v="MG51506130016001"/>
        <s v="MG25213390006001"/>
        <s v="MG25222011008001"/>
        <s v="MG51520310023001"/>
        <s v="MG52513091028001"/>
        <s v="MG52513092006001"/>
        <s v="MG52513092067001"/>
        <s v="MG52513092068001"/>
        <s v="MG52513092069001"/>
        <s v="MG53519030015002"/>
        <s v="MG53519030019002"/>
        <s v="MG53519030005001"/>
        <s v="MG53519030006001"/>
        <s v="MG53519030010001"/>
        <s v="MG53519030021001"/>
        <s v="MG25222032005001"/>
        <s v="MG25222052003001"/>
        <s v="MG52518152003001"/>
        <s v="MG51520358001001"/>
        <s v="MG51520358002001"/>
        <s v="MG51520358003001"/>
        <s v="MG51520358005001"/>
        <s v="MG51520358011001"/>
        <s v="MG25214033003001"/>
        <s v="MG52513030011001"/>
        <s v="MG52518230002001"/>
        <s v="MG52518230007001"/>
        <s v="MG52518230014001"/>
        <s v="MG52518230019001"/>
        <s v="MG52518230056001"/>
        <s v="MG52518230057001"/>
        <s v="MG52518230058001"/>
        <s v="MG52518230059001"/>
        <s v="MG52518230060001"/>
        <s v="MG25222053002001"/>
        <s v="MG53517250001001"/>
        <s v="MG53517250002001"/>
        <s v="MG53517250003001"/>
        <s v="MG53517250004001"/>
        <s v="MG53517250005001"/>
        <s v="MG53517250067001"/>
        <s v="MG51507170005001"/>
        <s v="MG51507170009001"/>
        <s v="MG51507170070001"/>
        <s v="MG51507170071001"/>
        <s v="MG51507170081001"/>
        <s v="MG51507170082001"/>
        <s v="MG51507170083001"/>
        <s v="MG51507210010001"/>
        <s v="MG51507310006001"/>
        <s v="MG51507310060001"/>
        <s v="MG51507310061001"/>
        <s v="MG51507310062001"/>
        <s v="MG51507310063001"/>
        <s v="MG51507310064001"/>
        <s v="MG51507310065001"/>
        <s v="MG51507310066001"/>
        <s v="MG51507310067001"/>
        <s v="MG51507310068001"/>
        <s v="MG51507310069001"/>
        <s v="MG51507310072001"/>
        <s v="MG51507310073001"/>
        <s v="MG51507310074001"/>
        <s v="MG51507310075001"/>
        <s v="MG51507310076001"/>
        <s v="MG51507310077001"/>
        <s v="MG51507310078001"/>
        <s v="MG51507310079001"/>
        <s v="MG51507310080001"/>
        <s v="MG41403050001001"/>
        <s v="MG52518170010001"/>
        <s v="MG53519050014001"/>
        <s v="MG53519050056001"/>
        <s v="MG53519050057001"/>
        <s v="MG53519050058001"/>
        <s v="MG52513010015001"/>
        <s v="MG52513010021001"/>
        <s v="MG52513010027001"/>
        <s v="MG52513010076001"/>
        <s v="MG52513010077001"/>
        <s v="MG52513010078001"/>
        <s v="MG52513010079001"/>
        <s v="MG52513010080001"/>
        <s v="MG52514031006001"/>
        <s v="MG53517050003001"/>
        <s v="MG53517150001001"/>
        <s v="MG53517150002001"/>
        <s v="MG53517150004001"/>
        <s v="MG53517150009001"/>
        <s v="MG53517150034001"/>
        <s v="MG44421110003001"/>
        <s v="MG51512130009001"/>
        <s v="MG51521010001001"/>
        <s v="MG51521010007001"/>
        <s v="MG51521010008001"/>
        <s v="MG51521010009001"/>
        <s v="MG51521010015001"/>
        <s v="MG52516014004001"/>
        <s v="MG51506012002001"/>
        <s v="MG51506012005001"/>
        <s v="MG51506012007001"/>
        <s v="MG51506012011001"/>
        <s v="MG51506012017001"/>
        <s v="MG43404173004001"/>
        <s v="MG51506252005001"/>
        <s v="MG52516091025001"/>
        <s v="MG52518251003002"/>
        <s v="MG52518251014002"/>
        <s v="MG52518251007001"/>
        <s v="MG52518251013001"/>
        <s v="MG52518251056001"/>
        <s v="MG52518251057001"/>
        <s v="MG33314092002001"/>
        <s v="MG53519050007002"/>
        <s v="MG25213250007001"/>
        <s v="MG25214172006001"/>
        <s v="MG51507270001001"/>
        <s v="MG51507270007001"/>
        <s v="MG51507270010001"/>
        <s v="MG51507270011001"/>
        <s v="MG51507270012001"/>
        <s v="MG51507270014001"/>
        <s v="MG51507270016001"/>
        <s v="MG51507270020001"/>
        <s v="MG51507270021001"/>
        <s v="MG51507270022001"/>
        <s v="MG51506290009001"/>
        <s v="MG52518032005002"/>
        <s v="MG52518032045001"/>
        <s v="MG52518032046001"/>
        <s v="MG52518032047001"/>
        <s v="MG52518190002001"/>
        <s v="MG52518190005001"/>
        <s v="MG52518190056001"/>
        <s v="MG52518190057001"/>
        <s v="MG52518190058001"/>
        <s v="MG25214152007001"/>
        <s v="MG33312152009001"/>
        <s v="MG51506011002001"/>
        <s v="MG51506011003001"/>
        <s v="MG51506011004001"/>
        <s v="MG51506011006001"/>
        <s v="MG51506011007001"/>
        <s v="MG51506011008001"/>
        <s v="MG51506011009001"/>
        <s v="MG51506011010001"/>
        <s v="MG54510012009001"/>
        <s v="MG25214251001001"/>
        <s v="MG52518270001001"/>
        <s v="MG52518270005001"/>
        <s v="MG52518270006001"/>
        <s v="MG52518270007001"/>
        <s v="MG52518270009001"/>
        <s v="MG52518270054001"/>
        <s v="MG54502110007001"/>
        <s v="MG54502110066001"/>
        <s v="MG51506150001001"/>
        <s v="MG51506150011001"/>
        <s v="MG51506150012001"/>
        <s v="MG51506150013001"/>
        <s v="MG51506150019001"/>
        <s v="MG53519291001001"/>
        <s v="MG25213430003001"/>
        <s v="MG25213430023001"/>
        <s v="MG51520358015001"/>
        <s v="MG51520358016001"/>
        <s v="MG51520358017001"/>
        <s v="MG51520358a_6001"/>
        <s v="MG51521050009001"/>
        <s v="MG51507150034001"/>
        <s v="MG51507150061001"/>
        <s v="MG51507150062001"/>
        <s v="MG51507150063001"/>
        <s v="MG51507150064001"/>
        <s v="MG51507150065001"/>
        <s v="MG51507150066001"/>
        <s v="MG51507150067001"/>
        <s v="MG51507150068001"/>
        <s v="MG51507150069001"/>
        <s v="MG51507150070001"/>
        <s v="MG51507150071001"/>
        <s v="MG51507150072001"/>
        <s v="MG51507150073001"/>
        <s v="MG51507150074001"/>
        <s v="MG51507150076001"/>
        <s v="MG51507150077001"/>
        <s v="MG51507150078001"/>
        <s v="MG51507150079001"/>
        <s v="MG51507150080001"/>
        <s v="MG51507150081001"/>
        <s v="MG51507150082001"/>
        <s v="MG51507150083001"/>
        <s v="MG51507150084001"/>
        <s v="MG51507150085001"/>
        <s v="MG51507150086001"/>
        <s v="MG51507150087001"/>
        <s v="MG51507150088001"/>
        <s v="MG51507150089001"/>
        <s v="MG51507150090001"/>
        <s v="MG51507150091001"/>
        <s v="MG51507150092001"/>
        <s v="MG51507150093001"/>
        <s v="MG51507150094001"/>
        <s v="MG51507150095001"/>
        <s v="MG51507150096001"/>
        <s v="MG51507150097001"/>
        <s v="MG51507150098001"/>
        <s v="MG51507150099001"/>
        <s v="MG51507150112001"/>
        <s v="MG51507150128001"/>
        <s v="MG51507150129001"/>
        <s v="MG51505071019001"/>
        <s v="MG51521050002001"/>
        <s v="MG53519150008001"/>
        <s v="MG52516013003001"/>
        <s v="MG52516013008001"/>
        <s v="MG52516013054001"/>
        <s v="MG52516013055001"/>
        <s v="MG52516013056001"/>
        <s v="MG53519170001001"/>
        <s v="MG25213390001001"/>
        <s v="MG24216192003001"/>
        <s v="MG25213370001001"/>
        <s v="MG25213370005001"/>
        <s v="MG25213010002001"/>
        <s v="MG25213010041001"/>
        <s v="MG25213010045001"/>
        <s v="MG25214290004001"/>
        <s v="MG25214290006001"/>
        <s v="MG53515170003001"/>
        <s v="MG25214332006001"/>
        <s v="MG25214332034001"/>
        <s v="MG25214111010001"/>
        <s v="MG25214111011001"/>
        <s v="MG51507290003001"/>
        <s v="MG51507290037001"/>
        <s v="MG51507290041001"/>
        <s v="MG51507290045001"/>
        <s v="MG51507290067001"/>
        <s v="MG51507290082001"/>
        <s v="MG51507290087001"/>
        <s v="MG51507290089001"/>
        <s v="MG51507290090001"/>
        <s v="MG51507290091001"/>
        <s v="MG51507210009001"/>
        <s v="MG51507210016001"/>
        <s v="MG51507210057001"/>
        <s v="MG51507210081001"/>
        <s v="MG51507210082001"/>
        <s v="MG51507210083001"/>
        <s v="MG51507210084001"/>
        <s v="MG51507210085001"/>
        <s v="MG51507210086001"/>
        <s v="MG51507210087001"/>
        <s v="MG25213210001001"/>
        <s v="MG25213210007001"/>
        <s v="MG25217052001001"/>
        <s v="MG25217052003001"/>
        <s v="MG51512012006001"/>
        <s v="MG53517130001001"/>
        <s v="MG53517130003001"/>
        <s v="MG53517130007001"/>
        <s v="MG53517130008001"/>
        <s v="MG53517130012001"/>
        <s v="MG53517130085001"/>
        <s v="MG54511011010001"/>
        <s v="MG24218010013001"/>
        <s v="MG51506090011001"/>
        <s v="MG53517310001001"/>
        <s v="MG53517310003001"/>
        <s v="MG53517310005001"/>
        <s v="MG53517310006001"/>
        <s v="MG53517310008001"/>
        <s v="MG53517310012001"/>
        <s v="MG53517310014001"/>
        <s v="MG53517310015001"/>
        <s v="MG53517310054001"/>
        <s v="MG53517310067001"/>
        <s v="MG25214230001001"/>
        <s v="MG51507250008001"/>
        <s v="MG52518251004001"/>
        <s v="MG53519090001002"/>
        <s v="MG53519090008002"/>
        <s v="MG53519090002001"/>
        <s v="MG53519090007001"/>
        <s v="MG53519090009002"/>
        <s v="MG53519090011001"/>
        <s v="MG53519090015001"/>
        <s v="MG53519090017001"/>
        <s v="MG53519090057001"/>
        <s v="MG23212090004001"/>
        <s v="MG25213551001001"/>
        <s v="MG23210190005001"/>
        <s v="MG23211011003001"/>
        <s v="MG23211011007001"/>
        <s v="MG23211011009001"/>
        <s v="MG23211011010001"/>
        <s v="MG23211011011001"/>
        <s v="MG23211011012001"/>
        <s v="MG23211011016001"/>
        <s v="MG23211011020001"/>
        <s v="MG23211011029001"/>
        <s v="MG23211011030001"/>
        <s v="MG23211011031001"/>
        <s v="MG23A21101108001"/>
        <s v="MG25213210008001"/>
        <s v="MG25214171015001"/>
        <s v="MG33313194001001"/>
        <s v="MG52516190001001"/>
        <s v="MG52516190008001"/>
        <s v="MG52516190009001"/>
        <s v="MG52516190011001"/>
        <s v="MG53515115007001"/>
        <s v="MG53515115072001"/>
        <s v="MG25222051003001"/>
        <s v="MG24218050006001"/>
        <s v="MG51507030002001"/>
        <s v="MG53517291001001"/>
        <s v="MG53517291002001"/>
        <s v="MG53517291003001"/>
        <s v="MG53517291004001"/>
        <s v="MG53517291006001"/>
        <s v="MG53517291009001"/>
        <s v="MG53517291011001"/>
        <s v="MG53517291035001"/>
        <s v="MG53517291056001"/>
        <s v="MG53517291067001"/>
        <s v="MG53517291084001"/>
        <s v="MG53517291099001"/>
        <s v="MG51507310034001"/>
        <s v="MG51507310019001"/>
        <s v="MG51507310032001"/>
        <s v="MG51507310070001"/>
        <s v="MG51507310081001"/>
        <s v="MG51507310083001"/>
        <s v="MG51507310084001"/>
        <s v="MG51507310085001"/>
        <s v="MG51507310095001"/>
        <s v="MG51507310096001"/>
        <s v="MG51507310098001"/>
        <s v="MG25213110001001"/>
        <s v="MG25213110002001"/>
        <s v="MG25213110005001"/>
        <s v="MG51521031003001"/>
        <s v="MG25217130003001"/>
        <s v="MG25217130005001"/>
        <s v="MG31307070008001"/>
        <s v="MG25215051001001"/>
        <s v="MG25215051056001"/>
        <s v="MG52516170006001"/>
        <s v="MG52516170027001"/>
        <s v="MG52516170028001"/>
        <s v="MG52516170030001"/>
        <s v="MG52516170040001"/>
        <s v="MG52516170069001"/>
        <s v="MG52516170070001"/>
        <s v="MG52516170080001"/>
        <s v="MG25217111001001"/>
        <s v="MG25217111006001"/>
        <s v="MG25217111011001"/>
        <s v="MG25214252046001"/>
        <s v="MG52513050008001"/>
        <s v="MG52513050014001"/>
        <s v="MG52513050078001"/>
        <s v="MG52513050079001"/>
        <s v="MG52513070017001"/>
        <s v="MG52514050011001"/>
        <s v="MG52514050080001"/>
        <s v="MG25214131001001"/>
        <s v="MG25213472003001"/>
        <s v="MG25214091001001"/>
        <s v="MG53517168056001"/>
        <s v="MG53517170004001"/>
        <s v="MG53517170006001"/>
        <s v="MG53517170007001"/>
        <s v="MG53517170010001"/>
        <s v="MG53517170011001"/>
        <s v="MG53517270002001"/>
        <s v="MG53519090003001"/>
        <s v="MG54510152006001"/>
        <s v="MG25213170023001"/>
        <s v="MG25213170024001"/>
        <s v="MG52513010010001"/>
        <s v="MG52513010017001"/>
        <s v="MG25213170001001"/>
        <s v="MG25213170004001"/>
        <s v="MG23211073002001"/>
        <s v="MG31309050022001"/>
        <s v="MG53519190005001"/>
        <s v="MG53519190007001"/>
        <s v="MG53519190075001"/>
        <s v="MG25217030009001"/>
        <s v="MG25217030010001"/>
        <s v="MG25217030076001"/>
        <s v="MG23210190003001"/>
        <s v="MG25213150006001"/>
        <s v="MG25217150005001"/>
        <s v="MG25217051002001"/>
        <s v="MG25217051005001"/>
        <s v="MG25217051006001"/>
        <s v="MG25213290004001"/>
        <s v="MG25215032078001"/>
        <s v="MG52513070008001"/>
        <s v="MG52518130001001"/>
        <s v="MG52518130009001"/>
        <s v="MG52518130012001"/>
        <s v="MG52518130015001"/>
        <s v="MG52518130098001"/>
        <s v="MG51506170001001"/>
        <s v="MG51506170009001"/>
        <s v="MG23210330004001"/>
        <s v="MG25217012001001"/>
        <s v="MG25217012003001"/>
        <s v="MG25217012009001"/>
        <s v="MG25217012012001"/>
        <s v="MG25214270087001"/>
        <s v="MG25214070006001"/>
        <s v="MG25214070043001"/>
        <s v="MG25214070044001"/>
        <s v="MG25214171005001"/>
        <s v="MG23211051004001"/>
        <s v="MG31309050012001"/>
        <s v="MG25217112003001"/>
        <s v="MG25217112006001"/>
        <s v="MG53519210001001"/>
        <s v="MG53519210001002"/>
        <s v="MG53519210005001"/>
        <s v="MG53519210005002"/>
        <s v="MG53519210067001"/>
        <s v="MG53519210067002"/>
        <s v="MG31306070016001"/>
        <s v="MG41415032001001"/>
        <s v="MG51507090001001"/>
        <s v="MG51507090002001"/>
        <s v="MG51507090004001"/>
        <s v="MG51507090006001"/>
        <s v="MG51507090009001"/>
        <s v="MG51507090010001"/>
        <s v="MG51507090011001"/>
        <s v="MG51507090012001"/>
        <s v="MG51507090013001"/>
        <s v="MG51507090015001"/>
        <s v="MG51507130002001"/>
        <s v="MG52516013005001"/>
        <s v="MG52516013064001"/>
        <s v="MG52516013065001"/>
        <s v="MG52516013066001"/>
        <s v="MG52516013067001"/>
        <s v="MG52516013068001"/>
        <s v="MG52516013069001"/>
        <s v="MG52516013070001"/>
        <s v="MG52516013071001"/>
        <s v="MG52516013072001"/>
        <s v="MG52516071012001"/>
        <s v="MG52516071017001"/>
        <s v="MG52516071020001"/>
        <s v="MG52516071028001"/>
        <s v="MG52516071064001"/>
        <s v="MG52516071065001"/>
        <s v="MG52516071066001"/>
        <s v="MG52516071067001"/>
        <s v="MG52516071068001"/>
        <s v="MG52513092004001"/>
        <s v="MG52516071089001"/>
        <s v="MG52516072003001"/>
        <s v="MG52516072013001"/>
        <s v="MG52516072014001"/>
        <s v="MG52516072015001"/>
        <s v="MG52516072071001"/>
        <s v="MG52516072072001"/>
        <s v="MG52516072073001"/>
        <s v="MG52516072074001"/>
        <s v="MG52516072075001"/>
        <s v="MG52516072076001"/>
        <s v="MG52516072077001"/>
        <s v="MG52516072078001"/>
        <s v="MG52516072079001"/>
        <s v="MG52516072080001"/>
        <s v="MG52516072081001"/>
        <s v="MG52516072082001"/>
        <s v="MG52516072083001"/>
        <s v="MG52516072084001"/>
        <s v="MG52516072085001"/>
        <s v="MG52516072086001"/>
        <s v="MG52516072087001"/>
        <s v="MG52516072088001"/>
        <s v="MG52516072089001"/>
        <s v="MG52516072090001"/>
        <s v="MG52516072091001"/>
        <s v="MG51506015005001"/>
        <s v="MG51506015005002"/>
        <s v="MG51506015002001"/>
        <s v="MG51506015003001"/>
        <s v="MG51506015004001"/>
        <s v="MG51506015007001"/>
        <s v="MG51506015008001"/>
        <s v="MG51506015009001"/>
        <s v="MG51506015012001"/>
        <s v="MG51506015013001"/>
        <s v="MG51506130014001"/>
        <s v="MG51507110a_12001"/>
        <s v="MG53515253005001"/>
        <s v="MG52513070061001"/>
        <s v="MG52513070062001"/>
        <s v="MG52513070063001"/>
        <s v="MG52513070064001"/>
        <s v="MG52513070065001"/>
        <s v="MG52513070066001"/>
        <s v="MG52513070079001"/>
        <s v="MG54509130006001"/>
        <s v="MG53517293005001"/>
        <s v="MG53519130001001"/>
        <s v="MG53519130007001"/>
        <s v="MG23211033007001"/>
        <s v="MG23211033009001"/>
        <s v="MG53519250014001"/>
        <s v="MG25213590001001"/>
        <s v="MG25213590007001"/>
        <s v="MG23209032002001"/>
        <s v="MG42411170013001"/>
        <s v="MG51504010003001"/>
        <s v="MG52514050008001"/>
        <s v="MG52514050013001"/>
        <s v="MG52514050075001"/>
        <s v="MG52514050076001"/>
        <s v="MG52514050077001"/>
        <s v="MG52514050078001"/>
        <s v="MG52514050079001"/>
        <s v="MG33312152007001"/>
        <s v="MG52516112003001"/>
        <s v="MG52516112009001"/>
        <s v="MG52516112076001"/>
        <s v="MG52516112077001"/>
        <s v="MG52516112078001"/>
        <s v="MG52518152002001"/>
        <s v="MG52518152051001"/>
        <s v="MG52518152052001"/>
        <s v="MG52518152053001"/>
        <s v="MG52518152054001"/>
        <s v="MG52518152055001"/>
        <s v="MG52518152056001"/>
        <s v="MG25222031001001"/>
        <s v="MG51506050001001"/>
        <s v="MG51506050011001"/>
        <s v="MG51506050003001"/>
        <s v="MG51506050008001"/>
        <s v="MG51506050009001"/>
        <s v="MG51506050010001"/>
        <s v="MG51506050014001"/>
        <s v="MG51506050018001"/>
        <s v="MG51506050022001"/>
        <s v="MG51506050024001"/>
        <s v="MG51520170006001"/>
        <s v="MG52513091a_8001"/>
        <s v="MG25214152002001"/>
        <s v="MG25214152005001"/>
        <s v="MG25214152013001"/>
        <s v="MG43408150022001"/>
        <s v="MG25214151001001"/>
        <s v="MG25214151003001"/>
        <s v="MG25213230011001"/>
        <s v="MG25215011001001"/>
        <s v="MG25215011002001"/>
        <s v="MG33316052004001"/>
        <s v="MG41405150001001"/>
        <s v="MG51506191012001"/>
        <s v="MG52518010004001"/>
        <s v="MG52518010006001"/>
        <s v="MG52518010010001"/>
        <s v="MG52518010014001"/>
        <s v="MG54502010003001"/>
        <s v="MG25217191001001"/>
        <s v="MG25217191003001"/>
        <s v="MG25217191005001"/>
        <s v="MG25213230002001"/>
        <s v="MG53517293001001"/>
        <s v="MG53517293025001"/>
        <s v="MG51501006010001"/>
        <s v="MG52514012012001"/>
        <s v="MG52514012014001"/>
        <s v="MG52514012015001"/>
        <s v="MG52514012023001"/>
        <s v="MG52514012076001"/>
        <s v="MG52514012077001"/>
        <s v="MG52514012078001"/>
        <s v="MG52514012079001"/>
        <s v="MG52514012080001"/>
        <s v="MG51520170012001"/>
        <s v="MG51520170076001"/>
        <s v="MG53519292047001"/>
        <s v="MG25214190001001"/>
        <s v="MG25214190002001"/>
        <s v="MG25214190005001"/>
        <s v="MG25214190006001"/>
        <s v="MG25214190008001"/>
        <s v="MG25222051001001"/>
        <s v="MG41403050016001"/>
        <s v="MG53517332001001"/>
        <s v="MG53517332002001"/>
        <s v="MG53517332003001"/>
        <s v="MG54509030003001"/>
        <s v="MG51506011022001"/>
        <s v="MG51506012003001"/>
        <s v="MG51506012065001"/>
        <s v="MG51506012067001"/>
        <s v="MG51507070008001"/>
        <s v="MG51512112005001"/>
        <s v="MG51506270001001"/>
        <s v="MG51506270006001"/>
        <s v="MG53519070002001"/>
        <s v="MG53519070005001"/>
        <s v="MG53519070006001"/>
        <s v="MG53519070011001"/>
        <s v="MG53519070012001"/>
        <s v="MG25214332003001"/>
        <s v="MG25214332007001"/>
        <s v="MG25215012004001"/>
        <s v="MG42410191005001"/>
        <s v="MG52516111001001"/>
        <s v="MG52516111089001"/>
        <s v="MG52516111134001"/>
        <s v="MG52516111009001"/>
        <s v="MG52516111012001"/>
        <s v="MG52516111015001"/>
        <s v="MG52516111017001"/>
        <s v="MG52516111045001"/>
        <s v="MG52516111046001"/>
        <s v="MG52516111047001"/>
        <s v="MG52516111048001"/>
        <s v="MG52516111049001"/>
        <s v="MG52516111050001"/>
        <s v="MG52516111051001"/>
        <s v="MG52516111052001"/>
        <s v="MG52516111053001"/>
        <s v="MG52516111054001"/>
        <s v="MG52516111055001"/>
        <s v="MG52516111057001"/>
        <s v="MG52516111058001"/>
        <s v="MG52516111059001"/>
        <s v="MG52516111078001"/>
        <s v="MG53515033003001"/>
        <s v="MG53519010013001"/>
        <s v="MG25215052001001"/>
        <s v="MG25215052022001"/>
        <s v="MG51506192003001"/>
        <s v="MG51506210001001"/>
        <s v="MG51506210002001"/>
        <s v="MG51506210010001"/>
        <s v="MG51506210026001"/>
        <s v="MG51506210030001"/>
        <s v="MG51506252002001"/>
        <s v="MG51506252004001"/>
        <s v="MG51506252013001"/>
        <s v="MG52518152009001"/>
        <s v="MG25214070001001"/>
        <s v="MG44402072009001"/>
        <s v="MG51506090001001"/>
        <s v="MG51506090007001"/>
        <s v="MG51506090012001"/>
        <s v="MG23211072006001"/>
        <s v="MG25215011003001"/>
        <s v="MG42409150006001"/>
        <s v="MG52518210001001"/>
        <s v="MG52518210002001"/>
        <s v="MG25213430008001"/>
        <s v="MG32315030006002"/>
        <s v="MG53519050023002"/>
        <s v="MG53519050024002"/>
        <s v="MG53519050016001"/>
        <s v="MG25213230013001"/>
        <s v="MG43408150044001"/>
        <s v="MG51501001003001"/>
        <s v="MG51501005001001"/>
        <s v="MG53519270001001"/>
        <s v="MG51506111001001"/>
        <s v="MG51506111015001"/>
        <s v="MG51506111017001"/>
        <s v="MG51506111018001"/>
        <s v="MG53515111005001"/>
        <s v="MG54502070002001"/>
        <s v="MG25213450006001"/>
        <s v="MG25213450010001"/>
        <s v="MG53519110001001"/>
        <s v="MG53519110009001"/>
        <s v="MG53519110013001"/>
        <s v="MG53519110058001"/>
        <s v="MG52513030075001"/>
        <s v="MG52513030076001"/>
        <s v="MG52513030077001"/>
        <s v="MG52513091007001"/>
        <s v="MG52513091010001"/>
        <s v="MG52513091019001"/>
        <s v="MG51507030004001"/>
        <s v="MG52513030001001"/>
        <s v="MG52513030002001"/>
        <s v="MG52513030003001"/>
        <s v="MG52513030005001"/>
        <s v="MG52513030007001"/>
        <s v="MG52513030008001"/>
        <s v="MG52513030009001"/>
        <s v="MG52513030010001"/>
        <s v="MG52513030012001"/>
        <s v="MG52513030013001"/>
        <s v="MG52513030018001"/>
        <s v="MG52513030019001"/>
        <s v="MG52513030020001"/>
        <s v="MG52513030021001"/>
        <s v="MG52513030023001"/>
        <s v="MG52513030071001"/>
        <s v="MG52513030072001"/>
        <s v="MG52513030073001"/>
        <s v="MG52513030074001"/>
        <s v="MG25214032001001"/>
        <s v="MG71713170004001"/>
        <s v="MG23210271003001"/>
        <s v="MG25214050001001"/>
        <s v="MG25214050006001"/>
        <s v="MG51504010007001"/>
        <s v="MG52514011022001"/>
        <s v="MG52514011023001"/>
        <s v="MG52514011025001"/>
        <s v="MG52514011037001"/>
        <s v="MG52514011038001"/>
        <s v="MG52514011045001"/>
        <s v="MG52514011081001"/>
        <s v="MG52514011082001"/>
        <s v="MG52514011083001"/>
        <s v="MG52514011084001"/>
        <s v="MG52514011085001"/>
        <s v="MG52514011086001"/>
        <s v="MG52514011087001"/>
        <s v="MG52514011088001"/>
        <s v="MG52514011089001"/>
        <s v="MG52518110001001"/>
        <s v="MG52518110002001"/>
        <s v="MG52518110004001"/>
        <s v="MG52518110007001"/>
        <s v="MG52518110077001"/>
        <s v="MG52518092006001"/>
        <s v="MG52518092056001"/>
        <s v="MG52518092057001"/>
        <s v="MG53519230001002"/>
        <s v="MG53519230008002"/>
        <s v="MG25214010003001"/>
        <s v="MG25214010005001"/>
        <s v="MG25214010010001"/>
        <s v="MG25214010012001"/>
        <s v="MG51506130032001"/>
        <s v="MG51506130033001"/>
        <s v="MG25217192001001"/>
        <s v="MG25217192002001"/>
        <s v="MG25217192003001"/>
        <s v="MG25217192004001"/>
        <s v="MG25213050003001"/>
        <s v="MG25213050044001"/>
        <s v="MG25213050045001"/>
        <s v="MG25213570011001"/>
        <s v="MG32315010005001"/>
        <s v="MG25214112005001"/>
        <s v="MG25214312004001"/>
        <s v="MG25214312006001"/>
        <s v="MG52518252005001"/>
        <s v="MG52518252006001"/>
        <s v="MG52518252056001"/>
        <s v="MG52518252057001"/>
        <s v="MG52518252058001"/>
        <s v="MG25217071001001"/>
        <s v="MG25217071005001"/>
        <s v="MG25213030003001"/>
        <s v="MG25213030006001"/>
        <s v="MG25214171001001"/>
        <s v="MG43404171013001"/>
        <s v="MG51507250003001"/>
        <s v="MG51507250005001"/>
        <s v="MG51507250057001"/>
        <s v="MG51507250058001"/>
        <s v="MG51507250059001"/>
        <s v="MG51507250060001"/>
        <s v="MG51507250061001"/>
        <s v="MG51507250062001"/>
        <s v="MG51507250063001"/>
        <s v="MG25214111001001"/>
        <s v="MG25213090001001"/>
        <s v="MG51512130006001"/>
        <s v="MG25217011002001"/>
        <s v="MG25217011003001"/>
        <s v="MG25217011004001"/>
        <s v="MG43404070006001"/>
        <n v="603110005"/>
        <n v="603110013"/>
        <n v="603120002"/>
        <n v="603110015"/>
        <n v="603010013"/>
        <n v="603010020"/>
        <n v="603010030"/>
        <n v="603010025"/>
        <n v="603010009"/>
        <n v="603010004"/>
        <n v="603020015"/>
        <n v="603020005"/>
        <n v="603060006"/>
        <n v="603060040"/>
        <n v="603060017"/>
        <n v="603060011"/>
        <n v="603060020"/>
        <n v="603060013"/>
        <n v="603060014"/>
        <n v="603060010"/>
        <n v="603060012"/>
        <n v="603130020"/>
        <n v="603130018"/>
        <n v="603130009"/>
        <n v="603150005"/>
        <n v="603090012"/>
        <n v="603090007"/>
        <n v="603090018"/>
        <n v="603050008"/>
        <n v="603140007"/>
        <n v="603140014"/>
        <n v="603140018"/>
        <n v="603120001"/>
        <n v="603180005"/>
        <n v="603180004"/>
        <n v="603060037"/>
        <n v="603120005"/>
        <n v="603180006"/>
        <n v="603180002"/>
        <n v="603060021"/>
        <n v="603120003"/>
        <n v="603010034"/>
        <n v="603020002"/>
        <n v="603020022"/>
        <n v="603160001"/>
        <n v="603060027"/>
        <n v="603130002"/>
        <n v="603130028"/>
        <n v="603020017"/>
        <n v="603060030"/>
        <n v="603020006"/>
        <n v="603060007"/>
        <n v="603010012"/>
        <n v="603020007"/>
        <n v="603140011"/>
        <n v="603180003"/>
        <n v="603110007"/>
        <n v="603020011"/>
        <n v="603020012"/>
        <n v="603010016"/>
        <n v="603060028"/>
        <n v="603010017"/>
        <n v="603160003"/>
        <n v="603110010"/>
        <n v="603120012"/>
        <n v="603020013"/>
        <n v="603020021"/>
        <n v="603020014"/>
        <n v="603010031"/>
        <n v="603010021"/>
        <n v="603010035"/>
        <n v="603010023"/>
        <n v="603160005"/>
        <n v="603020023"/>
        <n v="603030015"/>
        <n v="604020007"/>
        <n v="604020004"/>
        <n v="604020002"/>
        <n v="604020010"/>
        <n v="604020003"/>
        <n v="604020001"/>
        <n v="604050012"/>
        <n v="604050037"/>
        <n v="604020009"/>
        <n v="604110001"/>
        <n v="604050002"/>
        <n v="604110005"/>
        <n v="604050007"/>
        <n v="604050017"/>
        <n v="604050010"/>
        <n v="604020006"/>
        <n v="604110011"/>
        <n v="604110002"/>
        <n v="604110007"/>
        <n v="604050015"/>
        <n v="604040001"/>
        <n v="604060031"/>
        <n v="604110003"/>
        <n v="604110008"/>
        <n v="604040007"/>
        <n v="604050013"/>
        <n v="604050011"/>
        <n v="604190005"/>
        <n v="604040009"/>
        <n v="604170022"/>
        <n v="604050005"/>
        <n v="604170007"/>
        <n v="604050014"/>
        <n v="604060019"/>
        <n v="604040008"/>
        <n v="604040002"/>
        <n v="604060032"/>
        <n v="604060010"/>
        <n v="604050003"/>
        <n v="604060025"/>
        <n v="604010010"/>
        <n v="604010005"/>
        <n v="604170024"/>
        <n v="604190012"/>
        <n v="604060021"/>
        <n v="604010001"/>
        <n v="604140009"/>
        <n v="604030009"/>
        <n v="604140014"/>
        <n v="604140002"/>
        <n v="604170019"/>
        <n v="604060009"/>
        <n v="604010015"/>
        <n v="604060002"/>
        <n v="604060023"/>
        <n v="604170014"/>
        <n v="604170025"/>
        <n v="604060022"/>
        <n v="604060012"/>
        <n v="604060046"/>
        <n v="604150003"/>
        <n v="604150012"/>
        <n v="604140019"/>
        <n v="604170003"/>
        <n v="604010009"/>
        <n v="604170006"/>
        <n v="604150010"/>
        <n v="604060003"/>
        <n v="604150006"/>
        <n v="604170017"/>
        <n v="604190015"/>
        <n v="604060026"/>
        <n v="604150002"/>
        <n v="604140013"/>
        <n v="604140012"/>
        <n v="604060029"/>
        <n v="604170009"/>
        <n v="604010002"/>
        <n v="604060007"/>
        <n v="604170021"/>
        <n v="604060011"/>
        <n v="604170011"/>
        <n v="604140001"/>
        <n v="604150004"/>
        <n v="604150023"/>
        <n v="604010013"/>
        <n v="604030011"/>
        <n v="604060027"/>
        <n v="604150011"/>
        <n v="604010008"/>
        <n v="604150009"/>
        <n v="604030008"/>
        <n v="604030005"/>
        <n v="604140003"/>
        <n v="604030013"/>
        <n v="604060016"/>
        <n v="604060044"/>
        <n v="604030016"/>
        <n v="604090005"/>
        <n v="604030014"/>
        <n v="604090003"/>
        <n v="604090008"/>
        <n v="604030019"/>
        <n v="604090007"/>
        <n v="604090004"/>
        <n v="604030001"/>
        <n v="604090002"/>
        <n v="604190007"/>
        <n v="604190013"/>
        <n v="604090010"/>
        <n v="604190008"/>
        <n v="604190002"/>
        <n v="604030015"/>
        <n v="604190014"/>
        <n v="604010012"/>
        <n v="604170008"/>
        <n v="604110004"/>
        <n v="604020011"/>
        <n v="604060001"/>
        <n v="604170004"/>
        <n v="604030028"/>
        <n v="604090014"/>
        <n v="604030002"/>
        <n v="604030025"/>
        <n v="604040016"/>
        <n v="604090017"/>
        <n v="604050022"/>
        <n v="604060030"/>
        <n v="604030006"/>
        <n v="604170018"/>
        <n v="604090021"/>
        <n v="604170037"/>
        <n v="604160001"/>
        <n v="604160004"/>
        <n v="604160002"/>
        <n v="604160003"/>
        <n v="604130026"/>
        <n v="604130009"/>
        <n v="604130019"/>
        <n v="604130008"/>
        <n v="604130031"/>
        <n v="604130010"/>
        <n v="604100027"/>
        <n v="604130012"/>
        <n v="604130028"/>
        <n v="604130025"/>
        <n v="604130014"/>
        <n v="604100011"/>
        <n v="604100019"/>
        <n v="604130005"/>
        <n v="604130007"/>
        <n v="604130006"/>
        <n v="604130022"/>
        <n v="604080005"/>
        <n v="604080017"/>
        <n v="604100031"/>
        <n v="604080010"/>
        <n v="604080011"/>
        <n v="604080019"/>
        <n v="604080018"/>
        <n v="604100018"/>
        <n v="604100017"/>
        <n v="604100051"/>
        <n v="604070003"/>
        <n v="604070001"/>
        <n v="604130016"/>
        <n v="604130034"/>
        <n v="604100060"/>
        <n v="604080050"/>
        <n v="604130032"/>
        <n v="604070004"/>
        <n v="604100016"/>
        <n v="604100058"/>
        <n v="604070008"/>
        <n v="604120007"/>
        <n v="604070010"/>
        <n v="604220016"/>
        <n v="604080042"/>
        <n v="604100057"/>
        <n v="607110009"/>
        <n v="607110003"/>
        <n v="607070019"/>
        <n v="607070003"/>
        <n v="607110004"/>
        <n v="607070014"/>
        <n v="607110011"/>
        <n v="607110007"/>
        <n v="607070008"/>
        <n v="607110002"/>
        <n v="607070002"/>
        <n v="607070016"/>
        <n v="607080003"/>
        <n v="607080005"/>
        <n v="607070033"/>
        <n v="607110010"/>
        <n v="607070027"/>
        <n v="607070022"/>
        <n v="607070026"/>
        <n v="607070029"/>
        <n v="607080013"/>
        <n v="607070034"/>
        <n v="607070024"/>
        <n v="607080004"/>
        <n v="607080012"/>
        <n v="607070011"/>
        <n v="607080007"/>
        <n v="607080018"/>
        <n v="607080016"/>
        <n v="607070021"/>
        <n v="607080017"/>
        <n v="607070025"/>
        <n v="607100010"/>
        <n v="607070006"/>
        <n v="607080023"/>
        <n v="607080006"/>
        <n v="607070013"/>
        <n v="607100003"/>
        <n v="607100006"/>
        <n v="607080015"/>
        <n v="607160001"/>
        <n v="607080022"/>
        <n v="607120013"/>
        <n v="607120009"/>
        <n v="607120007"/>
        <n v="607120001"/>
        <n v="607160006"/>
        <n v="607120002"/>
        <n v="607160007"/>
        <n v="607040001"/>
        <n v="607120012"/>
        <n v="607120014"/>
        <n v="607040005"/>
        <n v="607120010"/>
        <n v="607160004"/>
        <n v="607120015"/>
        <n v="607040003"/>
        <n v="607120016"/>
        <n v="607150011"/>
        <n v="607040004"/>
        <n v="607120003"/>
        <n v="607060004"/>
        <n v="607060003"/>
        <n v="607120011"/>
        <n v="607060005"/>
        <n v="607140003"/>
        <n v="607140001"/>
        <n v="607150017"/>
        <n v="607140013"/>
        <n v="607140010"/>
        <n v="607050006"/>
        <n v="607150019"/>
        <n v="607050008"/>
        <n v="607150012"/>
        <n v="607150002"/>
        <n v="607090010"/>
        <n v="607190011"/>
        <n v="607050001"/>
        <n v="607190008"/>
        <n v="607190001"/>
        <n v="607190003"/>
        <n v="607190005"/>
        <n v="607150010"/>
        <n v="607050003"/>
        <n v="607170006"/>
        <n v="607190009"/>
        <n v="607010032"/>
        <n v="607010027"/>
        <n v="607140007"/>
        <n v="607140008"/>
        <n v="607140004"/>
        <n v="607140005"/>
        <n v="607140009"/>
        <n v="607190007"/>
        <n v="607170005"/>
        <n v="607170002"/>
        <n v="607090006"/>
        <n v="607010024"/>
        <n v="607090012"/>
        <n v="607090005"/>
        <n v="607020010"/>
        <n v="607010001"/>
        <n v="607020009"/>
        <n v="607010004"/>
        <n v="607010029"/>
        <n v="607180002"/>
        <n v="607020007"/>
        <n v="607020011"/>
        <n v="607010023"/>
        <n v="607010021"/>
        <n v="607010020"/>
        <n v="607130017"/>
        <n v="601010020"/>
        <n v="601010019"/>
        <n v="607030001"/>
        <n v="607160005"/>
        <n v="607120022"/>
        <n v="607180011"/>
        <n v="607120024"/>
        <n v="607120006"/>
        <n v="607020004"/>
        <n v="607180010"/>
        <n v="607010036"/>
        <n v="607020014"/>
        <n v="607180008"/>
        <n v="607170004"/>
        <n v="609050008"/>
        <n v="609050007"/>
        <n v="609050033"/>
        <n v="609050028"/>
        <n v="609050039"/>
        <n v="609050018"/>
        <n v="609050045"/>
        <n v="609050025"/>
        <n v="609050005"/>
        <n v="609050015"/>
        <n v="609050024"/>
        <n v="609020014"/>
        <n v="609050030"/>
        <n v="609050019"/>
        <n v="609020002"/>
        <n v="609050001"/>
        <n v="609020008"/>
        <n v="609050010"/>
        <n v="609020028"/>
        <n v="609020006"/>
        <n v="609020030"/>
        <n v="609020022"/>
        <n v="609020021"/>
        <n v="609050020"/>
        <n v="609050013"/>
        <n v="609020017"/>
        <n v="609010008"/>
        <n v="609020039"/>
        <n v="609020005"/>
        <n v="609010010"/>
        <n v="609020012"/>
        <n v="609010035"/>
        <n v="609020026"/>
        <n v="609020043"/>
        <n v="609050043"/>
        <n v="609020015"/>
        <n v="609010021"/>
        <n v="609020007"/>
        <n v="609010007"/>
        <n v="609030015"/>
        <n v="609010012"/>
        <n v="609030004"/>
        <n v="609010031"/>
        <n v="609020035"/>
        <n v="609050009"/>
        <n v="609010017"/>
        <n v="609050003"/>
        <n v="609010025"/>
        <n v="609010004"/>
        <n v="609030010"/>
        <n v="609020018"/>
        <n v="609010015"/>
        <n v="609010018"/>
        <n v="609010054"/>
        <n v="609030008"/>
        <n v="609020010"/>
        <n v="609020034"/>
        <n v="609030007"/>
        <n v="609020019"/>
        <n v="609030003"/>
        <n v="609030009"/>
        <n v="609010020"/>
        <n v="609020013"/>
        <n v="609020025"/>
        <n v="609030016"/>
        <n v="609010001"/>
        <n v="609060015"/>
        <n v="609010013"/>
        <n v="609010005"/>
        <n v="609060009"/>
        <n v="609060010"/>
        <n v="609030005"/>
        <n v="609040006"/>
        <n v="609060002"/>
        <n v="609060004"/>
        <n v="609060001"/>
        <n v="609040005"/>
        <n v="609010052"/>
        <n v="609060011"/>
        <n v="609040024"/>
        <n v="609040003"/>
        <n v="609010034"/>
        <n v="609060003"/>
        <n v="609040042"/>
        <n v="609040039"/>
        <n v="609010019"/>
        <n v="609040016"/>
        <n v="609010006"/>
        <n v="609040007"/>
        <n v="609010024"/>
        <n v="609040017"/>
        <n v="609060006"/>
        <n v="609060007"/>
        <n v="609040014"/>
        <n v="609040013"/>
        <n v="609040022"/>
        <n v="609040047"/>
        <n v="609060005"/>
        <n v="609040025"/>
        <n v="609040019"/>
        <n v="609040011"/>
        <n v="609060016"/>
        <n v="609040037"/>
        <n v="609040015"/>
        <n v="609040026"/>
        <n v="609040029"/>
        <n v="609040028"/>
        <n v="609040008"/>
        <n v="609040012"/>
        <n v="609040020"/>
        <n v="609050022"/>
        <n v="609010016"/>
        <n v="609050044"/>
        <n v="609030020"/>
        <n v="609030028"/>
        <n v="604200001"/>
        <n v="604200008"/>
        <n v="604200004"/>
        <n v="604030003"/>
        <n v="604200003"/>
        <n v="613200001"/>
        <n v="614270009"/>
        <n v="613010013"/>
        <n v="613210008"/>
        <n v="613200002"/>
        <n v="613210002"/>
        <n v="613200007"/>
        <n v="613100006"/>
        <n v="613100023"/>
        <n v="613100021"/>
        <n v="614050012"/>
        <n v="614050008"/>
        <n v="614050001"/>
        <n v="614050002"/>
        <n v="614050004"/>
        <n v="614060004"/>
        <n v="614210002"/>
        <n v="614070001"/>
        <n v="614210011"/>
        <n v="614210003"/>
        <n v="614250003"/>
        <n v="614070004"/>
        <n v="614070006"/>
        <n v="614070002"/>
        <n v="614070011"/>
        <n v="614070003"/>
        <n v="614230004"/>
        <n v="614210019"/>
        <n v="614210004"/>
        <n v="614230005"/>
        <n v="614250007"/>
        <n v="614160009"/>
        <n v="614160014"/>
        <n v="614030002"/>
        <n v="614030004"/>
        <n v="614030001"/>
        <n v="614020016"/>
        <n v="614240020"/>
        <n v="614240003"/>
        <n v="614240004"/>
        <n v="614220002"/>
        <n v="614020019"/>
        <n v="614240005"/>
        <n v="614060001"/>
        <n v="614020014"/>
        <n v="614230002"/>
        <n v="614210014"/>
        <n v="614030014"/>
        <n v="614070012"/>
        <n v="614020017"/>
        <n v="614060008"/>
        <n v="614060003"/>
        <n v="614070013"/>
        <n v="614240008"/>
        <n v="614150004"/>
        <n v="614250006"/>
        <n v="614270001"/>
        <n v="614050010"/>
        <n v="614290001"/>
        <n v="614050011"/>
        <n v="614150005"/>
        <n v="614220003"/>
        <n v="614030010"/>
        <n v="614170014"/>
        <n v="614020018"/>
        <n v="614250002"/>
        <n v="614210005"/>
        <n v="614060005"/>
        <n v="614060010"/>
        <n v="614050009"/>
        <n v="614150028"/>
        <n v="614150022"/>
        <n v="614210020"/>
        <n v="614060006"/>
        <n v="614010004"/>
        <n v="614240011"/>
        <n v="614210010"/>
        <n v="614150009"/>
        <n v="614190007"/>
        <n v="614060011"/>
        <n v="614030003"/>
        <n v="614150010"/>
        <n v="614150011"/>
        <n v="614120003"/>
        <n v="614220005"/>
        <n v="614190003"/>
        <n v="614230006"/>
        <n v="614240002"/>
        <n v="614020020"/>
        <n v="614150013"/>
        <n v="614150025"/>
        <n v="614190004"/>
        <n v="614020023"/>
        <n v="614070005"/>
        <n v="614210015"/>
        <n v="614210012"/>
        <n v="614230008"/>
        <n v="614270003"/>
        <n v="614240013"/>
        <n v="614020004"/>
        <n v="614190005"/>
        <n v="614070007"/>
        <n v="614020010"/>
        <n v="614150016"/>
        <n v="614150018"/>
        <n v="614250001"/>
        <n v="614020005"/>
        <n v="614020022"/>
        <n v="614290002"/>
        <n v="614210021"/>
        <n v="614020029"/>
        <n v="614020021"/>
        <n v="614020028"/>
        <n v="614060013"/>
        <n v="614060009"/>
        <n v="614140006"/>
        <n v="614180002"/>
        <n v="621040007"/>
        <n v="621070013"/>
        <n v="621040020"/>
        <n v="621040025"/>
        <n v="621040016"/>
        <n v="621070007"/>
        <n v="621040014"/>
        <n v="621070014"/>
        <n v="621070019"/>
        <n v="621070011"/>
        <n v="621070006"/>
        <n v="621070017"/>
        <n v="621040022"/>
        <n v="621060012"/>
        <n v="621070004"/>
        <n v="621060010"/>
        <n v="621060007"/>
        <n v="621040038"/>
        <n v="621070003"/>
        <n v="621040008"/>
        <n v="621070021"/>
        <n v="621040031"/>
        <n v="621060006"/>
        <n v="621070009"/>
        <n v="621040003"/>
        <n v="621060008"/>
        <n v="621060009"/>
        <n v="621040018"/>
        <n v="621040017"/>
        <n v="621080004"/>
        <n v="621060011"/>
        <n v="621080017"/>
        <n v="621010017"/>
        <n v="621080023"/>
        <n v="621060005"/>
        <n v="621080015"/>
        <n v="621080021"/>
        <n v="621010004"/>
        <n v="621010016"/>
        <n v="621080022"/>
        <n v="621010018"/>
        <n v="621080008"/>
        <n v="621080040"/>
        <n v="621080016"/>
        <n v="621010011"/>
        <n v="621080011"/>
        <n v="621080014"/>
        <n v="621080034"/>
        <n v="621080002"/>
        <n v="621010022"/>
        <n v="621050028"/>
        <n v="621010013"/>
        <n v="621050017"/>
        <n v="621050007"/>
        <n v="621040010"/>
        <n v="621010007"/>
        <n v="621080005"/>
        <n v="621050018"/>
        <n v="621010010"/>
        <n v="621050002"/>
        <n v="621050029"/>
        <n v="621050012"/>
        <n v="621030009"/>
        <n v="621050034"/>
        <n v="621030001"/>
        <n v="621050014"/>
        <n v="621080026"/>
        <n v="621030013"/>
        <n v="621050030"/>
        <n v="621050051"/>
        <n v="621010009"/>
        <n v="621050037"/>
        <n v="621050021"/>
        <n v="621050036"/>
        <n v="621030017"/>
        <n v="621030014"/>
        <n v="621050032"/>
        <n v="621030025"/>
        <n v="621030008"/>
        <n v="621030022"/>
        <n v="621030006"/>
        <n v="621030012"/>
        <n v="621050009"/>
        <n v="621050001"/>
        <n v="621050047"/>
        <n v="621080030"/>
        <n v="621050013"/>
        <n v="621030027"/>
        <n v="621050025"/>
        <n v="621030020"/>
        <n v="621050024"/>
        <n v="621050023"/>
        <n v="621030016"/>
        <n v="621080039"/>
        <n v="621030007"/>
        <n v="621030021"/>
        <n v="621080025"/>
        <n v="605030010"/>
        <n v="605030025"/>
        <n v="605030023"/>
        <n v="605030016"/>
        <n v="605030003"/>
        <n v="605030021"/>
        <n v="605030011"/>
        <n v="605030002"/>
        <n v="605030004"/>
        <n v="605030024"/>
        <n v="605030013"/>
        <n v="605030008"/>
        <n v="605030012"/>
        <n v="605030015"/>
        <n v="605030009"/>
        <n v="605020002"/>
        <n v="605030007"/>
        <n v="605030022"/>
        <n v="605130007"/>
        <n v="605030029"/>
        <n v="605030014"/>
        <n v="605030026"/>
        <n v="605130017"/>
        <n v="605130009"/>
        <n v="605020007"/>
        <n v="605130011"/>
        <n v="605020004"/>
        <n v="605130014"/>
        <n v="605130019"/>
        <n v="605020017"/>
        <n v="605010014"/>
        <n v="605020013"/>
        <n v="605020026"/>
        <n v="605020014"/>
        <n v="605130008"/>
        <n v="605130016"/>
        <n v="605020022"/>
        <n v="605010006"/>
        <n v="605130023"/>
        <n v="605160004"/>
        <n v="605160012"/>
        <n v="605020016"/>
        <n v="605020005"/>
        <n v="605020003"/>
        <n v="605020010"/>
        <n v="605020011"/>
        <n v="605020012"/>
        <n v="605130018"/>
        <n v="605020006"/>
        <n v="605130020"/>
        <n v="605160007"/>
        <n v="605160008"/>
        <n v="605160001"/>
        <n v="605020023"/>
        <n v="605160002"/>
        <n v="605160006"/>
        <n v="605160014"/>
        <n v="605010002"/>
        <n v="605010003"/>
        <n v="605130006"/>
        <n v="605140006"/>
        <n v="605160003"/>
        <n v="605130010"/>
        <n v="605050011"/>
        <n v="605050006"/>
        <n v="605140002"/>
        <n v="605140007"/>
        <n v="605140004"/>
        <n v="605050003"/>
        <n v="605010004"/>
        <n v="605010005"/>
        <n v="605050008"/>
        <n v="605010008"/>
        <n v="605100009"/>
        <n v="605140001"/>
        <n v="605130028"/>
        <n v="605040003"/>
        <n v="605050005"/>
        <n v="605100022"/>
        <n v="605040014"/>
        <n v="605050001"/>
        <n v="605130002"/>
        <n v="605010001"/>
        <n v="605140009"/>
        <n v="605100016"/>
        <n v="605140008"/>
        <n v="605140005"/>
        <n v="605040006"/>
        <n v="605050002"/>
        <n v="605130015"/>
        <n v="605040008"/>
        <n v="605120004"/>
        <n v="605100036"/>
        <n v="605050013"/>
        <n v="605130005"/>
        <n v="605070016"/>
        <n v="605070007"/>
        <n v="605100041"/>
        <n v="605100013"/>
        <n v="605070001"/>
        <n v="605040002"/>
        <n v="605130024"/>
        <n v="605070011"/>
        <n v="605080005"/>
        <n v="605100027"/>
        <n v="605070010"/>
        <n v="605070008"/>
        <n v="605080001"/>
        <n v="605070026"/>
        <n v="605131004"/>
        <n v="605070014"/>
        <n v="605100006"/>
        <n v="605100028"/>
        <n v="605100031"/>
        <n v="605100020"/>
        <n v="605070009"/>
        <n v="605100019"/>
        <n v="605070013"/>
        <n v="605070012"/>
        <n v="605070003"/>
        <n v="605070023"/>
        <n v="605100011"/>
        <n v="605131003"/>
        <n v="605120005"/>
        <n v="605080011"/>
        <n v="605080029"/>
        <n v="605100024"/>
        <n v="605070004"/>
        <n v="605120006"/>
        <n v="605100012"/>
        <n v="605040007"/>
        <n v="605100035"/>
        <n v="605100023"/>
        <n v="605070019"/>
        <n v="605120003"/>
        <n v="605080007"/>
        <n v="605120016"/>
        <n v="605100017"/>
        <n v="605120007"/>
        <n v="605080006"/>
        <n v="605170010"/>
        <n v="605100004"/>
        <n v="605170021"/>
        <n v="605170004"/>
        <n v="605171003"/>
        <n v="605070017"/>
        <n v="605120008"/>
        <n v="605080025"/>
        <n v="605110051"/>
        <n v="605110012"/>
        <n v="605170024"/>
        <n v="605100015"/>
        <n v="605170019"/>
        <n v="605080002"/>
        <n v="605170007"/>
        <n v="605110001"/>
        <n v="605150004"/>
        <n v="605120011"/>
        <n v="605120009"/>
        <n v="605110019"/>
        <n v="605170008"/>
        <n v="605080003"/>
        <n v="605110018"/>
        <n v="605110013"/>
        <n v="605110004"/>
        <n v="605170014"/>
        <n v="605110016"/>
        <n v="605170005"/>
        <n v="605150016"/>
        <n v="605110038"/>
        <n v="605170003"/>
        <n v="605110020"/>
        <n v="605110005"/>
        <n v="605170017"/>
        <n v="605150009"/>
        <n v="605110032"/>
        <n v="605110029"/>
        <n v="605100005"/>
        <n v="605170013"/>
        <n v="605150021"/>
        <n v="605110037"/>
        <n v="605110030"/>
        <n v="605150002"/>
        <n v="605110002"/>
        <n v="605100008"/>
        <n v="605110042"/>
        <n v="605100002"/>
        <n v="605170011"/>
        <n v="605110006"/>
        <n v="605170018"/>
        <n v="605150013"/>
        <n v="605110025"/>
        <n v="605110027"/>
        <n v="605110028"/>
        <n v="605170002"/>
        <n v="605090015"/>
        <n v="605100014"/>
        <n v="605110010"/>
        <n v="605090001"/>
        <n v="605110023"/>
        <n v="605090002"/>
        <n v="605110009"/>
        <n v="605090004"/>
        <n v="605090003"/>
        <n v="605110017"/>
        <n v="605090009"/>
        <n v="605110022"/>
        <n v="605170012"/>
        <n v="605030005"/>
        <n v="605130013"/>
        <n v="605160010"/>
        <n v="605170009"/>
        <n v="317080016"/>
        <n v="306240011"/>
        <n v="306240008"/>
        <n v="306240013"/>
        <n v="306240006"/>
        <n v="306080008"/>
        <n v="306080006"/>
        <n v="306080016"/>
        <n v="306080007"/>
        <n v="306080017"/>
        <n v="306090002"/>
        <n v="306110001"/>
        <n v="306110007"/>
        <n v="306110002"/>
        <n v="306110003"/>
        <n v="306110004"/>
        <n v="306110006"/>
        <n v="306150009"/>
        <n v="306150015"/>
        <n v="306160004"/>
        <n v="306160005"/>
        <n v="323100005"/>
        <n v="323100003"/>
        <n v="309080007"/>
        <n v="309260015"/>
        <n v="112150002"/>
        <n v="603190002"/>
        <n v="603060005"/>
        <n v="603060004"/>
        <n v="603190008"/>
        <n v="603190004"/>
        <n v="603060019"/>
        <n v="603060015"/>
        <n v="603190006"/>
        <n v="320170009"/>
        <n v="117010024"/>
        <n v="117010004"/>
        <n v="112220016"/>
        <n v="112220004"/>
        <n v="117080011"/>
        <n v="117080002"/>
        <n v="117080021"/>
        <n v="117080006"/>
        <n v="117080009"/>
        <n v="117080012"/>
        <n v="117080014"/>
        <n v="117100013"/>
        <n v="112020018"/>
        <n v="111190009"/>
        <n v="111190001"/>
        <n v="0"/>
        <n v="111010003"/>
        <n v="111050005"/>
        <n v="111050003"/>
        <n v="111050007"/>
        <n v="111050009"/>
        <n v="111050012"/>
        <n v="111050015"/>
        <n v="111050016"/>
        <n v="111050018"/>
        <n v="111050022"/>
        <n v="111100011"/>
        <n v="111100002"/>
        <n v="111100028"/>
        <n v="111100015"/>
        <n v="111150010"/>
        <n v="111150012"/>
        <n v="309190007"/>
        <n v="309190006"/>
        <n v="309190005"/>
        <n v="309230005"/>
        <n v="309230002"/>
        <n v="309300006"/>
        <n v="309300004"/>
        <n v="309300005"/>
        <n v="309290007"/>
        <n v="309230003"/>
        <n v="309290008"/>
        <n v="309290005"/>
        <n v="309070007"/>
        <n v="309070002"/>
        <n v="309080013"/>
        <n v="309080014"/>
        <n v="309050004"/>
        <n v="309050011"/>
        <n v="309050002"/>
        <n v="309050006"/>
        <n v="309050007"/>
        <n v="309330001"/>
        <n v="309280006"/>
        <n v="309080005"/>
        <n v="309020022"/>
        <n v="309330009"/>
        <n v="309190004"/>
        <n v="309010016"/>
        <n v="309030010"/>
        <n v="309100012"/>
        <n v="309120017"/>
        <n v="309100019"/>
        <n v="309010021"/>
        <n v="317290001"/>
        <n v="316280006"/>
        <n v="316050012"/>
        <n v="316280007"/>
        <n v="316130002"/>
        <n v="316280005"/>
        <n v="316050022"/>
        <n v="117020008"/>
        <n v="117020020"/>
        <n v="316180002"/>
        <n v="316080004"/>
        <n v="316060006"/>
        <n v="316270003"/>
        <n v="316140004"/>
        <n v="316060010"/>
        <n v="316270005"/>
        <n v="117020012"/>
        <n v="117020014"/>
        <n v="117020015"/>
        <n v="316060016"/>
        <n v="317070011"/>
        <n v="317080004"/>
        <n v="317080013"/>
        <n v="317090004"/>
        <n v="317090005"/>
        <n v="317090010"/>
        <n v="317090009"/>
        <n v="317080008"/>
        <n v="317080012"/>
        <n v="317230011"/>
        <n v="317230021"/>
        <n v="317220008"/>
        <n v="317230010"/>
        <n v="317230004"/>
        <n v="317230006"/>
        <n v="317220003"/>
        <n v="317230007"/>
        <n v="317170010"/>
        <n v="317230018"/>
        <n v="317230016"/>
        <n v="317170013"/>
        <n v="317100014"/>
        <n v="317230008"/>
        <n v="317230023"/>
        <n v="317230002"/>
        <n v="317170003"/>
        <n v="317250009"/>
        <n v="317180002"/>
        <n v="317070004"/>
        <n v="317170006"/>
        <n v="317020012"/>
        <n v="317150002"/>
        <n v="317150003"/>
        <n v="317080015"/>
        <n v="317020015"/>
        <n v="317070013"/>
        <n v="317180009"/>
        <n v="317150004"/>
        <n v="317220004"/>
        <n v="317260005"/>
        <n v="317220005"/>
        <n v="317220007"/>
        <n v="317240009"/>
        <n v="317070019"/>
        <n v="320240020"/>
        <n v="320050008"/>
        <n v="320070002"/>
        <n v="320240011"/>
        <n v="320040005"/>
        <n v="320230002"/>
        <n v="320210005"/>
        <n v="320210003"/>
        <n v="320140010"/>
        <n v="320230009"/>
        <n v="320050012"/>
        <n v="320230007"/>
        <n v="320280009"/>
        <n v="320140005"/>
        <n v="320040009"/>
        <n v="320110003"/>
        <n v="320040007"/>
        <n v="320050003"/>
        <n v="320140003"/>
        <n v="320110005"/>
        <n v="320280005"/>
        <n v="320140013"/>
        <n v="320280007"/>
        <n v="320190017"/>
        <n v="320110010"/>
        <n v="320040012"/>
        <n v="320280012"/>
        <n v="612030002"/>
        <n v="621050010"/>
        <n v="621050027"/>
        <n v="612020006"/>
        <n v="621050046"/>
        <n v="621050031"/>
        <n v="614210009"/>
        <n v="614210006"/>
        <n v="621050004"/>
        <n v="612230010"/>
        <n v="612100016"/>
        <n v="612130015"/>
        <n v="612130018"/>
        <n v="612080007"/>
        <n v="612140001"/>
        <n v="612280002"/>
        <n v="612130016"/>
        <n v="612030008"/>
        <n v="612250004"/>
        <n v="612030001"/>
        <n v="612230005"/>
        <n v="612030009"/>
        <n v="612230009"/>
        <n v="612030006"/>
        <n v="612050018"/>
        <n v="612050002"/>
        <n v="612210001"/>
        <n v="612190012"/>
        <n v="612190022"/>
        <n v="612190005"/>
        <n v="612050013"/>
        <n v="612210003"/>
        <n v="612190006"/>
        <n v="612150001"/>
        <n v="612210002"/>
        <n v="612210004"/>
        <n v="612150011"/>
        <n v="612070007"/>
        <n v="612150005"/>
        <n v="612150013"/>
        <n v="612150007"/>
        <n v="612150004"/>
        <n v="612020007"/>
        <n v="612020015"/>
        <n v="612020012"/>
        <n v="612150008"/>
        <n v="612020016"/>
        <n v="612020008"/>
        <n v="612070001"/>
        <n v="612150009"/>
        <n v="612070005"/>
        <n v="612040003"/>
        <n v="612060017"/>
        <n v="612150016"/>
        <n v="612170013"/>
        <n v="612170023"/>
        <n v="612120005"/>
        <n v="612170003"/>
        <n v="612060002"/>
        <n v="612070006"/>
        <n v="612060006"/>
        <n v="612060015"/>
        <n v="612060003"/>
        <n v="612120002"/>
        <n v="612060020"/>
        <n v="612060009"/>
        <n v="612170007"/>
        <n v="612260004"/>
        <n v="612010002"/>
        <n v="612260015"/>
        <n v="612070003"/>
        <n v="612060014"/>
        <n v="618020010"/>
        <n v="618020007"/>
        <n v="618020009"/>
        <n v="618090014"/>
        <n v="618040006"/>
        <n v="618040007"/>
        <n v="618090003"/>
        <n v="618050006"/>
        <n v="618090018"/>
        <n v="618090009"/>
        <n v="618080015"/>
        <n v="618060003"/>
        <n v="618010020"/>
        <n v="618010019"/>
        <n v="618060004"/>
        <n v="618060002"/>
        <n v="618010006"/>
        <n v="618010007"/>
        <n v="618010005"/>
        <n v="618010014"/>
        <n v="618080011"/>
        <n v="618100033"/>
        <n v="618010025"/>
        <n v="618040010"/>
        <n v="618101115"/>
        <n v="620100008"/>
        <n v="620010008"/>
        <n v="620130014"/>
        <n v="620130012"/>
        <n v="620130004"/>
        <n v="620130003"/>
        <n v="601010014"/>
        <n v="601010007"/>
        <n v="601010023"/>
        <n v="601010033"/>
        <n v="601010016"/>
        <n v="601010000"/>
        <n v="602091001"/>
        <n v="602091009"/>
        <n v="602090005"/>
        <n v="602090009"/>
        <n v="602230003"/>
        <n v="602230004"/>
        <n v="602091003"/>
        <n v="602171003"/>
        <n v="602170004"/>
        <n v="602110009"/>
        <n v="602110004"/>
        <n v="602110008"/>
        <n v="602130003"/>
        <n v="602110010"/>
        <n v="602010009"/>
        <n v="602010002"/>
        <n v="602010003"/>
        <n v="602010007"/>
        <n v="602110005"/>
        <n v="602220002"/>
        <n v="602220006"/>
        <n v="602210004"/>
        <n v="602210006"/>
        <n v="602100015"/>
        <n v="602100006"/>
        <n v="602100007"/>
        <n v="602240002"/>
        <n v="602150014"/>
        <n v="602200002"/>
        <n v="602150008"/>
        <n v="602200006"/>
        <n v="602240008"/>
        <n v="602100005"/>
        <n v="602120017"/>
        <n v="602120009"/>
        <n v="602120010"/>
        <n v="602070010"/>
        <n v="602070007"/>
        <n v="602070011"/>
        <n v="602070003"/>
        <n v="602070008"/>
        <n v="602070006"/>
        <n v="602070005"/>
        <n v="602050005"/>
        <n v="602050020"/>
        <n v="602050019"/>
        <n v="602030005"/>
        <n v="602030014"/>
        <n v="602030012"/>
        <n v="602050006"/>
        <n v="602170005"/>
        <n v="602110006"/>
      </sharedItems>
    </cacheField>
    <cacheField name="POI_code_ancien" numFmtId="0">
      <sharedItems containsNonDate="0" containsString="0" containsBlank="1"/>
    </cacheField>
    <cacheField name="Activity_tag" numFmtId="0">
      <sharedItems count="5">
        <s v="Prevention of stunting"/>
        <s v="Prevention of acute malnutrition"/>
        <s v="Treatment of moderate acute malnutrition"/>
        <s v="School feeding (on-site)"/>
        <s v="Stunting Prevention (MIARO)" u="1"/>
      </sharedItems>
    </cacheField>
    <cacheField name="Tag_Code" numFmtId="0">
      <sharedItems count="4">
        <s v="STUNT"/>
        <s v="PREV"/>
        <s v="MAM"/>
        <s v="SMP"/>
      </sharedItems>
    </cacheField>
    <cacheField name="HHCoord" numFmtId="0">
      <sharedItems containsBlank="1"/>
    </cacheField>
    <cacheField name="Longitude" numFmtId="0">
      <sharedItems containsSemiMixedTypes="0" containsString="0" containsNumber="1" minValue="-25.573347999999999" maxValue="48.319600000000001"/>
    </cacheField>
    <cacheField name="Latitude" numFmtId="0">
      <sharedItems containsSemiMixedTypes="0" containsString="0" containsNumber="1" minValue="-25.545870000000001" maxValue="48.33802"/>
    </cacheField>
    <cacheField name="Latest Visit" numFmtId="0">
      <sharedItems containsNonDate="0" containsString="0" containsBlank="1"/>
    </cacheField>
    <cacheField name="Performanc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72">
  <r>
    <s v="MG23210070009001STUNT"/>
    <x v="0"/>
    <x v="0"/>
    <m/>
    <x v="0"/>
    <x v="0"/>
    <m/>
    <x v="0"/>
    <x v="0"/>
    <m/>
    <x v="0"/>
    <x v="0"/>
    <m/>
    <x v="0"/>
    <x v="0"/>
    <m/>
    <x v="0"/>
    <x v="0"/>
    <m/>
    <x v="0"/>
    <x v="0"/>
    <s v="48.00023 -22.0064"/>
    <n v="48.000230000000002"/>
    <n v="-22.006399999999999"/>
    <m/>
    <m/>
  </r>
  <r>
    <s v="MG23210070004001STUNT"/>
    <x v="0"/>
    <x v="0"/>
    <m/>
    <x v="0"/>
    <x v="0"/>
    <m/>
    <x v="0"/>
    <x v="0"/>
    <m/>
    <x v="0"/>
    <x v="0"/>
    <m/>
    <x v="1"/>
    <x v="1"/>
    <m/>
    <x v="1"/>
    <x v="1"/>
    <m/>
    <x v="0"/>
    <x v="0"/>
    <s v="48.10508 -21.95043"/>
    <n v="48.105080000000001"/>
    <n v="-21.950430000000001"/>
    <m/>
    <m/>
  </r>
  <r>
    <s v="MG23210070003001STUNT"/>
    <x v="0"/>
    <x v="0"/>
    <m/>
    <x v="0"/>
    <x v="0"/>
    <m/>
    <x v="0"/>
    <x v="0"/>
    <m/>
    <x v="0"/>
    <x v="0"/>
    <m/>
    <x v="2"/>
    <x v="2"/>
    <m/>
    <x v="2"/>
    <x v="2"/>
    <m/>
    <x v="0"/>
    <x v="0"/>
    <s v="47.96397 -21.93935"/>
    <n v="47.963970000000003"/>
    <n v="-21.939350000000001"/>
    <m/>
    <m/>
  </r>
  <r>
    <s v="MG23210070001001STUNT"/>
    <x v="0"/>
    <x v="0"/>
    <m/>
    <x v="0"/>
    <x v="0"/>
    <m/>
    <x v="0"/>
    <x v="0"/>
    <m/>
    <x v="0"/>
    <x v="0"/>
    <m/>
    <x v="3"/>
    <x v="3"/>
    <m/>
    <x v="3"/>
    <x v="3"/>
    <m/>
    <x v="0"/>
    <x v="0"/>
    <s v="47.9706 -22.00342"/>
    <n v="47.970599999999997"/>
    <n v="-22.003419999999998"/>
    <m/>
    <m/>
  </r>
  <r>
    <s v="MG23210070005001STUNT"/>
    <x v="0"/>
    <x v="0"/>
    <m/>
    <x v="0"/>
    <x v="0"/>
    <m/>
    <x v="0"/>
    <x v="0"/>
    <m/>
    <x v="0"/>
    <x v="0"/>
    <m/>
    <x v="4"/>
    <x v="4"/>
    <m/>
    <x v="4"/>
    <x v="4"/>
    <m/>
    <x v="0"/>
    <x v="0"/>
    <s v="47.99585 -21.9573"/>
    <n v="47.995849999999997"/>
    <n v="-21.9573"/>
    <m/>
    <m/>
  </r>
  <r>
    <s v="MG23210070055001STUNT"/>
    <x v="0"/>
    <x v="0"/>
    <m/>
    <x v="0"/>
    <x v="0"/>
    <m/>
    <x v="0"/>
    <x v="0"/>
    <m/>
    <x v="0"/>
    <x v="0"/>
    <m/>
    <x v="5"/>
    <x v="5"/>
    <m/>
    <x v="5"/>
    <x v="5"/>
    <m/>
    <x v="0"/>
    <x v="0"/>
    <s v="47.9272 -21.97237"/>
    <n v="47.927199999999999"/>
    <n v="-21.972370000000002"/>
    <m/>
    <m/>
  </r>
  <r>
    <s v="MG31306010017001STUNT"/>
    <x v="1"/>
    <x v="1"/>
    <m/>
    <x v="1"/>
    <x v="1"/>
    <m/>
    <x v="1"/>
    <x v="1"/>
    <m/>
    <x v="1"/>
    <x v="1"/>
    <m/>
    <x v="6"/>
    <x v="6"/>
    <m/>
    <x v="6"/>
    <x v="6"/>
    <m/>
    <x v="0"/>
    <x v="0"/>
    <s v="44.92062 -24.04252"/>
    <n v="44.92062"/>
    <n v="-24.04252"/>
    <m/>
    <m/>
  </r>
  <r>
    <s v="MG51507290012001STUNT"/>
    <x v="1"/>
    <x v="1"/>
    <m/>
    <x v="1"/>
    <x v="1"/>
    <m/>
    <x v="1"/>
    <x v="1"/>
    <m/>
    <x v="1"/>
    <x v="1"/>
    <m/>
    <x v="7"/>
    <x v="7"/>
    <m/>
    <x v="7"/>
    <x v="7"/>
    <m/>
    <x v="0"/>
    <x v="0"/>
    <s v="44.9179 -23.99755"/>
    <n v="44.917900000000003"/>
    <n v="-23.99755"/>
    <m/>
    <m/>
  </r>
  <r>
    <s v="MG51507290020001STUNT"/>
    <x v="1"/>
    <x v="1"/>
    <m/>
    <x v="1"/>
    <x v="1"/>
    <m/>
    <x v="1"/>
    <x v="1"/>
    <m/>
    <x v="1"/>
    <x v="1"/>
    <m/>
    <x v="8"/>
    <x v="8"/>
    <m/>
    <x v="8"/>
    <x v="8"/>
    <m/>
    <x v="0"/>
    <x v="0"/>
    <s v="44.88993 -24.02955"/>
    <n v="44.88993"/>
    <n v="-24.02955"/>
    <m/>
    <m/>
  </r>
  <r>
    <s v="MG51507290058001STUNT"/>
    <x v="1"/>
    <x v="1"/>
    <m/>
    <x v="1"/>
    <x v="1"/>
    <m/>
    <x v="1"/>
    <x v="1"/>
    <m/>
    <x v="1"/>
    <x v="1"/>
    <m/>
    <x v="9"/>
    <x v="9"/>
    <m/>
    <x v="9"/>
    <x v="9"/>
    <m/>
    <x v="0"/>
    <x v="0"/>
    <s v="45.55545 -24.1466"/>
    <n v="44.911602999999999"/>
    <n v="-24.015529000000001"/>
    <m/>
    <m/>
  </r>
  <r>
    <s v="MG52518251090001STUNT"/>
    <x v="1"/>
    <x v="1"/>
    <m/>
    <x v="1"/>
    <x v="1"/>
    <m/>
    <x v="1"/>
    <x v="1"/>
    <m/>
    <x v="1"/>
    <x v="1"/>
    <m/>
    <x v="10"/>
    <x v="10"/>
    <m/>
    <x v="10"/>
    <x v="10"/>
    <m/>
    <x v="0"/>
    <x v="0"/>
    <s v="44.95778 -23.99225"/>
    <n v="44.95778"/>
    <n v="-23.992249999999999"/>
    <m/>
    <m/>
  </r>
  <r>
    <s v="MG51507310089001STUNT"/>
    <x v="1"/>
    <x v="1"/>
    <m/>
    <x v="1"/>
    <x v="1"/>
    <m/>
    <x v="1"/>
    <x v="1"/>
    <m/>
    <x v="2"/>
    <x v="2"/>
    <m/>
    <x v="11"/>
    <x v="11"/>
    <m/>
    <x v="11"/>
    <x v="11"/>
    <m/>
    <x v="0"/>
    <x v="0"/>
    <s v="44.13017 -24.97042"/>
    <n v="44.13017"/>
    <n v="-24.970420000000001"/>
    <m/>
    <m/>
  </r>
  <r>
    <s v="MG51507310058001STUNT"/>
    <x v="1"/>
    <x v="1"/>
    <m/>
    <x v="1"/>
    <x v="1"/>
    <m/>
    <x v="1"/>
    <x v="1"/>
    <m/>
    <x v="2"/>
    <x v="2"/>
    <m/>
    <x v="12"/>
    <x v="12"/>
    <m/>
    <x v="12"/>
    <x v="12"/>
    <m/>
    <x v="0"/>
    <x v="0"/>
    <s v="44.04657 -24.8783"/>
    <n v="44.046570000000003"/>
    <n v="-24.878299999999999"/>
    <m/>
    <m/>
  </r>
  <r>
    <s v="MG51507310039001STUNT"/>
    <x v="1"/>
    <x v="1"/>
    <m/>
    <x v="1"/>
    <x v="1"/>
    <m/>
    <x v="1"/>
    <x v="1"/>
    <m/>
    <x v="2"/>
    <x v="2"/>
    <m/>
    <x v="13"/>
    <x v="13"/>
    <m/>
    <x v="13"/>
    <x v="13"/>
    <m/>
    <x v="0"/>
    <x v="0"/>
    <s v="44.09775 -24.93667"/>
    <n v="44.097749999999998"/>
    <n v="-24.936669999999999"/>
    <m/>
    <m/>
  </r>
  <r>
    <s v="MG51507310044001STUNT"/>
    <x v="1"/>
    <x v="1"/>
    <m/>
    <x v="1"/>
    <x v="1"/>
    <m/>
    <x v="1"/>
    <x v="1"/>
    <m/>
    <x v="2"/>
    <x v="2"/>
    <m/>
    <x v="14"/>
    <x v="14"/>
    <m/>
    <x v="14"/>
    <x v="14"/>
    <m/>
    <x v="0"/>
    <x v="0"/>
    <s v="44.09467 -24.97027"/>
    <n v="44.094670000000001"/>
    <n v="-24.970269999999999"/>
    <m/>
    <m/>
  </r>
  <r>
    <s v="MG51507310046001STUNT"/>
    <x v="1"/>
    <x v="1"/>
    <m/>
    <x v="1"/>
    <x v="1"/>
    <m/>
    <x v="1"/>
    <x v="1"/>
    <m/>
    <x v="2"/>
    <x v="2"/>
    <m/>
    <x v="15"/>
    <x v="15"/>
    <m/>
    <x v="15"/>
    <x v="15"/>
    <m/>
    <x v="0"/>
    <x v="0"/>
    <s v="44.1072 -24.98482"/>
    <n v="44.107199999999999"/>
    <n v="-24.984819999999999"/>
    <m/>
    <m/>
  </r>
  <r>
    <s v="MG24216192004001STUNT"/>
    <x v="2"/>
    <x v="2"/>
    <m/>
    <x v="2"/>
    <x v="2"/>
    <m/>
    <x v="2"/>
    <x v="2"/>
    <m/>
    <x v="3"/>
    <x v="3"/>
    <m/>
    <x v="16"/>
    <x v="16"/>
    <m/>
    <x v="16"/>
    <x v="16"/>
    <m/>
    <x v="0"/>
    <x v="0"/>
    <s v="45.62315 -24.35073"/>
    <n v="45.623150000000003"/>
    <n v="-24.350729999999999"/>
    <m/>
    <m/>
  </r>
  <r>
    <s v="MG52518290006001STUNT"/>
    <x v="2"/>
    <x v="2"/>
    <m/>
    <x v="2"/>
    <x v="2"/>
    <m/>
    <x v="2"/>
    <x v="2"/>
    <m/>
    <x v="3"/>
    <x v="3"/>
    <m/>
    <x v="17"/>
    <x v="17"/>
    <m/>
    <x v="17"/>
    <x v="17"/>
    <m/>
    <x v="0"/>
    <x v="0"/>
    <s v="45.69493 -24.3527"/>
    <n v="45.694929999999999"/>
    <n v="-24.352699999999999"/>
    <m/>
    <m/>
  </r>
  <r>
    <s v="MG52518290007001STUNT"/>
    <x v="2"/>
    <x v="2"/>
    <m/>
    <x v="2"/>
    <x v="2"/>
    <m/>
    <x v="2"/>
    <x v="2"/>
    <m/>
    <x v="3"/>
    <x v="3"/>
    <m/>
    <x v="18"/>
    <x v="18"/>
    <m/>
    <x v="18"/>
    <x v="18"/>
    <m/>
    <x v="0"/>
    <x v="0"/>
    <s v="45.5928 -24.39397"/>
    <n v="45.592799999999997"/>
    <n v="-24.393969999999999"/>
    <m/>
    <m/>
  </r>
  <r>
    <s v="MG52518290009001STUNT"/>
    <x v="2"/>
    <x v="2"/>
    <m/>
    <x v="2"/>
    <x v="2"/>
    <m/>
    <x v="2"/>
    <x v="2"/>
    <m/>
    <x v="3"/>
    <x v="3"/>
    <m/>
    <x v="19"/>
    <x v="19"/>
    <m/>
    <x v="19"/>
    <x v="19"/>
    <m/>
    <x v="0"/>
    <x v="0"/>
    <s v="45.58967 -24.41998"/>
    <n v="45.589669999999998"/>
    <n v="-24.419979999999999"/>
    <m/>
    <m/>
  </r>
  <r>
    <s v="MG52518290001001STUNT"/>
    <x v="2"/>
    <x v="2"/>
    <m/>
    <x v="2"/>
    <x v="2"/>
    <m/>
    <x v="2"/>
    <x v="2"/>
    <m/>
    <x v="3"/>
    <x v="3"/>
    <m/>
    <x v="20"/>
    <x v="20"/>
    <m/>
    <x v="20"/>
    <x v="20"/>
    <m/>
    <x v="0"/>
    <x v="0"/>
    <s v="45.62113 -24.3524"/>
    <n v="45.621130000000001"/>
    <n v="-24.352399999999999"/>
    <m/>
    <m/>
  </r>
  <r>
    <s v="MG51505050005002STUNT"/>
    <x v="3"/>
    <x v="3"/>
    <m/>
    <x v="1"/>
    <x v="1"/>
    <m/>
    <x v="3"/>
    <x v="3"/>
    <m/>
    <x v="4"/>
    <x v="4"/>
    <m/>
    <x v="21"/>
    <x v="21"/>
    <m/>
    <x v="21"/>
    <x v="21"/>
    <m/>
    <x v="0"/>
    <x v="0"/>
    <s v="44.25443 -22.32023"/>
    <n v="44.573515999999998"/>
    <n v="-23.655821"/>
    <m/>
    <m/>
  </r>
  <r>
    <s v="MG51506130001001STUNT"/>
    <x v="3"/>
    <x v="3"/>
    <m/>
    <x v="1"/>
    <x v="1"/>
    <m/>
    <x v="3"/>
    <x v="3"/>
    <m/>
    <x v="4"/>
    <x v="4"/>
    <m/>
    <x v="22"/>
    <x v="22"/>
    <m/>
    <x v="22"/>
    <x v="22"/>
    <m/>
    <x v="0"/>
    <x v="0"/>
    <s v="44.69767 -23.654"/>
    <n v="44.697670000000002"/>
    <n v="-23.654"/>
    <m/>
    <m/>
  </r>
  <r>
    <s v="MG51506130015001STUNT"/>
    <x v="3"/>
    <x v="3"/>
    <m/>
    <x v="1"/>
    <x v="1"/>
    <m/>
    <x v="3"/>
    <x v="3"/>
    <m/>
    <x v="4"/>
    <x v="4"/>
    <m/>
    <x v="23"/>
    <x v="23"/>
    <m/>
    <x v="23"/>
    <x v="23"/>
    <m/>
    <x v="0"/>
    <x v="0"/>
    <s v="44.44018 -23.70085"/>
    <n v="44.440179999999998"/>
    <n v="-23.700849999999999"/>
    <m/>
    <m/>
  </r>
  <r>
    <s v="MG51506130045001STUNT"/>
    <x v="3"/>
    <x v="3"/>
    <m/>
    <x v="1"/>
    <x v="1"/>
    <m/>
    <x v="3"/>
    <x v="3"/>
    <m/>
    <x v="4"/>
    <x v="4"/>
    <m/>
    <x v="24"/>
    <x v="24"/>
    <m/>
    <x v="24"/>
    <x v="24"/>
    <m/>
    <x v="0"/>
    <x v="0"/>
    <s v="44.68925 -23.59018"/>
    <n v="44.689250000000001"/>
    <n v="-23.59018"/>
    <m/>
    <m/>
  </r>
  <r>
    <s v="MG51506130005001STUNT"/>
    <x v="3"/>
    <x v="3"/>
    <m/>
    <x v="1"/>
    <x v="1"/>
    <m/>
    <x v="3"/>
    <x v="3"/>
    <m/>
    <x v="4"/>
    <x v="4"/>
    <m/>
    <x v="25"/>
    <x v="25"/>
    <m/>
    <x v="25"/>
    <x v="25"/>
    <m/>
    <x v="0"/>
    <x v="0"/>
    <s v="44.61212 -23.6147"/>
    <n v="44.612119999999997"/>
    <n v="-23.614699999999999"/>
    <m/>
    <m/>
  </r>
  <r>
    <s v="MG53519030078001STUNT"/>
    <x v="4"/>
    <x v="4"/>
    <m/>
    <x v="3"/>
    <x v="3"/>
    <m/>
    <x v="4"/>
    <x v="4"/>
    <m/>
    <x v="5"/>
    <x v="5"/>
    <m/>
    <x v="26"/>
    <x v="26"/>
    <m/>
    <x v="26"/>
    <x v="26"/>
    <m/>
    <x v="0"/>
    <x v="0"/>
    <s v="46.4021 -24.98492"/>
    <n v="46.402099999999997"/>
    <n v="-24.984919999999999"/>
    <m/>
    <m/>
  </r>
  <r>
    <s v="MG53519030068001STUNT"/>
    <x v="4"/>
    <x v="4"/>
    <m/>
    <x v="3"/>
    <x v="3"/>
    <m/>
    <x v="4"/>
    <x v="4"/>
    <m/>
    <x v="5"/>
    <x v="5"/>
    <m/>
    <x v="27"/>
    <x v="27"/>
    <m/>
    <x v="27"/>
    <x v="27"/>
    <m/>
    <x v="0"/>
    <x v="0"/>
    <s v="46.52603 -18.85772"/>
    <n v="46.365237999999998"/>
    <n v="-24.994468999999999"/>
    <m/>
    <m/>
  </r>
  <r>
    <s v="MG53519030111001STUNT"/>
    <x v="4"/>
    <x v="4"/>
    <m/>
    <x v="3"/>
    <x v="3"/>
    <m/>
    <x v="4"/>
    <x v="4"/>
    <m/>
    <x v="5"/>
    <x v="5"/>
    <m/>
    <x v="28"/>
    <x v="28"/>
    <m/>
    <x v="28"/>
    <x v="28"/>
    <m/>
    <x v="0"/>
    <x v="0"/>
    <s v="46.26633 -24.94035"/>
    <n v="46.266330000000004"/>
    <n v="-24.940349999999999"/>
    <m/>
    <m/>
  </r>
  <r>
    <s v="MG53519030067001STUNT"/>
    <x v="4"/>
    <x v="4"/>
    <m/>
    <x v="3"/>
    <x v="3"/>
    <m/>
    <x v="4"/>
    <x v="4"/>
    <m/>
    <x v="5"/>
    <x v="5"/>
    <m/>
    <x v="29"/>
    <x v="29"/>
    <m/>
    <x v="29"/>
    <x v="29"/>
    <m/>
    <x v="0"/>
    <x v="0"/>
    <s v="46.38702 -24.95722"/>
    <n v="46.38702"/>
    <n v="-24.95722"/>
    <m/>
    <m/>
  </r>
  <r>
    <s v="MG53519030018001STUNT"/>
    <x v="4"/>
    <x v="4"/>
    <m/>
    <x v="3"/>
    <x v="3"/>
    <m/>
    <x v="4"/>
    <x v="4"/>
    <m/>
    <x v="5"/>
    <x v="5"/>
    <m/>
    <x v="30"/>
    <x v="30"/>
    <m/>
    <x v="30"/>
    <x v="30"/>
    <m/>
    <x v="0"/>
    <x v="0"/>
    <s v="46.24972 -24.8803"/>
    <n v="46.249720000000003"/>
    <n v="-24.880299999999998"/>
    <m/>
    <m/>
  </r>
  <r>
    <s v="MG53519030089001STUNT"/>
    <x v="4"/>
    <x v="4"/>
    <m/>
    <x v="3"/>
    <x v="3"/>
    <m/>
    <x v="4"/>
    <x v="4"/>
    <m/>
    <x v="5"/>
    <x v="5"/>
    <m/>
    <x v="31"/>
    <x v="31"/>
    <m/>
    <x v="31"/>
    <x v="31"/>
    <m/>
    <x v="0"/>
    <x v="0"/>
    <s v="46.53383 -24.99857"/>
    <n v="46.533830000000002"/>
    <n v="-24.998570000000001"/>
    <m/>
    <m/>
  </r>
  <r>
    <s v="MG53519030020001STUNT"/>
    <x v="4"/>
    <x v="4"/>
    <m/>
    <x v="3"/>
    <x v="3"/>
    <m/>
    <x v="4"/>
    <x v="4"/>
    <m/>
    <x v="5"/>
    <x v="5"/>
    <m/>
    <x v="32"/>
    <x v="32"/>
    <m/>
    <x v="32"/>
    <x v="32"/>
    <m/>
    <x v="0"/>
    <x v="0"/>
    <s v="46.35273 -25.00607"/>
    <n v="46.352730000000001"/>
    <n v="-25.006070000000001"/>
    <m/>
    <m/>
  </r>
  <r>
    <s v="MG53519030013001STUNT"/>
    <x v="4"/>
    <x v="4"/>
    <m/>
    <x v="3"/>
    <x v="3"/>
    <m/>
    <x v="4"/>
    <x v="4"/>
    <m/>
    <x v="5"/>
    <x v="5"/>
    <m/>
    <x v="33"/>
    <x v="33"/>
    <m/>
    <x v="33"/>
    <x v="33"/>
    <m/>
    <x v="0"/>
    <x v="0"/>
    <s v="46.53383 -24.99857"/>
    <n v="46.533830000000002"/>
    <n v="-24.998570000000001"/>
    <m/>
    <m/>
  </r>
  <r>
    <s v="MG53519030002001STUNT"/>
    <x v="4"/>
    <x v="4"/>
    <m/>
    <x v="3"/>
    <x v="3"/>
    <m/>
    <x v="4"/>
    <x v="4"/>
    <m/>
    <x v="5"/>
    <x v="5"/>
    <m/>
    <x v="34"/>
    <x v="34"/>
    <m/>
    <x v="34"/>
    <x v="34"/>
    <m/>
    <x v="0"/>
    <x v="0"/>
    <s v="46.24452 -25.12032"/>
    <n v="46.244520000000001"/>
    <n v="-25.12032"/>
    <m/>
    <m/>
  </r>
  <r>
    <s v="MG23210510024001STUNT"/>
    <x v="0"/>
    <x v="0"/>
    <m/>
    <x v="0"/>
    <x v="0"/>
    <m/>
    <x v="0"/>
    <x v="0"/>
    <m/>
    <x v="6"/>
    <x v="6"/>
    <m/>
    <x v="35"/>
    <x v="35"/>
    <m/>
    <x v="35"/>
    <x v="35"/>
    <m/>
    <x v="0"/>
    <x v="0"/>
    <s v="47.87122 -21.66877"/>
    <n v="47.871220000000001"/>
    <n v="-21.668769999999999"/>
    <m/>
    <m/>
  </r>
  <r>
    <s v="MG53519030016001STUNT"/>
    <x v="4"/>
    <x v="4"/>
    <m/>
    <x v="3"/>
    <x v="3"/>
    <m/>
    <x v="4"/>
    <x v="4"/>
    <m/>
    <x v="5"/>
    <x v="5"/>
    <m/>
    <x v="36"/>
    <x v="36"/>
    <m/>
    <x v="36"/>
    <x v="36"/>
    <m/>
    <x v="0"/>
    <x v="0"/>
    <s v="46.24578 -24.90662"/>
    <n v="46.245780000000003"/>
    <n v="-24.90662"/>
    <m/>
    <m/>
  </r>
  <r>
    <s v="MG53519030017001STUNT"/>
    <x v="4"/>
    <x v="4"/>
    <m/>
    <x v="3"/>
    <x v="3"/>
    <m/>
    <x v="4"/>
    <x v="4"/>
    <m/>
    <x v="5"/>
    <x v="5"/>
    <m/>
    <x v="37"/>
    <x v="37"/>
    <m/>
    <x v="37"/>
    <x v="37"/>
    <m/>
    <x v="0"/>
    <x v="0"/>
    <s v="46.28658 -24.93985"/>
    <n v="46.286580000000001"/>
    <n v="-24.93985"/>
    <m/>
    <m/>
  </r>
  <r>
    <s v="MG53519030022001STUNT"/>
    <x v="4"/>
    <x v="4"/>
    <m/>
    <x v="3"/>
    <x v="3"/>
    <m/>
    <x v="4"/>
    <x v="4"/>
    <m/>
    <x v="5"/>
    <x v="5"/>
    <m/>
    <x v="38"/>
    <x v="38"/>
    <m/>
    <x v="38"/>
    <x v="38"/>
    <m/>
    <x v="0"/>
    <x v="0"/>
    <s v="46.36338 -24.97853"/>
    <n v="46.363379999999999"/>
    <n v="-24.978529999999999"/>
    <m/>
    <m/>
  </r>
  <r>
    <s v="MG53519030024001STUNT"/>
    <x v="4"/>
    <x v="4"/>
    <m/>
    <x v="3"/>
    <x v="3"/>
    <m/>
    <x v="4"/>
    <x v="4"/>
    <m/>
    <x v="5"/>
    <x v="5"/>
    <m/>
    <x v="39"/>
    <x v="39"/>
    <m/>
    <x v="39"/>
    <x v="39"/>
    <m/>
    <x v="0"/>
    <x v="0"/>
    <s v="46.38702 -24.95722"/>
    <n v="46.38702"/>
    <n v="-24.95722"/>
    <m/>
    <m/>
  </r>
  <r>
    <s v="MG53519150002001STUNT"/>
    <x v="4"/>
    <x v="4"/>
    <m/>
    <x v="3"/>
    <x v="3"/>
    <m/>
    <x v="4"/>
    <x v="4"/>
    <m/>
    <x v="5"/>
    <x v="5"/>
    <m/>
    <x v="40"/>
    <x v="40"/>
    <m/>
    <x v="40"/>
    <x v="40"/>
    <m/>
    <x v="0"/>
    <x v="0"/>
    <s v="46.3033 -23.90163"/>
    <n v="46.3033"/>
    <n v="-23.901630000000001"/>
    <m/>
    <m/>
  </r>
  <r>
    <s v="MG53519030003001STUNT"/>
    <x v="4"/>
    <x v="4"/>
    <m/>
    <x v="3"/>
    <x v="3"/>
    <m/>
    <x v="4"/>
    <x v="4"/>
    <m/>
    <x v="5"/>
    <x v="5"/>
    <m/>
    <x v="41"/>
    <x v="41"/>
    <m/>
    <x v="41"/>
    <x v="41"/>
    <m/>
    <x v="0"/>
    <x v="0"/>
    <s v="46.42267 -24.92018"/>
    <n v="46.422669999999997"/>
    <n v="-24.920179999999998"/>
    <m/>
    <m/>
  </r>
  <r>
    <s v="MG53519030003002STUNT"/>
    <x v="4"/>
    <x v="4"/>
    <m/>
    <x v="3"/>
    <x v="3"/>
    <m/>
    <x v="4"/>
    <x v="4"/>
    <m/>
    <x v="5"/>
    <x v="5"/>
    <m/>
    <x v="41"/>
    <x v="41"/>
    <m/>
    <x v="42"/>
    <x v="42"/>
    <m/>
    <x v="0"/>
    <x v="0"/>
    <s v="46.42267 -24.92018"/>
    <n v="46.422669999999997"/>
    <n v="-24.920179999999998"/>
    <m/>
    <m/>
  </r>
  <r>
    <s v="MG53519030015001STUNT"/>
    <x v="4"/>
    <x v="4"/>
    <m/>
    <x v="3"/>
    <x v="3"/>
    <m/>
    <x v="4"/>
    <x v="4"/>
    <m/>
    <x v="5"/>
    <x v="5"/>
    <m/>
    <x v="42"/>
    <x v="42"/>
    <m/>
    <x v="43"/>
    <x v="43"/>
    <m/>
    <x v="0"/>
    <x v="0"/>
    <s v="46.29498 -24.76623"/>
    <n v="46.294980000000002"/>
    <n v="-24.76623"/>
    <m/>
    <m/>
  </r>
  <r>
    <s v="MG53519030019001STUNT"/>
    <x v="4"/>
    <x v="4"/>
    <m/>
    <x v="3"/>
    <x v="3"/>
    <m/>
    <x v="4"/>
    <x v="4"/>
    <m/>
    <x v="5"/>
    <x v="5"/>
    <m/>
    <x v="43"/>
    <x v="43"/>
    <m/>
    <x v="44"/>
    <x v="44"/>
    <m/>
    <x v="0"/>
    <x v="0"/>
    <s v="46.3008 -24.98585"/>
    <n v="46.300800000000002"/>
    <n v="-24.985849999999999"/>
    <m/>
    <m/>
  </r>
  <r>
    <s v="MG52518251020001STUNT"/>
    <x v="2"/>
    <x v="2"/>
    <m/>
    <x v="2"/>
    <x v="2"/>
    <m/>
    <x v="2"/>
    <x v="2"/>
    <m/>
    <x v="7"/>
    <x v="7"/>
    <m/>
    <x v="44"/>
    <x v="44"/>
    <m/>
    <x v="45"/>
    <x v="45"/>
    <m/>
    <x v="0"/>
    <x v="0"/>
    <s v="45.68395 -24.26825"/>
    <n v="45.683950000000003"/>
    <n v="-24.268249999999998"/>
    <m/>
    <m/>
  </r>
  <r>
    <s v="MG52518251001001STUNT"/>
    <x v="2"/>
    <x v="2"/>
    <m/>
    <x v="2"/>
    <x v="2"/>
    <m/>
    <x v="2"/>
    <x v="2"/>
    <m/>
    <x v="7"/>
    <x v="7"/>
    <m/>
    <x v="39"/>
    <x v="45"/>
    <m/>
    <x v="46"/>
    <x v="46"/>
    <m/>
    <x v="0"/>
    <x v="0"/>
    <s v="45.67457 -24.18055"/>
    <n v="45.674570000000003"/>
    <n v="-24.18055"/>
    <m/>
    <m/>
  </r>
  <r>
    <s v="MG52518251088001STUNT"/>
    <x v="2"/>
    <x v="2"/>
    <m/>
    <x v="2"/>
    <x v="2"/>
    <m/>
    <x v="2"/>
    <x v="2"/>
    <m/>
    <x v="7"/>
    <x v="7"/>
    <m/>
    <x v="45"/>
    <x v="46"/>
    <m/>
    <x v="47"/>
    <x v="47"/>
    <m/>
    <x v="0"/>
    <x v="0"/>
    <s v="45.66232 -24.0884"/>
    <n v="45.662320000000001"/>
    <n v="-24.0884"/>
    <m/>
    <m/>
  </r>
  <r>
    <s v="MG52518251010001STUNT"/>
    <x v="2"/>
    <x v="2"/>
    <m/>
    <x v="2"/>
    <x v="2"/>
    <m/>
    <x v="2"/>
    <x v="2"/>
    <m/>
    <x v="7"/>
    <x v="7"/>
    <m/>
    <x v="46"/>
    <x v="47"/>
    <m/>
    <x v="48"/>
    <x v="48"/>
    <m/>
    <x v="0"/>
    <x v="0"/>
    <s v="45.62065 -24.28262"/>
    <n v="45.620649999999998"/>
    <n v="-24.282620000000001"/>
    <m/>
    <m/>
  </r>
  <r>
    <s v="MG52518251009001STUNT"/>
    <x v="2"/>
    <x v="2"/>
    <m/>
    <x v="2"/>
    <x v="2"/>
    <m/>
    <x v="2"/>
    <x v="2"/>
    <m/>
    <x v="7"/>
    <x v="7"/>
    <m/>
    <x v="47"/>
    <x v="48"/>
    <m/>
    <x v="49"/>
    <x v="49"/>
    <m/>
    <x v="0"/>
    <x v="0"/>
    <s v="45.52465 -24.11615"/>
    <n v="45.524650000000001"/>
    <n v="-24.116150000000001"/>
    <m/>
    <m/>
  </r>
  <r>
    <s v="MG52518251003001STUNT"/>
    <x v="2"/>
    <x v="2"/>
    <m/>
    <x v="2"/>
    <x v="2"/>
    <m/>
    <x v="2"/>
    <x v="2"/>
    <m/>
    <x v="7"/>
    <x v="7"/>
    <m/>
    <x v="48"/>
    <x v="49"/>
    <m/>
    <x v="50"/>
    <x v="50"/>
    <m/>
    <x v="0"/>
    <x v="0"/>
    <s v="45.66557 -24.26395"/>
    <n v="45.665570000000002"/>
    <n v="-24.263950000000001"/>
    <m/>
    <m/>
  </r>
  <r>
    <s v="MG52518251014001STUNT"/>
    <x v="2"/>
    <x v="2"/>
    <m/>
    <x v="2"/>
    <x v="2"/>
    <m/>
    <x v="2"/>
    <x v="2"/>
    <m/>
    <x v="7"/>
    <x v="7"/>
    <m/>
    <x v="49"/>
    <x v="50"/>
    <m/>
    <x v="51"/>
    <x v="51"/>
    <m/>
    <x v="0"/>
    <x v="0"/>
    <s v="45.687 -24.21532"/>
    <n v="45.686999999999998"/>
    <n v="-24.215319999999998"/>
    <m/>
    <m/>
  </r>
  <r>
    <s v="MG42413110014001STUNT"/>
    <x v="4"/>
    <x v="4"/>
    <m/>
    <x v="3"/>
    <x v="3"/>
    <m/>
    <x v="4"/>
    <x v="4"/>
    <m/>
    <x v="8"/>
    <x v="8"/>
    <m/>
    <x v="50"/>
    <x v="51"/>
    <m/>
    <x v="52"/>
    <x v="52"/>
    <m/>
    <x v="0"/>
    <x v="0"/>
    <s v="46.40673 -25.1459"/>
    <n v="46.406730000000003"/>
    <n v="-25.145900000000001"/>
    <m/>
    <m/>
  </r>
  <r>
    <s v="MG53519050002001STUNT"/>
    <x v="4"/>
    <x v="4"/>
    <m/>
    <x v="3"/>
    <x v="3"/>
    <m/>
    <x v="4"/>
    <x v="4"/>
    <m/>
    <x v="8"/>
    <x v="8"/>
    <m/>
    <x v="51"/>
    <x v="52"/>
    <m/>
    <x v="53"/>
    <x v="53"/>
    <m/>
    <x v="0"/>
    <x v="0"/>
    <s v="46.39053 -25.10758"/>
    <n v="46.390529999999998"/>
    <n v="-25.107579999999999"/>
    <m/>
    <m/>
  </r>
  <r>
    <s v="MG53519050010001STUNT"/>
    <x v="4"/>
    <x v="4"/>
    <m/>
    <x v="3"/>
    <x v="3"/>
    <m/>
    <x v="4"/>
    <x v="4"/>
    <m/>
    <x v="8"/>
    <x v="8"/>
    <m/>
    <x v="52"/>
    <x v="53"/>
    <m/>
    <x v="54"/>
    <x v="54"/>
    <m/>
    <x v="0"/>
    <x v="0"/>
    <s v="46.38645 -25.15585"/>
    <n v="46.386450000000004"/>
    <n v="-25.155850000000001"/>
    <m/>
    <m/>
  </r>
  <r>
    <s v="MG53519050007001STUNT"/>
    <x v="4"/>
    <x v="4"/>
    <m/>
    <x v="3"/>
    <x v="3"/>
    <m/>
    <x v="4"/>
    <x v="4"/>
    <m/>
    <x v="8"/>
    <x v="8"/>
    <m/>
    <x v="53"/>
    <x v="54"/>
    <m/>
    <x v="55"/>
    <x v="55"/>
    <m/>
    <x v="0"/>
    <x v="0"/>
    <s v="46.3661 -25.14493"/>
    <n v="46.366100000000003"/>
    <n v="-25.144929999999999"/>
    <m/>
    <m/>
  </r>
  <r>
    <s v="MG51506290009002STUNT"/>
    <x v="2"/>
    <x v="2"/>
    <m/>
    <x v="2"/>
    <x v="2"/>
    <m/>
    <x v="2"/>
    <x v="2"/>
    <m/>
    <x v="9"/>
    <x v="9"/>
    <m/>
    <x v="54"/>
    <x v="55"/>
    <m/>
    <x v="56"/>
    <x v="56"/>
    <m/>
    <x v="0"/>
    <x v="0"/>
    <s v="44.7331 -23.55435"/>
    <n v="45.306787999999997"/>
    <n v="-24.159209000000001"/>
    <m/>
    <m/>
  </r>
  <r>
    <s v="MG52518032010001STUNT"/>
    <x v="2"/>
    <x v="2"/>
    <m/>
    <x v="2"/>
    <x v="2"/>
    <m/>
    <x v="2"/>
    <x v="2"/>
    <m/>
    <x v="9"/>
    <x v="9"/>
    <m/>
    <x v="55"/>
    <x v="56"/>
    <m/>
    <x v="57"/>
    <x v="57"/>
    <m/>
    <x v="0"/>
    <x v="0"/>
    <s v="43.6637 -23.34828"/>
    <n v="45.241340000000001"/>
    <n v="-24.173141999999999"/>
    <m/>
    <m/>
  </r>
  <r>
    <s v="MG52518032008001STUNT"/>
    <x v="2"/>
    <x v="2"/>
    <m/>
    <x v="2"/>
    <x v="2"/>
    <m/>
    <x v="2"/>
    <x v="2"/>
    <m/>
    <x v="9"/>
    <x v="9"/>
    <m/>
    <x v="56"/>
    <x v="57"/>
    <m/>
    <x v="58"/>
    <x v="58"/>
    <m/>
    <x v="0"/>
    <x v="0"/>
    <s v="45.18113 -24.16185"/>
    <n v="45.181130000000003"/>
    <n v="-24.161850000000001"/>
    <m/>
    <m/>
  </r>
  <r>
    <s v="MG52518032009001STUNT"/>
    <x v="2"/>
    <x v="2"/>
    <m/>
    <x v="2"/>
    <x v="2"/>
    <m/>
    <x v="2"/>
    <x v="2"/>
    <m/>
    <x v="9"/>
    <x v="9"/>
    <m/>
    <x v="57"/>
    <x v="58"/>
    <m/>
    <x v="59"/>
    <x v="59"/>
    <m/>
    <x v="0"/>
    <x v="0"/>
    <s v="45.2957 -24.17863"/>
    <n v="45.295699999999997"/>
    <n v="-24.178629999999998"/>
    <m/>
    <m/>
  </r>
  <r>
    <s v="MG52518032005001STUNT"/>
    <x v="2"/>
    <x v="2"/>
    <m/>
    <x v="2"/>
    <x v="2"/>
    <m/>
    <x v="2"/>
    <x v="2"/>
    <m/>
    <x v="9"/>
    <x v="9"/>
    <m/>
    <x v="58"/>
    <x v="59"/>
    <m/>
    <x v="60"/>
    <x v="60"/>
    <m/>
    <x v="0"/>
    <x v="0"/>
    <s v="45.2376 -24.16153"/>
    <n v="45.2376"/>
    <n v="-24.161529999999999"/>
    <m/>
    <m/>
  </r>
  <r>
    <s v="MG51507290070001STUNT"/>
    <x v="1"/>
    <x v="1"/>
    <m/>
    <x v="1"/>
    <x v="1"/>
    <m/>
    <x v="1"/>
    <x v="1"/>
    <m/>
    <x v="10"/>
    <x v="10"/>
    <m/>
    <x v="59"/>
    <x v="60"/>
    <m/>
    <x v="61"/>
    <x v="61"/>
    <m/>
    <x v="0"/>
    <x v="0"/>
    <s v="48.20013 -20.90663"/>
    <n v="44.936461000000001"/>
    <n v="-24.121044000000001"/>
    <m/>
    <m/>
  </r>
  <r>
    <s v="MG51507290010001STUNT"/>
    <x v="1"/>
    <x v="1"/>
    <m/>
    <x v="1"/>
    <x v="1"/>
    <m/>
    <x v="1"/>
    <x v="1"/>
    <m/>
    <x v="10"/>
    <x v="10"/>
    <m/>
    <x v="55"/>
    <x v="61"/>
    <m/>
    <x v="62"/>
    <x v="62"/>
    <m/>
    <x v="0"/>
    <x v="0"/>
    <s v="43.6637 -23.34828"/>
    <n v="45.068772000000003"/>
    <n v="-24.041001000000001"/>
    <m/>
    <m/>
  </r>
  <r>
    <s v="MG51507290068001STUNT"/>
    <x v="1"/>
    <x v="1"/>
    <m/>
    <x v="1"/>
    <x v="1"/>
    <m/>
    <x v="1"/>
    <x v="1"/>
    <m/>
    <x v="10"/>
    <x v="10"/>
    <m/>
    <x v="60"/>
    <x v="62"/>
    <m/>
    <x v="63"/>
    <x v="63"/>
    <m/>
    <x v="0"/>
    <x v="0"/>
    <s v="44.32625 -23.98108"/>
    <n v="45.000351000000002"/>
    <n v="-24.113973000000001"/>
    <m/>
    <m/>
  </r>
  <r>
    <s v="MG51507290015001STUNT"/>
    <x v="1"/>
    <x v="1"/>
    <m/>
    <x v="1"/>
    <x v="1"/>
    <m/>
    <x v="1"/>
    <x v="1"/>
    <m/>
    <x v="10"/>
    <x v="10"/>
    <m/>
    <x v="61"/>
    <x v="63"/>
    <m/>
    <x v="64"/>
    <x v="64"/>
    <m/>
    <x v="0"/>
    <x v="0"/>
    <s v="44.79815 -24.11705"/>
    <n v="44.79815"/>
    <n v="-24.117049999999999"/>
    <m/>
    <m/>
  </r>
  <r>
    <s v="MG51507290021001STUNT"/>
    <x v="1"/>
    <x v="1"/>
    <m/>
    <x v="1"/>
    <x v="1"/>
    <m/>
    <x v="1"/>
    <x v="1"/>
    <m/>
    <x v="10"/>
    <x v="10"/>
    <m/>
    <x v="62"/>
    <x v="64"/>
    <m/>
    <x v="65"/>
    <x v="65"/>
    <m/>
    <x v="0"/>
    <x v="0"/>
    <s v="44.8798 -24.0585"/>
    <n v="44.879800000000003"/>
    <n v="-24.058499999999999"/>
    <m/>
    <m/>
  </r>
  <r>
    <s v="MG51507290027001STUNT"/>
    <x v="1"/>
    <x v="1"/>
    <m/>
    <x v="1"/>
    <x v="1"/>
    <m/>
    <x v="1"/>
    <x v="1"/>
    <m/>
    <x v="10"/>
    <x v="10"/>
    <m/>
    <x v="63"/>
    <x v="65"/>
    <m/>
    <x v="66"/>
    <x v="66"/>
    <m/>
    <x v="0"/>
    <x v="0"/>
    <s v="44.98328 -24.0903"/>
    <n v="44.983280000000001"/>
    <n v="-24.090299999999999"/>
    <m/>
    <m/>
  </r>
  <r>
    <s v="MG51507290032001STUNT"/>
    <x v="1"/>
    <x v="1"/>
    <m/>
    <x v="1"/>
    <x v="1"/>
    <m/>
    <x v="1"/>
    <x v="1"/>
    <m/>
    <x v="10"/>
    <x v="10"/>
    <m/>
    <x v="64"/>
    <x v="66"/>
    <m/>
    <x v="67"/>
    <x v="67"/>
    <m/>
    <x v="0"/>
    <x v="0"/>
    <s v="45.04107 -24.1013"/>
    <n v="45.041069999999998"/>
    <n v="-24.101299999999998"/>
    <m/>
    <m/>
  </r>
  <r>
    <s v="MG51507290044001STUNT"/>
    <x v="1"/>
    <x v="1"/>
    <m/>
    <x v="1"/>
    <x v="1"/>
    <m/>
    <x v="1"/>
    <x v="1"/>
    <m/>
    <x v="10"/>
    <x v="10"/>
    <m/>
    <x v="65"/>
    <x v="67"/>
    <m/>
    <x v="68"/>
    <x v="68"/>
    <m/>
    <x v="0"/>
    <x v="0"/>
    <s v="45.00888 -24.18182"/>
    <n v="45.008879999999998"/>
    <n v="-24.181819999999998"/>
    <m/>
    <m/>
  </r>
  <r>
    <s v="MG51507290046001STUNT"/>
    <x v="1"/>
    <x v="1"/>
    <m/>
    <x v="1"/>
    <x v="1"/>
    <m/>
    <x v="1"/>
    <x v="1"/>
    <m/>
    <x v="10"/>
    <x v="10"/>
    <m/>
    <x v="66"/>
    <x v="68"/>
    <m/>
    <x v="69"/>
    <x v="69"/>
    <m/>
    <x v="0"/>
    <x v="0"/>
    <s v="45.14742 -24.16598"/>
    <n v="45.147419999999997"/>
    <n v="-24.165980000000001"/>
    <m/>
    <m/>
  </r>
  <r>
    <s v="MG51507290047001STUNT"/>
    <x v="1"/>
    <x v="1"/>
    <m/>
    <x v="1"/>
    <x v="1"/>
    <m/>
    <x v="1"/>
    <x v="1"/>
    <m/>
    <x v="10"/>
    <x v="10"/>
    <m/>
    <x v="67"/>
    <x v="69"/>
    <m/>
    <x v="70"/>
    <x v="70"/>
    <m/>
    <x v="0"/>
    <x v="0"/>
    <s v="45.02068 -24.19773"/>
    <n v="45.020679999999999"/>
    <n v="-24.19773"/>
    <m/>
    <m/>
  </r>
  <r>
    <s v="MG51507290056001STUNT"/>
    <x v="1"/>
    <x v="1"/>
    <m/>
    <x v="1"/>
    <x v="1"/>
    <m/>
    <x v="1"/>
    <x v="1"/>
    <m/>
    <x v="10"/>
    <x v="10"/>
    <m/>
    <x v="68"/>
    <x v="70"/>
    <m/>
    <x v="71"/>
    <x v="71"/>
    <m/>
    <x v="0"/>
    <x v="0"/>
    <s v="45.05603 -24.25758"/>
    <n v="45.05603"/>
    <n v="-24.257580000000001"/>
    <m/>
    <m/>
  </r>
  <r>
    <s v="MG51507290081001STUNT"/>
    <x v="1"/>
    <x v="1"/>
    <m/>
    <x v="1"/>
    <x v="1"/>
    <m/>
    <x v="1"/>
    <x v="1"/>
    <m/>
    <x v="10"/>
    <x v="10"/>
    <m/>
    <x v="69"/>
    <x v="71"/>
    <m/>
    <x v="72"/>
    <x v="72"/>
    <m/>
    <x v="0"/>
    <x v="0"/>
    <s v="45.13078 -24.18032"/>
    <n v="45.130780000000001"/>
    <n v="-24.180319999999998"/>
    <m/>
    <m/>
  </r>
  <r>
    <s v="MG51507290083001STUNT"/>
    <x v="1"/>
    <x v="1"/>
    <m/>
    <x v="1"/>
    <x v="1"/>
    <m/>
    <x v="1"/>
    <x v="1"/>
    <m/>
    <x v="10"/>
    <x v="10"/>
    <m/>
    <x v="70"/>
    <x v="72"/>
    <m/>
    <x v="73"/>
    <x v="73"/>
    <m/>
    <x v="0"/>
    <x v="0"/>
    <s v="45.13113 -23.97122"/>
    <n v="45.131129999999999"/>
    <n v="-23.971219999999999"/>
    <m/>
    <m/>
  </r>
  <r>
    <s v="MG51507290084001STUNT"/>
    <x v="1"/>
    <x v="1"/>
    <m/>
    <x v="1"/>
    <x v="1"/>
    <m/>
    <x v="1"/>
    <x v="1"/>
    <m/>
    <x v="10"/>
    <x v="10"/>
    <m/>
    <x v="71"/>
    <x v="73"/>
    <m/>
    <x v="74"/>
    <x v="74"/>
    <m/>
    <x v="0"/>
    <x v="0"/>
    <s v="45.1019 -23.92665"/>
    <n v="45.101900000000001"/>
    <n v="-23.926649999999999"/>
    <m/>
    <m/>
  </r>
  <r>
    <s v="MG51507290085001STUNT"/>
    <x v="1"/>
    <x v="1"/>
    <m/>
    <x v="1"/>
    <x v="1"/>
    <m/>
    <x v="1"/>
    <x v="1"/>
    <m/>
    <x v="10"/>
    <x v="10"/>
    <m/>
    <x v="72"/>
    <x v="74"/>
    <m/>
    <x v="75"/>
    <x v="75"/>
    <m/>
    <x v="0"/>
    <x v="0"/>
    <s v="44.99228 -24.01967"/>
    <n v="44.992280000000001"/>
    <n v="-24.019670000000001"/>
    <m/>
    <m/>
  </r>
  <r>
    <s v="MG51507290086001STUNT"/>
    <x v="1"/>
    <x v="1"/>
    <m/>
    <x v="1"/>
    <x v="1"/>
    <m/>
    <x v="1"/>
    <x v="1"/>
    <m/>
    <x v="10"/>
    <x v="10"/>
    <m/>
    <x v="73"/>
    <x v="75"/>
    <m/>
    <x v="76"/>
    <x v="76"/>
    <m/>
    <x v="0"/>
    <x v="0"/>
    <s v="45.08807 -24.22323"/>
    <n v="45.088070000000002"/>
    <n v="-24.223230000000001"/>
    <m/>
    <m/>
  </r>
  <r>
    <s v="MG51507290088001STUNT"/>
    <x v="1"/>
    <x v="1"/>
    <m/>
    <x v="1"/>
    <x v="1"/>
    <m/>
    <x v="1"/>
    <x v="1"/>
    <m/>
    <x v="10"/>
    <x v="10"/>
    <m/>
    <x v="74"/>
    <x v="76"/>
    <m/>
    <x v="77"/>
    <x v="77"/>
    <m/>
    <x v="0"/>
    <x v="0"/>
    <s v="45.01735 -24.05543"/>
    <n v="45.01735"/>
    <n v="-24.055430000000001"/>
    <m/>
    <m/>
  </r>
  <r>
    <s v="MG51507290092001STUNT"/>
    <x v="1"/>
    <x v="1"/>
    <m/>
    <x v="1"/>
    <x v="1"/>
    <m/>
    <x v="1"/>
    <x v="1"/>
    <m/>
    <x v="10"/>
    <x v="10"/>
    <m/>
    <x v="75"/>
    <x v="77"/>
    <m/>
    <x v="78"/>
    <x v="78"/>
    <m/>
    <x v="0"/>
    <x v="0"/>
    <s v="45.02447 -24.11997"/>
    <n v="45.024470000000001"/>
    <n v="-24.119969999999999"/>
    <m/>
    <m/>
  </r>
  <r>
    <s v="MG51507290093001STUNT"/>
    <x v="1"/>
    <x v="1"/>
    <m/>
    <x v="1"/>
    <x v="1"/>
    <m/>
    <x v="1"/>
    <x v="1"/>
    <m/>
    <x v="10"/>
    <x v="10"/>
    <m/>
    <x v="76"/>
    <x v="78"/>
    <m/>
    <x v="79"/>
    <x v="79"/>
    <m/>
    <x v="0"/>
    <x v="0"/>
    <s v="45.04218 -24.13923"/>
    <n v="45.042180000000002"/>
    <n v="-24.139230000000001"/>
    <m/>
    <m/>
  </r>
  <r>
    <s v="MG52514011039001STUNT"/>
    <x v="1"/>
    <x v="1"/>
    <m/>
    <x v="1"/>
    <x v="1"/>
    <m/>
    <x v="1"/>
    <x v="1"/>
    <m/>
    <x v="10"/>
    <x v="10"/>
    <m/>
    <x v="77"/>
    <x v="79"/>
    <m/>
    <x v="80"/>
    <x v="80"/>
    <m/>
    <x v="0"/>
    <x v="0"/>
    <s v="45.38485 -25.1553"/>
    <n v="45.002073000000003"/>
    <n v="-24.145071000000002"/>
    <m/>
    <m/>
  </r>
  <r>
    <s v="MG54510011005001STUNT"/>
    <x v="1"/>
    <x v="1"/>
    <m/>
    <x v="1"/>
    <x v="1"/>
    <m/>
    <x v="1"/>
    <x v="1"/>
    <m/>
    <x v="10"/>
    <x v="10"/>
    <m/>
    <x v="78"/>
    <x v="80"/>
    <m/>
    <x v="81"/>
    <x v="81"/>
    <m/>
    <x v="0"/>
    <x v="0"/>
    <s v="44.89095 -24.09413"/>
    <n v="44.890949999999997"/>
    <n v="-24.09413"/>
    <m/>
    <m/>
  </r>
  <r>
    <s v="MG53519090013001STUNT"/>
    <x v="4"/>
    <x v="4"/>
    <m/>
    <x v="3"/>
    <x v="3"/>
    <m/>
    <x v="4"/>
    <x v="4"/>
    <m/>
    <x v="11"/>
    <x v="11"/>
    <m/>
    <x v="39"/>
    <x v="81"/>
    <m/>
    <x v="82"/>
    <x v="82"/>
    <m/>
    <x v="0"/>
    <x v="0"/>
    <s v="46.13818 -24.80115"/>
    <n v="46.138179999999998"/>
    <n v="-24.80115"/>
    <m/>
    <m/>
  </r>
  <r>
    <s v="MG53519090056001STUNT"/>
    <x v="4"/>
    <x v="4"/>
    <m/>
    <x v="3"/>
    <x v="3"/>
    <m/>
    <x v="4"/>
    <x v="4"/>
    <m/>
    <x v="11"/>
    <x v="11"/>
    <m/>
    <x v="79"/>
    <x v="82"/>
    <m/>
    <x v="83"/>
    <x v="83"/>
    <m/>
    <x v="0"/>
    <x v="0"/>
    <s v="46.05268 -24.77467"/>
    <n v="46.052680000000002"/>
    <n v="-24.77467"/>
    <m/>
    <m/>
  </r>
  <r>
    <s v="MG53519090019001STUNT"/>
    <x v="4"/>
    <x v="4"/>
    <m/>
    <x v="3"/>
    <x v="3"/>
    <m/>
    <x v="4"/>
    <x v="4"/>
    <m/>
    <x v="11"/>
    <x v="11"/>
    <m/>
    <x v="80"/>
    <x v="83"/>
    <m/>
    <x v="84"/>
    <x v="84"/>
    <m/>
    <x v="0"/>
    <x v="0"/>
    <s v="46.22192 -24.87943"/>
    <n v="46.221919999999997"/>
    <n v="-24.879429999999999"/>
    <m/>
    <m/>
  </r>
  <r>
    <s v="MG53519090001001STUNT"/>
    <x v="4"/>
    <x v="4"/>
    <m/>
    <x v="3"/>
    <x v="3"/>
    <m/>
    <x v="4"/>
    <x v="4"/>
    <m/>
    <x v="11"/>
    <x v="11"/>
    <m/>
    <x v="81"/>
    <x v="84"/>
    <m/>
    <x v="85"/>
    <x v="85"/>
    <m/>
    <x v="0"/>
    <x v="0"/>
    <s v="46.13255 -24.79158"/>
    <n v="46.132550000000002"/>
    <n v="-24.79158"/>
    <m/>
    <m/>
  </r>
  <r>
    <s v="MG53519090008001STUNT"/>
    <x v="4"/>
    <x v="4"/>
    <m/>
    <x v="3"/>
    <x v="3"/>
    <m/>
    <x v="4"/>
    <x v="4"/>
    <m/>
    <x v="11"/>
    <x v="11"/>
    <m/>
    <x v="82"/>
    <x v="85"/>
    <m/>
    <x v="86"/>
    <x v="86"/>
    <m/>
    <x v="0"/>
    <x v="0"/>
    <s v="46.05888 -24.80855"/>
    <n v="46.058880000000002"/>
    <n v="-24.80855"/>
    <m/>
    <m/>
  </r>
  <r>
    <s v="MG53519090009001STUNT"/>
    <x v="4"/>
    <x v="4"/>
    <m/>
    <x v="3"/>
    <x v="3"/>
    <m/>
    <x v="4"/>
    <x v="4"/>
    <m/>
    <x v="11"/>
    <x v="11"/>
    <m/>
    <x v="83"/>
    <x v="86"/>
    <m/>
    <x v="87"/>
    <x v="87"/>
    <m/>
    <x v="0"/>
    <x v="0"/>
    <s v="46.1178 -24.80672"/>
    <n v="46.117800000000003"/>
    <n v="-24.806719999999999"/>
    <m/>
    <m/>
  </r>
  <r>
    <s v="MG51507310034002STUNT"/>
    <x v="1"/>
    <x v="1"/>
    <m/>
    <x v="1"/>
    <x v="1"/>
    <m/>
    <x v="1"/>
    <x v="1"/>
    <m/>
    <x v="12"/>
    <x v="12"/>
    <m/>
    <x v="84"/>
    <x v="87"/>
    <m/>
    <x v="88"/>
    <x v="88"/>
    <m/>
    <x v="0"/>
    <x v="0"/>
    <s v="44.02662 -24.86248"/>
    <n v="44.026620000000001"/>
    <n v="-24.862480000000001"/>
    <m/>
    <m/>
  </r>
  <r>
    <s v="MG44421194001001STUNT"/>
    <x v="1"/>
    <x v="1"/>
    <m/>
    <x v="1"/>
    <x v="1"/>
    <m/>
    <x v="1"/>
    <x v="1"/>
    <m/>
    <x v="12"/>
    <x v="12"/>
    <m/>
    <x v="85"/>
    <x v="88"/>
    <m/>
    <x v="89"/>
    <x v="89"/>
    <m/>
    <x v="0"/>
    <x v="0"/>
    <s v="43.84958 -24.50082"/>
    <n v="43.849580000000003"/>
    <n v="-24.500820000000001"/>
    <m/>
    <m/>
  </r>
  <r>
    <s v="MG51507310004001STUNT"/>
    <x v="1"/>
    <x v="1"/>
    <m/>
    <x v="1"/>
    <x v="1"/>
    <m/>
    <x v="1"/>
    <x v="1"/>
    <m/>
    <x v="12"/>
    <x v="12"/>
    <m/>
    <x v="86"/>
    <x v="89"/>
    <m/>
    <x v="90"/>
    <x v="90"/>
    <m/>
    <x v="0"/>
    <x v="0"/>
    <s v="43.72403 -24.31825"/>
    <n v="43.724029999999999"/>
    <n v="-24.318249999999999"/>
    <m/>
    <m/>
  </r>
  <r>
    <s v="MG51507310014001STUNT"/>
    <x v="1"/>
    <x v="1"/>
    <m/>
    <x v="1"/>
    <x v="1"/>
    <m/>
    <x v="1"/>
    <x v="1"/>
    <m/>
    <x v="12"/>
    <x v="12"/>
    <m/>
    <x v="87"/>
    <x v="90"/>
    <m/>
    <x v="91"/>
    <x v="91"/>
    <m/>
    <x v="0"/>
    <x v="0"/>
    <s v="43.80735 -24.41473"/>
    <n v="43.80735"/>
    <n v="-24.414729999999999"/>
    <m/>
    <m/>
  </r>
  <r>
    <s v="MG51507310017001STUNT"/>
    <x v="1"/>
    <x v="1"/>
    <m/>
    <x v="1"/>
    <x v="1"/>
    <m/>
    <x v="1"/>
    <x v="1"/>
    <m/>
    <x v="12"/>
    <x v="12"/>
    <m/>
    <x v="88"/>
    <x v="91"/>
    <m/>
    <x v="92"/>
    <x v="92"/>
    <m/>
    <x v="0"/>
    <x v="0"/>
    <s v="43.86053 -24.47582"/>
    <n v="43.860529999999997"/>
    <n v="-24.475819999999999"/>
    <m/>
    <m/>
  </r>
  <r>
    <s v="MG51507310020001STUNT"/>
    <x v="1"/>
    <x v="1"/>
    <m/>
    <x v="1"/>
    <x v="1"/>
    <m/>
    <x v="1"/>
    <x v="1"/>
    <m/>
    <x v="12"/>
    <x v="12"/>
    <m/>
    <x v="89"/>
    <x v="92"/>
    <m/>
    <x v="93"/>
    <x v="93"/>
    <m/>
    <x v="0"/>
    <x v="0"/>
    <s v="43.91573 -24.58008"/>
    <n v="43.915730000000003"/>
    <n v="-24.580079999999999"/>
    <m/>
    <m/>
  </r>
  <r>
    <s v="MG51507310021001STUNT"/>
    <x v="1"/>
    <x v="1"/>
    <m/>
    <x v="1"/>
    <x v="1"/>
    <m/>
    <x v="1"/>
    <x v="1"/>
    <m/>
    <x v="12"/>
    <x v="12"/>
    <m/>
    <x v="90"/>
    <x v="93"/>
    <m/>
    <x v="94"/>
    <x v="94"/>
    <m/>
    <x v="0"/>
    <x v="0"/>
    <s v="44.20535 -24.47075"/>
    <n v="44.205350000000003"/>
    <n v="-24.470749999999999"/>
    <m/>
    <m/>
  </r>
  <r>
    <s v="MG51507310023001STUNT"/>
    <x v="1"/>
    <x v="1"/>
    <m/>
    <x v="1"/>
    <x v="1"/>
    <m/>
    <x v="1"/>
    <x v="1"/>
    <m/>
    <x v="12"/>
    <x v="12"/>
    <m/>
    <x v="91"/>
    <x v="94"/>
    <m/>
    <x v="95"/>
    <x v="95"/>
    <m/>
    <x v="0"/>
    <x v="0"/>
    <s v="44.33358 -24.58792"/>
    <n v="44.333579999999998"/>
    <n v="-24.58792"/>
    <m/>
    <m/>
  </r>
  <r>
    <s v="MG51507310025001STUNT"/>
    <x v="1"/>
    <x v="1"/>
    <m/>
    <x v="1"/>
    <x v="1"/>
    <m/>
    <x v="1"/>
    <x v="1"/>
    <m/>
    <x v="12"/>
    <x v="12"/>
    <m/>
    <x v="92"/>
    <x v="95"/>
    <m/>
    <x v="96"/>
    <x v="96"/>
    <m/>
    <x v="0"/>
    <x v="0"/>
    <s v="43.95675 -24.75413"/>
    <n v="43.95675"/>
    <n v="-24.75413"/>
    <m/>
    <m/>
  </r>
  <r>
    <s v="MG51507310027001STUNT"/>
    <x v="1"/>
    <x v="1"/>
    <m/>
    <x v="1"/>
    <x v="1"/>
    <m/>
    <x v="1"/>
    <x v="1"/>
    <m/>
    <x v="12"/>
    <x v="12"/>
    <m/>
    <x v="93"/>
    <x v="96"/>
    <m/>
    <x v="97"/>
    <x v="97"/>
    <m/>
    <x v="0"/>
    <x v="0"/>
    <s v="43.98073 -24.80353"/>
    <n v="43.980730000000001"/>
    <n v="-24.803529999999999"/>
    <m/>
    <m/>
  </r>
  <r>
    <s v="MG51507310071001STUNT"/>
    <x v="1"/>
    <x v="1"/>
    <m/>
    <x v="1"/>
    <x v="1"/>
    <m/>
    <x v="1"/>
    <x v="1"/>
    <m/>
    <x v="12"/>
    <x v="12"/>
    <m/>
    <x v="94"/>
    <x v="97"/>
    <m/>
    <x v="98"/>
    <x v="98"/>
    <m/>
    <x v="0"/>
    <x v="0"/>
    <s v="43.70655 -24.30363"/>
    <n v="43.70655"/>
    <n v="-24.303629999999998"/>
    <m/>
    <m/>
  </r>
  <r>
    <s v="MG51507310082001STUNT"/>
    <x v="1"/>
    <x v="1"/>
    <m/>
    <x v="1"/>
    <x v="1"/>
    <m/>
    <x v="1"/>
    <x v="1"/>
    <m/>
    <x v="12"/>
    <x v="12"/>
    <m/>
    <x v="95"/>
    <x v="98"/>
    <m/>
    <x v="99"/>
    <x v="99"/>
    <m/>
    <x v="0"/>
    <x v="0"/>
    <s v="43.94413 -24.68617"/>
    <n v="43.944130000000001"/>
    <n v="-24.686170000000001"/>
    <m/>
    <m/>
  </r>
  <r>
    <s v="MG51507310091001STUNT"/>
    <x v="1"/>
    <x v="1"/>
    <m/>
    <x v="1"/>
    <x v="1"/>
    <m/>
    <x v="1"/>
    <x v="1"/>
    <m/>
    <x v="12"/>
    <x v="12"/>
    <m/>
    <x v="96"/>
    <x v="99"/>
    <m/>
    <x v="100"/>
    <x v="100"/>
    <m/>
    <x v="0"/>
    <x v="0"/>
    <s v="43.96958 -24.79078"/>
    <n v="43.969580000000001"/>
    <n v="-24.790780000000002"/>
    <m/>
    <m/>
  </r>
  <r>
    <s v="MG51507310092001STUNT"/>
    <x v="1"/>
    <x v="1"/>
    <m/>
    <x v="1"/>
    <x v="1"/>
    <m/>
    <x v="1"/>
    <x v="1"/>
    <m/>
    <x v="12"/>
    <x v="12"/>
    <m/>
    <x v="97"/>
    <x v="100"/>
    <m/>
    <x v="101"/>
    <x v="101"/>
    <m/>
    <x v="0"/>
    <x v="0"/>
    <s v="43.74398 -24.38907"/>
    <n v="43.743980000000001"/>
    <n v="-24.38907"/>
    <m/>
    <m/>
  </r>
  <r>
    <s v="MG51507310093001STUNT"/>
    <x v="1"/>
    <x v="1"/>
    <m/>
    <x v="1"/>
    <x v="1"/>
    <m/>
    <x v="1"/>
    <x v="1"/>
    <m/>
    <x v="12"/>
    <x v="12"/>
    <m/>
    <x v="98"/>
    <x v="101"/>
    <m/>
    <x v="102"/>
    <x v="102"/>
    <m/>
    <x v="0"/>
    <x v="0"/>
    <s v="43.73355 -24.36163"/>
    <n v="43.733550000000001"/>
    <n v="-24.361630000000002"/>
    <m/>
    <m/>
  </r>
  <r>
    <s v="MG51507310094001STUNT"/>
    <x v="1"/>
    <x v="1"/>
    <m/>
    <x v="1"/>
    <x v="1"/>
    <m/>
    <x v="1"/>
    <x v="1"/>
    <m/>
    <x v="12"/>
    <x v="12"/>
    <m/>
    <x v="99"/>
    <x v="102"/>
    <m/>
    <x v="103"/>
    <x v="103"/>
    <m/>
    <x v="0"/>
    <x v="0"/>
    <s v="44.23095 -24.31163"/>
    <n v="44.23095"/>
    <n v="-24.311630000000001"/>
    <m/>
    <m/>
  </r>
  <r>
    <s v="MG51507310097001STUNT"/>
    <x v="1"/>
    <x v="1"/>
    <m/>
    <x v="1"/>
    <x v="1"/>
    <m/>
    <x v="1"/>
    <x v="1"/>
    <m/>
    <x v="12"/>
    <x v="12"/>
    <m/>
    <x v="100"/>
    <x v="103"/>
    <m/>
    <x v="104"/>
    <x v="104"/>
    <m/>
    <x v="0"/>
    <x v="0"/>
    <s v="44.02077 -24.83705"/>
    <n v="44.020769999999999"/>
    <n v="-24.837050000000001"/>
    <m/>
    <m/>
  </r>
  <r>
    <s v="MG23209050001001STUNT"/>
    <x v="0"/>
    <x v="0"/>
    <m/>
    <x v="0"/>
    <x v="0"/>
    <m/>
    <x v="5"/>
    <x v="5"/>
    <m/>
    <x v="13"/>
    <x v="13"/>
    <m/>
    <x v="101"/>
    <x v="104"/>
    <m/>
    <x v="105"/>
    <x v="105"/>
    <m/>
    <x v="0"/>
    <x v="0"/>
    <s v="48.3196 -21.16913"/>
    <n v="48.319600000000001"/>
    <n v="-21.169129999999999"/>
    <m/>
    <m/>
  </r>
  <r>
    <s v="MG53515010003001STUNT"/>
    <x v="0"/>
    <x v="0"/>
    <m/>
    <x v="0"/>
    <x v="0"/>
    <m/>
    <x v="5"/>
    <x v="5"/>
    <m/>
    <x v="13"/>
    <x v="13"/>
    <m/>
    <x v="102"/>
    <x v="105"/>
    <m/>
    <x v="106"/>
    <x v="106"/>
    <m/>
    <x v="0"/>
    <x v="0"/>
    <s v="46.98345 -25.02447"/>
    <n v="48.310951000000003"/>
    <n v="-21.135121999999999"/>
    <m/>
    <m/>
  </r>
  <r>
    <s v="MG23209110001001STUNT"/>
    <x v="0"/>
    <x v="0"/>
    <m/>
    <x v="0"/>
    <x v="0"/>
    <m/>
    <x v="5"/>
    <x v="5"/>
    <m/>
    <x v="14"/>
    <x v="14"/>
    <m/>
    <x v="103"/>
    <x v="106"/>
    <m/>
    <x v="107"/>
    <x v="107"/>
    <m/>
    <x v="0"/>
    <x v="0"/>
    <s v="48.13763 -21.23452"/>
    <n v="48.137630000000001"/>
    <n v="-21.23452"/>
    <m/>
    <m/>
  </r>
  <r>
    <s v="MG23209110002001STUNT"/>
    <x v="0"/>
    <x v="0"/>
    <m/>
    <x v="0"/>
    <x v="0"/>
    <m/>
    <x v="5"/>
    <x v="5"/>
    <m/>
    <x v="14"/>
    <x v="14"/>
    <m/>
    <x v="104"/>
    <x v="107"/>
    <m/>
    <x v="108"/>
    <x v="108"/>
    <m/>
    <x v="0"/>
    <x v="0"/>
    <s v="48.10883 -21.16095"/>
    <n v="48.108829999999998"/>
    <n v="-21.16095"/>
    <m/>
    <m/>
  </r>
  <r>
    <s v="MG23209110056001STUNT"/>
    <x v="0"/>
    <x v="0"/>
    <m/>
    <x v="0"/>
    <x v="0"/>
    <m/>
    <x v="5"/>
    <x v="5"/>
    <m/>
    <x v="14"/>
    <x v="14"/>
    <m/>
    <x v="105"/>
    <x v="108"/>
    <m/>
    <x v="109"/>
    <x v="109"/>
    <m/>
    <x v="0"/>
    <x v="0"/>
    <s v="48.12778 -21.29582"/>
    <n v="48.127780000000001"/>
    <n v="-21.295819999999999"/>
    <m/>
    <m/>
  </r>
  <r>
    <s v="MG51506050001002STUNT"/>
    <x v="3"/>
    <x v="3"/>
    <m/>
    <x v="1"/>
    <x v="1"/>
    <m/>
    <x v="3"/>
    <x v="3"/>
    <m/>
    <x v="15"/>
    <x v="15"/>
    <m/>
    <x v="106"/>
    <x v="109"/>
    <m/>
    <x v="110"/>
    <x v="110"/>
    <m/>
    <x v="0"/>
    <x v="0"/>
    <s v="44.47158 -23.9044"/>
    <n v="44.471580000000003"/>
    <n v="-23.904399999999999"/>
    <m/>
    <m/>
  </r>
  <r>
    <s v="MG51506050011002STUNT"/>
    <x v="3"/>
    <x v="3"/>
    <m/>
    <x v="1"/>
    <x v="1"/>
    <m/>
    <x v="3"/>
    <x v="3"/>
    <m/>
    <x v="15"/>
    <x v="15"/>
    <m/>
    <x v="107"/>
    <x v="110"/>
    <m/>
    <x v="111"/>
    <x v="111"/>
    <m/>
    <x v="0"/>
    <x v="0"/>
    <s v="44.3932 -23.9644"/>
    <n v="44.3932"/>
    <n v="-23.964400000000001"/>
    <m/>
    <m/>
  </r>
  <r>
    <s v="MG51506050022002STUNT"/>
    <x v="3"/>
    <x v="3"/>
    <m/>
    <x v="1"/>
    <x v="1"/>
    <m/>
    <x v="3"/>
    <x v="3"/>
    <m/>
    <x v="15"/>
    <x v="15"/>
    <m/>
    <x v="108"/>
    <x v="111"/>
    <m/>
    <x v="112"/>
    <x v="112"/>
    <m/>
    <x v="0"/>
    <x v="0"/>
    <s v="44.55622 -23.9757"/>
    <n v="44.556220000000003"/>
    <n v="-23.9757"/>
    <m/>
    <m/>
  </r>
  <r>
    <s v="MG51507070008002STUNT"/>
    <x v="3"/>
    <x v="3"/>
    <m/>
    <x v="1"/>
    <x v="1"/>
    <m/>
    <x v="3"/>
    <x v="3"/>
    <m/>
    <x v="16"/>
    <x v="16"/>
    <m/>
    <x v="109"/>
    <x v="112"/>
    <m/>
    <x v="113"/>
    <x v="113"/>
    <m/>
    <x v="0"/>
    <x v="0"/>
    <s v="44.69517 -24.5786"/>
    <n v="44.662689999999998"/>
    <n v="-23.771963"/>
    <m/>
    <m/>
  </r>
  <r>
    <s v="MG51506012004001STUNT"/>
    <x v="3"/>
    <x v="3"/>
    <m/>
    <x v="1"/>
    <x v="1"/>
    <m/>
    <x v="3"/>
    <x v="3"/>
    <m/>
    <x v="16"/>
    <x v="16"/>
    <m/>
    <x v="110"/>
    <x v="113"/>
    <m/>
    <x v="114"/>
    <x v="114"/>
    <m/>
    <x v="0"/>
    <x v="0"/>
    <s v="44.68143 -23.7866"/>
    <n v="44.681429999999999"/>
    <n v="-23.7866"/>
    <m/>
    <m/>
  </r>
  <r>
    <s v="MG53519070015001STUNT"/>
    <x v="4"/>
    <x v="4"/>
    <m/>
    <x v="3"/>
    <x v="3"/>
    <m/>
    <x v="4"/>
    <x v="4"/>
    <m/>
    <x v="17"/>
    <x v="17"/>
    <m/>
    <x v="111"/>
    <x v="114"/>
    <m/>
    <x v="115"/>
    <x v="115"/>
    <m/>
    <x v="0"/>
    <x v="0"/>
    <s v="45.98688 -25.12378"/>
    <n v="45.986879999999999"/>
    <n v="-25.12378"/>
    <m/>
    <m/>
  </r>
  <r>
    <s v="MG52516070017001STUNT"/>
    <x v="4"/>
    <x v="4"/>
    <m/>
    <x v="3"/>
    <x v="3"/>
    <m/>
    <x v="4"/>
    <x v="4"/>
    <m/>
    <x v="17"/>
    <x v="17"/>
    <m/>
    <x v="112"/>
    <x v="115"/>
    <m/>
    <x v="116"/>
    <x v="116"/>
    <m/>
    <x v="0"/>
    <x v="0"/>
    <s v="46.17327 -25.19445"/>
    <n v="46.173270000000002"/>
    <n v="-25.19445"/>
    <m/>
    <m/>
  </r>
  <r>
    <s v="MG53519070010001STUNT"/>
    <x v="4"/>
    <x v="4"/>
    <m/>
    <x v="3"/>
    <x v="3"/>
    <m/>
    <x v="4"/>
    <x v="4"/>
    <m/>
    <x v="17"/>
    <x v="17"/>
    <m/>
    <x v="113"/>
    <x v="116"/>
    <m/>
    <x v="117"/>
    <x v="117"/>
    <m/>
    <x v="0"/>
    <x v="0"/>
    <s v="46.30993 -25.13557"/>
    <n v="46.309930000000001"/>
    <n v="-25.135570000000001"/>
    <m/>
    <m/>
  </r>
  <r>
    <s v="MG53519070016001STUNT"/>
    <x v="4"/>
    <x v="4"/>
    <m/>
    <x v="3"/>
    <x v="3"/>
    <m/>
    <x v="4"/>
    <x v="4"/>
    <m/>
    <x v="17"/>
    <x v="17"/>
    <m/>
    <x v="114"/>
    <x v="117"/>
    <m/>
    <x v="118"/>
    <x v="118"/>
    <m/>
    <x v="0"/>
    <x v="0"/>
    <s v="46.27563 -25.16387"/>
    <n v="46.27563"/>
    <n v="-25.163869999999999"/>
    <m/>
    <m/>
  </r>
  <r>
    <s v="MG53519070017001STUNT"/>
    <x v="4"/>
    <x v="4"/>
    <m/>
    <x v="3"/>
    <x v="3"/>
    <m/>
    <x v="4"/>
    <x v="4"/>
    <m/>
    <x v="17"/>
    <x v="17"/>
    <m/>
    <x v="115"/>
    <x v="118"/>
    <m/>
    <x v="119"/>
    <x v="119"/>
    <m/>
    <x v="0"/>
    <x v="0"/>
    <s v="46.2793 -25.17585"/>
    <n v="46.279299999999999"/>
    <n v="-25.175850000000001"/>
    <m/>
    <m/>
  </r>
  <r>
    <s v="MG52516111001002STUNT"/>
    <x v="5"/>
    <x v="5"/>
    <m/>
    <x v="2"/>
    <x v="2"/>
    <m/>
    <x v="6"/>
    <x v="6"/>
    <m/>
    <x v="18"/>
    <x v="18"/>
    <m/>
    <x v="116"/>
    <x v="119"/>
    <m/>
    <x v="120"/>
    <x v="120"/>
    <m/>
    <x v="0"/>
    <x v="0"/>
    <s v="45.73137 -25.21532"/>
    <n v="45.731369999999998"/>
    <n v="-25.215319999999998"/>
    <m/>
    <m/>
  </r>
  <r>
    <s v="MG52516111010001STUNT"/>
    <x v="5"/>
    <x v="5"/>
    <m/>
    <x v="2"/>
    <x v="2"/>
    <m/>
    <x v="6"/>
    <x v="6"/>
    <m/>
    <x v="18"/>
    <x v="18"/>
    <m/>
    <x v="117"/>
    <x v="120"/>
    <m/>
    <x v="121"/>
    <x v="121"/>
    <m/>
    <x v="0"/>
    <x v="0"/>
    <s v="47.91558 -21.44878"/>
    <n v="45.793210999999999"/>
    <n v="-25.116821999999999"/>
    <m/>
    <m/>
  </r>
  <r>
    <s v="MG52516111011001STUNT"/>
    <x v="5"/>
    <x v="5"/>
    <m/>
    <x v="2"/>
    <x v="2"/>
    <m/>
    <x v="6"/>
    <x v="6"/>
    <m/>
    <x v="18"/>
    <x v="18"/>
    <m/>
    <x v="118"/>
    <x v="121"/>
    <m/>
    <x v="122"/>
    <x v="122"/>
    <m/>
    <x v="0"/>
    <x v="0"/>
    <s v="45.86353 -25.05483"/>
    <n v="45.863529999999997"/>
    <n v="-25.054829999999999"/>
    <m/>
    <m/>
  </r>
  <r>
    <s v="MG52516111023001STUNT"/>
    <x v="5"/>
    <x v="5"/>
    <m/>
    <x v="2"/>
    <x v="2"/>
    <m/>
    <x v="6"/>
    <x v="6"/>
    <m/>
    <x v="18"/>
    <x v="18"/>
    <m/>
    <x v="119"/>
    <x v="122"/>
    <m/>
    <x v="123"/>
    <x v="123"/>
    <m/>
    <x v="0"/>
    <x v="0"/>
    <s v="45.76048 -25.13953"/>
    <n v="45.760480000000001"/>
    <n v="-25.139530000000001"/>
    <m/>
    <m/>
  </r>
  <r>
    <s v="MG52516111025001STUNT"/>
    <x v="5"/>
    <x v="5"/>
    <m/>
    <x v="2"/>
    <x v="2"/>
    <m/>
    <x v="6"/>
    <x v="6"/>
    <m/>
    <x v="18"/>
    <x v="18"/>
    <m/>
    <x v="120"/>
    <x v="123"/>
    <m/>
    <x v="124"/>
    <x v="124"/>
    <m/>
    <x v="0"/>
    <x v="0"/>
    <s v="45.81942 -25.13665"/>
    <n v="45.819420000000001"/>
    <n v="-25.136649999999999"/>
    <m/>
    <m/>
  </r>
  <r>
    <s v="MG52516111056001STUNT"/>
    <x v="5"/>
    <x v="5"/>
    <m/>
    <x v="2"/>
    <x v="2"/>
    <m/>
    <x v="6"/>
    <x v="6"/>
    <m/>
    <x v="18"/>
    <x v="18"/>
    <m/>
    <x v="121"/>
    <x v="124"/>
    <m/>
    <x v="125"/>
    <x v="125"/>
    <m/>
    <x v="0"/>
    <x v="0"/>
    <s v="45.77905 -25.238"/>
    <n v="45.779049999999998"/>
    <n v="-25.238"/>
    <m/>
    <m/>
  </r>
  <r>
    <s v="MG32315030006001STUNT"/>
    <x v="4"/>
    <x v="4"/>
    <m/>
    <x v="3"/>
    <x v="3"/>
    <m/>
    <x v="4"/>
    <x v="4"/>
    <m/>
    <x v="19"/>
    <x v="19"/>
    <m/>
    <x v="122"/>
    <x v="125"/>
    <m/>
    <x v="126"/>
    <x v="126"/>
    <m/>
    <x v="0"/>
    <x v="0"/>
    <s v="45.43082 -24.19892"/>
    <n v="46.496343000000003"/>
    <n v="-25.079796000000002"/>
    <m/>
    <m/>
  </r>
  <r>
    <s v="MG53519050023001STUNT"/>
    <x v="4"/>
    <x v="4"/>
    <m/>
    <x v="3"/>
    <x v="3"/>
    <m/>
    <x v="4"/>
    <x v="4"/>
    <m/>
    <x v="19"/>
    <x v="19"/>
    <m/>
    <x v="123"/>
    <x v="126"/>
    <m/>
    <x v="127"/>
    <x v="127"/>
    <m/>
    <x v="0"/>
    <x v="0"/>
    <s v="46.5201 -25.15227"/>
    <n v="46.520099999999999"/>
    <n v="-25.152270000000001"/>
    <m/>
    <m/>
  </r>
  <r>
    <s v="MG53519050017001STUNT"/>
    <x v="4"/>
    <x v="4"/>
    <m/>
    <x v="3"/>
    <x v="3"/>
    <m/>
    <x v="4"/>
    <x v="4"/>
    <m/>
    <x v="19"/>
    <x v="19"/>
    <m/>
    <x v="124"/>
    <x v="127"/>
    <m/>
    <x v="128"/>
    <x v="128"/>
    <m/>
    <x v="0"/>
    <x v="0"/>
    <s v="46.4707 -25.09725"/>
    <n v="46.470700000000001"/>
    <n v="-25.097249999999999"/>
    <m/>
    <m/>
  </r>
  <r>
    <s v="MG53519050024001STUNT"/>
    <x v="4"/>
    <x v="4"/>
    <m/>
    <x v="3"/>
    <x v="3"/>
    <m/>
    <x v="4"/>
    <x v="4"/>
    <m/>
    <x v="19"/>
    <x v="19"/>
    <m/>
    <x v="125"/>
    <x v="128"/>
    <m/>
    <x v="129"/>
    <x v="129"/>
    <m/>
    <x v="0"/>
    <x v="0"/>
    <s v="45.5124 -24.31167"/>
    <n v="46.441507000000001"/>
    <n v="-25.131820000000001"/>
    <m/>
    <m/>
  </r>
  <r>
    <s v="MG23209031001001STUNT"/>
    <x v="0"/>
    <x v="0"/>
    <m/>
    <x v="0"/>
    <x v="0"/>
    <m/>
    <x v="5"/>
    <x v="5"/>
    <m/>
    <x v="20"/>
    <x v="20"/>
    <m/>
    <x v="126"/>
    <x v="129"/>
    <m/>
    <x v="130"/>
    <x v="130"/>
    <m/>
    <x v="0"/>
    <x v="0"/>
    <s v="48.29978 -21.23748"/>
    <n v="48.299779999999998"/>
    <n v="-21.237480000000001"/>
    <m/>
    <m/>
  </r>
  <r>
    <s v="MG31309050006001STUNT"/>
    <x v="0"/>
    <x v="0"/>
    <m/>
    <x v="0"/>
    <x v="0"/>
    <m/>
    <x v="5"/>
    <x v="5"/>
    <m/>
    <x v="20"/>
    <x v="20"/>
    <m/>
    <x v="127"/>
    <x v="130"/>
    <m/>
    <x v="131"/>
    <x v="131"/>
    <m/>
    <x v="0"/>
    <x v="0"/>
    <s v="48.27005 -21.23185"/>
    <n v="48.270049999999998"/>
    <n v="-21.231850000000001"/>
    <m/>
    <m/>
  </r>
  <r>
    <s v="MG23209070001001STUNT"/>
    <x v="0"/>
    <x v="0"/>
    <m/>
    <x v="0"/>
    <x v="0"/>
    <m/>
    <x v="5"/>
    <x v="5"/>
    <m/>
    <x v="21"/>
    <x v="21"/>
    <m/>
    <x v="128"/>
    <x v="131"/>
    <m/>
    <x v="132"/>
    <x v="132"/>
    <m/>
    <x v="0"/>
    <x v="0"/>
    <s v="48.23018 -21.1757"/>
    <n v="48.230179999999997"/>
    <n v="-21.175699999999999"/>
    <m/>
    <m/>
  </r>
  <r>
    <s v="MG31309050023001STUNT"/>
    <x v="0"/>
    <x v="0"/>
    <m/>
    <x v="0"/>
    <x v="0"/>
    <m/>
    <x v="5"/>
    <x v="5"/>
    <m/>
    <x v="21"/>
    <x v="21"/>
    <m/>
    <x v="129"/>
    <x v="132"/>
    <m/>
    <x v="133"/>
    <x v="133"/>
    <m/>
    <x v="0"/>
    <x v="0"/>
    <s v="48.25255 -21.10902"/>
    <n v="48.252549999999999"/>
    <n v="-21.109020000000001"/>
    <m/>
    <m/>
  </r>
  <r>
    <s v="MG33312152011001STUNT"/>
    <x v="0"/>
    <x v="0"/>
    <m/>
    <x v="0"/>
    <x v="0"/>
    <m/>
    <x v="5"/>
    <x v="5"/>
    <m/>
    <x v="21"/>
    <x v="21"/>
    <m/>
    <x v="130"/>
    <x v="133"/>
    <m/>
    <x v="134"/>
    <x v="134"/>
    <m/>
    <x v="0"/>
    <x v="0"/>
    <s v="48.23135 -21.15683"/>
    <n v="48.231349999999999"/>
    <n v="-21.156829999999999"/>
    <m/>
    <m/>
  </r>
  <r>
    <s v="MG33313151006001STUNT"/>
    <x v="0"/>
    <x v="0"/>
    <m/>
    <x v="0"/>
    <x v="0"/>
    <m/>
    <x v="5"/>
    <x v="5"/>
    <m/>
    <x v="21"/>
    <x v="21"/>
    <m/>
    <x v="131"/>
    <x v="134"/>
    <m/>
    <x v="135"/>
    <x v="135"/>
    <m/>
    <x v="0"/>
    <x v="0"/>
    <s v="48.18883 -21.19037"/>
    <n v="48.188830000000003"/>
    <n v="-21.190370000000001"/>
    <m/>
    <m/>
  </r>
  <r>
    <s v="MG53519230016001STUNT"/>
    <x v="4"/>
    <x v="4"/>
    <m/>
    <x v="3"/>
    <x v="3"/>
    <m/>
    <x v="4"/>
    <x v="4"/>
    <m/>
    <x v="22"/>
    <x v="22"/>
    <m/>
    <x v="117"/>
    <x v="135"/>
    <m/>
    <x v="136"/>
    <x v="136"/>
    <m/>
    <x v="0"/>
    <x v="0"/>
    <s v="47.91558 -21.44878"/>
    <n v="45.979284999999997"/>
    <n v="-24.112214000000002"/>
    <m/>
    <m/>
  </r>
  <r>
    <s v="MG53519230088001STUNT"/>
    <x v="4"/>
    <x v="4"/>
    <m/>
    <x v="3"/>
    <x v="3"/>
    <m/>
    <x v="4"/>
    <x v="4"/>
    <m/>
    <x v="22"/>
    <x v="22"/>
    <m/>
    <x v="132"/>
    <x v="136"/>
    <m/>
    <x v="137"/>
    <x v="137"/>
    <m/>
    <x v="0"/>
    <x v="0"/>
    <s v="46.09212 -24.06468"/>
    <n v="46.092120000000001"/>
    <n v="-24.064679999999999"/>
    <m/>
    <m/>
  </r>
  <r>
    <s v="MG41406010003001STUNT"/>
    <x v="4"/>
    <x v="4"/>
    <m/>
    <x v="3"/>
    <x v="3"/>
    <m/>
    <x v="4"/>
    <x v="4"/>
    <m/>
    <x v="22"/>
    <x v="22"/>
    <m/>
    <x v="133"/>
    <x v="137"/>
    <m/>
    <x v="138"/>
    <x v="138"/>
    <m/>
    <x v="0"/>
    <x v="0"/>
    <s v="45.94833 -24.12068"/>
    <n v="45.948329999999999"/>
    <n v="-24.12068"/>
    <m/>
    <m/>
  </r>
  <r>
    <s v="MG53519230003001STUNT"/>
    <x v="4"/>
    <x v="4"/>
    <m/>
    <x v="3"/>
    <x v="3"/>
    <m/>
    <x v="4"/>
    <x v="4"/>
    <m/>
    <x v="22"/>
    <x v="22"/>
    <m/>
    <x v="134"/>
    <x v="138"/>
    <m/>
    <x v="139"/>
    <x v="139"/>
    <m/>
    <x v="0"/>
    <x v="0"/>
    <s v="46.07503 -24.0705"/>
    <n v="46.075029999999998"/>
    <n v="-24.070499999999999"/>
    <m/>
    <m/>
  </r>
  <r>
    <s v="MG53519230045001STUNT"/>
    <x v="4"/>
    <x v="4"/>
    <m/>
    <x v="3"/>
    <x v="3"/>
    <m/>
    <x v="4"/>
    <x v="4"/>
    <m/>
    <x v="22"/>
    <x v="22"/>
    <m/>
    <x v="135"/>
    <x v="139"/>
    <m/>
    <x v="140"/>
    <x v="140"/>
    <m/>
    <x v="0"/>
    <x v="0"/>
    <s v="45.31503 -23.86987"/>
    <n v="46.015304999999998"/>
    <n v="-24.061893000000001"/>
    <m/>
    <m/>
  </r>
  <r>
    <s v="MG53519230005001STUNT"/>
    <x v="4"/>
    <x v="4"/>
    <m/>
    <x v="3"/>
    <x v="3"/>
    <m/>
    <x v="4"/>
    <x v="4"/>
    <m/>
    <x v="22"/>
    <x v="22"/>
    <m/>
    <x v="136"/>
    <x v="140"/>
    <m/>
    <x v="141"/>
    <x v="141"/>
    <m/>
    <x v="0"/>
    <x v="0"/>
    <s v="46.0668 -24.07095"/>
    <n v="46.066800000000001"/>
    <n v="-24.07095"/>
    <m/>
    <m/>
  </r>
  <r>
    <s v="MG53519230007001STUNT"/>
    <x v="4"/>
    <x v="4"/>
    <m/>
    <x v="3"/>
    <x v="3"/>
    <m/>
    <x v="4"/>
    <x v="4"/>
    <m/>
    <x v="22"/>
    <x v="22"/>
    <m/>
    <x v="137"/>
    <x v="141"/>
    <m/>
    <x v="142"/>
    <x v="142"/>
    <m/>
    <x v="0"/>
    <x v="0"/>
    <s v="45.94657 -24.12592"/>
    <n v="45.946570000000001"/>
    <n v="-24.125920000000001"/>
    <m/>
    <m/>
  </r>
  <r>
    <s v="MG53519230013001STUNT"/>
    <x v="4"/>
    <x v="4"/>
    <m/>
    <x v="3"/>
    <x v="3"/>
    <m/>
    <x v="4"/>
    <x v="4"/>
    <m/>
    <x v="22"/>
    <x v="22"/>
    <m/>
    <x v="138"/>
    <x v="142"/>
    <m/>
    <x v="143"/>
    <x v="143"/>
    <m/>
    <x v="0"/>
    <x v="0"/>
    <s v="46.21178 -24.21623"/>
    <n v="46.211779999999997"/>
    <n v="-24.216229999999999"/>
    <m/>
    <m/>
  </r>
  <r>
    <s v="MG53519230014001STUNT"/>
    <x v="4"/>
    <x v="4"/>
    <m/>
    <x v="3"/>
    <x v="3"/>
    <m/>
    <x v="4"/>
    <x v="4"/>
    <m/>
    <x v="22"/>
    <x v="22"/>
    <m/>
    <x v="139"/>
    <x v="143"/>
    <m/>
    <x v="144"/>
    <x v="144"/>
    <m/>
    <x v="0"/>
    <x v="0"/>
    <s v="45.9513 -24.12888"/>
    <n v="45.951300000000003"/>
    <n v="-24.128879999999999"/>
    <m/>
    <m/>
  </r>
  <r>
    <s v="MG53519230015001STUNT"/>
    <x v="4"/>
    <x v="4"/>
    <m/>
    <x v="3"/>
    <x v="3"/>
    <m/>
    <x v="4"/>
    <x v="4"/>
    <m/>
    <x v="22"/>
    <x v="22"/>
    <m/>
    <x v="140"/>
    <x v="144"/>
    <m/>
    <x v="145"/>
    <x v="145"/>
    <m/>
    <x v="0"/>
    <x v="0"/>
    <s v="46.09718 -24.04995"/>
    <n v="46.097180000000002"/>
    <n v="-24.049949999999999"/>
    <m/>
    <m/>
  </r>
  <r>
    <s v="MG53519230001001STUNT"/>
    <x v="4"/>
    <x v="4"/>
    <m/>
    <x v="3"/>
    <x v="3"/>
    <m/>
    <x v="4"/>
    <x v="4"/>
    <m/>
    <x v="22"/>
    <x v="22"/>
    <m/>
    <x v="141"/>
    <x v="145"/>
    <m/>
    <x v="146"/>
    <x v="146"/>
    <m/>
    <x v="0"/>
    <x v="0"/>
    <s v="46.07443 -24.06667"/>
    <n v="46.07443"/>
    <n v="-24.066669999999998"/>
    <m/>
    <m/>
  </r>
  <r>
    <s v="MG53519230008001STUNT"/>
    <x v="4"/>
    <x v="4"/>
    <m/>
    <x v="3"/>
    <x v="3"/>
    <m/>
    <x v="4"/>
    <x v="4"/>
    <m/>
    <x v="22"/>
    <x v="22"/>
    <m/>
    <x v="142"/>
    <x v="146"/>
    <m/>
    <x v="147"/>
    <x v="147"/>
    <m/>
    <x v="0"/>
    <x v="0"/>
    <s v="45.99887 -23.20588"/>
    <n v="45.991731999999999"/>
    <n v="-24.129111000000002"/>
    <m/>
    <m/>
  </r>
  <r>
    <s v="MG52516130001001STUNT"/>
    <x v="5"/>
    <x v="5"/>
    <m/>
    <x v="2"/>
    <x v="2"/>
    <m/>
    <x v="7"/>
    <x v="7"/>
    <m/>
    <x v="23"/>
    <x v="23"/>
    <m/>
    <x v="143"/>
    <x v="147"/>
    <m/>
    <x v="148"/>
    <x v="148"/>
    <m/>
    <x v="0"/>
    <x v="0"/>
    <s v="45.697468 -24.853417"/>
    <n v="45.697468000000001"/>
    <n v="-24.853417"/>
    <m/>
    <m/>
  </r>
  <r>
    <s v="MG52516130068080STUNT"/>
    <x v="5"/>
    <x v="5"/>
    <m/>
    <x v="2"/>
    <x v="2"/>
    <m/>
    <x v="7"/>
    <x v="7"/>
    <m/>
    <x v="23"/>
    <x v="23"/>
    <m/>
    <x v="144"/>
    <x v="148"/>
    <m/>
    <x v="149"/>
    <x v="149"/>
    <m/>
    <x v="0"/>
    <x v="0"/>
    <s v="45.699966 -24.819034"/>
    <n v="45.699966000000003"/>
    <n v="-24.819033999999998"/>
    <m/>
    <m/>
  </r>
  <r>
    <s v="MG52516130033053STUNT"/>
    <x v="5"/>
    <x v="5"/>
    <m/>
    <x v="2"/>
    <x v="2"/>
    <m/>
    <x v="7"/>
    <x v="7"/>
    <m/>
    <x v="23"/>
    <x v="23"/>
    <m/>
    <x v="145"/>
    <x v="149"/>
    <m/>
    <x v="150"/>
    <x v="150"/>
    <m/>
    <x v="0"/>
    <x v="0"/>
    <s v="45.742440 -24.977625"/>
    <n v="45.742440000000002"/>
    <n v="-24.977625"/>
    <m/>
    <m/>
  </r>
  <r>
    <s v="MG52516130039031STUNT"/>
    <x v="5"/>
    <x v="5"/>
    <m/>
    <x v="2"/>
    <x v="2"/>
    <m/>
    <x v="7"/>
    <x v="7"/>
    <m/>
    <x v="23"/>
    <x v="23"/>
    <m/>
    <x v="146"/>
    <x v="150"/>
    <m/>
    <x v="151"/>
    <x v="151"/>
    <m/>
    <x v="0"/>
    <x v="0"/>
    <s v="45.686760 -25.038301"/>
    <n v="45.68676"/>
    <n v="-25.038301000000001"/>
    <m/>
    <m/>
  </r>
  <r>
    <s v="MG52516130067013STUNT"/>
    <x v="5"/>
    <x v="5"/>
    <m/>
    <x v="2"/>
    <x v="2"/>
    <m/>
    <x v="7"/>
    <x v="7"/>
    <m/>
    <x v="23"/>
    <x v="23"/>
    <m/>
    <x v="147"/>
    <x v="151"/>
    <m/>
    <x v="152"/>
    <x v="152"/>
    <m/>
    <x v="0"/>
    <x v="0"/>
    <s v="45.642264 -24.930273"/>
    <n v="45.642263999999997"/>
    <n v="-24.930273"/>
    <m/>
    <m/>
  </r>
  <r>
    <s v="MG52516130020024STUNT"/>
    <x v="5"/>
    <x v="5"/>
    <m/>
    <x v="2"/>
    <x v="2"/>
    <m/>
    <x v="7"/>
    <x v="7"/>
    <m/>
    <x v="23"/>
    <x v="23"/>
    <m/>
    <x v="148"/>
    <x v="152"/>
    <m/>
    <x v="153"/>
    <x v="153"/>
    <m/>
    <x v="0"/>
    <x v="0"/>
    <s v="45.834525 -24.777750"/>
    <n v="45.834524999999999"/>
    <n v="-24.777750000000001"/>
    <m/>
    <m/>
  </r>
  <r>
    <s v="MG52516130017012STUNT"/>
    <x v="5"/>
    <x v="5"/>
    <m/>
    <x v="2"/>
    <x v="2"/>
    <m/>
    <x v="7"/>
    <x v="7"/>
    <m/>
    <x v="23"/>
    <x v="23"/>
    <m/>
    <x v="149"/>
    <x v="153"/>
    <m/>
    <x v="154"/>
    <x v="154"/>
    <m/>
    <x v="0"/>
    <x v="0"/>
    <s v="45.823103 -24.709221"/>
    <n v="45.823103000000003"/>
    <n v="-24.709220999999999"/>
    <m/>
    <m/>
  </r>
  <r>
    <s v="MG52516151031021STUNT"/>
    <x v="5"/>
    <x v="5"/>
    <m/>
    <x v="2"/>
    <x v="2"/>
    <m/>
    <x v="7"/>
    <x v="7"/>
    <m/>
    <x v="24"/>
    <x v="24"/>
    <m/>
    <x v="150"/>
    <x v="154"/>
    <m/>
    <x v="155"/>
    <x v="155"/>
    <m/>
    <x v="0"/>
    <x v="0"/>
    <s v="45.661776 -24.744200"/>
    <n v="45.661776000000003"/>
    <n v="-24.744199999999999"/>
    <m/>
    <m/>
  </r>
  <r>
    <s v="MG52516151029007STUNT"/>
    <x v="5"/>
    <x v="5"/>
    <m/>
    <x v="2"/>
    <x v="2"/>
    <m/>
    <x v="7"/>
    <x v="7"/>
    <m/>
    <x v="24"/>
    <x v="24"/>
    <m/>
    <x v="151"/>
    <x v="155"/>
    <m/>
    <x v="156"/>
    <x v="156"/>
    <m/>
    <x v="0"/>
    <x v="0"/>
    <s v="45.604669 -24.719215"/>
    <n v="45.604669000000001"/>
    <n v="-24.719214999999998"/>
    <m/>
    <m/>
  </r>
  <r>
    <s v="MG52516151030003STUNT"/>
    <x v="5"/>
    <x v="5"/>
    <m/>
    <x v="2"/>
    <x v="2"/>
    <m/>
    <x v="7"/>
    <x v="7"/>
    <m/>
    <x v="24"/>
    <x v="24"/>
    <m/>
    <x v="111"/>
    <x v="156"/>
    <m/>
    <x v="157"/>
    <x v="157"/>
    <m/>
    <x v="0"/>
    <x v="0"/>
    <s v="45.611093 -24.776322"/>
    <n v="45.611092999999997"/>
    <n v="-24.776322"/>
    <m/>
    <m/>
  </r>
  <r>
    <s v="MG52516151080009STUNT"/>
    <x v="5"/>
    <x v="5"/>
    <m/>
    <x v="2"/>
    <x v="2"/>
    <m/>
    <x v="7"/>
    <x v="7"/>
    <m/>
    <x v="24"/>
    <x v="24"/>
    <m/>
    <x v="152"/>
    <x v="157"/>
    <m/>
    <x v="158"/>
    <x v="158"/>
    <m/>
    <x v="0"/>
    <x v="0"/>
    <s v="45.623229 -24.699942"/>
    <n v="45.623229000000002"/>
    <n v="-24.699942"/>
    <m/>
    <m/>
  </r>
  <r>
    <s v="MG52516151008002STUNT"/>
    <x v="5"/>
    <x v="5"/>
    <m/>
    <x v="2"/>
    <x v="2"/>
    <m/>
    <x v="7"/>
    <x v="7"/>
    <m/>
    <x v="24"/>
    <x v="24"/>
    <m/>
    <x v="153"/>
    <x v="158"/>
    <m/>
    <x v="159"/>
    <x v="159"/>
    <m/>
    <x v="0"/>
    <x v="0"/>
    <s v="45.618945 -24.593580"/>
    <n v="45.618944999999997"/>
    <n v="-24.593579999999999"/>
    <m/>
    <m/>
  </r>
  <r>
    <s v="MG52516151001001STUNT"/>
    <x v="5"/>
    <x v="5"/>
    <m/>
    <x v="2"/>
    <x v="2"/>
    <m/>
    <x v="7"/>
    <x v="7"/>
    <m/>
    <x v="24"/>
    <x v="24"/>
    <m/>
    <x v="154"/>
    <x v="159"/>
    <m/>
    <x v="160"/>
    <x v="160"/>
    <m/>
    <x v="0"/>
    <x v="0"/>
    <s v="45.601813 -24.674243"/>
    <n v="45.601813"/>
    <n v="-24.674243000000001"/>
    <m/>
    <m/>
  </r>
  <r>
    <s v="MG52516151021004STUNT"/>
    <x v="5"/>
    <x v="5"/>
    <m/>
    <x v="2"/>
    <x v="2"/>
    <m/>
    <x v="7"/>
    <x v="7"/>
    <m/>
    <x v="24"/>
    <x v="24"/>
    <m/>
    <x v="155"/>
    <x v="160"/>
    <m/>
    <x v="161"/>
    <x v="161"/>
    <m/>
    <x v="0"/>
    <x v="0"/>
    <s v="45.451907 -24.664963"/>
    <n v="45.451906999999999"/>
    <n v="-24.664963"/>
    <m/>
    <m/>
  </r>
  <r>
    <s v="MG53519291001PREV"/>
    <x v="5"/>
    <x v="5"/>
    <m/>
    <x v="3"/>
    <x v="3"/>
    <m/>
    <x v="4"/>
    <x v="4"/>
    <m/>
    <x v="25"/>
    <x v="25"/>
    <m/>
    <x v="156"/>
    <x v="161"/>
    <m/>
    <x v="162"/>
    <x v="162"/>
    <m/>
    <x v="1"/>
    <x v="1"/>
    <m/>
    <n v="-24.482420000000001"/>
    <n v="46.023780000000002"/>
    <m/>
    <m/>
  </r>
  <r>
    <s v="MG53519090007PREV"/>
    <x v="5"/>
    <x v="5"/>
    <m/>
    <x v="3"/>
    <x v="3"/>
    <m/>
    <x v="4"/>
    <x v="4"/>
    <m/>
    <x v="11"/>
    <x v="11"/>
    <m/>
    <x v="157"/>
    <x v="161"/>
    <m/>
    <x v="83"/>
    <x v="163"/>
    <m/>
    <x v="1"/>
    <x v="1"/>
    <m/>
    <n v="-24.784496000000001"/>
    <n v="46.053463999999998"/>
    <m/>
    <m/>
  </r>
  <r>
    <s v="MG53519090017PREV"/>
    <x v="5"/>
    <x v="5"/>
    <m/>
    <x v="3"/>
    <x v="3"/>
    <m/>
    <x v="4"/>
    <x v="4"/>
    <m/>
    <x v="11"/>
    <x v="11"/>
    <m/>
    <x v="158"/>
    <x v="161"/>
    <m/>
    <x v="163"/>
    <x v="164"/>
    <m/>
    <x v="1"/>
    <x v="1"/>
    <m/>
    <n v="-24.942674"/>
    <n v="46.179955999999997"/>
    <m/>
    <m/>
  </r>
  <r>
    <s v="MG53519090001PREV"/>
    <x v="5"/>
    <x v="5"/>
    <m/>
    <x v="3"/>
    <x v="3"/>
    <m/>
    <x v="4"/>
    <x v="4"/>
    <m/>
    <x v="11"/>
    <x v="11"/>
    <m/>
    <x v="159"/>
    <x v="161"/>
    <m/>
    <x v="85"/>
    <x v="165"/>
    <m/>
    <x v="1"/>
    <x v="1"/>
    <m/>
    <n v="-24.80115"/>
    <n v="46.138179999999998"/>
    <m/>
    <m/>
  </r>
  <r>
    <s v="MG53519190001PREV"/>
    <x v="5"/>
    <x v="5"/>
    <m/>
    <x v="3"/>
    <x v="3"/>
    <m/>
    <x v="4"/>
    <x v="4"/>
    <m/>
    <x v="26"/>
    <x v="26"/>
    <m/>
    <x v="160"/>
    <x v="161"/>
    <m/>
    <x v="164"/>
    <x v="166"/>
    <m/>
    <x v="1"/>
    <x v="1"/>
    <m/>
    <n v="-24.177430000000001"/>
    <n v="46.348599999999998"/>
    <m/>
    <m/>
  </r>
  <r>
    <s v="MG53519190011PREV"/>
    <x v="5"/>
    <x v="5"/>
    <m/>
    <x v="3"/>
    <x v="3"/>
    <m/>
    <x v="4"/>
    <x v="4"/>
    <m/>
    <x v="26"/>
    <x v="26"/>
    <m/>
    <x v="161"/>
    <x v="161"/>
    <m/>
    <x v="165"/>
    <x v="167"/>
    <m/>
    <x v="1"/>
    <x v="1"/>
    <m/>
    <n v="-24.30162"/>
    <n v="46.383899999999997"/>
    <m/>
    <m/>
  </r>
  <r>
    <s v="MG51506330059PREV"/>
    <x v="5"/>
    <x v="5"/>
    <m/>
    <x v="3"/>
    <x v="3"/>
    <m/>
    <x v="4"/>
    <x v="4"/>
    <m/>
    <x v="26"/>
    <x v="26"/>
    <m/>
    <x v="162"/>
    <x v="161"/>
    <m/>
    <x v="166"/>
    <x v="168"/>
    <m/>
    <x v="1"/>
    <x v="1"/>
    <m/>
    <n v="-24.210429999999999"/>
    <n v="46.300150000000002"/>
    <m/>
    <m/>
  </r>
  <r>
    <s v="MG53519292001PREV"/>
    <x v="5"/>
    <x v="5"/>
    <m/>
    <x v="3"/>
    <x v="3"/>
    <m/>
    <x v="4"/>
    <x v="4"/>
    <m/>
    <x v="27"/>
    <x v="27"/>
    <m/>
    <x v="163"/>
    <x v="161"/>
    <m/>
    <x v="167"/>
    <x v="169"/>
    <m/>
    <x v="1"/>
    <x v="1"/>
    <m/>
    <n v="-24.437570000000001"/>
    <n v="46.220619999999997"/>
    <m/>
    <m/>
  </r>
  <r>
    <s v="MG52516031011PREV"/>
    <x v="5"/>
    <x v="5"/>
    <m/>
    <x v="2"/>
    <x v="2"/>
    <m/>
    <x v="6"/>
    <x v="6"/>
    <m/>
    <x v="28"/>
    <x v="28"/>
    <m/>
    <x v="164"/>
    <x v="161"/>
    <m/>
    <x v="168"/>
    <x v="170"/>
    <m/>
    <x v="1"/>
    <x v="1"/>
    <m/>
    <n v="-25.201720000000002"/>
    <n v="45.96387"/>
    <m/>
    <m/>
  </r>
  <r>
    <s v="MG52516031001PREV"/>
    <x v="5"/>
    <x v="5"/>
    <m/>
    <x v="2"/>
    <x v="2"/>
    <m/>
    <x v="6"/>
    <x v="6"/>
    <m/>
    <x v="28"/>
    <x v="28"/>
    <m/>
    <x v="165"/>
    <x v="161"/>
    <m/>
    <x v="169"/>
    <x v="171"/>
    <m/>
    <x v="1"/>
    <x v="1"/>
    <m/>
    <n v="-25.197479999999999"/>
    <n v="45.983069999999998"/>
    <m/>
    <m/>
  </r>
  <r>
    <s v="MG52516031004PREV"/>
    <x v="5"/>
    <x v="5"/>
    <m/>
    <x v="2"/>
    <x v="2"/>
    <m/>
    <x v="6"/>
    <x v="6"/>
    <m/>
    <x v="28"/>
    <x v="28"/>
    <m/>
    <x v="166"/>
    <x v="161"/>
    <m/>
    <x v="170"/>
    <x v="172"/>
    <m/>
    <x v="1"/>
    <x v="1"/>
    <m/>
    <n v="-25.129829999999998"/>
    <n v="46.024169999999998"/>
    <m/>
    <m/>
  </r>
  <r>
    <s v="MG52516031006PREV"/>
    <x v="5"/>
    <x v="5"/>
    <m/>
    <x v="2"/>
    <x v="2"/>
    <m/>
    <x v="6"/>
    <x v="6"/>
    <m/>
    <x v="28"/>
    <x v="28"/>
    <m/>
    <x v="167"/>
    <x v="161"/>
    <m/>
    <x v="171"/>
    <x v="173"/>
    <m/>
    <x v="1"/>
    <x v="1"/>
    <m/>
    <n v="-25.162649999999999"/>
    <n v="46.042819999999999"/>
    <m/>
    <m/>
  </r>
  <r>
    <s v="MG52516014003PREV"/>
    <x v="5"/>
    <x v="5"/>
    <m/>
    <x v="2"/>
    <x v="2"/>
    <m/>
    <x v="6"/>
    <x v="6"/>
    <m/>
    <x v="29"/>
    <x v="29"/>
    <m/>
    <x v="168"/>
    <x v="161"/>
    <m/>
    <x v="172"/>
    <x v="174"/>
    <m/>
    <x v="1"/>
    <x v="1"/>
    <m/>
    <n v="-25.00853"/>
    <n v="46.138919999999999"/>
    <m/>
    <m/>
  </r>
  <r>
    <s v="MG52516014006PREV"/>
    <x v="5"/>
    <x v="5"/>
    <m/>
    <x v="2"/>
    <x v="2"/>
    <m/>
    <x v="6"/>
    <x v="6"/>
    <m/>
    <x v="29"/>
    <x v="29"/>
    <m/>
    <x v="169"/>
    <x v="161"/>
    <m/>
    <x v="173"/>
    <x v="175"/>
    <m/>
    <x v="1"/>
    <x v="1"/>
    <m/>
    <n v="-25.038969999999999"/>
    <n v="46.19502"/>
    <m/>
    <m/>
  </r>
  <r>
    <s v="MG52516014011PREV"/>
    <x v="5"/>
    <x v="5"/>
    <m/>
    <x v="2"/>
    <x v="2"/>
    <m/>
    <x v="6"/>
    <x v="6"/>
    <m/>
    <x v="29"/>
    <x v="29"/>
    <m/>
    <x v="170"/>
    <x v="161"/>
    <m/>
    <x v="174"/>
    <x v="176"/>
    <m/>
    <x v="1"/>
    <x v="1"/>
    <m/>
    <n v="-25.045819999999999"/>
    <n v="46.22025"/>
    <m/>
    <m/>
  </r>
  <r>
    <s v="MG52516014022PREV"/>
    <x v="5"/>
    <x v="5"/>
    <m/>
    <x v="2"/>
    <x v="2"/>
    <m/>
    <x v="6"/>
    <x v="6"/>
    <m/>
    <x v="29"/>
    <x v="29"/>
    <m/>
    <x v="171"/>
    <x v="161"/>
    <m/>
    <x v="175"/>
    <x v="177"/>
    <m/>
    <x v="1"/>
    <x v="1"/>
    <m/>
    <n v="-25.07085"/>
    <n v="46.215330000000002"/>
    <m/>
    <m/>
  </r>
  <r>
    <s v="MG52516014001PREV"/>
    <x v="5"/>
    <x v="5"/>
    <m/>
    <x v="2"/>
    <x v="2"/>
    <m/>
    <x v="6"/>
    <x v="6"/>
    <m/>
    <x v="29"/>
    <x v="29"/>
    <m/>
    <x v="172"/>
    <x v="161"/>
    <m/>
    <x v="176"/>
    <x v="178"/>
    <m/>
    <x v="1"/>
    <x v="1"/>
    <m/>
    <n v="-25.05817"/>
    <n v="46.23948"/>
    <m/>
    <m/>
  </r>
  <r>
    <s v="MG52516014017PREV"/>
    <x v="5"/>
    <x v="5"/>
    <m/>
    <x v="2"/>
    <x v="2"/>
    <m/>
    <x v="6"/>
    <x v="6"/>
    <m/>
    <x v="29"/>
    <x v="29"/>
    <m/>
    <x v="173"/>
    <x v="161"/>
    <m/>
    <x v="177"/>
    <x v="179"/>
    <m/>
    <x v="1"/>
    <x v="1"/>
    <m/>
    <n v="-25.069369999999999"/>
    <n v="46.250100000000003"/>
    <m/>
    <m/>
  </r>
  <r>
    <s v="MG52516071012PREV"/>
    <x v="5"/>
    <x v="5"/>
    <m/>
    <x v="2"/>
    <x v="2"/>
    <m/>
    <x v="6"/>
    <x v="6"/>
    <m/>
    <x v="30"/>
    <x v="30"/>
    <m/>
    <x v="174"/>
    <x v="161"/>
    <m/>
    <x v="178"/>
    <x v="180"/>
    <m/>
    <x v="1"/>
    <x v="1"/>
    <m/>
    <n v="-25.156500000000001"/>
    <n v="46.187100000000001"/>
    <m/>
    <m/>
  </r>
  <r>
    <s v="MG52516071004PREV"/>
    <x v="5"/>
    <x v="5"/>
    <m/>
    <x v="2"/>
    <x v="2"/>
    <m/>
    <x v="6"/>
    <x v="6"/>
    <m/>
    <x v="30"/>
    <x v="30"/>
    <m/>
    <x v="175"/>
    <x v="161"/>
    <m/>
    <x v="179"/>
    <x v="181"/>
    <m/>
    <x v="1"/>
    <x v="1"/>
    <m/>
    <n v="-25.19933"/>
    <n v="46.189279999999997"/>
    <m/>
    <m/>
  </r>
  <r>
    <s v="MG52516071030PREV"/>
    <x v="5"/>
    <x v="5"/>
    <m/>
    <x v="2"/>
    <x v="2"/>
    <m/>
    <x v="6"/>
    <x v="6"/>
    <m/>
    <x v="30"/>
    <x v="30"/>
    <m/>
    <x v="176"/>
    <x v="161"/>
    <m/>
    <x v="180"/>
    <x v="182"/>
    <m/>
    <x v="1"/>
    <x v="1"/>
    <m/>
    <n v="-25.195679999999999"/>
    <n v="46.209220000000002"/>
    <m/>
    <m/>
  </r>
  <r>
    <s v="MG52516071031PREV"/>
    <x v="5"/>
    <x v="5"/>
    <m/>
    <x v="2"/>
    <x v="2"/>
    <m/>
    <x v="6"/>
    <x v="6"/>
    <m/>
    <x v="30"/>
    <x v="30"/>
    <m/>
    <x v="177"/>
    <x v="161"/>
    <m/>
    <x v="181"/>
    <x v="183"/>
    <m/>
    <x v="1"/>
    <x v="1"/>
    <m/>
    <n v="-25.159880000000001"/>
    <n v="46.147599999999997"/>
    <m/>
    <m/>
  </r>
  <r>
    <s v="MG52516111001PREV"/>
    <x v="5"/>
    <x v="5"/>
    <m/>
    <x v="2"/>
    <x v="2"/>
    <m/>
    <x v="6"/>
    <x v="6"/>
    <m/>
    <x v="18"/>
    <x v="18"/>
    <m/>
    <x v="116"/>
    <x v="161"/>
    <m/>
    <x v="182"/>
    <x v="184"/>
    <m/>
    <x v="1"/>
    <x v="1"/>
    <m/>
    <n v="-25.21303"/>
    <n v="45.736429999999999"/>
    <m/>
    <m/>
  </r>
  <r>
    <s v="MG52516111023PREV"/>
    <x v="5"/>
    <x v="5"/>
    <m/>
    <x v="2"/>
    <x v="2"/>
    <m/>
    <x v="6"/>
    <x v="6"/>
    <m/>
    <x v="18"/>
    <x v="18"/>
    <m/>
    <x v="119"/>
    <x v="161"/>
    <m/>
    <x v="123"/>
    <x v="185"/>
    <m/>
    <x v="1"/>
    <x v="1"/>
    <m/>
    <n v="-25.162099999999999"/>
    <n v="45.769300000000001"/>
    <m/>
    <m/>
  </r>
  <r>
    <s v="MG52516111025PREV"/>
    <x v="5"/>
    <x v="5"/>
    <m/>
    <x v="2"/>
    <x v="2"/>
    <m/>
    <x v="6"/>
    <x v="6"/>
    <m/>
    <x v="18"/>
    <x v="18"/>
    <m/>
    <x v="120"/>
    <x v="161"/>
    <m/>
    <x v="183"/>
    <x v="186"/>
    <m/>
    <x v="1"/>
    <x v="1"/>
    <m/>
    <n v="-25.131920000000001"/>
    <n v="45.828049999999998"/>
    <m/>
    <m/>
  </r>
  <r>
    <s v="MG52516111011PREV"/>
    <x v="5"/>
    <x v="5"/>
    <m/>
    <x v="2"/>
    <x v="2"/>
    <m/>
    <x v="6"/>
    <x v="6"/>
    <m/>
    <x v="18"/>
    <x v="18"/>
    <m/>
    <x v="118"/>
    <x v="161"/>
    <m/>
    <x v="184"/>
    <x v="187"/>
    <m/>
    <x v="1"/>
    <x v="1"/>
    <m/>
    <n v="-25.007020000000001"/>
    <n v="45.821179999999998"/>
    <m/>
    <m/>
  </r>
  <r>
    <s v="MG52516111070PREV"/>
    <x v="5"/>
    <x v="5"/>
    <m/>
    <x v="2"/>
    <x v="2"/>
    <m/>
    <x v="6"/>
    <x v="6"/>
    <m/>
    <x v="18"/>
    <x v="18"/>
    <m/>
    <x v="121"/>
    <x v="161"/>
    <m/>
    <x v="185"/>
    <x v="188"/>
    <m/>
    <x v="1"/>
    <x v="1"/>
    <m/>
    <n v="-25.246919999999999"/>
    <n v="45.778399999999998"/>
    <m/>
    <m/>
  </r>
  <r>
    <s v="MG52516111071PREV"/>
    <x v="5"/>
    <x v="5"/>
    <m/>
    <x v="2"/>
    <x v="2"/>
    <m/>
    <x v="6"/>
    <x v="6"/>
    <m/>
    <x v="18"/>
    <x v="18"/>
    <m/>
    <x v="117"/>
    <x v="161"/>
    <m/>
    <x v="186"/>
    <x v="189"/>
    <m/>
    <x v="1"/>
    <x v="1"/>
    <m/>
    <n v="-25.191669999999998"/>
    <n v="45.802199999999999"/>
    <m/>
    <m/>
  </r>
  <r>
    <s v="MG52516151021PREV"/>
    <x v="5"/>
    <x v="5"/>
    <m/>
    <x v="2"/>
    <x v="2"/>
    <m/>
    <x v="7"/>
    <x v="7"/>
    <m/>
    <x v="24"/>
    <x v="24"/>
    <m/>
    <x v="178"/>
    <x v="161"/>
    <m/>
    <x v="187"/>
    <x v="190"/>
    <m/>
    <x v="1"/>
    <x v="1"/>
    <m/>
    <n v="-24.65907"/>
    <n v="45.45167"/>
    <m/>
    <m/>
  </r>
  <r>
    <s v="MG52516151029PREV"/>
    <x v="5"/>
    <x v="5"/>
    <m/>
    <x v="2"/>
    <x v="2"/>
    <m/>
    <x v="7"/>
    <x v="7"/>
    <m/>
    <x v="24"/>
    <x v="24"/>
    <m/>
    <x v="179"/>
    <x v="161"/>
    <m/>
    <x v="188"/>
    <x v="191"/>
    <m/>
    <x v="1"/>
    <x v="1"/>
    <m/>
    <n v="-24.719149999999999"/>
    <n v="45.588729999999998"/>
    <m/>
    <m/>
  </r>
  <r>
    <s v="MG52516151001PREV"/>
    <x v="5"/>
    <x v="5"/>
    <m/>
    <x v="2"/>
    <x v="2"/>
    <m/>
    <x v="7"/>
    <x v="7"/>
    <m/>
    <x v="24"/>
    <x v="24"/>
    <m/>
    <x v="180"/>
    <x v="161"/>
    <m/>
    <x v="189"/>
    <x v="192"/>
    <m/>
    <x v="1"/>
    <x v="1"/>
    <m/>
    <n v="-24.668520000000001"/>
    <n v="45.598350000000003"/>
    <m/>
    <m/>
  </r>
  <r>
    <s v="MG52516151030PREV"/>
    <x v="5"/>
    <x v="5"/>
    <m/>
    <x v="2"/>
    <x v="2"/>
    <m/>
    <x v="7"/>
    <x v="7"/>
    <m/>
    <x v="24"/>
    <x v="24"/>
    <m/>
    <x v="181"/>
    <x v="161"/>
    <m/>
    <x v="190"/>
    <x v="193"/>
    <m/>
    <x v="1"/>
    <x v="1"/>
    <m/>
    <n v="-24.803349999999998"/>
    <n v="45.601170000000003"/>
    <m/>
    <m/>
  </r>
  <r>
    <s v="MG52516151008PREV"/>
    <x v="5"/>
    <x v="5"/>
    <m/>
    <x v="2"/>
    <x v="2"/>
    <m/>
    <x v="7"/>
    <x v="7"/>
    <m/>
    <x v="24"/>
    <x v="24"/>
    <m/>
    <x v="153"/>
    <x v="161"/>
    <m/>
    <x v="159"/>
    <x v="194"/>
    <m/>
    <x v="1"/>
    <x v="1"/>
    <m/>
    <n v="-24.605519999999999"/>
    <n v="45.609650000000002"/>
    <m/>
    <m/>
  </r>
  <r>
    <s v="MG52516151031PREV"/>
    <x v="5"/>
    <x v="5"/>
    <m/>
    <x v="2"/>
    <x v="2"/>
    <m/>
    <x v="7"/>
    <x v="7"/>
    <m/>
    <x v="24"/>
    <x v="24"/>
    <m/>
    <x v="182"/>
    <x v="161"/>
    <m/>
    <x v="191"/>
    <x v="195"/>
    <m/>
    <x v="1"/>
    <x v="1"/>
    <m/>
    <n v="-24.734480000000001"/>
    <n v="45.63758"/>
    <m/>
    <m/>
  </r>
  <r>
    <s v="MG52516151069PREV"/>
    <x v="5"/>
    <x v="5"/>
    <m/>
    <x v="2"/>
    <x v="2"/>
    <m/>
    <x v="7"/>
    <x v="7"/>
    <m/>
    <x v="24"/>
    <x v="24"/>
    <m/>
    <x v="129"/>
    <x v="161"/>
    <m/>
    <x v="133"/>
    <x v="196"/>
    <m/>
    <x v="1"/>
    <x v="1"/>
    <m/>
    <n v="-24.742546999999998"/>
    <n v="45.675075999999997"/>
    <m/>
    <m/>
  </r>
  <r>
    <s v="MG52516130001PREV"/>
    <x v="5"/>
    <x v="5"/>
    <m/>
    <x v="2"/>
    <x v="2"/>
    <m/>
    <x v="7"/>
    <x v="7"/>
    <m/>
    <x v="23"/>
    <x v="23"/>
    <m/>
    <x v="143"/>
    <x v="161"/>
    <m/>
    <x v="148"/>
    <x v="197"/>
    <m/>
    <x v="1"/>
    <x v="1"/>
    <m/>
    <n v="-24.817499999999999"/>
    <n v="45.65842"/>
    <m/>
    <m/>
  </r>
  <r>
    <s v="MG52516130039PREV"/>
    <x v="5"/>
    <x v="5"/>
    <m/>
    <x v="2"/>
    <x v="2"/>
    <m/>
    <x v="7"/>
    <x v="7"/>
    <m/>
    <x v="23"/>
    <x v="23"/>
    <m/>
    <x v="183"/>
    <x v="161"/>
    <m/>
    <x v="192"/>
    <x v="198"/>
    <m/>
    <x v="1"/>
    <x v="1"/>
    <m/>
    <n v="-25.038900000000002"/>
    <n v="45.697519999999997"/>
    <m/>
    <m/>
  </r>
  <r>
    <s v="MG52516130026PREV"/>
    <x v="5"/>
    <x v="5"/>
    <m/>
    <x v="2"/>
    <x v="2"/>
    <m/>
    <x v="7"/>
    <x v="7"/>
    <m/>
    <x v="23"/>
    <x v="23"/>
    <m/>
    <x v="184"/>
    <x v="161"/>
    <m/>
    <x v="193"/>
    <x v="199"/>
    <m/>
    <x v="1"/>
    <x v="1"/>
    <m/>
    <n v="-24.743020000000001"/>
    <n v="45.732900000000001"/>
    <m/>
    <m/>
  </r>
  <r>
    <s v="MG52516130033PREV"/>
    <x v="5"/>
    <x v="5"/>
    <m/>
    <x v="2"/>
    <x v="2"/>
    <m/>
    <x v="7"/>
    <x v="7"/>
    <m/>
    <x v="23"/>
    <x v="23"/>
    <m/>
    <x v="145"/>
    <x v="161"/>
    <m/>
    <x v="150"/>
    <x v="200"/>
    <m/>
    <x v="1"/>
    <x v="1"/>
    <m/>
    <n v="-24.94848"/>
    <n v="45.762030000000003"/>
    <m/>
    <m/>
  </r>
  <r>
    <s v="MG52516130024PREV"/>
    <x v="5"/>
    <x v="5"/>
    <m/>
    <x v="2"/>
    <x v="2"/>
    <m/>
    <x v="7"/>
    <x v="7"/>
    <m/>
    <x v="23"/>
    <x v="23"/>
    <m/>
    <x v="185"/>
    <x v="161"/>
    <m/>
    <x v="194"/>
    <x v="201"/>
    <m/>
    <x v="1"/>
    <x v="1"/>
    <m/>
    <n v="-24.763929999999998"/>
    <n v="45.767580000000002"/>
    <m/>
    <m/>
  </r>
  <r>
    <s v="MG52516130021PREV"/>
    <x v="5"/>
    <x v="5"/>
    <m/>
    <x v="2"/>
    <x v="2"/>
    <m/>
    <x v="7"/>
    <x v="7"/>
    <m/>
    <x v="23"/>
    <x v="23"/>
    <m/>
    <x v="186"/>
    <x v="161"/>
    <m/>
    <x v="195"/>
    <x v="202"/>
    <m/>
    <x v="1"/>
    <x v="1"/>
    <m/>
    <n v="-24.793199999999999"/>
    <n v="45.85022"/>
    <m/>
    <m/>
  </r>
  <r>
    <s v="MG52516130017PREV"/>
    <x v="5"/>
    <x v="5"/>
    <m/>
    <x v="2"/>
    <x v="2"/>
    <m/>
    <x v="7"/>
    <x v="7"/>
    <m/>
    <x v="23"/>
    <x v="23"/>
    <m/>
    <x v="149"/>
    <x v="161"/>
    <m/>
    <x v="154"/>
    <x v="203"/>
    <m/>
    <x v="1"/>
    <x v="1"/>
    <m/>
    <n v="-24.692630000000001"/>
    <n v="45.884729999999998"/>
    <m/>
    <m/>
  </r>
  <r>
    <s v="MG52516130042PREV"/>
    <x v="5"/>
    <x v="5"/>
    <m/>
    <x v="2"/>
    <x v="2"/>
    <m/>
    <x v="7"/>
    <x v="7"/>
    <m/>
    <x v="23"/>
    <x v="23"/>
    <m/>
    <x v="144"/>
    <x v="161"/>
    <m/>
    <x v="149"/>
    <x v="204"/>
    <m/>
    <x v="1"/>
    <x v="1"/>
    <m/>
    <n v="-24.781680000000001"/>
    <n v="45.167630000000003"/>
    <m/>
    <m/>
  </r>
  <r>
    <s v="MG52516170025PREV"/>
    <x v="5"/>
    <x v="5"/>
    <m/>
    <x v="2"/>
    <x v="2"/>
    <m/>
    <x v="7"/>
    <x v="7"/>
    <m/>
    <x v="31"/>
    <x v="31"/>
    <m/>
    <x v="187"/>
    <x v="161"/>
    <m/>
    <x v="196"/>
    <x v="205"/>
    <m/>
    <x v="1"/>
    <x v="1"/>
    <m/>
    <n v="-25.01868"/>
    <n v="45.324150000000003"/>
    <m/>
    <m/>
  </r>
  <r>
    <s v="MG52516170039PREV"/>
    <x v="5"/>
    <x v="5"/>
    <m/>
    <x v="2"/>
    <x v="2"/>
    <m/>
    <x v="7"/>
    <x v="7"/>
    <m/>
    <x v="31"/>
    <x v="31"/>
    <m/>
    <x v="188"/>
    <x v="161"/>
    <m/>
    <x v="197"/>
    <x v="206"/>
    <m/>
    <x v="1"/>
    <x v="1"/>
    <m/>
    <n v="-25.02195"/>
    <n v="45.41245"/>
    <m/>
    <m/>
  </r>
  <r>
    <s v="MG52516170024PREV"/>
    <x v="5"/>
    <x v="5"/>
    <m/>
    <x v="2"/>
    <x v="2"/>
    <m/>
    <x v="7"/>
    <x v="7"/>
    <m/>
    <x v="31"/>
    <x v="31"/>
    <m/>
    <x v="189"/>
    <x v="161"/>
    <m/>
    <x v="198"/>
    <x v="207"/>
    <m/>
    <x v="1"/>
    <x v="1"/>
    <m/>
    <n v="-24.95523"/>
    <n v="45.414650000000002"/>
    <m/>
    <m/>
  </r>
  <r>
    <s v="MG52516170040PREV"/>
    <x v="5"/>
    <x v="5"/>
    <m/>
    <x v="2"/>
    <x v="2"/>
    <m/>
    <x v="7"/>
    <x v="7"/>
    <m/>
    <x v="31"/>
    <x v="31"/>
    <m/>
    <x v="190"/>
    <x v="161"/>
    <m/>
    <x v="199"/>
    <x v="208"/>
    <m/>
    <x v="1"/>
    <x v="1"/>
    <m/>
    <n v="-25.09273"/>
    <n v="45.449800000000003"/>
    <m/>
    <m/>
  </r>
  <r>
    <s v="MG52516170021PREV"/>
    <x v="5"/>
    <x v="5"/>
    <m/>
    <x v="2"/>
    <x v="2"/>
    <m/>
    <x v="7"/>
    <x v="7"/>
    <m/>
    <x v="31"/>
    <x v="31"/>
    <m/>
    <x v="191"/>
    <x v="161"/>
    <m/>
    <x v="200"/>
    <x v="209"/>
    <m/>
    <x v="1"/>
    <x v="1"/>
    <m/>
    <n v="-24.750679999999999"/>
    <n v="45.425350000000002"/>
    <m/>
    <m/>
  </r>
  <r>
    <s v="MG52516170013PREV"/>
    <x v="5"/>
    <x v="5"/>
    <m/>
    <x v="2"/>
    <x v="2"/>
    <m/>
    <x v="7"/>
    <x v="7"/>
    <m/>
    <x v="31"/>
    <x v="31"/>
    <m/>
    <x v="192"/>
    <x v="161"/>
    <m/>
    <x v="201"/>
    <x v="210"/>
    <m/>
    <x v="1"/>
    <x v="1"/>
    <m/>
    <n v="-24.84207"/>
    <n v="45.440750000000001"/>
    <m/>
    <m/>
  </r>
  <r>
    <s v="MG52516170002PREV"/>
    <x v="5"/>
    <x v="5"/>
    <m/>
    <x v="2"/>
    <x v="2"/>
    <m/>
    <x v="7"/>
    <x v="7"/>
    <m/>
    <x v="31"/>
    <x v="31"/>
    <m/>
    <x v="193"/>
    <x v="161"/>
    <m/>
    <x v="202"/>
    <x v="211"/>
    <m/>
    <x v="1"/>
    <x v="1"/>
    <m/>
    <n v="-24.781099999999999"/>
    <n v="45.499850000000002"/>
    <m/>
    <m/>
  </r>
  <r>
    <s v="MG52516170015PREV"/>
    <x v="5"/>
    <x v="5"/>
    <m/>
    <x v="2"/>
    <x v="2"/>
    <m/>
    <x v="7"/>
    <x v="7"/>
    <m/>
    <x v="31"/>
    <x v="31"/>
    <m/>
    <x v="194"/>
    <x v="161"/>
    <m/>
    <x v="203"/>
    <x v="212"/>
    <m/>
    <x v="1"/>
    <x v="1"/>
    <m/>
    <n v="-24.876080000000002"/>
    <n v="45.525329999999997"/>
    <m/>
    <m/>
  </r>
  <r>
    <s v="MG52516170028PREV"/>
    <x v="5"/>
    <x v="5"/>
    <m/>
    <x v="2"/>
    <x v="2"/>
    <m/>
    <x v="7"/>
    <x v="7"/>
    <m/>
    <x v="31"/>
    <x v="31"/>
    <m/>
    <x v="195"/>
    <x v="161"/>
    <m/>
    <x v="204"/>
    <x v="213"/>
    <m/>
    <x v="1"/>
    <x v="1"/>
    <m/>
    <n v="-25.01417"/>
    <n v="45.508600000000001"/>
    <m/>
    <m/>
  </r>
  <r>
    <s v="MG52516170005PREV"/>
    <x v="5"/>
    <x v="5"/>
    <m/>
    <x v="2"/>
    <x v="2"/>
    <m/>
    <x v="7"/>
    <x v="7"/>
    <m/>
    <x v="31"/>
    <x v="31"/>
    <m/>
    <x v="196"/>
    <x v="161"/>
    <m/>
    <x v="205"/>
    <x v="214"/>
    <m/>
    <x v="1"/>
    <x v="1"/>
    <m/>
    <n v="-24.819330000000001"/>
    <n v="45.552779999999998"/>
    <m/>
    <m/>
  </r>
  <r>
    <s v="MG52516170017PREV"/>
    <x v="5"/>
    <x v="5"/>
    <m/>
    <x v="2"/>
    <x v="2"/>
    <m/>
    <x v="7"/>
    <x v="7"/>
    <m/>
    <x v="31"/>
    <x v="31"/>
    <m/>
    <x v="197"/>
    <x v="161"/>
    <m/>
    <x v="206"/>
    <x v="215"/>
    <m/>
    <x v="1"/>
    <x v="1"/>
    <m/>
    <n v="-24.877600000000001"/>
    <n v="45.579900000000002"/>
    <m/>
    <m/>
  </r>
  <r>
    <s v="MG52516170042PREV"/>
    <x v="5"/>
    <x v="5"/>
    <m/>
    <x v="2"/>
    <x v="2"/>
    <m/>
    <x v="7"/>
    <x v="7"/>
    <m/>
    <x v="31"/>
    <x v="31"/>
    <m/>
    <x v="198"/>
    <x v="161"/>
    <m/>
    <x v="207"/>
    <x v="216"/>
    <m/>
    <x v="1"/>
    <x v="1"/>
    <m/>
    <n v="-24.8855"/>
    <n v="45.414569999999998"/>
    <m/>
    <m/>
  </r>
  <r>
    <s v="MG52516170043PREV"/>
    <x v="5"/>
    <x v="5"/>
    <m/>
    <x v="2"/>
    <x v="2"/>
    <m/>
    <x v="7"/>
    <x v="7"/>
    <m/>
    <x v="31"/>
    <x v="31"/>
    <m/>
    <x v="199"/>
    <x v="161"/>
    <m/>
    <x v="208"/>
    <x v="217"/>
    <m/>
    <x v="1"/>
    <x v="1"/>
    <m/>
    <n v="-24.914670000000001"/>
    <n v="45.559750000000001"/>
    <m/>
    <m/>
  </r>
  <r>
    <s v="MG52516170060PREV"/>
    <x v="5"/>
    <x v="5"/>
    <m/>
    <x v="2"/>
    <x v="2"/>
    <m/>
    <x v="7"/>
    <x v="7"/>
    <m/>
    <x v="31"/>
    <x v="31"/>
    <m/>
    <x v="200"/>
    <x v="161"/>
    <m/>
    <x v="209"/>
    <x v="218"/>
    <m/>
    <x v="1"/>
    <x v="1"/>
    <m/>
    <n v="-24.76305"/>
    <n v="45.545250000000003"/>
    <m/>
    <m/>
  </r>
  <r>
    <s v="MG52518151024PREV"/>
    <x v="5"/>
    <x v="5"/>
    <m/>
    <x v="2"/>
    <x v="2"/>
    <m/>
    <x v="2"/>
    <x v="2"/>
    <m/>
    <x v="32"/>
    <x v="32"/>
    <m/>
    <x v="201"/>
    <x v="161"/>
    <m/>
    <x v="210"/>
    <x v="219"/>
    <m/>
    <x v="1"/>
    <x v="1"/>
    <m/>
    <n v="-24.108329999999999"/>
    <n v="45.180520000000001"/>
    <m/>
    <m/>
  </r>
  <r>
    <s v="MG52518151005PREV"/>
    <x v="5"/>
    <x v="5"/>
    <m/>
    <x v="2"/>
    <x v="2"/>
    <m/>
    <x v="2"/>
    <x v="2"/>
    <m/>
    <x v="32"/>
    <x v="32"/>
    <m/>
    <x v="202"/>
    <x v="161"/>
    <m/>
    <x v="211"/>
    <x v="220"/>
    <m/>
    <x v="1"/>
    <x v="1"/>
    <m/>
    <n v="-23.938600000000001"/>
    <n v="45.21658"/>
    <m/>
    <m/>
  </r>
  <r>
    <s v="MG52518151020PREV"/>
    <x v="5"/>
    <x v="5"/>
    <m/>
    <x v="2"/>
    <x v="2"/>
    <m/>
    <x v="2"/>
    <x v="2"/>
    <m/>
    <x v="32"/>
    <x v="32"/>
    <m/>
    <x v="203"/>
    <x v="161"/>
    <m/>
    <x v="212"/>
    <x v="221"/>
    <m/>
    <x v="1"/>
    <x v="1"/>
    <m/>
    <n v="-24.08568"/>
    <n v="45.223120000000002"/>
    <m/>
    <m/>
  </r>
  <r>
    <s v="MG52518151006PREV"/>
    <x v="5"/>
    <x v="5"/>
    <m/>
    <x v="2"/>
    <x v="2"/>
    <m/>
    <x v="2"/>
    <x v="2"/>
    <m/>
    <x v="32"/>
    <x v="32"/>
    <m/>
    <x v="204"/>
    <x v="161"/>
    <m/>
    <x v="213"/>
    <x v="222"/>
    <m/>
    <x v="1"/>
    <x v="1"/>
    <m/>
    <n v="-23.944849999999999"/>
    <n v="45.240920000000003"/>
    <m/>
    <m/>
  </r>
  <r>
    <s v="MG52518151001PREV"/>
    <x v="5"/>
    <x v="5"/>
    <m/>
    <x v="2"/>
    <x v="2"/>
    <m/>
    <x v="2"/>
    <x v="2"/>
    <m/>
    <x v="32"/>
    <x v="32"/>
    <m/>
    <x v="205"/>
    <x v="161"/>
    <m/>
    <x v="214"/>
    <x v="223"/>
    <m/>
    <x v="1"/>
    <x v="1"/>
    <m/>
    <n v="-24.00808"/>
    <n v="45.248719999999999"/>
    <m/>
    <m/>
  </r>
  <r>
    <s v="MG52518151027PREV"/>
    <x v="5"/>
    <x v="5"/>
    <m/>
    <x v="2"/>
    <x v="2"/>
    <m/>
    <x v="2"/>
    <x v="2"/>
    <m/>
    <x v="32"/>
    <x v="32"/>
    <m/>
    <x v="206"/>
    <x v="161"/>
    <m/>
    <x v="215"/>
    <x v="224"/>
    <m/>
    <x v="1"/>
    <x v="1"/>
    <m/>
    <n v="-24.13278"/>
    <n v="45.256700000000002"/>
    <m/>
    <m/>
  </r>
  <r>
    <s v="MG52518151009PREV"/>
    <x v="5"/>
    <x v="5"/>
    <m/>
    <x v="2"/>
    <x v="2"/>
    <m/>
    <x v="2"/>
    <x v="2"/>
    <m/>
    <x v="32"/>
    <x v="32"/>
    <m/>
    <x v="207"/>
    <x v="161"/>
    <m/>
    <x v="216"/>
    <x v="225"/>
    <m/>
    <x v="1"/>
    <x v="1"/>
    <m/>
    <n v="-23.965029999999999"/>
    <n v="45.257280000000002"/>
    <m/>
    <m/>
  </r>
  <r>
    <s v="MG52518151016PREV"/>
    <x v="5"/>
    <x v="5"/>
    <m/>
    <x v="2"/>
    <x v="2"/>
    <m/>
    <x v="2"/>
    <x v="2"/>
    <m/>
    <x v="32"/>
    <x v="32"/>
    <m/>
    <x v="208"/>
    <x v="161"/>
    <m/>
    <x v="217"/>
    <x v="226"/>
    <m/>
    <x v="1"/>
    <x v="1"/>
    <m/>
    <n v="-24.041429999999998"/>
    <n v="45.339770000000001"/>
    <m/>
    <m/>
  </r>
  <r>
    <s v="MG52518152002PREV"/>
    <x v="5"/>
    <x v="5"/>
    <m/>
    <x v="2"/>
    <x v="2"/>
    <m/>
    <x v="2"/>
    <x v="2"/>
    <m/>
    <x v="32"/>
    <x v="32"/>
    <m/>
    <x v="209"/>
    <x v="161"/>
    <m/>
    <x v="218"/>
    <x v="227"/>
    <m/>
    <x v="1"/>
    <x v="1"/>
    <m/>
    <n v="-23.904"/>
    <n v="45.342300000000002"/>
    <m/>
    <m/>
  </r>
  <r>
    <s v="MG52518152058PREV"/>
    <x v="5"/>
    <x v="5"/>
    <m/>
    <x v="2"/>
    <x v="2"/>
    <m/>
    <x v="2"/>
    <x v="2"/>
    <m/>
    <x v="32"/>
    <x v="32"/>
    <m/>
    <x v="210"/>
    <x v="161"/>
    <m/>
    <x v="219"/>
    <x v="228"/>
    <m/>
    <x v="1"/>
    <x v="1"/>
    <m/>
    <n v="-24.04588"/>
    <n v="45.17942"/>
    <m/>
    <m/>
  </r>
  <r>
    <s v="MG52518070005PREV"/>
    <x v="5"/>
    <x v="5"/>
    <m/>
    <x v="2"/>
    <x v="2"/>
    <m/>
    <x v="2"/>
    <x v="2"/>
    <m/>
    <x v="33"/>
    <x v="33"/>
    <m/>
    <x v="211"/>
    <x v="161"/>
    <m/>
    <x v="220"/>
    <x v="229"/>
    <m/>
    <x v="1"/>
    <x v="1"/>
    <m/>
    <n v="-24.322019999999998"/>
    <n v="45.080419999999997"/>
    <m/>
    <m/>
  </r>
  <r>
    <s v="MG52518070003PREV"/>
    <x v="5"/>
    <x v="5"/>
    <m/>
    <x v="2"/>
    <x v="2"/>
    <m/>
    <x v="2"/>
    <x v="2"/>
    <m/>
    <x v="33"/>
    <x v="33"/>
    <m/>
    <x v="212"/>
    <x v="161"/>
    <m/>
    <x v="221"/>
    <x v="230"/>
    <m/>
    <x v="1"/>
    <x v="1"/>
    <m/>
    <n v="-24.253170000000001"/>
    <n v="45.092829999999999"/>
    <m/>
    <m/>
  </r>
  <r>
    <s v="MG52518070004PREV"/>
    <x v="5"/>
    <x v="5"/>
    <m/>
    <x v="2"/>
    <x v="2"/>
    <m/>
    <x v="2"/>
    <x v="2"/>
    <m/>
    <x v="33"/>
    <x v="33"/>
    <m/>
    <x v="213"/>
    <x v="161"/>
    <m/>
    <x v="222"/>
    <x v="231"/>
    <m/>
    <x v="1"/>
    <x v="1"/>
    <m/>
    <n v="-24.27975"/>
    <n v="45.170769999999997"/>
    <m/>
    <m/>
  </r>
  <r>
    <s v="MG52518070001PREV"/>
    <x v="5"/>
    <x v="5"/>
    <m/>
    <x v="2"/>
    <x v="2"/>
    <m/>
    <x v="2"/>
    <x v="2"/>
    <m/>
    <x v="33"/>
    <x v="33"/>
    <m/>
    <x v="214"/>
    <x v="161"/>
    <m/>
    <x v="223"/>
    <x v="232"/>
    <m/>
    <x v="1"/>
    <x v="1"/>
    <m/>
    <n v="-24.246929999999999"/>
    <n v="45.182029999999997"/>
    <m/>
    <m/>
  </r>
  <r>
    <s v="MG52518190014PREV"/>
    <x v="5"/>
    <x v="5"/>
    <m/>
    <x v="2"/>
    <x v="2"/>
    <m/>
    <x v="2"/>
    <x v="2"/>
    <m/>
    <x v="34"/>
    <x v="34"/>
    <m/>
    <x v="215"/>
    <x v="161"/>
    <m/>
    <x v="224"/>
    <x v="233"/>
    <m/>
    <x v="1"/>
    <x v="1"/>
    <m/>
    <n v="-24.536619999999999"/>
    <n v="45.104599999999998"/>
    <m/>
    <m/>
  </r>
  <r>
    <s v="MG52518190005PREV"/>
    <x v="5"/>
    <x v="5"/>
    <m/>
    <x v="2"/>
    <x v="2"/>
    <m/>
    <x v="2"/>
    <x v="2"/>
    <m/>
    <x v="34"/>
    <x v="34"/>
    <m/>
    <x v="216"/>
    <x v="161"/>
    <m/>
    <x v="225"/>
    <x v="234"/>
    <m/>
    <x v="1"/>
    <x v="1"/>
    <m/>
    <n v="-24.375730000000001"/>
    <n v="45.121229999999997"/>
    <m/>
    <m/>
  </r>
  <r>
    <s v="MG52518190001PREV"/>
    <x v="5"/>
    <x v="5"/>
    <m/>
    <x v="2"/>
    <x v="2"/>
    <m/>
    <x v="2"/>
    <x v="2"/>
    <m/>
    <x v="34"/>
    <x v="34"/>
    <m/>
    <x v="217"/>
    <x v="161"/>
    <m/>
    <x v="226"/>
    <x v="235"/>
    <m/>
    <x v="1"/>
    <x v="1"/>
    <m/>
    <n v="-24.444025"/>
    <n v="45.121074999999998"/>
    <m/>
    <m/>
  </r>
  <r>
    <s v="MG52518190008PREV"/>
    <x v="5"/>
    <x v="5"/>
    <m/>
    <x v="2"/>
    <x v="2"/>
    <m/>
    <x v="2"/>
    <x v="2"/>
    <m/>
    <x v="34"/>
    <x v="34"/>
    <m/>
    <x v="218"/>
    <x v="161"/>
    <m/>
    <x v="227"/>
    <x v="236"/>
    <m/>
    <x v="1"/>
    <x v="1"/>
    <m/>
    <n v="-24.41272"/>
    <n v="45.170450000000002"/>
    <m/>
    <m/>
  </r>
  <r>
    <s v="MG52518031008PREV"/>
    <x v="5"/>
    <x v="5"/>
    <m/>
    <x v="2"/>
    <x v="2"/>
    <m/>
    <x v="2"/>
    <x v="2"/>
    <m/>
    <x v="35"/>
    <x v="35"/>
    <m/>
    <x v="219"/>
    <x v="161"/>
    <m/>
    <x v="228"/>
    <x v="237"/>
    <m/>
    <x v="1"/>
    <x v="1"/>
    <m/>
    <n v="-24.19238"/>
    <n v="45.144269999999999"/>
    <m/>
    <m/>
  </r>
  <r>
    <s v="MG52518031015PREV"/>
    <x v="5"/>
    <x v="5"/>
    <m/>
    <x v="2"/>
    <x v="2"/>
    <m/>
    <x v="2"/>
    <x v="2"/>
    <m/>
    <x v="35"/>
    <x v="35"/>
    <m/>
    <x v="220"/>
    <x v="161"/>
    <m/>
    <x v="229"/>
    <x v="238"/>
    <m/>
    <x v="1"/>
    <x v="1"/>
    <m/>
    <n v="-24.225349999999999"/>
    <n v="45.154530000000001"/>
    <m/>
    <m/>
  </r>
  <r>
    <s v="MG52518031002PREV"/>
    <x v="5"/>
    <x v="5"/>
    <m/>
    <x v="2"/>
    <x v="2"/>
    <m/>
    <x v="2"/>
    <x v="2"/>
    <m/>
    <x v="35"/>
    <x v="35"/>
    <m/>
    <x v="221"/>
    <x v="161"/>
    <m/>
    <x v="230"/>
    <x v="239"/>
    <m/>
    <x v="1"/>
    <x v="1"/>
    <m/>
    <n v="-24.1615"/>
    <n v="45.153350000000003"/>
    <m/>
    <m/>
  </r>
  <r>
    <s v="MG52518031004PREV"/>
    <x v="5"/>
    <x v="5"/>
    <m/>
    <x v="2"/>
    <x v="2"/>
    <m/>
    <x v="2"/>
    <x v="2"/>
    <m/>
    <x v="35"/>
    <x v="35"/>
    <m/>
    <x v="222"/>
    <x v="161"/>
    <m/>
    <x v="231"/>
    <x v="240"/>
    <m/>
    <x v="1"/>
    <x v="1"/>
    <m/>
    <n v="-24.180129999999998"/>
    <n v="45.189630000000001"/>
    <m/>
    <m/>
  </r>
  <r>
    <s v="MG52518010008PREV"/>
    <x v="5"/>
    <x v="5"/>
    <m/>
    <x v="2"/>
    <x v="2"/>
    <m/>
    <x v="2"/>
    <x v="2"/>
    <m/>
    <x v="36"/>
    <x v="36"/>
    <m/>
    <x v="223"/>
    <x v="161"/>
    <m/>
    <x v="232"/>
    <x v="241"/>
    <m/>
    <x v="1"/>
    <x v="1"/>
    <m/>
    <n v="-24.261749999999999"/>
    <n v="45.236229999999999"/>
    <m/>
    <m/>
  </r>
  <r>
    <s v="MG52518010001PREV"/>
    <x v="5"/>
    <x v="5"/>
    <m/>
    <x v="2"/>
    <x v="2"/>
    <m/>
    <x v="2"/>
    <x v="2"/>
    <m/>
    <x v="36"/>
    <x v="36"/>
    <m/>
    <x v="224"/>
    <x v="161"/>
    <m/>
    <x v="233"/>
    <x v="242"/>
    <m/>
    <x v="1"/>
    <x v="1"/>
    <m/>
    <n v="-24.223179999999999"/>
    <n v="45.313949999999998"/>
    <m/>
    <m/>
  </r>
  <r>
    <s v="MG52518010003PREV"/>
    <x v="5"/>
    <x v="5"/>
    <m/>
    <x v="2"/>
    <x v="2"/>
    <m/>
    <x v="2"/>
    <x v="2"/>
    <m/>
    <x v="36"/>
    <x v="36"/>
    <m/>
    <x v="225"/>
    <x v="161"/>
    <m/>
    <x v="234"/>
    <x v="243"/>
    <m/>
    <x v="1"/>
    <x v="1"/>
    <m/>
    <n v="-24.208950000000002"/>
    <n v="45.341099999999997"/>
    <m/>
    <m/>
  </r>
  <r>
    <s v="MG52518010011PREV"/>
    <x v="5"/>
    <x v="5"/>
    <m/>
    <x v="2"/>
    <x v="2"/>
    <m/>
    <x v="2"/>
    <x v="2"/>
    <m/>
    <x v="36"/>
    <x v="36"/>
    <m/>
    <x v="226"/>
    <x v="161"/>
    <m/>
    <x v="235"/>
    <x v="244"/>
    <m/>
    <x v="1"/>
    <x v="1"/>
    <m/>
    <n v="-24.253630000000001"/>
    <n v="45.346499999999999"/>
    <m/>
    <m/>
  </r>
  <r>
    <s v="MG52518010070PREV"/>
    <x v="5"/>
    <x v="5"/>
    <m/>
    <x v="2"/>
    <x v="2"/>
    <m/>
    <x v="2"/>
    <x v="2"/>
    <m/>
    <x v="36"/>
    <x v="36"/>
    <m/>
    <x v="227"/>
    <x v="161"/>
    <m/>
    <x v="236"/>
    <x v="245"/>
    <m/>
    <x v="1"/>
    <x v="1"/>
    <m/>
    <n v="-24.240670000000001"/>
    <n v="45.279350000000001"/>
    <m/>
    <m/>
  </r>
  <r>
    <s v="MG52518092089PREV"/>
    <x v="5"/>
    <x v="5"/>
    <m/>
    <x v="2"/>
    <x v="2"/>
    <m/>
    <x v="2"/>
    <x v="2"/>
    <m/>
    <x v="37"/>
    <x v="37"/>
    <m/>
    <x v="228"/>
    <x v="161"/>
    <m/>
    <x v="237"/>
    <x v="246"/>
    <m/>
    <x v="1"/>
    <x v="1"/>
    <m/>
    <n v="-24.118500000000001"/>
    <n v="45.345829999999999"/>
    <m/>
    <m/>
  </r>
  <r>
    <s v="MG52518092001PREV"/>
    <x v="5"/>
    <x v="5"/>
    <m/>
    <x v="2"/>
    <x v="2"/>
    <m/>
    <x v="2"/>
    <x v="2"/>
    <m/>
    <x v="37"/>
    <x v="37"/>
    <m/>
    <x v="229"/>
    <x v="161"/>
    <m/>
    <x v="238"/>
    <x v="247"/>
    <m/>
    <x v="1"/>
    <x v="1"/>
    <m/>
    <n v="-24.13522"/>
    <n v="45.383580000000002"/>
    <m/>
    <m/>
  </r>
  <r>
    <s v="MG52518092006PREV"/>
    <x v="5"/>
    <x v="5"/>
    <m/>
    <x v="2"/>
    <x v="2"/>
    <m/>
    <x v="2"/>
    <x v="2"/>
    <m/>
    <x v="37"/>
    <x v="37"/>
    <m/>
    <x v="230"/>
    <x v="161"/>
    <m/>
    <x v="239"/>
    <x v="248"/>
    <m/>
    <x v="1"/>
    <x v="1"/>
    <m/>
    <n v="-24.1662"/>
    <n v="45.392330000000001"/>
    <m/>
    <m/>
  </r>
  <r>
    <s v="MG52513091012PREV"/>
    <x v="5"/>
    <x v="5"/>
    <m/>
    <x v="2"/>
    <x v="2"/>
    <m/>
    <x v="8"/>
    <x v="8"/>
    <m/>
    <x v="38"/>
    <x v="38"/>
    <m/>
    <x v="231"/>
    <x v="161"/>
    <m/>
    <x v="240"/>
    <x v="249"/>
    <m/>
    <x v="1"/>
    <x v="1"/>
    <m/>
    <n v="-24.804729999999999"/>
    <n v="45.25562"/>
    <m/>
    <m/>
  </r>
  <r>
    <s v="MG52513091013PREV"/>
    <x v="5"/>
    <x v="5"/>
    <m/>
    <x v="2"/>
    <x v="2"/>
    <m/>
    <x v="8"/>
    <x v="8"/>
    <m/>
    <x v="38"/>
    <x v="38"/>
    <m/>
    <x v="232"/>
    <x v="161"/>
    <m/>
    <x v="241"/>
    <x v="250"/>
    <m/>
    <x v="1"/>
    <x v="1"/>
    <m/>
    <n v="-24.778400000000001"/>
    <n v="45.343200000000003"/>
    <m/>
    <m/>
  </r>
  <r>
    <s v="MG52513091016PREV"/>
    <x v="5"/>
    <x v="5"/>
    <m/>
    <x v="2"/>
    <x v="2"/>
    <m/>
    <x v="8"/>
    <x v="8"/>
    <m/>
    <x v="38"/>
    <x v="38"/>
    <m/>
    <x v="233"/>
    <x v="161"/>
    <m/>
    <x v="242"/>
    <x v="251"/>
    <m/>
    <x v="1"/>
    <x v="1"/>
    <m/>
    <n v="-24.85153"/>
    <n v="45.35577"/>
    <m/>
    <m/>
  </r>
  <r>
    <s v="MG52513092006PREV"/>
    <x v="5"/>
    <x v="5"/>
    <m/>
    <x v="2"/>
    <x v="2"/>
    <m/>
    <x v="8"/>
    <x v="8"/>
    <m/>
    <x v="39"/>
    <x v="39"/>
    <m/>
    <x v="234"/>
    <x v="161"/>
    <m/>
    <x v="243"/>
    <x v="252"/>
    <m/>
    <x v="1"/>
    <x v="1"/>
    <m/>
    <n v="-24.941020000000002"/>
    <n v="45.333579999999998"/>
    <m/>
    <m/>
  </r>
  <r>
    <s v="MG52513092001PREV"/>
    <x v="5"/>
    <x v="5"/>
    <m/>
    <x v="2"/>
    <x v="2"/>
    <m/>
    <x v="8"/>
    <x v="8"/>
    <m/>
    <x v="39"/>
    <x v="39"/>
    <m/>
    <x v="235"/>
    <x v="161"/>
    <m/>
    <x v="244"/>
    <x v="253"/>
    <m/>
    <x v="1"/>
    <x v="1"/>
    <m/>
    <n v="-24.89892"/>
    <n v="45.344920000000002"/>
    <m/>
    <m/>
  </r>
  <r>
    <s v="MG52513092009PREV"/>
    <x v="5"/>
    <x v="5"/>
    <m/>
    <x v="2"/>
    <x v="2"/>
    <m/>
    <x v="8"/>
    <x v="8"/>
    <m/>
    <x v="39"/>
    <x v="39"/>
    <m/>
    <x v="236"/>
    <x v="161"/>
    <m/>
    <x v="245"/>
    <x v="254"/>
    <m/>
    <x v="1"/>
    <x v="1"/>
    <m/>
    <n v="-24.781680000000001"/>
    <n v="45.167630000000003"/>
    <m/>
    <m/>
  </r>
  <r>
    <s v="MG52513092050PREV"/>
    <x v="5"/>
    <x v="5"/>
    <m/>
    <x v="2"/>
    <x v="2"/>
    <m/>
    <x v="8"/>
    <x v="8"/>
    <m/>
    <x v="39"/>
    <x v="39"/>
    <m/>
    <x v="237"/>
    <x v="161"/>
    <m/>
    <x v="246"/>
    <x v="255"/>
    <m/>
    <x v="1"/>
    <x v="1"/>
    <m/>
    <n v="-25.00573"/>
    <n v="45.186779999999999"/>
    <m/>
    <m/>
  </r>
  <r>
    <s v="MG52513010002PREV"/>
    <x v="5"/>
    <x v="5"/>
    <m/>
    <x v="2"/>
    <x v="2"/>
    <m/>
    <x v="8"/>
    <x v="8"/>
    <m/>
    <x v="40"/>
    <x v="40"/>
    <m/>
    <x v="238"/>
    <x v="161"/>
    <m/>
    <x v="247"/>
    <x v="256"/>
    <m/>
    <x v="1"/>
    <x v="1"/>
    <m/>
    <n v="-24.832685000000001"/>
    <n v="44.986789999999999"/>
    <m/>
    <m/>
  </r>
  <r>
    <s v="MG52513010005PREV"/>
    <x v="5"/>
    <x v="5"/>
    <m/>
    <x v="2"/>
    <x v="2"/>
    <m/>
    <x v="8"/>
    <x v="8"/>
    <m/>
    <x v="40"/>
    <x v="40"/>
    <m/>
    <x v="239"/>
    <x v="161"/>
    <m/>
    <x v="248"/>
    <x v="257"/>
    <m/>
    <x v="1"/>
    <x v="1"/>
    <m/>
    <n v="-24.884"/>
    <n v="45.011380000000003"/>
    <m/>
    <m/>
  </r>
  <r>
    <s v="MG52514072002PREV"/>
    <x v="5"/>
    <x v="5"/>
    <m/>
    <x v="2"/>
    <x v="2"/>
    <m/>
    <x v="9"/>
    <x v="9"/>
    <m/>
    <x v="41"/>
    <x v="41"/>
    <m/>
    <x v="240"/>
    <x v="161"/>
    <m/>
    <x v="249"/>
    <x v="258"/>
    <m/>
    <x v="1"/>
    <x v="1"/>
    <m/>
    <n v="-25.22213"/>
    <n v="45.680570000000003"/>
    <m/>
    <m/>
  </r>
  <r>
    <s v="MG52514072009PREV"/>
    <x v="5"/>
    <x v="5"/>
    <m/>
    <x v="2"/>
    <x v="2"/>
    <m/>
    <x v="9"/>
    <x v="9"/>
    <m/>
    <x v="41"/>
    <x v="41"/>
    <m/>
    <x v="241"/>
    <x v="161"/>
    <m/>
    <x v="250"/>
    <x v="259"/>
    <m/>
    <x v="1"/>
    <x v="1"/>
    <m/>
    <n v="-25.29813"/>
    <n v="45.664230000000003"/>
    <m/>
    <m/>
  </r>
  <r>
    <s v="MG52514072001PREV"/>
    <x v="5"/>
    <x v="5"/>
    <m/>
    <x v="2"/>
    <x v="2"/>
    <m/>
    <x v="9"/>
    <x v="9"/>
    <m/>
    <x v="41"/>
    <x v="41"/>
    <m/>
    <x v="242"/>
    <x v="161"/>
    <m/>
    <x v="251"/>
    <x v="260"/>
    <m/>
    <x v="1"/>
    <x v="1"/>
    <m/>
    <n v="-25.294969999999999"/>
    <n v="45.7149"/>
    <m/>
    <m/>
  </r>
  <r>
    <s v="MG52514072004PREV"/>
    <x v="5"/>
    <x v="5"/>
    <m/>
    <x v="2"/>
    <x v="2"/>
    <m/>
    <x v="9"/>
    <x v="9"/>
    <m/>
    <x v="41"/>
    <x v="41"/>
    <m/>
    <x v="243"/>
    <x v="161"/>
    <m/>
    <x v="252"/>
    <x v="261"/>
    <m/>
    <x v="1"/>
    <x v="1"/>
    <m/>
    <n v="-25.271629999999998"/>
    <n v="45.789430000000003"/>
    <m/>
    <m/>
  </r>
  <r>
    <s v="MG52514072003PREV"/>
    <x v="5"/>
    <x v="5"/>
    <m/>
    <x v="2"/>
    <x v="2"/>
    <m/>
    <x v="9"/>
    <x v="9"/>
    <m/>
    <x v="41"/>
    <x v="41"/>
    <m/>
    <x v="244"/>
    <x v="161"/>
    <m/>
    <x v="253"/>
    <x v="262"/>
    <m/>
    <x v="1"/>
    <x v="1"/>
    <m/>
    <n v="-25.324521000000001"/>
    <n v="45.763708000000001"/>
    <m/>
    <m/>
  </r>
  <r>
    <s v="MG51507010022PREV"/>
    <x v="1"/>
    <x v="1"/>
    <m/>
    <x v="1"/>
    <x v="1"/>
    <m/>
    <x v="1"/>
    <x v="1"/>
    <m/>
    <x v="42"/>
    <x v="42"/>
    <m/>
    <x v="55"/>
    <x v="161"/>
    <m/>
    <x v="62"/>
    <x v="263"/>
    <m/>
    <x v="1"/>
    <x v="1"/>
    <m/>
    <n v="-24.96968"/>
    <n v="44.713320000000003"/>
    <m/>
    <m/>
  </r>
  <r>
    <s v="MG51507010015PREV"/>
    <x v="1"/>
    <x v="1"/>
    <m/>
    <x v="1"/>
    <x v="1"/>
    <m/>
    <x v="1"/>
    <x v="1"/>
    <m/>
    <x v="42"/>
    <x v="42"/>
    <m/>
    <x v="245"/>
    <x v="161"/>
    <m/>
    <x v="254"/>
    <x v="264"/>
    <m/>
    <x v="1"/>
    <x v="1"/>
    <m/>
    <n v="-24.810220000000001"/>
    <n v="44.496020000000001"/>
    <m/>
    <m/>
  </r>
  <r>
    <s v="MG51507010017PREV"/>
    <x v="1"/>
    <x v="1"/>
    <m/>
    <x v="1"/>
    <x v="1"/>
    <m/>
    <x v="1"/>
    <x v="1"/>
    <m/>
    <x v="42"/>
    <x v="42"/>
    <m/>
    <x v="246"/>
    <x v="161"/>
    <m/>
    <x v="255"/>
    <x v="265"/>
    <m/>
    <x v="1"/>
    <x v="1"/>
    <m/>
    <n v="-24.833469999999998"/>
    <n v="44.573329999999999"/>
    <m/>
    <m/>
  </r>
  <r>
    <s v="MG51507010024PREV"/>
    <x v="1"/>
    <x v="1"/>
    <m/>
    <x v="1"/>
    <x v="1"/>
    <m/>
    <x v="1"/>
    <x v="1"/>
    <m/>
    <x v="42"/>
    <x v="42"/>
    <m/>
    <x v="247"/>
    <x v="161"/>
    <m/>
    <x v="256"/>
    <x v="266"/>
    <m/>
    <x v="1"/>
    <x v="1"/>
    <m/>
    <n v="-25.09713"/>
    <n v="44.612079999999999"/>
    <m/>
    <m/>
  </r>
  <r>
    <s v="MG51507010023PREV"/>
    <x v="1"/>
    <x v="1"/>
    <m/>
    <x v="1"/>
    <x v="1"/>
    <m/>
    <x v="1"/>
    <x v="1"/>
    <m/>
    <x v="42"/>
    <x v="42"/>
    <m/>
    <x v="248"/>
    <x v="161"/>
    <m/>
    <x v="257"/>
    <x v="267"/>
    <m/>
    <x v="1"/>
    <x v="1"/>
    <m/>
    <n v="-25.00515"/>
    <n v="44.688420000000001"/>
    <m/>
    <m/>
  </r>
  <r>
    <s v="MG51507010019PREV"/>
    <x v="1"/>
    <x v="1"/>
    <m/>
    <x v="1"/>
    <x v="1"/>
    <m/>
    <x v="1"/>
    <x v="1"/>
    <m/>
    <x v="42"/>
    <x v="42"/>
    <m/>
    <x v="249"/>
    <x v="161"/>
    <m/>
    <x v="258"/>
    <x v="268"/>
    <m/>
    <x v="1"/>
    <x v="1"/>
    <m/>
    <n v="-24.89678"/>
    <n v="44.648879999999998"/>
    <m/>
    <m/>
  </r>
  <r>
    <s v="MG51507010018PREV"/>
    <x v="1"/>
    <x v="1"/>
    <m/>
    <x v="1"/>
    <x v="1"/>
    <m/>
    <x v="1"/>
    <x v="1"/>
    <m/>
    <x v="42"/>
    <x v="42"/>
    <m/>
    <x v="250"/>
    <x v="161"/>
    <m/>
    <x v="259"/>
    <x v="269"/>
    <m/>
    <x v="1"/>
    <x v="1"/>
    <m/>
    <n v="-24.883320000000001"/>
    <n v="44.716320000000003"/>
    <m/>
    <m/>
  </r>
  <r>
    <s v="MG51507010001PREV"/>
    <x v="1"/>
    <x v="1"/>
    <m/>
    <x v="1"/>
    <x v="1"/>
    <m/>
    <x v="1"/>
    <x v="1"/>
    <m/>
    <x v="42"/>
    <x v="42"/>
    <m/>
    <x v="251"/>
    <x v="161"/>
    <m/>
    <x v="260"/>
    <x v="270"/>
    <m/>
    <x v="1"/>
    <x v="1"/>
    <m/>
    <n v="-24.693529999999999"/>
    <n v="44.74662"/>
    <m/>
    <m/>
  </r>
  <r>
    <s v="MG51507010068PREV"/>
    <x v="1"/>
    <x v="1"/>
    <m/>
    <x v="1"/>
    <x v="1"/>
    <m/>
    <x v="1"/>
    <x v="1"/>
    <m/>
    <x v="42"/>
    <x v="42"/>
    <m/>
    <x v="252"/>
    <x v="161"/>
    <m/>
    <x v="261"/>
    <x v="271"/>
    <m/>
    <x v="1"/>
    <x v="1"/>
    <m/>
    <n v="-24.756769999999999"/>
    <n v="44.811900000000001"/>
    <m/>
    <m/>
  </r>
  <r>
    <s v="MG51507010014PREV"/>
    <x v="1"/>
    <x v="1"/>
    <m/>
    <x v="1"/>
    <x v="1"/>
    <m/>
    <x v="1"/>
    <x v="1"/>
    <m/>
    <x v="42"/>
    <x v="42"/>
    <m/>
    <x v="253"/>
    <x v="161"/>
    <m/>
    <x v="262"/>
    <x v="272"/>
    <m/>
    <x v="1"/>
    <x v="1"/>
    <m/>
    <n v="-24.794219999999999"/>
    <n v="44.806950000000001"/>
    <m/>
    <m/>
  </r>
  <r>
    <s v="MG51507010011PREV"/>
    <x v="1"/>
    <x v="1"/>
    <m/>
    <x v="1"/>
    <x v="1"/>
    <m/>
    <x v="1"/>
    <x v="1"/>
    <m/>
    <x v="42"/>
    <x v="42"/>
    <m/>
    <x v="254"/>
    <x v="161"/>
    <m/>
    <x v="263"/>
    <x v="273"/>
    <m/>
    <x v="1"/>
    <x v="1"/>
    <m/>
    <n v="-24.711480000000002"/>
    <n v="44.786569999999998"/>
    <m/>
    <m/>
  </r>
  <r>
    <s v="MG51507010087PREV"/>
    <x v="1"/>
    <x v="1"/>
    <m/>
    <x v="1"/>
    <x v="1"/>
    <m/>
    <x v="1"/>
    <x v="1"/>
    <m/>
    <x v="42"/>
    <x v="42"/>
    <m/>
    <x v="235"/>
    <x v="161"/>
    <m/>
    <x v="244"/>
    <x v="274"/>
    <m/>
    <x v="1"/>
    <x v="1"/>
    <m/>
    <n v="-24.756152"/>
    <n v="44.768138999999998"/>
    <m/>
    <m/>
  </r>
  <r>
    <s v="MG53517130006PREV"/>
    <x v="1"/>
    <x v="1"/>
    <m/>
    <x v="1"/>
    <x v="1"/>
    <m/>
    <x v="1"/>
    <x v="1"/>
    <m/>
    <x v="42"/>
    <x v="42"/>
    <m/>
    <x v="255"/>
    <x v="161"/>
    <m/>
    <x v="264"/>
    <x v="275"/>
    <m/>
    <x v="1"/>
    <x v="1"/>
    <m/>
    <n v="-24.693280000000001"/>
    <n v="44.769869999999997"/>
    <m/>
    <m/>
  </r>
  <r>
    <s v="MG51507010026PREV"/>
    <x v="1"/>
    <x v="1"/>
    <m/>
    <x v="1"/>
    <x v="1"/>
    <m/>
    <x v="1"/>
    <x v="1"/>
    <m/>
    <x v="42"/>
    <x v="42"/>
    <m/>
    <x v="256"/>
    <x v="161"/>
    <m/>
    <x v="265"/>
    <x v="276"/>
    <m/>
    <x v="1"/>
    <x v="1"/>
    <m/>
    <n v="-24.40175"/>
    <n v="44.890129999999999"/>
    <m/>
    <m/>
  </r>
  <r>
    <s v="MG51507270017PREV"/>
    <x v="1"/>
    <x v="1"/>
    <m/>
    <x v="1"/>
    <x v="1"/>
    <m/>
    <x v="1"/>
    <x v="1"/>
    <m/>
    <x v="1"/>
    <x v="1"/>
    <m/>
    <x v="257"/>
    <x v="161"/>
    <m/>
    <x v="266"/>
    <x v="277"/>
    <m/>
    <x v="1"/>
    <x v="1"/>
    <m/>
    <n v="-24.02298"/>
    <n v="44.849530000000001"/>
    <m/>
    <m/>
  </r>
  <r>
    <s v="MG51507290020PREV"/>
    <x v="1"/>
    <x v="1"/>
    <m/>
    <x v="1"/>
    <x v="1"/>
    <m/>
    <x v="1"/>
    <x v="1"/>
    <m/>
    <x v="1"/>
    <x v="1"/>
    <m/>
    <x v="258"/>
    <x v="161"/>
    <m/>
    <x v="267"/>
    <x v="278"/>
    <m/>
    <x v="1"/>
    <x v="1"/>
    <m/>
    <n v="-24.03867"/>
    <n v="44.892749999999999"/>
    <m/>
    <m/>
  </r>
  <r>
    <s v="MG51507290050PREV"/>
    <x v="1"/>
    <x v="1"/>
    <m/>
    <x v="1"/>
    <x v="1"/>
    <m/>
    <x v="1"/>
    <x v="1"/>
    <m/>
    <x v="1"/>
    <x v="1"/>
    <m/>
    <x v="259"/>
    <x v="161"/>
    <m/>
    <x v="268"/>
    <x v="279"/>
    <m/>
    <x v="1"/>
    <x v="1"/>
    <m/>
    <n v="-24.127409"/>
    <n v="44.921573000000002"/>
    <m/>
    <m/>
  </r>
  <r>
    <s v="MG51507290018PREV"/>
    <x v="1"/>
    <x v="1"/>
    <m/>
    <x v="1"/>
    <x v="1"/>
    <m/>
    <x v="1"/>
    <x v="1"/>
    <m/>
    <x v="1"/>
    <x v="1"/>
    <m/>
    <x v="260"/>
    <x v="161"/>
    <m/>
    <x v="269"/>
    <x v="280"/>
    <m/>
    <x v="1"/>
    <x v="1"/>
    <m/>
    <n v="-24.04252"/>
    <n v="44.92062"/>
    <m/>
    <m/>
  </r>
  <r>
    <s v="MG51507290012PREV"/>
    <x v="1"/>
    <x v="1"/>
    <m/>
    <x v="1"/>
    <x v="1"/>
    <m/>
    <x v="1"/>
    <x v="1"/>
    <m/>
    <x v="1"/>
    <x v="1"/>
    <m/>
    <x v="7"/>
    <x v="161"/>
    <m/>
    <x v="7"/>
    <x v="281"/>
    <m/>
    <x v="1"/>
    <x v="1"/>
    <m/>
    <n v="-23.99755"/>
    <n v="44.917900000000003"/>
    <m/>
    <m/>
  </r>
  <r>
    <s v="MG51507290011PREV"/>
    <x v="1"/>
    <x v="1"/>
    <m/>
    <x v="1"/>
    <x v="1"/>
    <m/>
    <x v="1"/>
    <x v="1"/>
    <m/>
    <x v="1"/>
    <x v="1"/>
    <m/>
    <x v="10"/>
    <x v="161"/>
    <m/>
    <x v="10"/>
    <x v="282"/>
    <m/>
    <x v="1"/>
    <x v="1"/>
    <m/>
    <n v="-23.992249999999999"/>
    <n v="44.95778"/>
    <m/>
    <m/>
  </r>
  <r>
    <s v="MG53517270006PREV"/>
    <x v="1"/>
    <x v="1"/>
    <m/>
    <x v="1"/>
    <x v="1"/>
    <m/>
    <x v="1"/>
    <x v="1"/>
    <m/>
    <x v="1"/>
    <x v="1"/>
    <m/>
    <x v="261"/>
    <x v="161"/>
    <m/>
    <x v="270"/>
    <x v="283"/>
    <m/>
    <x v="1"/>
    <x v="1"/>
    <m/>
    <n v="-23.965420000000002"/>
    <n v="44.892380000000003"/>
    <m/>
    <m/>
  </r>
  <r>
    <s v="MG51507310030PREV"/>
    <x v="1"/>
    <x v="1"/>
    <m/>
    <x v="1"/>
    <x v="1"/>
    <m/>
    <x v="1"/>
    <x v="1"/>
    <m/>
    <x v="2"/>
    <x v="2"/>
    <m/>
    <x v="262"/>
    <x v="161"/>
    <m/>
    <x v="271"/>
    <x v="284"/>
    <m/>
    <x v="1"/>
    <x v="1"/>
    <m/>
    <n v="-24.823899999999998"/>
    <n v="44.020470000000003"/>
    <m/>
    <m/>
  </r>
  <r>
    <s v="MG51507310036PREV"/>
    <x v="1"/>
    <x v="1"/>
    <m/>
    <x v="1"/>
    <x v="1"/>
    <m/>
    <x v="1"/>
    <x v="1"/>
    <m/>
    <x v="2"/>
    <x v="2"/>
    <m/>
    <x v="263"/>
    <x v="161"/>
    <m/>
    <x v="272"/>
    <x v="285"/>
    <m/>
    <x v="1"/>
    <x v="1"/>
    <m/>
    <n v="-24.878299999999999"/>
    <n v="44.046570000000003"/>
    <m/>
    <m/>
  </r>
  <r>
    <s v="MG51507310044PREV"/>
    <x v="1"/>
    <x v="1"/>
    <m/>
    <x v="1"/>
    <x v="1"/>
    <m/>
    <x v="1"/>
    <x v="1"/>
    <m/>
    <x v="2"/>
    <x v="2"/>
    <m/>
    <x v="14"/>
    <x v="161"/>
    <m/>
    <x v="14"/>
    <x v="286"/>
    <m/>
    <x v="1"/>
    <x v="1"/>
    <m/>
    <n v="-24.973379999999999"/>
    <n v="44.0959"/>
    <m/>
    <m/>
  </r>
  <r>
    <s v="MG51507310039PREV"/>
    <x v="1"/>
    <x v="1"/>
    <m/>
    <x v="1"/>
    <x v="1"/>
    <m/>
    <x v="1"/>
    <x v="1"/>
    <m/>
    <x v="2"/>
    <x v="2"/>
    <m/>
    <x v="264"/>
    <x v="161"/>
    <m/>
    <x v="273"/>
    <x v="287"/>
    <m/>
    <x v="1"/>
    <x v="1"/>
    <m/>
    <n v="-24.936669999999999"/>
    <n v="44.097749999999998"/>
    <m/>
    <m/>
  </r>
  <r>
    <s v="MG51507310046PREV"/>
    <x v="1"/>
    <x v="1"/>
    <m/>
    <x v="1"/>
    <x v="1"/>
    <m/>
    <x v="1"/>
    <x v="1"/>
    <m/>
    <x v="2"/>
    <x v="2"/>
    <m/>
    <x v="15"/>
    <x v="161"/>
    <m/>
    <x v="15"/>
    <x v="288"/>
    <m/>
    <x v="1"/>
    <x v="1"/>
    <m/>
    <n v="-24.984819999999999"/>
    <n v="44.107199999999999"/>
    <m/>
    <m/>
  </r>
  <r>
    <s v="MG51507310091PREV"/>
    <x v="1"/>
    <x v="1"/>
    <m/>
    <x v="1"/>
    <x v="1"/>
    <m/>
    <x v="1"/>
    <x v="1"/>
    <m/>
    <x v="2"/>
    <x v="2"/>
    <m/>
    <x v="265"/>
    <x v="161"/>
    <m/>
    <x v="274"/>
    <x v="289"/>
    <m/>
    <x v="1"/>
    <x v="1"/>
    <m/>
    <n v="-24.809419999999999"/>
    <n v="44.119"/>
    <m/>
    <m/>
  </r>
  <r>
    <s v="MG51507310061PREV"/>
    <x v="1"/>
    <x v="1"/>
    <m/>
    <x v="1"/>
    <x v="1"/>
    <m/>
    <x v="1"/>
    <x v="1"/>
    <m/>
    <x v="2"/>
    <x v="2"/>
    <m/>
    <x v="266"/>
    <x v="161"/>
    <m/>
    <x v="275"/>
    <x v="290"/>
    <m/>
    <x v="1"/>
    <x v="1"/>
    <m/>
    <n v="-24.957750000000001"/>
    <n v="44.102150000000002"/>
    <m/>
    <m/>
  </r>
  <r>
    <s v="MG51507230001PREV"/>
    <x v="1"/>
    <x v="1"/>
    <m/>
    <x v="1"/>
    <x v="1"/>
    <m/>
    <x v="1"/>
    <x v="1"/>
    <m/>
    <x v="43"/>
    <x v="43"/>
    <m/>
    <x v="267"/>
    <x v="161"/>
    <m/>
    <x v="276"/>
    <x v="291"/>
    <m/>
    <x v="1"/>
    <x v="1"/>
    <m/>
    <n v="-25.009219999999999"/>
    <n v="44.125999999999998"/>
    <m/>
    <m/>
  </r>
  <r>
    <s v="MG51507230005PREV"/>
    <x v="1"/>
    <x v="1"/>
    <m/>
    <x v="1"/>
    <x v="1"/>
    <m/>
    <x v="1"/>
    <x v="1"/>
    <m/>
    <x v="43"/>
    <x v="43"/>
    <m/>
    <x v="268"/>
    <x v="161"/>
    <m/>
    <x v="277"/>
    <x v="292"/>
    <m/>
    <x v="1"/>
    <x v="1"/>
    <m/>
    <n v="-24.988119999999999"/>
    <n v="44.2303"/>
    <m/>
    <m/>
  </r>
  <r>
    <s v="MG51507230019PREV"/>
    <x v="1"/>
    <x v="1"/>
    <m/>
    <x v="1"/>
    <x v="1"/>
    <m/>
    <x v="1"/>
    <x v="1"/>
    <m/>
    <x v="43"/>
    <x v="43"/>
    <m/>
    <x v="269"/>
    <x v="161"/>
    <m/>
    <x v="278"/>
    <x v="293"/>
    <m/>
    <x v="1"/>
    <x v="1"/>
    <m/>
    <n v="-25.15363"/>
    <n v="44.393529999999998"/>
    <m/>
    <m/>
  </r>
  <r>
    <s v="MG51507230023PREV"/>
    <x v="1"/>
    <x v="1"/>
    <m/>
    <x v="1"/>
    <x v="1"/>
    <m/>
    <x v="1"/>
    <x v="1"/>
    <m/>
    <x v="43"/>
    <x v="43"/>
    <m/>
    <x v="270"/>
    <x v="161"/>
    <m/>
    <x v="279"/>
    <x v="294"/>
    <m/>
    <x v="1"/>
    <x v="1"/>
    <m/>
    <n v="-25.241029999999999"/>
    <n v="44.480930000000001"/>
    <m/>
    <m/>
  </r>
  <r>
    <s v="MG51507230018PREV"/>
    <x v="1"/>
    <x v="1"/>
    <m/>
    <x v="1"/>
    <x v="1"/>
    <m/>
    <x v="1"/>
    <x v="1"/>
    <m/>
    <x v="43"/>
    <x v="43"/>
    <m/>
    <x v="271"/>
    <x v="161"/>
    <m/>
    <x v="280"/>
    <x v="295"/>
    <m/>
    <x v="1"/>
    <x v="1"/>
    <m/>
    <n v="-25.110669999999999"/>
    <n v="44.43562"/>
    <m/>
    <m/>
  </r>
  <r>
    <s v="MG51507270004PREV"/>
    <x v="1"/>
    <x v="1"/>
    <m/>
    <x v="1"/>
    <x v="1"/>
    <m/>
    <x v="1"/>
    <x v="1"/>
    <m/>
    <x v="43"/>
    <x v="43"/>
    <m/>
    <x v="272"/>
    <x v="161"/>
    <m/>
    <x v="281"/>
    <x v="296"/>
    <m/>
    <x v="1"/>
    <x v="1"/>
    <m/>
    <n v="-23.971730000000001"/>
    <n v="44.731430000000003"/>
    <m/>
    <m/>
  </r>
  <r>
    <s v="MG52516033001PREV"/>
    <x v="1"/>
    <x v="1"/>
    <m/>
    <x v="1"/>
    <x v="1"/>
    <m/>
    <x v="1"/>
    <x v="1"/>
    <m/>
    <x v="43"/>
    <x v="43"/>
    <m/>
    <x v="273"/>
    <x v="161"/>
    <m/>
    <x v="282"/>
    <x v="297"/>
    <m/>
    <x v="1"/>
    <x v="1"/>
    <m/>
    <n v="-25.055266"/>
    <n v="44.383496999999998"/>
    <m/>
    <m/>
  </r>
  <r>
    <s v="MG51507230050PREV"/>
    <x v="1"/>
    <x v="1"/>
    <m/>
    <x v="1"/>
    <x v="1"/>
    <m/>
    <x v="1"/>
    <x v="1"/>
    <m/>
    <x v="43"/>
    <x v="43"/>
    <m/>
    <x v="274"/>
    <x v="161"/>
    <m/>
    <x v="283"/>
    <x v="298"/>
    <m/>
    <x v="1"/>
    <x v="1"/>
    <m/>
    <n v="-24.97495"/>
    <n v="44.18712"/>
    <m/>
    <m/>
  </r>
  <r>
    <s v="MG51507230059PREV"/>
    <x v="1"/>
    <x v="1"/>
    <m/>
    <x v="1"/>
    <x v="1"/>
    <m/>
    <x v="1"/>
    <x v="1"/>
    <m/>
    <x v="43"/>
    <x v="43"/>
    <m/>
    <x v="275"/>
    <x v="161"/>
    <m/>
    <x v="284"/>
    <x v="299"/>
    <m/>
    <x v="1"/>
    <x v="1"/>
    <m/>
    <n v="-25.031580000000002"/>
    <n v="44.312330000000003"/>
    <m/>
    <m/>
  </r>
  <r>
    <s v="MG51507150016PREV"/>
    <x v="1"/>
    <x v="1"/>
    <m/>
    <x v="1"/>
    <x v="1"/>
    <m/>
    <x v="1"/>
    <x v="1"/>
    <m/>
    <x v="44"/>
    <x v="44"/>
    <m/>
    <x v="276"/>
    <x v="161"/>
    <m/>
    <x v="285"/>
    <x v="300"/>
    <m/>
    <x v="1"/>
    <x v="1"/>
    <m/>
    <n v="-24.284700000000001"/>
    <n v="44.422620000000002"/>
    <m/>
    <m/>
  </r>
  <r>
    <s v="MG51507150045PREV"/>
    <x v="1"/>
    <x v="1"/>
    <m/>
    <x v="1"/>
    <x v="1"/>
    <m/>
    <x v="1"/>
    <x v="1"/>
    <m/>
    <x v="44"/>
    <x v="44"/>
    <m/>
    <x v="277"/>
    <x v="161"/>
    <m/>
    <x v="286"/>
    <x v="301"/>
    <m/>
    <x v="1"/>
    <x v="1"/>
    <m/>
    <n v="-24.49935"/>
    <n v="44.457120000000003"/>
    <m/>
    <m/>
  </r>
  <r>
    <s v="MG51507150033PREV"/>
    <x v="1"/>
    <x v="1"/>
    <m/>
    <x v="1"/>
    <x v="1"/>
    <m/>
    <x v="1"/>
    <x v="1"/>
    <m/>
    <x v="44"/>
    <x v="44"/>
    <m/>
    <x v="278"/>
    <x v="161"/>
    <m/>
    <x v="287"/>
    <x v="302"/>
    <m/>
    <x v="1"/>
    <x v="1"/>
    <m/>
    <n v="-24.395869999999999"/>
    <n v="44.50038"/>
    <m/>
    <m/>
  </r>
  <r>
    <s v="MG51507150015PREV"/>
    <x v="1"/>
    <x v="1"/>
    <m/>
    <x v="1"/>
    <x v="1"/>
    <m/>
    <x v="1"/>
    <x v="1"/>
    <m/>
    <x v="44"/>
    <x v="44"/>
    <m/>
    <x v="279"/>
    <x v="161"/>
    <m/>
    <x v="288"/>
    <x v="303"/>
    <m/>
    <x v="1"/>
    <x v="1"/>
    <m/>
    <n v="-24.268630000000002"/>
    <n v="44.503869999999999"/>
    <m/>
    <m/>
  </r>
  <r>
    <s v="MG51507150008PREV"/>
    <x v="1"/>
    <x v="1"/>
    <m/>
    <x v="1"/>
    <x v="1"/>
    <m/>
    <x v="1"/>
    <x v="1"/>
    <m/>
    <x v="44"/>
    <x v="44"/>
    <m/>
    <x v="280"/>
    <x v="161"/>
    <m/>
    <x v="289"/>
    <x v="304"/>
    <m/>
    <x v="1"/>
    <x v="1"/>
    <m/>
    <n v="-24.141300000000001"/>
    <n v="44.493079999999999"/>
    <m/>
    <m/>
  </r>
  <r>
    <s v="MG51507150001PREV"/>
    <x v="1"/>
    <x v="1"/>
    <m/>
    <x v="1"/>
    <x v="1"/>
    <m/>
    <x v="1"/>
    <x v="1"/>
    <m/>
    <x v="44"/>
    <x v="44"/>
    <m/>
    <x v="281"/>
    <x v="161"/>
    <m/>
    <x v="290"/>
    <x v="305"/>
    <m/>
    <x v="1"/>
    <x v="1"/>
    <m/>
    <n v="-24.347249999999999"/>
    <n v="44.515900000000002"/>
    <m/>
    <m/>
  </r>
  <r>
    <s v="MG51507150032PREV"/>
    <x v="1"/>
    <x v="1"/>
    <m/>
    <x v="1"/>
    <x v="1"/>
    <m/>
    <x v="1"/>
    <x v="1"/>
    <m/>
    <x v="44"/>
    <x v="44"/>
    <m/>
    <x v="282"/>
    <x v="161"/>
    <m/>
    <x v="291"/>
    <x v="306"/>
    <m/>
    <x v="1"/>
    <x v="1"/>
    <m/>
    <n v="-24.393899999999999"/>
    <n v="44.534930000000003"/>
    <m/>
    <m/>
  </r>
  <r>
    <s v="MG51507150040PREV"/>
    <x v="1"/>
    <x v="1"/>
    <m/>
    <x v="1"/>
    <x v="1"/>
    <m/>
    <x v="1"/>
    <x v="1"/>
    <m/>
    <x v="44"/>
    <x v="44"/>
    <m/>
    <x v="283"/>
    <x v="161"/>
    <m/>
    <x v="292"/>
    <x v="307"/>
    <m/>
    <x v="1"/>
    <x v="1"/>
    <m/>
    <n v="-24.463200000000001"/>
    <n v="44.589880000000001"/>
    <m/>
    <m/>
  </r>
  <r>
    <s v="MG51507150014PREV"/>
    <x v="1"/>
    <x v="1"/>
    <m/>
    <x v="1"/>
    <x v="1"/>
    <m/>
    <x v="1"/>
    <x v="1"/>
    <m/>
    <x v="44"/>
    <x v="44"/>
    <m/>
    <x v="284"/>
    <x v="161"/>
    <m/>
    <x v="293"/>
    <x v="308"/>
    <m/>
    <x v="1"/>
    <x v="1"/>
    <m/>
    <n v="-24.253579999999999"/>
    <n v="44.563800000000001"/>
    <m/>
    <m/>
  </r>
  <r>
    <s v="MG51507150005PREV"/>
    <x v="1"/>
    <x v="1"/>
    <m/>
    <x v="1"/>
    <x v="1"/>
    <m/>
    <x v="1"/>
    <x v="1"/>
    <m/>
    <x v="44"/>
    <x v="44"/>
    <m/>
    <x v="285"/>
    <x v="161"/>
    <m/>
    <x v="294"/>
    <x v="309"/>
    <m/>
    <x v="1"/>
    <x v="1"/>
    <m/>
    <n v="-24.091280000000001"/>
    <n v="44.563949999999998"/>
    <m/>
    <m/>
  </r>
  <r>
    <s v="MG51507150047PREV"/>
    <x v="1"/>
    <x v="1"/>
    <m/>
    <x v="1"/>
    <x v="1"/>
    <m/>
    <x v="1"/>
    <x v="1"/>
    <m/>
    <x v="44"/>
    <x v="44"/>
    <m/>
    <x v="286"/>
    <x v="161"/>
    <m/>
    <x v="295"/>
    <x v="310"/>
    <m/>
    <x v="1"/>
    <x v="1"/>
    <m/>
    <n v="-24.520499999999998"/>
    <n v="44.620100000000001"/>
    <m/>
    <m/>
  </r>
  <r>
    <s v="MG51507290034PREV"/>
    <x v="1"/>
    <x v="1"/>
    <m/>
    <x v="1"/>
    <x v="1"/>
    <m/>
    <x v="1"/>
    <x v="1"/>
    <m/>
    <x v="44"/>
    <x v="44"/>
    <m/>
    <x v="287"/>
    <x v="161"/>
    <m/>
    <x v="296"/>
    <x v="311"/>
    <m/>
    <x v="1"/>
    <x v="1"/>
    <m/>
    <n v="-24.11347"/>
    <n v="44.85098"/>
    <m/>
    <m/>
  </r>
  <r>
    <s v="MG51507150011PREV"/>
    <x v="1"/>
    <x v="1"/>
    <m/>
    <x v="1"/>
    <x v="1"/>
    <m/>
    <x v="1"/>
    <x v="1"/>
    <m/>
    <x v="44"/>
    <x v="44"/>
    <m/>
    <x v="288"/>
    <x v="161"/>
    <m/>
    <x v="297"/>
    <x v="312"/>
    <m/>
    <x v="1"/>
    <x v="1"/>
    <m/>
    <n v="-24.21245"/>
    <n v="44.551769999999998"/>
    <m/>
    <m/>
  </r>
  <r>
    <s v="MG51506012003PREV"/>
    <x v="1"/>
    <x v="1"/>
    <m/>
    <x v="1"/>
    <x v="1"/>
    <m/>
    <x v="1"/>
    <x v="1"/>
    <m/>
    <x v="10"/>
    <x v="10"/>
    <m/>
    <x v="289"/>
    <x v="161"/>
    <m/>
    <x v="298"/>
    <x v="313"/>
    <m/>
    <x v="1"/>
    <x v="1"/>
    <m/>
    <n v="-24.050851999999999"/>
    <n v="45.063997000000001"/>
    <m/>
    <m/>
  </r>
  <r>
    <s v="MG51507250015PREV"/>
    <x v="1"/>
    <x v="1"/>
    <m/>
    <x v="1"/>
    <x v="1"/>
    <m/>
    <x v="1"/>
    <x v="1"/>
    <m/>
    <x v="10"/>
    <x v="10"/>
    <m/>
    <x v="290"/>
    <x v="161"/>
    <m/>
    <x v="299"/>
    <x v="314"/>
    <m/>
    <x v="1"/>
    <x v="1"/>
    <m/>
    <n v="-24.117049999999999"/>
    <n v="44.79815"/>
    <m/>
    <m/>
  </r>
  <r>
    <s v="MG51507290017PREV"/>
    <x v="1"/>
    <x v="1"/>
    <m/>
    <x v="1"/>
    <x v="1"/>
    <m/>
    <x v="1"/>
    <x v="1"/>
    <m/>
    <x v="10"/>
    <x v="10"/>
    <m/>
    <x v="72"/>
    <x v="161"/>
    <m/>
    <x v="75"/>
    <x v="315"/>
    <m/>
    <x v="1"/>
    <x v="1"/>
    <m/>
    <n v="-24.019670000000001"/>
    <n v="44.992280000000001"/>
    <m/>
    <m/>
  </r>
  <r>
    <s v="MG51507290027PREV"/>
    <x v="1"/>
    <x v="1"/>
    <m/>
    <x v="1"/>
    <x v="1"/>
    <m/>
    <x v="1"/>
    <x v="1"/>
    <m/>
    <x v="10"/>
    <x v="10"/>
    <m/>
    <x v="63"/>
    <x v="161"/>
    <m/>
    <x v="66"/>
    <x v="316"/>
    <m/>
    <x v="1"/>
    <x v="1"/>
    <m/>
    <n v="-24.082999999999998"/>
    <n v="44.977820000000001"/>
    <m/>
    <m/>
  </r>
  <r>
    <s v="MG51507290044PREV"/>
    <x v="1"/>
    <x v="1"/>
    <m/>
    <x v="1"/>
    <x v="1"/>
    <m/>
    <x v="1"/>
    <x v="1"/>
    <m/>
    <x v="10"/>
    <x v="10"/>
    <m/>
    <x v="65"/>
    <x v="161"/>
    <m/>
    <x v="68"/>
    <x v="317"/>
    <m/>
    <x v="1"/>
    <x v="1"/>
    <m/>
    <n v="-24.184850000000001"/>
    <n v="44.998330000000003"/>
    <m/>
    <m/>
  </r>
  <r>
    <s v="MG51507290032PREV"/>
    <x v="1"/>
    <x v="1"/>
    <m/>
    <x v="1"/>
    <x v="1"/>
    <m/>
    <x v="1"/>
    <x v="1"/>
    <m/>
    <x v="10"/>
    <x v="10"/>
    <m/>
    <x v="291"/>
    <x v="161"/>
    <m/>
    <x v="300"/>
    <x v="318"/>
    <m/>
    <x v="1"/>
    <x v="1"/>
    <m/>
    <n v="-24.115369999999999"/>
    <n v="45.024650000000001"/>
    <m/>
    <m/>
  </r>
  <r>
    <s v="MG51507290001PREV"/>
    <x v="1"/>
    <x v="1"/>
    <m/>
    <x v="1"/>
    <x v="1"/>
    <m/>
    <x v="1"/>
    <x v="1"/>
    <m/>
    <x v="10"/>
    <x v="10"/>
    <m/>
    <x v="74"/>
    <x v="161"/>
    <m/>
    <x v="77"/>
    <x v="319"/>
    <m/>
    <x v="1"/>
    <x v="1"/>
    <m/>
    <n v="-24.055430000000001"/>
    <n v="45.01735"/>
    <m/>
    <m/>
  </r>
  <r>
    <s v="MG51507290056PREV"/>
    <x v="1"/>
    <x v="1"/>
    <m/>
    <x v="1"/>
    <x v="1"/>
    <m/>
    <x v="1"/>
    <x v="1"/>
    <m/>
    <x v="10"/>
    <x v="10"/>
    <m/>
    <x v="68"/>
    <x v="161"/>
    <m/>
    <x v="71"/>
    <x v="320"/>
    <m/>
    <x v="1"/>
    <x v="1"/>
    <m/>
    <n v="-24.257580000000001"/>
    <n v="45.05603"/>
    <m/>
    <m/>
  </r>
  <r>
    <s v="MG52514011039PREV"/>
    <x v="1"/>
    <x v="1"/>
    <m/>
    <x v="1"/>
    <x v="1"/>
    <m/>
    <x v="1"/>
    <x v="1"/>
    <m/>
    <x v="10"/>
    <x v="10"/>
    <m/>
    <x v="77"/>
    <x v="161"/>
    <m/>
    <x v="80"/>
    <x v="321"/>
    <m/>
    <x v="1"/>
    <x v="1"/>
    <m/>
    <n v="-24.145219000000001"/>
    <n v="44.974392999999999"/>
    <m/>
    <m/>
  </r>
  <r>
    <s v="MG52518170019PREV"/>
    <x v="1"/>
    <x v="1"/>
    <m/>
    <x v="1"/>
    <x v="1"/>
    <m/>
    <x v="1"/>
    <x v="1"/>
    <m/>
    <x v="10"/>
    <x v="10"/>
    <m/>
    <x v="60"/>
    <x v="161"/>
    <m/>
    <x v="63"/>
    <x v="322"/>
    <m/>
    <x v="1"/>
    <x v="1"/>
    <m/>
    <n v="-24.007058000000001"/>
    <n v="45.030946999999998"/>
    <m/>
    <m/>
  </r>
  <r>
    <s v="MG51507290059PREV"/>
    <x v="1"/>
    <x v="1"/>
    <m/>
    <x v="1"/>
    <x v="1"/>
    <m/>
    <x v="1"/>
    <x v="1"/>
    <m/>
    <x v="10"/>
    <x v="10"/>
    <m/>
    <x v="71"/>
    <x v="161"/>
    <m/>
    <x v="74"/>
    <x v="323"/>
    <m/>
    <x v="1"/>
    <x v="1"/>
    <m/>
    <n v="-23.926649999999999"/>
    <n v="45.101900000000001"/>
    <m/>
    <m/>
  </r>
  <r>
    <s v="MG51507290060PREV"/>
    <x v="1"/>
    <x v="1"/>
    <m/>
    <x v="1"/>
    <x v="1"/>
    <m/>
    <x v="1"/>
    <x v="1"/>
    <m/>
    <x v="10"/>
    <x v="10"/>
    <m/>
    <x v="78"/>
    <x v="161"/>
    <m/>
    <x v="81"/>
    <x v="324"/>
    <m/>
    <x v="1"/>
    <x v="1"/>
    <m/>
    <n v="-24.217749999999999"/>
    <n v="44.90737"/>
    <m/>
    <m/>
  </r>
  <r>
    <s v="MG51507290061PREV"/>
    <x v="1"/>
    <x v="1"/>
    <m/>
    <x v="1"/>
    <x v="1"/>
    <m/>
    <x v="1"/>
    <x v="1"/>
    <m/>
    <x v="10"/>
    <x v="10"/>
    <m/>
    <x v="290"/>
    <x v="161"/>
    <m/>
    <x v="299"/>
    <x v="325"/>
    <m/>
    <x v="1"/>
    <x v="1"/>
    <m/>
    <n v="-24.186593999999999"/>
    <n v="44.913082000000003"/>
    <m/>
    <m/>
  </r>
  <r>
    <s v="MG51506014001PREV"/>
    <x v="3"/>
    <x v="3"/>
    <m/>
    <x v="1"/>
    <x v="1"/>
    <m/>
    <x v="3"/>
    <x v="3"/>
    <m/>
    <x v="45"/>
    <x v="45"/>
    <m/>
    <x v="292"/>
    <x v="161"/>
    <m/>
    <x v="301"/>
    <x v="326"/>
    <m/>
    <x v="1"/>
    <x v="1"/>
    <m/>
    <n v="-23.653420000000001"/>
    <n v="44.134619999999998"/>
    <m/>
    <m/>
  </r>
  <r>
    <s v="MG51506130015PREV"/>
    <x v="3"/>
    <x v="3"/>
    <m/>
    <x v="1"/>
    <x v="1"/>
    <m/>
    <x v="3"/>
    <x v="3"/>
    <m/>
    <x v="4"/>
    <x v="4"/>
    <m/>
    <x v="23"/>
    <x v="161"/>
    <m/>
    <x v="23"/>
    <x v="327"/>
    <m/>
    <x v="1"/>
    <x v="1"/>
    <m/>
    <n v="-23.711120000000001"/>
    <n v="44.442450000000001"/>
    <m/>
    <m/>
  </r>
  <r>
    <s v="MG51506130001PREV"/>
    <x v="3"/>
    <x v="3"/>
    <m/>
    <x v="1"/>
    <x v="1"/>
    <m/>
    <x v="3"/>
    <x v="3"/>
    <m/>
    <x v="4"/>
    <x v="4"/>
    <m/>
    <x v="22"/>
    <x v="161"/>
    <m/>
    <x v="22"/>
    <x v="328"/>
    <m/>
    <x v="1"/>
    <x v="1"/>
    <m/>
    <n v="-23.59018"/>
    <n v="44.689250000000001"/>
    <m/>
    <m/>
  </r>
  <r>
    <s v="MG53517291013PREV"/>
    <x v="3"/>
    <x v="3"/>
    <m/>
    <x v="1"/>
    <x v="1"/>
    <m/>
    <x v="3"/>
    <x v="3"/>
    <m/>
    <x v="4"/>
    <x v="4"/>
    <m/>
    <x v="293"/>
    <x v="161"/>
    <m/>
    <x v="302"/>
    <x v="329"/>
    <m/>
    <x v="1"/>
    <x v="1"/>
    <m/>
    <n v="-23.70017"/>
    <n v="44.529200000000003"/>
    <m/>
    <m/>
  </r>
  <r>
    <s v="MG53517291056PREV"/>
    <x v="3"/>
    <x v="3"/>
    <m/>
    <x v="1"/>
    <x v="1"/>
    <m/>
    <x v="3"/>
    <x v="3"/>
    <m/>
    <x v="4"/>
    <x v="4"/>
    <m/>
    <x v="21"/>
    <x v="161"/>
    <m/>
    <x v="21"/>
    <x v="330"/>
    <m/>
    <x v="1"/>
    <x v="1"/>
    <m/>
    <n v="-23.629629999999999"/>
    <n v="44.635950000000001"/>
    <m/>
    <m/>
  </r>
  <r>
    <s v="MG51506012012PREV"/>
    <x v="3"/>
    <x v="3"/>
    <m/>
    <x v="1"/>
    <x v="1"/>
    <m/>
    <x v="3"/>
    <x v="3"/>
    <m/>
    <x v="46"/>
    <x v="46"/>
    <m/>
    <x v="294"/>
    <x v="161"/>
    <m/>
    <x v="303"/>
    <x v="331"/>
    <m/>
    <x v="1"/>
    <x v="1"/>
    <m/>
    <n v="-23.894369999999999"/>
    <n v="44.638449999999999"/>
    <m/>
    <m/>
  </r>
  <r>
    <s v="MG51506330036PREV"/>
    <x v="3"/>
    <x v="3"/>
    <m/>
    <x v="1"/>
    <x v="1"/>
    <m/>
    <x v="3"/>
    <x v="3"/>
    <m/>
    <x v="46"/>
    <x v="46"/>
    <m/>
    <x v="295"/>
    <x v="161"/>
    <m/>
    <x v="304"/>
    <x v="332"/>
    <m/>
    <x v="1"/>
    <x v="1"/>
    <m/>
    <n v="-23.945070000000001"/>
    <n v="44.932600000000001"/>
    <m/>
    <m/>
  </r>
  <r>
    <s v="MG51506330017PREV"/>
    <x v="3"/>
    <x v="3"/>
    <m/>
    <x v="1"/>
    <x v="1"/>
    <m/>
    <x v="3"/>
    <x v="3"/>
    <m/>
    <x v="46"/>
    <x v="46"/>
    <m/>
    <x v="296"/>
    <x v="161"/>
    <m/>
    <x v="305"/>
    <x v="333"/>
    <m/>
    <x v="1"/>
    <x v="1"/>
    <m/>
    <n v="-23.810870000000001"/>
    <n v="45.068550000000002"/>
    <m/>
    <m/>
  </r>
  <r>
    <s v="MG52518170018PREV"/>
    <x v="3"/>
    <x v="3"/>
    <m/>
    <x v="1"/>
    <x v="1"/>
    <m/>
    <x v="3"/>
    <x v="3"/>
    <m/>
    <x v="46"/>
    <x v="46"/>
    <m/>
    <x v="297"/>
    <x v="161"/>
    <m/>
    <x v="306"/>
    <x v="334"/>
    <m/>
    <x v="1"/>
    <x v="1"/>
    <m/>
    <n v="-23.820775999999999"/>
    <n v="44.999599000000003"/>
    <m/>
    <m/>
  </r>
  <r>
    <s v="MG51506015001PREV"/>
    <x v="3"/>
    <x v="3"/>
    <m/>
    <x v="1"/>
    <x v="1"/>
    <m/>
    <x v="3"/>
    <x v="3"/>
    <m/>
    <x v="47"/>
    <x v="47"/>
    <m/>
    <x v="298"/>
    <x v="161"/>
    <m/>
    <x v="307"/>
    <x v="335"/>
    <m/>
    <x v="1"/>
    <x v="1"/>
    <m/>
    <n v="-23.81147"/>
    <n v="44.100279999999998"/>
    <m/>
    <m/>
  </r>
  <r>
    <s v="MG51506015011PREV"/>
    <x v="3"/>
    <x v="3"/>
    <m/>
    <x v="1"/>
    <x v="1"/>
    <m/>
    <x v="3"/>
    <x v="3"/>
    <m/>
    <x v="47"/>
    <x v="47"/>
    <m/>
    <x v="299"/>
    <x v="161"/>
    <m/>
    <x v="308"/>
    <x v="336"/>
    <m/>
    <x v="1"/>
    <x v="1"/>
    <m/>
    <n v="-23.971879999999999"/>
    <n v="44.205370000000002"/>
    <m/>
    <m/>
  </r>
  <r>
    <s v="MG51506012018PREV"/>
    <x v="3"/>
    <x v="3"/>
    <m/>
    <x v="1"/>
    <x v="1"/>
    <m/>
    <x v="3"/>
    <x v="3"/>
    <m/>
    <x v="16"/>
    <x v="16"/>
    <m/>
    <x v="300"/>
    <x v="161"/>
    <m/>
    <x v="309"/>
    <x v="337"/>
    <m/>
    <x v="1"/>
    <x v="1"/>
    <m/>
    <n v="-23.972049999999999"/>
    <n v="44.602200000000003"/>
    <m/>
    <m/>
  </r>
  <r>
    <s v="MG51506012001PREV"/>
    <x v="3"/>
    <x v="3"/>
    <m/>
    <x v="1"/>
    <x v="1"/>
    <m/>
    <x v="3"/>
    <x v="3"/>
    <m/>
    <x v="16"/>
    <x v="16"/>
    <m/>
    <x v="301"/>
    <x v="161"/>
    <m/>
    <x v="310"/>
    <x v="338"/>
    <m/>
    <x v="1"/>
    <x v="1"/>
    <m/>
    <n v="-23.880330000000001"/>
    <n v="44.645850000000003"/>
    <m/>
    <m/>
  </r>
  <r>
    <s v="MG51506270001PREV"/>
    <x v="3"/>
    <x v="3"/>
    <m/>
    <x v="1"/>
    <x v="1"/>
    <m/>
    <x v="3"/>
    <x v="3"/>
    <m/>
    <x v="48"/>
    <x v="48"/>
    <m/>
    <x v="302"/>
    <x v="161"/>
    <m/>
    <x v="311"/>
    <x v="339"/>
    <m/>
    <x v="1"/>
    <x v="1"/>
    <m/>
    <n v="-23.526630000000001"/>
    <n v="44.699280000000002"/>
    <m/>
    <m/>
  </r>
  <r>
    <s v="MG51506210010PREV"/>
    <x v="3"/>
    <x v="3"/>
    <m/>
    <x v="1"/>
    <x v="1"/>
    <m/>
    <x v="3"/>
    <x v="3"/>
    <m/>
    <x v="49"/>
    <x v="49"/>
    <m/>
    <x v="55"/>
    <x v="161"/>
    <m/>
    <x v="62"/>
    <x v="340"/>
    <m/>
    <x v="1"/>
    <x v="1"/>
    <m/>
    <n v="-23.874569999999999"/>
    <n v="44.813020000000002"/>
    <m/>
    <m/>
  </r>
  <r>
    <s v="MG51506210023PREV"/>
    <x v="3"/>
    <x v="3"/>
    <m/>
    <x v="1"/>
    <x v="1"/>
    <m/>
    <x v="3"/>
    <x v="3"/>
    <m/>
    <x v="49"/>
    <x v="49"/>
    <m/>
    <x v="303"/>
    <x v="161"/>
    <m/>
    <x v="312"/>
    <x v="341"/>
    <m/>
    <x v="1"/>
    <x v="1"/>
    <m/>
    <n v="-23.922899999999998"/>
    <n v="44.713479999999997"/>
    <m/>
    <m/>
  </r>
  <r>
    <s v="MG51506210011PREV"/>
    <x v="3"/>
    <x v="3"/>
    <m/>
    <x v="1"/>
    <x v="1"/>
    <m/>
    <x v="3"/>
    <x v="3"/>
    <m/>
    <x v="49"/>
    <x v="49"/>
    <m/>
    <x v="304"/>
    <x v="161"/>
    <m/>
    <x v="313"/>
    <x v="342"/>
    <m/>
    <x v="1"/>
    <x v="1"/>
    <m/>
    <n v="-23.877970000000001"/>
    <n v="44.791849999999997"/>
    <m/>
    <m/>
  </r>
  <r>
    <s v="MG51506252006PREV"/>
    <x v="3"/>
    <x v="3"/>
    <m/>
    <x v="1"/>
    <x v="1"/>
    <m/>
    <x v="3"/>
    <x v="3"/>
    <m/>
    <x v="49"/>
    <x v="49"/>
    <m/>
    <x v="305"/>
    <x v="161"/>
    <m/>
    <x v="314"/>
    <x v="343"/>
    <m/>
    <x v="1"/>
    <x v="1"/>
    <m/>
    <n v="-23.823879999999999"/>
    <n v="44.809750000000001"/>
    <m/>
    <m/>
  </r>
  <r>
    <s v="MG51506210022PREV"/>
    <x v="3"/>
    <x v="3"/>
    <m/>
    <x v="1"/>
    <x v="1"/>
    <m/>
    <x v="3"/>
    <x v="3"/>
    <m/>
    <x v="49"/>
    <x v="49"/>
    <m/>
    <x v="306"/>
    <x v="161"/>
    <m/>
    <x v="315"/>
    <x v="344"/>
    <m/>
    <x v="1"/>
    <x v="1"/>
    <m/>
    <n v="-23.918900000000001"/>
    <n v="44.826929999999997"/>
    <m/>
    <m/>
  </r>
  <r>
    <s v="MG51506090012PREV"/>
    <x v="3"/>
    <x v="3"/>
    <m/>
    <x v="1"/>
    <x v="1"/>
    <m/>
    <x v="3"/>
    <x v="3"/>
    <m/>
    <x v="50"/>
    <x v="50"/>
    <m/>
    <x v="307"/>
    <x v="161"/>
    <m/>
    <x v="316"/>
    <x v="345"/>
    <m/>
    <x v="1"/>
    <x v="1"/>
    <m/>
    <n v="-23.669329999999999"/>
    <n v="44.290500000000002"/>
    <m/>
    <m/>
  </r>
  <r>
    <s v="MG51506090004PREV"/>
    <x v="3"/>
    <x v="3"/>
    <m/>
    <x v="1"/>
    <x v="1"/>
    <m/>
    <x v="3"/>
    <x v="3"/>
    <m/>
    <x v="50"/>
    <x v="50"/>
    <m/>
    <x v="308"/>
    <x v="161"/>
    <m/>
    <x v="317"/>
    <x v="346"/>
    <m/>
    <x v="1"/>
    <x v="1"/>
    <m/>
    <n v="-23.57422"/>
    <n v="44.294150000000002"/>
    <m/>
    <m/>
  </r>
  <r>
    <s v="MG51506090001PREV"/>
    <x v="3"/>
    <x v="3"/>
    <m/>
    <x v="1"/>
    <x v="1"/>
    <m/>
    <x v="3"/>
    <x v="3"/>
    <m/>
    <x v="50"/>
    <x v="50"/>
    <m/>
    <x v="309"/>
    <x v="161"/>
    <m/>
    <x v="318"/>
    <x v="347"/>
    <m/>
    <x v="1"/>
    <x v="1"/>
    <m/>
    <n v="-23.544820000000001"/>
    <n v="44.30097"/>
    <m/>
    <m/>
  </r>
  <r>
    <s v="MG51506090010PREV"/>
    <x v="3"/>
    <x v="3"/>
    <m/>
    <x v="1"/>
    <x v="1"/>
    <m/>
    <x v="3"/>
    <x v="3"/>
    <m/>
    <x v="50"/>
    <x v="50"/>
    <m/>
    <x v="310"/>
    <x v="161"/>
    <m/>
    <x v="319"/>
    <x v="348"/>
    <m/>
    <x v="1"/>
    <x v="1"/>
    <m/>
    <n v="-23.66197"/>
    <n v="44.348230000000001"/>
    <m/>
    <m/>
  </r>
  <r>
    <s v="MG51506290004PREV"/>
    <x v="3"/>
    <x v="3"/>
    <m/>
    <x v="1"/>
    <x v="1"/>
    <m/>
    <x v="3"/>
    <x v="3"/>
    <m/>
    <x v="51"/>
    <x v="51"/>
    <m/>
    <x v="311"/>
    <x v="161"/>
    <m/>
    <x v="320"/>
    <x v="349"/>
    <m/>
    <x v="1"/>
    <x v="1"/>
    <m/>
    <n v="-23.534500000000001"/>
    <n v="44.738750000000003"/>
    <m/>
    <m/>
  </r>
  <r>
    <s v="MG51506290008PREV"/>
    <x v="3"/>
    <x v="3"/>
    <m/>
    <x v="1"/>
    <x v="1"/>
    <m/>
    <x v="3"/>
    <x v="3"/>
    <m/>
    <x v="51"/>
    <x v="51"/>
    <m/>
    <x v="312"/>
    <x v="161"/>
    <m/>
    <x v="321"/>
    <x v="350"/>
    <m/>
    <x v="1"/>
    <x v="1"/>
    <m/>
    <n v="-23.553280000000001"/>
    <n v="44.767479999999999"/>
    <m/>
    <m/>
  </r>
  <r>
    <s v="MG52516151034PREV"/>
    <x v="0"/>
    <x v="0"/>
    <m/>
    <x v="4"/>
    <x v="4"/>
    <m/>
    <x v="10"/>
    <x v="10"/>
    <m/>
    <x v="52"/>
    <x v="52"/>
    <m/>
    <x v="313"/>
    <x v="161"/>
    <m/>
    <x v="322"/>
    <x v="351"/>
    <m/>
    <x v="1"/>
    <x v="1"/>
    <m/>
    <n v="-23.285150999999999"/>
    <n v="47.546138999999997"/>
    <m/>
    <m/>
  </r>
  <r>
    <s v="MG25214111008PREV"/>
    <x v="0"/>
    <x v="0"/>
    <m/>
    <x v="4"/>
    <x v="4"/>
    <m/>
    <x v="10"/>
    <x v="10"/>
    <m/>
    <x v="52"/>
    <x v="52"/>
    <m/>
    <x v="314"/>
    <x v="161"/>
    <m/>
    <x v="323"/>
    <x v="352"/>
    <m/>
    <x v="1"/>
    <x v="1"/>
    <m/>
    <n v="-23.3035"/>
    <n v="47.554279999999999"/>
    <m/>
    <m/>
  </r>
  <r>
    <s v="MG52516011012PREV"/>
    <x v="0"/>
    <x v="0"/>
    <m/>
    <x v="4"/>
    <x v="4"/>
    <m/>
    <x v="11"/>
    <x v="11"/>
    <m/>
    <x v="53"/>
    <x v="53"/>
    <m/>
    <x v="35"/>
    <x v="161"/>
    <m/>
    <x v="35"/>
    <x v="353"/>
    <m/>
    <x v="1"/>
    <x v="1"/>
    <m/>
    <n v="-22.707915"/>
    <n v="47.709054999999999"/>
    <m/>
    <m/>
  </r>
  <r>
    <s v="MG25214050001PREV"/>
    <x v="0"/>
    <x v="0"/>
    <m/>
    <x v="4"/>
    <x v="4"/>
    <m/>
    <x v="10"/>
    <x v="10"/>
    <m/>
    <x v="54"/>
    <x v="54"/>
    <m/>
    <x v="315"/>
    <x v="161"/>
    <m/>
    <x v="324"/>
    <x v="354"/>
    <m/>
    <x v="1"/>
    <x v="1"/>
    <m/>
    <n v="-23.331219999999998"/>
    <n v="47.608969999999999"/>
    <m/>
    <m/>
  </r>
  <r>
    <s v="MG25214050005PREV"/>
    <x v="0"/>
    <x v="0"/>
    <m/>
    <x v="4"/>
    <x v="4"/>
    <m/>
    <x v="10"/>
    <x v="10"/>
    <m/>
    <x v="54"/>
    <x v="54"/>
    <m/>
    <x v="316"/>
    <x v="161"/>
    <m/>
    <x v="325"/>
    <x v="355"/>
    <m/>
    <x v="1"/>
    <x v="1"/>
    <m/>
    <n v="-23.340499999999999"/>
    <n v="47.664319999999996"/>
    <m/>
    <m/>
  </r>
  <r>
    <s v="MG25214050067PREV"/>
    <x v="0"/>
    <x v="0"/>
    <m/>
    <x v="4"/>
    <x v="4"/>
    <m/>
    <x v="10"/>
    <x v="10"/>
    <m/>
    <x v="54"/>
    <x v="54"/>
    <m/>
    <x v="317"/>
    <x v="161"/>
    <m/>
    <x v="326"/>
    <x v="356"/>
    <m/>
    <x v="1"/>
    <x v="1"/>
    <m/>
    <n v="-23.288250000000001"/>
    <n v="47.689619999999998"/>
    <m/>
    <m/>
  </r>
  <r>
    <s v="MG25214111005PREV"/>
    <x v="0"/>
    <x v="0"/>
    <m/>
    <x v="4"/>
    <x v="4"/>
    <m/>
    <x v="10"/>
    <x v="10"/>
    <m/>
    <x v="55"/>
    <x v="55"/>
    <m/>
    <x v="318"/>
    <x v="161"/>
    <m/>
    <x v="327"/>
    <x v="357"/>
    <m/>
    <x v="1"/>
    <x v="1"/>
    <m/>
    <n v="-23.268661999999999"/>
    <n v="47.498111999999999"/>
    <m/>
    <m/>
  </r>
  <r>
    <s v="MG25214111060PREV"/>
    <x v="0"/>
    <x v="0"/>
    <m/>
    <x v="4"/>
    <x v="4"/>
    <m/>
    <x v="10"/>
    <x v="10"/>
    <m/>
    <x v="55"/>
    <x v="55"/>
    <m/>
    <x v="319"/>
    <x v="161"/>
    <m/>
    <x v="328"/>
    <x v="358"/>
    <m/>
    <x v="1"/>
    <x v="1"/>
    <m/>
    <n v="-23.26735"/>
    <n v="47.527270000000001"/>
    <m/>
    <m/>
  </r>
  <r>
    <s v="MG25217030078PREV"/>
    <x v="0"/>
    <x v="0"/>
    <m/>
    <x v="4"/>
    <x v="4"/>
    <m/>
    <x v="12"/>
    <x v="12"/>
    <m/>
    <x v="56"/>
    <x v="56"/>
    <m/>
    <x v="320"/>
    <x v="161"/>
    <m/>
    <x v="329"/>
    <x v="359"/>
    <m/>
    <x v="1"/>
    <x v="1"/>
    <m/>
    <n v="-22.81513"/>
    <n v="47.4527"/>
    <m/>
    <m/>
  </r>
  <r>
    <s v="MG23212051001PREV"/>
    <x v="0"/>
    <x v="0"/>
    <m/>
    <x v="5"/>
    <x v="5"/>
    <m/>
    <x v="13"/>
    <x v="13"/>
    <m/>
    <x v="57"/>
    <x v="57"/>
    <m/>
    <x v="321"/>
    <x v="161"/>
    <m/>
    <x v="330"/>
    <x v="360"/>
    <m/>
    <x v="1"/>
    <x v="1"/>
    <m/>
    <n v="-22.388819999999999"/>
    <n v="47.867930000000001"/>
    <m/>
    <m/>
  </r>
  <r>
    <s v="MG53515010003PREV"/>
    <x v="0"/>
    <x v="0"/>
    <m/>
    <x v="0"/>
    <x v="0"/>
    <m/>
    <x v="5"/>
    <x v="5"/>
    <m/>
    <x v="13"/>
    <x v="13"/>
    <m/>
    <x v="102"/>
    <x v="161"/>
    <m/>
    <x v="106"/>
    <x v="361"/>
    <m/>
    <x v="1"/>
    <x v="1"/>
    <m/>
    <n v="-21.139520999999998"/>
    <n v="48.296911999999999"/>
    <m/>
    <m/>
  </r>
  <r>
    <s v="MG23209050001PREV"/>
    <x v="0"/>
    <x v="0"/>
    <m/>
    <x v="0"/>
    <x v="0"/>
    <m/>
    <x v="5"/>
    <x v="5"/>
    <m/>
    <x v="13"/>
    <x v="13"/>
    <m/>
    <x v="322"/>
    <x v="161"/>
    <m/>
    <x v="331"/>
    <x v="362"/>
    <m/>
    <x v="1"/>
    <x v="1"/>
    <m/>
    <n v="-21.178370000000001"/>
    <n v="48.294870000000003"/>
    <m/>
    <m/>
  </r>
  <r>
    <s v="MG23209070001PREV"/>
    <x v="0"/>
    <x v="0"/>
    <m/>
    <x v="0"/>
    <x v="0"/>
    <m/>
    <x v="5"/>
    <x v="5"/>
    <m/>
    <x v="21"/>
    <x v="21"/>
    <m/>
    <x v="128"/>
    <x v="161"/>
    <m/>
    <x v="132"/>
    <x v="363"/>
    <m/>
    <x v="1"/>
    <x v="1"/>
    <m/>
    <n v="-21.2026"/>
    <n v="48.224850000000004"/>
    <m/>
    <m/>
  </r>
  <r>
    <s v="MG23209070055PREV"/>
    <x v="0"/>
    <x v="0"/>
    <m/>
    <x v="0"/>
    <x v="0"/>
    <m/>
    <x v="5"/>
    <x v="5"/>
    <m/>
    <x v="21"/>
    <x v="21"/>
    <m/>
    <x v="129"/>
    <x v="161"/>
    <m/>
    <x v="133"/>
    <x v="364"/>
    <m/>
    <x v="1"/>
    <x v="1"/>
    <m/>
    <n v="-21.109020000000001"/>
    <n v="48.252549999999999"/>
    <m/>
    <m/>
  </r>
  <r>
    <s v="MG23209070066PREV"/>
    <x v="0"/>
    <x v="0"/>
    <m/>
    <x v="0"/>
    <x v="0"/>
    <m/>
    <x v="5"/>
    <x v="5"/>
    <m/>
    <x v="21"/>
    <x v="21"/>
    <m/>
    <x v="323"/>
    <x v="161"/>
    <m/>
    <x v="332"/>
    <x v="365"/>
    <m/>
    <x v="1"/>
    <x v="1"/>
    <m/>
    <n v="-21.190370000000001"/>
    <n v="48.188830000000003"/>
    <m/>
    <m/>
  </r>
  <r>
    <s v="MG23209070077PREV"/>
    <x v="0"/>
    <x v="0"/>
    <m/>
    <x v="0"/>
    <x v="0"/>
    <m/>
    <x v="5"/>
    <x v="5"/>
    <m/>
    <x v="21"/>
    <x v="21"/>
    <m/>
    <x v="130"/>
    <x v="161"/>
    <m/>
    <x v="134"/>
    <x v="366"/>
    <m/>
    <x v="1"/>
    <x v="1"/>
    <m/>
    <n v="-21.109020000000001"/>
    <n v="48.252549999999999"/>
    <m/>
    <m/>
  </r>
  <r>
    <s v="MG23209270001PREV"/>
    <x v="0"/>
    <x v="0"/>
    <m/>
    <x v="0"/>
    <x v="0"/>
    <m/>
    <x v="5"/>
    <x v="5"/>
    <m/>
    <x v="58"/>
    <x v="58"/>
    <m/>
    <x v="324"/>
    <x v="161"/>
    <m/>
    <x v="333"/>
    <x v="367"/>
    <m/>
    <x v="1"/>
    <x v="1"/>
    <m/>
    <n v="-20.847580000000001"/>
    <n v="48.3018"/>
    <m/>
    <m/>
  </r>
  <r>
    <s v="MG23209170001PREV"/>
    <x v="0"/>
    <x v="0"/>
    <m/>
    <x v="0"/>
    <x v="0"/>
    <m/>
    <x v="5"/>
    <x v="5"/>
    <m/>
    <x v="59"/>
    <x v="59"/>
    <m/>
    <x v="325"/>
    <x v="161"/>
    <m/>
    <x v="334"/>
    <x v="368"/>
    <m/>
    <x v="1"/>
    <x v="1"/>
    <m/>
    <n v="-21.00638"/>
    <n v="48.286520000000003"/>
    <m/>
    <m/>
  </r>
  <r>
    <s v="MG23209170056PREV"/>
    <x v="0"/>
    <x v="0"/>
    <m/>
    <x v="0"/>
    <x v="0"/>
    <m/>
    <x v="5"/>
    <x v="5"/>
    <m/>
    <x v="59"/>
    <x v="59"/>
    <m/>
    <x v="326"/>
    <x v="161"/>
    <m/>
    <x v="335"/>
    <x v="369"/>
    <m/>
    <x v="1"/>
    <x v="1"/>
    <m/>
    <n v="-20.950780000000002"/>
    <n v="48.253219999999999"/>
    <m/>
    <m/>
  </r>
  <r>
    <s v="MG52518032003001MAM"/>
    <x v="5"/>
    <x v="5"/>
    <m/>
    <x v="2"/>
    <x v="2"/>
    <m/>
    <x v="2"/>
    <x v="2"/>
    <m/>
    <x v="32"/>
    <x v="32"/>
    <m/>
    <x v="327"/>
    <x v="162"/>
    <m/>
    <x v="336"/>
    <x v="370"/>
    <m/>
    <x v="2"/>
    <x v="2"/>
    <m/>
    <n v="45.20382"/>
    <n v="-24.138729999999999"/>
    <m/>
    <m/>
  </r>
  <r>
    <s v="MG52518032059001MAM"/>
    <x v="5"/>
    <x v="5"/>
    <m/>
    <x v="2"/>
    <x v="2"/>
    <m/>
    <x v="2"/>
    <x v="2"/>
    <m/>
    <x v="32"/>
    <x v="32"/>
    <m/>
    <x v="289"/>
    <x v="163"/>
    <m/>
    <x v="337"/>
    <x v="371"/>
    <m/>
    <x v="2"/>
    <x v="2"/>
    <m/>
    <n v="45.254829999999998"/>
    <n v="-24.13185"/>
    <m/>
    <m/>
  </r>
  <r>
    <s v="MG52518151045001MAM"/>
    <x v="5"/>
    <x v="5"/>
    <m/>
    <x v="2"/>
    <x v="2"/>
    <m/>
    <x v="2"/>
    <x v="2"/>
    <m/>
    <x v="32"/>
    <x v="32"/>
    <m/>
    <x v="328"/>
    <x v="164"/>
    <m/>
    <x v="338"/>
    <x v="372"/>
    <m/>
    <x v="2"/>
    <x v="2"/>
    <m/>
    <n v="45.25853"/>
    <n v="-24.007079999999998"/>
    <m/>
    <m/>
  </r>
  <r>
    <s v="MG52518151046001MAM"/>
    <x v="5"/>
    <x v="5"/>
    <m/>
    <x v="2"/>
    <x v="2"/>
    <m/>
    <x v="2"/>
    <x v="2"/>
    <m/>
    <x v="32"/>
    <x v="32"/>
    <m/>
    <x v="329"/>
    <x v="165"/>
    <m/>
    <x v="339"/>
    <x v="373"/>
    <m/>
    <x v="2"/>
    <x v="2"/>
    <m/>
    <n v="45.180520000000001"/>
    <n v="-24.108329999999999"/>
    <m/>
    <m/>
  </r>
  <r>
    <s v="MG25213471001001MAM"/>
    <x v="0"/>
    <x v="0"/>
    <m/>
    <x v="4"/>
    <x v="4"/>
    <m/>
    <x v="11"/>
    <x v="11"/>
    <m/>
    <x v="60"/>
    <x v="60"/>
    <m/>
    <x v="59"/>
    <x v="166"/>
    <m/>
    <x v="340"/>
    <x v="374"/>
    <m/>
    <x v="2"/>
    <x v="2"/>
    <m/>
    <n v="47.590733"/>
    <n v="-22.593862999999999"/>
    <m/>
    <m/>
  </r>
  <r>
    <s v="MG25213471028001MAM"/>
    <x v="0"/>
    <x v="0"/>
    <m/>
    <x v="4"/>
    <x v="4"/>
    <m/>
    <x v="11"/>
    <x v="11"/>
    <m/>
    <x v="60"/>
    <x v="60"/>
    <m/>
    <x v="330"/>
    <x v="167"/>
    <m/>
    <x v="341"/>
    <x v="375"/>
    <m/>
    <x v="2"/>
    <x v="2"/>
    <m/>
    <n v="47.566420000000001"/>
    <n v="-22.594429999999999"/>
    <m/>
    <m/>
  </r>
  <r>
    <s v="MG25213552004001MAM"/>
    <x v="0"/>
    <x v="0"/>
    <m/>
    <x v="4"/>
    <x v="4"/>
    <m/>
    <x v="11"/>
    <x v="11"/>
    <m/>
    <x v="61"/>
    <x v="61"/>
    <m/>
    <x v="331"/>
    <x v="168"/>
    <m/>
    <x v="342"/>
    <x v="376"/>
    <m/>
    <x v="2"/>
    <x v="2"/>
    <m/>
    <n v="47.449930000000002"/>
    <n v="-22.999230000000001"/>
    <m/>
    <m/>
  </r>
  <r>
    <s v="MG25213552019001MAM"/>
    <x v="0"/>
    <x v="0"/>
    <m/>
    <x v="4"/>
    <x v="4"/>
    <m/>
    <x v="11"/>
    <x v="11"/>
    <m/>
    <x v="61"/>
    <x v="61"/>
    <m/>
    <x v="332"/>
    <x v="169"/>
    <m/>
    <x v="343"/>
    <x v="377"/>
    <m/>
    <x v="2"/>
    <x v="2"/>
    <m/>
    <n v="47.476950000000002"/>
    <n v="-23.01305"/>
    <m/>
    <m/>
  </r>
  <r>
    <s v="MG25213410001001MAM"/>
    <x v="0"/>
    <x v="0"/>
    <m/>
    <x v="4"/>
    <x v="4"/>
    <m/>
    <x v="11"/>
    <x v="11"/>
    <m/>
    <x v="62"/>
    <x v="62"/>
    <m/>
    <x v="333"/>
    <x v="170"/>
    <m/>
    <x v="344"/>
    <x v="378"/>
    <m/>
    <x v="2"/>
    <x v="2"/>
    <m/>
    <n v="47.558599999999998"/>
    <n v="-22.637930000000001"/>
    <m/>
    <m/>
  </r>
  <r>
    <s v="MG51503011004001MAM"/>
    <x v="0"/>
    <x v="0"/>
    <m/>
    <x v="4"/>
    <x v="4"/>
    <m/>
    <x v="11"/>
    <x v="11"/>
    <m/>
    <x v="62"/>
    <x v="62"/>
    <m/>
    <x v="334"/>
    <x v="171"/>
    <m/>
    <x v="345"/>
    <x v="379"/>
    <m/>
    <x v="2"/>
    <x v="2"/>
    <m/>
    <n v="47.591715999999998"/>
    <n v="-22.644012"/>
    <m/>
    <m/>
  </r>
  <r>
    <s v="MG51520210001001MAM"/>
    <x v="5"/>
    <x v="5"/>
    <m/>
    <x v="2"/>
    <x v="2"/>
    <m/>
    <x v="6"/>
    <x v="6"/>
    <m/>
    <x v="28"/>
    <x v="28"/>
    <m/>
    <x v="335"/>
    <x v="172"/>
    <m/>
    <x v="346"/>
    <x v="380"/>
    <m/>
    <x v="2"/>
    <x v="2"/>
    <m/>
    <n v="45.967269000000002"/>
    <n v="-24.790752999999999"/>
    <m/>
    <m/>
  </r>
  <r>
    <s v="MG52516031002001MAM"/>
    <x v="5"/>
    <x v="5"/>
    <m/>
    <x v="2"/>
    <x v="2"/>
    <m/>
    <x v="6"/>
    <x v="6"/>
    <m/>
    <x v="28"/>
    <x v="28"/>
    <m/>
    <x v="336"/>
    <x v="173"/>
    <m/>
    <x v="347"/>
    <x v="381"/>
    <m/>
    <x v="2"/>
    <x v="2"/>
    <m/>
    <n v="45.934350000000002"/>
    <n v="-24.813700000000001"/>
    <m/>
    <m/>
  </r>
  <r>
    <s v="MG52516031004001MAM"/>
    <x v="5"/>
    <x v="5"/>
    <m/>
    <x v="2"/>
    <x v="2"/>
    <m/>
    <x v="6"/>
    <x v="6"/>
    <m/>
    <x v="28"/>
    <x v="28"/>
    <m/>
    <x v="166"/>
    <x v="174"/>
    <m/>
    <x v="170"/>
    <x v="382"/>
    <m/>
    <x v="2"/>
    <x v="2"/>
    <m/>
    <n v="46.024169999999998"/>
    <n v="-25.129829999999998"/>
    <m/>
    <m/>
  </r>
  <r>
    <s v="MG52516031035001MAM"/>
    <x v="5"/>
    <x v="5"/>
    <m/>
    <x v="2"/>
    <x v="2"/>
    <m/>
    <x v="6"/>
    <x v="6"/>
    <m/>
    <x v="28"/>
    <x v="28"/>
    <m/>
    <x v="337"/>
    <x v="175"/>
    <m/>
    <x v="348"/>
    <x v="383"/>
    <m/>
    <x v="2"/>
    <x v="2"/>
    <m/>
    <n v="45.983069999999998"/>
    <n v="-25.197479999999999"/>
    <m/>
    <m/>
  </r>
  <r>
    <s v="MG52516031037001MAM"/>
    <x v="5"/>
    <x v="5"/>
    <m/>
    <x v="2"/>
    <x v="2"/>
    <m/>
    <x v="6"/>
    <x v="6"/>
    <m/>
    <x v="28"/>
    <x v="28"/>
    <m/>
    <x v="338"/>
    <x v="176"/>
    <m/>
    <x v="349"/>
    <x v="384"/>
    <m/>
    <x v="2"/>
    <x v="2"/>
    <m/>
    <n v="45.985680000000002"/>
    <n v="-25.222619999999999"/>
    <m/>
    <m/>
  </r>
  <r>
    <s v="MG52516031038001MAM"/>
    <x v="5"/>
    <x v="5"/>
    <m/>
    <x v="2"/>
    <x v="2"/>
    <m/>
    <x v="6"/>
    <x v="6"/>
    <m/>
    <x v="28"/>
    <x v="28"/>
    <m/>
    <x v="339"/>
    <x v="177"/>
    <m/>
    <x v="350"/>
    <x v="385"/>
    <m/>
    <x v="2"/>
    <x v="2"/>
    <m/>
    <n v="46.008029999999998"/>
    <n v="-24.792470000000002"/>
    <m/>
    <m/>
  </r>
  <r>
    <s v="MG52516031039001MAM"/>
    <x v="5"/>
    <x v="5"/>
    <m/>
    <x v="2"/>
    <x v="2"/>
    <m/>
    <x v="6"/>
    <x v="6"/>
    <m/>
    <x v="28"/>
    <x v="28"/>
    <m/>
    <x v="340"/>
    <x v="178"/>
    <m/>
    <x v="351"/>
    <x v="386"/>
    <m/>
    <x v="2"/>
    <x v="2"/>
    <m/>
    <n v="45.958170000000003"/>
    <n v="-25.199300000000001"/>
    <m/>
    <m/>
  </r>
  <r>
    <s v="MG23209290011001MAM"/>
    <x v="0"/>
    <x v="0"/>
    <m/>
    <x v="0"/>
    <x v="0"/>
    <m/>
    <x v="14"/>
    <x v="14"/>
    <m/>
    <x v="63"/>
    <x v="63"/>
    <m/>
    <x v="341"/>
    <x v="179"/>
    <m/>
    <x v="352"/>
    <x v="387"/>
    <m/>
    <x v="2"/>
    <x v="2"/>
    <m/>
    <n v="47.495319000000002"/>
    <n v="-21.796849999999999"/>
    <m/>
    <m/>
  </r>
  <r>
    <s v="MG23211031010001MAM"/>
    <x v="0"/>
    <x v="0"/>
    <m/>
    <x v="0"/>
    <x v="0"/>
    <m/>
    <x v="14"/>
    <x v="14"/>
    <m/>
    <x v="63"/>
    <x v="63"/>
    <m/>
    <x v="342"/>
    <x v="180"/>
    <m/>
    <x v="353"/>
    <x v="388"/>
    <m/>
    <x v="2"/>
    <x v="2"/>
    <m/>
    <n v="47.482300000000002"/>
    <n v="-21.794119999999999"/>
    <m/>
    <m/>
  </r>
  <r>
    <s v="MG31310130010001MAM"/>
    <x v="0"/>
    <x v="0"/>
    <m/>
    <x v="0"/>
    <x v="0"/>
    <m/>
    <x v="14"/>
    <x v="14"/>
    <m/>
    <x v="63"/>
    <x v="63"/>
    <m/>
    <x v="343"/>
    <x v="181"/>
    <m/>
    <x v="354"/>
    <x v="389"/>
    <m/>
    <x v="2"/>
    <x v="2"/>
    <m/>
    <n v="47.47972"/>
    <n v="-21.805"/>
    <m/>
    <m/>
  </r>
  <r>
    <s v="MG31309050014001MAM"/>
    <x v="0"/>
    <x v="0"/>
    <m/>
    <x v="4"/>
    <x v="4"/>
    <m/>
    <x v="10"/>
    <x v="10"/>
    <m/>
    <x v="64"/>
    <x v="64"/>
    <m/>
    <x v="344"/>
    <x v="182"/>
    <m/>
    <x v="355"/>
    <x v="390"/>
    <m/>
    <x v="2"/>
    <x v="2"/>
    <m/>
    <n v="47.287799999999997"/>
    <n v="-23.572389999999999"/>
    <m/>
    <m/>
  </r>
  <r>
    <s v="MG52516014002001MAM"/>
    <x v="5"/>
    <x v="5"/>
    <m/>
    <x v="2"/>
    <x v="2"/>
    <m/>
    <x v="2"/>
    <x v="2"/>
    <m/>
    <x v="65"/>
    <x v="65"/>
    <m/>
    <x v="345"/>
    <x v="183"/>
    <m/>
    <x v="356"/>
    <x v="391"/>
    <m/>
    <x v="2"/>
    <x v="2"/>
    <m/>
    <n v="45.174823000000004"/>
    <n v="-24.200316999999998"/>
    <m/>
    <m/>
  </r>
  <r>
    <s v="MG52518031006001MAM"/>
    <x v="5"/>
    <x v="5"/>
    <m/>
    <x v="2"/>
    <x v="2"/>
    <m/>
    <x v="2"/>
    <x v="2"/>
    <m/>
    <x v="65"/>
    <x v="65"/>
    <m/>
    <x v="346"/>
    <x v="184"/>
    <m/>
    <x v="357"/>
    <x v="392"/>
    <m/>
    <x v="2"/>
    <x v="2"/>
    <m/>
    <n v="45.189630000000001"/>
    <n v="-24.180129999999998"/>
    <m/>
    <m/>
  </r>
  <r>
    <s v="MG53517350003001MAM"/>
    <x v="5"/>
    <x v="5"/>
    <m/>
    <x v="3"/>
    <x v="3"/>
    <m/>
    <x v="15"/>
    <x v="15"/>
    <m/>
    <x v="66"/>
    <x v="66"/>
    <m/>
    <x v="347"/>
    <x v="185"/>
    <m/>
    <x v="358"/>
    <x v="393"/>
    <m/>
    <x v="2"/>
    <x v="2"/>
    <m/>
    <n v="45.605879999999999"/>
    <n v="-23.816970000000001"/>
    <m/>
    <m/>
  </r>
  <r>
    <s v="MG53517350012001MAM"/>
    <x v="5"/>
    <x v="5"/>
    <m/>
    <x v="3"/>
    <x v="3"/>
    <m/>
    <x v="15"/>
    <x v="15"/>
    <m/>
    <x v="66"/>
    <x v="66"/>
    <m/>
    <x v="225"/>
    <x v="186"/>
    <m/>
    <x v="359"/>
    <x v="394"/>
    <m/>
    <x v="2"/>
    <x v="2"/>
    <m/>
    <n v="45.588172999999998"/>
    <n v="-23.846081999999999"/>
    <m/>
    <m/>
  </r>
  <r>
    <s v="MG51506013007001MAM"/>
    <x v="5"/>
    <x v="5"/>
    <m/>
    <x v="2"/>
    <x v="2"/>
    <m/>
    <x v="2"/>
    <x v="2"/>
    <m/>
    <x v="67"/>
    <x v="67"/>
    <m/>
    <x v="348"/>
    <x v="187"/>
    <m/>
    <x v="360"/>
    <x v="395"/>
    <m/>
    <x v="2"/>
    <x v="2"/>
    <m/>
    <n v="45.424320999999999"/>
    <n v="-24.059446000000001"/>
    <m/>
    <m/>
  </r>
  <r>
    <s v="MG52518091004001MAM"/>
    <x v="5"/>
    <x v="5"/>
    <m/>
    <x v="2"/>
    <x v="2"/>
    <m/>
    <x v="2"/>
    <x v="2"/>
    <m/>
    <x v="67"/>
    <x v="67"/>
    <m/>
    <x v="349"/>
    <x v="188"/>
    <m/>
    <x v="361"/>
    <x v="396"/>
    <m/>
    <x v="2"/>
    <x v="2"/>
    <m/>
    <n v="45.438949999999998"/>
    <n v="-24.020530000000001"/>
    <m/>
    <m/>
  </r>
  <r>
    <s v="MG53519130010001MAM"/>
    <x v="5"/>
    <x v="5"/>
    <m/>
    <x v="2"/>
    <x v="2"/>
    <m/>
    <x v="2"/>
    <x v="2"/>
    <m/>
    <x v="67"/>
    <x v="67"/>
    <m/>
    <x v="350"/>
    <x v="189"/>
    <m/>
    <x v="362"/>
    <x v="397"/>
    <m/>
    <x v="2"/>
    <x v="2"/>
    <m/>
    <n v="45.423923000000002"/>
    <n v="-24.04579"/>
    <m/>
    <m/>
  </r>
  <r>
    <s v="MG53519130033001MAM"/>
    <x v="5"/>
    <x v="5"/>
    <m/>
    <x v="2"/>
    <x v="2"/>
    <m/>
    <x v="2"/>
    <x v="2"/>
    <m/>
    <x v="67"/>
    <x v="67"/>
    <m/>
    <x v="351"/>
    <x v="190"/>
    <m/>
    <x v="363"/>
    <x v="398"/>
    <m/>
    <x v="2"/>
    <x v="2"/>
    <m/>
    <n v="45.445369999999997"/>
    <n v="-24.02833"/>
    <m/>
    <m/>
  </r>
  <r>
    <s v="MG52513091012001MAM"/>
    <x v="5"/>
    <x v="5"/>
    <m/>
    <x v="2"/>
    <x v="2"/>
    <m/>
    <x v="8"/>
    <x v="8"/>
    <m/>
    <x v="38"/>
    <x v="38"/>
    <m/>
    <x v="231"/>
    <x v="191"/>
    <m/>
    <x v="240"/>
    <x v="399"/>
    <m/>
    <x v="2"/>
    <x v="2"/>
    <m/>
    <n v="45.279899999999998"/>
    <n v="-24.791499999999999"/>
    <m/>
    <m/>
  </r>
  <r>
    <s v="MG52513091a_4001MAM"/>
    <x v="5"/>
    <x v="5"/>
    <m/>
    <x v="2"/>
    <x v="2"/>
    <m/>
    <x v="8"/>
    <x v="8"/>
    <m/>
    <x v="38"/>
    <x v="38"/>
    <m/>
    <x v="352"/>
    <x v="192"/>
    <m/>
    <x v="364"/>
    <x v="400"/>
    <m/>
    <x v="2"/>
    <x v="2"/>
    <m/>
    <n v="45.33943"/>
    <n v="-24.8276"/>
    <m/>
    <m/>
  </r>
  <r>
    <s v="MG51506013001001MAM"/>
    <x v="3"/>
    <x v="3"/>
    <m/>
    <x v="1"/>
    <x v="1"/>
    <m/>
    <x v="3"/>
    <x v="3"/>
    <m/>
    <x v="68"/>
    <x v="68"/>
    <m/>
    <x v="353"/>
    <x v="193"/>
    <m/>
    <x v="365"/>
    <x v="401"/>
    <m/>
    <x v="2"/>
    <x v="2"/>
    <m/>
    <n v="44.41827"/>
    <n v="-23.85"/>
    <m/>
    <m/>
  </r>
  <r>
    <s v="MG51506013002001MAM"/>
    <x v="3"/>
    <x v="3"/>
    <m/>
    <x v="1"/>
    <x v="1"/>
    <m/>
    <x v="3"/>
    <x v="3"/>
    <m/>
    <x v="68"/>
    <x v="68"/>
    <m/>
    <x v="354"/>
    <x v="194"/>
    <m/>
    <x v="366"/>
    <x v="402"/>
    <m/>
    <x v="2"/>
    <x v="2"/>
    <m/>
    <n v="44.434950000000001"/>
    <n v="-23.83127"/>
    <m/>
    <m/>
  </r>
  <r>
    <s v="MG51506013003001MAM"/>
    <x v="3"/>
    <x v="3"/>
    <m/>
    <x v="1"/>
    <x v="1"/>
    <m/>
    <x v="3"/>
    <x v="3"/>
    <m/>
    <x v="68"/>
    <x v="68"/>
    <m/>
    <x v="355"/>
    <x v="195"/>
    <m/>
    <x v="367"/>
    <x v="403"/>
    <m/>
    <x v="2"/>
    <x v="2"/>
    <m/>
    <n v="44.452120000000001"/>
    <n v="-23.864979999999999"/>
    <m/>
    <m/>
  </r>
  <r>
    <s v="MG51506013004001MAM"/>
    <x v="3"/>
    <x v="3"/>
    <m/>
    <x v="1"/>
    <x v="1"/>
    <m/>
    <x v="3"/>
    <x v="3"/>
    <m/>
    <x v="68"/>
    <x v="68"/>
    <m/>
    <x v="356"/>
    <x v="196"/>
    <m/>
    <x v="368"/>
    <x v="404"/>
    <m/>
    <x v="2"/>
    <x v="2"/>
    <m/>
    <n v="44.430500000000002"/>
    <n v="-23.878869999999999"/>
    <m/>
    <m/>
  </r>
  <r>
    <s v="MG51506013006001MAM"/>
    <x v="3"/>
    <x v="3"/>
    <m/>
    <x v="1"/>
    <x v="1"/>
    <m/>
    <x v="3"/>
    <x v="3"/>
    <m/>
    <x v="68"/>
    <x v="68"/>
    <m/>
    <x v="357"/>
    <x v="197"/>
    <m/>
    <x v="369"/>
    <x v="405"/>
    <m/>
    <x v="2"/>
    <x v="2"/>
    <m/>
    <n v="44.38653"/>
    <n v="-23.903199999999998"/>
    <m/>
    <m/>
  </r>
  <r>
    <s v="MG51506013009001MAM"/>
    <x v="3"/>
    <x v="3"/>
    <m/>
    <x v="1"/>
    <x v="1"/>
    <m/>
    <x v="3"/>
    <x v="3"/>
    <m/>
    <x v="68"/>
    <x v="68"/>
    <m/>
    <x v="358"/>
    <x v="198"/>
    <m/>
    <x v="370"/>
    <x v="406"/>
    <m/>
    <x v="2"/>
    <x v="2"/>
    <m/>
    <n v="44.408119999999997"/>
    <n v="-23.853850000000001"/>
    <m/>
    <m/>
  </r>
  <r>
    <s v="MG51506013010001MAM"/>
    <x v="3"/>
    <x v="3"/>
    <m/>
    <x v="1"/>
    <x v="1"/>
    <m/>
    <x v="3"/>
    <x v="3"/>
    <m/>
    <x v="68"/>
    <x v="68"/>
    <m/>
    <x v="359"/>
    <x v="199"/>
    <m/>
    <x v="371"/>
    <x v="407"/>
    <m/>
    <x v="2"/>
    <x v="2"/>
    <m/>
    <n v="44.4161"/>
    <n v="-23.856120000000001"/>
    <m/>
    <m/>
  </r>
  <r>
    <s v="MG51506013011001MAM"/>
    <x v="3"/>
    <x v="3"/>
    <m/>
    <x v="1"/>
    <x v="1"/>
    <m/>
    <x v="3"/>
    <x v="3"/>
    <m/>
    <x v="68"/>
    <x v="68"/>
    <m/>
    <x v="360"/>
    <x v="200"/>
    <m/>
    <x v="372"/>
    <x v="408"/>
    <m/>
    <x v="2"/>
    <x v="2"/>
    <m/>
    <n v="44.41827"/>
    <n v="-23.85"/>
    <m/>
    <m/>
  </r>
  <r>
    <s v="MG51506013057001MAM"/>
    <x v="3"/>
    <x v="3"/>
    <m/>
    <x v="1"/>
    <x v="1"/>
    <m/>
    <x v="3"/>
    <x v="3"/>
    <m/>
    <x v="68"/>
    <x v="68"/>
    <m/>
    <x v="361"/>
    <x v="201"/>
    <m/>
    <x v="373"/>
    <x v="409"/>
    <m/>
    <x v="2"/>
    <x v="2"/>
    <m/>
    <n v="44.403770000000002"/>
    <n v="-23.906120000000001"/>
    <m/>
    <m/>
  </r>
  <r>
    <s v="MG51506050005001MAM"/>
    <x v="3"/>
    <x v="3"/>
    <m/>
    <x v="1"/>
    <x v="1"/>
    <m/>
    <x v="3"/>
    <x v="3"/>
    <m/>
    <x v="68"/>
    <x v="68"/>
    <m/>
    <x v="362"/>
    <x v="202"/>
    <m/>
    <x v="374"/>
    <x v="410"/>
    <m/>
    <x v="2"/>
    <x v="2"/>
    <m/>
    <n v="44.421579999999999"/>
    <n v="-23.891780000000001"/>
    <m/>
    <m/>
  </r>
  <r>
    <s v="MG52514050012001MAM"/>
    <x v="5"/>
    <x v="5"/>
    <m/>
    <x v="2"/>
    <x v="2"/>
    <m/>
    <x v="6"/>
    <x v="6"/>
    <m/>
    <x v="69"/>
    <x v="69"/>
    <m/>
    <x v="363"/>
    <x v="203"/>
    <m/>
    <x v="375"/>
    <x v="411"/>
    <m/>
    <x v="2"/>
    <x v="2"/>
    <m/>
    <n v="45.369300000000003"/>
    <n v="-25.531320000000001"/>
    <m/>
    <m/>
  </r>
  <r>
    <s v="MG52516092016001MAM"/>
    <x v="5"/>
    <x v="5"/>
    <m/>
    <x v="2"/>
    <x v="2"/>
    <m/>
    <x v="6"/>
    <x v="6"/>
    <m/>
    <x v="69"/>
    <x v="69"/>
    <m/>
    <x v="364"/>
    <x v="204"/>
    <m/>
    <x v="376"/>
    <x v="412"/>
    <m/>
    <x v="2"/>
    <x v="2"/>
    <m/>
    <n v="45.821930000000002"/>
    <n v="-25.38128"/>
    <m/>
    <m/>
  </r>
  <r>
    <s v="MG52516092045001MAM"/>
    <x v="5"/>
    <x v="5"/>
    <m/>
    <x v="2"/>
    <x v="2"/>
    <m/>
    <x v="6"/>
    <x v="6"/>
    <m/>
    <x v="69"/>
    <x v="69"/>
    <m/>
    <x v="365"/>
    <x v="205"/>
    <m/>
    <x v="377"/>
    <x v="413"/>
    <m/>
    <x v="2"/>
    <x v="2"/>
    <m/>
    <n v="45.800600000000003"/>
    <n v="-25.375250000000001"/>
    <m/>
    <m/>
  </r>
  <r>
    <s v="MG52516092046001MAM"/>
    <x v="5"/>
    <x v="5"/>
    <m/>
    <x v="2"/>
    <x v="2"/>
    <m/>
    <x v="6"/>
    <x v="6"/>
    <m/>
    <x v="69"/>
    <x v="69"/>
    <m/>
    <x v="366"/>
    <x v="206"/>
    <m/>
    <x v="378"/>
    <x v="414"/>
    <m/>
    <x v="2"/>
    <x v="2"/>
    <m/>
    <n v="45.800730000000001"/>
    <n v="-25.378150000000002"/>
    <m/>
    <m/>
  </r>
  <r>
    <s v="MG52516092047001MAM"/>
    <x v="5"/>
    <x v="5"/>
    <m/>
    <x v="2"/>
    <x v="2"/>
    <m/>
    <x v="6"/>
    <x v="6"/>
    <m/>
    <x v="69"/>
    <x v="69"/>
    <m/>
    <x v="367"/>
    <x v="207"/>
    <m/>
    <x v="379"/>
    <x v="415"/>
    <m/>
    <x v="2"/>
    <x v="2"/>
    <m/>
    <n v="45.896599999999999"/>
    <n v="-25.326219999999999"/>
    <m/>
    <m/>
  </r>
  <r>
    <s v="MG53515112004001MAM"/>
    <x v="5"/>
    <x v="5"/>
    <m/>
    <x v="3"/>
    <x v="3"/>
    <m/>
    <x v="4"/>
    <x v="4"/>
    <m/>
    <x v="70"/>
    <x v="70"/>
    <m/>
    <x v="368"/>
    <x v="208"/>
    <m/>
    <x v="380"/>
    <x v="416"/>
    <m/>
    <x v="2"/>
    <x v="2"/>
    <m/>
    <n v="46.478841000000003"/>
    <n v="-25.030813999999999"/>
    <m/>
    <m/>
  </r>
  <r>
    <s v="MG53519010004001MAM"/>
    <x v="5"/>
    <x v="5"/>
    <m/>
    <x v="3"/>
    <x v="3"/>
    <m/>
    <x v="4"/>
    <x v="4"/>
    <m/>
    <x v="70"/>
    <x v="70"/>
    <m/>
    <x v="117"/>
    <x v="209"/>
    <m/>
    <x v="381"/>
    <x v="417"/>
    <m/>
    <x v="2"/>
    <x v="2"/>
    <m/>
    <n v="46.384079999999997"/>
    <n v="-25.0335"/>
    <m/>
    <m/>
  </r>
  <r>
    <s v="MG53519010008001MAM"/>
    <x v="5"/>
    <x v="5"/>
    <m/>
    <x v="3"/>
    <x v="3"/>
    <m/>
    <x v="4"/>
    <x v="4"/>
    <m/>
    <x v="70"/>
    <x v="70"/>
    <m/>
    <x v="369"/>
    <x v="210"/>
    <m/>
    <x v="382"/>
    <x v="418"/>
    <m/>
    <x v="2"/>
    <x v="2"/>
    <m/>
    <n v="46.415019999999998"/>
    <n v="-25.04907"/>
    <m/>
    <m/>
  </r>
  <r>
    <s v="MG53519010009001MAM"/>
    <x v="5"/>
    <x v="5"/>
    <m/>
    <x v="3"/>
    <x v="3"/>
    <m/>
    <x v="4"/>
    <x v="4"/>
    <m/>
    <x v="70"/>
    <x v="70"/>
    <m/>
    <x v="370"/>
    <x v="211"/>
    <m/>
    <x v="383"/>
    <x v="419"/>
    <m/>
    <x v="2"/>
    <x v="2"/>
    <m/>
    <n v="46.331806"/>
    <n v="-25.049987000000002"/>
    <m/>
    <m/>
  </r>
  <r>
    <s v="MG53519010010001MAM"/>
    <x v="5"/>
    <x v="5"/>
    <m/>
    <x v="3"/>
    <x v="3"/>
    <m/>
    <x v="4"/>
    <x v="4"/>
    <m/>
    <x v="70"/>
    <x v="70"/>
    <m/>
    <x v="371"/>
    <x v="212"/>
    <m/>
    <x v="384"/>
    <x v="420"/>
    <m/>
    <x v="2"/>
    <x v="2"/>
    <m/>
    <n v="46.287550000000003"/>
    <n v="-25.05585"/>
    <m/>
    <m/>
  </r>
  <r>
    <s v="MG53519010014001MAM"/>
    <x v="5"/>
    <x v="5"/>
    <m/>
    <x v="3"/>
    <x v="3"/>
    <m/>
    <x v="4"/>
    <x v="4"/>
    <m/>
    <x v="70"/>
    <x v="70"/>
    <m/>
    <x v="235"/>
    <x v="213"/>
    <m/>
    <x v="385"/>
    <x v="421"/>
    <m/>
    <x v="2"/>
    <x v="2"/>
    <m/>
    <n v="46.388530000000003"/>
    <n v="-25.064630000000001"/>
    <m/>
    <m/>
  </r>
  <r>
    <s v="MG53519010017001MAM"/>
    <x v="5"/>
    <x v="5"/>
    <m/>
    <x v="3"/>
    <x v="3"/>
    <m/>
    <x v="4"/>
    <x v="4"/>
    <m/>
    <x v="70"/>
    <x v="70"/>
    <m/>
    <x v="372"/>
    <x v="214"/>
    <m/>
    <x v="386"/>
    <x v="422"/>
    <m/>
    <x v="2"/>
    <x v="2"/>
    <m/>
    <n v="46.356670000000001"/>
    <n v="-25.05987"/>
    <m/>
    <m/>
  </r>
  <r>
    <s v="MG53519010019001MAM"/>
    <x v="5"/>
    <x v="5"/>
    <m/>
    <x v="3"/>
    <x v="3"/>
    <m/>
    <x v="4"/>
    <x v="4"/>
    <m/>
    <x v="70"/>
    <x v="70"/>
    <m/>
    <x v="373"/>
    <x v="215"/>
    <m/>
    <x v="387"/>
    <x v="423"/>
    <m/>
    <x v="2"/>
    <x v="2"/>
    <m/>
    <n v="46.331029999999998"/>
    <n v="-25.083950000000002"/>
    <m/>
    <m/>
  </r>
  <r>
    <s v="MG53519010024001MAM"/>
    <x v="5"/>
    <x v="5"/>
    <m/>
    <x v="3"/>
    <x v="3"/>
    <m/>
    <x v="4"/>
    <x v="4"/>
    <m/>
    <x v="70"/>
    <x v="70"/>
    <m/>
    <x v="374"/>
    <x v="216"/>
    <m/>
    <x v="388"/>
    <x v="424"/>
    <m/>
    <x v="2"/>
    <x v="2"/>
    <m/>
    <n v="46.373570000000001"/>
    <n v="-25.010380000000001"/>
    <m/>
    <m/>
  </r>
  <r>
    <s v="MG25217030004001MAM"/>
    <x v="0"/>
    <x v="0"/>
    <m/>
    <x v="4"/>
    <x v="4"/>
    <m/>
    <x v="12"/>
    <x v="12"/>
    <m/>
    <x v="71"/>
    <x v="71"/>
    <m/>
    <x v="375"/>
    <x v="217"/>
    <m/>
    <x v="389"/>
    <x v="425"/>
    <m/>
    <x v="2"/>
    <x v="2"/>
    <m/>
    <n v="47.4499"/>
    <n v="-22.729500000000002"/>
    <m/>
    <m/>
  </r>
  <r>
    <s v="MG25217030036001MAM"/>
    <x v="0"/>
    <x v="0"/>
    <m/>
    <x v="4"/>
    <x v="4"/>
    <m/>
    <x v="12"/>
    <x v="12"/>
    <m/>
    <x v="71"/>
    <x v="71"/>
    <m/>
    <x v="376"/>
    <x v="218"/>
    <m/>
    <x v="390"/>
    <x v="426"/>
    <m/>
    <x v="2"/>
    <x v="2"/>
    <m/>
    <n v="47.496299999999998"/>
    <n v="-23.71367"/>
    <m/>
    <m/>
  </r>
  <r>
    <s v="MG25213270001001MAM"/>
    <x v="0"/>
    <x v="0"/>
    <m/>
    <x v="4"/>
    <x v="4"/>
    <m/>
    <x v="11"/>
    <x v="11"/>
    <m/>
    <x v="72"/>
    <x v="72"/>
    <m/>
    <x v="377"/>
    <x v="219"/>
    <m/>
    <x v="391"/>
    <x v="427"/>
    <m/>
    <x v="2"/>
    <x v="2"/>
    <m/>
    <n v="47.586530000000003"/>
    <n v="-22.775770000000001"/>
    <m/>
    <m/>
  </r>
  <r>
    <s v="MG25213270010001MAM"/>
    <x v="0"/>
    <x v="0"/>
    <m/>
    <x v="4"/>
    <x v="4"/>
    <m/>
    <x v="11"/>
    <x v="11"/>
    <m/>
    <x v="72"/>
    <x v="72"/>
    <m/>
    <x v="378"/>
    <x v="220"/>
    <m/>
    <x v="392"/>
    <x v="428"/>
    <m/>
    <x v="2"/>
    <x v="2"/>
    <m/>
    <n v="47.536200000000001"/>
    <n v="-22.802399999999999"/>
    <m/>
    <m/>
  </r>
  <r>
    <s v="MG52513091017001MAM"/>
    <x v="5"/>
    <x v="5"/>
    <m/>
    <x v="2"/>
    <x v="2"/>
    <m/>
    <x v="6"/>
    <x v="6"/>
    <m/>
    <x v="73"/>
    <x v="73"/>
    <m/>
    <x v="379"/>
    <x v="221"/>
    <m/>
    <x v="393"/>
    <x v="429"/>
    <m/>
    <x v="2"/>
    <x v="2"/>
    <m/>
    <n v="46.008313999999999"/>
    <n v="-25.100425999999999"/>
    <m/>
    <m/>
  </r>
  <r>
    <s v="MG52516033015001MAM"/>
    <x v="5"/>
    <x v="5"/>
    <m/>
    <x v="2"/>
    <x v="2"/>
    <m/>
    <x v="6"/>
    <x v="6"/>
    <m/>
    <x v="73"/>
    <x v="73"/>
    <m/>
    <x v="111"/>
    <x v="222"/>
    <m/>
    <x v="394"/>
    <x v="430"/>
    <m/>
    <x v="2"/>
    <x v="2"/>
    <m/>
    <n v="45.986879999999999"/>
    <n v="-25.12378"/>
    <m/>
    <m/>
  </r>
  <r>
    <s v="MG52516033056001MAM"/>
    <x v="5"/>
    <x v="5"/>
    <m/>
    <x v="2"/>
    <x v="2"/>
    <m/>
    <x v="6"/>
    <x v="6"/>
    <m/>
    <x v="73"/>
    <x v="73"/>
    <m/>
    <x v="380"/>
    <x v="223"/>
    <m/>
    <x v="395"/>
    <x v="431"/>
    <m/>
    <x v="2"/>
    <x v="2"/>
    <m/>
    <n v="45.983719999999998"/>
    <n v="-25.1585"/>
    <m/>
    <m/>
  </r>
  <r>
    <s v="MG52516033057001MAM"/>
    <x v="5"/>
    <x v="5"/>
    <m/>
    <x v="2"/>
    <x v="2"/>
    <m/>
    <x v="6"/>
    <x v="6"/>
    <m/>
    <x v="73"/>
    <x v="73"/>
    <m/>
    <x v="381"/>
    <x v="224"/>
    <m/>
    <x v="396"/>
    <x v="432"/>
    <m/>
    <x v="2"/>
    <x v="2"/>
    <m/>
    <n v="45.96613"/>
    <n v="-25.114049999999999"/>
    <m/>
    <m/>
  </r>
  <r>
    <s v="MG52516033058001MAM"/>
    <x v="5"/>
    <x v="5"/>
    <m/>
    <x v="2"/>
    <x v="2"/>
    <m/>
    <x v="6"/>
    <x v="6"/>
    <m/>
    <x v="73"/>
    <x v="73"/>
    <m/>
    <x v="382"/>
    <x v="225"/>
    <m/>
    <x v="397"/>
    <x v="433"/>
    <m/>
    <x v="2"/>
    <x v="2"/>
    <m/>
    <n v="45.98715"/>
    <n v="-25.137219999999999"/>
    <m/>
    <m/>
  </r>
  <r>
    <s v="MG52516033059001MAM"/>
    <x v="5"/>
    <x v="5"/>
    <m/>
    <x v="2"/>
    <x v="2"/>
    <m/>
    <x v="6"/>
    <x v="6"/>
    <m/>
    <x v="73"/>
    <x v="73"/>
    <m/>
    <x v="383"/>
    <x v="226"/>
    <m/>
    <x v="398"/>
    <x v="434"/>
    <m/>
    <x v="2"/>
    <x v="2"/>
    <m/>
    <n v="46.001869999999997"/>
    <n v="-25.128550000000001"/>
    <m/>
    <m/>
  </r>
  <r>
    <s v="MG25217090001001MAM"/>
    <x v="0"/>
    <x v="0"/>
    <m/>
    <x v="4"/>
    <x v="4"/>
    <m/>
    <x v="12"/>
    <x v="12"/>
    <m/>
    <x v="74"/>
    <x v="74"/>
    <m/>
    <x v="384"/>
    <x v="227"/>
    <m/>
    <x v="399"/>
    <x v="435"/>
    <m/>
    <x v="2"/>
    <x v="2"/>
    <m/>
    <n v="47.385530000000003"/>
    <n v="-22.570900000000002"/>
    <m/>
    <m/>
  </r>
  <r>
    <s v="MG25217090002001MAM"/>
    <x v="0"/>
    <x v="0"/>
    <m/>
    <x v="4"/>
    <x v="4"/>
    <m/>
    <x v="12"/>
    <x v="12"/>
    <m/>
    <x v="74"/>
    <x v="74"/>
    <m/>
    <x v="385"/>
    <x v="228"/>
    <m/>
    <x v="400"/>
    <x v="436"/>
    <m/>
    <x v="2"/>
    <x v="2"/>
    <m/>
    <n v="47.339550000000003"/>
    <n v="-22.51858"/>
    <m/>
    <m/>
  </r>
  <r>
    <s v="MG25217090007001MAM"/>
    <x v="0"/>
    <x v="0"/>
    <m/>
    <x v="4"/>
    <x v="4"/>
    <m/>
    <x v="12"/>
    <x v="12"/>
    <m/>
    <x v="74"/>
    <x v="74"/>
    <m/>
    <x v="386"/>
    <x v="229"/>
    <m/>
    <x v="401"/>
    <x v="437"/>
    <m/>
    <x v="2"/>
    <x v="2"/>
    <m/>
    <n v="47.279620000000001"/>
    <n v="-22.58268"/>
    <m/>
    <m/>
  </r>
  <r>
    <s v="MG25213330001001MAM"/>
    <x v="0"/>
    <x v="0"/>
    <m/>
    <x v="4"/>
    <x v="4"/>
    <m/>
    <x v="11"/>
    <x v="11"/>
    <m/>
    <x v="75"/>
    <x v="75"/>
    <m/>
    <x v="387"/>
    <x v="230"/>
    <m/>
    <x v="402"/>
    <x v="438"/>
    <m/>
    <x v="2"/>
    <x v="2"/>
    <m/>
    <n v="47.507179999999998"/>
    <n v="-22.74577"/>
    <m/>
    <m/>
  </r>
  <r>
    <s v="MG25213330005001MAM"/>
    <x v="0"/>
    <x v="0"/>
    <m/>
    <x v="4"/>
    <x v="4"/>
    <m/>
    <x v="11"/>
    <x v="11"/>
    <m/>
    <x v="75"/>
    <x v="75"/>
    <m/>
    <x v="388"/>
    <x v="231"/>
    <m/>
    <x v="403"/>
    <x v="439"/>
    <m/>
    <x v="2"/>
    <x v="2"/>
    <m/>
    <n v="47.507579999999997"/>
    <n v="-22.781300000000002"/>
    <m/>
    <m/>
  </r>
  <r>
    <s v="MG23209230007001MAM"/>
    <x v="0"/>
    <x v="0"/>
    <m/>
    <x v="0"/>
    <x v="0"/>
    <m/>
    <x v="14"/>
    <x v="14"/>
    <m/>
    <x v="76"/>
    <x v="76"/>
    <m/>
    <x v="389"/>
    <x v="232"/>
    <m/>
    <x v="404"/>
    <x v="440"/>
    <m/>
    <x v="2"/>
    <x v="2"/>
    <m/>
    <n v="47.556879000000002"/>
    <n v="-21.491142"/>
    <m/>
    <m/>
  </r>
  <r>
    <s v="MG23211092008001MAM"/>
    <x v="0"/>
    <x v="0"/>
    <m/>
    <x v="0"/>
    <x v="0"/>
    <m/>
    <x v="14"/>
    <x v="14"/>
    <m/>
    <x v="76"/>
    <x v="76"/>
    <m/>
    <x v="390"/>
    <x v="233"/>
    <m/>
    <x v="405"/>
    <x v="441"/>
    <m/>
    <x v="2"/>
    <x v="2"/>
    <m/>
    <n v="47.584029999999998"/>
    <n v="-21.520600000000002"/>
    <m/>
    <m/>
  </r>
  <r>
    <s v="MG23211012003001MAM"/>
    <x v="0"/>
    <x v="0"/>
    <m/>
    <x v="0"/>
    <x v="0"/>
    <m/>
    <x v="14"/>
    <x v="14"/>
    <m/>
    <x v="77"/>
    <x v="77"/>
    <m/>
    <x v="391"/>
    <x v="234"/>
    <m/>
    <x v="406"/>
    <x v="442"/>
    <m/>
    <x v="2"/>
    <x v="2"/>
    <m/>
    <n v="47.431699999999999"/>
    <n v="-21.925380000000001"/>
    <m/>
    <m/>
  </r>
  <r>
    <s v="MG23211012004001MAM"/>
    <x v="0"/>
    <x v="0"/>
    <m/>
    <x v="0"/>
    <x v="0"/>
    <m/>
    <x v="14"/>
    <x v="14"/>
    <m/>
    <x v="77"/>
    <x v="77"/>
    <m/>
    <x v="392"/>
    <x v="235"/>
    <m/>
    <x v="407"/>
    <x v="443"/>
    <m/>
    <x v="2"/>
    <x v="2"/>
    <m/>
    <n v="47.444249999999997"/>
    <n v="-21.931480000000001"/>
    <m/>
    <m/>
  </r>
  <r>
    <s v="MG23211012009001MAM"/>
    <x v="0"/>
    <x v="0"/>
    <m/>
    <x v="0"/>
    <x v="0"/>
    <m/>
    <x v="14"/>
    <x v="14"/>
    <m/>
    <x v="77"/>
    <x v="77"/>
    <m/>
    <x v="393"/>
    <x v="236"/>
    <m/>
    <x v="408"/>
    <x v="444"/>
    <m/>
    <x v="2"/>
    <x v="2"/>
    <m/>
    <n v="47.480719999999998"/>
    <n v="-21.986969999999999"/>
    <m/>
    <m/>
  </r>
  <r>
    <s v="MG23211012011001MAM"/>
    <x v="0"/>
    <x v="0"/>
    <m/>
    <x v="0"/>
    <x v="0"/>
    <m/>
    <x v="14"/>
    <x v="14"/>
    <m/>
    <x v="77"/>
    <x v="77"/>
    <m/>
    <x v="394"/>
    <x v="237"/>
    <m/>
    <x v="409"/>
    <x v="445"/>
    <m/>
    <x v="2"/>
    <x v="2"/>
    <m/>
    <n v="47.451014000000001"/>
    <n v="-21.937131000000001"/>
    <m/>
    <m/>
  </r>
  <r>
    <s v="MG52516050005001MAM"/>
    <x v="5"/>
    <x v="5"/>
    <m/>
    <x v="2"/>
    <x v="2"/>
    <m/>
    <x v="6"/>
    <x v="6"/>
    <m/>
    <x v="78"/>
    <x v="78"/>
    <m/>
    <x v="395"/>
    <x v="238"/>
    <m/>
    <x v="410"/>
    <x v="446"/>
    <m/>
    <x v="2"/>
    <x v="2"/>
    <m/>
    <n v="45.911900000000003"/>
    <n v="-25.25722"/>
    <m/>
    <m/>
  </r>
  <r>
    <s v="MG52516050009001MAM"/>
    <x v="5"/>
    <x v="5"/>
    <m/>
    <x v="2"/>
    <x v="2"/>
    <m/>
    <x v="6"/>
    <x v="6"/>
    <m/>
    <x v="78"/>
    <x v="78"/>
    <m/>
    <x v="396"/>
    <x v="239"/>
    <m/>
    <x v="411"/>
    <x v="447"/>
    <m/>
    <x v="2"/>
    <x v="2"/>
    <m/>
    <n v="45.944319999999998"/>
    <n v="-25.260079999999999"/>
    <m/>
    <m/>
  </r>
  <r>
    <s v="MG52516050019001MAM"/>
    <x v="5"/>
    <x v="5"/>
    <m/>
    <x v="2"/>
    <x v="2"/>
    <m/>
    <x v="6"/>
    <x v="6"/>
    <m/>
    <x v="78"/>
    <x v="78"/>
    <m/>
    <x v="397"/>
    <x v="240"/>
    <m/>
    <x v="412"/>
    <x v="448"/>
    <m/>
    <x v="2"/>
    <x v="2"/>
    <m/>
    <n v="45.7211"/>
    <n v="-25.419029999999999"/>
    <m/>
    <m/>
  </r>
  <r>
    <s v="MG52516050057001MAM"/>
    <x v="5"/>
    <x v="5"/>
    <m/>
    <x v="2"/>
    <x v="2"/>
    <m/>
    <x v="6"/>
    <x v="6"/>
    <m/>
    <x v="78"/>
    <x v="78"/>
    <m/>
    <x v="398"/>
    <x v="241"/>
    <m/>
    <x v="413"/>
    <x v="449"/>
    <m/>
    <x v="2"/>
    <x v="2"/>
    <m/>
    <n v="45.929450000000003"/>
    <n v="-25.226179999999999"/>
    <m/>
    <m/>
  </r>
  <r>
    <s v="MG52516050058001MAM"/>
    <x v="5"/>
    <x v="5"/>
    <m/>
    <x v="2"/>
    <x v="2"/>
    <m/>
    <x v="6"/>
    <x v="6"/>
    <m/>
    <x v="79"/>
    <x v="79"/>
    <m/>
    <x v="399"/>
    <x v="242"/>
    <m/>
    <x v="414"/>
    <x v="450"/>
    <m/>
    <x v="2"/>
    <x v="2"/>
    <m/>
    <n v="45.817329999999998"/>
    <n v="-25.21893"/>
    <m/>
    <m/>
  </r>
  <r>
    <s v="MG52516050059001MAM"/>
    <x v="5"/>
    <x v="5"/>
    <m/>
    <x v="2"/>
    <x v="2"/>
    <m/>
    <x v="6"/>
    <x v="6"/>
    <m/>
    <x v="79"/>
    <x v="79"/>
    <m/>
    <x v="400"/>
    <x v="243"/>
    <m/>
    <x v="415"/>
    <x v="451"/>
    <m/>
    <x v="2"/>
    <x v="2"/>
    <m/>
    <n v="45.845680000000002"/>
    <n v="-25.318529999999999"/>
    <m/>
    <m/>
  </r>
  <r>
    <s v="MG52516050060001MAM"/>
    <x v="5"/>
    <x v="5"/>
    <m/>
    <x v="2"/>
    <x v="2"/>
    <m/>
    <x v="6"/>
    <x v="6"/>
    <m/>
    <x v="79"/>
    <x v="79"/>
    <m/>
    <x v="401"/>
    <x v="244"/>
    <m/>
    <x v="416"/>
    <x v="452"/>
    <m/>
    <x v="2"/>
    <x v="2"/>
    <m/>
    <n v="45.822899999999997"/>
    <n v="-25.215229999999998"/>
    <m/>
    <m/>
  </r>
  <r>
    <s v="MG52516091005001MAM"/>
    <x v="5"/>
    <x v="5"/>
    <m/>
    <x v="2"/>
    <x v="2"/>
    <m/>
    <x v="6"/>
    <x v="6"/>
    <m/>
    <x v="79"/>
    <x v="79"/>
    <m/>
    <x v="21"/>
    <x v="245"/>
    <m/>
    <x v="417"/>
    <x v="453"/>
    <m/>
    <x v="2"/>
    <x v="2"/>
    <m/>
    <n v="45.805860000000003"/>
    <n v="-25.233515000000001"/>
    <m/>
    <m/>
  </r>
  <r>
    <s v="MG52516091057001MAM"/>
    <x v="5"/>
    <x v="5"/>
    <m/>
    <x v="2"/>
    <x v="2"/>
    <m/>
    <x v="6"/>
    <x v="6"/>
    <m/>
    <x v="79"/>
    <x v="79"/>
    <m/>
    <x v="402"/>
    <x v="246"/>
    <m/>
    <x v="418"/>
    <x v="454"/>
    <m/>
    <x v="2"/>
    <x v="2"/>
    <m/>
    <n v="45.894849999999998"/>
    <n v="-25.280149999999999"/>
    <m/>
    <m/>
  </r>
  <r>
    <s v="MG53519050019001MAM"/>
    <x v="5"/>
    <x v="5"/>
    <m/>
    <x v="2"/>
    <x v="2"/>
    <m/>
    <x v="6"/>
    <x v="6"/>
    <m/>
    <x v="79"/>
    <x v="79"/>
    <m/>
    <x v="403"/>
    <x v="247"/>
    <m/>
    <x v="419"/>
    <x v="455"/>
    <m/>
    <x v="2"/>
    <x v="2"/>
    <m/>
    <n v="46.43168"/>
    <n v="-25.14508"/>
    <m/>
    <m/>
  </r>
  <r>
    <s v="MG25214211012001MAM"/>
    <x v="0"/>
    <x v="0"/>
    <m/>
    <x v="4"/>
    <x v="4"/>
    <m/>
    <x v="10"/>
    <x v="10"/>
    <m/>
    <x v="80"/>
    <x v="80"/>
    <m/>
    <x v="404"/>
    <x v="248"/>
    <m/>
    <x v="420"/>
    <x v="456"/>
    <m/>
    <x v="2"/>
    <x v="2"/>
    <m/>
    <n v="47.274630000000002"/>
    <n v="-23.47167"/>
    <m/>
    <m/>
  </r>
  <r>
    <s v="MG53517331004001MAM"/>
    <x v="0"/>
    <x v="0"/>
    <m/>
    <x v="4"/>
    <x v="4"/>
    <m/>
    <x v="10"/>
    <x v="10"/>
    <m/>
    <x v="80"/>
    <x v="80"/>
    <m/>
    <x v="405"/>
    <x v="249"/>
    <m/>
    <x v="421"/>
    <x v="457"/>
    <m/>
    <x v="2"/>
    <x v="2"/>
    <m/>
    <n v="47.200879999999998"/>
    <n v="-23.411819999999999"/>
    <m/>
    <m/>
  </r>
  <r>
    <s v="MG41407091005001MAM"/>
    <x v="1"/>
    <x v="1"/>
    <m/>
    <x v="1"/>
    <x v="1"/>
    <m/>
    <x v="1"/>
    <x v="1"/>
    <m/>
    <x v="81"/>
    <x v="81"/>
    <m/>
    <x v="406"/>
    <x v="250"/>
    <m/>
    <x v="422"/>
    <x v="458"/>
    <m/>
    <x v="2"/>
    <x v="2"/>
    <m/>
    <n v="44.962780000000002"/>
    <n v="-24.580169999999999"/>
    <m/>
    <m/>
  </r>
  <r>
    <s v="MG51506011023001MAM"/>
    <x v="1"/>
    <x v="1"/>
    <m/>
    <x v="1"/>
    <x v="1"/>
    <m/>
    <x v="1"/>
    <x v="1"/>
    <m/>
    <x v="81"/>
    <x v="81"/>
    <m/>
    <x v="407"/>
    <x v="251"/>
    <m/>
    <x v="423"/>
    <x v="459"/>
    <m/>
    <x v="2"/>
    <x v="2"/>
    <m/>
    <n v="44.933157000000001"/>
    <n v="-24.710844999999999"/>
    <m/>
    <m/>
  </r>
  <r>
    <s v="MG51507030001001MAM"/>
    <x v="1"/>
    <x v="1"/>
    <m/>
    <x v="1"/>
    <x v="1"/>
    <m/>
    <x v="1"/>
    <x v="1"/>
    <m/>
    <x v="81"/>
    <x v="81"/>
    <m/>
    <x v="408"/>
    <x v="252"/>
    <m/>
    <x v="424"/>
    <x v="460"/>
    <m/>
    <x v="2"/>
    <x v="2"/>
    <m/>
    <n v="44.63165"/>
    <n v="-24.77075"/>
    <m/>
    <m/>
  </r>
  <r>
    <s v="MG51507050001001MAM"/>
    <x v="1"/>
    <x v="1"/>
    <m/>
    <x v="1"/>
    <x v="1"/>
    <m/>
    <x v="1"/>
    <x v="1"/>
    <m/>
    <x v="81"/>
    <x v="81"/>
    <m/>
    <x v="409"/>
    <x v="253"/>
    <m/>
    <x v="425"/>
    <x v="461"/>
    <m/>
    <x v="2"/>
    <x v="2"/>
    <m/>
    <n v="44.948500000000003"/>
    <n v="-24.682120000000001"/>
    <m/>
    <m/>
  </r>
  <r>
    <s v="MG51507050002001MAM"/>
    <x v="1"/>
    <x v="1"/>
    <m/>
    <x v="1"/>
    <x v="1"/>
    <m/>
    <x v="1"/>
    <x v="1"/>
    <m/>
    <x v="81"/>
    <x v="81"/>
    <m/>
    <x v="410"/>
    <x v="254"/>
    <m/>
    <x v="426"/>
    <x v="462"/>
    <m/>
    <x v="2"/>
    <x v="2"/>
    <m/>
    <n v="45.043500000000002"/>
    <n v="-24.54917"/>
    <m/>
    <m/>
  </r>
  <r>
    <s v="MG51507050003001MAM"/>
    <x v="1"/>
    <x v="1"/>
    <m/>
    <x v="1"/>
    <x v="1"/>
    <m/>
    <x v="1"/>
    <x v="1"/>
    <m/>
    <x v="81"/>
    <x v="81"/>
    <m/>
    <x v="411"/>
    <x v="255"/>
    <m/>
    <x v="427"/>
    <x v="463"/>
    <m/>
    <x v="2"/>
    <x v="2"/>
    <m/>
    <n v="45.011780000000002"/>
    <n v="-24.522570000000002"/>
    <m/>
    <m/>
  </r>
  <r>
    <s v="MG51507050004001MAM"/>
    <x v="1"/>
    <x v="1"/>
    <m/>
    <x v="1"/>
    <x v="1"/>
    <m/>
    <x v="1"/>
    <x v="1"/>
    <m/>
    <x v="81"/>
    <x v="81"/>
    <m/>
    <x v="412"/>
    <x v="256"/>
    <m/>
    <x v="428"/>
    <x v="464"/>
    <m/>
    <x v="2"/>
    <x v="2"/>
    <m/>
    <n v="44.979750000000003"/>
    <n v="-24.568349999999999"/>
    <m/>
    <m/>
  </r>
  <r>
    <s v="MG51507050005001MAM"/>
    <x v="1"/>
    <x v="1"/>
    <m/>
    <x v="1"/>
    <x v="1"/>
    <m/>
    <x v="1"/>
    <x v="1"/>
    <m/>
    <x v="81"/>
    <x v="81"/>
    <m/>
    <x v="413"/>
    <x v="257"/>
    <m/>
    <x v="429"/>
    <x v="465"/>
    <m/>
    <x v="2"/>
    <x v="2"/>
    <m/>
    <n v="44.928919999999998"/>
    <n v="-24.56035"/>
    <m/>
    <m/>
  </r>
  <r>
    <s v="MG51507050006001MAM"/>
    <x v="1"/>
    <x v="1"/>
    <m/>
    <x v="1"/>
    <x v="1"/>
    <m/>
    <x v="1"/>
    <x v="1"/>
    <m/>
    <x v="81"/>
    <x v="81"/>
    <m/>
    <x v="414"/>
    <x v="258"/>
    <m/>
    <x v="430"/>
    <x v="466"/>
    <m/>
    <x v="2"/>
    <x v="2"/>
    <m/>
    <n v="44.950969999999998"/>
    <n v="-24.588280000000001"/>
    <m/>
    <m/>
  </r>
  <r>
    <s v="MG51507050007001MAM"/>
    <x v="1"/>
    <x v="1"/>
    <m/>
    <x v="1"/>
    <x v="1"/>
    <m/>
    <x v="1"/>
    <x v="1"/>
    <m/>
    <x v="81"/>
    <x v="81"/>
    <m/>
    <x v="415"/>
    <x v="259"/>
    <m/>
    <x v="431"/>
    <x v="467"/>
    <m/>
    <x v="2"/>
    <x v="2"/>
    <m/>
    <n v="44.927630000000001"/>
    <n v="-24.586220000000001"/>
    <m/>
    <m/>
  </r>
  <r>
    <s v="MG51507050009001MAM"/>
    <x v="1"/>
    <x v="1"/>
    <m/>
    <x v="1"/>
    <x v="1"/>
    <m/>
    <x v="1"/>
    <x v="1"/>
    <m/>
    <x v="81"/>
    <x v="81"/>
    <m/>
    <x v="416"/>
    <x v="260"/>
    <m/>
    <x v="432"/>
    <x v="468"/>
    <m/>
    <x v="2"/>
    <x v="2"/>
    <m/>
    <n v="45.007199999999997"/>
    <n v="-24.614899999999999"/>
    <m/>
    <m/>
  </r>
  <r>
    <s v="MG51507050012001MAM"/>
    <x v="1"/>
    <x v="1"/>
    <m/>
    <x v="1"/>
    <x v="1"/>
    <m/>
    <x v="1"/>
    <x v="1"/>
    <m/>
    <x v="81"/>
    <x v="81"/>
    <m/>
    <x v="417"/>
    <x v="261"/>
    <m/>
    <x v="433"/>
    <x v="469"/>
    <m/>
    <x v="2"/>
    <x v="2"/>
    <m/>
    <n v="44.979050000000001"/>
    <n v="-24.646550000000001"/>
    <m/>
    <m/>
  </r>
  <r>
    <s v="MG51507050013001MAM"/>
    <x v="1"/>
    <x v="1"/>
    <m/>
    <x v="1"/>
    <x v="1"/>
    <m/>
    <x v="1"/>
    <x v="1"/>
    <m/>
    <x v="81"/>
    <x v="81"/>
    <m/>
    <x v="418"/>
    <x v="262"/>
    <m/>
    <x v="434"/>
    <x v="470"/>
    <m/>
    <x v="2"/>
    <x v="2"/>
    <m/>
    <n v="44.947000000000003"/>
    <n v="-24.690380000000001"/>
    <m/>
    <m/>
  </r>
  <r>
    <s v="MG51507050009002MAM"/>
    <x v="1"/>
    <x v="1"/>
    <m/>
    <x v="1"/>
    <x v="1"/>
    <m/>
    <x v="1"/>
    <x v="1"/>
    <m/>
    <x v="81"/>
    <x v="81"/>
    <m/>
    <x v="416"/>
    <x v="260"/>
    <m/>
    <x v="435"/>
    <x v="471"/>
    <m/>
    <x v="2"/>
    <x v="2"/>
    <m/>
    <n v="45.007199999999997"/>
    <n v="-24.614899999999999"/>
    <m/>
    <m/>
  </r>
  <r>
    <s v="MG51507050015001MAM"/>
    <x v="1"/>
    <x v="1"/>
    <m/>
    <x v="1"/>
    <x v="1"/>
    <m/>
    <x v="1"/>
    <x v="1"/>
    <m/>
    <x v="81"/>
    <x v="81"/>
    <m/>
    <x v="419"/>
    <x v="263"/>
    <m/>
    <x v="436"/>
    <x v="472"/>
    <m/>
    <x v="2"/>
    <x v="2"/>
    <m/>
    <n v="45.022219999999997"/>
    <n v="-24.73385"/>
    <m/>
    <m/>
  </r>
  <r>
    <s v="MG51507050016001MAM"/>
    <x v="1"/>
    <x v="1"/>
    <m/>
    <x v="1"/>
    <x v="1"/>
    <m/>
    <x v="1"/>
    <x v="1"/>
    <m/>
    <x v="81"/>
    <x v="81"/>
    <m/>
    <x v="420"/>
    <x v="264"/>
    <m/>
    <x v="437"/>
    <x v="473"/>
    <m/>
    <x v="2"/>
    <x v="2"/>
    <m/>
    <n v="44.9587"/>
    <n v="-24.764399999999998"/>
    <m/>
    <m/>
  </r>
  <r>
    <s v="MG51507050017001MAM"/>
    <x v="1"/>
    <x v="1"/>
    <m/>
    <x v="1"/>
    <x v="1"/>
    <m/>
    <x v="1"/>
    <x v="1"/>
    <m/>
    <x v="81"/>
    <x v="81"/>
    <m/>
    <x v="421"/>
    <x v="265"/>
    <m/>
    <x v="438"/>
    <x v="474"/>
    <m/>
    <x v="2"/>
    <x v="2"/>
    <m/>
    <n v="44.975349999999999"/>
    <n v="-24.770099999999999"/>
    <m/>
    <m/>
  </r>
  <r>
    <s v="MG51507050018001MAM"/>
    <x v="1"/>
    <x v="1"/>
    <m/>
    <x v="1"/>
    <x v="1"/>
    <m/>
    <x v="1"/>
    <x v="1"/>
    <m/>
    <x v="81"/>
    <x v="81"/>
    <m/>
    <x v="422"/>
    <x v="266"/>
    <m/>
    <x v="439"/>
    <x v="475"/>
    <m/>
    <x v="2"/>
    <x v="2"/>
    <m/>
    <n v="45.040280000000003"/>
    <n v="-24.638680000000001"/>
    <m/>
    <m/>
  </r>
  <r>
    <s v="MG51507050019001MAM"/>
    <x v="1"/>
    <x v="1"/>
    <m/>
    <x v="1"/>
    <x v="1"/>
    <m/>
    <x v="1"/>
    <x v="1"/>
    <m/>
    <x v="81"/>
    <x v="81"/>
    <m/>
    <x v="423"/>
    <x v="267"/>
    <m/>
    <x v="440"/>
    <x v="476"/>
    <m/>
    <x v="2"/>
    <x v="2"/>
    <m/>
    <n v="44.9604"/>
    <n v="-24.770630000000001"/>
    <m/>
    <m/>
  </r>
  <r>
    <s v="MG51507050020001MAM"/>
    <x v="1"/>
    <x v="1"/>
    <m/>
    <x v="1"/>
    <x v="1"/>
    <m/>
    <x v="1"/>
    <x v="1"/>
    <m/>
    <x v="81"/>
    <x v="81"/>
    <m/>
    <x v="424"/>
    <x v="268"/>
    <m/>
    <x v="441"/>
    <x v="477"/>
    <m/>
    <x v="2"/>
    <x v="2"/>
    <m/>
    <n v="44.919350000000001"/>
    <n v="-24.842099999999999"/>
    <m/>
    <m/>
  </r>
  <r>
    <s v="MG51507050022001MAM"/>
    <x v="1"/>
    <x v="1"/>
    <m/>
    <x v="1"/>
    <x v="1"/>
    <m/>
    <x v="1"/>
    <x v="1"/>
    <m/>
    <x v="81"/>
    <x v="81"/>
    <m/>
    <x v="425"/>
    <x v="269"/>
    <m/>
    <x v="442"/>
    <x v="478"/>
    <m/>
    <x v="2"/>
    <x v="2"/>
    <m/>
    <n v="44.898980000000002"/>
    <n v="-24.90532"/>
    <m/>
    <m/>
  </r>
  <r>
    <s v="MG51507050024001MAM"/>
    <x v="1"/>
    <x v="1"/>
    <m/>
    <x v="1"/>
    <x v="1"/>
    <m/>
    <x v="1"/>
    <x v="1"/>
    <m/>
    <x v="81"/>
    <x v="81"/>
    <m/>
    <x v="410"/>
    <x v="254"/>
    <m/>
    <x v="443"/>
    <x v="479"/>
    <m/>
    <x v="2"/>
    <x v="2"/>
    <m/>
    <n v="45.063249999999996"/>
    <n v="-24.57123"/>
    <m/>
    <m/>
  </r>
  <r>
    <s v="MG51507050025001MAM"/>
    <x v="1"/>
    <x v="1"/>
    <m/>
    <x v="1"/>
    <x v="1"/>
    <m/>
    <x v="1"/>
    <x v="1"/>
    <m/>
    <x v="81"/>
    <x v="81"/>
    <m/>
    <x v="426"/>
    <x v="270"/>
    <m/>
    <x v="444"/>
    <x v="480"/>
    <m/>
    <x v="2"/>
    <x v="2"/>
    <m/>
    <n v="44.982500000000002"/>
    <n v="-24.700230000000001"/>
    <m/>
    <m/>
  </r>
  <r>
    <s v="MG51507050026001MAM"/>
    <x v="1"/>
    <x v="1"/>
    <m/>
    <x v="1"/>
    <x v="1"/>
    <m/>
    <x v="1"/>
    <x v="1"/>
    <m/>
    <x v="81"/>
    <x v="81"/>
    <m/>
    <x v="427"/>
    <x v="271"/>
    <m/>
    <x v="445"/>
    <x v="481"/>
    <m/>
    <x v="2"/>
    <x v="2"/>
    <m/>
    <n v="44.849119999999999"/>
    <n v="-24.903849999999998"/>
    <m/>
    <m/>
  </r>
  <r>
    <s v="MG51507050027001MAM"/>
    <x v="1"/>
    <x v="1"/>
    <m/>
    <x v="1"/>
    <x v="1"/>
    <m/>
    <x v="1"/>
    <x v="1"/>
    <m/>
    <x v="81"/>
    <x v="81"/>
    <m/>
    <x v="428"/>
    <x v="272"/>
    <m/>
    <x v="446"/>
    <x v="482"/>
    <m/>
    <x v="2"/>
    <x v="2"/>
    <m/>
    <n v="45.032380000000003"/>
    <n v="-24.6311"/>
    <m/>
    <m/>
  </r>
  <r>
    <s v="MG51507050028001MAM"/>
    <x v="1"/>
    <x v="1"/>
    <m/>
    <x v="1"/>
    <x v="1"/>
    <m/>
    <x v="1"/>
    <x v="1"/>
    <m/>
    <x v="81"/>
    <x v="81"/>
    <m/>
    <x v="429"/>
    <x v="273"/>
    <m/>
    <x v="447"/>
    <x v="483"/>
    <m/>
    <x v="2"/>
    <x v="2"/>
    <m/>
    <n v="44.912120000000002"/>
    <n v="-24.60707"/>
    <m/>
    <m/>
  </r>
  <r>
    <s v="MG51507050029001MAM"/>
    <x v="1"/>
    <x v="1"/>
    <m/>
    <x v="1"/>
    <x v="1"/>
    <m/>
    <x v="1"/>
    <x v="1"/>
    <m/>
    <x v="81"/>
    <x v="81"/>
    <m/>
    <x v="430"/>
    <x v="274"/>
    <m/>
    <x v="448"/>
    <x v="484"/>
    <m/>
    <x v="2"/>
    <x v="2"/>
    <m/>
    <n v="45.045879999999997"/>
    <n v="-24.68075"/>
    <m/>
    <m/>
  </r>
  <r>
    <s v="MG51507050030001MAM"/>
    <x v="1"/>
    <x v="1"/>
    <m/>
    <x v="1"/>
    <x v="1"/>
    <m/>
    <x v="1"/>
    <x v="1"/>
    <m/>
    <x v="81"/>
    <x v="81"/>
    <m/>
    <x v="431"/>
    <x v="275"/>
    <m/>
    <x v="449"/>
    <x v="485"/>
    <m/>
    <x v="2"/>
    <x v="2"/>
    <m/>
    <n v="45.012970000000003"/>
    <n v="-24.668600000000001"/>
    <m/>
    <m/>
  </r>
  <r>
    <s v="MG51507050045001MAM"/>
    <x v="1"/>
    <x v="1"/>
    <m/>
    <x v="1"/>
    <x v="1"/>
    <m/>
    <x v="1"/>
    <x v="1"/>
    <m/>
    <x v="81"/>
    <x v="81"/>
    <m/>
    <x v="432"/>
    <x v="276"/>
    <m/>
    <x v="450"/>
    <x v="486"/>
    <m/>
    <x v="2"/>
    <x v="2"/>
    <m/>
    <n v="44.941110999999999"/>
    <n v="-24.815466000000001"/>
    <m/>
    <m/>
  </r>
  <r>
    <s v="MG51507050059001MAM"/>
    <x v="1"/>
    <x v="1"/>
    <m/>
    <x v="1"/>
    <x v="1"/>
    <m/>
    <x v="1"/>
    <x v="1"/>
    <m/>
    <x v="81"/>
    <x v="81"/>
    <m/>
    <x v="433"/>
    <x v="277"/>
    <m/>
    <x v="451"/>
    <x v="487"/>
    <m/>
    <x v="2"/>
    <x v="2"/>
    <m/>
    <n v="45.014484000000003"/>
    <n v="-24.647880000000001"/>
    <m/>
    <m/>
  </r>
  <r>
    <s v="MG51507050067001MAM"/>
    <x v="1"/>
    <x v="1"/>
    <m/>
    <x v="1"/>
    <x v="1"/>
    <m/>
    <x v="1"/>
    <x v="1"/>
    <m/>
    <x v="81"/>
    <x v="81"/>
    <m/>
    <x v="434"/>
    <x v="278"/>
    <m/>
    <x v="452"/>
    <x v="488"/>
    <m/>
    <x v="2"/>
    <x v="2"/>
    <m/>
    <n v="45.042079999999999"/>
    <n v="-24.69462"/>
    <m/>
    <m/>
  </r>
  <r>
    <s v="MG51507050089001MAM"/>
    <x v="1"/>
    <x v="1"/>
    <m/>
    <x v="1"/>
    <x v="1"/>
    <m/>
    <x v="1"/>
    <x v="1"/>
    <m/>
    <x v="81"/>
    <x v="81"/>
    <m/>
    <x v="435"/>
    <x v="279"/>
    <m/>
    <x v="453"/>
    <x v="489"/>
    <m/>
    <x v="2"/>
    <x v="2"/>
    <m/>
    <n v="44.982500000000002"/>
    <n v="-24.700230000000001"/>
    <m/>
    <m/>
  </r>
  <r>
    <s v="MG51507050092001MAM"/>
    <x v="1"/>
    <x v="1"/>
    <m/>
    <x v="1"/>
    <x v="1"/>
    <m/>
    <x v="1"/>
    <x v="1"/>
    <m/>
    <x v="81"/>
    <x v="81"/>
    <m/>
    <x v="436"/>
    <x v="280"/>
    <m/>
    <x v="454"/>
    <x v="490"/>
    <m/>
    <x v="2"/>
    <x v="2"/>
    <m/>
    <n v="45.021078000000003"/>
    <n v="-24.576871000000001"/>
    <m/>
    <m/>
  </r>
  <r>
    <s v="MG51507050015002MAM"/>
    <x v="1"/>
    <x v="1"/>
    <m/>
    <x v="1"/>
    <x v="1"/>
    <m/>
    <x v="1"/>
    <x v="1"/>
    <m/>
    <x v="81"/>
    <x v="81"/>
    <m/>
    <x v="419"/>
    <x v="263"/>
    <m/>
    <x v="455"/>
    <x v="491"/>
    <m/>
    <x v="2"/>
    <x v="2"/>
    <m/>
    <n v="45.022219999999997"/>
    <n v="-24.73385"/>
    <m/>
    <m/>
  </r>
  <r>
    <s v="MG51507170001001MAM"/>
    <x v="1"/>
    <x v="1"/>
    <m/>
    <x v="1"/>
    <x v="1"/>
    <m/>
    <x v="1"/>
    <x v="1"/>
    <m/>
    <x v="81"/>
    <x v="81"/>
    <m/>
    <x v="437"/>
    <x v="281"/>
    <m/>
    <x v="456"/>
    <x v="492"/>
    <m/>
    <x v="2"/>
    <x v="2"/>
    <m/>
    <n v="44.923999999999999"/>
    <n v="-24.357119999999998"/>
    <m/>
    <m/>
  </r>
  <r>
    <s v="MG51507250015001MAM"/>
    <x v="1"/>
    <x v="1"/>
    <m/>
    <x v="1"/>
    <x v="1"/>
    <m/>
    <x v="1"/>
    <x v="1"/>
    <m/>
    <x v="81"/>
    <x v="81"/>
    <m/>
    <x v="61"/>
    <x v="282"/>
    <m/>
    <x v="457"/>
    <x v="493"/>
    <m/>
    <x v="2"/>
    <x v="2"/>
    <m/>
    <n v="44.79815"/>
    <n v="-24.117049999999999"/>
    <m/>
    <m/>
  </r>
  <r>
    <s v="MG52516151011001MAM"/>
    <x v="1"/>
    <x v="1"/>
    <m/>
    <x v="1"/>
    <x v="1"/>
    <m/>
    <x v="1"/>
    <x v="1"/>
    <m/>
    <x v="81"/>
    <x v="81"/>
    <m/>
    <x v="438"/>
    <x v="283"/>
    <m/>
    <x v="458"/>
    <x v="494"/>
    <m/>
    <x v="2"/>
    <x v="2"/>
    <m/>
    <n v="44.935859999999998"/>
    <n v="-24.605993999999999"/>
    <m/>
    <m/>
  </r>
  <r>
    <s v="MG52518091006001MAM"/>
    <x v="1"/>
    <x v="1"/>
    <m/>
    <x v="1"/>
    <x v="1"/>
    <m/>
    <x v="1"/>
    <x v="1"/>
    <m/>
    <x v="81"/>
    <x v="81"/>
    <m/>
    <x v="439"/>
    <x v="284"/>
    <m/>
    <x v="459"/>
    <x v="495"/>
    <m/>
    <x v="2"/>
    <x v="2"/>
    <m/>
    <n v="45.075597999999999"/>
    <n v="-24.541508"/>
    <m/>
    <m/>
  </r>
  <r>
    <s v="MG53519250003001MAM"/>
    <x v="1"/>
    <x v="1"/>
    <m/>
    <x v="1"/>
    <x v="1"/>
    <m/>
    <x v="1"/>
    <x v="1"/>
    <m/>
    <x v="81"/>
    <x v="81"/>
    <m/>
    <x v="440"/>
    <x v="285"/>
    <m/>
    <x v="460"/>
    <x v="496"/>
    <m/>
    <x v="2"/>
    <x v="2"/>
    <m/>
    <n v="44.956952000000001"/>
    <n v="-24.721315000000001"/>
    <m/>
    <m/>
  </r>
  <r>
    <s v="MG53519250065001MAM"/>
    <x v="1"/>
    <x v="1"/>
    <m/>
    <x v="1"/>
    <x v="1"/>
    <m/>
    <x v="1"/>
    <x v="1"/>
    <m/>
    <x v="81"/>
    <x v="81"/>
    <m/>
    <x v="441"/>
    <x v="286"/>
    <m/>
    <x v="461"/>
    <x v="497"/>
    <m/>
    <x v="2"/>
    <x v="2"/>
    <m/>
    <n v="44.953449999999997"/>
    <n v="-24.649280000000001"/>
    <m/>
    <m/>
  </r>
  <r>
    <s v="MG53519250066001MAM"/>
    <x v="1"/>
    <x v="1"/>
    <m/>
    <x v="1"/>
    <x v="1"/>
    <m/>
    <x v="1"/>
    <x v="1"/>
    <m/>
    <x v="81"/>
    <x v="81"/>
    <m/>
    <x v="442"/>
    <x v="287"/>
    <m/>
    <x v="462"/>
    <x v="498"/>
    <m/>
    <x v="2"/>
    <x v="2"/>
    <m/>
    <n v="45.069450000000003"/>
    <n v="-24.501580000000001"/>
    <m/>
    <m/>
  </r>
  <r>
    <s v="MG53519250067001MAM"/>
    <x v="1"/>
    <x v="1"/>
    <m/>
    <x v="1"/>
    <x v="1"/>
    <m/>
    <x v="1"/>
    <x v="1"/>
    <m/>
    <x v="81"/>
    <x v="81"/>
    <m/>
    <x v="443"/>
    <x v="288"/>
    <m/>
    <x v="463"/>
    <x v="499"/>
    <m/>
    <x v="2"/>
    <x v="2"/>
    <m/>
    <n v="45.027549999999998"/>
    <n v="-24.60163"/>
    <m/>
    <m/>
  </r>
  <r>
    <s v="MG53519250068001MAM"/>
    <x v="1"/>
    <x v="1"/>
    <m/>
    <x v="1"/>
    <x v="1"/>
    <m/>
    <x v="1"/>
    <x v="1"/>
    <m/>
    <x v="81"/>
    <x v="81"/>
    <m/>
    <x v="444"/>
    <x v="289"/>
    <m/>
    <x v="464"/>
    <x v="500"/>
    <m/>
    <x v="2"/>
    <x v="2"/>
    <m/>
    <n v="45.047130000000003"/>
    <n v="-24.717980000000001"/>
    <m/>
    <m/>
  </r>
  <r>
    <s v="MG53519250069001MAM"/>
    <x v="1"/>
    <x v="1"/>
    <m/>
    <x v="1"/>
    <x v="1"/>
    <m/>
    <x v="1"/>
    <x v="1"/>
    <m/>
    <x v="81"/>
    <x v="81"/>
    <m/>
    <x v="445"/>
    <x v="290"/>
    <m/>
    <x v="465"/>
    <x v="501"/>
    <m/>
    <x v="2"/>
    <x v="2"/>
    <m/>
    <n v="44.948500000000003"/>
    <n v="-24.682120000000001"/>
    <m/>
    <m/>
  </r>
  <r>
    <s v="MG53519250070001MAM"/>
    <x v="1"/>
    <x v="1"/>
    <m/>
    <x v="1"/>
    <x v="1"/>
    <m/>
    <x v="1"/>
    <x v="1"/>
    <m/>
    <x v="81"/>
    <x v="81"/>
    <m/>
    <x v="446"/>
    <x v="291"/>
    <m/>
    <x v="466"/>
    <x v="502"/>
    <m/>
    <x v="2"/>
    <x v="2"/>
    <m/>
    <n v="44.968429999999998"/>
    <n v="-24.636849999999999"/>
    <m/>
    <m/>
  </r>
  <r>
    <s v="MG25214190003001MAM"/>
    <x v="5"/>
    <x v="5"/>
    <m/>
    <x v="2"/>
    <x v="2"/>
    <m/>
    <x v="6"/>
    <x v="6"/>
    <m/>
    <x v="82"/>
    <x v="82"/>
    <m/>
    <x v="447"/>
    <x v="292"/>
    <m/>
    <x v="467"/>
    <x v="503"/>
    <m/>
    <x v="2"/>
    <x v="2"/>
    <m/>
    <n v="46.108899999999998"/>
    <n v="-25.158819999999999"/>
    <m/>
    <m/>
  </r>
  <r>
    <s v="MG52516011013001MAM"/>
    <x v="5"/>
    <x v="5"/>
    <m/>
    <x v="2"/>
    <x v="2"/>
    <m/>
    <x v="6"/>
    <x v="6"/>
    <m/>
    <x v="82"/>
    <x v="82"/>
    <m/>
    <x v="448"/>
    <x v="293"/>
    <m/>
    <x v="468"/>
    <x v="504"/>
    <m/>
    <x v="2"/>
    <x v="2"/>
    <m/>
    <n v="46.136049999999997"/>
    <n v="-25.19125"/>
    <m/>
    <m/>
  </r>
  <r>
    <s v="MG52516011015001MAM"/>
    <x v="5"/>
    <x v="5"/>
    <m/>
    <x v="2"/>
    <x v="2"/>
    <m/>
    <x v="6"/>
    <x v="6"/>
    <m/>
    <x v="82"/>
    <x v="82"/>
    <m/>
    <x v="449"/>
    <x v="294"/>
    <m/>
    <x v="469"/>
    <x v="505"/>
    <m/>
    <x v="2"/>
    <x v="2"/>
    <m/>
    <n v="46.148150000000001"/>
    <n v="-25.191179999999999"/>
    <m/>
    <m/>
  </r>
  <r>
    <s v="MG52516011020001MAM"/>
    <x v="5"/>
    <x v="5"/>
    <m/>
    <x v="2"/>
    <x v="2"/>
    <m/>
    <x v="6"/>
    <x v="6"/>
    <m/>
    <x v="82"/>
    <x v="82"/>
    <m/>
    <x v="235"/>
    <x v="295"/>
    <m/>
    <x v="470"/>
    <x v="506"/>
    <m/>
    <x v="2"/>
    <x v="2"/>
    <m/>
    <n v="46.094982000000002"/>
    <n v="-25.045247"/>
    <m/>
    <m/>
  </r>
  <r>
    <s v="MG52516011025001MAM"/>
    <x v="5"/>
    <x v="5"/>
    <m/>
    <x v="2"/>
    <x v="2"/>
    <m/>
    <x v="6"/>
    <x v="6"/>
    <m/>
    <x v="82"/>
    <x v="82"/>
    <m/>
    <x v="450"/>
    <x v="296"/>
    <m/>
    <x v="471"/>
    <x v="507"/>
    <m/>
    <x v="2"/>
    <x v="2"/>
    <m/>
    <n v="46.178649999999998"/>
    <n v="-25.189330000000002"/>
    <m/>
    <m/>
  </r>
  <r>
    <s v="MG52516011033001MAM"/>
    <x v="5"/>
    <x v="5"/>
    <m/>
    <x v="2"/>
    <x v="2"/>
    <m/>
    <x v="6"/>
    <x v="6"/>
    <m/>
    <x v="82"/>
    <x v="82"/>
    <m/>
    <x v="451"/>
    <x v="297"/>
    <m/>
    <x v="472"/>
    <x v="508"/>
    <m/>
    <x v="2"/>
    <x v="2"/>
    <m/>
    <n v="46.078980000000001"/>
    <n v="-24.94115"/>
    <m/>
    <m/>
  </r>
  <r>
    <s v="MG52516011037001MAM"/>
    <x v="5"/>
    <x v="5"/>
    <m/>
    <x v="2"/>
    <x v="2"/>
    <m/>
    <x v="6"/>
    <x v="6"/>
    <m/>
    <x v="82"/>
    <x v="82"/>
    <m/>
    <x v="452"/>
    <x v="298"/>
    <m/>
    <x v="473"/>
    <x v="509"/>
    <m/>
    <x v="2"/>
    <x v="2"/>
    <m/>
    <n v="46.125900000000001"/>
    <n v="-25.062529999999999"/>
    <m/>
    <m/>
  </r>
  <r>
    <s v="MG52516011039001MAM"/>
    <x v="5"/>
    <x v="5"/>
    <m/>
    <x v="2"/>
    <x v="2"/>
    <m/>
    <x v="6"/>
    <x v="6"/>
    <m/>
    <x v="82"/>
    <x v="82"/>
    <m/>
    <x v="453"/>
    <x v="299"/>
    <m/>
    <x v="474"/>
    <x v="510"/>
    <m/>
    <x v="2"/>
    <x v="2"/>
    <m/>
    <n v="46.129980000000003"/>
    <n v="-25.143450000000001"/>
    <m/>
    <m/>
  </r>
  <r>
    <s v="MG52516011042001MAM"/>
    <x v="5"/>
    <x v="5"/>
    <m/>
    <x v="2"/>
    <x v="2"/>
    <m/>
    <x v="6"/>
    <x v="6"/>
    <m/>
    <x v="82"/>
    <x v="82"/>
    <m/>
    <x v="454"/>
    <x v="300"/>
    <m/>
    <x v="475"/>
    <x v="511"/>
    <m/>
    <x v="2"/>
    <x v="2"/>
    <m/>
    <n v="46.126019999999997"/>
    <n v="-25.212499999999999"/>
    <m/>
    <m/>
  </r>
  <r>
    <s v="MG52516011054001MAM"/>
    <x v="5"/>
    <x v="5"/>
    <m/>
    <x v="2"/>
    <x v="2"/>
    <m/>
    <x v="6"/>
    <x v="6"/>
    <m/>
    <x v="82"/>
    <x v="82"/>
    <m/>
    <x v="455"/>
    <x v="301"/>
    <m/>
    <x v="476"/>
    <x v="512"/>
    <m/>
    <x v="2"/>
    <x v="2"/>
    <m/>
    <n v="46.092019999999998"/>
    <n v="-25.183299999999999"/>
    <m/>
    <m/>
  </r>
  <r>
    <s v="MG53515090005001MAM"/>
    <x v="5"/>
    <x v="5"/>
    <m/>
    <x v="2"/>
    <x v="2"/>
    <m/>
    <x v="6"/>
    <x v="6"/>
    <m/>
    <x v="82"/>
    <x v="82"/>
    <m/>
    <x v="456"/>
    <x v="302"/>
    <m/>
    <x v="477"/>
    <x v="513"/>
    <m/>
    <x v="2"/>
    <x v="2"/>
    <m/>
    <n v="46.091203999999998"/>
    <n v="-25.095255999999999"/>
    <m/>
    <m/>
  </r>
  <r>
    <s v="MG53515090078001MAM"/>
    <x v="5"/>
    <x v="5"/>
    <m/>
    <x v="2"/>
    <x v="2"/>
    <m/>
    <x v="6"/>
    <x v="6"/>
    <m/>
    <x v="82"/>
    <x v="82"/>
    <m/>
    <x v="457"/>
    <x v="303"/>
    <m/>
    <x v="478"/>
    <x v="514"/>
    <m/>
    <x v="2"/>
    <x v="2"/>
    <m/>
    <n v="46.141399999999997"/>
    <n v="-25.17672"/>
    <m/>
    <m/>
  </r>
  <r>
    <s v="MG53515090079001MAM"/>
    <x v="5"/>
    <x v="5"/>
    <m/>
    <x v="2"/>
    <x v="2"/>
    <m/>
    <x v="6"/>
    <x v="6"/>
    <m/>
    <x v="82"/>
    <x v="82"/>
    <m/>
    <x v="458"/>
    <x v="304"/>
    <m/>
    <x v="479"/>
    <x v="515"/>
    <m/>
    <x v="2"/>
    <x v="2"/>
    <m/>
    <n v="46.022649999999999"/>
    <n v="-25.268920000000001"/>
    <m/>
    <m/>
  </r>
  <r>
    <s v="MG53515090080001MAM"/>
    <x v="5"/>
    <x v="5"/>
    <m/>
    <x v="2"/>
    <x v="2"/>
    <m/>
    <x v="6"/>
    <x v="6"/>
    <m/>
    <x v="82"/>
    <x v="82"/>
    <m/>
    <x v="459"/>
    <x v="305"/>
    <m/>
    <x v="480"/>
    <x v="516"/>
    <m/>
    <x v="2"/>
    <x v="2"/>
    <m/>
    <n v="45.986080000000001"/>
    <n v="-24.826250000000002"/>
    <m/>
    <m/>
  </r>
  <r>
    <s v="MG53515090081001MAM"/>
    <x v="5"/>
    <x v="5"/>
    <m/>
    <x v="2"/>
    <x v="2"/>
    <m/>
    <x v="6"/>
    <x v="6"/>
    <m/>
    <x v="82"/>
    <x v="82"/>
    <m/>
    <x v="460"/>
    <x v="306"/>
    <m/>
    <x v="481"/>
    <x v="517"/>
    <m/>
    <x v="2"/>
    <x v="2"/>
    <m/>
    <n v="46.0762"/>
    <n v="-25.227699999999999"/>
    <m/>
    <m/>
  </r>
  <r>
    <s v="MG53515090082001MAM"/>
    <x v="5"/>
    <x v="5"/>
    <m/>
    <x v="2"/>
    <x v="2"/>
    <m/>
    <x v="6"/>
    <x v="6"/>
    <m/>
    <x v="82"/>
    <x v="82"/>
    <m/>
    <x v="461"/>
    <x v="307"/>
    <m/>
    <x v="482"/>
    <x v="518"/>
    <m/>
    <x v="2"/>
    <x v="2"/>
    <m/>
    <n v="46.05453"/>
    <n v="-25.10773"/>
    <m/>
    <m/>
  </r>
  <r>
    <s v="MG53515090083001MAM"/>
    <x v="5"/>
    <x v="5"/>
    <m/>
    <x v="2"/>
    <x v="2"/>
    <m/>
    <x v="6"/>
    <x v="6"/>
    <m/>
    <x v="82"/>
    <x v="82"/>
    <m/>
    <x v="462"/>
    <x v="308"/>
    <m/>
    <x v="483"/>
    <x v="519"/>
    <m/>
    <x v="2"/>
    <x v="2"/>
    <m/>
    <n v="46.14743"/>
    <n v="-25.13588"/>
    <m/>
    <m/>
  </r>
  <r>
    <s v="MG53515090084001MAM"/>
    <x v="5"/>
    <x v="5"/>
    <m/>
    <x v="2"/>
    <x v="2"/>
    <m/>
    <x v="6"/>
    <x v="6"/>
    <m/>
    <x v="82"/>
    <x v="82"/>
    <m/>
    <x v="463"/>
    <x v="309"/>
    <m/>
    <x v="484"/>
    <x v="520"/>
    <m/>
    <x v="2"/>
    <x v="2"/>
    <m/>
    <n v="46.090679999999999"/>
    <n v="-25.165430000000001"/>
    <m/>
    <m/>
  </r>
  <r>
    <s v="MG53515090085001MAM"/>
    <x v="5"/>
    <x v="5"/>
    <m/>
    <x v="2"/>
    <x v="2"/>
    <m/>
    <x v="6"/>
    <x v="6"/>
    <m/>
    <x v="82"/>
    <x v="82"/>
    <m/>
    <x v="464"/>
    <x v="310"/>
    <m/>
    <x v="485"/>
    <x v="521"/>
    <m/>
    <x v="2"/>
    <x v="2"/>
    <m/>
    <n v="46.116320000000002"/>
    <n v="-25.08738"/>
    <m/>
    <m/>
  </r>
  <r>
    <s v="MG53515090086001MAM"/>
    <x v="5"/>
    <x v="5"/>
    <m/>
    <x v="2"/>
    <x v="2"/>
    <m/>
    <x v="6"/>
    <x v="6"/>
    <m/>
    <x v="82"/>
    <x v="82"/>
    <m/>
    <x v="465"/>
    <x v="311"/>
    <m/>
    <x v="486"/>
    <x v="522"/>
    <m/>
    <x v="2"/>
    <x v="2"/>
    <m/>
    <n v="46.0608"/>
    <n v="-25.264949999999999"/>
    <m/>
    <m/>
  </r>
  <r>
    <s v="MG53515090087001MAM"/>
    <x v="5"/>
    <x v="5"/>
    <m/>
    <x v="2"/>
    <x v="2"/>
    <m/>
    <x v="6"/>
    <x v="6"/>
    <m/>
    <x v="82"/>
    <x v="82"/>
    <m/>
    <x v="466"/>
    <x v="312"/>
    <m/>
    <x v="487"/>
    <x v="523"/>
    <m/>
    <x v="2"/>
    <x v="2"/>
    <m/>
    <n v="46.140349999999998"/>
    <n v="-25.171849999999999"/>
    <m/>
    <m/>
  </r>
  <r>
    <s v="MG53515090088001MAM"/>
    <x v="5"/>
    <x v="5"/>
    <m/>
    <x v="2"/>
    <x v="2"/>
    <m/>
    <x v="6"/>
    <x v="6"/>
    <m/>
    <x v="82"/>
    <x v="82"/>
    <m/>
    <x v="467"/>
    <x v="313"/>
    <m/>
    <x v="488"/>
    <x v="524"/>
    <m/>
    <x v="2"/>
    <x v="2"/>
    <m/>
    <n v="46.099400000000003"/>
    <n v="-25.231030000000001"/>
    <m/>
    <m/>
  </r>
  <r>
    <s v="MG53515090089001MAM"/>
    <x v="5"/>
    <x v="5"/>
    <m/>
    <x v="2"/>
    <x v="2"/>
    <m/>
    <x v="6"/>
    <x v="6"/>
    <m/>
    <x v="82"/>
    <x v="82"/>
    <m/>
    <x v="468"/>
    <x v="314"/>
    <m/>
    <x v="489"/>
    <x v="525"/>
    <m/>
    <x v="2"/>
    <x v="2"/>
    <m/>
    <n v="46.112400000000001"/>
    <n v="-25.229649999999999"/>
    <m/>
    <m/>
  </r>
  <r>
    <s v="MG53515090090001MAM"/>
    <x v="5"/>
    <x v="5"/>
    <m/>
    <x v="2"/>
    <x v="2"/>
    <m/>
    <x v="6"/>
    <x v="6"/>
    <m/>
    <x v="82"/>
    <x v="82"/>
    <m/>
    <x v="469"/>
    <x v="315"/>
    <m/>
    <x v="490"/>
    <x v="526"/>
    <m/>
    <x v="2"/>
    <x v="2"/>
    <m/>
    <n v="46.121479999999998"/>
    <n v="-25.190799999999999"/>
    <m/>
    <m/>
  </r>
  <r>
    <s v="MG53515090091001MAM"/>
    <x v="5"/>
    <x v="5"/>
    <m/>
    <x v="2"/>
    <x v="2"/>
    <m/>
    <x v="6"/>
    <x v="6"/>
    <m/>
    <x v="82"/>
    <x v="82"/>
    <m/>
    <x v="470"/>
    <x v="316"/>
    <m/>
    <x v="491"/>
    <x v="527"/>
    <m/>
    <x v="2"/>
    <x v="2"/>
    <m/>
    <n v="46.087600000000002"/>
    <n v="-25.230170000000001"/>
    <m/>
    <m/>
  </r>
  <r>
    <s v="MG53515090092001MAM"/>
    <x v="5"/>
    <x v="5"/>
    <m/>
    <x v="2"/>
    <x v="2"/>
    <m/>
    <x v="6"/>
    <x v="6"/>
    <m/>
    <x v="82"/>
    <x v="82"/>
    <m/>
    <x v="471"/>
    <x v="317"/>
    <m/>
    <x v="492"/>
    <x v="528"/>
    <m/>
    <x v="2"/>
    <x v="2"/>
    <m/>
    <n v="46.074530000000003"/>
    <n v="-25.238029999999998"/>
    <m/>
    <m/>
  </r>
  <r>
    <s v="MG53515090093001MAM"/>
    <x v="5"/>
    <x v="5"/>
    <m/>
    <x v="2"/>
    <x v="2"/>
    <m/>
    <x v="6"/>
    <x v="6"/>
    <m/>
    <x v="82"/>
    <x v="82"/>
    <m/>
    <x v="472"/>
    <x v="318"/>
    <m/>
    <x v="493"/>
    <x v="529"/>
    <m/>
    <x v="2"/>
    <x v="2"/>
    <m/>
    <n v="46.082979999999999"/>
    <n v="-25.229469999999999"/>
    <m/>
    <m/>
  </r>
  <r>
    <s v="MG52516050012001MAM"/>
    <x v="5"/>
    <x v="5"/>
    <m/>
    <x v="2"/>
    <x v="2"/>
    <m/>
    <x v="6"/>
    <x v="6"/>
    <m/>
    <x v="83"/>
    <x v="83"/>
    <m/>
    <x v="473"/>
    <x v="319"/>
    <m/>
    <x v="494"/>
    <x v="530"/>
    <m/>
    <x v="2"/>
    <x v="2"/>
    <m/>
    <n v="45.959269999999997"/>
    <n v="-25.2439"/>
    <m/>
    <m/>
  </r>
  <r>
    <s v="MG52516152004001MAM"/>
    <x v="5"/>
    <x v="5"/>
    <m/>
    <x v="2"/>
    <x v="2"/>
    <m/>
    <x v="6"/>
    <x v="6"/>
    <m/>
    <x v="83"/>
    <x v="83"/>
    <m/>
    <x v="474"/>
    <x v="320"/>
    <m/>
    <x v="495"/>
    <x v="531"/>
    <m/>
    <x v="2"/>
    <x v="2"/>
    <m/>
    <n v="45.623150000000003"/>
    <n v="-24.522819999999999"/>
    <m/>
    <m/>
  </r>
  <r>
    <s v="MG52516152010001MAM"/>
    <x v="5"/>
    <x v="5"/>
    <m/>
    <x v="2"/>
    <x v="2"/>
    <m/>
    <x v="6"/>
    <x v="6"/>
    <m/>
    <x v="83"/>
    <x v="83"/>
    <m/>
    <x v="475"/>
    <x v="321"/>
    <m/>
    <x v="496"/>
    <x v="532"/>
    <m/>
    <x v="2"/>
    <x v="2"/>
    <m/>
    <n v="45.697800000000001"/>
    <n v="-24.50827"/>
    <m/>
    <m/>
  </r>
  <r>
    <s v="MG52516152045001MAM"/>
    <x v="5"/>
    <x v="5"/>
    <m/>
    <x v="2"/>
    <x v="2"/>
    <m/>
    <x v="6"/>
    <x v="6"/>
    <m/>
    <x v="83"/>
    <x v="83"/>
    <m/>
    <x v="476"/>
    <x v="322"/>
    <m/>
    <x v="497"/>
    <x v="533"/>
    <m/>
    <x v="2"/>
    <x v="2"/>
    <m/>
    <n v="45.636029999999998"/>
    <n v="-24.475899999999999"/>
    <m/>
    <m/>
  </r>
  <r>
    <s v="MG52516152046001MAM"/>
    <x v="5"/>
    <x v="5"/>
    <m/>
    <x v="2"/>
    <x v="2"/>
    <m/>
    <x v="6"/>
    <x v="6"/>
    <m/>
    <x v="83"/>
    <x v="83"/>
    <m/>
    <x v="191"/>
    <x v="323"/>
    <m/>
    <x v="200"/>
    <x v="534"/>
    <m/>
    <x v="2"/>
    <x v="2"/>
    <m/>
    <n v="45.671579999999999"/>
    <n v="-24.5456"/>
    <m/>
    <m/>
  </r>
  <r>
    <s v="MG44417031003001MAM"/>
    <x v="1"/>
    <x v="1"/>
    <m/>
    <x v="1"/>
    <x v="1"/>
    <m/>
    <x v="1"/>
    <x v="1"/>
    <m/>
    <x v="84"/>
    <x v="84"/>
    <m/>
    <x v="477"/>
    <x v="324"/>
    <m/>
    <x v="498"/>
    <x v="535"/>
    <m/>
    <x v="2"/>
    <x v="2"/>
    <m/>
    <n v="44.507919999999999"/>
    <n v="-24.783770000000001"/>
    <m/>
    <m/>
  </r>
  <r>
    <s v="MG51506050020001MAM"/>
    <x v="1"/>
    <x v="1"/>
    <m/>
    <x v="1"/>
    <x v="1"/>
    <m/>
    <x v="1"/>
    <x v="1"/>
    <m/>
    <x v="84"/>
    <x v="84"/>
    <m/>
    <x v="478"/>
    <x v="325"/>
    <m/>
    <x v="499"/>
    <x v="536"/>
    <m/>
    <x v="2"/>
    <x v="2"/>
    <m/>
    <n v="44.761012999999998"/>
    <n v="-24.866166"/>
    <m/>
    <m/>
  </r>
  <r>
    <s v="MG51506150020001MAM"/>
    <x v="1"/>
    <x v="1"/>
    <m/>
    <x v="1"/>
    <x v="1"/>
    <m/>
    <x v="1"/>
    <x v="1"/>
    <m/>
    <x v="84"/>
    <x v="84"/>
    <m/>
    <x v="235"/>
    <x v="326"/>
    <m/>
    <x v="244"/>
    <x v="537"/>
    <m/>
    <x v="2"/>
    <x v="2"/>
    <m/>
    <n v="44.739403000000003"/>
    <n v="-24.884395000000001"/>
    <m/>
    <m/>
  </r>
  <r>
    <s v="MG51507010001001MAM"/>
    <x v="1"/>
    <x v="1"/>
    <m/>
    <x v="1"/>
    <x v="1"/>
    <m/>
    <x v="1"/>
    <x v="1"/>
    <m/>
    <x v="84"/>
    <x v="84"/>
    <m/>
    <x v="251"/>
    <x v="327"/>
    <m/>
    <x v="260"/>
    <x v="538"/>
    <m/>
    <x v="2"/>
    <x v="2"/>
    <m/>
    <n v="44.74662"/>
    <n v="-24.693529999999999"/>
    <m/>
    <m/>
  </r>
  <r>
    <s v="MG51507010002001MAM"/>
    <x v="1"/>
    <x v="1"/>
    <m/>
    <x v="1"/>
    <x v="1"/>
    <m/>
    <x v="1"/>
    <x v="1"/>
    <m/>
    <x v="84"/>
    <x v="84"/>
    <m/>
    <x v="479"/>
    <x v="328"/>
    <m/>
    <x v="500"/>
    <x v="539"/>
    <m/>
    <x v="2"/>
    <x v="2"/>
    <m/>
    <n v="44.86262"/>
    <n v="-24.549620000000001"/>
    <m/>
    <m/>
  </r>
  <r>
    <s v="MG51507010003001MAM"/>
    <x v="1"/>
    <x v="1"/>
    <m/>
    <x v="1"/>
    <x v="1"/>
    <m/>
    <x v="1"/>
    <x v="1"/>
    <m/>
    <x v="84"/>
    <x v="84"/>
    <m/>
    <x v="480"/>
    <x v="329"/>
    <m/>
    <x v="501"/>
    <x v="540"/>
    <m/>
    <x v="2"/>
    <x v="2"/>
    <m/>
    <n v="44.74953"/>
    <n v="-24.92"/>
    <m/>
    <m/>
  </r>
  <r>
    <s v="MG51507010004001MAM"/>
    <x v="1"/>
    <x v="1"/>
    <m/>
    <x v="1"/>
    <x v="1"/>
    <m/>
    <x v="1"/>
    <x v="1"/>
    <m/>
    <x v="84"/>
    <x v="84"/>
    <m/>
    <x v="481"/>
    <x v="330"/>
    <m/>
    <x v="502"/>
    <x v="541"/>
    <m/>
    <x v="2"/>
    <x v="2"/>
    <m/>
    <n v="44.816470000000002"/>
    <n v="-24.694099999999999"/>
    <m/>
    <m/>
  </r>
  <r>
    <s v="MG51507010006001MAM"/>
    <x v="1"/>
    <x v="1"/>
    <m/>
    <x v="1"/>
    <x v="1"/>
    <m/>
    <x v="1"/>
    <x v="1"/>
    <m/>
    <x v="84"/>
    <x v="84"/>
    <m/>
    <x v="255"/>
    <x v="331"/>
    <m/>
    <x v="503"/>
    <x v="542"/>
    <m/>
    <x v="2"/>
    <x v="2"/>
    <m/>
    <n v="44.837119999999999"/>
    <n v="-24.69332"/>
    <m/>
    <m/>
  </r>
  <r>
    <s v="MG51507010007001MAM"/>
    <x v="1"/>
    <x v="1"/>
    <m/>
    <x v="1"/>
    <x v="1"/>
    <m/>
    <x v="1"/>
    <x v="1"/>
    <m/>
    <x v="84"/>
    <x v="84"/>
    <m/>
    <x v="482"/>
    <x v="332"/>
    <m/>
    <x v="504"/>
    <x v="543"/>
    <m/>
    <x v="2"/>
    <x v="2"/>
    <m/>
    <n v="44.74512"/>
    <n v="-24.6921"/>
    <m/>
    <m/>
  </r>
  <r>
    <s v="MG51507010010001MAM"/>
    <x v="1"/>
    <x v="1"/>
    <m/>
    <x v="1"/>
    <x v="1"/>
    <m/>
    <x v="1"/>
    <x v="1"/>
    <m/>
    <x v="84"/>
    <x v="84"/>
    <m/>
    <x v="483"/>
    <x v="333"/>
    <m/>
    <x v="505"/>
    <x v="544"/>
    <m/>
    <x v="2"/>
    <x v="2"/>
    <m/>
    <n v="44.764899999999997"/>
    <n v="-24.72307"/>
    <m/>
    <m/>
  </r>
  <r>
    <s v="MG51507010011001MAM"/>
    <x v="1"/>
    <x v="1"/>
    <m/>
    <x v="1"/>
    <x v="1"/>
    <m/>
    <x v="1"/>
    <x v="1"/>
    <m/>
    <x v="84"/>
    <x v="84"/>
    <m/>
    <x v="254"/>
    <x v="334"/>
    <m/>
    <x v="263"/>
    <x v="545"/>
    <m/>
    <x v="2"/>
    <x v="2"/>
    <m/>
    <n v="44.804029999999997"/>
    <n v="-24.729949999999999"/>
    <m/>
    <m/>
  </r>
  <r>
    <s v="MG51507010013001MAM"/>
    <x v="1"/>
    <x v="1"/>
    <m/>
    <x v="1"/>
    <x v="1"/>
    <m/>
    <x v="1"/>
    <x v="1"/>
    <m/>
    <x v="84"/>
    <x v="84"/>
    <m/>
    <x v="484"/>
    <x v="335"/>
    <m/>
    <x v="506"/>
    <x v="546"/>
    <m/>
    <x v="2"/>
    <x v="2"/>
    <m/>
    <n v="44.855119999999999"/>
    <n v="-24.841619999999999"/>
    <m/>
    <m/>
  </r>
  <r>
    <s v="MG51507010014001MAM"/>
    <x v="1"/>
    <x v="1"/>
    <m/>
    <x v="1"/>
    <x v="1"/>
    <m/>
    <x v="1"/>
    <x v="1"/>
    <m/>
    <x v="84"/>
    <x v="84"/>
    <m/>
    <x v="485"/>
    <x v="336"/>
    <m/>
    <x v="507"/>
    <x v="547"/>
    <m/>
    <x v="2"/>
    <x v="2"/>
    <m/>
    <n v="44.820369999999997"/>
    <n v="-24.735700000000001"/>
    <m/>
    <m/>
  </r>
  <r>
    <s v="MG51507010015001MAM"/>
    <x v="1"/>
    <x v="1"/>
    <m/>
    <x v="1"/>
    <x v="1"/>
    <m/>
    <x v="1"/>
    <x v="1"/>
    <m/>
    <x v="84"/>
    <x v="84"/>
    <m/>
    <x v="486"/>
    <x v="337"/>
    <m/>
    <x v="508"/>
    <x v="548"/>
    <m/>
    <x v="2"/>
    <x v="2"/>
    <m/>
    <n v="44.377920000000003"/>
    <n v="-24.830670000000001"/>
    <m/>
    <m/>
  </r>
  <r>
    <s v="MG51507010016001MAM"/>
    <x v="1"/>
    <x v="1"/>
    <m/>
    <x v="1"/>
    <x v="1"/>
    <m/>
    <x v="1"/>
    <x v="1"/>
    <m/>
    <x v="84"/>
    <x v="84"/>
    <m/>
    <x v="487"/>
    <x v="338"/>
    <m/>
    <x v="509"/>
    <x v="549"/>
    <m/>
    <x v="2"/>
    <x v="2"/>
    <m/>
    <n v="44.65155"/>
    <n v="-24.803149999999999"/>
    <m/>
    <m/>
  </r>
  <r>
    <s v="MG51507010017001MAM"/>
    <x v="1"/>
    <x v="1"/>
    <m/>
    <x v="1"/>
    <x v="1"/>
    <m/>
    <x v="1"/>
    <x v="1"/>
    <m/>
    <x v="84"/>
    <x v="84"/>
    <m/>
    <x v="246"/>
    <x v="339"/>
    <m/>
    <x v="255"/>
    <x v="550"/>
    <m/>
    <x v="2"/>
    <x v="2"/>
    <m/>
    <n v="44.560299999999998"/>
    <n v="-24.884699999999999"/>
    <m/>
    <m/>
  </r>
  <r>
    <s v="MG51507010018001MAM"/>
    <x v="1"/>
    <x v="1"/>
    <m/>
    <x v="1"/>
    <x v="1"/>
    <m/>
    <x v="1"/>
    <x v="1"/>
    <m/>
    <x v="84"/>
    <x v="84"/>
    <m/>
    <x v="488"/>
    <x v="340"/>
    <m/>
    <x v="510"/>
    <x v="551"/>
    <m/>
    <x v="2"/>
    <x v="2"/>
    <m/>
    <n v="44.682630000000003"/>
    <n v="-24.927620000000001"/>
    <m/>
    <m/>
  </r>
  <r>
    <s v="MG51507010019001MAM"/>
    <x v="1"/>
    <x v="1"/>
    <m/>
    <x v="1"/>
    <x v="1"/>
    <m/>
    <x v="1"/>
    <x v="1"/>
    <m/>
    <x v="84"/>
    <x v="84"/>
    <m/>
    <x v="249"/>
    <x v="341"/>
    <m/>
    <x v="258"/>
    <x v="552"/>
    <m/>
    <x v="2"/>
    <x v="2"/>
    <m/>
    <n v="44.711970000000001"/>
    <n v="-24.87548"/>
    <m/>
    <m/>
  </r>
  <r>
    <s v="MG51507010021001MAM"/>
    <x v="1"/>
    <x v="1"/>
    <m/>
    <x v="1"/>
    <x v="1"/>
    <m/>
    <x v="1"/>
    <x v="1"/>
    <m/>
    <x v="84"/>
    <x v="84"/>
    <m/>
    <x v="489"/>
    <x v="342"/>
    <m/>
    <x v="511"/>
    <x v="553"/>
    <m/>
    <x v="2"/>
    <x v="2"/>
    <m/>
    <n v="44.667850000000001"/>
    <n v="-24.956849999999999"/>
    <m/>
    <m/>
  </r>
  <r>
    <s v="MG51507010023001MAM"/>
    <x v="1"/>
    <x v="1"/>
    <m/>
    <x v="1"/>
    <x v="1"/>
    <m/>
    <x v="1"/>
    <x v="1"/>
    <m/>
    <x v="84"/>
    <x v="84"/>
    <m/>
    <x v="248"/>
    <x v="343"/>
    <m/>
    <x v="512"/>
    <x v="554"/>
    <m/>
    <x v="2"/>
    <x v="2"/>
    <m/>
    <n v="44.660699999999999"/>
    <n v="-25.00112"/>
    <m/>
    <m/>
  </r>
  <r>
    <s v="MG51507010024001MAM"/>
    <x v="1"/>
    <x v="1"/>
    <m/>
    <x v="1"/>
    <x v="1"/>
    <m/>
    <x v="1"/>
    <x v="1"/>
    <m/>
    <x v="84"/>
    <x v="84"/>
    <m/>
    <x v="247"/>
    <x v="344"/>
    <m/>
    <x v="256"/>
    <x v="555"/>
    <m/>
    <x v="2"/>
    <x v="2"/>
    <m/>
    <n v="44.55312"/>
    <n v="-25.050329999999999"/>
    <m/>
    <m/>
  </r>
  <r>
    <s v="MG51507010025001MAM"/>
    <x v="1"/>
    <x v="1"/>
    <m/>
    <x v="1"/>
    <x v="1"/>
    <m/>
    <x v="1"/>
    <x v="1"/>
    <m/>
    <x v="84"/>
    <x v="84"/>
    <m/>
    <x v="490"/>
    <x v="345"/>
    <m/>
    <x v="513"/>
    <x v="556"/>
    <m/>
    <x v="2"/>
    <x v="2"/>
    <m/>
    <n v="44.397222999999997"/>
    <n v="-24.356504999999999"/>
    <m/>
    <m/>
  </r>
  <r>
    <s v="MG51507210003001MAM"/>
    <x v="1"/>
    <x v="1"/>
    <m/>
    <x v="1"/>
    <x v="1"/>
    <m/>
    <x v="1"/>
    <x v="1"/>
    <m/>
    <x v="84"/>
    <x v="84"/>
    <m/>
    <x v="491"/>
    <x v="346"/>
    <m/>
    <x v="514"/>
    <x v="557"/>
    <m/>
    <x v="2"/>
    <x v="2"/>
    <m/>
    <n v="44.807070000000003"/>
    <n v="-24.18843"/>
    <m/>
    <m/>
  </r>
  <r>
    <s v="MG51520270008001MAM"/>
    <x v="1"/>
    <x v="1"/>
    <m/>
    <x v="1"/>
    <x v="1"/>
    <m/>
    <x v="1"/>
    <x v="1"/>
    <m/>
    <x v="84"/>
    <x v="84"/>
    <m/>
    <x v="492"/>
    <x v="347"/>
    <m/>
    <x v="515"/>
    <x v="558"/>
    <m/>
    <x v="2"/>
    <x v="2"/>
    <m/>
    <n v="44.821885999999999"/>
    <n v="-24.718475999999999"/>
    <m/>
    <m/>
  </r>
  <r>
    <s v="MG52516013007001MAM"/>
    <x v="1"/>
    <x v="1"/>
    <m/>
    <x v="1"/>
    <x v="1"/>
    <m/>
    <x v="1"/>
    <x v="1"/>
    <m/>
    <x v="84"/>
    <x v="84"/>
    <m/>
    <x v="493"/>
    <x v="348"/>
    <m/>
    <x v="516"/>
    <x v="559"/>
    <m/>
    <x v="2"/>
    <x v="2"/>
    <m/>
    <n v="44.773595999999998"/>
    <n v="-24.749222"/>
    <m/>
    <m/>
  </r>
  <r>
    <s v="MG52516013089001MAM"/>
    <x v="1"/>
    <x v="1"/>
    <m/>
    <x v="1"/>
    <x v="1"/>
    <m/>
    <x v="1"/>
    <x v="1"/>
    <m/>
    <x v="84"/>
    <x v="84"/>
    <m/>
    <x v="494"/>
    <x v="349"/>
    <m/>
    <x v="517"/>
    <x v="560"/>
    <m/>
    <x v="2"/>
    <x v="2"/>
    <m/>
    <n v="44.867280000000001"/>
    <n v="-24.74898"/>
    <m/>
    <m/>
  </r>
  <r>
    <s v="MG52516013090001MAM"/>
    <x v="1"/>
    <x v="1"/>
    <m/>
    <x v="1"/>
    <x v="1"/>
    <m/>
    <x v="1"/>
    <x v="1"/>
    <m/>
    <x v="84"/>
    <x v="84"/>
    <m/>
    <x v="495"/>
    <x v="350"/>
    <m/>
    <x v="518"/>
    <x v="561"/>
    <m/>
    <x v="2"/>
    <x v="2"/>
    <m/>
    <n v="44.744979999999998"/>
    <n v="-24.741199999999999"/>
    <m/>
    <m/>
  </r>
  <r>
    <s v="MG52516013091001MAM"/>
    <x v="1"/>
    <x v="1"/>
    <m/>
    <x v="1"/>
    <x v="1"/>
    <m/>
    <x v="1"/>
    <x v="1"/>
    <m/>
    <x v="84"/>
    <x v="84"/>
    <m/>
    <x v="496"/>
    <x v="351"/>
    <m/>
    <x v="519"/>
    <x v="562"/>
    <m/>
    <x v="2"/>
    <x v="2"/>
    <m/>
    <n v="44.673169999999999"/>
    <n v="-25.036650000000002"/>
    <m/>
    <m/>
  </r>
  <r>
    <s v="MG54509070001001MAM"/>
    <x v="1"/>
    <x v="1"/>
    <m/>
    <x v="1"/>
    <x v="1"/>
    <m/>
    <x v="1"/>
    <x v="1"/>
    <m/>
    <x v="84"/>
    <x v="84"/>
    <m/>
    <x v="497"/>
    <x v="352"/>
    <m/>
    <x v="520"/>
    <x v="563"/>
    <m/>
    <x v="2"/>
    <x v="2"/>
    <m/>
    <n v="44.741079999999997"/>
    <n v="-24.689769999999999"/>
    <m/>
    <m/>
  </r>
  <r>
    <s v="MG54509070006001MAM"/>
    <x v="1"/>
    <x v="1"/>
    <m/>
    <x v="1"/>
    <x v="1"/>
    <m/>
    <x v="1"/>
    <x v="1"/>
    <m/>
    <x v="84"/>
    <x v="84"/>
    <m/>
    <x v="361"/>
    <x v="353"/>
    <m/>
    <x v="521"/>
    <x v="564"/>
    <m/>
    <x v="2"/>
    <x v="2"/>
    <m/>
    <n v="44.792419000000002"/>
    <n v="-24.712060999999999"/>
    <m/>
    <m/>
  </r>
  <r>
    <s v="MG54509070010001MAM"/>
    <x v="1"/>
    <x v="1"/>
    <m/>
    <x v="1"/>
    <x v="1"/>
    <m/>
    <x v="1"/>
    <x v="1"/>
    <m/>
    <x v="84"/>
    <x v="84"/>
    <m/>
    <x v="498"/>
    <x v="354"/>
    <m/>
    <x v="522"/>
    <x v="565"/>
    <m/>
    <x v="2"/>
    <x v="2"/>
    <m/>
    <n v="45.0685"/>
    <n v="-24.463170000000002"/>
    <m/>
    <m/>
  </r>
  <r>
    <s v="MG25214031006001MAM"/>
    <x v="0"/>
    <x v="0"/>
    <m/>
    <x v="4"/>
    <x v="4"/>
    <m/>
    <x v="10"/>
    <x v="10"/>
    <m/>
    <x v="85"/>
    <x v="85"/>
    <m/>
    <x v="499"/>
    <x v="355"/>
    <m/>
    <x v="523"/>
    <x v="566"/>
    <m/>
    <x v="2"/>
    <x v="2"/>
    <m/>
    <n v="47.446933999999999"/>
    <n v="-24.064798"/>
    <m/>
    <m/>
  </r>
  <r>
    <s v="MG25214031016001MAM"/>
    <x v="0"/>
    <x v="0"/>
    <m/>
    <x v="4"/>
    <x v="4"/>
    <m/>
    <x v="10"/>
    <x v="10"/>
    <m/>
    <x v="85"/>
    <x v="85"/>
    <m/>
    <x v="500"/>
    <x v="356"/>
    <m/>
    <x v="524"/>
    <x v="567"/>
    <m/>
    <x v="2"/>
    <x v="2"/>
    <m/>
    <n v="47.420810000000003"/>
    <n v="-24.073013"/>
    <m/>
    <m/>
  </r>
  <r>
    <s v="MG25214132001001MAM"/>
    <x v="0"/>
    <x v="0"/>
    <m/>
    <x v="4"/>
    <x v="4"/>
    <m/>
    <x v="10"/>
    <x v="10"/>
    <m/>
    <x v="86"/>
    <x v="86"/>
    <m/>
    <x v="501"/>
    <x v="357"/>
    <m/>
    <x v="525"/>
    <x v="568"/>
    <m/>
    <x v="2"/>
    <x v="2"/>
    <m/>
    <n v="47.464669999999998"/>
    <n v="-23.35153"/>
    <m/>
    <m/>
  </r>
  <r>
    <s v="MG25214132013001MAM"/>
    <x v="0"/>
    <x v="0"/>
    <m/>
    <x v="4"/>
    <x v="4"/>
    <m/>
    <x v="10"/>
    <x v="10"/>
    <m/>
    <x v="86"/>
    <x v="86"/>
    <m/>
    <x v="502"/>
    <x v="358"/>
    <m/>
    <x v="526"/>
    <x v="569"/>
    <m/>
    <x v="2"/>
    <x v="2"/>
    <m/>
    <n v="47.438878000000003"/>
    <n v="-23.359739000000001"/>
    <m/>
    <m/>
  </r>
  <r>
    <s v="MG53515033004001MAM"/>
    <x v="0"/>
    <x v="0"/>
    <m/>
    <x v="4"/>
    <x v="4"/>
    <m/>
    <x v="10"/>
    <x v="10"/>
    <m/>
    <x v="86"/>
    <x v="86"/>
    <m/>
    <x v="503"/>
    <x v="359"/>
    <m/>
    <x v="527"/>
    <x v="570"/>
    <m/>
    <x v="2"/>
    <x v="2"/>
    <m/>
    <n v="47.45552"/>
    <n v="-23.374424999999999"/>
    <m/>
    <m/>
  </r>
  <r>
    <s v="MG25213190001001MAM"/>
    <x v="0"/>
    <x v="0"/>
    <m/>
    <x v="4"/>
    <x v="4"/>
    <m/>
    <x v="11"/>
    <x v="11"/>
    <m/>
    <x v="87"/>
    <x v="87"/>
    <m/>
    <x v="504"/>
    <x v="360"/>
    <m/>
    <x v="528"/>
    <x v="571"/>
    <m/>
    <x v="2"/>
    <x v="2"/>
    <m/>
    <n v="47.779319999999998"/>
    <n v="-22.46245"/>
    <m/>
    <m/>
  </r>
  <r>
    <s v="MG25213190010001MAM"/>
    <x v="0"/>
    <x v="0"/>
    <m/>
    <x v="4"/>
    <x v="4"/>
    <m/>
    <x v="11"/>
    <x v="11"/>
    <m/>
    <x v="87"/>
    <x v="87"/>
    <m/>
    <x v="505"/>
    <x v="361"/>
    <m/>
    <x v="529"/>
    <x v="572"/>
    <m/>
    <x v="2"/>
    <x v="2"/>
    <m/>
    <n v="47.803019999999997"/>
    <n v="-22.59985"/>
    <m/>
    <m/>
  </r>
  <r>
    <s v="MG31307151013001MAM"/>
    <x v="0"/>
    <x v="0"/>
    <m/>
    <x v="4"/>
    <x v="4"/>
    <m/>
    <x v="11"/>
    <x v="11"/>
    <m/>
    <x v="87"/>
    <x v="87"/>
    <m/>
    <x v="506"/>
    <x v="362"/>
    <m/>
    <x v="530"/>
    <x v="573"/>
    <m/>
    <x v="2"/>
    <x v="2"/>
    <m/>
    <n v="47.867629999999998"/>
    <n v="-22.491579999999999"/>
    <m/>
    <m/>
  </r>
  <r>
    <s v="MG52514050005001MAM"/>
    <x v="5"/>
    <x v="5"/>
    <m/>
    <x v="2"/>
    <x v="2"/>
    <m/>
    <x v="6"/>
    <x v="6"/>
    <m/>
    <x v="88"/>
    <x v="88"/>
    <m/>
    <x v="398"/>
    <x v="363"/>
    <m/>
    <x v="531"/>
    <x v="574"/>
    <m/>
    <x v="2"/>
    <x v="2"/>
    <m/>
    <n v="45.298949999999998"/>
    <n v="-25.4876"/>
    <m/>
    <m/>
  </r>
  <r>
    <s v="MG52518152008001MAM"/>
    <x v="5"/>
    <x v="5"/>
    <m/>
    <x v="3"/>
    <x v="3"/>
    <m/>
    <x v="15"/>
    <x v="15"/>
    <m/>
    <x v="88"/>
    <x v="88"/>
    <m/>
    <x v="507"/>
    <x v="364"/>
    <m/>
    <x v="532"/>
    <x v="575"/>
    <m/>
    <x v="2"/>
    <x v="2"/>
    <m/>
    <n v="45.816653000000002"/>
    <n v="-23.291429000000001"/>
    <m/>
    <m/>
  </r>
  <r>
    <s v="MG53517110002001MAM"/>
    <x v="5"/>
    <x v="5"/>
    <m/>
    <x v="3"/>
    <x v="3"/>
    <m/>
    <x v="15"/>
    <x v="15"/>
    <m/>
    <x v="88"/>
    <x v="88"/>
    <m/>
    <x v="508"/>
    <x v="365"/>
    <m/>
    <x v="533"/>
    <x v="576"/>
    <m/>
    <x v="2"/>
    <x v="2"/>
    <m/>
    <n v="45.777493999999997"/>
    <n v="-23.325845999999999"/>
    <m/>
    <m/>
  </r>
  <r>
    <s v="MG53517110004001MAM"/>
    <x v="5"/>
    <x v="5"/>
    <m/>
    <x v="3"/>
    <x v="3"/>
    <m/>
    <x v="15"/>
    <x v="15"/>
    <m/>
    <x v="88"/>
    <x v="88"/>
    <m/>
    <x v="509"/>
    <x v="366"/>
    <m/>
    <x v="534"/>
    <x v="577"/>
    <m/>
    <x v="2"/>
    <x v="2"/>
    <m/>
    <n v="45.859529999999999"/>
    <n v="-23.29955"/>
    <m/>
    <m/>
  </r>
  <r>
    <s v="MG53517110006001MAM"/>
    <x v="5"/>
    <x v="5"/>
    <m/>
    <x v="3"/>
    <x v="3"/>
    <m/>
    <x v="15"/>
    <x v="15"/>
    <m/>
    <x v="88"/>
    <x v="88"/>
    <m/>
    <x v="510"/>
    <x v="367"/>
    <m/>
    <x v="535"/>
    <x v="578"/>
    <m/>
    <x v="2"/>
    <x v="2"/>
    <m/>
    <n v="45.773800000000001"/>
    <n v="-23.290220000000001"/>
    <m/>
    <m/>
  </r>
  <r>
    <s v="MG53517110007001MAM"/>
    <x v="5"/>
    <x v="5"/>
    <m/>
    <x v="3"/>
    <x v="3"/>
    <m/>
    <x v="15"/>
    <x v="15"/>
    <m/>
    <x v="88"/>
    <x v="88"/>
    <m/>
    <x v="511"/>
    <x v="368"/>
    <m/>
    <x v="536"/>
    <x v="579"/>
    <m/>
    <x v="2"/>
    <x v="2"/>
    <m/>
    <n v="45.98818"/>
    <n v="-23.891829999999999"/>
    <m/>
    <m/>
  </r>
  <r>
    <s v="MG53517110045001MAM"/>
    <x v="5"/>
    <x v="5"/>
    <m/>
    <x v="3"/>
    <x v="3"/>
    <m/>
    <x v="15"/>
    <x v="15"/>
    <m/>
    <x v="88"/>
    <x v="88"/>
    <m/>
    <x v="512"/>
    <x v="369"/>
    <m/>
    <x v="537"/>
    <x v="580"/>
    <m/>
    <x v="2"/>
    <x v="2"/>
    <m/>
    <n v="45.768554000000002"/>
    <n v="-23.232634000000001"/>
    <m/>
    <m/>
  </r>
  <r>
    <s v="MG53517150085001MAM"/>
    <x v="5"/>
    <x v="5"/>
    <m/>
    <x v="2"/>
    <x v="2"/>
    <m/>
    <x v="6"/>
    <x v="6"/>
    <m/>
    <x v="88"/>
    <x v="88"/>
    <m/>
    <x v="513"/>
    <x v="370"/>
    <m/>
    <x v="538"/>
    <x v="581"/>
    <m/>
    <x v="2"/>
    <x v="2"/>
    <m/>
    <n v="45.906619999999997"/>
    <n v="-25.093920000000001"/>
    <m/>
    <m/>
  </r>
  <r>
    <s v="MG53517150087001MAM"/>
    <x v="5"/>
    <x v="5"/>
    <m/>
    <x v="2"/>
    <x v="2"/>
    <m/>
    <x v="6"/>
    <x v="6"/>
    <m/>
    <x v="88"/>
    <x v="88"/>
    <m/>
    <x v="514"/>
    <x v="371"/>
    <m/>
    <x v="539"/>
    <x v="582"/>
    <m/>
    <x v="2"/>
    <x v="2"/>
    <m/>
    <n v="45.912799999999997"/>
    <n v="-25.099900000000002"/>
    <m/>
    <m/>
  </r>
  <r>
    <s v="MG25217013002001MAM"/>
    <x v="0"/>
    <x v="0"/>
    <m/>
    <x v="4"/>
    <x v="4"/>
    <m/>
    <x v="12"/>
    <x v="12"/>
    <m/>
    <x v="89"/>
    <x v="89"/>
    <m/>
    <x v="515"/>
    <x v="372"/>
    <m/>
    <x v="540"/>
    <x v="583"/>
    <m/>
    <x v="2"/>
    <x v="2"/>
    <m/>
    <n v="47.35472"/>
    <n v="-22.905429999999999"/>
    <m/>
    <m/>
  </r>
  <r>
    <s v="MG53517150086001MAM"/>
    <x v="0"/>
    <x v="0"/>
    <m/>
    <x v="4"/>
    <x v="4"/>
    <m/>
    <x v="12"/>
    <x v="12"/>
    <m/>
    <x v="89"/>
    <x v="89"/>
    <m/>
    <x v="516"/>
    <x v="373"/>
    <m/>
    <x v="541"/>
    <x v="584"/>
    <m/>
    <x v="2"/>
    <x v="2"/>
    <m/>
    <n v="47.378320000000002"/>
    <n v="-22.91405"/>
    <m/>
    <m/>
  </r>
  <r>
    <s v="MG31306010017002MAM"/>
    <x v="1"/>
    <x v="1"/>
    <m/>
    <x v="1"/>
    <x v="1"/>
    <m/>
    <x v="1"/>
    <x v="1"/>
    <m/>
    <x v="1"/>
    <x v="1"/>
    <m/>
    <x v="6"/>
    <x v="6"/>
    <m/>
    <x v="542"/>
    <x v="585"/>
    <m/>
    <x v="2"/>
    <x v="2"/>
    <m/>
    <n v="44.92062"/>
    <n v="-24.04252"/>
    <m/>
    <m/>
  </r>
  <r>
    <s v="MG51507290004001MAM"/>
    <x v="1"/>
    <x v="1"/>
    <m/>
    <x v="1"/>
    <x v="1"/>
    <m/>
    <x v="1"/>
    <x v="1"/>
    <m/>
    <x v="1"/>
    <x v="1"/>
    <m/>
    <x v="349"/>
    <x v="374"/>
    <m/>
    <x v="543"/>
    <x v="586"/>
    <m/>
    <x v="2"/>
    <x v="2"/>
    <m/>
    <n v="44.892749999999999"/>
    <n v="-24.03867"/>
    <m/>
    <m/>
  </r>
  <r>
    <s v="MG51507290006001MAM"/>
    <x v="1"/>
    <x v="1"/>
    <m/>
    <x v="1"/>
    <x v="1"/>
    <m/>
    <x v="1"/>
    <x v="1"/>
    <m/>
    <x v="1"/>
    <x v="1"/>
    <m/>
    <x v="9"/>
    <x v="375"/>
    <m/>
    <x v="544"/>
    <x v="587"/>
    <m/>
    <x v="2"/>
    <x v="2"/>
    <m/>
    <n v="44.892380000000003"/>
    <n v="-23.965420000000002"/>
    <m/>
    <m/>
  </r>
  <r>
    <s v="MG51507290008001MAM"/>
    <x v="1"/>
    <x v="1"/>
    <m/>
    <x v="1"/>
    <x v="1"/>
    <m/>
    <x v="1"/>
    <x v="1"/>
    <m/>
    <x v="1"/>
    <x v="1"/>
    <m/>
    <x v="517"/>
    <x v="376"/>
    <m/>
    <x v="545"/>
    <x v="588"/>
    <m/>
    <x v="2"/>
    <x v="2"/>
    <m/>
    <n v="44.95073"/>
    <n v="-23.984580000000001"/>
    <m/>
    <m/>
  </r>
  <r>
    <s v="MG51507290011001MAM"/>
    <x v="1"/>
    <x v="1"/>
    <m/>
    <x v="1"/>
    <x v="1"/>
    <m/>
    <x v="1"/>
    <x v="1"/>
    <m/>
    <x v="1"/>
    <x v="1"/>
    <m/>
    <x v="518"/>
    <x v="377"/>
    <m/>
    <x v="546"/>
    <x v="589"/>
    <m/>
    <x v="2"/>
    <x v="2"/>
    <m/>
    <n v="44.95778"/>
    <n v="-23.992249999999999"/>
    <m/>
    <m/>
  </r>
  <r>
    <s v="MG51507290050001MAM"/>
    <x v="1"/>
    <x v="1"/>
    <m/>
    <x v="1"/>
    <x v="1"/>
    <m/>
    <x v="1"/>
    <x v="1"/>
    <m/>
    <x v="1"/>
    <x v="1"/>
    <m/>
    <x v="125"/>
    <x v="378"/>
    <m/>
    <x v="547"/>
    <x v="590"/>
    <m/>
    <x v="2"/>
    <x v="2"/>
    <m/>
    <n v="44.935699999999997"/>
    <n v="-23.983350000000002"/>
    <m/>
    <m/>
  </r>
  <r>
    <s v="MG51507290080001MAM"/>
    <x v="1"/>
    <x v="1"/>
    <m/>
    <x v="1"/>
    <x v="1"/>
    <m/>
    <x v="1"/>
    <x v="1"/>
    <m/>
    <x v="1"/>
    <x v="1"/>
    <m/>
    <x v="7"/>
    <x v="379"/>
    <m/>
    <x v="548"/>
    <x v="591"/>
    <m/>
    <x v="2"/>
    <x v="2"/>
    <m/>
    <n v="44.917900000000003"/>
    <n v="-23.99755"/>
    <m/>
    <m/>
  </r>
  <r>
    <s v="MG52518251089001MAM"/>
    <x v="1"/>
    <x v="1"/>
    <m/>
    <x v="1"/>
    <x v="1"/>
    <m/>
    <x v="1"/>
    <x v="1"/>
    <m/>
    <x v="1"/>
    <x v="1"/>
    <m/>
    <x v="519"/>
    <x v="380"/>
    <m/>
    <x v="549"/>
    <x v="592"/>
    <m/>
    <x v="2"/>
    <x v="2"/>
    <m/>
    <n v="44.917900000000003"/>
    <n v="-23.99755"/>
    <m/>
    <m/>
  </r>
  <r>
    <s v="MG52518251091001MAM"/>
    <x v="1"/>
    <x v="1"/>
    <m/>
    <x v="1"/>
    <x v="1"/>
    <m/>
    <x v="1"/>
    <x v="1"/>
    <m/>
    <x v="1"/>
    <x v="1"/>
    <m/>
    <x v="259"/>
    <x v="381"/>
    <m/>
    <x v="268"/>
    <x v="593"/>
    <m/>
    <x v="2"/>
    <x v="2"/>
    <m/>
    <n v="44.954700000000003"/>
    <n v="-23.970020000000002"/>
    <m/>
    <m/>
  </r>
  <r>
    <s v="MG52518251092001MAM"/>
    <x v="1"/>
    <x v="1"/>
    <m/>
    <x v="1"/>
    <x v="1"/>
    <m/>
    <x v="1"/>
    <x v="1"/>
    <m/>
    <x v="1"/>
    <x v="1"/>
    <m/>
    <x v="520"/>
    <x v="382"/>
    <m/>
    <x v="550"/>
    <x v="594"/>
    <m/>
    <x v="2"/>
    <x v="2"/>
    <m/>
    <n v="44.95778"/>
    <n v="-23.992249999999999"/>
    <m/>
    <m/>
  </r>
  <r>
    <s v="MG24216070003001MAM"/>
    <x v="0"/>
    <x v="0"/>
    <m/>
    <x v="4"/>
    <x v="4"/>
    <m/>
    <x v="12"/>
    <x v="12"/>
    <m/>
    <x v="90"/>
    <x v="90"/>
    <m/>
    <x v="521"/>
    <x v="383"/>
    <m/>
    <x v="551"/>
    <x v="595"/>
    <m/>
    <x v="2"/>
    <x v="2"/>
    <m/>
    <n v="47.457850000000001"/>
    <n v="-22.528099999999998"/>
    <m/>
    <m/>
  </r>
  <r>
    <s v="MG41405090003001MAM"/>
    <x v="0"/>
    <x v="0"/>
    <m/>
    <x v="4"/>
    <x v="4"/>
    <m/>
    <x v="12"/>
    <x v="12"/>
    <m/>
    <x v="90"/>
    <x v="90"/>
    <m/>
    <x v="522"/>
    <x v="384"/>
    <m/>
    <x v="552"/>
    <x v="596"/>
    <m/>
    <x v="2"/>
    <x v="2"/>
    <m/>
    <n v="47.52413"/>
    <n v="-22.562670000000001"/>
    <m/>
    <m/>
  </r>
  <r>
    <s v="MG52516151004001MAM"/>
    <x v="5"/>
    <x v="5"/>
    <m/>
    <x v="2"/>
    <x v="2"/>
    <m/>
    <x v="6"/>
    <x v="6"/>
    <m/>
    <x v="24"/>
    <x v="24"/>
    <m/>
    <x v="227"/>
    <x v="385"/>
    <m/>
    <x v="553"/>
    <x v="597"/>
    <m/>
    <x v="2"/>
    <x v="2"/>
    <m/>
    <n v="45.552079999999997"/>
    <n v="-24.699369999999998"/>
    <m/>
    <m/>
  </r>
  <r>
    <s v="MG52516151005001MAM"/>
    <x v="5"/>
    <x v="5"/>
    <m/>
    <x v="2"/>
    <x v="2"/>
    <m/>
    <x v="6"/>
    <x v="6"/>
    <m/>
    <x v="24"/>
    <x v="24"/>
    <m/>
    <x v="523"/>
    <x v="386"/>
    <m/>
    <x v="554"/>
    <x v="598"/>
    <m/>
    <x v="2"/>
    <x v="2"/>
    <m/>
    <n v="45.613880000000002"/>
    <n v="-24.562470000000001"/>
    <m/>
    <m/>
  </r>
  <r>
    <s v="MG52516151010001MAM"/>
    <x v="5"/>
    <x v="5"/>
    <m/>
    <x v="2"/>
    <x v="2"/>
    <m/>
    <x v="6"/>
    <x v="6"/>
    <m/>
    <x v="24"/>
    <x v="24"/>
    <m/>
    <x v="524"/>
    <x v="387"/>
    <m/>
    <x v="555"/>
    <x v="599"/>
    <m/>
    <x v="2"/>
    <x v="2"/>
    <m/>
    <n v="45.636130000000001"/>
    <n v="-24.59205"/>
    <m/>
    <m/>
  </r>
  <r>
    <s v="MG52516151015001MAM"/>
    <x v="5"/>
    <x v="5"/>
    <m/>
    <x v="2"/>
    <x v="2"/>
    <m/>
    <x v="6"/>
    <x v="6"/>
    <m/>
    <x v="24"/>
    <x v="24"/>
    <m/>
    <x v="111"/>
    <x v="388"/>
    <m/>
    <x v="157"/>
    <x v="600"/>
    <m/>
    <x v="2"/>
    <x v="2"/>
    <m/>
    <n v="45.986879999999999"/>
    <n v="-25.12378"/>
    <m/>
    <m/>
  </r>
  <r>
    <s v="MG52516151065001MAM"/>
    <x v="5"/>
    <x v="5"/>
    <m/>
    <x v="2"/>
    <x v="2"/>
    <m/>
    <x v="6"/>
    <x v="6"/>
    <m/>
    <x v="24"/>
    <x v="24"/>
    <m/>
    <x v="151"/>
    <x v="389"/>
    <m/>
    <x v="556"/>
    <x v="601"/>
    <m/>
    <x v="2"/>
    <x v="2"/>
    <m/>
    <n v="45.604469000000002"/>
    <n v="-24.694144000000001"/>
    <m/>
    <m/>
  </r>
  <r>
    <s v="MG52518251077001MAM"/>
    <x v="5"/>
    <x v="5"/>
    <m/>
    <x v="2"/>
    <x v="2"/>
    <m/>
    <x v="6"/>
    <x v="6"/>
    <m/>
    <x v="24"/>
    <x v="24"/>
    <m/>
    <x v="525"/>
    <x v="390"/>
    <m/>
    <x v="557"/>
    <x v="602"/>
    <m/>
    <x v="2"/>
    <x v="2"/>
    <m/>
    <n v="45.660919999999997"/>
    <n v="-24.750630000000001"/>
    <m/>
    <m/>
  </r>
  <r>
    <s v="MG52518251078001MAM"/>
    <x v="5"/>
    <x v="5"/>
    <m/>
    <x v="2"/>
    <x v="2"/>
    <m/>
    <x v="6"/>
    <x v="6"/>
    <m/>
    <x v="24"/>
    <x v="24"/>
    <m/>
    <x v="526"/>
    <x v="391"/>
    <m/>
    <x v="558"/>
    <x v="603"/>
    <m/>
    <x v="2"/>
    <x v="2"/>
    <m/>
    <n v="45.569270000000003"/>
    <n v="-24.54327"/>
    <m/>
    <m/>
  </r>
  <r>
    <s v="MG52518251079001MAM"/>
    <x v="5"/>
    <x v="5"/>
    <m/>
    <x v="2"/>
    <x v="2"/>
    <m/>
    <x v="6"/>
    <x v="6"/>
    <m/>
    <x v="24"/>
    <x v="24"/>
    <m/>
    <x v="527"/>
    <x v="392"/>
    <m/>
    <x v="559"/>
    <x v="604"/>
    <m/>
    <x v="2"/>
    <x v="2"/>
    <m/>
    <n v="45.598849999999999"/>
    <n v="-24.66713"/>
    <m/>
    <m/>
  </r>
  <r>
    <s v="MG52518251080001MAM"/>
    <x v="5"/>
    <x v="5"/>
    <m/>
    <x v="2"/>
    <x v="2"/>
    <m/>
    <x v="6"/>
    <x v="6"/>
    <m/>
    <x v="24"/>
    <x v="24"/>
    <m/>
    <x v="528"/>
    <x v="393"/>
    <m/>
    <x v="560"/>
    <x v="605"/>
    <m/>
    <x v="2"/>
    <x v="2"/>
    <m/>
    <n v="45.565170000000002"/>
    <n v="-24.541799999999999"/>
    <m/>
    <m/>
  </r>
  <r>
    <s v="MG52518251081001MAM"/>
    <x v="5"/>
    <x v="5"/>
    <m/>
    <x v="2"/>
    <x v="2"/>
    <m/>
    <x v="6"/>
    <x v="6"/>
    <m/>
    <x v="24"/>
    <x v="24"/>
    <m/>
    <x v="529"/>
    <x v="394"/>
    <m/>
    <x v="561"/>
    <x v="606"/>
    <m/>
    <x v="2"/>
    <x v="2"/>
    <m/>
    <n v="45.489519999999999"/>
    <n v="-24.746479999999998"/>
    <m/>
    <m/>
  </r>
  <r>
    <s v="MG52518251082001MAM"/>
    <x v="5"/>
    <x v="5"/>
    <m/>
    <x v="2"/>
    <x v="2"/>
    <m/>
    <x v="6"/>
    <x v="6"/>
    <m/>
    <x v="24"/>
    <x v="24"/>
    <m/>
    <x v="530"/>
    <x v="395"/>
    <m/>
    <x v="562"/>
    <x v="607"/>
    <m/>
    <x v="2"/>
    <x v="2"/>
    <m/>
    <n v="45.490279999999998"/>
    <n v="-24.737850000000002"/>
    <m/>
    <m/>
  </r>
  <r>
    <s v="MG23211092006001MAM"/>
    <x v="0"/>
    <x v="0"/>
    <m/>
    <x v="0"/>
    <x v="0"/>
    <m/>
    <x v="14"/>
    <x v="14"/>
    <m/>
    <x v="91"/>
    <x v="91"/>
    <m/>
    <x v="531"/>
    <x v="396"/>
    <m/>
    <x v="563"/>
    <x v="608"/>
    <m/>
    <x v="2"/>
    <x v="2"/>
    <m/>
    <n v="47.536450000000002"/>
    <n v="-21.480730000000001"/>
    <m/>
    <m/>
  </r>
  <r>
    <s v="MG25217030008001MAM"/>
    <x v="0"/>
    <x v="0"/>
    <m/>
    <x v="4"/>
    <x v="4"/>
    <m/>
    <x v="12"/>
    <x v="12"/>
    <m/>
    <x v="92"/>
    <x v="92"/>
    <m/>
    <x v="532"/>
    <x v="397"/>
    <m/>
    <x v="564"/>
    <x v="609"/>
    <m/>
    <x v="2"/>
    <x v="2"/>
    <m/>
    <n v="47.344079999999998"/>
    <n v="-22.813379999999999"/>
    <m/>
    <m/>
  </r>
  <r>
    <s v="MG25217030013001MAM"/>
    <x v="0"/>
    <x v="0"/>
    <m/>
    <x v="4"/>
    <x v="4"/>
    <m/>
    <x v="12"/>
    <x v="12"/>
    <m/>
    <x v="92"/>
    <x v="92"/>
    <m/>
    <x v="533"/>
    <x v="398"/>
    <m/>
    <x v="565"/>
    <x v="610"/>
    <m/>
    <x v="2"/>
    <x v="2"/>
    <m/>
    <n v="47.374130000000001"/>
    <n v="-22.877500000000001"/>
    <m/>
    <m/>
  </r>
  <r>
    <s v="MG41405150010001MAM"/>
    <x v="0"/>
    <x v="0"/>
    <m/>
    <x v="4"/>
    <x v="4"/>
    <m/>
    <x v="12"/>
    <x v="12"/>
    <m/>
    <x v="92"/>
    <x v="92"/>
    <m/>
    <x v="534"/>
    <x v="399"/>
    <m/>
    <x v="566"/>
    <x v="611"/>
    <m/>
    <x v="2"/>
    <x v="2"/>
    <m/>
    <n v="47.36468"/>
    <n v="-22.800470000000001"/>
    <m/>
    <m/>
  </r>
  <r>
    <s v="MG52516130056001MAM"/>
    <x v="5"/>
    <x v="5"/>
    <m/>
    <x v="2"/>
    <x v="2"/>
    <m/>
    <x v="6"/>
    <x v="6"/>
    <m/>
    <x v="92"/>
    <x v="93"/>
    <m/>
    <x v="535"/>
    <x v="400"/>
    <m/>
    <x v="567"/>
    <x v="612"/>
    <m/>
    <x v="2"/>
    <x v="2"/>
    <m/>
    <n v="45.715919999999997"/>
    <n v="-24.608219999999999"/>
    <m/>
    <m/>
  </r>
  <r>
    <s v="MG52516130057001MAM"/>
    <x v="5"/>
    <x v="5"/>
    <m/>
    <x v="2"/>
    <x v="2"/>
    <m/>
    <x v="6"/>
    <x v="6"/>
    <m/>
    <x v="92"/>
    <x v="93"/>
    <m/>
    <x v="536"/>
    <x v="401"/>
    <m/>
    <x v="568"/>
    <x v="613"/>
    <m/>
    <x v="2"/>
    <x v="2"/>
    <m/>
    <n v="45.728119999999997"/>
    <n v="-24.577100000000002"/>
    <m/>
    <m/>
  </r>
  <r>
    <s v="MG52516130a_10001MAM"/>
    <x v="5"/>
    <x v="5"/>
    <m/>
    <x v="2"/>
    <x v="2"/>
    <m/>
    <x v="6"/>
    <x v="6"/>
    <m/>
    <x v="92"/>
    <x v="93"/>
    <m/>
    <x v="537"/>
    <x v="402"/>
    <m/>
    <x v="569"/>
    <x v="614"/>
    <m/>
    <x v="2"/>
    <x v="2"/>
    <m/>
    <n v="45.762070000000001"/>
    <n v="-24.584620000000001"/>
    <m/>
    <m/>
  </r>
  <r>
    <s v="MG52516130a_14001MAM"/>
    <x v="5"/>
    <x v="5"/>
    <m/>
    <x v="2"/>
    <x v="2"/>
    <m/>
    <x v="6"/>
    <x v="6"/>
    <m/>
    <x v="92"/>
    <x v="93"/>
    <m/>
    <x v="538"/>
    <x v="403"/>
    <m/>
    <x v="570"/>
    <x v="615"/>
    <m/>
    <x v="2"/>
    <x v="2"/>
    <m/>
    <n v="45.790370000000003"/>
    <n v="-24.60727"/>
    <m/>
    <m/>
  </r>
  <r>
    <s v="MG52516170033001MAM"/>
    <x v="5"/>
    <x v="5"/>
    <m/>
    <x v="2"/>
    <x v="2"/>
    <m/>
    <x v="6"/>
    <x v="6"/>
    <m/>
    <x v="93"/>
    <x v="94"/>
    <m/>
    <x v="539"/>
    <x v="404"/>
    <m/>
    <x v="571"/>
    <x v="616"/>
    <m/>
    <x v="2"/>
    <x v="2"/>
    <m/>
    <n v="45.60577"/>
    <n v="-25.05247"/>
    <m/>
    <m/>
  </r>
  <r>
    <s v="MG52516170077001MAM"/>
    <x v="5"/>
    <x v="5"/>
    <m/>
    <x v="2"/>
    <x v="2"/>
    <m/>
    <x v="6"/>
    <x v="6"/>
    <m/>
    <x v="93"/>
    <x v="94"/>
    <m/>
    <x v="540"/>
    <x v="405"/>
    <m/>
    <x v="572"/>
    <x v="617"/>
    <m/>
    <x v="2"/>
    <x v="2"/>
    <m/>
    <n v="45.584870000000002"/>
    <n v="-25.065370000000001"/>
    <m/>
    <m/>
  </r>
  <r>
    <s v="MG52516170078001MAM"/>
    <x v="5"/>
    <x v="5"/>
    <m/>
    <x v="2"/>
    <x v="2"/>
    <m/>
    <x v="6"/>
    <x v="6"/>
    <m/>
    <x v="93"/>
    <x v="94"/>
    <m/>
    <x v="541"/>
    <x v="406"/>
    <m/>
    <x v="573"/>
    <x v="618"/>
    <m/>
    <x v="2"/>
    <x v="2"/>
    <m/>
    <n v="45.588470000000001"/>
    <n v="-25.052949999999999"/>
    <m/>
    <m/>
  </r>
  <r>
    <s v="MG52516170079001MAM"/>
    <x v="5"/>
    <x v="5"/>
    <m/>
    <x v="2"/>
    <x v="2"/>
    <m/>
    <x v="6"/>
    <x v="6"/>
    <m/>
    <x v="93"/>
    <x v="94"/>
    <m/>
    <x v="542"/>
    <x v="407"/>
    <m/>
    <x v="574"/>
    <x v="619"/>
    <m/>
    <x v="2"/>
    <x v="2"/>
    <m/>
    <n v="45.559469999999997"/>
    <n v="-25.04768"/>
    <m/>
    <m/>
  </r>
  <r>
    <s v="MG52516170092001MAM"/>
    <x v="5"/>
    <x v="5"/>
    <m/>
    <x v="2"/>
    <x v="2"/>
    <m/>
    <x v="6"/>
    <x v="6"/>
    <m/>
    <x v="93"/>
    <x v="94"/>
    <m/>
    <x v="543"/>
    <x v="408"/>
    <m/>
    <x v="575"/>
    <x v="620"/>
    <m/>
    <x v="2"/>
    <x v="2"/>
    <m/>
    <n v="45.628230000000002"/>
    <n v="-25.07423"/>
    <m/>
    <m/>
  </r>
  <r>
    <s v="MG25215031001001MAM"/>
    <x v="0"/>
    <x v="0"/>
    <m/>
    <x v="4"/>
    <x v="4"/>
    <m/>
    <x v="16"/>
    <x v="16"/>
    <m/>
    <x v="94"/>
    <x v="95"/>
    <m/>
    <x v="544"/>
    <x v="409"/>
    <m/>
    <x v="576"/>
    <x v="621"/>
    <m/>
    <x v="2"/>
    <x v="2"/>
    <m/>
    <n v="46.999569999999999"/>
    <n v="-23.49532"/>
    <m/>
    <m/>
  </r>
  <r>
    <s v="MG25215031003001MAM"/>
    <x v="0"/>
    <x v="0"/>
    <m/>
    <x v="4"/>
    <x v="4"/>
    <m/>
    <x v="16"/>
    <x v="16"/>
    <m/>
    <x v="94"/>
    <x v="95"/>
    <m/>
    <x v="545"/>
    <x v="410"/>
    <m/>
    <x v="577"/>
    <x v="622"/>
    <m/>
    <x v="2"/>
    <x v="2"/>
    <m/>
    <n v="46.96358"/>
    <n v="-23.411919999999999"/>
    <m/>
    <m/>
  </r>
  <r>
    <s v="MG51506191001001MAM"/>
    <x v="3"/>
    <x v="3"/>
    <m/>
    <x v="1"/>
    <x v="1"/>
    <m/>
    <x v="3"/>
    <x v="3"/>
    <m/>
    <x v="95"/>
    <x v="96"/>
    <m/>
    <x v="546"/>
    <x v="411"/>
    <m/>
    <x v="578"/>
    <x v="623"/>
    <m/>
    <x v="2"/>
    <x v="2"/>
    <m/>
    <n v="44.527569999999997"/>
    <n v="-23.378820000000001"/>
    <m/>
    <m/>
  </r>
  <r>
    <s v="MG51506191005001MAM"/>
    <x v="3"/>
    <x v="3"/>
    <m/>
    <x v="1"/>
    <x v="1"/>
    <m/>
    <x v="3"/>
    <x v="3"/>
    <m/>
    <x v="95"/>
    <x v="96"/>
    <m/>
    <x v="547"/>
    <x v="412"/>
    <m/>
    <x v="579"/>
    <x v="624"/>
    <m/>
    <x v="2"/>
    <x v="2"/>
    <m/>
    <n v="44.572099999999999"/>
    <n v="-23.361719999999998"/>
    <m/>
    <m/>
  </r>
  <r>
    <s v="MG51506191008001MAM"/>
    <x v="3"/>
    <x v="3"/>
    <m/>
    <x v="1"/>
    <x v="1"/>
    <m/>
    <x v="3"/>
    <x v="3"/>
    <m/>
    <x v="95"/>
    <x v="96"/>
    <m/>
    <x v="548"/>
    <x v="413"/>
    <m/>
    <x v="580"/>
    <x v="625"/>
    <m/>
    <x v="2"/>
    <x v="2"/>
    <m/>
    <n v="44.516620000000003"/>
    <n v="-23.393550000000001"/>
    <m/>
    <m/>
  </r>
  <r>
    <s v="MG51506191009001MAM"/>
    <x v="3"/>
    <x v="3"/>
    <m/>
    <x v="1"/>
    <x v="1"/>
    <m/>
    <x v="3"/>
    <x v="3"/>
    <m/>
    <x v="95"/>
    <x v="96"/>
    <m/>
    <x v="549"/>
    <x v="414"/>
    <m/>
    <x v="581"/>
    <x v="626"/>
    <m/>
    <x v="2"/>
    <x v="2"/>
    <m/>
    <n v="44.543680000000002"/>
    <n v="-23.393630000000002"/>
    <m/>
    <m/>
  </r>
  <r>
    <s v="MG51506191011001MAM"/>
    <x v="3"/>
    <x v="3"/>
    <m/>
    <x v="1"/>
    <x v="1"/>
    <m/>
    <x v="3"/>
    <x v="3"/>
    <m/>
    <x v="95"/>
    <x v="96"/>
    <m/>
    <x v="550"/>
    <x v="415"/>
    <m/>
    <x v="582"/>
    <x v="627"/>
    <m/>
    <x v="2"/>
    <x v="2"/>
    <m/>
    <n v="44.512250000000002"/>
    <n v="-23.39818"/>
    <m/>
    <m/>
  </r>
  <r>
    <s v="MG51506191013001MAM"/>
    <x v="3"/>
    <x v="3"/>
    <m/>
    <x v="1"/>
    <x v="1"/>
    <m/>
    <x v="3"/>
    <x v="3"/>
    <m/>
    <x v="95"/>
    <x v="96"/>
    <m/>
    <x v="502"/>
    <x v="416"/>
    <m/>
    <x v="583"/>
    <x v="628"/>
    <m/>
    <x v="2"/>
    <x v="2"/>
    <m/>
    <n v="44.504649999999998"/>
    <n v="-23.414770000000001"/>
    <m/>
    <m/>
  </r>
  <r>
    <s v="MG51506191014001MAM"/>
    <x v="3"/>
    <x v="3"/>
    <m/>
    <x v="1"/>
    <x v="1"/>
    <m/>
    <x v="3"/>
    <x v="3"/>
    <m/>
    <x v="95"/>
    <x v="96"/>
    <m/>
    <x v="551"/>
    <x v="417"/>
    <m/>
    <x v="584"/>
    <x v="629"/>
    <m/>
    <x v="2"/>
    <x v="2"/>
    <m/>
    <n v="44.494520000000001"/>
    <n v="-23.427379999999999"/>
    <m/>
    <m/>
  </r>
  <r>
    <s v="MG51506191015001MAM"/>
    <x v="3"/>
    <x v="3"/>
    <m/>
    <x v="1"/>
    <x v="1"/>
    <m/>
    <x v="3"/>
    <x v="3"/>
    <m/>
    <x v="95"/>
    <x v="96"/>
    <m/>
    <x v="552"/>
    <x v="418"/>
    <m/>
    <x v="585"/>
    <x v="630"/>
    <m/>
    <x v="2"/>
    <x v="2"/>
    <m/>
    <n v="44.505270000000003"/>
    <n v="-23.439350000000001"/>
    <m/>
    <m/>
  </r>
  <r>
    <s v="MG51506191058001MAM"/>
    <x v="3"/>
    <x v="3"/>
    <m/>
    <x v="1"/>
    <x v="1"/>
    <m/>
    <x v="3"/>
    <x v="3"/>
    <m/>
    <x v="95"/>
    <x v="96"/>
    <m/>
    <x v="225"/>
    <x v="419"/>
    <m/>
    <x v="586"/>
    <x v="631"/>
    <m/>
    <x v="2"/>
    <x v="2"/>
    <m/>
    <n v="44.478029999999997"/>
    <n v="-23.393170000000001"/>
    <m/>
    <m/>
  </r>
  <r>
    <s v="MG51506210008001MAM"/>
    <x v="3"/>
    <x v="3"/>
    <m/>
    <x v="1"/>
    <x v="1"/>
    <m/>
    <x v="3"/>
    <x v="3"/>
    <m/>
    <x v="95"/>
    <x v="96"/>
    <m/>
    <x v="553"/>
    <x v="420"/>
    <m/>
    <x v="587"/>
    <x v="632"/>
    <m/>
    <x v="2"/>
    <x v="2"/>
    <m/>
    <n v="44.866169999999997"/>
    <n v="-23.872920000000001"/>
    <m/>
    <m/>
  </r>
  <r>
    <s v="MG51507310039002MAM"/>
    <x v="1"/>
    <x v="1"/>
    <m/>
    <x v="1"/>
    <x v="1"/>
    <m/>
    <x v="1"/>
    <x v="1"/>
    <m/>
    <x v="2"/>
    <x v="2"/>
    <m/>
    <x v="13"/>
    <x v="13"/>
    <m/>
    <x v="588"/>
    <x v="633"/>
    <m/>
    <x v="2"/>
    <x v="2"/>
    <m/>
    <n v="44.097749999999998"/>
    <n v="-24.936669999999999"/>
    <m/>
    <m/>
  </r>
  <r>
    <s v="MG51507310044002MAM"/>
    <x v="1"/>
    <x v="1"/>
    <m/>
    <x v="1"/>
    <x v="1"/>
    <m/>
    <x v="1"/>
    <x v="1"/>
    <m/>
    <x v="2"/>
    <x v="2"/>
    <m/>
    <x v="14"/>
    <x v="14"/>
    <m/>
    <x v="589"/>
    <x v="634"/>
    <m/>
    <x v="2"/>
    <x v="2"/>
    <m/>
    <n v="44.094670000000001"/>
    <n v="-24.970269999999999"/>
    <m/>
    <m/>
  </r>
  <r>
    <s v="MG51507310046002MAM"/>
    <x v="1"/>
    <x v="1"/>
    <m/>
    <x v="1"/>
    <x v="1"/>
    <m/>
    <x v="1"/>
    <x v="1"/>
    <m/>
    <x v="2"/>
    <x v="2"/>
    <m/>
    <x v="15"/>
    <x v="15"/>
    <m/>
    <x v="590"/>
    <x v="635"/>
    <m/>
    <x v="2"/>
    <x v="2"/>
    <m/>
    <n v="44.107199999999999"/>
    <n v="-24.984819999999999"/>
    <m/>
    <m/>
  </r>
  <r>
    <s v="MG51507310036001MAM"/>
    <x v="1"/>
    <x v="1"/>
    <m/>
    <x v="1"/>
    <x v="1"/>
    <m/>
    <x v="1"/>
    <x v="1"/>
    <m/>
    <x v="2"/>
    <x v="2"/>
    <m/>
    <x v="263"/>
    <x v="421"/>
    <m/>
    <x v="272"/>
    <x v="636"/>
    <m/>
    <x v="2"/>
    <x v="2"/>
    <m/>
    <n v="44.046570000000003"/>
    <n v="-24.878299999999999"/>
    <m/>
    <m/>
  </r>
  <r>
    <s v="MG51507310040001MAM"/>
    <x v="1"/>
    <x v="1"/>
    <m/>
    <x v="1"/>
    <x v="1"/>
    <m/>
    <x v="1"/>
    <x v="1"/>
    <m/>
    <x v="2"/>
    <x v="2"/>
    <m/>
    <x v="554"/>
    <x v="422"/>
    <m/>
    <x v="591"/>
    <x v="637"/>
    <m/>
    <x v="2"/>
    <x v="2"/>
    <m/>
    <n v="44.116880000000002"/>
    <n v="-24.950019999999999"/>
    <m/>
    <m/>
  </r>
  <r>
    <s v="MG51507310041001MAM"/>
    <x v="1"/>
    <x v="1"/>
    <m/>
    <x v="1"/>
    <x v="1"/>
    <m/>
    <x v="1"/>
    <x v="1"/>
    <m/>
    <x v="2"/>
    <x v="2"/>
    <m/>
    <x v="555"/>
    <x v="423"/>
    <m/>
    <x v="592"/>
    <x v="638"/>
    <m/>
    <x v="2"/>
    <x v="2"/>
    <m/>
    <n v="44.105879999999999"/>
    <n v="-24.946950000000001"/>
    <m/>
    <m/>
  </r>
  <r>
    <s v="MG51507310042001MAM"/>
    <x v="1"/>
    <x v="1"/>
    <m/>
    <x v="1"/>
    <x v="1"/>
    <m/>
    <x v="1"/>
    <x v="1"/>
    <m/>
    <x v="2"/>
    <x v="2"/>
    <m/>
    <x v="556"/>
    <x v="424"/>
    <m/>
    <x v="593"/>
    <x v="639"/>
    <m/>
    <x v="2"/>
    <x v="2"/>
    <m/>
    <n v="44.120930000000001"/>
    <n v="-24.951879999999999"/>
    <m/>
    <m/>
  </r>
  <r>
    <s v="MG51507310043001MAM"/>
    <x v="1"/>
    <x v="1"/>
    <m/>
    <x v="1"/>
    <x v="1"/>
    <m/>
    <x v="1"/>
    <x v="1"/>
    <m/>
    <x v="2"/>
    <x v="2"/>
    <m/>
    <x v="557"/>
    <x v="425"/>
    <m/>
    <x v="594"/>
    <x v="640"/>
    <m/>
    <x v="2"/>
    <x v="2"/>
    <m/>
    <n v="44.13017"/>
    <n v="-24.970420000000001"/>
    <m/>
    <m/>
  </r>
  <r>
    <s v="MG51507310045001MAM"/>
    <x v="1"/>
    <x v="1"/>
    <m/>
    <x v="1"/>
    <x v="1"/>
    <m/>
    <x v="1"/>
    <x v="1"/>
    <m/>
    <x v="2"/>
    <x v="2"/>
    <m/>
    <x v="558"/>
    <x v="426"/>
    <m/>
    <x v="595"/>
    <x v="641"/>
    <m/>
    <x v="2"/>
    <x v="2"/>
    <m/>
    <n v="44.112749999999998"/>
    <n v="-24.977270000000001"/>
    <m/>
    <m/>
  </r>
  <r>
    <s v="MG51507310090001MAM"/>
    <x v="1"/>
    <x v="1"/>
    <m/>
    <x v="1"/>
    <x v="1"/>
    <m/>
    <x v="1"/>
    <x v="1"/>
    <m/>
    <x v="2"/>
    <x v="2"/>
    <m/>
    <x v="559"/>
    <x v="427"/>
    <m/>
    <x v="596"/>
    <x v="642"/>
    <m/>
    <x v="2"/>
    <x v="2"/>
    <m/>
    <n v="44.070149999999998"/>
    <n v="-24.91995"/>
    <m/>
    <m/>
  </r>
  <r>
    <s v="MG51507230001001MAM"/>
    <x v="1"/>
    <x v="1"/>
    <m/>
    <x v="1"/>
    <x v="1"/>
    <m/>
    <x v="1"/>
    <x v="1"/>
    <m/>
    <x v="43"/>
    <x v="43"/>
    <m/>
    <x v="267"/>
    <x v="428"/>
    <m/>
    <x v="276"/>
    <x v="643"/>
    <m/>
    <x v="2"/>
    <x v="2"/>
    <m/>
    <n v="44.125999999999998"/>
    <n v="-25.009219999999999"/>
    <m/>
    <m/>
  </r>
  <r>
    <s v="MG51507230005001MAM"/>
    <x v="1"/>
    <x v="1"/>
    <m/>
    <x v="1"/>
    <x v="1"/>
    <m/>
    <x v="1"/>
    <x v="1"/>
    <m/>
    <x v="43"/>
    <x v="43"/>
    <m/>
    <x v="268"/>
    <x v="429"/>
    <m/>
    <x v="277"/>
    <x v="644"/>
    <m/>
    <x v="2"/>
    <x v="2"/>
    <m/>
    <n v="44.248779999999996"/>
    <n v="-24.9862"/>
    <m/>
    <m/>
  </r>
  <r>
    <s v="MG51507230007001MAM"/>
    <x v="1"/>
    <x v="1"/>
    <m/>
    <x v="1"/>
    <x v="1"/>
    <m/>
    <x v="1"/>
    <x v="1"/>
    <m/>
    <x v="43"/>
    <x v="43"/>
    <m/>
    <x v="560"/>
    <x v="430"/>
    <m/>
    <x v="597"/>
    <x v="645"/>
    <m/>
    <x v="2"/>
    <x v="2"/>
    <m/>
    <n v="44.089799999999997"/>
    <n v="-24.997219999999999"/>
    <m/>
    <m/>
  </r>
  <r>
    <s v="MG51507230008001MAM"/>
    <x v="1"/>
    <x v="1"/>
    <m/>
    <x v="1"/>
    <x v="1"/>
    <m/>
    <x v="1"/>
    <x v="1"/>
    <m/>
    <x v="43"/>
    <x v="43"/>
    <m/>
    <x v="561"/>
    <x v="431"/>
    <m/>
    <x v="598"/>
    <x v="646"/>
    <m/>
    <x v="2"/>
    <x v="2"/>
    <m/>
    <n v="44.076779999999999"/>
    <n v="-25.011500000000002"/>
    <m/>
    <m/>
  </r>
  <r>
    <s v="MG51507230011001MAM"/>
    <x v="1"/>
    <x v="1"/>
    <m/>
    <x v="1"/>
    <x v="1"/>
    <m/>
    <x v="1"/>
    <x v="1"/>
    <m/>
    <x v="43"/>
    <x v="43"/>
    <m/>
    <x v="562"/>
    <x v="432"/>
    <m/>
    <x v="599"/>
    <x v="647"/>
    <m/>
    <x v="2"/>
    <x v="2"/>
    <m/>
    <n v="44.135779999999997"/>
    <n v="-25.010100000000001"/>
    <m/>
    <m/>
  </r>
  <r>
    <s v="MG51507230012001MAM"/>
    <x v="1"/>
    <x v="1"/>
    <m/>
    <x v="1"/>
    <x v="1"/>
    <m/>
    <x v="1"/>
    <x v="1"/>
    <m/>
    <x v="43"/>
    <x v="43"/>
    <m/>
    <x v="563"/>
    <x v="433"/>
    <m/>
    <x v="600"/>
    <x v="648"/>
    <m/>
    <x v="2"/>
    <x v="2"/>
    <m/>
    <n v="44.071420000000003"/>
    <n v="-25.028980000000001"/>
    <m/>
    <m/>
  </r>
  <r>
    <s v="MG51507230015001MAM"/>
    <x v="1"/>
    <x v="1"/>
    <m/>
    <x v="1"/>
    <x v="1"/>
    <m/>
    <x v="1"/>
    <x v="1"/>
    <m/>
    <x v="43"/>
    <x v="43"/>
    <m/>
    <x v="564"/>
    <x v="434"/>
    <m/>
    <x v="601"/>
    <x v="649"/>
    <m/>
    <x v="2"/>
    <x v="2"/>
    <m/>
    <n v="44.162179999999999"/>
    <n v="-24.98197"/>
    <m/>
    <m/>
  </r>
  <r>
    <s v="MG51507230017001MAM"/>
    <x v="1"/>
    <x v="1"/>
    <m/>
    <x v="1"/>
    <x v="1"/>
    <m/>
    <x v="1"/>
    <x v="1"/>
    <m/>
    <x v="43"/>
    <x v="43"/>
    <m/>
    <x v="565"/>
    <x v="435"/>
    <m/>
    <x v="602"/>
    <x v="650"/>
    <m/>
    <x v="2"/>
    <x v="2"/>
    <m/>
    <n v="44.114069999999998"/>
    <n v="-25.074870000000001"/>
    <m/>
    <m/>
  </r>
  <r>
    <s v="MG51507230065001MAM"/>
    <x v="1"/>
    <x v="1"/>
    <m/>
    <x v="1"/>
    <x v="1"/>
    <m/>
    <x v="1"/>
    <x v="1"/>
    <m/>
    <x v="43"/>
    <x v="43"/>
    <m/>
    <x v="566"/>
    <x v="436"/>
    <m/>
    <x v="603"/>
    <x v="651"/>
    <m/>
    <x v="2"/>
    <x v="2"/>
    <m/>
    <n v="44.14855"/>
    <n v="-24.963149999999999"/>
    <m/>
    <m/>
  </r>
  <r>
    <s v="MG51507230067001MAM"/>
    <x v="1"/>
    <x v="1"/>
    <m/>
    <x v="1"/>
    <x v="1"/>
    <m/>
    <x v="1"/>
    <x v="1"/>
    <m/>
    <x v="43"/>
    <x v="43"/>
    <m/>
    <x v="274"/>
    <x v="437"/>
    <m/>
    <x v="283"/>
    <x v="652"/>
    <m/>
    <x v="2"/>
    <x v="2"/>
    <m/>
    <n v="44.18712"/>
    <n v="-24.97495"/>
    <m/>
    <m/>
  </r>
  <r>
    <s v="MG25214112001001MAM"/>
    <x v="0"/>
    <x v="0"/>
    <m/>
    <x v="4"/>
    <x v="4"/>
    <m/>
    <x v="10"/>
    <x v="10"/>
    <m/>
    <x v="96"/>
    <x v="97"/>
    <m/>
    <x v="567"/>
    <x v="438"/>
    <m/>
    <x v="604"/>
    <x v="653"/>
    <m/>
    <x v="2"/>
    <x v="2"/>
    <m/>
    <n v="47.479819999999997"/>
    <n v="-23.200199999999999"/>
    <m/>
    <m/>
  </r>
  <r>
    <s v="MG33312071005001MAM"/>
    <x v="5"/>
    <x v="5"/>
    <m/>
    <x v="2"/>
    <x v="2"/>
    <m/>
    <x v="2"/>
    <x v="2"/>
    <m/>
    <x v="3"/>
    <x v="3"/>
    <m/>
    <x v="568"/>
    <x v="439"/>
    <m/>
    <x v="605"/>
    <x v="654"/>
    <m/>
    <x v="2"/>
    <x v="2"/>
    <m/>
    <n v="45.62003"/>
    <n v="-24.353249999999999"/>
    <m/>
    <m/>
  </r>
  <r>
    <s v="MG52518290001002MAM"/>
    <x v="5"/>
    <x v="5"/>
    <m/>
    <x v="2"/>
    <x v="2"/>
    <m/>
    <x v="2"/>
    <x v="2"/>
    <m/>
    <x v="3"/>
    <x v="3"/>
    <m/>
    <x v="20"/>
    <x v="20"/>
    <m/>
    <x v="606"/>
    <x v="655"/>
    <m/>
    <x v="2"/>
    <x v="2"/>
    <m/>
    <n v="45.621130000000001"/>
    <n v="-24.352399999999999"/>
    <m/>
    <m/>
  </r>
  <r>
    <s v="MG52518290065001MAM"/>
    <x v="5"/>
    <x v="5"/>
    <m/>
    <x v="2"/>
    <x v="2"/>
    <m/>
    <x v="2"/>
    <x v="2"/>
    <m/>
    <x v="3"/>
    <x v="3"/>
    <m/>
    <x v="569"/>
    <x v="440"/>
    <m/>
    <x v="607"/>
    <x v="656"/>
    <m/>
    <x v="2"/>
    <x v="2"/>
    <m/>
    <n v="45.619979999999998"/>
    <n v="-24.296530000000001"/>
    <m/>
    <m/>
  </r>
  <r>
    <s v="MG52518050004001MAM"/>
    <x v="5"/>
    <x v="5"/>
    <m/>
    <x v="2"/>
    <x v="2"/>
    <m/>
    <x v="2"/>
    <x v="2"/>
    <m/>
    <x v="97"/>
    <x v="98"/>
    <m/>
    <x v="570"/>
    <x v="441"/>
    <m/>
    <x v="608"/>
    <x v="657"/>
    <m/>
    <x v="2"/>
    <x v="2"/>
    <m/>
    <n v="45.283320000000003"/>
    <n v="-24.331669999999999"/>
    <m/>
    <m/>
  </r>
  <r>
    <s v="MG52518050072001MAM"/>
    <x v="5"/>
    <x v="5"/>
    <m/>
    <x v="2"/>
    <x v="2"/>
    <m/>
    <x v="2"/>
    <x v="2"/>
    <m/>
    <x v="97"/>
    <x v="98"/>
    <m/>
    <x v="571"/>
    <x v="442"/>
    <m/>
    <x v="609"/>
    <x v="658"/>
    <m/>
    <x v="2"/>
    <x v="2"/>
    <m/>
    <n v="45.269680000000001"/>
    <n v="-24.270479999999999"/>
    <m/>
    <m/>
  </r>
  <r>
    <s v="MG52518050073001MAM"/>
    <x v="5"/>
    <x v="5"/>
    <m/>
    <x v="2"/>
    <x v="2"/>
    <m/>
    <x v="2"/>
    <x v="2"/>
    <m/>
    <x v="97"/>
    <x v="98"/>
    <m/>
    <x v="572"/>
    <x v="443"/>
    <m/>
    <x v="610"/>
    <x v="659"/>
    <m/>
    <x v="2"/>
    <x v="2"/>
    <m/>
    <n v="45.310180000000003"/>
    <n v="-24.27007"/>
    <m/>
    <m/>
  </r>
  <r>
    <s v="MG52518050074001MAM"/>
    <x v="5"/>
    <x v="5"/>
    <m/>
    <x v="2"/>
    <x v="2"/>
    <m/>
    <x v="2"/>
    <x v="2"/>
    <m/>
    <x v="97"/>
    <x v="98"/>
    <m/>
    <x v="573"/>
    <x v="444"/>
    <m/>
    <x v="611"/>
    <x v="660"/>
    <m/>
    <x v="2"/>
    <x v="2"/>
    <m/>
    <n v="45.257170000000002"/>
    <n v="-24.31493"/>
    <m/>
    <m/>
  </r>
  <r>
    <s v="MG52516011029001MAM"/>
    <x v="5"/>
    <x v="5"/>
    <m/>
    <x v="2"/>
    <x v="2"/>
    <m/>
    <x v="6"/>
    <x v="6"/>
    <m/>
    <x v="98"/>
    <x v="29"/>
    <m/>
    <x v="574"/>
    <x v="445"/>
    <m/>
    <x v="612"/>
    <x v="661"/>
    <m/>
    <x v="2"/>
    <x v="2"/>
    <m/>
    <n v="46.022649999999999"/>
    <n v="-25.268920000000001"/>
    <m/>
    <m/>
  </r>
  <r>
    <s v="MG52516011062001MAM"/>
    <x v="5"/>
    <x v="5"/>
    <m/>
    <x v="2"/>
    <x v="2"/>
    <m/>
    <x v="6"/>
    <x v="6"/>
    <m/>
    <x v="98"/>
    <x v="29"/>
    <m/>
    <x v="575"/>
    <x v="446"/>
    <m/>
    <x v="613"/>
    <x v="662"/>
    <m/>
    <x v="2"/>
    <x v="2"/>
    <m/>
    <n v="46.083449999999999"/>
    <n v="-25.00065"/>
    <m/>
    <m/>
  </r>
  <r>
    <s v="MG52516012004001MAM"/>
    <x v="5"/>
    <x v="5"/>
    <m/>
    <x v="2"/>
    <x v="2"/>
    <m/>
    <x v="6"/>
    <x v="6"/>
    <m/>
    <x v="98"/>
    <x v="29"/>
    <m/>
    <x v="576"/>
    <x v="447"/>
    <m/>
    <x v="614"/>
    <x v="663"/>
    <m/>
    <x v="2"/>
    <x v="2"/>
    <m/>
    <n v="45.991579999999999"/>
    <n v="-25.243449999999999"/>
    <m/>
    <m/>
  </r>
  <r>
    <s v="MG52516014009001MAM"/>
    <x v="5"/>
    <x v="5"/>
    <m/>
    <x v="2"/>
    <x v="2"/>
    <m/>
    <x v="6"/>
    <x v="6"/>
    <m/>
    <x v="98"/>
    <x v="29"/>
    <m/>
    <x v="577"/>
    <x v="448"/>
    <m/>
    <x v="615"/>
    <x v="664"/>
    <m/>
    <x v="2"/>
    <x v="2"/>
    <m/>
    <n v="46.197699999999998"/>
    <n v="-25.069700000000001"/>
    <m/>
    <m/>
  </r>
  <r>
    <s v="MG52516014051001MAM"/>
    <x v="5"/>
    <x v="5"/>
    <m/>
    <x v="2"/>
    <x v="2"/>
    <m/>
    <x v="6"/>
    <x v="6"/>
    <m/>
    <x v="98"/>
    <x v="29"/>
    <m/>
    <x v="578"/>
    <x v="449"/>
    <m/>
    <x v="616"/>
    <x v="665"/>
    <m/>
    <x v="2"/>
    <x v="2"/>
    <m/>
    <n v="46.19652"/>
    <n v="-25.082799999999999"/>
    <m/>
    <m/>
  </r>
  <r>
    <s v="MG52516014052001MAM"/>
    <x v="5"/>
    <x v="5"/>
    <m/>
    <x v="2"/>
    <x v="2"/>
    <m/>
    <x v="6"/>
    <x v="6"/>
    <m/>
    <x v="98"/>
    <x v="29"/>
    <m/>
    <x v="579"/>
    <x v="450"/>
    <m/>
    <x v="617"/>
    <x v="666"/>
    <m/>
    <x v="2"/>
    <x v="2"/>
    <m/>
    <n v="46.250480000000003"/>
    <n v="-25.06983"/>
    <m/>
    <m/>
  </r>
  <r>
    <s v="MG52516014053001MAM"/>
    <x v="5"/>
    <x v="5"/>
    <m/>
    <x v="2"/>
    <x v="2"/>
    <m/>
    <x v="6"/>
    <x v="6"/>
    <m/>
    <x v="98"/>
    <x v="29"/>
    <m/>
    <x v="169"/>
    <x v="451"/>
    <m/>
    <x v="173"/>
    <x v="667"/>
    <m/>
    <x v="2"/>
    <x v="2"/>
    <m/>
    <n v="46.19502"/>
    <n v="-25.038969999999999"/>
    <m/>
    <m/>
  </r>
  <r>
    <s v="MG52516014054001MAM"/>
    <x v="5"/>
    <x v="5"/>
    <m/>
    <x v="2"/>
    <x v="2"/>
    <m/>
    <x v="6"/>
    <x v="6"/>
    <m/>
    <x v="98"/>
    <x v="29"/>
    <m/>
    <x v="580"/>
    <x v="452"/>
    <m/>
    <x v="618"/>
    <x v="668"/>
    <m/>
    <x v="2"/>
    <x v="2"/>
    <m/>
    <n v="46.202620000000003"/>
    <n v="-25.091830000000002"/>
    <m/>
    <m/>
  </r>
  <r>
    <s v="MG52516014055001MAM"/>
    <x v="5"/>
    <x v="5"/>
    <m/>
    <x v="2"/>
    <x v="2"/>
    <m/>
    <x v="6"/>
    <x v="6"/>
    <m/>
    <x v="98"/>
    <x v="29"/>
    <m/>
    <x v="581"/>
    <x v="453"/>
    <m/>
    <x v="619"/>
    <x v="669"/>
    <m/>
    <x v="2"/>
    <x v="2"/>
    <m/>
    <n v="46.22222"/>
    <n v="-25.063279999999999"/>
    <m/>
    <m/>
  </r>
  <r>
    <s v="MG52516014056001MAM"/>
    <x v="5"/>
    <x v="5"/>
    <m/>
    <x v="2"/>
    <x v="2"/>
    <m/>
    <x v="6"/>
    <x v="6"/>
    <m/>
    <x v="98"/>
    <x v="29"/>
    <m/>
    <x v="582"/>
    <x v="454"/>
    <m/>
    <x v="620"/>
    <x v="670"/>
    <m/>
    <x v="2"/>
    <x v="2"/>
    <m/>
    <n v="46.220149999999997"/>
    <n v="-25.06317"/>
    <m/>
    <m/>
  </r>
  <r>
    <s v="MG52516014057001MAM"/>
    <x v="5"/>
    <x v="5"/>
    <m/>
    <x v="2"/>
    <x v="2"/>
    <m/>
    <x v="6"/>
    <x v="6"/>
    <m/>
    <x v="98"/>
    <x v="29"/>
    <m/>
    <x v="173"/>
    <x v="455"/>
    <m/>
    <x v="177"/>
    <x v="671"/>
    <m/>
    <x v="2"/>
    <x v="2"/>
    <m/>
    <n v="46.251420000000003"/>
    <n v="-25.069500000000001"/>
    <m/>
    <m/>
  </r>
  <r>
    <s v="MG52516014058001MAM"/>
    <x v="5"/>
    <x v="5"/>
    <m/>
    <x v="2"/>
    <x v="2"/>
    <m/>
    <x v="6"/>
    <x v="6"/>
    <m/>
    <x v="98"/>
    <x v="29"/>
    <m/>
    <x v="583"/>
    <x v="456"/>
    <m/>
    <x v="621"/>
    <x v="672"/>
    <m/>
    <x v="2"/>
    <x v="2"/>
    <m/>
    <n v="46.22878"/>
    <n v="-25.043469999999999"/>
    <m/>
    <m/>
  </r>
  <r>
    <s v="MG52516014059001MAM"/>
    <x v="5"/>
    <x v="5"/>
    <m/>
    <x v="2"/>
    <x v="2"/>
    <m/>
    <x v="6"/>
    <x v="6"/>
    <m/>
    <x v="98"/>
    <x v="29"/>
    <m/>
    <x v="584"/>
    <x v="457"/>
    <m/>
    <x v="622"/>
    <x v="673"/>
    <m/>
    <x v="2"/>
    <x v="2"/>
    <m/>
    <n v="46.239469999999997"/>
    <n v="-25.060300000000002"/>
    <m/>
    <m/>
  </r>
  <r>
    <s v="MG52516014060001MAM"/>
    <x v="5"/>
    <x v="5"/>
    <m/>
    <x v="2"/>
    <x v="2"/>
    <m/>
    <x v="6"/>
    <x v="6"/>
    <m/>
    <x v="98"/>
    <x v="29"/>
    <m/>
    <x v="585"/>
    <x v="458"/>
    <m/>
    <x v="623"/>
    <x v="674"/>
    <m/>
    <x v="2"/>
    <x v="2"/>
    <m/>
    <n v="46.23948"/>
    <n v="-25.05817"/>
    <m/>
    <m/>
  </r>
  <r>
    <s v="MG52516014061001MAM"/>
    <x v="5"/>
    <x v="5"/>
    <m/>
    <x v="2"/>
    <x v="2"/>
    <m/>
    <x v="6"/>
    <x v="6"/>
    <m/>
    <x v="98"/>
    <x v="29"/>
    <m/>
    <x v="586"/>
    <x v="459"/>
    <m/>
    <x v="624"/>
    <x v="675"/>
    <m/>
    <x v="2"/>
    <x v="2"/>
    <m/>
    <n v="46.193579999999997"/>
    <n v="-25.064530000000001"/>
    <m/>
    <m/>
  </r>
  <r>
    <s v="MG52516014062001MAM"/>
    <x v="5"/>
    <x v="5"/>
    <m/>
    <x v="2"/>
    <x v="2"/>
    <m/>
    <x v="6"/>
    <x v="6"/>
    <m/>
    <x v="98"/>
    <x v="29"/>
    <m/>
    <x v="587"/>
    <x v="460"/>
    <m/>
    <x v="625"/>
    <x v="676"/>
    <m/>
    <x v="2"/>
    <x v="2"/>
    <m/>
    <n v="46.151249999999997"/>
    <n v="-25.074750000000002"/>
    <m/>
    <m/>
  </r>
  <r>
    <s v="MG52516014063001MAM"/>
    <x v="5"/>
    <x v="5"/>
    <m/>
    <x v="2"/>
    <x v="2"/>
    <m/>
    <x v="6"/>
    <x v="6"/>
    <m/>
    <x v="98"/>
    <x v="29"/>
    <m/>
    <x v="588"/>
    <x v="461"/>
    <m/>
    <x v="626"/>
    <x v="677"/>
    <m/>
    <x v="2"/>
    <x v="2"/>
    <m/>
    <n v="46.138919999999999"/>
    <n v="-25.00853"/>
    <m/>
    <m/>
  </r>
  <r>
    <s v="MG52516014064001MAM"/>
    <x v="5"/>
    <x v="5"/>
    <m/>
    <x v="2"/>
    <x v="2"/>
    <m/>
    <x v="6"/>
    <x v="6"/>
    <m/>
    <x v="98"/>
    <x v="29"/>
    <m/>
    <x v="589"/>
    <x v="462"/>
    <m/>
    <x v="627"/>
    <x v="678"/>
    <m/>
    <x v="2"/>
    <x v="2"/>
    <m/>
    <n v="46.156399999999998"/>
    <n v="-25.067730000000001"/>
    <m/>
    <m/>
  </r>
  <r>
    <s v="MG25213350001001MAM"/>
    <x v="0"/>
    <x v="0"/>
    <m/>
    <x v="4"/>
    <x v="4"/>
    <m/>
    <x v="11"/>
    <x v="11"/>
    <m/>
    <x v="99"/>
    <x v="99"/>
    <m/>
    <x v="590"/>
    <x v="463"/>
    <m/>
    <x v="628"/>
    <x v="679"/>
    <m/>
    <x v="2"/>
    <x v="2"/>
    <m/>
    <n v="47.632730000000002"/>
    <n v="-23.082820000000002"/>
    <m/>
    <m/>
  </r>
  <r>
    <s v="MG25213350002001MAM"/>
    <x v="0"/>
    <x v="0"/>
    <m/>
    <x v="4"/>
    <x v="4"/>
    <m/>
    <x v="11"/>
    <x v="11"/>
    <m/>
    <x v="99"/>
    <x v="99"/>
    <m/>
    <x v="508"/>
    <x v="464"/>
    <m/>
    <x v="629"/>
    <x v="680"/>
    <m/>
    <x v="2"/>
    <x v="2"/>
    <m/>
    <n v="47.747929999999997"/>
    <n v="-23.019449999999999"/>
    <m/>
    <m/>
  </r>
  <r>
    <s v="MG25213350003001MAM"/>
    <x v="0"/>
    <x v="0"/>
    <m/>
    <x v="4"/>
    <x v="4"/>
    <m/>
    <x v="11"/>
    <x v="11"/>
    <m/>
    <x v="99"/>
    <x v="99"/>
    <m/>
    <x v="591"/>
    <x v="465"/>
    <m/>
    <x v="630"/>
    <x v="681"/>
    <m/>
    <x v="2"/>
    <x v="2"/>
    <m/>
    <n v="47.782530000000001"/>
    <n v="-23.036200000000001"/>
    <m/>
    <m/>
  </r>
  <r>
    <s v="MG25213350005001MAM"/>
    <x v="0"/>
    <x v="0"/>
    <m/>
    <x v="4"/>
    <x v="4"/>
    <m/>
    <x v="11"/>
    <x v="11"/>
    <m/>
    <x v="99"/>
    <x v="99"/>
    <m/>
    <x v="592"/>
    <x v="466"/>
    <m/>
    <x v="631"/>
    <x v="682"/>
    <m/>
    <x v="2"/>
    <x v="2"/>
    <m/>
    <n v="47.613329999999998"/>
    <n v="-23.07357"/>
    <m/>
    <m/>
  </r>
  <r>
    <s v="MG24216031005001MAM"/>
    <x v="5"/>
    <x v="5"/>
    <m/>
    <x v="2"/>
    <x v="2"/>
    <m/>
    <x v="2"/>
    <x v="2"/>
    <m/>
    <x v="100"/>
    <x v="100"/>
    <m/>
    <x v="593"/>
    <x v="467"/>
    <m/>
    <x v="632"/>
    <x v="683"/>
    <m/>
    <x v="2"/>
    <x v="2"/>
    <m/>
    <n v="45.312150000000003"/>
    <n v="-24.182980000000001"/>
    <m/>
    <m/>
  </r>
  <r>
    <s v="MG52518031004001MAM"/>
    <x v="5"/>
    <x v="5"/>
    <m/>
    <x v="2"/>
    <x v="2"/>
    <m/>
    <x v="2"/>
    <x v="2"/>
    <m/>
    <x v="100"/>
    <x v="100"/>
    <m/>
    <x v="594"/>
    <x v="468"/>
    <m/>
    <x v="633"/>
    <x v="684"/>
    <m/>
    <x v="2"/>
    <x v="2"/>
    <m/>
    <n v="45.201500000000003"/>
    <n v="-24.16883"/>
    <m/>
    <m/>
  </r>
  <r>
    <s v="MG52518031005001MAM"/>
    <x v="5"/>
    <x v="5"/>
    <m/>
    <x v="2"/>
    <x v="2"/>
    <m/>
    <x v="2"/>
    <x v="2"/>
    <m/>
    <x v="100"/>
    <x v="100"/>
    <m/>
    <x v="595"/>
    <x v="469"/>
    <m/>
    <x v="634"/>
    <x v="685"/>
    <m/>
    <x v="2"/>
    <x v="2"/>
    <m/>
    <n v="45.263800000000003"/>
    <n v="-24.17812"/>
    <m/>
    <m/>
  </r>
  <r>
    <s v="MG52518031011001MAM"/>
    <x v="5"/>
    <x v="5"/>
    <m/>
    <x v="2"/>
    <x v="2"/>
    <m/>
    <x v="2"/>
    <x v="2"/>
    <m/>
    <x v="100"/>
    <x v="100"/>
    <m/>
    <x v="596"/>
    <x v="470"/>
    <m/>
    <x v="635"/>
    <x v="686"/>
    <m/>
    <x v="2"/>
    <x v="2"/>
    <m/>
    <n v="45.219200000000001"/>
    <n v="-24.204750000000001"/>
    <m/>
    <m/>
  </r>
  <r>
    <s v="MG52518031012001MAM"/>
    <x v="5"/>
    <x v="5"/>
    <m/>
    <x v="2"/>
    <x v="2"/>
    <m/>
    <x v="2"/>
    <x v="2"/>
    <m/>
    <x v="100"/>
    <x v="100"/>
    <m/>
    <x v="597"/>
    <x v="471"/>
    <m/>
    <x v="636"/>
    <x v="687"/>
    <m/>
    <x v="2"/>
    <x v="2"/>
    <m/>
    <n v="45.321129999999997"/>
    <n v="-24.202829999999999"/>
    <m/>
    <m/>
  </r>
  <r>
    <s v="MG52518031013001MAM"/>
    <x v="5"/>
    <x v="5"/>
    <m/>
    <x v="2"/>
    <x v="2"/>
    <m/>
    <x v="2"/>
    <x v="2"/>
    <m/>
    <x v="100"/>
    <x v="100"/>
    <m/>
    <x v="598"/>
    <x v="472"/>
    <m/>
    <x v="637"/>
    <x v="688"/>
    <m/>
    <x v="2"/>
    <x v="2"/>
    <m/>
    <n v="45.24982"/>
    <n v="-24.205850000000002"/>
    <m/>
    <m/>
  </r>
  <r>
    <s v="MG52518031065001MAM"/>
    <x v="5"/>
    <x v="5"/>
    <m/>
    <x v="2"/>
    <x v="2"/>
    <m/>
    <x v="2"/>
    <x v="2"/>
    <m/>
    <x v="100"/>
    <x v="100"/>
    <m/>
    <x v="599"/>
    <x v="473"/>
    <m/>
    <x v="638"/>
    <x v="689"/>
    <m/>
    <x v="2"/>
    <x v="2"/>
    <m/>
    <n v="45.286479999999997"/>
    <n v="-24.193829999999998"/>
    <m/>
    <m/>
  </r>
  <r>
    <s v="MG51506014001001MAM"/>
    <x v="3"/>
    <x v="3"/>
    <m/>
    <x v="1"/>
    <x v="1"/>
    <m/>
    <x v="3"/>
    <x v="3"/>
    <m/>
    <x v="45"/>
    <x v="45"/>
    <m/>
    <x v="292"/>
    <x v="474"/>
    <m/>
    <x v="639"/>
    <x v="690"/>
    <m/>
    <x v="2"/>
    <x v="2"/>
    <m/>
    <n v="44.134619999999998"/>
    <n v="-23.653420000000001"/>
    <m/>
    <m/>
  </r>
  <r>
    <s v="MG51506014002001MAM"/>
    <x v="3"/>
    <x v="3"/>
    <m/>
    <x v="1"/>
    <x v="1"/>
    <m/>
    <x v="3"/>
    <x v="3"/>
    <m/>
    <x v="45"/>
    <x v="45"/>
    <m/>
    <x v="600"/>
    <x v="475"/>
    <m/>
    <x v="640"/>
    <x v="691"/>
    <m/>
    <x v="2"/>
    <x v="2"/>
    <m/>
    <n v="44.08663"/>
    <n v="-23.6356"/>
    <m/>
    <m/>
  </r>
  <r>
    <s v="MG51506014003001MAM"/>
    <x v="3"/>
    <x v="3"/>
    <m/>
    <x v="1"/>
    <x v="1"/>
    <m/>
    <x v="3"/>
    <x v="3"/>
    <m/>
    <x v="45"/>
    <x v="45"/>
    <m/>
    <x v="601"/>
    <x v="476"/>
    <m/>
    <x v="641"/>
    <x v="692"/>
    <m/>
    <x v="2"/>
    <x v="2"/>
    <m/>
    <n v="44.045070000000003"/>
    <n v="-23.633220000000001"/>
    <m/>
    <m/>
  </r>
  <r>
    <s v="MG51506014004001MAM"/>
    <x v="3"/>
    <x v="3"/>
    <m/>
    <x v="1"/>
    <x v="1"/>
    <m/>
    <x v="3"/>
    <x v="3"/>
    <m/>
    <x v="45"/>
    <x v="45"/>
    <m/>
    <x v="117"/>
    <x v="477"/>
    <m/>
    <x v="642"/>
    <x v="693"/>
    <m/>
    <x v="2"/>
    <x v="2"/>
    <m/>
    <n v="44.224432999999998"/>
    <n v="-23.665469999999999"/>
    <m/>
    <m/>
  </r>
  <r>
    <s v="MG51506014005001MAM"/>
    <x v="3"/>
    <x v="3"/>
    <m/>
    <x v="1"/>
    <x v="1"/>
    <m/>
    <x v="3"/>
    <x v="3"/>
    <m/>
    <x v="45"/>
    <x v="45"/>
    <m/>
    <x v="602"/>
    <x v="478"/>
    <m/>
    <x v="643"/>
    <x v="694"/>
    <m/>
    <x v="2"/>
    <x v="2"/>
    <m/>
    <n v="44.150120000000001"/>
    <n v="-23.649100000000001"/>
    <m/>
    <m/>
  </r>
  <r>
    <s v="MG51506014006001MAM"/>
    <x v="3"/>
    <x v="3"/>
    <m/>
    <x v="1"/>
    <x v="1"/>
    <m/>
    <x v="3"/>
    <x v="3"/>
    <m/>
    <x v="45"/>
    <x v="45"/>
    <m/>
    <x v="603"/>
    <x v="479"/>
    <m/>
    <x v="644"/>
    <x v="695"/>
    <m/>
    <x v="2"/>
    <x v="2"/>
    <m/>
    <n v="44.037849999999999"/>
    <n v="-23.666820000000001"/>
    <m/>
    <m/>
  </r>
  <r>
    <s v="MG51506014007001MAM"/>
    <x v="3"/>
    <x v="3"/>
    <m/>
    <x v="1"/>
    <x v="1"/>
    <m/>
    <x v="3"/>
    <x v="3"/>
    <m/>
    <x v="45"/>
    <x v="45"/>
    <m/>
    <x v="604"/>
    <x v="480"/>
    <m/>
    <x v="645"/>
    <x v="696"/>
    <m/>
    <x v="2"/>
    <x v="2"/>
    <m/>
    <n v="44.16713"/>
    <n v="-23.676600000000001"/>
    <m/>
    <m/>
  </r>
  <r>
    <s v="MG51506014008001MAM"/>
    <x v="3"/>
    <x v="3"/>
    <m/>
    <x v="1"/>
    <x v="1"/>
    <m/>
    <x v="3"/>
    <x v="3"/>
    <m/>
    <x v="45"/>
    <x v="45"/>
    <m/>
    <x v="605"/>
    <x v="481"/>
    <m/>
    <x v="646"/>
    <x v="697"/>
    <m/>
    <x v="2"/>
    <x v="2"/>
    <m/>
    <n v="44.192019999999999"/>
    <n v="-23.70628"/>
    <m/>
    <m/>
  </r>
  <r>
    <s v="MG51506014009001MAM"/>
    <x v="3"/>
    <x v="3"/>
    <m/>
    <x v="1"/>
    <x v="1"/>
    <m/>
    <x v="3"/>
    <x v="3"/>
    <m/>
    <x v="45"/>
    <x v="45"/>
    <m/>
    <x v="606"/>
    <x v="482"/>
    <m/>
    <x v="647"/>
    <x v="698"/>
    <m/>
    <x v="2"/>
    <x v="2"/>
    <m/>
    <n v="44.076650000000001"/>
    <n v="-23.703250000000001"/>
    <m/>
    <m/>
  </r>
  <r>
    <s v="MG51506014010001MAM"/>
    <x v="3"/>
    <x v="3"/>
    <m/>
    <x v="1"/>
    <x v="1"/>
    <m/>
    <x v="3"/>
    <x v="3"/>
    <m/>
    <x v="45"/>
    <x v="45"/>
    <m/>
    <x v="607"/>
    <x v="483"/>
    <m/>
    <x v="648"/>
    <x v="699"/>
    <m/>
    <x v="2"/>
    <x v="2"/>
    <m/>
    <n v="44.098770000000002"/>
    <n v="-23.72317"/>
    <m/>
    <m/>
  </r>
  <r>
    <s v="MG51506014056001MAM"/>
    <x v="3"/>
    <x v="3"/>
    <m/>
    <x v="1"/>
    <x v="1"/>
    <m/>
    <x v="3"/>
    <x v="3"/>
    <m/>
    <x v="45"/>
    <x v="45"/>
    <m/>
    <x v="608"/>
    <x v="484"/>
    <m/>
    <x v="649"/>
    <x v="700"/>
    <m/>
    <x v="2"/>
    <x v="2"/>
    <m/>
    <n v="44.068942"/>
    <n v="-23.683827999999998"/>
    <m/>
    <m/>
  </r>
  <r>
    <s v="MG51506090008001MAM"/>
    <x v="3"/>
    <x v="3"/>
    <m/>
    <x v="1"/>
    <x v="1"/>
    <m/>
    <x v="3"/>
    <x v="3"/>
    <m/>
    <x v="45"/>
    <x v="45"/>
    <m/>
    <x v="609"/>
    <x v="485"/>
    <m/>
    <x v="650"/>
    <x v="701"/>
    <m/>
    <x v="2"/>
    <x v="2"/>
    <m/>
    <n v="44.208820000000003"/>
    <n v="-23.54522"/>
    <m/>
    <m/>
  </r>
  <r>
    <s v="MG25215031004001MAM"/>
    <x v="3"/>
    <x v="3"/>
    <m/>
    <x v="1"/>
    <x v="1"/>
    <m/>
    <x v="3"/>
    <x v="3"/>
    <m/>
    <x v="4"/>
    <x v="4"/>
    <m/>
    <x v="610"/>
    <x v="486"/>
    <m/>
    <x v="651"/>
    <x v="702"/>
    <m/>
    <x v="2"/>
    <x v="2"/>
    <m/>
    <n v="44.606223999999997"/>
    <n v="-23.659813"/>
    <m/>
    <m/>
  </r>
  <r>
    <s v="MG51505050005001MAM"/>
    <x v="3"/>
    <x v="3"/>
    <m/>
    <x v="1"/>
    <x v="1"/>
    <m/>
    <x v="3"/>
    <x v="3"/>
    <m/>
    <x v="4"/>
    <x v="4"/>
    <m/>
    <x v="21"/>
    <x v="21"/>
    <m/>
    <x v="652"/>
    <x v="703"/>
    <m/>
    <x v="2"/>
    <x v="2"/>
    <m/>
    <n v="44.573515999999998"/>
    <n v="-23.655821"/>
    <m/>
    <m/>
  </r>
  <r>
    <s v="MG51506130001002MAM"/>
    <x v="3"/>
    <x v="3"/>
    <m/>
    <x v="1"/>
    <x v="1"/>
    <m/>
    <x v="3"/>
    <x v="3"/>
    <m/>
    <x v="4"/>
    <x v="4"/>
    <m/>
    <x v="22"/>
    <x v="22"/>
    <m/>
    <x v="653"/>
    <x v="704"/>
    <m/>
    <x v="2"/>
    <x v="2"/>
    <m/>
    <n v="44.697670000000002"/>
    <n v="-23.654"/>
    <m/>
    <m/>
  </r>
  <r>
    <s v="MG51506130002001MAM"/>
    <x v="3"/>
    <x v="3"/>
    <m/>
    <x v="1"/>
    <x v="1"/>
    <m/>
    <x v="3"/>
    <x v="3"/>
    <m/>
    <x v="4"/>
    <x v="4"/>
    <m/>
    <x v="611"/>
    <x v="487"/>
    <m/>
    <x v="654"/>
    <x v="705"/>
    <m/>
    <x v="2"/>
    <x v="2"/>
    <m/>
    <n v="44.719270000000002"/>
    <n v="-23.619330000000001"/>
    <m/>
    <m/>
  </r>
  <r>
    <s v="MG51506130004001MAM"/>
    <x v="3"/>
    <x v="3"/>
    <m/>
    <x v="1"/>
    <x v="1"/>
    <m/>
    <x v="3"/>
    <x v="3"/>
    <m/>
    <x v="4"/>
    <x v="4"/>
    <m/>
    <x v="612"/>
    <x v="488"/>
    <m/>
    <x v="655"/>
    <x v="706"/>
    <m/>
    <x v="2"/>
    <x v="2"/>
    <m/>
    <n v="44.580219999999997"/>
    <n v="-23.55423"/>
    <m/>
    <m/>
  </r>
  <r>
    <s v="MG51506130005002MAM"/>
    <x v="3"/>
    <x v="3"/>
    <m/>
    <x v="1"/>
    <x v="1"/>
    <m/>
    <x v="3"/>
    <x v="3"/>
    <m/>
    <x v="4"/>
    <x v="4"/>
    <m/>
    <x v="25"/>
    <x v="25"/>
    <m/>
    <x v="656"/>
    <x v="707"/>
    <m/>
    <x v="2"/>
    <x v="2"/>
    <m/>
    <n v="44.612119999999997"/>
    <n v="-23.614699999999999"/>
    <m/>
    <m/>
  </r>
  <r>
    <s v="MG51506130008001MAM"/>
    <x v="3"/>
    <x v="3"/>
    <m/>
    <x v="1"/>
    <x v="1"/>
    <m/>
    <x v="3"/>
    <x v="3"/>
    <m/>
    <x v="4"/>
    <x v="4"/>
    <m/>
    <x v="613"/>
    <x v="489"/>
    <m/>
    <x v="657"/>
    <x v="708"/>
    <m/>
    <x v="2"/>
    <x v="2"/>
    <m/>
    <n v="44.678379999999997"/>
    <n v="-23.613769999999999"/>
    <m/>
    <m/>
  </r>
  <r>
    <s v="MG51506130009001MAM"/>
    <x v="3"/>
    <x v="3"/>
    <m/>
    <x v="1"/>
    <x v="1"/>
    <m/>
    <x v="3"/>
    <x v="3"/>
    <m/>
    <x v="4"/>
    <x v="4"/>
    <m/>
    <x v="614"/>
    <x v="490"/>
    <m/>
    <x v="658"/>
    <x v="709"/>
    <m/>
    <x v="2"/>
    <x v="2"/>
    <m/>
    <n v="44.666600000000003"/>
    <n v="-23.628319999999999"/>
    <m/>
    <m/>
  </r>
  <r>
    <s v="MG51506130010001MAM"/>
    <x v="3"/>
    <x v="3"/>
    <m/>
    <x v="1"/>
    <x v="1"/>
    <m/>
    <x v="3"/>
    <x v="3"/>
    <m/>
    <x v="4"/>
    <x v="4"/>
    <m/>
    <x v="615"/>
    <x v="491"/>
    <m/>
    <x v="659"/>
    <x v="710"/>
    <m/>
    <x v="2"/>
    <x v="2"/>
    <m/>
    <n v="44.651969999999999"/>
    <n v="-23.654050000000002"/>
    <m/>
    <m/>
  </r>
  <r>
    <s v="MG51506130011001MAM"/>
    <x v="3"/>
    <x v="3"/>
    <m/>
    <x v="1"/>
    <x v="1"/>
    <m/>
    <x v="3"/>
    <x v="3"/>
    <m/>
    <x v="4"/>
    <x v="4"/>
    <m/>
    <x v="616"/>
    <x v="492"/>
    <m/>
    <x v="660"/>
    <x v="711"/>
    <m/>
    <x v="2"/>
    <x v="2"/>
    <m/>
    <n v="44.64443"/>
    <n v="-23.66535"/>
    <m/>
    <m/>
  </r>
  <r>
    <s v="MG51506130012001MAM"/>
    <x v="3"/>
    <x v="3"/>
    <m/>
    <x v="1"/>
    <x v="1"/>
    <m/>
    <x v="3"/>
    <x v="3"/>
    <m/>
    <x v="4"/>
    <x v="4"/>
    <m/>
    <x v="617"/>
    <x v="493"/>
    <m/>
    <x v="661"/>
    <x v="712"/>
    <m/>
    <x v="2"/>
    <x v="2"/>
    <m/>
    <n v="44.711449999999999"/>
    <n v="-23.727820000000001"/>
    <m/>
    <m/>
  </r>
  <r>
    <s v="MG51506130017001MAM"/>
    <x v="3"/>
    <x v="3"/>
    <m/>
    <x v="1"/>
    <x v="1"/>
    <m/>
    <x v="3"/>
    <x v="3"/>
    <m/>
    <x v="4"/>
    <x v="4"/>
    <m/>
    <x v="618"/>
    <x v="494"/>
    <m/>
    <x v="662"/>
    <x v="713"/>
    <m/>
    <x v="2"/>
    <x v="2"/>
    <m/>
    <n v="44.605719999999998"/>
    <n v="-23.725149999999999"/>
    <m/>
    <m/>
  </r>
  <r>
    <s v="MG25215011010001MAM"/>
    <x v="0"/>
    <x v="0"/>
    <m/>
    <x v="4"/>
    <x v="4"/>
    <m/>
    <x v="16"/>
    <x v="16"/>
    <m/>
    <x v="101"/>
    <x v="101"/>
    <m/>
    <x v="619"/>
    <x v="495"/>
    <m/>
    <x v="663"/>
    <x v="714"/>
    <m/>
    <x v="2"/>
    <x v="2"/>
    <m/>
    <n v="47.007629999999999"/>
    <n v="-23.631969999999999"/>
    <m/>
    <m/>
  </r>
  <r>
    <s v="MG25215012001001MAM"/>
    <x v="0"/>
    <x v="0"/>
    <m/>
    <x v="4"/>
    <x v="4"/>
    <m/>
    <x v="16"/>
    <x v="16"/>
    <m/>
    <x v="101"/>
    <x v="101"/>
    <m/>
    <x v="620"/>
    <x v="496"/>
    <m/>
    <x v="664"/>
    <x v="715"/>
    <m/>
    <x v="2"/>
    <x v="2"/>
    <m/>
    <n v="47.012770000000003"/>
    <n v="-23.650130000000001"/>
    <m/>
    <m/>
  </r>
  <r>
    <s v="MG25215012006001MAM"/>
    <x v="0"/>
    <x v="0"/>
    <m/>
    <x v="4"/>
    <x v="4"/>
    <m/>
    <x v="16"/>
    <x v="16"/>
    <m/>
    <x v="101"/>
    <x v="101"/>
    <m/>
    <x v="621"/>
    <x v="497"/>
    <m/>
    <x v="665"/>
    <x v="716"/>
    <m/>
    <x v="2"/>
    <x v="2"/>
    <m/>
    <n v="47.010680000000001"/>
    <n v="-23.673829999999999"/>
    <m/>
    <m/>
  </r>
  <r>
    <s v="MG51507030005001MAM"/>
    <x v="1"/>
    <x v="1"/>
    <m/>
    <x v="1"/>
    <x v="1"/>
    <m/>
    <x v="1"/>
    <x v="1"/>
    <m/>
    <x v="102"/>
    <x v="102"/>
    <m/>
    <x v="622"/>
    <x v="498"/>
    <m/>
    <x v="666"/>
    <x v="717"/>
    <m/>
    <x v="2"/>
    <x v="2"/>
    <m/>
    <n v="44.445830000000001"/>
    <n v="-24.621200000000002"/>
    <m/>
    <m/>
  </r>
  <r>
    <s v="MG51507030008001MAM"/>
    <x v="1"/>
    <x v="1"/>
    <m/>
    <x v="1"/>
    <x v="1"/>
    <m/>
    <x v="1"/>
    <x v="1"/>
    <m/>
    <x v="102"/>
    <x v="102"/>
    <m/>
    <x v="623"/>
    <x v="499"/>
    <m/>
    <x v="667"/>
    <x v="718"/>
    <m/>
    <x v="2"/>
    <x v="2"/>
    <m/>
    <n v="44.766869999999997"/>
    <n v="-24.657520000000002"/>
    <m/>
    <m/>
  </r>
  <r>
    <s v="MG51507030009001MAM"/>
    <x v="1"/>
    <x v="1"/>
    <m/>
    <x v="1"/>
    <x v="1"/>
    <m/>
    <x v="1"/>
    <x v="1"/>
    <m/>
    <x v="102"/>
    <x v="102"/>
    <m/>
    <x v="624"/>
    <x v="500"/>
    <m/>
    <x v="668"/>
    <x v="719"/>
    <m/>
    <x v="2"/>
    <x v="2"/>
    <m/>
    <n v="44.708950000000002"/>
    <n v="-24.658470000000001"/>
    <m/>
    <m/>
  </r>
  <r>
    <s v="MG51507030010001MAM"/>
    <x v="1"/>
    <x v="1"/>
    <m/>
    <x v="1"/>
    <x v="1"/>
    <m/>
    <x v="1"/>
    <x v="1"/>
    <m/>
    <x v="102"/>
    <x v="102"/>
    <m/>
    <x v="625"/>
    <x v="501"/>
    <m/>
    <x v="669"/>
    <x v="720"/>
    <m/>
    <x v="2"/>
    <x v="2"/>
    <m/>
    <n v="44.578830000000004"/>
    <n v="-24.693899999999999"/>
    <m/>
    <m/>
  </r>
  <r>
    <s v="MG51507070004001MAM"/>
    <x v="1"/>
    <x v="1"/>
    <m/>
    <x v="1"/>
    <x v="1"/>
    <m/>
    <x v="1"/>
    <x v="1"/>
    <m/>
    <x v="102"/>
    <x v="102"/>
    <m/>
    <x v="626"/>
    <x v="502"/>
    <m/>
    <x v="670"/>
    <x v="721"/>
    <m/>
    <x v="2"/>
    <x v="2"/>
    <m/>
    <n v="44.678080000000001"/>
    <n v="-24.496169999999999"/>
    <m/>
    <m/>
  </r>
  <r>
    <s v="MG51507070076001MAM"/>
    <x v="1"/>
    <x v="1"/>
    <m/>
    <x v="1"/>
    <x v="1"/>
    <m/>
    <x v="1"/>
    <x v="1"/>
    <m/>
    <x v="102"/>
    <x v="102"/>
    <m/>
    <x v="627"/>
    <x v="503"/>
    <m/>
    <x v="671"/>
    <x v="722"/>
    <m/>
    <x v="2"/>
    <x v="2"/>
    <m/>
    <n v="44.719920000000002"/>
    <n v="-24.62623"/>
    <m/>
    <m/>
  </r>
  <r>
    <s v="MG51507070077001MAM"/>
    <x v="1"/>
    <x v="1"/>
    <m/>
    <x v="1"/>
    <x v="1"/>
    <m/>
    <x v="1"/>
    <x v="1"/>
    <m/>
    <x v="102"/>
    <x v="102"/>
    <m/>
    <x v="628"/>
    <x v="504"/>
    <m/>
    <x v="672"/>
    <x v="723"/>
    <m/>
    <x v="2"/>
    <x v="2"/>
    <m/>
    <n v="44.537350000000004"/>
    <n v="-24.74062"/>
    <m/>
    <m/>
  </r>
  <r>
    <s v="MG51507070078001MAM"/>
    <x v="1"/>
    <x v="1"/>
    <m/>
    <x v="1"/>
    <x v="1"/>
    <m/>
    <x v="1"/>
    <x v="1"/>
    <m/>
    <x v="102"/>
    <x v="102"/>
    <m/>
    <x v="629"/>
    <x v="505"/>
    <m/>
    <x v="673"/>
    <x v="724"/>
    <m/>
    <x v="2"/>
    <x v="2"/>
    <m/>
    <n v="44.746470000000002"/>
    <n v="-24.61713"/>
    <m/>
    <m/>
  </r>
  <r>
    <s v="MG51507070079001MAM"/>
    <x v="1"/>
    <x v="1"/>
    <m/>
    <x v="1"/>
    <x v="1"/>
    <m/>
    <x v="1"/>
    <x v="1"/>
    <m/>
    <x v="102"/>
    <x v="102"/>
    <m/>
    <x v="630"/>
    <x v="506"/>
    <m/>
    <x v="674"/>
    <x v="725"/>
    <m/>
    <x v="2"/>
    <x v="2"/>
    <m/>
    <n v="44.537350000000004"/>
    <n v="-24.74062"/>
    <m/>
    <m/>
  </r>
  <r>
    <s v="MG51507070080001MAM"/>
    <x v="1"/>
    <x v="1"/>
    <m/>
    <x v="1"/>
    <x v="1"/>
    <m/>
    <x v="1"/>
    <x v="1"/>
    <m/>
    <x v="102"/>
    <x v="102"/>
    <m/>
    <x v="631"/>
    <x v="507"/>
    <m/>
    <x v="675"/>
    <x v="726"/>
    <m/>
    <x v="2"/>
    <x v="2"/>
    <m/>
    <n v="44.683669999999999"/>
    <n v="-24.648900000000001"/>
    <m/>
    <m/>
  </r>
  <r>
    <s v="MG51507070081001MAM"/>
    <x v="1"/>
    <x v="1"/>
    <m/>
    <x v="1"/>
    <x v="1"/>
    <m/>
    <x v="1"/>
    <x v="1"/>
    <m/>
    <x v="102"/>
    <x v="102"/>
    <m/>
    <x v="632"/>
    <x v="508"/>
    <m/>
    <x v="676"/>
    <x v="727"/>
    <m/>
    <x v="2"/>
    <x v="2"/>
    <m/>
    <n v="44.569929999999999"/>
    <n v="-24.680420000000002"/>
    <m/>
    <m/>
  </r>
  <r>
    <s v="MG51507070082001MAM"/>
    <x v="1"/>
    <x v="1"/>
    <m/>
    <x v="1"/>
    <x v="1"/>
    <m/>
    <x v="1"/>
    <x v="1"/>
    <m/>
    <x v="102"/>
    <x v="102"/>
    <m/>
    <x v="633"/>
    <x v="509"/>
    <m/>
    <x v="677"/>
    <x v="728"/>
    <m/>
    <x v="2"/>
    <x v="2"/>
    <m/>
    <n v="44.730319999999999"/>
    <n v="-24.73565"/>
    <m/>
    <m/>
  </r>
  <r>
    <s v="MG54502090001001MAM"/>
    <x v="1"/>
    <x v="1"/>
    <m/>
    <x v="1"/>
    <x v="1"/>
    <m/>
    <x v="1"/>
    <x v="1"/>
    <m/>
    <x v="102"/>
    <x v="102"/>
    <m/>
    <x v="408"/>
    <x v="510"/>
    <m/>
    <x v="678"/>
    <x v="729"/>
    <m/>
    <x v="2"/>
    <x v="2"/>
    <m/>
    <n v="44.63165"/>
    <n v="-24.77075"/>
    <m/>
    <m/>
  </r>
  <r>
    <s v="MG54502090002001MAM"/>
    <x v="1"/>
    <x v="1"/>
    <m/>
    <x v="1"/>
    <x v="1"/>
    <m/>
    <x v="1"/>
    <x v="1"/>
    <m/>
    <x v="102"/>
    <x v="102"/>
    <m/>
    <x v="634"/>
    <x v="511"/>
    <m/>
    <x v="679"/>
    <x v="730"/>
    <m/>
    <x v="2"/>
    <x v="2"/>
    <m/>
    <n v="44.813499999999998"/>
    <n v="-24.56738"/>
    <m/>
    <m/>
  </r>
  <r>
    <s v="MG51521031011001MAM"/>
    <x v="3"/>
    <x v="3"/>
    <m/>
    <x v="1"/>
    <x v="1"/>
    <m/>
    <x v="3"/>
    <x v="3"/>
    <m/>
    <x v="103"/>
    <x v="103"/>
    <m/>
    <x v="635"/>
    <x v="512"/>
    <m/>
    <x v="680"/>
    <x v="731"/>
    <m/>
    <x v="2"/>
    <x v="2"/>
    <m/>
    <n v="44.358080000000001"/>
    <n v="-23.68948"/>
    <m/>
    <m/>
  </r>
  <r>
    <s v="MG51507130005001MAM"/>
    <x v="1"/>
    <x v="1"/>
    <m/>
    <x v="1"/>
    <x v="1"/>
    <m/>
    <x v="1"/>
    <x v="1"/>
    <m/>
    <x v="104"/>
    <x v="104"/>
    <m/>
    <x v="636"/>
    <x v="513"/>
    <m/>
    <x v="681"/>
    <x v="732"/>
    <m/>
    <x v="2"/>
    <x v="2"/>
    <m/>
    <n v="44.970469999999999"/>
    <n v="-24.412500000000001"/>
    <m/>
    <m/>
  </r>
  <r>
    <s v="MG51507130005002MAM"/>
    <x v="1"/>
    <x v="1"/>
    <m/>
    <x v="1"/>
    <x v="1"/>
    <m/>
    <x v="1"/>
    <x v="1"/>
    <m/>
    <x v="104"/>
    <x v="104"/>
    <m/>
    <x v="636"/>
    <x v="513"/>
    <m/>
    <x v="682"/>
    <x v="733"/>
    <m/>
    <x v="2"/>
    <x v="2"/>
    <m/>
    <n v="44.970469999999999"/>
    <n v="-24.412500000000001"/>
    <m/>
    <m/>
  </r>
  <r>
    <s v="MG51507070051001MAM"/>
    <x v="1"/>
    <x v="1"/>
    <m/>
    <x v="1"/>
    <x v="1"/>
    <m/>
    <x v="1"/>
    <x v="1"/>
    <m/>
    <x v="104"/>
    <x v="104"/>
    <m/>
    <x v="637"/>
    <x v="514"/>
    <m/>
    <x v="683"/>
    <x v="734"/>
    <m/>
    <x v="2"/>
    <x v="2"/>
    <m/>
    <n v="45.026150000000001"/>
    <n v="-24.470580000000002"/>
    <m/>
    <m/>
  </r>
  <r>
    <s v="MG51507070057001MAM"/>
    <x v="1"/>
    <x v="1"/>
    <m/>
    <x v="1"/>
    <x v="1"/>
    <m/>
    <x v="1"/>
    <x v="1"/>
    <m/>
    <x v="104"/>
    <x v="104"/>
    <m/>
    <x v="638"/>
    <x v="515"/>
    <m/>
    <x v="684"/>
    <x v="735"/>
    <m/>
    <x v="2"/>
    <x v="2"/>
    <m/>
    <n v="45.048650000000002"/>
    <n v="-24.26313"/>
    <m/>
    <m/>
  </r>
  <r>
    <s v="MG51507070058001MAM"/>
    <x v="1"/>
    <x v="1"/>
    <m/>
    <x v="1"/>
    <x v="1"/>
    <m/>
    <x v="1"/>
    <x v="1"/>
    <m/>
    <x v="104"/>
    <x v="104"/>
    <m/>
    <x v="339"/>
    <x v="516"/>
    <m/>
    <x v="685"/>
    <x v="736"/>
    <m/>
    <x v="2"/>
    <x v="2"/>
    <m/>
    <n v="44.948999999999998"/>
    <n v="-24.52028"/>
    <m/>
    <m/>
  </r>
  <r>
    <s v="MG51507070059001MAM"/>
    <x v="1"/>
    <x v="1"/>
    <m/>
    <x v="1"/>
    <x v="1"/>
    <m/>
    <x v="1"/>
    <x v="1"/>
    <m/>
    <x v="104"/>
    <x v="104"/>
    <m/>
    <x v="639"/>
    <x v="517"/>
    <m/>
    <x v="686"/>
    <x v="737"/>
    <m/>
    <x v="2"/>
    <x v="2"/>
    <m/>
    <n v="45.050820000000002"/>
    <n v="-24.418220000000002"/>
    <m/>
    <m/>
  </r>
  <r>
    <s v="MG51507130001001MAM"/>
    <x v="1"/>
    <x v="1"/>
    <m/>
    <x v="1"/>
    <x v="1"/>
    <m/>
    <x v="1"/>
    <x v="1"/>
    <m/>
    <x v="104"/>
    <x v="104"/>
    <m/>
    <x v="640"/>
    <x v="518"/>
    <m/>
    <x v="687"/>
    <x v="738"/>
    <m/>
    <x v="2"/>
    <x v="2"/>
    <m/>
    <n v="44.948999999999998"/>
    <n v="-24.52028"/>
    <m/>
    <m/>
  </r>
  <r>
    <s v="MG51507130004001MAM"/>
    <x v="1"/>
    <x v="1"/>
    <m/>
    <x v="1"/>
    <x v="1"/>
    <m/>
    <x v="1"/>
    <x v="1"/>
    <m/>
    <x v="104"/>
    <x v="104"/>
    <m/>
    <x v="641"/>
    <x v="519"/>
    <m/>
    <x v="688"/>
    <x v="739"/>
    <m/>
    <x v="2"/>
    <x v="2"/>
    <m/>
    <n v="44.686030000000002"/>
    <n v="-24.623670000000001"/>
    <m/>
    <m/>
  </r>
  <r>
    <s v="MG51507130006001MAM"/>
    <x v="1"/>
    <x v="1"/>
    <m/>
    <x v="1"/>
    <x v="1"/>
    <m/>
    <x v="1"/>
    <x v="1"/>
    <m/>
    <x v="104"/>
    <x v="104"/>
    <m/>
    <x v="642"/>
    <x v="520"/>
    <m/>
    <x v="689"/>
    <x v="740"/>
    <m/>
    <x v="2"/>
    <x v="2"/>
    <m/>
    <n v="44.950220000000002"/>
    <n v="-24.423169999999999"/>
    <m/>
    <m/>
  </r>
  <r>
    <s v="MG51507130008001MAM"/>
    <x v="1"/>
    <x v="1"/>
    <m/>
    <x v="1"/>
    <x v="1"/>
    <m/>
    <x v="1"/>
    <x v="1"/>
    <m/>
    <x v="104"/>
    <x v="104"/>
    <m/>
    <x v="643"/>
    <x v="521"/>
    <m/>
    <x v="690"/>
    <x v="741"/>
    <m/>
    <x v="2"/>
    <x v="2"/>
    <m/>
    <n v="45.019570000000002"/>
    <n v="-24.43318"/>
    <m/>
    <m/>
  </r>
  <r>
    <s v="MG51507130009002MAM"/>
    <x v="1"/>
    <x v="1"/>
    <m/>
    <x v="1"/>
    <x v="1"/>
    <m/>
    <x v="1"/>
    <x v="1"/>
    <m/>
    <x v="104"/>
    <x v="104"/>
    <m/>
    <x v="642"/>
    <x v="520"/>
    <m/>
    <x v="691"/>
    <x v="742"/>
    <m/>
    <x v="2"/>
    <x v="2"/>
    <m/>
    <n v="44.950220000000002"/>
    <n v="-24.423169999999999"/>
    <m/>
    <m/>
  </r>
  <r>
    <s v="MG51507130010001MAM"/>
    <x v="1"/>
    <x v="1"/>
    <m/>
    <x v="1"/>
    <x v="1"/>
    <m/>
    <x v="1"/>
    <x v="1"/>
    <m/>
    <x v="104"/>
    <x v="104"/>
    <m/>
    <x v="498"/>
    <x v="522"/>
    <m/>
    <x v="692"/>
    <x v="743"/>
    <m/>
    <x v="2"/>
    <x v="2"/>
    <m/>
    <n v="45.0685"/>
    <n v="-24.463170000000002"/>
    <m/>
    <m/>
  </r>
  <r>
    <s v="MG51507130011001MAM"/>
    <x v="1"/>
    <x v="1"/>
    <m/>
    <x v="1"/>
    <x v="1"/>
    <m/>
    <x v="1"/>
    <x v="1"/>
    <m/>
    <x v="104"/>
    <x v="104"/>
    <m/>
    <x v="34"/>
    <x v="523"/>
    <m/>
    <x v="693"/>
    <x v="744"/>
    <m/>
    <x v="2"/>
    <x v="2"/>
    <m/>
    <n v="45.020530000000001"/>
    <n v="-24.50535"/>
    <m/>
    <m/>
  </r>
  <r>
    <s v="MG51507130012001MAM"/>
    <x v="1"/>
    <x v="1"/>
    <m/>
    <x v="1"/>
    <x v="1"/>
    <m/>
    <x v="1"/>
    <x v="1"/>
    <m/>
    <x v="104"/>
    <x v="104"/>
    <m/>
    <x v="644"/>
    <x v="524"/>
    <m/>
    <x v="694"/>
    <x v="745"/>
    <m/>
    <x v="2"/>
    <x v="2"/>
    <m/>
    <n v="45.008769999999998"/>
    <n v="-24.485399999999998"/>
    <m/>
    <m/>
  </r>
  <r>
    <s v="MG51507190008001MAM"/>
    <x v="1"/>
    <x v="1"/>
    <m/>
    <x v="1"/>
    <x v="1"/>
    <m/>
    <x v="1"/>
    <x v="1"/>
    <m/>
    <x v="104"/>
    <x v="104"/>
    <m/>
    <x v="645"/>
    <x v="525"/>
    <m/>
    <x v="695"/>
    <x v="746"/>
    <m/>
    <x v="2"/>
    <x v="2"/>
    <m/>
    <n v="45.035209999999999"/>
    <n v="-24.450281"/>
    <m/>
    <m/>
  </r>
  <r>
    <s v="MG51520358004001MAM"/>
    <x v="3"/>
    <x v="3"/>
    <m/>
    <x v="1"/>
    <x v="1"/>
    <m/>
    <x v="17"/>
    <x v="17"/>
    <m/>
    <x v="104"/>
    <x v="104"/>
    <m/>
    <x v="646"/>
    <x v="526"/>
    <m/>
    <x v="696"/>
    <x v="747"/>
    <m/>
    <x v="2"/>
    <x v="2"/>
    <m/>
    <n v="43.672600000000003"/>
    <n v="-23.8553"/>
    <m/>
    <m/>
  </r>
  <r>
    <s v="MG51507070002001MAM"/>
    <x v="1"/>
    <x v="1"/>
    <m/>
    <x v="1"/>
    <x v="1"/>
    <m/>
    <x v="1"/>
    <x v="1"/>
    <m/>
    <x v="105"/>
    <x v="105"/>
    <m/>
    <x v="647"/>
    <x v="527"/>
    <m/>
    <x v="697"/>
    <x v="748"/>
    <m/>
    <x v="2"/>
    <x v="2"/>
    <m/>
    <n v="44.823300000000003"/>
    <n v="-24.45767"/>
    <m/>
    <m/>
  </r>
  <r>
    <s v="MG51507070007001MAM"/>
    <x v="1"/>
    <x v="1"/>
    <m/>
    <x v="1"/>
    <x v="1"/>
    <m/>
    <x v="1"/>
    <x v="1"/>
    <m/>
    <x v="105"/>
    <x v="105"/>
    <m/>
    <x v="648"/>
    <x v="528"/>
    <m/>
    <x v="698"/>
    <x v="749"/>
    <m/>
    <x v="2"/>
    <x v="2"/>
    <m/>
    <n v="44.740020000000001"/>
    <n v="-24.563030000000001"/>
    <m/>
    <m/>
  </r>
  <r>
    <s v="MG51507070042001MAM"/>
    <x v="1"/>
    <x v="1"/>
    <m/>
    <x v="1"/>
    <x v="1"/>
    <m/>
    <x v="1"/>
    <x v="1"/>
    <m/>
    <x v="105"/>
    <x v="105"/>
    <m/>
    <x v="649"/>
    <x v="529"/>
    <m/>
    <x v="699"/>
    <x v="750"/>
    <m/>
    <x v="2"/>
    <x v="2"/>
    <m/>
    <n v="44.912170000000003"/>
    <n v="-24.354949999999999"/>
    <m/>
    <m/>
  </r>
  <r>
    <s v="MG54509030002001MAM"/>
    <x v="1"/>
    <x v="1"/>
    <m/>
    <x v="1"/>
    <x v="1"/>
    <m/>
    <x v="1"/>
    <x v="1"/>
    <m/>
    <x v="105"/>
    <x v="105"/>
    <m/>
    <x v="650"/>
    <x v="530"/>
    <m/>
    <x v="700"/>
    <x v="751"/>
    <m/>
    <x v="2"/>
    <x v="2"/>
    <m/>
    <n v="44.724220000000003"/>
    <n v="-24.50487"/>
    <m/>
    <m/>
  </r>
  <r>
    <s v="MG54509030051001MAM"/>
    <x v="1"/>
    <x v="1"/>
    <m/>
    <x v="1"/>
    <x v="1"/>
    <m/>
    <x v="1"/>
    <x v="1"/>
    <m/>
    <x v="105"/>
    <x v="105"/>
    <m/>
    <x v="631"/>
    <x v="531"/>
    <m/>
    <x v="701"/>
    <x v="752"/>
    <m/>
    <x v="2"/>
    <x v="2"/>
    <m/>
    <n v="44.639800000000001"/>
    <n v="-24.529129999999999"/>
    <m/>
    <m/>
  </r>
  <r>
    <s v="MG54509030052001MAM"/>
    <x v="1"/>
    <x v="1"/>
    <m/>
    <x v="1"/>
    <x v="1"/>
    <m/>
    <x v="1"/>
    <x v="1"/>
    <m/>
    <x v="105"/>
    <x v="105"/>
    <m/>
    <x v="651"/>
    <x v="532"/>
    <m/>
    <x v="702"/>
    <x v="753"/>
    <m/>
    <x v="2"/>
    <x v="2"/>
    <m/>
    <n v="44.740020000000001"/>
    <n v="-24.563030000000001"/>
    <m/>
    <m/>
  </r>
  <r>
    <s v="MG54509030053001MAM"/>
    <x v="1"/>
    <x v="1"/>
    <m/>
    <x v="1"/>
    <x v="1"/>
    <m/>
    <x v="1"/>
    <x v="1"/>
    <m/>
    <x v="105"/>
    <x v="105"/>
    <m/>
    <x v="652"/>
    <x v="533"/>
    <m/>
    <x v="703"/>
    <x v="754"/>
    <m/>
    <x v="2"/>
    <x v="2"/>
    <m/>
    <n v="44.770400000000002"/>
    <n v="-24.51642"/>
    <m/>
    <m/>
  </r>
  <r>
    <s v="MG54509030054001MAM"/>
    <x v="1"/>
    <x v="1"/>
    <m/>
    <x v="1"/>
    <x v="1"/>
    <m/>
    <x v="1"/>
    <x v="1"/>
    <m/>
    <x v="105"/>
    <x v="105"/>
    <m/>
    <x v="653"/>
    <x v="534"/>
    <m/>
    <x v="704"/>
    <x v="755"/>
    <m/>
    <x v="2"/>
    <x v="2"/>
    <m/>
    <n v="44.623130000000003"/>
    <n v="-24.578970000000002"/>
    <m/>
    <m/>
  </r>
  <r>
    <s v="MG54509030055001MAM"/>
    <x v="1"/>
    <x v="1"/>
    <m/>
    <x v="1"/>
    <x v="1"/>
    <m/>
    <x v="1"/>
    <x v="1"/>
    <m/>
    <x v="105"/>
    <x v="105"/>
    <m/>
    <x v="654"/>
    <x v="535"/>
    <m/>
    <x v="705"/>
    <x v="756"/>
    <m/>
    <x v="2"/>
    <x v="2"/>
    <m/>
    <n v="44.754829999999998"/>
    <n v="-24.56305"/>
    <m/>
    <m/>
  </r>
  <r>
    <s v="MG54509030056001MAM"/>
    <x v="1"/>
    <x v="1"/>
    <m/>
    <x v="1"/>
    <x v="1"/>
    <m/>
    <x v="1"/>
    <x v="1"/>
    <m/>
    <x v="105"/>
    <x v="105"/>
    <m/>
    <x v="655"/>
    <x v="536"/>
    <m/>
    <x v="706"/>
    <x v="757"/>
    <m/>
    <x v="2"/>
    <x v="2"/>
    <m/>
    <n v="44.773519999999998"/>
    <n v="-24.509350000000001"/>
    <m/>
    <m/>
  </r>
  <r>
    <s v="MG54509030057001MAM"/>
    <x v="1"/>
    <x v="1"/>
    <m/>
    <x v="1"/>
    <x v="1"/>
    <m/>
    <x v="1"/>
    <x v="1"/>
    <m/>
    <x v="105"/>
    <x v="105"/>
    <m/>
    <x v="656"/>
    <x v="537"/>
    <m/>
    <x v="707"/>
    <x v="758"/>
    <m/>
    <x v="2"/>
    <x v="2"/>
    <m/>
    <n v="44.755380000000002"/>
    <n v="-24.496079999999999"/>
    <m/>
    <m/>
  </r>
  <r>
    <s v="MG54509030058001MAM"/>
    <x v="1"/>
    <x v="1"/>
    <m/>
    <x v="1"/>
    <x v="1"/>
    <m/>
    <x v="1"/>
    <x v="1"/>
    <m/>
    <x v="105"/>
    <x v="105"/>
    <m/>
    <x v="657"/>
    <x v="538"/>
    <m/>
    <x v="708"/>
    <x v="759"/>
    <m/>
    <x v="2"/>
    <x v="2"/>
    <m/>
    <n v="44.687449999999998"/>
    <n v="-24.507850000000001"/>
    <m/>
    <m/>
  </r>
  <r>
    <s v="MG54509030059001MAM"/>
    <x v="1"/>
    <x v="1"/>
    <m/>
    <x v="1"/>
    <x v="1"/>
    <m/>
    <x v="1"/>
    <x v="1"/>
    <m/>
    <x v="105"/>
    <x v="105"/>
    <m/>
    <x v="658"/>
    <x v="539"/>
    <m/>
    <x v="709"/>
    <x v="760"/>
    <m/>
    <x v="2"/>
    <x v="2"/>
    <m/>
    <n v="44.67277"/>
    <n v="-24.57572"/>
    <m/>
    <m/>
  </r>
  <r>
    <s v="MG54509030060001MAM"/>
    <x v="1"/>
    <x v="1"/>
    <m/>
    <x v="1"/>
    <x v="1"/>
    <m/>
    <x v="1"/>
    <x v="1"/>
    <m/>
    <x v="105"/>
    <x v="105"/>
    <m/>
    <x v="659"/>
    <x v="540"/>
    <m/>
    <x v="710"/>
    <x v="761"/>
    <m/>
    <x v="2"/>
    <x v="2"/>
    <m/>
    <n v="44.673070000000003"/>
    <n v="-24.536850000000001"/>
    <m/>
    <m/>
  </r>
  <r>
    <s v="MG54509030061001MAM"/>
    <x v="1"/>
    <x v="1"/>
    <m/>
    <x v="1"/>
    <x v="1"/>
    <m/>
    <x v="1"/>
    <x v="1"/>
    <m/>
    <x v="105"/>
    <x v="105"/>
    <m/>
    <x v="660"/>
    <x v="541"/>
    <m/>
    <x v="711"/>
    <x v="762"/>
    <m/>
    <x v="2"/>
    <x v="2"/>
    <m/>
    <n v="44.667099999999998"/>
    <n v="-24.584879999999998"/>
    <m/>
    <m/>
  </r>
  <r>
    <s v="MG54509030062001MAM"/>
    <x v="1"/>
    <x v="1"/>
    <m/>
    <x v="1"/>
    <x v="1"/>
    <m/>
    <x v="1"/>
    <x v="1"/>
    <m/>
    <x v="105"/>
    <x v="105"/>
    <m/>
    <x v="661"/>
    <x v="542"/>
    <m/>
    <x v="712"/>
    <x v="763"/>
    <m/>
    <x v="2"/>
    <x v="2"/>
    <m/>
    <n v="44.789099999999998"/>
    <n v="-24.541329999999999"/>
    <m/>
    <m/>
  </r>
  <r>
    <s v="MG54509030063001MAM"/>
    <x v="1"/>
    <x v="1"/>
    <m/>
    <x v="1"/>
    <x v="1"/>
    <m/>
    <x v="1"/>
    <x v="1"/>
    <m/>
    <x v="105"/>
    <x v="105"/>
    <m/>
    <x v="577"/>
    <x v="543"/>
    <m/>
    <x v="713"/>
    <x v="764"/>
    <m/>
    <x v="2"/>
    <x v="2"/>
    <m/>
    <n v="44.78143"/>
    <n v="-24.541830000000001"/>
    <m/>
    <m/>
  </r>
  <r>
    <s v="MG54509030064001MAM"/>
    <x v="1"/>
    <x v="1"/>
    <m/>
    <x v="1"/>
    <x v="1"/>
    <m/>
    <x v="1"/>
    <x v="1"/>
    <m/>
    <x v="105"/>
    <x v="105"/>
    <m/>
    <x v="662"/>
    <x v="544"/>
    <m/>
    <x v="714"/>
    <x v="765"/>
    <m/>
    <x v="2"/>
    <x v="2"/>
    <m/>
    <n v="44.665280000000003"/>
    <n v="-24.58445"/>
    <m/>
    <m/>
  </r>
  <r>
    <s v="MG54509030065001MAM"/>
    <x v="1"/>
    <x v="1"/>
    <m/>
    <x v="1"/>
    <x v="1"/>
    <m/>
    <x v="1"/>
    <x v="1"/>
    <m/>
    <x v="105"/>
    <x v="105"/>
    <m/>
    <x v="663"/>
    <x v="545"/>
    <m/>
    <x v="715"/>
    <x v="766"/>
    <m/>
    <x v="2"/>
    <x v="2"/>
    <m/>
    <n v="44.665260000000004"/>
    <n v="-24.584409999999998"/>
    <m/>
    <m/>
  </r>
  <r>
    <s v="MG25213050010001MAM"/>
    <x v="0"/>
    <x v="0"/>
    <m/>
    <x v="4"/>
    <x v="4"/>
    <m/>
    <x v="11"/>
    <x v="11"/>
    <m/>
    <x v="106"/>
    <x v="106"/>
    <m/>
    <x v="664"/>
    <x v="546"/>
    <m/>
    <x v="716"/>
    <x v="767"/>
    <m/>
    <x v="2"/>
    <x v="2"/>
    <m/>
    <n v="47.758119999999998"/>
    <n v="-22.72345"/>
    <m/>
    <m/>
  </r>
  <r>
    <s v="MG25213050035001MAM"/>
    <x v="0"/>
    <x v="0"/>
    <m/>
    <x v="4"/>
    <x v="4"/>
    <m/>
    <x v="11"/>
    <x v="11"/>
    <m/>
    <x v="106"/>
    <x v="106"/>
    <m/>
    <x v="665"/>
    <x v="547"/>
    <m/>
    <x v="717"/>
    <x v="768"/>
    <m/>
    <x v="2"/>
    <x v="2"/>
    <m/>
    <n v="47.786020000000001"/>
    <n v="-22.73452"/>
    <m/>
    <m/>
  </r>
  <r>
    <s v="MG25213070040001MAM"/>
    <x v="0"/>
    <x v="0"/>
    <m/>
    <x v="4"/>
    <x v="4"/>
    <m/>
    <x v="11"/>
    <x v="11"/>
    <m/>
    <x v="107"/>
    <x v="107"/>
    <m/>
    <x v="666"/>
    <x v="548"/>
    <m/>
    <x v="718"/>
    <x v="769"/>
    <m/>
    <x v="2"/>
    <x v="2"/>
    <m/>
    <n v="47.813070000000003"/>
    <n v="-22.7317"/>
    <m/>
    <m/>
  </r>
  <r>
    <s v="MG25213070041001MAM"/>
    <x v="0"/>
    <x v="0"/>
    <m/>
    <x v="4"/>
    <x v="4"/>
    <m/>
    <x v="11"/>
    <x v="11"/>
    <m/>
    <x v="107"/>
    <x v="107"/>
    <m/>
    <x v="667"/>
    <x v="549"/>
    <m/>
    <x v="719"/>
    <x v="770"/>
    <m/>
    <x v="2"/>
    <x v="2"/>
    <m/>
    <n v="47.804079999999999"/>
    <n v="-22.7058"/>
    <m/>
    <m/>
  </r>
  <r>
    <s v="MG25213070042001MAM"/>
    <x v="0"/>
    <x v="0"/>
    <m/>
    <x v="4"/>
    <x v="4"/>
    <m/>
    <x v="11"/>
    <x v="11"/>
    <m/>
    <x v="107"/>
    <x v="107"/>
    <m/>
    <x v="668"/>
    <x v="550"/>
    <m/>
    <x v="720"/>
    <x v="771"/>
    <m/>
    <x v="2"/>
    <x v="2"/>
    <m/>
    <n v="47.782449999999997"/>
    <n v="-22.720199999999998"/>
    <m/>
    <m/>
  </r>
  <r>
    <s v="MG25213070043001MAM"/>
    <x v="0"/>
    <x v="0"/>
    <m/>
    <x v="4"/>
    <x v="4"/>
    <m/>
    <x v="11"/>
    <x v="11"/>
    <m/>
    <x v="107"/>
    <x v="107"/>
    <m/>
    <x v="649"/>
    <x v="551"/>
    <m/>
    <x v="721"/>
    <x v="772"/>
    <m/>
    <x v="2"/>
    <x v="2"/>
    <m/>
    <n v="47.810949999999998"/>
    <n v="-22.709379999999999"/>
    <m/>
    <m/>
  </r>
  <r>
    <s v="MG52516130058001MAM"/>
    <x v="5"/>
    <x v="5"/>
    <m/>
    <x v="2"/>
    <x v="2"/>
    <m/>
    <x v="18"/>
    <x v="7"/>
    <m/>
    <x v="23"/>
    <x v="23"/>
    <m/>
    <x v="461"/>
    <x v="552"/>
    <m/>
    <x v="722"/>
    <x v="773"/>
    <m/>
    <x v="2"/>
    <x v="2"/>
    <m/>
    <n v="45.681980000000003"/>
    <n v="-24.807849999999998"/>
    <m/>
    <m/>
  </r>
  <r>
    <s v="MG52516130078001MAM"/>
    <x v="5"/>
    <x v="5"/>
    <m/>
    <x v="2"/>
    <x v="2"/>
    <m/>
    <x v="18"/>
    <x v="7"/>
    <m/>
    <x v="23"/>
    <x v="23"/>
    <m/>
    <x v="669"/>
    <x v="553"/>
    <m/>
    <x v="723"/>
    <x v="774"/>
    <m/>
    <x v="2"/>
    <x v="2"/>
    <m/>
    <n v="45.643979999999999"/>
    <n v="-24.880420000000001"/>
    <m/>
    <m/>
  </r>
  <r>
    <s v="MG52516130095001MAM"/>
    <x v="5"/>
    <x v="5"/>
    <m/>
    <x v="2"/>
    <x v="2"/>
    <m/>
    <x v="18"/>
    <x v="7"/>
    <m/>
    <x v="23"/>
    <x v="23"/>
    <m/>
    <x v="670"/>
    <x v="554"/>
    <m/>
    <x v="724"/>
    <x v="775"/>
    <m/>
    <x v="2"/>
    <x v="2"/>
    <m/>
    <n v="45.647930000000002"/>
    <n v="-24.806429999999999"/>
    <m/>
    <m/>
  </r>
  <r>
    <s v="MG51501006001001MAM"/>
    <x v="0"/>
    <x v="0"/>
    <m/>
    <x v="4"/>
    <x v="4"/>
    <m/>
    <x v="19"/>
    <x v="18"/>
    <m/>
    <x v="108"/>
    <x v="108"/>
    <m/>
    <x v="671"/>
    <x v="555"/>
    <m/>
    <x v="725"/>
    <x v="776"/>
    <m/>
    <x v="2"/>
    <x v="2"/>
    <m/>
    <n v="46.713239000000002"/>
    <n v="-23.771491000000001"/>
    <m/>
    <m/>
  </r>
  <r>
    <s v="MG52513070003001MAM"/>
    <x v="5"/>
    <x v="5"/>
    <m/>
    <x v="2"/>
    <x v="2"/>
    <m/>
    <x v="9"/>
    <x v="9"/>
    <m/>
    <x v="109"/>
    <x v="109"/>
    <m/>
    <x v="672"/>
    <x v="556"/>
    <m/>
    <x v="726"/>
    <x v="777"/>
    <m/>
    <x v="2"/>
    <x v="2"/>
    <m/>
    <n v="44.812399999999997"/>
    <n v="-24.957930000000001"/>
    <m/>
    <m/>
  </r>
  <r>
    <s v="MG52514071006001MAM"/>
    <x v="5"/>
    <x v="5"/>
    <m/>
    <x v="2"/>
    <x v="2"/>
    <m/>
    <x v="9"/>
    <x v="9"/>
    <m/>
    <x v="109"/>
    <x v="109"/>
    <m/>
    <x v="673"/>
    <x v="557"/>
    <m/>
    <x v="727"/>
    <x v="778"/>
    <m/>
    <x v="2"/>
    <x v="2"/>
    <m/>
    <n v="45.763019999999997"/>
    <n v="-25.393170000000001"/>
    <m/>
    <m/>
  </r>
  <r>
    <s v="MG52514071014001MAM"/>
    <x v="5"/>
    <x v="5"/>
    <m/>
    <x v="2"/>
    <x v="2"/>
    <m/>
    <x v="9"/>
    <x v="9"/>
    <m/>
    <x v="109"/>
    <x v="109"/>
    <m/>
    <x v="674"/>
    <x v="558"/>
    <m/>
    <x v="728"/>
    <x v="779"/>
    <m/>
    <x v="2"/>
    <x v="2"/>
    <m/>
    <n v="45.762070000000001"/>
    <n v="-25.393730000000001"/>
    <m/>
    <m/>
  </r>
  <r>
    <s v="MG52514071019001MAM"/>
    <x v="5"/>
    <x v="5"/>
    <m/>
    <x v="2"/>
    <x v="2"/>
    <m/>
    <x v="9"/>
    <x v="9"/>
    <m/>
    <x v="109"/>
    <x v="109"/>
    <m/>
    <x v="397"/>
    <x v="559"/>
    <m/>
    <x v="729"/>
    <x v="780"/>
    <m/>
    <x v="2"/>
    <x v="2"/>
    <m/>
    <n v="45.7211"/>
    <n v="-25.419029999999999"/>
    <m/>
    <m/>
  </r>
  <r>
    <s v="MG52514071025001MAM"/>
    <x v="5"/>
    <x v="5"/>
    <m/>
    <x v="2"/>
    <x v="2"/>
    <m/>
    <x v="9"/>
    <x v="9"/>
    <m/>
    <x v="109"/>
    <x v="109"/>
    <m/>
    <x v="675"/>
    <x v="560"/>
    <m/>
    <x v="730"/>
    <x v="781"/>
    <m/>
    <x v="2"/>
    <x v="2"/>
    <m/>
    <n v="45.716569999999997"/>
    <n v="-25.445399999999999"/>
    <m/>
    <m/>
  </r>
  <r>
    <s v="MG52514071067001MAM"/>
    <x v="5"/>
    <x v="5"/>
    <m/>
    <x v="2"/>
    <x v="2"/>
    <m/>
    <x v="9"/>
    <x v="9"/>
    <m/>
    <x v="109"/>
    <x v="109"/>
    <m/>
    <x v="676"/>
    <x v="561"/>
    <m/>
    <x v="731"/>
    <x v="782"/>
    <m/>
    <x v="2"/>
    <x v="2"/>
    <m/>
    <n v="45.754919999999998"/>
    <n v="-25.395330000000001"/>
    <m/>
    <m/>
  </r>
  <r>
    <s v="MG52514071068001MAM"/>
    <x v="5"/>
    <x v="5"/>
    <m/>
    <x v="2"/>
    <x v="2"/>
    <m/>
    <x v="9"/>
    <x v="9"/>
    <m/>
    <x v="109"/>
    <x v="109"/>
    <m/>
    <x v="677"/>
    <x v="562"/>
    <m/>
    <x v="732"/>
    <x v="783"/>
    <m/>
    <x v="2"/>
    <x v="2"/>
    <m/>
    <n v="45.669820999999999"/>
    <n v="-25.364584000000001"/>
    <m/>
    <m/>
  </r>
  <r>
    <s v="MG52514071069001MAM"/>
    <x v="5"/>
    <x v="5"/>
    <m/>
    <x v="2"/>
    <x v="2"/>
    <m/>
    <x v="9"/>
    <x v="9"/>
    <m/>
    <x v="109"/>
    <x v="109"/>
    <m/>
    <x v="678"/>
    <x v="563"/>
    <m/>
    <x v="733"/>
    <x v="784"/>
    <m/>
    <x v="2"/>
    <x v="2"/>
    <m/>
    <n v="45.659480000000002"/>
    <n v="-25.343699999999998"/>
    <m/>
    <m/>
  </r>
  <r>
    <s v="MG23211112001001MAM"/>
    <x v="0"/>
    <x v="0"/>
    <m/>
    <x v="0"/>
    <x v="0"/>
    <m/>
    <x v="14"/>
    <x v="14"/>
    <m/>
    <x v="110"/>
    <x v="110"/>
    <m/>
    <x v="679"/>
    <x v="564"/>
    <m/>
    <x v="734"/>
    <x v="785"/>
    <m/>
    <x v="2"/>
    <x v="2"/>
    <m/>
    <n v="47.42653"/>
    <n v="-22.147179999999999"/>
    <m/>
    <m/>
  </r>
  <r>
    <s v="MG23211112011001MAM"/>
    <x v="0"/>
    <x v="0"/>
    <m/>
    <x v="0"/>
    <x v="0"/>
    <m/>
    <x v="14"/>
    <x v="14"/>
    <m/>
    <x v="110"/>
    <x v="110"/>
    <m/>
    <x v="680"/>
    <x v="565"/>
    <m/>
    <x v="735"/>
    <x v="786"/>
    <m/>
    <x v="2"/>
    <x v="2"/>
    <m/>
    <n v="47.450980000000001"/>
    <n v="-22.16385"/>
    <m/>
    <m/>
  </r>
  <r>
    <s v="MG24216231007001MAM"/>
    <x v="0"/>
    <x v="0"/>
    <m/>
    <x v="0"/>
    <x v="0"/>
    <m/>
    <x v="14"/>
    <x v="14"/>
    <m/>
    <x v="110"/>
    <x v="110"/>
    <m/>
    <x v="681"/>
    <x v="566"/>
    <m/>
    <x v="736"/>
    <x v="787"/>
    <m/>
    <x v="2"/>
    <x v="2"/>
    <m/>
    <n v="47.403950000000002"/>
    <n v="-22.174579999999999"/>
    <m/>
    <m/>
  </r>
  <r>
    <s v="MG25222031002001MAM"/>
    <x v="0"/>
    <x v="0"/>
    <m/>
    <x v="4"/>
    <x v="4"/>
    <m/>
    <x v="19"/>
    <x v="18"/>
    <m/>
    <x v="111"/>
    <x v="111"/>
    <m/>
    <x v="682"/>
    <x v="567"/>
    <m/>
    <x v="737"/>
    <x v="788"/>
    <m/>
    <x v="2"/>
    <x v="2"/>
    <m/>
    <n v="46.779249999999998"/>
    <n v="-23.963229999999999"/>
    <m/>
    <m/>
  </r>
  <r>
    <s v="MG25217072001001MAM"/>
    <x v="0"/>
    <x v="0"/>
    <m/>
    <x v="4"/>
    <x v="4"/>
    <m/>
    <x v="12"/>
    <x v="12"/>
    <m/>
    <x v="112"/>
    <x v="112"/>
    <m/>
    <x v="683"/>
    <x v="568"/>
    <m/>
    <x v="738"/>
    <x v="789"/>
    <m/>
    <x v="2"/>
    <x v="2"/>
    <m/>
    <n v="47.362200000000001"/>
    <n v="-22.99147"/>
    <m/>
    <m/>
  </r>
  <r>
    <s v="MG25217072033001MAM"/>
    <x v="0"/>
    <x v="0"/>
    <m/>
    <x v="4"/>
    <x v="4"/>
    <m/>
    <x v="12"/>
    <x v="12"/>
    <m/>
    <x v="112"/>
    <x v="112"/>
    <m/>
    <x v="684"/>
    <x v="569"/>
    <m/>
    <x v="739"/>
    <x v="790"/>
    <m/>
    <x v="2"/>
    <x v="2"/>
    <m/>
    <n v="47.396099999999997"/>
    <n v="-23.002199999999998"/>
    <m/>
    <m/>
  </r>
  <r>
    <s v="MG25222012002001MAM"/>
    <x v="0"/>
    <x v="0"/>
    <m/>
    <x v="4"/>
    <x v="4"/>
    <m/>
    <x v="19"/>
    <x v="18"/>
    <m/>
    <x v="113"/>
    <x v="113"/>
    <m/>
    <x v="345"/>
    <x v="570"/>
    <m/>
    <x v="740"/>
    <x v="791"/>
    <m/>
    <x v="2"/>
    <x v="2"/>
    <m/>
    <n v="47.094411999999998"/>
    <n v="-23.865410000000001"/>
    <m/>
    <m/>
  </r>
  <r>
    <s v="MG25222012006001MAM"/>
    <x v="0"/>
    <x v="0"/>
    <m/>
    <x v="4"/>
    <x v="4"/>
    <m/>
    <x v="19"/>
    <x v="18"/>
    <m/>
    <x v="113"/>
    <x v="113"/>
    <m/>
    <x v="685"/>
    <x v="571"/>
    <m/>
    <x v="741"/>
    <x v="792"/>
    <m/>
    <x v="2"/>
    <x v="2"/>
    <m/>
    <n v="47.558729999999997"/>
    <n v="-22.859829999999999"/>
    <m/>
    <m/>
  </r>
  <r>
    <s v="MG51507150045001MAM"/>
    <x v="5"/>
    <x v="5"/>
    <m/>
    <x v="2"/>
    <x v="2"/>
    <m/>
    <x v="2"/>
    <x v="2"/>
    <m/>
    <x v="33"/>
    <x v="33"/>
    <m/>
    <x v="686"/>
    <x v="572"/>
    <m/>
    <x v="742"/>
    <x v="793"/>
    <m/>
    <x v="2"/>
    <x v="2"/>
    <m/>
    <n v="45.164414999999998"/>
    <n v="-24.279131"/>
    <m/>
    <m/>
  </r>
  <r>
    <s v="MG52518070014001MAM"/>
    <x v="5"/>
    <x v="5"/>
    <m/>
    <x v="2"/>
    <x v="2"/>
    <m/>
    <x v="2"/>
    <x v="2"/>
    <m/>
    <x v="33"/>
    <x v="33"/>
    <m/>
    <x v="687"/>
    <x v="573"/>
    <m/>
    <x v="743"/>
    <x v="794"/>
    <m/>
    <x v="2"/>
    <x v="2"/>
    <m/>
    <n v="45.147517999999998"/>
    <n v="-24.317712"/>
    <m/>
    <m/>
  </r>
  <r>
    <s v="MG31306050007001MAM"/>
    <x v="0"/>
    <x v="0"/>
    <m/>
    <x v="4"/>
    <x v="4"/>
    <m/>
    <x v="11"/>
    <x v="11"/>
    <m/>
    <x v="114"/>
    <x v="114"/>
    <m/>
    <x v="688"/>
    <x v="574"/>
    <m/>
    <x v="744"/>
    <x v="795"/>
    <m/>
    <x v="2"/>
    <x v="2"/>
    <m/>
    <n v="47.646700000000003"/>
    <n v="-23.170999999999999"/>
    <m/>
    <m/>
  </r>
  <r>
    <s v="MG25222031004001MAM"/>
    <x v="3"/>
    <x v="3"/>
    <m/>
    <x v="1"/>
    <x v="1"/>
    <m/>
    <x v="3"/>
    <x v="3"/>
    <m/>
    <x v="115"/>
    <x v="115"/>
    <m/>
    <x v="689"/>
    <x v="575"/>
    <m/>
    <x v="745"/>
    <x v="796"/>
    <m/>
    <x v="2"/>
    <x v="2"/>
    <m/>
    <n v="44.360436"/>
    <n v="-23.804224999999999"/>
    <m/>
    <m/>
  </r>
  <r>
    <s v="MG51506030001001MAM"/>
    <x v="3"/>
    <x v="3"/>
    <m/>
    <x v="1"/>
    <x v="1"/>
    <m/>
    <x v="3"/>
    <x v="3"/>
    <m/>
    <x v="115"/>
    <x v="115"/>
    <m/>
    <x v="690"/>
    <x v="576"/>
    <m/>
    <x v="746"/>
    <x v="797"/>
    <m/>
    <x v="2"/>
    <x v="2"/>
    <m/>
    <n v="44.30433"/>
    <n v="-23.760629999999999"/>
    <m/>
    <m/>
  </r>
  <r>
    <s v="MG51506030002001MAM"/>
    <x v="3"/>
    <x v="3"/>
    <m/>
    <x v="1"/>
    <x v="1"/>
    <m/>
    <x v="3"/>
    <x v="3"/>
    <m/>
    <x v="115"/>
    <x v="115"/>
    <m/>
    <x v="691"/>
    <x v="577"/>
    <m/>
    <x v="747"/>
    <x v="798"/>
    <m/>
    <x v="2"/>
    <x v="2"/>
    <m/>
    <n v="44.383130000000001"/>
    <n v="-23.776620000000001"/>
    <m/>
    <m/>
  </r>
  <r>
    <s v="MG51506030004001MAM"/>
    <x v="3"/>
    <x v="3"/>
    <m/>
    <x v="1"/>
    <x v="1"/>
    <m/>
    <x v="3"/>
    <x v="3"/>
    <m/>
    <x v="115"/>
    <x v="115"/>
    <m/>
    <x v="692"/>
    <x v="578"/>
    <m/>
    <x v="748"/>
    <x v="799"/>
    <m/>
    <x v="2"/>
    <x v="2"/>
    <m/>
    <n v="44.405729999999998"/>
    <n v="-23.821179999999998"/>
    <m/>
    <m/>
  </r>
  <r>
    <s v="MG51506030006001MAM"/>
    <x v="3"/>
    <x v="3"/>
    <m/>
    <x v="1"/>
    <x v="1"/>
    <m/>
    <x v="3"/>
    <x v="3"/>
    <m/>
    <x v="115"/>
    <x v="115"/>
    <m/>
    <x v="693"/>
    <x v="579"/>
    <m/>
    <x v="749"/>
    <x v="800"/>
    <m/>
    <x v="2"/>
    <x v="2"/>
    <m/>
    <n v="44.364750000000001"/>
    <n v="-23.865600000000001"/>
    <m/>
    <m/>
  </r>
  <r>
    <s v="MG51506030007001MAM"/>
    <x v="3"/>
    <x v="3"/>
    <m/>
    <x v="1"/>
    <x v="1"/>
    <m/>
    <x v="3"/>
    <x v="3"/>
    <m/>
    <x v="115"/>
    <x v="115"/>
    <m/>
    <x v="694"/>
    <x v="580"/>
    <m/>
    <x v="750"/>
    <x v="801"/>
    <m/>
    <x v="2"/>
    <x v="2"/>
    <m/>
    <n v="44.281930000000003"/>
    <n v="-23.840150000000001"/>
    <m/>
    <m/>
  </r>
  <r>
    <s v="MG51506030008001MAM"/>
    <x v="3"/>
    <x v="3"/>
    <m/>
    <x v="1"/>
    <x v="1"/>
    <m/>
    <x v="3"/>
    <x v="3"/>
    <m/>
    <x v="115"/>
    <x v="115"/>
    <m/>
    <x v="695"/>
    <x v="581"/>
    <m/>
    <x v="751"/>
    <x v="802"/>
    <m/>
    <x v="2"/>
    <x v="2"/>
    <m/>
    <n v="44.336350000000003"/>
    <n v="-23.831700000000001"/>
    <m/>
    <m/>
  </r>
  <r>
    <s v="MG51506030009001MAM"/>
    <x v="3"/>
    <x v="3"/>
    <m/>
    <x v="1"/>
    <x v="1"/>
    <m/>
    <x v="3"/>
    <x v="3"/>
    <m/>
    <x v="115"/>
    <x v="115"/>
    <m/>
    <x v="696"/>
    <x v="582"/>
    <m/>
    <x v="752"/>
    <x v="803"/>
    <m/>
    <x v="2"/>
    <x v="2"/>
    <m/>
    <n v="44.310020000000002"/>
    <n v="-23.800519999999999"/>
    <m/>
    <m/>
  </r>
  <r>
    <s v="MG51506030010001MAM"/>
    <x v="3"/>
    <x v="3"/>
    <m/>
    <x v="1"/>
    <x v="1"/>
    <m/>
    <x v="3"/>
    <x v="3"/>
    <m/>
    <x v="115"/>
    <x v="115"/>
    <m/>
    <x v="697"/>
    <x v="583"/>
    <m/>
    <x v="753"/>
    <x v="804"/>
    <m/>
    <x v="2"/>
    <x v="2"/>
    <m/>
    <n v="44.314749999999997"/>
    <n v="-23.801670000000001"/>
    <m/>
    <m/>
  </r>
  <r>
    <s v="MG51506030046001MAM"/>
    <x v="3"/>
    <x v="3"/>
    <m/>
    <x v="1"/>
    <x v="1"/>
    <m/>
    <x v="3"/>
    <x v="3"/>
    <m/>
    <x v="115"/>
    <x v="115"/>
    <m/>
    <x v="549"/>
    <x v="584"/>
    <m/>
    <x v="754"/>
    <x v="805"/>
    <m/>
    <x v="2"/>
    <x v="2"/>
    <m/>
    <n v="44.543680000000002"/>
    <n v="-23.393630000000002"/>
    <m/>
    <m/>
  </r>
  <r>
    <s v="MG51506130016001MAM"/>
    <x v="3"/>
    <x v="3"/>
    <m/>
    <x v="1"/>
    <x v="1"/>
    <m/>
    <x v="3"/>
    <x v="3"/>
    <m/>
    <x v="115"/>
    <x v="115"/>
    <m/>
    <x v="500"/>
    <x v="585"/>
    <m/>
    <x v="755"/>
    <x v="806"/>
    <m/>
    <x v="2"/>
    <x v="2"/>
    <m/>
    <n v="44.339407999999999"/>
    <n v="-23.781766999999999"/>
    <m/>
    <m/>
  </r>
  <r>
    <s v="MG25213390006001MAM"/>
    <x v="0"/>
    <x v="0"/>
    <m/>
    <x v="4"/>
    <x v="4"/>
    <m/>
    <x v="19"/>
    <x v="18"/>
    <m/>
    <x v="116"/>
    <x v="116"/>
    <m/>
    <x v="685"/>
    <x v="586"/>
    <m/>
    <x v="756"/>
    <x v="807"/>
    <m/>
    <x v="2"/>
    <x v="2"/>
    <m/>
    <n v="47.558729999999997"/>
    <n v="-22.859829999999999"/>
    <m/>
    <m/>
  </r>
  <r>
    <s v="MG25222011008001MAM"/>
    <x v="0"/>
    <x v="0"/>
    <m/>
    <x v="4"/>
    <x v="4"/>
    <m/>
    <x v="19"/>
    <x v="18"/>
    <m/>
    <x v="116"/>
    <x v="116"/>
    <m/>
    <x v="548"/>
    <x v="587"/>
    <m/>
    <x v="757"/>
    <x v="808"/>
    <m/>
    <x v="2"/>
    <x v="2"/>
    <m/>
    <n v="46.986170000000001"/>
    <n v="-23.82368"/>
    <m/>
    <m/>
  </r>
  <r>
    <s v="MG51520310023001MAM"/>
    <x v="0"/>
    <x v="0"/>
    <m/>
    <x v="4"/>
    <x v="4"/>
    <m/>
    <x v="19"/>
    <x v="18"/>
    <m/>
    <x v="116"/>
    <x v="116"/>
    <m/>
    <x v="226"/>
    <x v="588"/>
    <m/>
    <x v="235"/>
    <x v="809"/>
    <m/>
    <x v="2"/>
    <x v="2"/>
    <m/>
    <n v="46.906325000000002"/>
    <n v="-23.854343"/>
    <m/>
    <m/>
  </r>
  <r>
    <s v="MG52513091028001MAM"/>
    <x v="5"/>
    <x v="5"/>
    <m/>
    <x v="2"/>
    <x v="2"/>
    <m/>
    <x v="8"/>
    <x v="8"/>
    <m/>
    <x v="39"/>
    <x v="39"/>
    <m/>
    <x v="698"/>
    <x v="589"/>
    <m/>
    <x v="758"/>
    <x v="810"/>
    <m/>
    <x v="2"/>
    <x v="2"/>
    <m/>
    <n v="45.152419999999999"/>
    <n v="-24.757919999999999"/>
    <m/>
    <m/>
  </r>
  <r>
    <s v="MG52513092006001MAM"/>
    <x v="5"/>
    <x v="5"/>
    <m/>
    <x v="2"/>
    <x v="2"/>
    <m/>
    <x v="8"/>
    <x v="8"/>
    <m/>
    <x v="39"/>
    <x v="39"/>
    <m/>
    <x v="699"/>
    <x v="590"/>
    <m/>
    <x v="243"/>
    <x v="811"/>
    <m/>
    <x v="2"/>
    <x v="2"/>
    <m/>
    <n v="45.333579999999998"/>
    <n v="-24.941020000000002"/>
    <m/>
    <m/>
  </r>
  <r>
    <s v="MG52513092067001MAM"/>
    <x v="5"/>
    <x v="5"/>
    <m/>
    <x v="2"/>
    <x v="2"/>
    <m/>
    <x v="8"/>
    <x v="8"/>
    <m/>
    <x v="39"/>
    <x v="39"/>
    <m/>
    <x v="700"/>
    <x v="591"/>
    <m/>
    <x v="759"/>
    <x v="812"/>
    <m/>
    <x v="2"/>
    <x v="2"/>
    <m/>
    <n v="45.313369999999999"/>
    <n v="-24.886880000000001"/>
    <m/>
    <m/>
  </r>
  <r>
    <s v="MG52513092068001MAM"/>
    <x v="5"/>
    <x v="5"/>
    <m/>
    <x v="2"/>
    <x v="2"/>
    <m/>
    <x v="8"/>
    <x v="8"/>
    <m/>
    <x v="39"/>
    <x v="39"/>
    <m/>
    <x v="701"/>
    <x v="592"/>
    <m/>
    <x v="760"/>
    <x v="813"/>
    <m/>
    <x v="2"/>
    <x v="2"/>
    <m/>
    <n v="45.28933"/>
    <n v="-24.601220000000001"/>
    <m/>
    <m/>
  </r>
  <r>
    <s v="MG52513092069001MAM"/>
    <x v="5"/>
    <x v="5"/>
    <m/>
    <x v="2"/>
    <x v="2"/>
    <m/>
    <x v="8"/>
    <x v="8"/>
    <m/>
    <x v="39"/>
    <x v="39"/>
    <m/>
    <x v="215"/>
    <x v="593"/>
    <m/>
    <x v="224"/>
    <x v="814"/>
    <m/>
    <x v="2"/>
    <x v="2"/>
    <m/>
    <n v="45.360199999999999"/>
    <n v="-24.88062"/>
    <m/>
    <m/>
  </r>
  <r>
    <s v="MG53519030015002MAM"/>
    <x v="5"/>
    <x v="5"/>
    <m/>
    <x v="3"/>
    <x v="3"/>
    <m/>
    <x v="4"/>
    <x v="4"/>
    <m/>
    <x v="5"/>
    <x v="5"/>
    <m/>
    <x v="42"/>
    <x v="42"/>
    <m/>
    <x v="761"/>
    <x v="815"/>
    <m/>
    <x v="2"/>
    <x v="2"/>
    <m/>
    <n v="46.294980000000002"/>
    <n v="-24.76623"/>
    <m/>
    <m/>
  </r>
  <r>
    <s v="MG53519030019002MAM"/>
    <x v="5"/>
    <x v="5"/>
    <m/>
    <x v="3"/>
    <x v="3"/>
    <m/>
    <x v="4"/>
    <x v="4"/>
    <m/>
    <x v="5"/>
    <x v="5"/>
    <m/>
    <x v="43"/>
    <x v="43"/>
    <m/>
    <x v="762"/>
    <x v="816"/>
    <m/>
    <x v="2"/>
    <x v="2"/>
    <m/>
    <n v="46.300800000000002"/>
    <n v="-24.985849999999999"/>
    <m/>
    <m/>
  </r>
  <r>
    <s v="MG53519030005001MAM"/>
    <x v="5"/>
    <x v="5"/>
    <m/>
    <x v="3"/>
    <x v="3"/>
    <m/>
    <x v="4"/>
    <x v="4"/>
    <m/>
    <x v="5"/>
    <x v="5"/>
    <m/>
    <x v="702"/>
    <x v="594"/>
    <m/>
    <x v="763"/>
    <x v="817"/>
    <m/>
    <x v="2"/>
    <x v="2"/>
    <m/>
    <n v="46.385249999999999"/>
    <n v="-24.950949999999999"/>
    <m/>
    <m/>
  </r>
  <r>
    <s v="MG53519030006001MAM"/>
    <x v="5"/>
    <x v="5"/>
    <m/>
    <x v="3"/>
    <x v="3"/>
    <m/>
    <x v="4"/>
    <x v="4"/>
    <m/>
    <x v="5"/>
    <x v="5"/>
    <m/>
    <x v="703"/>
    <x v="595"/>
    <m/>
    <x v="764"/>
    <x v="818"/>
    <m/>
    <x v="2"/>
    <x v="2"/>
    <m/>
    <n v="46.390450000000001"/>
    <n v="-24.999549999999999"/>
    <m/>
    <m/>
  </r>
  <r>
    <s v="MG53519030010001MAM"/>
    <x v="5"/>
    <x v="5"/>
    <m/>
    <x v="3"/>
    <x v="3"/>
    <m/>
    <x v="4"/>
    <x v="4"/>
    <m/>
    <x v="5"/>
    <x v="5"/>
    <m/>
    <x v="704"/>
    <x v="596"/>
    <m/>
    <x v="765"/>
    <x v="819"/>
    <m/>
    <x v="2"/>
    <x v="2"/>
    <m/>
    <n v="46.381"/>
    <n v="-24.962530000000001"/>
    <m/>
    <m/>
  </r>
  <r>
    <s v="MG53519030021001MAM"/>
    <x v="5"/>
    <x v="5"/>
    <m/>
    <x v="3"/>
    <x v="3"/>
    <m/>
    <x v="4"/>
    <x v="4"/>
    <m/>
    <x v="5"/>
    <x v="5"/>
    <m/>
    <x v="705"/>
    <x v="597"/>
    <m/>
    <x v="766"/>
    <x v="820"/>
    <m/>
    <x v="2"/>
    <x v="2"/>
    <m/>
    <n v="46.28913"/>
    <n v="-24.997820000000001"/>
    <m/>
    <m/>
  </r>
  <r>
    <s v="MG25222032005001MAM"/>
    <x v="0"/>
    <x v="0"/>
    <m/>
    <x v="4"/>
    <x v="4"/>
    <m/>
    <x v="19"/>
    <x v="18"/>
    <m/>
    <x v="117"/>
    <x v="117"/>
    <m/>
    <x v="706"/>
    <x v="598"/>
    <m/>
    <x v="767"/>
    <x v="821"/>
    <m/>
    <x v="2"/>
    <x v="2"/>
    <m/>
    <n v="46.777988000000001"/>
    <n v="-23.8674"/>
    <m/>
    <m/>
  </r>
  <r>
    <s v="MG25222052003001MAM"/>
    <x v="0"/>
    <x v="0"/>
    <m/>
    <x v="4"/>
    <x v="4"/>
    <m/>
    <x v="19"/>
    <x v="18"/>
    <m/>
    <x v="117"/>
    <x v="117"/>
    <m/>
    <x v="707"/>
    <x v="599"/>
    <m/>
    <x v="768"/>
    <x v="822"/>
    <m/>
    <x v="2"/>
    <x v="2"/>
    <m/>
    <n v="46.761369999999999"/>
    <n v="-23.801600000000001"/>
    <m/>
    <m/>
  </r>
  <r>
    <s v="MG52518152003001MAM"/>
    <x v="0"/>
    <x v="0"/>
    <m/>
    <x v="4"/>
    <x v="4"/>
    <m/>
    <x v="19"/>
    <x v="18"/>
    <m/>
    <x v="117"/>
    <x v="117"/>
    <m/>
    <x v="135"/>
    <x v="600"/>
    <m/>
    <x v="769"/>
    <x v="823"/>
    <m/>
    <x v="2"/>
    <x v="2"/>
    <m/>
    <n v="46.776555999999999"/>
    <n v="-23.831057999999999"/>
    <m/>
    <m/>
  </r>
  <r>
    <s v="MG51520358001001MAM"/>
    <x v="3"/>
    <x v="3"/>
    <m/>
    <x v="1"/>
    <x v="1"/>
    <m/>
    <x v="17"/>
    <x v="17"/>
    <m/>
    <x v="118"/>
    <x v="118"/>
    <m/>
    <x v="708"/>
    <x v="601"/>
    <m/>
    <x v="770"/>
    <x v="824"/>
    <m/>
    <x v="2"/>
    <x v="2"/>
    <m/>
    <n v="43.672069999999998"/>
    <n v="-23.910170000000001"/>
    <m/>
    <m/>
  </r>
  <r>
    <s v="MG51520358002001MAM"/>
    <x v="3"/>
    <x v="3"/>
    <m/>
    <x v="1"/>
    <x v="1"/>
    <m/>
    <x v="17"/>
    <x v="17"/>
    <m/>
    <x v="118"/>
    <x v="118"/>
    <m/>
    <x v="709"/>
    <x v="602"/>
    <m/>
    <x v="771"/>
    <x v="825"/>
    <m/>
    <x v="2"/>
    <x v="2"/>
    <m/>
    <n v="43.689300000000003"/>
    <n v="-23.803899999999999"/>
    <m/>
    <m/>
  </r>
  <r>
    <s v="MG51520358003001MAM"/>
    <x v="3"/>
    <x v="3"/>
    <m/>
    <x v="1"/>
    <x v="1"/>
    <m/>
    <x v="17"/>
    <x v="17"/>
    <m/>
    <x v="118"/>
    <x v="118"/>
    <m/>
    <x v="411"/>
    <x v="603"/>
    <m/>
    <x v="772"/>
    <x v="826"/>
    <m/>
    <x v="2"/>
    <x v="2"/>
    <m/>
    <n v="43.673450000000003"/>
    <n v="-23.823399999999999"/>
    <m/>
    <m/>
  </r>
  <r>
    <s v="MG51520358005001MAM"/>
    <x v="3"/>
    <x v="3"/>
    <m/>
    <x v="1"/>
    <x v="1"/>
    <m/>
    <x v="17"/>
    <x v="17"/>
    <m/>
    <x v="118"/>
    <x v="118"/>
    <m/>
    <x v="710"/>
    <x v="604"/>
    <m/>
    <x v="773"/>
    <x v="827"/>
    <m/>
    <x v="2"/>
    <x v="2"/>
    <m/>
    <n v="43.672969999999999"/>
    <n v="-23.911079999999998"/>
    <m/>
    <m/>
  </r>
  <r>
    <s v="MG51520358011001MAM"/>
    <x v="3"/>
    <x v="3"/>
    <m/>
    <x v="1"/>
    <x v="1"/>
    <m/>
    <x v="17"/>
    <x v="17"/>
    <m/>
    <x v="118"/>
    <x v="118"/>
    <m/>
    <x v="94"/>
    <x v="605"/>
    <m/>
    <x v="774"/>
    <x v="828"/>
    <m/>
    <x v="2"/>
    <x v="2"/>
    <m/>
    <n v="43.693770000000001"/>
    <n v="-23.977779999999999"/>
    <m/>
    <m/>
  </r>
  <r>
    <s v="MG25214033003001MAM"/>
    <x v="0"/>
    <x v="0"/>
    <m/>
    <x v="4"/>
    <x v="4"/>
    <m/>
    <x v="10"/>
    <x v="10"/>
    <m/>
    <x v="119"/>
    <x v="119"/>
    <m/>
    <x v="711"/>
    <x v="606"/>
    <m/>
    <x v="775"/>
    <x v="829"/>
    <m/>
    <x v="2"/>
    <x v="2"/>
    <m/>
    <n v="47.622132999999998"/>
    <n v="-23.461562000000001"/>
    <m/>
    <m/>
  </r>
  <r>
    <s v="MG52513030011001MAM"/>
    <x v="5"/>
    <x v="5"/>
    <m/>
    <x v="2"/>
    <x v="2"/>
    <m/>
    <x v="2"/>
    <x v="2"/>
    <m/>
    <x v="120"/>
    <x v="120"/>
    <m/>
    <x v="712"/>
    <x v="607"/>
    <m/>
    <x v="776"/>
    <x v="830"/>
    <m/>
    <x v="2"/>
    <x v="2"/>
    <m/>
    <n v="45.336514000000001"/>
    <n v="-24.521277000000001"/>
    <m/>
    <m/>
  </r>
  <r>
    <s v="MG52518230002001MAM"/>
    <x v="5"/>
    <x v="5"/>
    <m/>
    <x v="2"/>
    <x v="2"/>
    <m/>
    <x v="2"/>
    <x v="2"/>
    <m/>
    <x v="120"/>
    <x v="120"/>
    <m/>
    <x v="345"/>
    <x v="608"/>
    <m/>
    <x v="777"/>
    <x v="831"/>
    <m/>
    <x v="2"/>
    <x v="2"/>
    <m/>
    <n v="45.303314"/>
    <n v="-24.530777"/>
    <m/>
    <m/>
  </r>
  <r>
    <s v="MG52518230007001MAM"/>
    <x v="5"/>
    <x v="5"/>
    <m/>
    <x v="2"/>
    <x v="2"/>
    <m/>
    <x v="2"/>
    <x v="2"/>
    <m/>
    <x v="120"/>
    <x v="120"/>
    <m/>
    <x v="713"/>
    <x v="609"/>
    <m/>
    <x v="778"/>
    <x v="832"/>
    <m/>
    <x v="2"/>
    <x v="2"/>
    <m/>
    <n v="45.297229999999999"/>
    <n v="-24.467130000000001"/>
    <m/>
    <m/>
  </r>
  <r>
    <s v="MG52518230014001MAM"/>
    <x v="5"/>
    <x v="5"/>
    <m/>
    <x v="2"/>
    <x v="2"/>
    <m/>
    <x v="2"/>
    <x v="2"/>
    <m/>
    <x v="120"/>
    <x v="120"/>
    <m/>
    <x v="714"/>
    <x v="610"/>
    <m/>
    <x v="779"/>
    <x v="833"/>
    <m/>
    <x v="2"/>
    <x v="2"/>
    <m/>
    <n v="45.314720000000001"/>
    <n v="-24.266950000000001"/>
    <m/>
    <m/>
  </r>
  <r>
    <s v="MG52518230019001MAM"/>
    <x v="5"/>
    <x v="5"/>
    <m/>
    <x v="2"/>
    <x v="2"/>
    <m/>
    <x v="2"/>
    <x v="2"/>
    <m/>
    <x v="120"/>
    <x v="120"/>
    <m/>
    <x v="715"/>
    <x v="611"/>
    <m/>
    <x v="780"/>
    <x v="834"/>
    <m/>
    <x v="2"/>
    <x v="2"/>
    <m/>
    <n v="45.102200000000003"/>
    <n v="-24.825500000000002"/>
    <m/>
    <m/>
  </r>
  <r>
    <s v="MG52518230056001MAM"/>
    <x v="5"/>
    <x v="5"/>
    <m/>
    <x v="2"/>
    <x v="2"/>
    <m/>
    <x v="2"/>
    <x v="2"/>
    <m/>
    <x v="120"/>
    <x v="120"/>
    <m/>
    <x v="691"/>
    <x v="612"/>
    <m/>
    <x v="781"/>
    <x v="835"/>
    <m/>
    <x v="2"/>
    <x v="2"/>
    <m/>
    <n v="45.314182000000002"/>
    <n v="-24.485375999999999"/>
    <m/>
    <m/>
  </r>
  <r>
    <s v="MG52518230057001MAM"/>
    <x v="5"/>
    <x v="5"/>
    <m/>
    <x v="2"/>
    <x v="2"/>
    <m/>
    <x v="2"/>
    <x v="2"/>
    <m/>
    <x v="120"/>
    <x v="120"/>
    <m/>
    <x v="716"/>
    <x v="613"/>
    <m/>
    <x v="782"/>
    <x v="836"/>
    <m/>
    <x v="2"/>
    <x v="2"/>
    <m/>
    <n v="45.260429999999999"/>
    <n v="-24.554030000000001"/>
    <m/>
    <m/>
  </r>
  <r>
    <s v="MG52518230058001MAM"/>
    <x v="5"/>
    <x v="5"/>
    <m/>
    <x v="2"/>
    <x v="2"/>
    <m/>
    <x v="2"/>
    <x v="2"/>
    <m/>
    <x v="120"/>
    <x v="120"/>
    <m/>
    <x v="717"/>
    <x v="614"/>
    <m/>
    <x v="783"/>
    <x v="837"/>
    <m/>
    <x v="2"/>
    <x v="2"/>
    <m/>
    <n v="45.339599999999997"/>
    <n v="-24.658100000000001"/>
    <m/>
    <m/>
  </r>
  <r>
    <s v="MG52518230059001MAM"/>
    <x v="5"/>
    <x v="5"/>
    <m/>
    <x v="2"/>
    <x v="2"/>
    <m/>
    <x v="2"/>
    <x v="2"/>
    <m/>
    <x v="120"/>
    <x v="120"/>
    <m/>
    <x v="718"/>
    <x v="615"/>
    <m/>
    <x v="784"/>
    <x v="838"/>
    <m/>
    <x v="2"/>
    <x v="2"/>
    <m/>
    <n v="45.326419999999999"/>
    <n v="-24.663599999999999"/>
    <m/>
    <m/>
  </r>
  <r>
    <s v="MG52518230060001MAM"/>
    <x v="5"/>
    <x v="5"/>
    <m/>
    <x v="2"/>
    <x v="2"/>
    <m/>
    <x v="2"/>
    <x v="2"/>
    <m/>
    <x v="120"/>
    <x v="120"/>
    <m/>
    <x v="719"/>
    <x v="616"/>
    <m/>
    <x v="785"/>
    <x v="839"/>
    <m/>
    <x v="2"/>
    <x v="2"/>
    <m/>
    <n v="45.315930000000002"/>
    <n v="-24.558879999999998"/>
    <m/>
    <m/>
  </r>
  <r>
    <s v="MG25222053002001MAM"/>
    <x v="0"/>
    <x v="0"/>
    <m/>
    <x v="4"/>
    <x v="4"/>
    <m/>
    <x v="19"/>
    <x v="18"/>
    <m/>
    <x v="121"/>
    <x v="121"/>
    <m/>
    <x v="720"/>
    <x v="617"/>
    <m/>
    <x v="786"/>
    <x v="840"/>
    <m/>
    <x v="2"/>
    <x v="2"/>
    <m/>
    <n v="46.937567999999999"/>
    <n v="-23.831295000000001"/>
    <m/>
    <m/>
  </r>
  <r>
    <s v="MG53517250001001MAM"/>
    <x v="5"/>
    <x v="5"/>
    <m/>
    <x v="3"/>
    <x v="3"/>
    <m/>
    <x v="15"/>
    <x v="15"/>
    <m/>
    <x v="122"/>
    <x v="122"/>
    <m/>
    <x v="721"/>
    <x v="618"/>
    <m/>
    <x v="787"/>
    <x v="841"/>
    <m/>
    <x v="2"/>
    <x v="2"/>
    <m/>
    <n v="45.937519999999999"/>
    <n v="-23.682780000000001"/>
    <m/>
    <m/>
  </r>
  <r>
    <s v="MG53517250002001MAM"/>
    <x v="5"/>
    <x v="5"/>
    <m/>
    <x v="3"/>
    <x v="3"/>
    <m/>
    <x v="15"/>
    <x v="15"/>
    <m/>
    <x v="122"/>
    <x v="122"/>
    <m/>
    <x v="722"/>
    <x v="619"/>
    <m/>
    <x v="788"/>
    <x v="842"/>
    <m/>
    <x v="2"/>
    <x v="2"/>
    <m/>
    <n v="45.867930000000001"/>
    <n v="-23.68648"/>
    <m/>
    <m/>
  </r>
  <r>
    <s v="MG53517250003001MAM"/>
    <x v="5"/>
    <x v="5"/>
    <m/>
    <x v="3"/>
    <x v="3"/>
    <m/>
    <x v="15"/>
    <x v="15"/>
    <m/>
    <x v="122"/>
    <x v="122"/>
    <m/>
    <x v="723"/>
    <x v="620"/>
    <m/>
    <x v="789"/>
    <x v="843"/>
    <m/>
    <x v="2"/>
    <x v="2"/>
    <m/>
    <n v="45.728929999999998"/>
    <n v="-23.710280000000001"/>
    <m/>
    <m/>
  </r>
  <r>
    <s v="MG53517250004001MAM"/>
    <x v="5"/>
    <x v="5"/>
    <m/>
    <x v="3"/>
    <x v="3"/>
    <m/>
    <x v="15"/>
    <x v="15"/>
    <m/>
    <x v="122"/>
    <x v="122"/>
    <m/>
    <x v="125"/>
    <x v="621"/>
    <m/>
    <x v="790"/>
    <x v="844"/>
    <m/>
    <x v="2"/>
    <x v="2"/>
    <m/>
    <n v="45.851019999999998"/>
    <n v="-23.72353"/>
    <m/>
    <m/>
  </r>
  <r>
    <s v="MG53517250005001MAM"/>
    <x v="5"/>
    <x v="5"/>
    <m/>
    <x v="3"/>
    <x v="3"/>
    <m/>
    <x v="15"/>
    <x v="15"/>
    <m/>
    <x v="122"/>
    <x v="122"/>
    <m/>
    <x v="724"/>
    <x v="622"/>
    <m/>
    <x v="791"/>
    <x v="845"/>
    <m/>
    <x v="2"/>
    <x v="2"/>
    <m/>
    <n v="45.934620000000002"/>
    <n v="-23.8934"/>
    <m/>
    <m/>
  </r>
  <r>
    <s v="MG53517250067001MAM"/>
    <x v="5"/>
    <x v="5"/>
    <m/>
    <x v="3"/>
    <x v="3"/>
    <m/>
    <x v="15"/>
    <x v="15"/>
    <m/>
    <x v="122"/>
    <x v="122"/>
    <m/>
    <x v="725"/>
    <x v="623"/>
    <m/>
    <x v="792"/>
    <x v="846"/>
    <m/>
    <x v="2"/>
    <x v="2"/>
    <m/>
    <n v="45.799079999999996"/>
    <n v="-23.7422"/>
    <m/>
    <m/>
  </r>
  <r>
    <s v="MG51507170005001MAM"/>
    <x v="1"/>
    <x v="1"/>
    <m/>
    <x v="1"/>
    <x v="1"/>
    <m/>
    <x v="1"/>
    <x v="1"/>
    <m/>
    <x v="123"/>
    <x v="123"/>
    <m/>
    <x v="726"/>
    <x v="624"/>
    <m/>
    <x v="793"/>
    <x v="847"/>
    <m/>
    <x v="2"/>
    <x v="2"/>
    <m/>
    <n v="44.581173999999997"/>
    <n v="-24.273769000000001"/>
    <m/>
    <m/>
  </r>
  <r>
    <s v="MG51507170009001MAM"/>
    <x v="1"/>
    <x v="1"/>
    <m/>
    <x v="1"/>
    <x v="1"/>
    <m/>
    <x v="1"/>
    <x v="1"/>
    <m/>
    <x v="123"/>
    <x v="123"/>
    <m/>
    <x v="727"/>
    <x v="625"/>
    <m/>
    <x v="794"/>
    <x v="848"/>
    <m/>
    <x v="2"/>
    <x v="2"/>
    <m/>
    <n v="44.676997"/>
    <n v="-24.236944000000001"/>
    <m/>
    <m/>
  </r>
  <r>
    <s v="MG51507170070001MAM"/>
    <x v="1"/>
    <x v="1"/>
    <m/>
    <x v="1"/>
    <x v="1"/>
    <m/>
    <x v="1"/>
    <x v="1"/>
    <m/>
    <x v="123"/>
    <x v="123"/>
    <m/>
    <x v="728"/>
    <x v="626"/>
    <m/>
    <x v="795"/>
    <x v="849"/>
    <m/>
    <x v="2"/>
    <x v="2"/>
    <m/>
    <n v="44.62782"/>
    <n v="-24.292870000000001"/>
    <m/>
    <m/>
  </r>
  <r>
    <s v="MG51507170071001MAM"/>
    <x v="1"/>
    <x v="1"/>
    <m/>
    <x v="1"/>
    <x v="1"/>
    <m/>
    <x v="1"/>
    <x v="1"/>
    <m/>
    <x v="123"/>
    <x v="123"/>
    <m/>
    <x v="729"/>
    <x v="627"/>
    <m/>
    <x v="796"/>
    <x v="850"/>
    <m/>
    <x v="2"/>
    <x v="2"/>
    <m/>
    <n v="44.596420000000002"/>
    <n v="-24.160820000000001"/>
    <m/>
    <m/>
  </r>
  <r>
    <s v="MG51507170081001MAM"/>
    <x v="1"/>
    <x v="1"/>
    <m/>
    <x v="1"/>
    <x v="1"/>
    <m/>
    <x v="1"/>
    <x v="1"/>
    <m/>
    <x v="123"/>
    <x v="123"/>
    <m/>
    <x v="730"/>
    <x v="628"/>
    <m/>
    <x v="797"/>
    <x v="851"/>
    <m/>
    <x v="2"/>
    <x v="2"/>
    <m/>
    <n v="44.651269999999997"/>
    <n v="-24.2395"/>
    <m/>
    <m/>
  </r>
  <r>
    <s v="MG51507170082001MAM"/>
    <x v="1"/>
    <x v="1"/>
    <m/>
    <x v="1"/>
    <x v="1"/>
    <m/>
    <x v="1"/>
    <x v="1"/>
    <m/>
    <x v="123"/>
    <x v="123"/>
    <m/>
    <x v="731"/>
    <x v="629"/>
    <m/>
    <x v="798"/>
    <x v="852"/>
    <m/>
    <x v="2"/>
    <x v="2"/>
    <m/>
    <n v="44.644950000000001"/>
    <n v="-24.394629999999999"/>
    <m/>
    <m/>
  </r>
  <r>
    <s v="MG51507170083001MAM"/>
    <x v="1"/>
    <x v="1"/>
    <m/>
    <x v="1"/>
    <x v="1"/>
    <m/>
    <x v="1"/>
    <x v="1"/>
    <m/>
    <x v="123"/>
    <x v="123"/>
    <m/>
    <x v="732"/>
    <x v="630"/>
    <m/>
    <x v="799"/>
    <x v="853"/>
    <m/>
    <x v="2"/>
    <x v="2"/>
    <m/>
    <n v="44.621020000000001"/>
    <n v="-24.369869999999999"/>
    <m/>
    <m/>
  </r>
  <r>
    <s v="MG51507210010001MAM"/>
    <x v="1"/>
    <x v="1"/>
    <m/>
    <x v="1"/>
    <x v="1"/>
    <m/>
    <x v="1"/>
    <x v="1"/>
    <m/>
    <x v="123"/>
    <x v="123"/>
    <m/>
    <x v="733"/>
    <x v="631"/>
    <m/>
    <x v="800"/>
    <x v="854"/>
    <m/>
    <x v="2"/>
    <x v="2"/>
    <m/>
    <n v="44.709099999999999"/>
    <n v="-24.244869999999999"/>
    <m/>
    <m/>
  </r>
  <r>
    <s v="MG51507310006001MAM"/>
    <x v="1"/>
    <x v="1"/>
    <m/>
    <x v="1"/>
    <x v="1"/>
    <m/>
    <x v="1"/>
    <x v="1"/>
    <m/>
    <x v="123"/>
    <x v="123"/>
    <m/>
    <x v="734"/>
    <x v="632"/>
    <m/>
    <x v="801"/>
    <x v="855"/>
    <m/>
    <x v="2"/>
    <x v="2"/>
    <m/>
    <n v="43.734380000000002"/>
    <n v="-24.370480000000001"/>
    <m/>
    <m/>
  </r>
  <r>
    <s v="MG51507310060001MAM"/>
    <x v="1"/>
    <x v="1"/>
    <m/>
    <x v="1"/>
    <x v="1"/>
    <m/>
    <x v="1"/>
    <x v="1"/>
    <m/>
    <x v="123"/>
    <x v="123"/>
    <m/>
    <x v="735"/>
    <x v="633"/>
    <m/>
    <x v="802"/>
    <x v="856"/>
    <m/>
    <x v="2"/>
    <x v="2"/>
    <m/>
    <n v="44.595120000000001"/>
    <n v="-24.20515"/>
    <m/>
    <m/>
  </r>
  <r>
    <s v="MG51507310061001MAM"/>
    <x v="1"/>
    <x v="1"/>
    <m/>
    <x v="1"/>
    <x v="1"/>
    <m/>
    <x v="1"/>
    <x v="1"/>
    <m/>
    <x v="123"/>
    <x v="123"/>
    <m/>
    <x v="736"/>
    <x v="634"/>
    <m/>
    <x v="803"/>
    <x v="857"/>
    <m/>
    <x v="2"/>
    <x v="2"/>
    <m/>
    <n v="44.64873"/>
    <n v="-24.261030000000002"/>
    <m/>
    <m/>
  </r>
  <r>
    <s v="MG51507310062001MAM"/>
    <x v="1"/>
    <x v="1"/>
    <m/>
    <x v="1"/>
    <x v="1"/>
    <m/>
    <x v="1"/>
    <x v="1"/>
    <m/>
    <x v="123"/>
    <x v="123"/>
    <m/>
    <x v="202"/>
    <x v="635"/>
    <m/>
    <x v="211"/>
    <x v="858"/>
    <m/>
    <x v="2"/>
    <x v="2"/>
    <m/>
    <n v="44.638469999999998"/>
    <n v="-24.354500000000002"/>
    <m/>
    <m/>
  </r>
  <r>
    <s v="MG51507310063001MAM"/>
    <x v="1"/>
    <x v="1"/>
    <m/>
    <x v="1"/>
    <x v="1"/>
    <m/>
    <x v="1"/>
    <x v="1"/>
    <m/>
    <x v="123"/>
    <x v="123"/>
    <m/>
    <x v="737"/>
    <x v="636"/>
    <m/>
    <x v="804"/>
    <x v="859"/>
    <m/>
    <x v="2"/>
    <x v="2"/>
    <m/>
    <n v="44.673670000000001"/>
    <n v="-24.229150000000001"/>
    <m/>
    <m/>
  </r>
  <r>
    <s v="MG51507310064001MAM"/>
    <x v="1"/>
    <x v="1"/>
    <m/>
    <x v="1"/>
    <x v="1"/>
    <m/>
    <x v="1"/>
    <x v="1"/>
    <m/>
    <x v="123"/>
    <x v="123"/>
    <m/>
    <x v="738"/>
    <x v="637"/>
    <m/>
    <x v="805"/>
    <x v="860"/>
    <m/>
    <x v="2"/>
    <x v="2"/>
    <m/>
    <n v="44.665419999999997"/>
    <n v="-24.276"/>
    <m/>
    <m/>
  </r>
  <r>
    <s v="MG51507310065001MAM"/>
    <x v="1"/>
    <x v="1"/>
    <m/>
    <x v="1"/>
    <x v="1"/>
    <m/>
    <x v="1"/>
    <x v="1"/>
    <m/>
    <x v="123"/>
    <x v="123"/>
    <m/>
    <x v="739"/>
    <x v="638"/>
    <m/>
    <x v="806"/>
    <x v="861"/>
    <m/>
    <x v="2"/>
    <x v="2"/>
    <m/>
    <n v="44.690330000000003"/>
    <n v="-24.229150000000001"/>
    <m/>
    <m/>
  </r>
  <r>
    <s v="MG51507310066001MAM"/>
    <x v="1"/>
    <x v="1"/>
    <m/>
    <x v="1"/>
    <x v="1"/>
    <m/>
    <x v="1"/>
    <x v="1"/>
    <m/>
    <x v="123"/>
    <x v="123"/>
    <m/>
    <x v="740"/>
    <x v="639"/>
    <m/>
    <x v="807"/>
    <x v="862"/>
    <m/>
    <x v="2"/>
    <x v="2"/>
    <m/>
    <n v="44.69023"/>
    <n v="-24.229150000000001"/>
    <m/>
    <m/>
  </r>
  <r>
    <s v="MG51507310067001MAM"/>
    <x v="1"/>
    <x v="1"/>
    <m/>
    <x v="1"/>
    <x v="1"/>
    <m/>
    <x v="1"/>
    <x v="1"/>
    <m/>
    <x v="123"/>
    <x v="123"/>
    <m/>
    <x v="741"/>
    <x v="640"/>
    <m/>
    <x v="808"/>
    <x v="863"/>
    <m/>
    <x v="2"/>
    <x v="2"/>
    <m/>
    <n v="44.572899999999997"/>
    <n v="-24.303249999999998"/>
    <m/>
    <m/>
  </r>
  <r>
    <s v="MG51507310068001MAM"/>
    <x v="1"/>
    <x v="1"/>
    <m/>
    <x v="1"/>
    <x v="1"/>
    <m/>
    <x v="1"/>
    <x v="1"/>
    <m/>
    <x v="123"/>
    <x v="123"/>
    <m/>
    <x v="742"/>
    <x v="641"/>
    <m/>
    <x v="809"/>
    <x v="864"/>
    <m/>
    <x v="2"/>
    <x v="2"/>
    <m/>
    <n v="44.673670000000001"/>
    <n v="-24.229150000000001"/>
    <m/>
    <m/>
  </r>
  <r>
    <s v="MG51507310069001MAM"/>
    <x v="1"/>
    <x v="1"/>
    <m/>
    <x v="1"/>
    <x v="1"/>
    <m/>
    <x v="1"/>
    <x v="1"/>
    <m/>
    <x v="123"/>
    <x v="123"/>
    <m/>
    <x v="437"/>
    <x v="642"/>
    <m/>
    <x v="810"/>
    <x v="865"/>
    <m/>
    <x v="2"/>
    <x v="2"/>
    <m/>
    <n v="44.690330000000003"/>
    <n v="-24.229150000000001"/>
    <m/>
    <m/>
  </r>
  <r>
    <s v="MG51507310072001MAM"/>
    <x v="1"/>
    <x v="1"/>
    <m/>
    <x v="1"/>
    <x v="1"/>
    <m/>
    <x v="1"/>
    <x v="1"/>
    <m/>
    <x v="123"/>
    <x v="123"/>
    <m/>
    <x v="743"/>
    <x v="643"/>
    <m/>
    <x v="811"/>
    <x v="866"/>
    <m/>
    <x v="2"/>
    <x v="2"/>
    <m/>
    <n v="44.596429999999998"/>
    <n v="-24.160820000000001"/>
    <m/>
    <m/>
  </r>
  <r>
    <s v="MG51507310073001MAM"/>
    <x v="1"/>
    <x v="1"/>
    <m/>
    <x v="1"/>
    <x v="1"/>
    <m/>
    <x v="1"/>
    <x v="1"/>
    <m/>
    <x v="123"/>
    <x v="123"/>
    <m/>
    <x v="744"/>
    <x v="644"/>
    <m/>
    <x v="812"/>
    <x v="867"/>
    <m/>
    <x v="2"/>
    <x v="2"/>
    <m/>
    <n v="44.676220000000001"/>
    <n v="-24.227350000000001"/>
    <m/>
    <m/>
  </r>
  <r>
    <s v="MG51507310074001MAM"/>
    <x v="1"/>
    <x v="1"/>
    <m/>
    <x v="1"/>
    <x v="1"/>
    <m/>
    <x v="1"/>
    <x v="1"/>
    <m/>
    <x v="123"/>
    <x v="123"/>
    <m/>
    <x v="745"/>
    <x v="645"/>
    <m/>
    <x v="813"/>
    <x v="868"/>
    <m/>
    <x v="2"/>
    <x v="2"/>
    <m/>
    <n v="44.572899999999997"/>
    <n v="-24.303650000000001"/>
    <m/>
    <m/>
  </r>
  <r>
    <s v="MG51507310075001MAM"/>
    <x v="1"/>
    <x v="1"/>
    <m/>
    <x v="1"/>
    <x v="1"/>
    <m/>
    <x v="1"/>
    <x v="1"/>
    <m/>
    <x v="123"/>
    <x v="123"/>
    <m/>
    <x v="689"/>
    <x v="646"/>
    <m/>
    <x v="814"/>
    <x v="869"/>
    <m/>
    <x v="2"/>
    <x v="2"/>
    <m/>
    <n v="44.613480000000003"/>
    <n v="-24.29027"/>
    <m/>
    <m/>
  </r>
  <r>
    <s v="MG51507310076001MAM"/>
    <x v="1"/>
    <x v="1"/>
    <m/>
    <x v="1"/>
    <x v="1"/>
    <m/>
    <x v="1"/>
    <x v="1"/>
    <m/>
    <x v="123"/>
    <x v="123"/>
    <m/>
    <x v="746"/>
    <x v="647"/>
    <m/>
    <x v="815"/>
    <x v="870"/>
    <m/>
    <x v="2"/>
    <x v="2"/>
    <m/>
    <n v="44.58408"/>
    <n v="-24.353169999999999"/>
    <m/>
    <m/>
  </r>
  <r>
    <s v="MG51507310077001MAM"/>
    <x v="1"/>
    <x v="1"/>
    <m/>
    <x v="1"/>
    <x v="1"/>
    <m/>
    <x v="1"/>
    <x v="1"/>
    <m/>
    <x v="123"/>
    <x v="123"/>
    <m/>
    <x v="747"/>
    <x v="648"/>
    <m/>
    <x v="816"/>
    <x v="871"/>
    <m/>
    <x v="2"/>
    <x v="2"/>
    <m/>
    <n v="44.592579999999998"/>
    <n v="-24.363880000000002"/>
    <m/>
    <m/>
  </r>
  <r>
    <s v="MG51507310078001MAM"/>
    <x v="1"/>
    <x v="1"/>
    <m/>
    <x v="1"/>
    <x v="1"/>
    <m/>
    <x v="1"/>
    <x v="1"/>
    <m/>
    <x v="123"/>
    <x v="123"/>
    <m/>
    <x v="748"/>
    <x v="649"/>
    <m/>
    <x v="817"/>
    <x v="872"/>
    <m/>
    <x v="2"/>
    <x v="2"/>
    <m/>
    <n v="44.60192"/>
    <n v="-24.359300000000001"/>
    <m/>
    <m/>
  </r>
  <r>
    <s v="MG51507310079001MAM"/>
    <x v="1"/>
    <x v="1"/>
    <m/>
    <x v="1"/>
    <x v="1"/>
    <m/>
    <x v="1"/>
    <x v="1"/>
    <m/>
    <x v="123"/>
    <x v="123"/>
    <m/>
    <x v="749"/>
    <x v="650"/>
    <m/>
    <x v="818"/>
    <x v="873"/>
    <m/>
    <x v="2"/>
    <x v="2"/>
    <m/>
    <n v="44.693069999999999"/>
    <n v="-24.237349999999999"/>
    <m/>
    <m/>
  </r>
  <r>
    <s v="MG51507310080001MAM"/>
    <x v="1"/>
    <x v="1"/>
    <m/>
    <x v="1"/>
    <x v="1"/>
    <m/>
    <x v="1"/>
    <x v="1"/>
    <m/>
    <x v="123"/>
    <x v="123"/>
    <m/>
    <x v="750"/>
    <x v="651"/>
    <m/>
    <x v="819"/>
    <x v="874"/>
    <m/>
    <x v="2"/>
    <x v="2"/>
    <m/>
    <n v="44.587800000000001"/>
    <n v="-24.247520000000002"/>
    <m/>
    <m/>
  </r>
  <r>
    <s v="MG41403050001001MAM"/>
    <x v="5"/>
    <x v="5"/>
    <m/>
    <x v="2"/>
    <x v="2"/>
    <m/>
    <x v="2"/>
    <x v="2"/>
    <m/>
    <x v="124"/>
    <x v="124"/>
    <m/>
    <x v="297"/>
    <x v="652"/>
    <m/>
    <x v="306"/>
    <x v="875"/>
    <m/>
    <x v="2"/>
    <x v="2"/>
    <m/>
    <n v="45.42098"/>
    <n v="-24.425419999999999"/>
    <m/>
    <m/>
  </r>
  <r>
    <s v="MG52518170010001MAM"/>
    <x v="5"/>
    <x v="5"/>
    <m/>
    <x v="2"/>
    <x v="2"/>
    <m/>
    <x v="2"/>
    <x v="2"/>
    <m/>
    <x v="124"/>
    <x v="124"/>
    <m/>
    <x v="60"/>
    <x v="653"/>
    <m/>
    <x v="820"/>
    <x v="876"/>
    <m/>
    <x v="2"/>
    <x v="2"/>
    <m/>
    <n v="45.379517999999997"/>
    <n v="-24.442695000000001"/>
    <m/>
    <m/>
  </r>
  <r>
    <s v="MG53519050014001MAM"/>
    <x v="5"/>
    <x v="5"/>
    <m/>
    <x v="2"/>
    <x v="2"/>
    <m/>
    <x v="2"/>
    <x v="2"/>
    <m/>
    <x v="124"/>
    <x v="124"/>
    <m/>
    <x v="751"/>
    <x v="654"/>
    <m/>
    <x v="821"/>
    <x v="877"/>
    <m/>
    <x v="2"/>
    <x v="2"/>
    <m/>
    <n v="46.419600000000003"/>
    <n v="-25.16283"/>
    <m/>
    <m/>
  </r>
  <r>
    <s v="MG53519050056001MAM"/>
    <x v="5"/>
    <x v="5"/>
    <m/>
    <x v="2"/>
    <x v="2"/>
    <m/>
    <x v="2"/>
    <x v="2"/>
    <m/>
    <x v="124"/>
    <x v="124"/>
    <m/>
    <x v="752"/>
    <x v="655"/>
    <m/>
    <x v="822"/>
    <x v="878"/>
    <m/>
    <x v="2"/>
    <x v="2"/>
    <m/>
    <n v="45.378950000000003"/>
    <n v="-24.401299999999999"/>
    <m/>
    <m/>
  </r>
  <r>
    <s v="MG53519050057001MAM"/>
    <x v="5"/>
    <x v="5"/>
    <m/>
    <x v="2"/>
    <x v="2"/>
    <m/>
    <x v="2"/>
    <x v="2"/>
    <m/>
    <x v="124"/>
    <x v="124"/>
    <m/>
    <x v="738"/>
    <x v="656"/>
    <m/>
    <x v="823"/>
    <x v="879"/>
    <m/>
    <x v="2"/>
    <x v="2"/>
    <m/>
    <n v="45.379370000000002"/>
    <n v="-24.48892"/>
    <m/>
    <m/>
  </r>
  <r>
    <s v="MG53519050058001MAM"/>
    <x v="5"/>
    <x v="5"/>
    <m/>
    <x v="2"/>
    <x v="2"/>
    <m/>
    <x v="2"/>
    <x v="2"/>
    <m/>
    <x v="124"/>
    <x v="124"/>
    <m/>
    <x v="753"/>
    <x v="657"/>
    <m/>
    <x v="824"/>
    <x v="880"/>
    <m/>
    <x v="2"/>
    <x v="2"/>
    <m/>
    <n v="45.408349999999999"/>
    <n v="-24.49417"/>
    <m/>
    <m/>
  </r>
  <r>
    <s v="MG52513010015001MAM"/>
    <x v="5"/>
    <x v="5"/>
    <m/>
    <x v="2"/>
    <x v="2"/>
    <m/>
    <x v="8"/>
    <x v="8"/>
    <m/>
    <x v="125"/>
    <x v="125"/>
    <m/>
    <x v="649"/>
    <x v="658"/>
    <m/>
    <x v="825"/>
    <x v="881"/>
    <m/>
    <x v="2"/>
    <x v="2"/>
    <m/>
    <n v="45.106780000000001"/>
    <n v="-25.150480000000002"/>
    <m/>
    <m/>
  </r>
  <r>
    <s v="MG52513010021001MAM"/>
    <x v="5"/>
    <x v="5"/>
    <m/>
    <x v="2"/>
    <x v="2"/>
    <m/>
    <x v="8"/>
    <x v="8"/>
    <m/>
    <x v="125"/>
    <x v="125"/>
    <m/>
    <x v="754"/>
    <x v="659"/>
    <m/>
    <x v="826"/>
    <x v="882"/>
    <m/>
    <x v="2"/>
    <x v="2"/>
    <m/>
    <n v="44.948830000000001"/>
    <n v="-25.136649999999999"/>
    <m/>
    <m/>
  </r>
  <r>
    <s v="MG52513010027001MAM"/>
    <x v="5"/>
    <x v="5"/>
    <m/>
    <x v="2"/>
    <x v="2"/>
    <m/>
    <x v="8"/>
    <x v="8"/>
    <m/>
    <x v="125"/>
    <x v="125"/>
    <m/>
    <x v="755"/>
    <x v="660"/>
    <m/>
    <x v="827"/>
    <x v="883"/>
    <m/>
    <x v="2"/>
    <x v="2"/>
    <m/>
    <n v="45.130879999999998"/>
    <n v="-25.13495"/>
    <m/>
    <m/>
  </r>
  <r>
    <s v="MG52513010076001MAM"/>
    <x v="5"/>
    <x v="5"/>
    <m/>
    <x v="2"/>
    <x v="2"/>
    <m/>
    <x v="8"/>
    <x v="8"/>
    <m/>
    <x v="125"/>
    <x v="125"/>
    <m/>
    <x v="756"/>
    <x v="661"/>
    <m/>
    <x v="828"/>
    <x v="884"/>
    <m/>
    <x v="2"/>
    <x v="2"/>
    <m/>
    <n v="45.037669999999999"/>
    <n v="-25.19115"/>
    <m/>
    <m/>
  </r>
  <r>
    <s v="MG52513010077001MAM"/>
    <x v="5"/>
    <x v="5"/>
    <m/>
    <x v="2"/>
    <x v="2"/>
    <m/>
    <x v="8"/>
    <x v="8"/>
    <m/>
    <x v="125"/>
    <x v="125"/>
    <m/>
    <x v="757"/>
    <x v="662"/>
    <m/>
    <x v="829"/>
    <x v="885"/>
    <m/>
    <x v="2"/>
    <x v="2"/>
    <m/>
    <n v="45.038069999999998"/>
    <n v="-25.120270000000001"/>
    <m/>
    <m/>
  </r>
  <r>
    <s v="MG52513010078001MAM"/>
    <x v="5"/>
    <x v="5"/>
    <m/>
    <x v="2"/>
    <x v="2"/>
    <m/>
    <x v="8"/>
    <x v="8"/>
    <m/>
    <x v="125"/>
    <x v="125"/>
    <m/>
    <x v="758"/>
    <x v="663"/>
    <m/>
    <x v="830"/>
    <x v="886"/>
    <m/>
    <x v="2"/>
    <x v="2"/>
    <m/>
    <n v="45.022129999999997"/>
    <n v="-25.204529999999998"/>
    <m/>
    <m/>
  </r>
  <r>
    <s v="MG52513010079001MAM"/>
    <x v="5"/>
    <x v="5"/>
    <m/>
    <x v="2"/>
    <x v="2"/>
    <m/>
    <x v="8"/>
    <x v="8"/>
    <m/>
    <x v="125"/>
    <x v="125"/>
    <m/>
    <x v="759"/>
    <x v="664"/>
    <m/>
    <x v="831"/>
    <x v="887"/>
    <m/>
    <x v="2"/>
    <x v="2"/>
    <m/>
    <n v="44.988770000000002"/>
    <n v="-25.12125"/>
    <m/>
    <m/>
  </r>
  <r>
    <s v="MG52513010080001MAM"/>
    <x v="5"/>
    <x v="5"/>
    <m/>
    <x v="2"/>
    <x v="2"/>
    <m/>
    <x v="8"/>
    <x v="8"/>
    <m/>
    <x v="125"/>
    <x v="125"/>
    <m/>
    <x v="760"/>
    <x v="665"/>
    <m/>
    <x v="832"/>
    <x v="888"/>
    <m/>
    <x v="2"/>
    <x v="2"/>
    <m/>
    <n v="44.902380000000001"/>
    <n v="-25.114570000000001"/>
    <m/>
    <m/>
  </r>
  <r>
    <s v="MG52514031006001MAM"/>
    <x v="0"/>
    <x v="0"/>
    <m/>
    <x v="4"/>
    <x v="4"/>
    <m/>
    <x v="10"/>
    <x v="10"/>
    <m/>
    <x v="126"/>
    <x v="126"/>
    <m/>
    <x v="761"/>
    <x v="666"/>
    <m/>
    <x v="833"/>
    <x v="889"/>
    <m/>
    <x v="2"/>
    <x v="2"/>
    <m/>
    <n v="47.501015000000002"/>
    <n v="-23.160025000000001"/>
    <m/>
    <m/>
  </r>
  <r>
    <s v="MG53517050003001MAM"/>
    <x v="5"/>
    <x v="5"/>
    <m/>
    <x v="3"/>
    <x v="3"/>
    <m/>
    <x v="15"/>
    <x v="15"/>
    <m/>
    <x v="127"/>
    <x v="127"/>
    <m/>
    <x v="762"/>
    <x v="667"/>
    <m/>
    <x v="834"/>
    <x v="890"/>
    <m/>
    <x v="2"/>
    <x v="2"/>
    <m/>
    <n v="46.083120000000001"/>
    <n v="-23.26295"/>
    <m/>
    <m/>
  </r>
  <r>
    <s v="MG53517150001001MAM"/>
    <x v="5"/>
    <x v="5"/>
    <m/>
    <x v="3"/>
    <x v="3"/>
    <m/>
    <x v="15"/>
    <x v="15"/>
    <m/>
    <x v="127"/>
    <x v="127"/>
    <m/>
    <x v="763"/>
    <x v="668"/>
    <m/>
    <x v="835"/>
    <x v="891"/>
    <m/>
    <x v="2"/>
    <x v="2"/>
    <m/>
    <n v="46.069330000000001"/>
    <n v="-23.424399999999999"/>
    <m/>
    <m/>
  </r>
  <r>
    <s v="MG53517150002001MAM"/>
    <x v="5"/>
    <x v="5"/>
    <m/>
    <x v="3"/>
    <x v="3"/>
    <m/>
    <x v="15"/>
    <x v="15"/>
    <m/>
    <x v="127"/>
    <x v="127"/>
    <m/>
    <x v="512"/>
    <x v="669"/>
    <m/>
    <x v="836"/>
    <x v="892"/>
    <m/>
    <x v="2"/>
    <x v="2"/>
    <m/>
    <n v="45.773269999999997"/>
    <n v="-22.985779999999998"/>
    <m/>
    <m/>
  </r>
  <r>
    <s v="MG53517150004001MAM"/>
    <x v="5"/>
    <x v="5"/>
    <m/>
    <x v="3"/>
    <x v="3"/>
    <m/>
    <x v="15"/>
    <x v="15"/>
    <m/>
    <x v="127"/>
    <x v="127"/>
    <m/>
    <x v="764"/>
    <x v="670"/>
    <m/>
    <x v="837"/>
    <x v="893"/>
    <m/>
    <x v="2"/>
    <x v="2"/>
    <m/>
    <n v="45.967469999999999"/>
    <n v="-23.03668"/>
    <m/>
    <m/>
  </r>
  <r>
    <s v="MG53517150009001MAM"/>
    <x v="5"/>
    <x v="5"/>
    <m/>
    <x v="3"/>
    <x v="3"/>
    <m/>
    <x v="15"/>
    <x v="15"/>
    <m/>
    <x v="127"/>
    <x v="127"/>
    <m/>
    <x v="765"/>
    <x v="671"/>
    <m/>
    <x v="838"/>
    <x v="894"/>
    <m/>
    <x v="2"/>
    <x v="2"/>
    <m/>
    <n v="45.913469999999997"/>
    <n v="-23.179819999999999"/>
    <m/>
    <m/>
  </r>
  <r>
    <s v="MG53517150034001MAM"/>
    <x v="5"/>
    <x v="5"/>
    <m/>
    <x v="3"/>
    <x v="3"/>
    <m/>
    <x v="15"/>
    <x v="15"/>
    <m/>
    <x v="127"/>
    <x v="127"/>
    <m/>
    <x v="117"/>
    <x v="672"/>
    <m/>
    <x v="839"/>
    <x v="895"/>
    <m/>
    <x v="2"/>
    <x v="2"/>
    <m/>
    <n v="46.103757999999999"/>
    <n v="-23.269143"/>
    <m/>
    <m/>
  </r>
  <r>
    <s v="MG44421110003001MAM"/>
    <x v="3"/>
    <x v="3"/>
    <m/>
    <x v="1"/>
    <x v="1"/>
    <m/>
    <x v="3"/>
    <x v="3"/>
    <m/>
    <x v="128"/>
    <x v="128"/>
    <m/>
    <x v="766"/>
    <x v="673"/>
    <m/>
    <x v="840"/>
    <x v="896"/>
    <m/>
    <x v="2"/>
    <x v="2"/>
    <m/>
    <n v="45.078398999999997"/>
    <n v="-23.336701000000001"/>
    <m/>
    <m/>
  </r>
  <r>
    <s v="MG51512130009001MAM"/>
    <x v="3"/>
    <x v="3"/>
    <m/>
    <x v="1"/>
    <x v="1"/>
    <m/>
    <x v="3"/>
    <x v="3"/>
    <m/>
    <x v="128"/>
    <x v="128"/>
    <m/>
    <x v="767"/>
    <x v="674"/>
    <m/>
    <x v="841"/>
    <x v="897"/>
    <m/>
    <x v="2"/>
    <x v="2"/>
    <m/>
    <n v="45.005184999999997"/>
    <n v="-23.496934"/>
    <m/>
    <m/>
  </r>
  <r>
    <s v="MG51521010001001MAM"/>
    <x v="3"/>
    <x v="3"/>
    <m/>
    <x v="1"/>
    <x v="1"/>
    <m/>
    <x v="3"/>
    <x v="3"/>
    <m/>
    <x v="128"/>
    <x v="128"/>
    <m/>
    <x v="768"/>
    <x v="675"/>
    <m/>
    <x v="842"/>
    <x v="898"/>
    <m/>
    <x v="2"/>
    <x v="2"/>
    <m/>
    <n v="45.078580000000002"/>
    <n v="-23.448080000000001"/>
    <m/>
    <m/>
  </r>
  <r>
    <s v="MG51521010007001MAM"/>
    <x v="3"/>
    <x v="3"/>
    <m/>
    <x v="1"/>
    <x v="1"/>
    <m/>
    <x v="3"/>
    <x v="3"/>
    <m/>
    <x v="128"/>
    <x v="128"/>
    <m/>
    <x v="769"/>
    <x v="676"/>
    <m/>
    <x v="843"/>
    <x v="899"/>
    <m/>
    <x v="2"/>
    <x v="2"/>
    <m/>
    <n v="45.123730000000002"/>
    <n v="-23.42492"/>
    <m/>
    <m/>
  </r>
  <r>
    <s v="MG51521010008001MAM"/>
    <x v="3"/>
    <x v="3"/>
    <m/>
    <x v="1"/>
    <x v="1"/>
    <m/>
    <x v="3"/>
    <x v="3"/>
    <m/>
    <x v="128"/>
    <x v="128"/>
    <m/>
    <x v="770"/>
    <x v="677"/>
    <m/>
    <x v="844"/>
    <x v="900"/>
    <m/>
    <x v="2"/>
    <x v="2"/>
    <m/>
    <n v="45.121079999999999"/>
    <n v="-23.433029999999999"/>
    <m/>
    <m/>
  </r>
  <r>
    <s v="MG51521010009001MAM"/>
    <x v="3"/>
    <x v="3"/>
    <m/>
    <x v="1"/>
    <x v="1"/>
    <m/>
    <x v="3"/>
    <x v="3"/>
    <m/>
    <x v="128"/>
    <x v="128"/>
    <m/>
    <x v="771"/>
    <x v="678"/>
    <m/>
    <x v="845"/>
    <x v="901"/>
    <m/>
    <x v="2"/>
    <x v="2"/>
    <m/>
    <n v="45.104370000000003"/>
    <n v="-23.427520000000001"/>
    <m/>
    <m/>
  </r>
  <r>
    <s v="MG51521010015001MAM"/>
    <x v="3"/>
    <x v="3"/>
    <m/>
    <x v="1"/>
    <x v="1"/>
    <m/>
    <x v="3"/>
    <x v="3"/>
    <m/>
    <x v="128"/>
    <x v="128"/>
    <m/>
    <x v="225"/>
    <x v="679"/>
    <m/>
    <x v="846"/>
    <x v="902"/>
    <m/>
    <x v="2"/>
    <x v="2"/>
    <m/>
    <n v="45.006529999999998"/>
    <n v="-23.403880000000001"/>
    <m/>
    <m/>
  </r>
  <r>
    <s v="MG52516014004001MAM"/>
    <x v="3"/>
    <x v="3"/>
    <m/>
    <x v="1"/>
    <x v="1"/>
    <m/>
    <x v="3"/>
    <x v="3"/>
    <m/>
    <x v="128"/>
    <x v="128"/>
    <m/>
    <x v="772"/>
    <x v="680"/>
    <m/>
    <x v="847"/>
    <x v="903"/>
    <m/>
    <x v="2"/>
    <x v="2"/>
    <m/>
    <n v="45.027484000000001"/>
    <n v="-23.456804999999999"/>
    <m/>
    <m/>
  </r>
  <r>
    <s v="MG51506012002001MAM"/>
    <x v="3"/>
    <x v="3"/>
    <m/>
    <x v="1"/>
    <x v="1"/>
    <m/>
    <x v="3"/>
    <x v="3"/>
    <m/>
    <x v="129"/>
    <x v="129"/>
    <m/>
    <x v="634"/>
    <x v="681"/>
    <m/>
    <x v="848"/>
    <x v="904"/>
    <m/>
    <x v="2"/>
    <x v="2"/>
    <m/>
    <n v="44.717100000000002"/>
    <n v="-23.855180000000001"/>
    <m/>
    <m/>
  </r>
  <r>
    <s v="MG51506012005001MAM"/>
    <x v="3"/>
    <x v="3"/>
    <m/>
    <x v="1"/>
    <x v="1"/>
    <m/>
    <x v="3"/>
    <x v="3"/>
    <m/>
    <x v="129"/>
    <x v="129"/>
    <m/>
    <x v="773"/>
    <x v="682"/>
    <m/>
    <x v="849"/>
    <x v="905"/>
    <m/>
    <x v="2"/>
    <x v="2"/>
    <m/>
    <n v="44.721820000000001"/>
    <n v="-23.82152"/>
    <m/>
    <m/>
  </r>
  <r>
    <s v="MG51506012007001MAM"/>
    <x v="3"/>
    <x v="3"/>
    <m/>
    <x v="1"/>
    <x v="1"/>
    <m/>
    <x v="3"/>
    <x v="3"/>
    <m/>
    <x v="129"/>
    <x v="129"/>
    <m/>
    <x v="774"/>
    <x v="683"/>
    <m/>
    <x v="850"/>
    <x v="906"/>
    <m/>
    <x v="2"/>
    <x v="2"/>
    <m/>
    <n v="44.667169999999999"/>
    <n v="-23.832270000000001"/>
    <m/>
    <m/>
  </r>
  <r>
    <s v="MG51506012011001MAM"/>
    <x v="3"/>
    <x v="3"/>
    <m/>
    <x v="1"/>
    <x v="1"/>
    <m/>
    <x v="3"/>
    <x v="3"/>
    <m/>
    <x v="129"/>
    <x v="129"/>
    <m/>
    <x v="775"/>
    <x v="684"/>
    <m/>
    <x v="851"/>
    <x v="907"/>
    <m/>
    <x v="2"/>
    <x v="2"/>
    <m/>
    <n v="44.690370000000001"/>
    <n v="-23.885950000000001"/>
    <m/>
    <m/>
  </r>
  <r>
    <s v="MG51506012017001MAM"/>
    <x v="3"/>
    <x v="3"/>
    <m/>
    <x v="1"/>
    <x v="1"/>
    <m/>
    <x v="3"/>
    <x v="3"/>
    <m/>
    <x v="129"/>
    <x v="129"/>
    <m/>
    <x v="776"/>
    <x v="685"/>
    <m/>
    <x v="852"/>
    <x v="908"/>
    <m/>
    <x v="2"/>
    <x v="2"/>
    <m/>
    <n v="44.662880000000001"/>
    <n v="-23.957850000000001"/>
    <m/>
    <m/>
  </r>
  <r>
    <s v="MG43404173004001MAM"/>
    <x v="5"/>
    <x v="5"/>
    <m/>
    <x v="2"/>
    <x v="2"/>
    <m/>
    <x v="2"/>
    <x v="2"/>
    <m/>
    <x v="7"/>
    <x v="7"/>
    <m/>
    <x v="777"/>
    <x v="686"/>
    <m/>
    <x v="853"/>
    <x v="909"/>
    <m/>
    <x v="2"/>
    <x v="2"/>
    <m/>
    <n v="45.687379999999997"/>
    <n v="-24.130420000000001"/>
    <m/>
    <m/>
  </r>
  <r>
    <s v="MG51506252005001MAM"/>
    <x v="5"/>
    <x v="5"/>
    <m/>
    <x v="2"/>
    <x v="2"/>
    <m/>
    <x v="2"/>
    <x v="2"/>
    <m/>
    <x v="7"/>
    <x v="7"/>
    <m/>
    <x v="778"/>
    <x v="687"/>
    <m/>
    <x v="854"/>
    <x v="910"/>
    <m/>
    <x v="2"/>
    <x v="2"/>
    <m/>
    <n v="45.589742000000001"/>
    <n v="-24.136054999999999"/>
    <m/>
    <m/>
  </r>
  <r>
    <s v="MG52516091025001MAM"/>
    <x v="5"/>
    <x v="5"/>
    <m/>
    <x v="2"/>
    <x v="2"/>
    <m/>
    <x v="2"/>
    <x v="2"/>
    <m/>
    <x v="7"/>
    <x v="7"/>
    <m/>
    <x v="779"/>
    <x v="688"/>
    <m/>
    <x v="855"/>
    <x v="911"/>
    <m/>
    <x v="2"/>
    <x v="2"/>
    <m/>
    <n v="45.615839000000001"/>
    <n v="-24.18939"/>
    <m/>
    <m/>
  </r>
  <r>
    <s v="MG52518251003002MAM"/>
    <x v="5"/>
    <x v="5"/>
    <m/>
    <x v="2"/>
    <x v="2"/>
    <m/>
    <x v="2"/>
    <x v="2"/>
    <m/>
    <x v="7"/>
    <x v="7"/>
    <m/>
    <x v="48"/>
    <x v="49"/>
    <m/>
    <x v="856"/>
    <x v="912"/>
    <m/>
    <x v="2"/>
    <x v="2"/>
    <m/>
    <n v="45.665570000000002"/>
    <n v="-24.263950000000001"/>
    <m/>
    <m/>
  </r>
  <r>
    <s v="MG52518251014002MAM"/>
    <x v="5"/>
    <x v="5"/>
    <m/>
    <x v="2"/>
    <x v="2"/>
    <m/>
    <x v="2"/>
    <x v="2"/>
    <m/>
    <x v="7"/>
    <x v="7"/>
    <m/>
    <x v="49"/>
    <x v="50"/>
    <m/>
    <x v="857"/>
    <x v="913"/>
    <m/>
    <x v="2"/>
    <x v="2"/>
    <m/>
    <n v="45.686999999999998"/>
    <n v="-24.215319999999998"/>
    <m/>
    <m/>
  </r>
  <r>
    <s v="MG52518251007001MAM"/>
    <x v="5"/>
    <x v="5"/>
    <m/>
    <x v="2"/>
    <x v="2"/>
    <m/>
    <x v="2"/>
    <x v="2"/>
    <m/>
    <x v="7"/>
    <x v="7"/>
    <m/>
    <x v="151"/>
    <x v="689"/>
    <m/>
    <x v="156"/>
    <x v="914"/>
    <m/>
    <x v="2"/>
    <x v="2"/>
    <m/>
    <n v="45.647179999999999"/>
    <n v="-24.137350000000001"/>
    <m/>
    <m/>
  </r>
  <r>
    <s v="MG52518251013001MAM"/>
    <x v="5"/>
    <x v="5"/>
    <m/>
    <x v="2"/>
    <x v="2"/>
    <m/>
    <x v="2"/>
    <x v="2"/>
    <m/>
    <x v="7"/>
    <x v="7"/>
    <m/>
    <x v="780"/>
    <x v="690"/>
    <m/>
    <x v="858"/>
    <x v="915"/>
    <m/>
    <x v="2"/>
    <x v="2"/>
    <m/>
    <n v="45.737099999999998"/>
    <n v="-24.180029999999999"/>
    <m/>
    <m/>
  </r>
  <r>
    <s v="MG52518251056001MAM"/>
    <x v="5"/>
    <x v="5"/>
    <m/>
    <x v="2"/>
    <x v="2"/>
    <m/>
    <x v="2"/>
    <x v="2"/>
    <m/>
    <x v="7"/>
    <x v="7"/>
    <m/>
    <x v="781"/>
    <x v="691"/>
    <m/>
    <x v="859"/>
    <x v="916"/>
    <m/>
    <x v="2"/>
    <x v="2"/>
    <m/>
    <n v="45.524650000000001"/>
    <n v="-24.116150000000001"/>
    <m/>
    <m/>
  </r>
  <r>
    <s v="MG52518251057001MAM"/>
    <x v="5"/>
    <x v="5"/>
    <m/>
    <x v="2"/>
    <x v="2"/>
    <m/>
    <x v="2"/>
    <x v="2"/>
    <m/>
    <x v="7"/>
    <x v="7"/>
    <m/>
    <x v="782"/>
    <x v="692"/>
    <m/>
    <x v="860"/>
    <x v="917"/>
    <m/>
    <x v="2"/>
    <x v="2"/>
    <m/>
    <n v="45.674570000000003"/>
    <n v="-24.18055"/>
    <m/>
    <m/>
  </r>
  <r>
    <s v="MG33314092002001MAM"/>
    <x v="5"/>
    <x v="5"/>
    <m/>
    <x v="3"/>
    <x v="3"/>
    <m/>
    <x v="4"/>
    <x v="4"/>
    <m/>
    <x v="8"/>
    <x v="8"/>
    <m/>
    <x v="783"/>
    <x v="693"/>
    <m/>
    <x v="861"/>
    <x v="918"/>
    <m/>
    <x v="2"/>
    <x v="2"/>
    <m/>
    <n v="46.394750000000002"/>
    <n v="-25.129049999999999"/>
    <m/>
    <m/>
  </r>
  <r>
    <s v="MG53519050007002MAM"/>
    <x v="5"/>
    <x v="5"/>
    <m/>
    <x v="3"/>
    <x v="3"/>
    <m/>
    <x v="4"/>
    <x v="4"/>
    <m/>
    <x v="8"/>
    <x v="8"/>
    <m/>
    <x v="53"/>
    <x v="54"/>
    <m/>
    <x v="862"/>
    <x v="919"/>
    <m/>
    <x v="2"/>
    <x v="2"/>
    <m/>
    <n v="46.366100000000003"/>
    <n v="-25.144929999999999"/>
    <m/>
    <m/>
  </r>
  <r>
    <s v="MG25213250007001MAM"/>
    <x v="0"/>
    <x v="0"/>
    <m/>
    <x v="4"/>
    <x v="4"/>
    <m/>
    <x v="11"/>
    <x v="11"/>
    <m/>
    <x v="130"/>
    <x v="130"/>
    <m/>
    <x v="784"/>
    <x v="694"/>
    <m/>
    <x v="863"/>
    <x v="920"/>
    <m/>
    <x v="2"/>
    <x v="2"/>
    <m/>
    <n v="47.856904"/>
    <n v="-22.563317999999999"/>
    <m/>
    <m/>
  </r>
  <r>
    <s v="MG25214172006001MAM"/>
    <x v="0"/>
    <x v="0"/>
    <m/>
    <x v="4"/>
    <x v="4"/>
    <m/>
    <x v="11"/>
    <x v="11"/>
    <m/>
    <x v="130"/>
    <x v="130"/>
    <m/>
    <x v="785"/>
    <x v="695"/>
    <m/>
    <x v="864"/>
    <x v="921"/>
    <m/>
    <x v="2"/>
    <x v="2"/>
    <m/>
    <n v="47.594710999999997"/>
    <n v="-22.697872"/>
    <m/>
    <m/>
  </r>
  <r>
    <s v="MG51507270001001MAM"/>
    <x v="1"/>
    <x v="1"/>
    <m/>
    <x v="1"/>
    <x v="1"/>
    <m/>
    <x v="1"/>
    <x v="1"/>
    <m/>
    <x v="131"/>
    <x v="131"/>
    <m/>
    <x v="786"/>
    <x v="696"/>
    <m/>
    <x v="865"/>
    <x v="922"/>
    <m/>
    <x v="2"/>
    <x v="2"/>
    <m/>
    <n v="44.64085"/>
    <n v="-23.99898"/>
    <m/>
    <m/>
  </r>
  <r>
    <s v="MG51507270007001MAM"/>
    <x v="1"/>
    <x v="1"/>
    <m/>
    <x v="1"/>
    <x v="1"/>
    <m/>
    <x v="1"/>
    <x v="1"/>
    <m/>
    <x v="131"/>
    <x v="131"/>
    <m/>
    <x v="787"/>
    <x v="697"/>
    <m/>
    <x v="866"/>
    <x v="923"/>
    <m/>
    <x v="2"/>
    <x v="2"/>
    <m/>
    <n v="44.671320000000001"/>
    <n v="-23.996030000000001"/>
    <m/>
    <m/>
  </r>
  <r>
    <s v="MG51507270010001MAM"/>
    <x v="1"/>
    <x v="1"/>
    <m/>
    <x v="1"/>
    <x v="1"/>
    <m/>
    <x v="1"/>
    <x v="1"/>
    <m/>
    <x v="131"/>
    <x v="131"/>
    <m/>
    <x v="788"/>
    <x v="698"/>
    <m/>
    <x v="867"/>
    <x v="924"/>
    <m/>
    <x v="2"/>
    <x v="2"/>
    <m/>
    <n v="44.673050000000003"/>
    <n v="-24.019480000000001"/>
    <m/>
    <m/>
  </r>
  <r>
    <s v="MG51507270011001MAM"/>
    <x v="1"/>
    <x v="1"/>
    <m/>
    <x v="1"/>
    <x v="1"/>
    <m/>
    <x v="1"/>
    <x v="1"/>
    <m/>
    <x v="131"/>
    <x v="131"/>
    <m/>
    <x v="94"/>
    <x v="699"/>
    <m/>
    <x v="868"/>
    <x v="925"/>
    <m/>
    <x v="2"/>
    <x v="2"/>
    <m/>
    <n v="44.675773999999997"/>
    <n v="-24.035838999999999"/>
    <m/>
    <m/>
  </r>
  <r>
    <s v="MG51507270012001MAM"/>
    <x v="1"/>
    <x v="1"/>
    <m/>
    <x v="1"/>
    <x v="1"/>
    <m/>
    <x v="1"/>
    <x v="1"/>
    <m/>
    <x v="131"/>
    <x v="131"/>
    <m/>
    <x v="225"/>
    <x v="700"/>
    <m/>
    <x v="869"/>
    <x v="926"/>
    <m/>
    <x v="2"/>
    <x v="2"/>
    <m/>
    <n v="44.704793000000002"/>
    <n v="-24.02337"/>
    <m/>
    <m/>
  </r>
  <r>
    <s v="MG51507270014001MAM"/>
    <x v="1"/>
    <x v="1"/>
    <m/>
    <x v="1"/>
    <x v="1"/>
    <m/>
    <x v="1"/>
    <x v="1"/>
    <m/>
    <x v="131"/>
    <x v="131"/>
    <m/>
    <x v="789"/>
    <x v="701"/>
    <m/>
    <x v="870"/>
    <x v="927"/>
    <m/>
    <x v="2"/>
    <x v="2"/>
    <m/>
    <n v="44.699170000000002"/>
    <n v="-24.050930000000001"/>
    <m/>
    <m/>
  </r>
  <r>
    <s v="MG51507270016001MAM"/>
    <x v="1"/>
    <x v="1"/>
    <m/>
    <x v="1"/>
    <x v="1"/>
    <m/>
    <x v="1"/>
    <x v="1"/>
    <m/>
    <x v="131"/>
    <x v="131"/>
    <m/>
    <x v="790"/>
    <x v="702"/>
    <m/>
    <x v="871"/>
    <x v="928"/>
    <m/>
    <x v="2"/>
    <x v="2"/>
    <m/>
    <n v="44.741729999999997"/>
    <n v="-24.05583"/>
    <m/>
    <m/>
  </r>
  <r>
    <s v="MG51507270020001MAM"/>
    <x v="1"/>
    <x v="1"/>
    <m/>
    <x v="1"/>
    <x v="1"/>
    <m/>
    <x v="1"/>
    <x v="1"/>
    <m/>
    <x v="131"/>
    <x v="131"/>
    <m/>
    <x v="791"/>
    <x v="703"/>
    <m/>
    <x v="872"/>
    <x v="929"/>
    <m/>
    <x v="2"/>
    <x v="2"/>
    <m/>
    <n v="44.80715"/>
    <n v="-24.026700000000002"/>
    <m/>
    <m/>
  </r>
  <r>
    <s v="MG51507270021001MAM"/>
    <x v="1"/>
    <x v="1"/>
    <m/>
    <x v="1"/>
    <x v="1"/>
    <m/>
    <x v="1"/>
    <x v="1"/>
    <m/>
    <x v="131"/>
    <x v="131"/>
    <m/>
    <x v="792"/>
    <x v="704"/>
    <m/>
    <x v="873"/>
    <x v="930"/>
    <m/>
    <x v="2"/>
    <x v="2"/>
    <m/>
    <n v="44.665230000000001"/>
    <n v="-24.015750000000001"/>
    <m/>
    <m/>
  </r>
  <r>
    <s v="MG51507270022001MAM"/>
    <x v="1"/>
    <x v="1"/>
    <m/>
    <x v="1"/>
    <x v="1"/>
    <m/>
    <x v="1"/>
    <x v="1"/>
    <m/>
    <x v="131"/>
    <x v="131"/>
    <m/>
    <x v="793"/>
    <x v="705"/>
    <m/>
    <x v="874"/>
    <x v="931"/>
    <m/>
    <x v="2"/>
    <x v="2"/>
    <m/>
    <n v="44.665149999999997"/>
    <n v="-23.997699999999998"/>
    <m/>
    <m/>
  </r>
  <r>
    <s v="MG51506290009001MAM"/>
    <x v="5"/>
    <x v="5"/>
    <m/>
    <x v="2"/>
    <x v="2"/>
    <m/>
    <x v="2"/>
    <x v="2"/>
    <m/>
    <x v="9"/>
    <x v="9"/>
    <m/>
    <x v="54"/>
    <x v="55"/>
    <m/>
    <x v="875"/>
    <x v="932"/>
    <m/>
    <x v="2"/>
    <x v="2"/>
    <m/>
    <n v="45.30536"/>
    <n v="-24.153022"/>
    <m/>
    <m/>
  </r>
  <r>
    <s v="MG52518032005002MAM"/>
    <x v="5"/>
    <x v="5"/>
    <m/>
    <x v="2"/>
    <x v="2"/>
    <m/>
    <x v="2"/>
    <x v="2"/>
    <m/>
    <x v="9"/>
    <x v="9"/>
    <m/>
    <x v="58"/>
    <x v="59"/>
    <m/>
    <x v="876"/>
    <x v="933"/>
    <m/>
    <x v="2"/>
    <x v="2"/>
    <m/>
    <n v="45.2376"/>
    <n v="-24.161529999999999"/>
    <m/>
    <m/>
  </r>
  <r>
    <s v="MG52518032045001MAM"/>
    <x v="5"/>
    <x v="5"/>
    <m/>
    <x v="2"/>
    <x v="2"/>
    <m/>
    <x v="2"/>
    <x v="2"/>
    <m/>
    <x v="9"/>
    <x v="9"/>
    <m/>
    <x v="794"/>
    <x v="706"/>
    <m/>
    <x v="877"/>
    <x v="934"/>
    <m/>
    <x v="2"/>
    <x v="2"/>
    <m/>
    <n v="45.20382"/>
    <n v="-24.138729999999999"/>
    <m/>
    <m/>
  </r>
  <r>
    <s v="MG52518032046001MAM"/>
    <x v="5"/>
    <x v="5"/>
    <m/>
    <x v="2"/>
    <x v="2"/>
    <m/>
    <x v="2"/>
    <x v="2"/>
    <m/>
    <x v="9"/>
    <x v="9"/>
    <m/>
    <x v="795"/>
    <x v="707"/>
    <m/>
    <x v="878"/>
    <x v="935"/>
    <m/>
    <x v="2"/>
    <x v="2"/>
    <m/>
    <n v="45.273119999999999"/>
    <n v="-24.167169999999999"/>
    <m/>
    <m/>
  </r>
  <r>
    <s v="MG52518032047001MAM"/>
    <x v="5"/>
    <x v="5"/>
    <m/>
    <x v="2"/>
    <x v="2"/>
    <m/>
    <x v="2"/>
    <x v="2"/>
    <m/>
    <x v="9"/>
    <x v="9"/>
    <m/>
    <x v="796"/>
    <x v="708"/>
    <m/>
    <x v="879"/>
    <x v="936"/>
    <m/>
    <x v="2"/>
    <x v="2"/>
    <m/>
    <n v="45.199449999999999"/>
    <n v="-24.150680000000001"/>
    <m/>
    <m/>
  </r>
  <r>
    <s v="MG52518190002001MAM"/>
    <x v="5"/>
    <x v="5"/>
    <m/>
    <x v="2"/>
    <x v="2"/>
    <m/>
    <x v="2"/>
    <x v="2"/>
    <m/>
    <x v="34"/>
    <x v="34"/>
    <m/>
    <x v="797"/>
    <x v="709"/>
    <m/>
    <x v="880"/>
    <x v="937"/>
    <m/>
    <x v="2"/>
    <x v="2"/>
    <m/>
    <n v="45.075200000000002"/>
    <n v="-24.397970000000001"/>
    <m/>
    <m/>
  </r>
  <r>
    <s v="MG52518190005001MAM"/>
    <x v="5"/>
    <x v="5"/>
    <m/>
    <x v="2"/>
    <x v="2"/>
    <m/>
    <x v="2"/>
    <x v="2"/>
    <m/>
    <x v="34"/>
    <x v="34"/>
    <m/>
    <x v="216"/>
    <x v="710"/>
    <m/>
    <x v="225"/>
    <x v="938"/>
    <m/>
    <x v="2"/>
    <x v="2"/>
    <m/>
    <n v="45.130249999999997"/>
    <n v="-24.37473"/>
    <m/>
    <m/>
  </r>
  <r>
    <s v="MG52518190056001MAM"/>
    <x v="5"/>
    <x v="5"/>
    <m/>
    <x v="2"/>
    <x v="2"/>
    <m/>
    <x v="2"/>
    <x v="2"/>
    <m/>
    <x v="34"/>
    <x v="34"/>
    <m/>
    <x v="798"/>
    <x v="711"/>
    <m/>
    <x v="881"/>
    <x v="939"/>
    <m/>
    <x v="2"/>
    <x v="2"/>
    <m/>
    <n v="45.170450000000002"/>
    <n v="-24.41272"/>
    <m/>
    <m/>
  </r>
  <r>
    <s v="MG52518190057001MAM"/>
    <x v="5"/>
    <x v="5"/>
    <m/>
    <x v="2"/>
    <x v="2"/>
    <m/>
    <x v="2"/>
    <x v="2"/>
    <m/>
    <x v="34"/>
    <x v="34"/>
    <m/>
    <x v="799"/>
    <x v="712"/>
    <m/>
    <x v="882"/>
    <x v="940"/>
    <m/>
    <x v="2"/>
    <x v="2"/>
    <m/>
    <n v="45.121180000000003"/>
    <n v="-24.443930000000002"/>
    <m/>
    <m/>
  </r>
  <r>
    <s v="MG52518190058001MAM"/>
    <x v="5"/>
    <x v="5"/>
    <m/>
    <x v="2"/>
    <x v="2"/>
    <m/>
    <x v="2"/>
    <x v="2"/>
    <m/>
    <x v="34"/>
    <x v="34"/>
    <m/>
    <x v="800"/>
    <x v="713"/>
    <m/>
    <x v="883"/>
    <x v="941"/>
    <m/>
    <x v="2"/>
    <x v="2"/>
    <m/>
    <n v="45.126449999999998"/>
    <n v="-24.551819999999999"/>
    <m/>
    <m/>
  </r>
  <r>
    <s v="MG25214152007001MAM"/>
    <x v="3"/>
    <x v="3"/>
    <m/>
    <x v="1"/>
    <x v="1"/>
    <m/>
    <x v="3"/>
    <x v="3"/>
    <m/>
    <x v="132"/>
    <x v="132"/>
    <m/>
    <x v="432"/>
    <x v="714"/>
    <m/>
    <x v="884"/>
    <x v="942"/>
    <m/>
    <x v="2"/>
    <x v="2"/>
    <m/>
    <n v="44.325386999999999"/>
    <n v="-23.737280999999999"/>
    <m/>
    <m/>
  </r>
  <r>
    <s v="MG33312152009001MAM"/>
    <x v="3"/>
    <x v="3"/>
    <m/>
    <x v="1"/>
    <x v="1"/>
    <m/>
    <x v="3"/>
    <x v="3"/>
    <m/>
    <x v="132"/>
    <x v="132"/>
    <m/>
    <x v="801"/>
    <x v="715"/>
    <m/>
    <x v="885"/>
    <x v="943"/>
    <m/>
    <x v="2"/>
    <x v="2"/>
    <m/>
    <n v="44.382950000000001"/>
    <n v="-23.720030000000001"/>
    <m/>
    <m/>
  </r>
  <r>
    <s v="MG51506011002001MAM"/>
    <x v="3"/>
    <x v="3"/>
    <m/>
    <x v="1"/>
    <x v="1"/>
    <m/>
    <x v="3"/>
    <x v="3"/>
    <m/>
    <x v="132"/>
    <x v="132"/>
    <m/>
    <x v="802"/>
    <x v="716"/>
    <m/>
    <x v="886"/>
    <x v="944"/>
    <m/>
    <x v="2"/>
    <x v="2"/>
    <m/>
    <n v="44.310519999999997"/>
    <n v="-23.746200000000002"/>
    <m/>
    <m/>
  </r>
  <r>
    <s v="MG51506011003001MAM"/>
    <x v="3"/>
    <x v="3"/>
    <m/>
    <x v="1"/>
    <x v="1"/>
    <m/>
    <x v="3"/>
    <x v="3"/>
    <m/>
    <x v="132"/>
    <x v="132"/>
    <m/>
    <x v="803"/>
    <x v="717"/>
    <m/>
    <x v="887"/>
    <x v="945"/>
    <m/>
    <x v="2"/>
    <x v="2"/>
    <m/>
    <n v="44.308579999999999"/>
    <n v="-23.732299999999999"/>
    <m/>
    <m/>
  </r>
  <r>
    <s v="MG51506011004001MAM"/>
    <x v="3"/>
    <x v="3"/>
    <m/>
    <x v="1"/>
    <x v="1"/>
    <m/>
    <x v="3"/>
    <x v="3"/>
    <m/>
    <x v="132"/>
    <x v="132"/>
    <m/>
    <x v="804"/>
    <x v="718"/>
    <m/>
    <x v="888"/>
    <x v="946"/>
    <m/>
    <x v="2"/>
    <x v="2"/>
    <m/>
    <n v="44.370269999999998"/>
    <n v="-23.719149999999999"/>
    <m/>
    <m/>
  </r>
  <r>
    <s v="MG51506011006001MAM"/>
    <x v="3"/>
    <x v="3"/>
    <m/>
    <x v="1"/>
    <x v="1"/>
    <m/>
    <x v="3"/>
    <x v="3"/>
    <m/>
    <x v="132"/>
    <x v="132"/>
    <m/>
    <x v="805"/>
    <x v="719"/>
    <m/>
    <x v="889"/>
    <x v="947"/>
    <m/>
    <x v="2"/>
    <x v="2"/>
    <m/>
    <n v="44.37312"/>
    <n v="-23.73152"/>
    <m/>
    <m/>
  </r>
  <r>
    <s v="MG51506011007001MAM"/>
    <x v="3"/>
    <x v="3"/>
    <m/>
    <x v="1"/>
    <x v="1"/>
    <m/>
    <x v="3"/>
    <x v="3"/>
    <m/>
    <x v="132"/>
    <x v="132"/>
    <m/>
    <x v="806"/>
    <x v="720"/>
    <m/>
    <x v="890"/>
    <x v="948"/>
    <m/>
    <x v="2"/>
    <x v="2"/>
    <m/>
    <n v="44.378970000000002"/>
    <n v="-23.719280000000001"/>
    <m/>
    <m/>
  </r>
  <r>
    <s v="MG51506011008001MAM"/>
    <x v="3"/>
    <x v="3"/>
    <m/>
    <x v="1"/>
    <x v="1"/>
    <m/>
    <x v="3"/>
    <x v="3"/>
    <m/>
    <x v="132"/>
    <x v="132"/>
    <m/>
    <x v="807"/>
    <x v="721"/>
    <m/>
    <x v="891"/>
    <x v="949"/>
    <m/>
    <x v="2"/>
    <x v="2"/>
    <m/>
    <n v="44.380029999999998"/>
    <n v="-23.714880000000001"/>
    <m/>
    <m/>
  </r>
  <r>
    <s v="MG51506011009001MAM"/>
    <x v="3"/>
    <x v="3"/>
    <m/>
    <x v="1"/>
    <x v="1"/>
    <m/>
    <x v="3"/>
    <x v="3"/>
    <m/>
    <x v="132"/>
    <x v="132"/>
    <m/>
    <x v="727"/>
    <x v="722"/>
    <m/>
    <x v="892"/>
    <x v="950"/>
    <m/>
    <x v="2"/>
    <x v="2"/>
    <m/>
    <n v="44.327454000000003"/>
    <n v="-23.726907000000001"/>
    <m/>
    <m/>
  </r>
  <r>
    <s v="MG51506011010001MAM"/>
    <x v="3"/>
    <x v="3"/>
    <m/>
    <x v="1"/>
    <x v="1"/>
    <m/>
    <x v="3"/>
    <x v="3"/>
    <m/>
    <x v="132"/>
    <x v="132"/>
    <m/>
    <x v="808"/>
    <x v="723"/>
    <m/>
    <x v="893"/>
    <x v="951"/>
    <m/>
    <x v="2"/>
    <x v="2"/>
    <m/>
    <n v="44.380929999999999"/>
    <n v="-23.723020000000002"/>
    <m/>
    <m/>
  </r>
  <r>
    <s v="MG54510012009001MAM"/>
    <x v="0"/>
    <x v="0"/>
    <m/>
    <x v="4"/>
    <x v="4"/>
    <m/>
    <x v="16"/>
    <x v="16"/>
    <m/>
    <x v="133"/>
    <x v="133"/>
    <m/>
    <x v="809"/>
    <x v="724"/>
    <m/>
    <x v="894"/>
    <x v="952"/>
    <m/>
    <x v="2"/>
    <x v="2"/>
    <m/>
    <n v="47.141570000000002"/>
    <n v="-23.47372"/>
    <m/>
    <m/>
  </r>
  <r>
    <s v="MG25214251001001MAM"/>
    <x v="0"/>
    <x v="0"/>
    <m/>
    <x v="4"/>
    <x v="4"/>
    <m/>
    <x v="10"/>
    <x v="10"/>
    <m/>
    <x v="134"/>
    <x v="134"/>
    <m/>
    <x v="810"/>
    <x v="725"/>
    <m/>
    <x v="895"/>
    <x v="953"/>
    <m/>
    <x v="2"/>
    <x v="2"/>
    <m/>
    <n v="47.273180000000004"/>
    <n v="-23.303070000000002"/>
    <m/>
    <m/>
  </r>
  <r>
    <s v="MG52518270001001MAM"/>
    <x v="5"/>
    <x v="5"/>
    <m/>
    <x v="2"/>
    <x v="2"/>
    <m/>
    <x v="2"/>
    <x v="2"/>
    <m/>
    <x v="135"/>
    <x v="135"/>
    <m/>
    <x v="811"/>
    <x v="726"/>
    <m/>
    <x v="896"/>
    <x v="954"/>
    <m/>
    <x v="2"/>
    <x v="2"/>
    <m/>
    <n v="45.418280000000003"/>
    <n v="-24.612220000000001"/>
    <m/>
    <m/>
  </r>
  <r>
    <s v="MG52518270005001MAM"/>
    <x v="5"/>
    <x v="5"/>
    <m/>
    <x v="2"/>
    <x v="2"/>
    <m/>
    <x v="2"/>
    <x v="2"/>
    <m/>
    <x v="135"/>
    <x v="135"/>
    <m/>
    <x v="812"/>
    <x v="727"/>
    <m/>
    <x v="897"/>
    <x v="955"/>
    <m/>
    <x v="2"/>
    <x v="2"/>
    <m/>
    <n v="45.41187"/>
    <n v="-24.574449999999999"/>
    <m/>
    <m/>
  </r>
  <r>
    <s v="MG52518270006001MAM"/>
    <x v="5"/>
    <x v="5"/>
    <m/>
    <x v="2"/>
    <x v="2"/>
    <m/>
    <x v="2"/>
    <x v="2"/>
    <m/>
    <x v="135"/>
    <x v="135"/>
    <m/>
    <x v="813"/>
    <x v="728"/>
    <m/>
    <x v="898"/>
    <x v="956"/>
    <m/>
    <x v="2"/>
    <x v="2"/>
    <m/>
    <n v="45.360419999999998"/>
    <n v="-24.648530000000001"/>
    <m/>
    <m/>
  </r>
  <r>
    <s v="MG52518270007001MAM"/>
    <x v="5"/>
    <x v="5"/>
    <m/>
    <x v="2"/>
    <x v="2"/>
    <m/>
    <x v="2"/>
    <x v="2"/>
    <m/>
    <x v="135"/>
    <x v="135"/>
    <m/>
    <x v="814"/>
    <x v="729"/>
    <m/>
    <x v="899"/>
    <x v="957"/>
    <m/>
    <x v="2"/>
    <x v="2"/>
    <m/>
    <n v="45.429119999999998"/>
    <n v="-24.688400000000001"/>
    <m/>
    <m/>
  </r>
  <r>
    <s v="MG52518270009001MAM"/>
    <x v="5"/>
    <x v="5"/>
    <m/>
    <x v="2"/>
    <x v="2"/>
    <m/>
    <x v="2"/>
    <x v="2"/>
    <m/>
    <x v="135"/>
    <x v="135"/>
    <m/>
    <x v="815"/>
    <x v="730"/>
    <m/>
    <x v="900"/>
    <x v="958"/>
    <m/>
    <x v="2"/>
    <x v="2"/>
    <m/>
    <n v="45.441650000000003"/>
    <n v="-24.531099999999999"/>
    <m/>
    <m/>
  </r>
  <r>
    <s v="MG52518270054001MAM"/>
    <x v="5"/>
    <x v="5"/>
    <m/>
    <x v="2"/>
    <x v="2"/>
    <m/>
    <x v="2"/>
    <x v="2"/>
    <m/>
    <x v="135"/>
    <x v="135"/>
    <m/>
    <x v="726"/>
    <x v="731"/>
    <m/>
    <x v="901"/>
    <x v="959"/>
    <m/>
    <x v="2"/>
    <x v="2"/>
    <m/>
    <n v="45.406728000000001"/>
    <n v="-24.643894"/>
    <m/>
    <m/>
  </r>
  <r>
    <s v="MG54502110007001MAM"/>
    <x v="5"/>
    <x v="5"/>
    <m/>
    <x v="2"/>
    <x v="2"/>
    <m/>
    <x v="2"/>
    <x v="2"/>
    <m/>
    <x v="135"/>
    <x v="135"/>
    <m/>
    <x v="816"/>
    <x v="732"/>
    <m/>
    <x v="902"/>
    <x v="960"/>
    <m/>
    <x v="2"/>
    <x v="2"/>
    <m/>
    <n v="45.383850000000002"/>
    <n v="-24.575569999999999"/>
    <m/>
    <m/>
  </r>
  <r>
    <s v="MG54502110066001MAM"/>
    <x v="5"/>
    <x v="5"/>
    <m/>
    <x v="2"/>
    <x v="2"/>
    <m/>
    <x v="2"/>
    <x v="2"/>
    <m/>
    <x v="135"/>
    <x v="135"/>
    <m/>
    <x v="817"/>
    <x v="733"/>
    <m/>
    <x v="903"/>
    <x v="961"/>
    <m/>
    <x v="2"/>
    <x v="2"/>
    <m/>
    <n v="45.373849999999997"/>
    <n v="-24.55865"/>
    <m/>
    <m/>
  </r>
  <r>
    <s v="MG51506150001001MAM"/>
    <x v="3"/>
    <x v="3"/>
    <m/>
    <x v="1"/>
    <x v="1"/>
    <m/>
    <x v="3"/>
    <x v="3"/>
    <m/>
    <x v="136"/>
    <x v="136"/>
    <m/>
    <x v="818"/>
    <x v="734"/>
    <m/>
    <x v="904"/>
    <x v="962"/>
    <m/>
    <x v="2"/>
    <x v="2"/>
    <m/>
    <n v="44.499119999999998"/>
    <n v="-23.497969999999999"/>
    <m/>
    <m/>
  </r>
  <r>
    <s v="MG51506150011001MAM"/>
    <x v="3"/>
    <x v="3"/>
    <m/>
    <x v="1"/>
    <x v="1"/>
    <m/>
    <x v="3"/>
    <x v="3"/>
    <m/>
    <x v="136"/>
    <x v="136"/>
    <m/>
    <x v="819"/>
    <x v="735"/>
    <m/>
    <x v="905"/>
    <x v="963"/>
    <m/>
    <x v="2"/>
    <x v="2"/>
    <m/>
    <n v="44.503399999999999"/>
    <n v="-23.494599999999998"/>
    <m/>
    <m/>
  </r>
  <r>
    <s v="MG51506150012001MAM"/>
    <x v="3"/>
    <x v="3"/>
    <m/>
    <x v="1"/>
    <x v="1"/>
    <m/>
    <x v="3"/>
    <x v="3"/>
    <m/>
    <x v="136"/>
    <x v="136"/>
    <m/>
    <x v="820"/>
    <x v="736"/>
    <m/>
    <x v="906"/>
    <x v="964"/>
    <m/>
    <x v="2"/>
    <x v="2"/>
    <m/>
    <n v="44.499369999999999"/>
    <n v="-23.492280000000001"/>
    <m/>
    <m/>
  </r>
  <r>
    <s v="MG51506150013001MAM"/>
    <x v="3"/>
    <x v="3"/>
    <m/>
    <x v="1"/>
    <x v="1"/>
    <m/>
    <x v="3"/>
    <x v="3"/>
    <m/>
    <x v="136"/>
    <x v="136"/>
    <m/>
    <x v="821"/>
    <x v="737"/>
    <m/>
    <x v="907"/>
    <x v="965"/>
    <m/>
    <x v="2"/>
    <x v="2"/>
    <m/>
    <n v="44.496180000000003"/>
    <n v="-23.504480000000001"/>
    <m/>
    <m/>
  </r>
  <r>
    <s v="MG51506150019001MAM"/>
    <x v="3"/>
    <x v="3"/>
    <m/>
    <x v="1"/>
    <x v="1"/>
    <m/>
    <x v="3"/>
    <x v="3"/>
    <m/>
    <x v="136"/>
    <x v="136"/>
    <m/>
    <x v="822"/>
    <x v="738"/>
    <m/>
    <x v="908"/>
    <x v="966"/>
    <m/>
    <x v="2"/>
    <x v="2"/>
    <m/>
    <n v="44.453899999999997"/>
    <n v="-23.51587"/>
    <m/>
    <m/>
  </r>
  <r>
    <s v="MG53519291001001MAM"/>
    <x v="5"/>
    <x v="5"/>
    <m/>
    <x v="3"/>
    <x v="3"/>
    <m/>
    <x v="4"/>
    <x v="4"/>
    <m/>
    <x v="25"/>
    <x v="25"/>
    <m/>
    <x v="156"/>
    <x v="739"/>
    <m/>
    <x v="162"/>
    <x v="967"/>
    <m/>
    <x v="2"/>
    <x v="2"/>
    <m/>
    <n v="46.043170000000003"/>
    <n v="-24.502320000000001"/>
    <m/>
    <m/>
  </r>
  <r>
    <s v="MG25213430003001MAM"/>
    <x v="0"/>
    <x v="0"/>
    <m/>
    <x v="4"/>
    <x v="4"/>
    <m/>
    <x v="11"/>
    <x v="11"/>
    <m/>
    <x v="137"/>
    <x v="137"/>
    <m/>
    <x v="823"/>
    <x v="740"/>
    <m/>
    <x v="909"/>
    <x v="968"/>
    <m/>
    <x v="2"/>
    <x v="2"/>
    <m/>
    <n v="47.588749999999997"/>
    <n v="-23.111049999999999"/>
    <m/>
    <m/>
  </r>
  <r>
    <s v="MG25213430023001MAM"/>
    <x v="0"/>
    <x v="0"/>
    <m/>
    <x v="4"/>
    <x v="4"/>
    <m/>
    <x v="11"/>
    <x v="11"/>
    <m/>
    <x v="137"/>
    <x v="137"/>
    <m/>
    <x v="824"/>
    <x v="741"/>
    <m/>
    <x v="910"/>
    <x v="969"/>
    <m/>
    <x v="2"/>
    <x v="2"/>
    <m/>
    <n v="47.604520000000001"/>
    <n v="-23.114629999999998"/>
    <m/>
    <m/>
  </r>
  <r>
    <s v="MG51520358015001MAM"/>
    <x v="3"/>
    <x v="3"/>
    <m/>
    <x v="1"/>
    <x v="1"/>
    <m/>
    <x v="17"/>
    <x v="17"/>
    <m/>
    <x v="138"/>
    <x v="138"/>
    <m/>
    <x v="825"/>
    <x v="742"/>
    <m/>
    <x v="911"/>
    <x v="970"/>
    <m/>
    <x v="2"/>
    <x v="2"/>
    <m/>
    <n v="43.700130000000001"/>
    <n v="-24.077870000000001"/>
    <m/>
    <m/>
  </r>
  <r>
    <s v="MG51520358016001MAM"/>
    <x v="3"/>
    <x v="3"/>
    <m/>
    <x v="1"/>
    <x v="1"/>
    <m/>
    <x v="17"/>
    <x v="17"/>
    <m/>
    <x v="138"/>
    <x v="138"/>
    <m/>
    <x v="826"/>
    <x v="743"/>
    <m/>
    <x v="912"/>
    <x v="971"/>
    <m/>
    <x v="2"/>
    <x v="2"/>
    <m/>
    <n v="43.676569999999998"/>
    <n v="-24.0731"/>
    <m/>
    <m/>
  </r>
  <r>
    <s v="MG51520358017001MAM"/>
    <x v="3"/>
    <x v="3"/>
    <m/>
    <x v="1"/>
    <x v="1"/>
    <m/>
    <x v="17"/>
    <x v="17"/>
    <m/>
    <x v="138"/>
    <x v="138"/>
    <m/>
    <x v="827"/>
    <x v="744"/>
    <m/>
    <x v="913"/>
    <x v="972"/>
    <m/>
    <x v="2"/>
    <x v="2"/>
    <m/>
    <n v="43.717170000000003"/>
    <n v="-24.120470000000001"/>
    <m/>
    <m/>
  </r>
  <r>
    <s v="MG51520358a_6001MAM"/>
    <x v="3"/>
    <x v="3"/>
    <m/>
    <x v="1"/>
    <x v="1"/>
    <m/>
    <x v="17"/>
    <x v="17"/>
    <m/>
    <x v="138"/>
    <x v="138"/>
    <m/>
    <x v="828"/>
    <x v="745"/>
    <m/>
    <x v="914"/>
    <x v="973"/>
    <m/>
    <x v="2"/>
    <x v="2"/>
    <m/>
    <n v="43.695630000000001"/>
    <n v="-24.021070000000002"/>
    <m/>
    <m/>
  </r>
  <r>
    <s v="MG51521050009001MAM"/>
    <x v="3"/>
    <x v="3"/>
    <m/>
    <x v="1"/>
    <x v="1"/>
    <m/>
    <x v="3"/>
    <x v="3"/>
    <m/>
    <x v="139"/>
    <x v="139"/>
    <m/>
    <x v="829"/>
    <x v="746"/>
    <m/>
    <x v="915"/>
    <x v="974"/>
    <m/>
    <x v="2"/>
    <x v="2"/>
    <m/>
    <n v="44.901850000000003"/>
    <n v="-23.499099999999999"/>
    <m/>
    <m/>
  </r>
  <r>
    <s v="MG51507150034001MAM"/>
    <x v="1"/>
    <x v="1"/>
    <m/>
    <x v="1"/>
    <x v="1"/>
    <m/>
    <x v="1"/>
    <x v="1"/>
    <m/>
    <x v="44"/>
    <x v="44"/>
    <m/>
    <x v="204"/>
    <x v="747"/>
    <m/>
    <x v="213"/>
    <x v="975"/>
    <m/>
    <x v="2"/>
    <x v="2"/>
    <m/>
    <n v="44.292450000000002"/>
    <n v="-24.423819999999999"/>
    <m/>
    <m/>
  </r>
  <r>
    <s v="MG51507150061001MAM"/>
    <x v="1"/>
    <x v="1"/>
    <m/>
    <x v="1"/>
    <x v="1"/>
    <m/>
    <x v="1"/>
    <x v="1"/>
    <m/>
    <x v="44"/>
    <x v="44"/>
    <m/>
    <x v="129"/>
    <x v="748"/>
    <m/>
    <x v="916"/>
    <x v="976"/>
    <m/>
    <x v="2"/>
    <x v="2"/>
    <m/>
    <n v="44.525129999999997"/>
    <n v="-24.29457"/>
    <m/>
    <m/>
  </r>
  <r>
    <s v="MG51507150062001MAM"/>
    <x v="1"/>
    <x v="1"/>
    <m/>
    <x v="1"/>
    <x v="1"/>
    <m/>
    <x v="1"/>
    <x v="1"/>
    <m/>
    <x v="44"/>
    <x v="44"/>
    <m/>
    <x v="830"/>
    <x v="749"/>
    <m/>
    <x v="917"/>
    <x v="977"/>
    <m/>
    <x v="2"/>
    <x v="2"/>
    <m/>
    <n v="44.563949999999998"/>
    <n v="-24.091280000000001"/>
    <m/>
    <m/>
  </r>
  <r>
    <s v="MG51507150063001MAM"/>
    <x v="1"/>
    <x v="1"/>
    <m/>
    <x v="1"/>
    <x v="1"/>
    <m/>
    <x v="1"/>
    <x v="1"/>
    <m/>
    <x v="44"/>
    <x v="44"/>
    <m/>
    <x v="288"/>
    <x v="750"/>
    <m/>
    <x v="918"/>
    <x v="978"/>
    <m/>
    <x v="2"/>
    <x v="2"/>
    <m/>
    <n v="44.551769999999998"/>
    <n v="-24.21245"/>
    <m/>
    <m/>
  </r>
  <r>
    <s v="MG51507150064001MAM"/>
    <x v="1"/>
    <x v="1"/>
    <m/>
    <x v="1"/>
    <x v="1"/>
    <m/>
    <x v="1"/>
    <x v="1"/>
    <m/>
    <x v="44"/>
    <x v="44"/>
    <m/>
    <x v="616"/>
    <x v="751"/>
    <m/>
    <x v="919"/>
    <x v="979"/>
    <m/>
    <x v="2"/>
    <x v="2"/>
    <m/>
    <n v="44.517580000000002"/>
    <n v="-24.431370000000001"/>
    <m/>
    <m/>
  </r>
  <r>
    <s v="MG51507150065001MAM"/>
    <x v="1"/>
    <x v="1"/>
    <m/>
    <x v="1"/>
    <x v="1"/>
    <m/>
    <x v="1"/>
    <x v="1"/>
    <m/>
    <x v="44"/>
    <x v="44"/>
    <m/>
    <x v="210"/>
    <x v="752"/>
    <m/>
    <x v="219"/>
    <x v="980"/>
    <m/>
    <x v="2"/>
    <x v="2"/>
    <m/>
    <n v="44.519570000000002"/>
    <n v="-24.03"/>
    <m/>
    <m/>
  </r>
  <r>
    <s v="MG51507150066001MAM"/>
    <x v="1"/>
    <x v="1"/>
    <m/>
    <x v="1"/>
    <x v="1"/>
    <m/>
    <x v="1"/>
    <x v="1"/>
    <m/>
    <x v="44"/>
    <x v="44"/>
    <m/>
    <x v="831"/>
    <x v="753"/>
    <m/>
    <x v="920"/>
    <x v="981"/>
    <m/>
    <x v="2"/>
    <x v="2"/>
    <m/>
    <n v="44.50712"/>
    <n v="-24.284870000000002"/>
    <m/>
    <m/>
  </r>
  <r>
    <s v="MG51507150067001MAM"/>
    <x v="1"/>
    <x v="1"/>
    <m/>
    <x v="1"/>
    <x v="1"/>
    <m/>
    <x v="1"/>
    <x v="1"/>
    <m/>
    <x v="44"/>
    <x v="44"/>
    <m/>
    <x v="832"/>
    <x v="754"/>
    <m/>
    <x v="921"/>
    <x v="982"/>
    <m/>
    <x v="2"/>
    <x v="2"/>
    <m/>
    <n v="44.531370000000003"/>
    <n v="-24.027280000000001"/>
    <m/>
    <m/>
  </r>
  <r>
    <s v="MG51507150068001MAM"/>
    <x v="1"/>
    <x v="1"/>
    <m/>
    <x v="1"/>
    <x v="1"/>
    <m/>
    <x v="1"/>
    <x v="1"/>
    <m/>
    <x v="44"/>
    <x v="44"/>
    <m/>
    <x v="833"/>
    <x v="755"/>
    <m/>
    <x v="922"/>
    <x v="983"/>
    <m/>
    <x v="2"/>
    <x v="2"/>
    <m/>
    <n v="44.553730000000002"/>
    <n v="-24.1204"/>
    <m/>
    <m/>
  </r>
  <r>
    <s v="MG51507150069001MAM"/>
    <x v="1"/>
    <x v="1"/>
    <m/>
    <x v="1"/>
    <x v="1"/>
    <m/>
    <x v="1"/>
    <x v="1"/>
    <m/>
    <x v="44"/>
    <x v="44"/>
    <m/>
    <x v="834"/>
    <x v="756"/>
    <m/>
    <x v="923"/>
    <x v="984"/>
    <m/>
    <x v="2"/>
    <x v="2"/>
    <m/>
    <n v="44.566870000000002"/>
    <n v="-24.111450000000001"/>
    <m/>
    <m/>
  </r>
  <r>
    <s v="MG51507150070001MAM"/>
    <x v="1"/>
    <x v="1"/>
    <m/>
    <x v="1"/>
    <x v="1"/>
    <m/>
    <x v="1"/>
    <x v="1"/>
    <m/>
    <x v="44"/>
    <x v="44"/>
    <m/>
    <x v="835"/>
    <x v="757"/>
    <m/>
    <x v="924"/>
    <x v="985"/>
    <m/>
    <x v="2"/>
    <x v="2"/>
    <m/>
    <n v="44.534930000000003"/>
    <n v="-24.393899999999999"/>
    <m/>
    <m/>
  </r>
  <r>
    <s v="MG51507150071001MAM"/>
    <x v="1"/>
    <x v="1"/>
    <m/>
    <x v="1"/>
    <x v="1"/>
    <m/>
    <x v="1"/>
    <x v="1"/>
    <m/>
    <x v="44"/>
    <x v="44"/>
    <m/>
    <x v="836"/>
    <x v="758"/>
    <m/>
    <x v="925"/>
    <x v="986"/>
    <m/>
    <x v="2"/>
    <x v="2"/>
    <m/>
    <n v="44.5227"/>
    <n v="-24.385079999999999"/>
    <m/>
    <m/>
  </r>
  <r>
    <s v="MG51507150072001MAM"/>
    <x v="1"/>
    <x v="1"/>
    <m/>
    <x v="1"/>
    <x v="1"/>
    <m/>
    <x v="1"/>
    <x v="1"/>
    <m/>
    <x v="44"/>
    <x v="44"/>
    <m/>
    <x v="837"/>
    <x v="759"/>
    <m/>
    <x v="926"/>
    <x v="987"/>
    <m/>
    <x v="2"/>
    <x v="2"/>
    <m/>
    <n v="44.493079999999999"/>
    <n v="-24.141300000000001"/>
    <m/>
    <m/>
  </r>
  <r>
    <s v="MG51507150073001MAM"/>
    <x v="1"/>
    <x v="1"/>
    <m/>
    <x v="1"/>
    <x v="1"/>
    <m/>
    <x v="1"/>
    <x v="1"/>
    <m/>
    <x v="44"/>
    <x v="44"/>
    <m/>
    <x v="838"/>
    <x v="760"/>
    <m/>
    <x v="927"/>
    <x v="988"/>
    <m/>
    <x v="2"/>
    <x v="2"/>
    <m/>
    <n v="44.493020000000001"/>
    <n v="-24.141400000000001"/>
    <m/>
    <m/>
  </r>
  <r>
    <s v="MG51507150074001MAM"/>
    <x v="1"/>
    <x v="1"/>
    <m/>
    <x v="1"/>
    <x v="1"/>
    <m/>
    <x v="1"/>
    <x v="1"/>
    <m/>
    <x v="44"/>
    <x v="44"/>
    <m/>
    <x v="839"/>
    <x v="761"/>
    <m/>
    <x v="928"/>
    <x v="989"/>
    <m/>
    <x v="2"/>
    <x v="2"/>
    <m/>
    <n v="44.548250000000003"/>
    <n v="-24.096530000000001"/>
    <m/>
    <m/>
  </r>
  <r>
    <s v="MG51507150076001MAM"/>
    <x v="1"/>
    <x v="1"/>
    <m/>
    <x v="1"/>
    <x v="1"/>
    <m/>
    <x v="1"/>
    <x v="1"/>
    <m/>
    <x v="44"/>
    <x v="44"/>
    <m/>
    <x v="840"/>
    <x v="762"/>
    <m/>
    <x v="929"/>
    <x v="990"/>
    <m/>
    <x v="2"/>
    <x v="2"/>
    <m/>
    <n v="44.548119999999997"/>
    <n v="-24.393229999999999"/>
    <m/>
    <m/>
  </r>
  <r>
    <s v="MG51507150077001MAM"/>
    <x v="1"/>
    <x v="1"/>
    <m/>
    <x v="1"/>
    <x v="1"/>
    <m/>
    <x v="1"/>
    <x v="1"/>
    <m/>
    <x v="44"/>
    <x v="44"/>
    <m/>
    <x v="841"/>
    <x v="763"/>
    <m/>
    <x v="930"/>
    <x v="991"/>
    <m/>
    <x v="2"/>
    <x v="2"/>
    <m/>
    <n v="44.51135"/>
    <n v="-24.34198"/>
    <m/>
    <m/>
  </r>
  <r>
    <s v="MG51507150078001MAM"/>
    <x v="1"/>
    <x v="1"/>
    <m/>
    <x v="1"/>
    <x v="1"/>
    <m/>
    <x v="1"/>
    <x v="1"/>
    <m/>
    <x v="44"/>
    <x v="44"/>
    <m/>
    <x v="842"/>
    <x v="764"/>
    <m/>
    <x v="931"/>
    <x v="992"/>
    <m/>
    <x v="2"/>
    <x v="2"/>
    <m/>
    <n v="44.505279999999999"/>
    <n v="-24.365629999999999"/>
    <m/>
    <m/>
  </r>
  <r>
    <s v="MG51507150079001MAM"/>
    <x v="1"/>
    <x v="1"/>
    <m/>
    <x v="1"/>
    <x v="1"/>
    <m/>
    <x v="1"/>
    <x v="1"/>
    <m/>
    <x v="44"/>
    <x v="44"/>
    <m/>
    <x v="843"/>
    <x v="765"/>
    <m/>
    <x v="932"/>
    <x v="993"/>
    <m/>
    <x v="2"/>
    <x v="2"/>
    <m/>
    <n v="44.451970000000003"/>
    <n v="-24.34787"/>
    <m/>
    <m/>
  </r>
  <r>
    <s v="MG51507150080001MAM"/>
    <x v="1"/>
    <x v="1"/>
    <m/>
    <x v="1"/>
    <x v="1"/>
    <m/>
    <x v="1"/>
    <x v="1"/>
    <m/>
    <x v="44"/>
    <x v="44"/>
    <m/>
    <x v="844"/>
    <x v="766"/>
    <m/>
    <x v="933"/>
    <x v="994"/>
    <m/>
    <x v="2"/>
    <x v="2"/>
    <m/>
    <n v="44.433970000000002"/>
    <n v="-24.361419999999999"/>
    <m/>
    <m/>
  </r>
  <r>
    <s v="MG51507150081001MAM"/>
    <x v="1"/>
    <x v="1"/>
    <m/>
    <x v="1"/>
    <x v="1"/>
    <m/>
    <x v="1"/>
    <x v="1"/>
    <m/>
    <x v="44"/>
    <x v="44"/>
    <m/>
    <x v="281"/>
    <x v="767"/>
    <m/>
    <x v="290"/>
    <x v="995"/>
    <m/>
    <x v="2"/>
    <x v="2"/>
    <m/>
    <n v="44.515900000000002"/>
    <n v="-24.347249999999999"/>
    <m/>
    <m/>
  </r>
  <r>
    <s v="MG51507150082001MAM"/>
    <x v="1"/>
    <x v="1"/>
    <m/>
    <x v="1"/>
    <x v="1"/>
    <m/>
    <x v="1"/>
    <x v="1"/>
    <m/>
    <x v="44"/>
    <x v="44"/>
    <m/>
    <x v="845"/>
    <x v="768"/>
    <m/>
    <x v="934"/>
    <x v="996"/>
    <m/>
    <x v="2"/>
    <x v="2"/>
    <m/>
    <n v="44.515450000000001"/>
    <n v="-24.348700000000001"/>
    <m/>
    <m/>
  </r>
  <r>
    <s v="MG51507150083001MAM"/>
    <x v="1"/>
    <x v="1"/>
    <m/>
    <x v="1"/>
    <x v="1"/>
    <m/>
    <x v="1"/>
    <x v="1"/>
    <m/>
    <x v="44"/>
    <x v="44"/>
    <m/>
    <x v="846"/>
    <x v="769"/>
    <m/>
    <x v="935"/>
    <x v="997"/>
    <m/>
    <x v="2"/>
    <x v="2"/>
    <m/>
    <n v="44.545569999999998"/>
    <n v="-24.330770000000001"/>
    <m/>
    <m/>
  </r>
  <r>
    <s v="MG51507150084001MAM"/>
    <x v="1"/>
    <x v="1"/>
    <m/>
    <x v="1"/>
    <x v="1"/>
    <m/>
    <x v="1"/>
    <x v="1"/>
    <m/>
    <x v="44"/>
    <x v="44"/>
    <m/>
    <x v="847"/>
    <x v="770"/>
    <m/>
    <x v="936"/>
    <x v="998"/>
    <m/>
    <x v="2"/>
    <x v="2"/>
    <m/>
    <n v="44.345869999999998"/>
    <n v="-24.304649999999999"/>
    <m/>
    <m/>
  </r>
  <r>
    <s v="MG51507150085001MAM"/>
    <x v="1"/>
    <x v="1"/>
    <m/>
    <x v="1"/>
    <x v="1"/>
    <m/>
    <x v="1"/>
    <x v="1"/>
    <m/>
    <x v="44"/>
    <x v="44"/>
    <m/>
    <x v="848"/>
    <x v="771"/>
    <m/>
    <x v="937"/>
    <x v="999"/>
    <m/>
    <x v="2"/>
    <x v="2"/>
    <m/>
    <n v="44.548380000000002"/>
    <n v="-24.49098"/>
    <m/>
    <m/>
  </r>
  <r>
    <s v="MG51507150086001MAM"/>
    <x v="1"/>
    <x v="1"/>
    <m/>
    <x v="1"/>
    <x v="1"/>
    <m/>
    <x v="1"/>
    <x v="1"/>
    <m/>
    <x v="44"/>
    <x v="44"/>
    <m/>
    <x v="849"/>
    <x v="772"/>
    <m/>
    <x v="938"/>
    <x v="1000"/>
    <m/>
    <x v="2"/>
    <x v="2"/>
    <m/>
    <n v="44.423299999999998"/>
    <n v="-24.305579999999999"/>
    <m/>
    <m/>
  </r>
  <r>
    <s v="MG51507150087001MAM"/>
    <x v="1"/>
    <x v="1"/>
    <m/>
    <x v="1"/>
    <x v="1"/>
    <m/>
    <x v="1"/>
    <x v="1"/>
    <m/>
    <x v="44"/>
    <x v="44"/>
    <m/>
    <x v="276"/>
    <x v="773"/>
    <m/>
    <x v="285"/>
    <x v="1001"/>
    <m/>
    <x v="2"/>
    <x v="2"/>
    <m/>
    <n v="44.422620000000002"/>
    <n v="-24.284700000000001"/>
    <m/>
    <m/>
  </r>
  <r>
    <s v="MG51507150088001MAM"/>
    <x v="1"/>
    <x v="1"/>
    <m/>
    <x v="1"/>
    <x v="1"/>
    <m/>
    <x v="1"/>
    <x v="1"/>
    <m/>
    <x v="44"/>
    <x v="44"/>
    <m/>
    <x v="850"/>
    <x v="774"/>
    <m/>
    <x v="939"/>
    <x v="1002"/>
    <m/>
    <x v="2"/>
    <x v="2"/>
    <m/>
    <n v="44.589880000000001"/>
    <n v="-24.463200000000001"/>
    <m/>
    <m/>
  </r>
  <r>
    <s v="MG51507150089001MAM"/>
    <x v="1"/>
    <x v="1"/>
    <m/>
    <x v="1"/>
    <x v="1"/>
    <m/>
    <x v="1"/>
    <x v="1"/>
    <m/>
    <x v="44"/>
    <x v="44"/>
    <m/>
    <x v="851"/>
    <x v="775"/>
    <m/>
    <x v="940"/>
    <x v="1003"/>
    <m/>
    <x v="2"/>
    <x v="2"/>
    <m/>
    <n v="44.589840000000002"/>
    <n v="-24.463200000000001"/>
    <m/>
    <m/>
  </r>
  <r>
    <s v="MG51507150090001MAM"/>
    <x v="1"/>
    <x v="1"/>
    <m/>
    <x v="1"/>
    <x v="1"/>
    <m/>
    <x v="1"/>
    <x v="1"/>
    <m/>
    <x v="44"/>
    <x v="44"/>
    <m/>
    <x v="286"/>
    <x v="776"/>
    <m/>
    <x v="295"/>
    <x v="1004"/>
    <m/>
    <x v="2"/>
    <x v="2"/>
    <m/>
    <n v="44.620100000000001"/>
    <n v="-24.520499999999998"/>
    <m/>
    <m/>
  </r>
  <r>
    <s v="MG51507150091001MAM"/>
    <x v="1"/>
    <x v="1"/>
    <m/>
    <x v="1"/>
    <x v="1"/>
    <m/>
    <x v="1"/>
    <x v="1"/>
    <m/>
    <x v="44"/>
    <x v="44"/>
    <m/>
    <x v="852"/>
    <x v="777"/>
    <m/>
    <x v="941"/>
    <x v="1005"/>
    <m/>
    <x v="2"/>
    <x v="2"/>
    <m/>
    <n v="44.568530000000003"/>
    <n v="-24.501899999999999"/>
    <m/>
    <m/>
  </r>
  <r>
    <s v="MG51507150092001MAM"/>
    <x v="1"/>
    <x v="1"/>
    <m/>
    <x v="1"/>
    <x v="1"/>
    <m/>
    <x v="1"/>
    <x v="1"/>
    <m/>
    <x v="44"/>
    <x v="44"/>
    <m/>
    <x v="853"/>
    <x v="778"/>
    <m/>
    <x v="942"/>
    <x v="1006"/>
    <m/>
    <x v="2"/>
    <x v="2"/>
    <m/>
    <n v="44.573399999999999"/>
    <n v="-24.489380000000001"/>
    <m/>
    <m/>
  </r>
  <r>
    <s v="MG51507150093001MAM"/>
    <x v="1"/>
    <x v="1"/>
    <m/>
    <x v="1"/>
    <x v="1"/>
    <m/>
    <x v="1"/>
    <x v="1"/>
    <m/>
    <x v="44"/>
    <x v="44"/>
    <m/>
    <x v="854"/>
    <x v="779"/>
    <m/>
    <x v="943"/>
    <x v="1007"/>
    <m/>
    <x v="2"/>
    <x v="2"/>
    <m/>
    <n v="44.539279999999998"/>
    <n v="-24.351849999999999"/>
    <m/>
    <m/>
  </r>
  <r>
    <s v="MG51507150094001MAM"/>
    <x v="1"/>
    <x v="1"/>
    <m/>
    <x v="1"/>
    <x v="1"/>
    <m/>
    <x v="1"/>
    <x v="1"/>
    <m/>
    <x v="44"/>
    <x v="44"/>
    <m/>
    <x v="279"/>
    <x v="780"/>
    <m/>
    <x v="288"/>
    <x v="1008"/>
    <m/>
    <x v="2"/>
    <x v="2"/>
    <m/>
    <n v="44.503869999999999"/>
    <n v="-24.268630000000002"/>
    <m/>
    <m/>
  </r>
  <r>
    <s v="MG51507150095001MAM"/>
    <x v="1"/>
    <x v="1"/>
    <m/>
    <x v="1"/>
    <x v="1"/>
    <m/>
    <x v="1"/>
    <x v="1"/>
    <m/>
    <x v="44"/>
    <x v="44"/>
    <m/>
    <x v="855"/>
    <x v="781"/>
    <m/>
    <x v="944"/>
    <x v="1009"/>
    <m/>
    <x v="2"/>
    <x v="2"/>
    <m/>
    <n v="44.493130000000001"/>
    <n v="-24.368020000000001"/>
    <m/>
    <m/>
  </r>
  <r>
    <s v="MG51507150096001MAM"/>
    <x v="1"/>
    <x v="1"/>
    <m/>
    <x v="1"/>
    <x v="1"/>
    <m/>
    <x v="1"/>
    <x v="1"/>
    <m/>
    <x v="44"/>
    <x v="44"/>
    <m/>
    <x v="278"/>
    <x v="782"/>
    <m/>
    <x v="287"/>
    <x v="1010"/>
    <m/>
    <x v="2"/>
    <x v="2"/>
    <m/>
    <n v="44.50038"/>
    <n v="-24.395869999999999"/>
    <m/>
    <m/>
  </r>
  <r>
    <s v="MG51507150097001MAM"/>
    <x v="1"/>
    <x v="1"/>
    <m/>
    <x v="1"/>
    <x v="1"/>
    <m/>
    <x v="1"/>
    <x v="1"/>
    <m/>
    <x v="44"/>
    <x v="44"/>
    <m/>
    <x v="856"/>
    <x v="783"/>
    <m/>
    <x v="945"/>
    <x v="1011"/>
    <m/>
    <x v="2"/>
    <x v="2"/>
    <m/>
    <n v="44.50705"/>
    <n v="-24.45655"/>
    <m/>
    <m/>
  </r>
  <r>
    <s v="MG51507150098001MAM"/>
    <x v="1"/>
    <x v="1"/>
    <m/>
    <x v="1"/>
    <x v="1"/>
    <m/>
    <x v="1"/>
    <x v="1"/>
    <m/>
    <x v="44"/>
    <x v="44"/>
    <m/>
    <x v="857"/>
    <x v="784"/>
    <m/>
    <x v="946"/>
    <x v="1012"/>
    <m/>
    <x v="2"/>
    <x v="2"/>
    <m/>
    <n v="44.311950000000003"/>
    <n v="-24.28557"/>
    <m/>
    <m/>
  </r>
  <r>
    <s v="MG51507150099001MAM"/>
    <x v="1"/>
    <x v="1"/>
    <m/>
    <x v="1"/>
    <x v="1"/>
    <m/>
    <x v="1"/>
    <x v="1"/>
    <m/>
    <x v="44"/>
    <x v="44"/>
    <m/>
    <x v="121"/>
    <x v="785"/>
    <m/>
    <x v="947"/>
    <x v="1013"/>
    <m/>
    <x v="2"/>
    <x v="2"/>
    <m/>
    <n v="44.515529999999998"/>
    <n v="-24.35528"/>
    <m/>
    <m/>
  </r>
  <r>
    <s v="MG51507150112001MAM"/>
    <x v="1"/>
    <x v="1"/>
    <m/>
    <x v="1"/>
    <x v="1"/>
    <m/>
    <x v="1"/>
    <x v="1"/>
    <m/>
    <x v="44"/>
    <x v="44"/>
    <m/>
    <x v="858"/>
    <x v="786"/>
    <m/>
    <x v="948"/>
    <x v="1014"/>
    <m/>
    <x v="2"/>
    <x v="2"/>
    <m/>
    <n v="44.437220000000003"/>
    <n v="-24.37003"/>
    <m/>
    <m/>
  </r>
  <r>
    <s v="MG51507150128001MAM"/>
    <x v="1"/>
    <x v="1"/>
    <m/>
    <x v="1"/>
    <x v="1"/>
    <m/>
    <x v="1"/>
    <x v="1"/>
    <m/>
    <x v="44"/>
    <x v="44"/>
    <m/>
    <x v="859"/>
    <x v="787"/>
    <m/>
    <x v="949"/>
    <x v="1015"/>
    <m/>
    <x v="2"/>
    <x v="2"/>
    <m/>
    <n v="44.521329999999999"/>
    <n v="-24.219529999999999"/>
    <m/>
    <m/>
  </r>
  <r>
    <s v="MG51507150129001MAM"/>
    <x v="1"/>
    <x v="1"/>
    <m/>
    <x v="1"/>
    <x v="1"/>
    <m/>
    <x v="1"/>
    <x v="1"/>
    <m/>
    <x v="44"/>
    <x v="44"/>
    <m/>
    <x v="287"/>
    <x v="788"/>
    <m/>
    <x v="296"/>
    <x v="1016"/>
    <m/>
    <x v="2"/>
    <x v="2"/>
    <m/>
    <n v="44.561250000000001"/>
    <n v="-24.111319999999999"/>
    <m/>
    <m/>
  </r>
  <r>
    <s v="MG51505071019001MAM"/>
    <x v="5"/>
    <x v="5"/>
    <m/>
    <x v="3"/>
    <x v="3"/>
    <m/>
    <x v="4"/>
    <x v="4"/>
    <m/>
    <x v="140"/>
    <x v="140"/>
    <m/>
    <x v="860"/>
    <x v="789"/>
    <m/>
    <x v="950"/>
    <x v="1017"/>
    <m/>
    <x v="2"/>
    <x v="2"/>
    <m/>
    <n v="46.163941000000001"/>
    <n v="-24.707948999999999"/>
    <m/>
    <m/>
  </r>
  <r>
    <s v="MG51521050002001MAM"/>
    <x v="5"/>
    <x v="5"/>
    <m/>
    <x v="3"/>
    <x v="3"/>
    <m/>
    <x v="4"/>
    <x v="4"/>
    <m/>
    <x v="140"/>
    <x v="140"/>
    <m/>
    <x v="861"/>
    <x v="790"/>
    <m/>
    <x v="951"/>
    <x v="1018"/>
    <m/>
    <x v="2"/>
    <x v="2"/>
    <m/>
    <n v="46.181095999999997"/>
    <n v="-24.761856999999999"/>
    <m/>
    <m/>
  </r>
  <r>
    <s v="MG53519150008001MAM"/>
    <x v="5"/>
    <x v="5"/>
    <m/>
    <x v="3"/>
    <x v="3"/>
    <m/>
    <x v="4"/>
    <x v="4"/>
    <m/>
    <x v="140"/>
    <x v="140"/>
    <m/>
    <x v="362"/>
    <x v="791"/>
    <m/>
    <x v="952"/>
    <x v="1019"/>
    <m/>
    <x v="2"/>
    <x v="2"/>
    <m/>
    <n v="46.219470000000001"/>
    <n v="-24.008569999999999"/>
    <m/>
    <m/>
  </r>
  <r>
    <s v="MG52516013003001MAM"/>
    <x v="5"/>
    <x v="5"/>
    <m/>
    <x v="2"/>
    <x v="2"/>
    <m/>
    <x v="6"/>
    <x v="6"/>
    <m/>
    <x v="141"/>
    <x v="141"/>
    <m/>
    <x v="862"/>
    <x v="792"/>
    <m/>
    <x v="953"/>
    <x v="1020"/>
    <m/>
    <x v="2"/>
    <x v="2"/>
    <m/>
    <n v="45.944450000000003"/>
    <n v="-25.2774"/>
    <m/>
    <m/>
  </r>
  <r>
    <s v="MG52516013008001MAM"/>
    <x v="5"/>
    <x v="5"/>
    <m/>
    <x v="2"/>
    <x v="2"/>
    <m/>
    <x v="6"/>
    <x v="6"/>
    <m/>
    <x v="141"/>
    <x v="141"/>
    <m/>
    <x v="863"/>
    <x v="793"/>
    <m/>
    <x v="954"/>
    <x v="1021"/>
    <m/>
    <x v="2"/>
    <x v="2"/>
    <m/>
    <n v="45.961951999999997"/>
    <n v="-25.269601000000002"/>
    <m/>
    <m/>
  </r>
  <r>
    <s v="MG52516013054001MAM"/>
    <x v="5"/>
    <x v="5"/>
    <m/>
    <x v="2"/>
    <x v="2"/>
    <m/>
    <x v="6"/>
    <x v="6"/>
    <m/>
    <x v="141"/>
    <x v="141"/>
    <m/>
    <x v="864"/>
    <x v="794"/>
    <m/>
    <x v="955"/>
    <x v="1022"/>
    <m/>
    <x v="2"/>
    <x v="2"/>
    <m/>
    <n v="45.983919999999998"/>
    <n v="-25.275950000000002"/>
    <m/>
    <m/>
  </r>
  <r>
    <s v="MG52516013055001MAM"/>
    <x v="5"/>
    <x v="5"/>
    <m/>
    <x v="2"/>
    <x v="2"/>
    <m/>
    <x v="6"/>
    <x v="6"/>
    <m/>
    <x v="141"/>
    <x v="141"/>
    <m/>
    <x v="865"/>
    <x v="795"/>
    <m/>
    <x v="956"/>
    <x v="1023"/>
    <m/>
    <x v="2"/>
    <x v="2"/>
    <m/>
    <n v="45.944249999999997"/>
    <n v="-25.286380000000001"/>
    <m/>
    <m/>
  </r>
  <r>
    <s v="MG52516013056001MAM"/>
    <x v="5"/>
    <x v="5"/>
    <m/>
    <x v="2"/>
    <x v="2"/>
    <m/>
    <x v="6"/>
    <x v="6"/>
    <m/>
    <x v="141"/>
    <x v="141"/>
    <m/>
    <x v="866"/>
    <x v="796"/>
    <m/>
    <x v="957"/>
    <x v="1024"/>
    <m/>
    <x v="2"/>
    <x v="2"/>
    <m/>
    <n v="45.978900000000003"/>
    <n v="-25.252600000000001"/>
    <m/>
    <m/>
  </r>
  <r>
    <s v="MG53519170001001MAM"/>
    <x v="5"/>
    <x v="5"/>
    <m/>
    <x v="3"/>
    <x v="3"/>
    <m/>
    <x v="4"/>
    <x v="4"/>
    <m/>
    <x v="142"/>
    <x v="142"/>
    <m/>
    <x v="867"/>
    <x v="797"/>
    <m/>
    <x v="958"/>
    <x v="1025"/>
    <m/>
    <x v="2"/>
    <x v="2"/>
    <m/>
    <n v="46.696899999999999"/>
    <n v="-24.32432"/>
    <m/>
    <m/>
  </r>
  <r>
    <s v="MG25213390001001MAM"/>
    <x v="0"/>
    <x v="0"/>
    <m/>
    <x v="4"/>
    <x v="4"/>
    <m/>
    <x v="11"/>
    <x v="11"/>
    <m/>
    <x v="143"/>
    <x v="143"/>
    <m/>
    <x v="868"/>
    <x v="798"/>
    <m/>
    <x v="959"/>
    <x v="1026"/>
    <m/>
    <x v="2"/>
    <x v="2"/>
    <m/>
    <n v="47.595579999999998"/>
    <n v="-22.894279999999998"/>
    <m/>
    <m/>
  </r>
  <r>
    <s v="MG24216192003001MAM"/>
    <x v="0"/>
    <x v="0"/>
    <m/>
    <x v="4"/>
    <x v="4"/>
    <m/>
    <x v="11"/>
    <x v="11"/>
    <m/>
    <x v="144"/>
    <x v="144"/>
    <m/>
    <x v="869"/>
    <x v="799"/>
    <m/>
    <x v="960"/>
    <x v="1027"/>
    <m/>
    <x v="2"/>
    <x v="2"/>
    <m/>
    <n v="47.709380000000003"/>
    <n v="-22.595800000000001"/>
    <m/>
    <m/>
  </r>
  <r>
    <s v="MG25213370001001MAM"/>
    <x v="0"/>
    <x v="0"/>
    <m/>
    <x v="4"/>
    <x v="4"/>
    <m/>
    <x v="11"/>
    <x v="11"/>
    <m/>
    <x v="144"/>
    <x v="144"/>
    <m/>
    <x v="870"/>
    <x v="800"/>
    <m/>
    <x v="961"/>
    <x v="1028"/>
    <m/>
    <x v="2"/>
    <x v="2"/>
    <m/>
    <n v="47.680700000000002"/>
    <n v="-22.61543"/>
    <m/>
    <m/>
  </r>
  <r>
    <s v="MG25213370005001MAM"/>
    <x v="0"/>
    <x v="0"/>
    <m/>
    <x v="4"/>
    <x v="4"/>
    <m/>
    <x v="11"/>
    <x v="11"/>
    <m/>
    <x v="144"/>
    <x v="144"/>
    <m/>
    <x v="21"/>
    <x v="801"/>
    <m/>
    <x v="962"/>
    <x v="1029"/>
    <m/>
    <x v="2"/>
    <x v="2"/>
    <m/>
    <n v="47.731892999999999"/>
    <n v="-22.619685"/>
    <m/>
    <m/>
  </r>
  <r>
    <s v="MG25213010002001MAM"/>
    <x v="0"/>
    <x v="0"/>
    <m/>
    <x v="4"/>
    <x v="4"/>
    <m/>
    <x v="11"/>
    <x v="11"/>
    <m/>
    <x v="145"/>
    <x v="145"/>
    <m/>
    <x v="871"/>
    <x v="802"/>
    <m/>
    <x v="963"/>
    <x v="1030"/>
    <m/>
    <x v="2"/>
    <x v="2"/>
    <m/>
    <n v="47.827249999999999"/>
    <n v="-22.809180000000001"/>
    <m/>
    <m/>
  </r>
  <r>
    <s v="MG25213010041001MAM"/>
    <x v="0"/>
    <x v="0"/>
    <m/>
    <x v="4"/>
    <x v="4"/>
    <m/>
    <x v="11"/>
    <x v="11"/>
    <m/>
    <x v="145"/>
    <x v="145"/>
    <m/>
    <x v="872"/>
    <x v="803"/>
    <m/>
    <x v="964"/>
    <x v="1031"/>
    <m/>
    <x v="2"/>
    <x v="2"/>
    <m/>
    <n v="47.82743"/>
    <n v="-22.82442"/>
    <m/>
    <m/>
  </r>
  <r>
    <s v="MG25213010045001MAM"/>
    <x v="0"/>
    <x v="0"/>
    <m/>
    <x v="4"/>
    <x v="4"/>
    <m/>
    <x v="11"/>
    <x v="11"/>
    <m/>
    <x v="145"/>
    <x v="145"/>
    <m/>
    <x v="873"/>
    <x v="804"/>
    <m/>
    <x v="965"/>
    <x v="1032"/>
    <m/>
    <x v="2"/>
    <x v="2"/>
    <m/>
    <n v="47.838149999999999"/>
    <n v="-22.825849999999999"/>
    <m/>
    <m/>
  </r>
  <r>
    <s v="MG25214290004001MAM"/>
    <x v="0"/>
    <x v="0"/>
    <m/>
    <x v="4"/>
    <x v="4"/>
    <m/>
    <x v="10"/>
    <x v="10"/>
    <m/>
    <x v="146"/>
    <x v="146"/>
    <m/>
    <x v="874"/>
    <x v="805"/>
    <m/>
    <x v="966"/>
    <x v="1033"/>
    <m/>
    <x v="2"/>
    <x v="2"/>
    <m/>
    <n v="47.54813"/>
    <n v="-23.829429999999999"/>
    <m/>
    <m/>
  </r>
  <r>
    <s v="MG25214290006001MAM"/>
    <x v="0"/>
    <x v="0"/>
    <m/>
    <x v="4"/>
    <x v="4"/>
    <m/>
    <x v="10"/>
    <x v="10"/>
    <m/>
    <x v="146"/>
    <x v="146"/>
    <m/>
    <x v="875"/>
    <x v="806"/>
    <m/>
    <x v="967"/>
    <x v="1034"/>
    <m/>
    <x v="2"/>
    <x v="2"/>
    <m/>
    <n v="47.519649999999999"/>
    <n v="-23.912949999999999"/>
    <m/>
    <m/>
  </r>
  <r>
    <s v="MG53515170003001MAM"/>
    <x v="3"/>
    <x v="3"/>
    <m/>
    <x v="1"/>
    <x v="1"/>
    <m/>
    <x v="3"/>
    <x v="3"/>
    <m/>
    <x v="147"/>
    <x v="147"/>
    <m/>
    <x v="876"/>
    <x v="807"/>
    <m/>
    <x v="968"/>
    <x v="1035"/>
    <m/>
    <x v="2"/>
    <x v="2"/>
    <m/>
    <n v="44.637988"/>
    <n v="-23.545138999999999"/>
    <m/>
    <m/>
  </r>
  <r>
    <s v="MG25214332006001MAM"/>
    <x v="0"/>
    <x v="0"/>
    <m/>
    <x v="4"/>
    <x v="4"/>
    <m/>
    <x v="11"/>
    <x v="11"/>
    <m/>
    <x v="148"/>
    <x v="148"/>
    <m/>
    <x v="499"/>
    <x v="808"/>
    <m/>
    <x v="969"/>
    <x v="1036"/>
    <m/>
    <x v="2"/>
    <x v="2"/>
    <m/>
    <n v="47.536436000000002"/>
    <n v="-23.082944000000001"/>
    <m/>
    <m/>
  </r>
  <r>
    <s v="MG25214332034001MAM"/>
    <x v="0"/>
    <x v="0"/>
    <m/>
    <x v="4"/>
    <x v="4"/>
    <m/>
    <x v="11"/>
    <x v="11"/>
    <m/>
    <x v="148"/>
    <x v="148"/>
    <m/>
    <x v="877"/>
    <x v="809"/>
    <m/>
    <x v="970"/>
    <x v="1037"/>
    <m/>
    <x v="2"/>
    <x v="2"/>
    <m/>
    <n v="47.530569999999997"/>
    <n v="-23.11908"/>
    <m/>
    <m/>
  </r>
  <r>
    <s v="MG25214111010001MAM"/>
    <x v="0"/>
    <x v="0"/>
    <m/>
    <x v="4"/>
    <x v="4"/>
    <m/>
    <x v="10"/>
    <x v="10"/>
    <m/>
    <x v="52"/>
    <x v="52"/>
    <m/>
    <x v="878"/>
    <x v="810"/>
    <m/>
    <x v="971"/>
    <x v="1038"/>
    <m/>
    <x v="2"/>
    <x v="2"/>
    <m/>
    <n v="47.550020000000004"/>
    <n v="-23.31643"/>
    <m/>
    <m/>
  </r>
  <r>
    <s v="MG25214111011001MAM"/>
    <x v="0"/>
    <x v="0"/>
    <m/>
    <x v="4"/>
    <x v="4"/>
    <m/>
    <x v="10"/>
    <x v="10"/>
    <m/>
    <x v="52"/>
    <x v="52"/>
    <m/>
    <x v="879"/>
    <x v="811"/>
    <m/>
    <x v="972"/>
    <x v="1039"/>
    <m/>
    <x v="2"/>
    <x v="2"/>
    <m/>
    <n v="47.559750000000001"/>
    <n v="-23.31898"/>
    <m/>
    <m/>
  </r>
  <r>
    <s v="MG51507290003001MAM"/>
    <x v="1"/>
    <x v="1"/>
    <m/>
    <x v="1"/>
    <x v="1"/>
    <m/>
    <x v="1"/>
    <x v="1"/>
    <m/>
    <x v="10"/>
    <x v="10"/>
    <m/>
    <x v="289"/>
    <x v="812"/>
    <m/>
    <x v="973"/>
    <x v="1040"/>
    <m/>
    <x v="2"/>
    <x v="2"/>
    <m/>
    <n v="44.939945999999999"/>
    <n v="-24.171831000000001"/>
    <m/>
    <m/>
  </r>
  <r>
    <s v="MG51507290037001MAM"/>
    <x v="1"/>
    <x v="1"/>
    <m/>
    <x v="1"/>
    <x v="1"/>
    <m/>
    <x v="1"/>
    <x v="1"/>
    <m/>
    <x v="10"/>
    <x v="10"/>
    <m/>
    <x v="880"/>
    <x v="813"/>
    <m/>
    <x v="974"/>
    <x v="1041"/>
    <m/>
    <x v="2"/>
    <x v="2"/>
    <m/>
    <n v="44.970030000000001"/>
    <n v="-24.14132"/>
    <m/>
    <m/>
  </r>
  <r>
    <s v="MG51507290041001MAM"/>
    <x v="1"/>
    <x v="1"/>
    <m/>
    <x v="1"/>
    <x v="1"/>
    <m/>
    <x v="1"/>
    <x v="1"/>
    <m/>
    <x v="10"/>
    <x v="10"/>
    <m/>
    <x v="45"/>
    <x v="814"/>
    <m/>
    <x v="975"/>
    <x v="1042"/>
    <m/>
    <x v="2"/>
    <x v="2"/>
    <m/>
    <n v="45.052782999999998"/>
    <n v="-24.167306"/>
    <m/>
    <m/>
  </r>
  <r>
    <s v="MG51507290045001MAM"/>
    <x v="1"/>
    <x v="1"/>
    <m/>
    <x v="1"/>
    <x v="1"/>
    <m/>
    <x v="1"/>
    <x v="1"/>
    <m/>
    <x v="10"/>
    <x v="10"/>
    <m/>
    <x v="764"/>
    <x v="815"/>
    <m/>
    <x v="976"/>
    <x v="1043"/>
    <m/>
    <x v="2"/>
    <x v="2"/>
    <m/>
    <n v="45.124336999999997"/>
    <n v="-24.013417"/>
    <m/>
    <m/>
  </r>
  <r>
    <s v="MG51507290067001MAM"/>
    <x v="1"/>
    <x v="1"/>
    <m/>
    <x v="1"/>
    <x v="1"/>
    <m/>
    <x v="1"/>
    <x v="1"/>
    <m/>
    <x v="10"/>
    <x v="10"/>
    <m/>
    <x v="62"/>
    <x v="816"/>
    <m/>
    <x v="977"/>
    <x v="1044"/>
    <m/>
    <x v="2"/>
    <x v="2"/>
    <m/>
    <n v="44.879800000000003"/>
    <n v="-24.058499999999999"/>
    <m/>
    <m/>
  </r>
  <r>
    <s v="MG51507290082001MAM"/>
    <x v="1"/>
    <x v="1"/>
    <m/>
    <x v="1"/>
    <x v="1"/>
    <m/>
    <x v="1"/>
    <x v="1"/>
    <m/>
    <x v="10"/>
    <x v="10"/>
    <m/>
    <x v="881"/>
    <x v="817"/>
    <m/>
    <x v="978"/>
    <x v="1045"/>
    <m/>
    <x v="2"/>
    <x v="2"/>
    <m/>
    <n v="45.049030000000002"/>
    <n v="-23.989419999999999"/>
    <m/>
    <m/>
  </r>
  <r>
    <s v="MG51507290087001MAM"/>
    <x v="1"/>
    <x v="1"/>
    <m/>
    <x v="1"/>
    <x v="1"/>
    <m/>
    <x v="1"/>
    <x v="1"/>
    <m/>
    <x v="10"/>
    <x v="10"/>
    <m/>
    <x v="77"/>
    <x v="818"/>
    <m/>
    <x v="979"/>
    <x v="1046"/>
    <m/>
    <x v="2"/>
    <x v="2"/>
    <m/>
    <n v="45.128619999999998"/>
    <n v="-24.06053"/>
    <m/>
    <m/>
  </r>
  <r>
    <s v="MG51507290089001MAM"/>
    <x v="1"/>
    <x v="1"/>
    <m/>
    <x v="1"/>
    <x v="1"/>
    <m/>
    <x v="1"/>
    <x v="1"/>
    <m/>
    <x v="10"/>
    <x v="10"/>
    <m/>
    <x v="74"/>
    <x v="819"/>
    <m/>
    <x v="980"/>
    <x v="1047"/>
    <m/>
    <x v="2"/>
    <x v="2"/>
    <m/>
    <n v="45.01735"/>
    <n v="-24.055430000000001"/>
    <m/>
    <m/>
  </r>
  <r>
    <s v="MG51507290090001MAM"/>
    <x v="1"/>
    <x v="1"/>
    <m/>
    <x v="1"/>
    <x v="1"/>
    <m/>
    <x v="1"/>
    <x v="1"/>
    <m/>
    <x v="10"/>
    <x v="10"/>
    <m/>
    <x v="882"/>
    <x v="820"/>
    <m/>
    <x v="981"/>
    <x v="1048"/>
    <m/>
    <x v="2"/>
    <x v="2"/>
    <m/>
    <n v="45.017449999999997"/>
    <n v="-24.056509999999999"/>
    <m/>
    <m/>
  </r>
  <r>
    <s v="MG51507290091001MAM"/>
    <x v="1"/>
    <x v="1"/>
    <m/>
    <x v="1"/>
    <x v="1"/>
    <m/>
    <x v="1"/>
    <x v="1"/>
    <m/>
    <x v="10"/>
    <x v="10"/>
    <m/>
    <x v="883"/>
    <x v="821"/>
    <m/>
    <x v="982"/>
    <x v="1049"/>
    <m/>
    <x v="2"/>
    <x v="2"/>
    <m/>
    <n v="45.041049999999998"/>
    <n v="-24.101500000000001"/>
    <m/>
    <m/>
  </r>
  <r>
    <s v="MG51507210009001MAM"/>
    <x v="1"/>
    <x v="1"/>
    <m/>
    <x v="1"/>
    <x v="1"/>
    <m/>
    <x v="1"/>
    <x v="1"/>
    <m/>
    <x v="149"/>
    <x v="149"/>
    <m/>
    <x v="727"/>
    <x v="822"/>
    <m/>
    <x v="983"/>
    <x v="1050"/>
    <m/>
    <x v="2"/>
    <x v="2"/>
    <m/>
    <n v="44.814529999999998"/>
    <n v="-24.255980000000001"/>
    <m/>
    <m/>
  </r>
  <r>
    <s v="MG51507210016001MAM"/>
    <x v="1"/>
    <x v="1"/>
    <m/>
    <x v="1"/>
    <x v="1"/>
    <m/>
    <x v="1"/>
    <x v="1"/>
    <m/>
    <x v="149"/>
    <x v="149"/>
    <m/>
    <x v="884"/>
    <x v="823"/>
    <m/>
    <x v="984"/>
    <x v="1051"/>
    <m/>
    <x v="2"/>
    <x v="2"/>
    <m/>
    <n v="44.806319999999999"/>
    <n v="-24.282"/>
    <m/>
    <m/>
  </r>
  <r>
    <s v="MG51507210057001MAM"/>
    <x v="1"/>
    <x v="1"/>
    <m/>
    <x v="1"/>
    <x v="1"/>
    <m/>
    <x v="1"/>
    <x v="1"/>
    <m/>
    <x v="149"/>
    <x v="149"/>
    <m/>
    <x v="885"/>
    <x v="824"/>
    <m/>
    <x v="985"/>
    <x v="1052"/>
    <m/>
    <x v="2"/>
    <x v="2"/>
    <m/>
    <n v="44.789186000000001"/>
    <n v="-24.246435000000002"/>
    <m/>
    <m/>
  </r>
  <r>
    <s v="MG51507210081001MAM"/>
    <x v="1"/>
    <x v="1"/>
    <m/>
    <x v="1"/>
    <x v="1"/>
    <m/>
    <x v="1"/>
    <x v="1"/>
    <m/>
    <x v="149"/>
    <x v="149"/>
    <m/>
    <x v="886"/>
    <x v="825"/>
    <m/>
    <x v="986"/>
    <x v="1053"/>
    <m/>
    <x v="2"/>
    <x v="2"/>
    <m/>
    <n v="44.693950000000001"/>
    <n v="-24.466280000000001"/>
    <m/>
    <m/>
  </r>
  <r>
    <s v="MG51507210082001MAM"/>
    <x v="1"/>
    <x v="1"/>
    <m/>
    <x v="1"/>
    <x v="1"/>
    <m/>
    <x v="1"/>
    <x v="1"/>
    <m/>
    <x v="149"/>
    <x v="149"/>
    <m/>
    <x v="887"/>
    <x v="826"/>
    <m/>
    <x v="987"/>
    <x v="1054"/>
    <m/>
    <x v="2"/>
    <x v="2"/>
    <m/>
    <n v="44.708849999999998"/>
    <n v="-24.27825"/>
    <m/>
    <m/>
  </r>
  <r>
    <s v="MG51507210083001MAM"/>
    <x v="1"/>
    <x v="1"/>
    <m/>
    <x v="1"/>
    <x v="1"/>
    <m/>
    <x v="1"/>
    <x v="1"/>
    <m/>
    <x v="149"/>
    <x v="149"/>
    <m/>
    <x v="739"/>
    <x v="827"/>
    <m/>
    <x v="988"/>
    <x v="1055"/>
    <m/>
    <x v="2"/>
    <x v="2"/>
    <m/>
    <n v="44.709099999999999"/>
    <n v="-24.244869999999999"/>
    <m/>
    <m/>
  </r>
  <r>
    <s v="MG51507210084001MAM"/>
    <x v="1"/>
    <x v="1"/>
    <m/>
    <x v="1"/>
    <x v="1"/>
    <m/>
    <x v="1"/>
    <x v="1"/>
    <m/>
    <x v="149"/>
    <x v="149"/>
    <m/>
    <x v="888"/>
    <x v="828"/>
    <m/>
    <x v="989"/>
    <x v="1056"/>
    <m/>
    <x v="2"/>
    <x v="2"/>
    <m/>
    <n v="44.770600000000002"/>
    <n v="-24.266780000000001"/>
    <m/>
    <m/>
  </r>
  <r>
    <s v="MG51507210085001MAM"/>
    <x v="1"/>
    <x v="1"/>
    <m/>
    <x v="1"/>
    <x v="1"/>
    <m/>
    <x v="1"/>
    <x v="1"/>
    <m/>
    <x v="149"/>
    <x v="149"/>
    <m/>
    <x v="889"/>
    <x v="829"/>
    <m/>
    <x v="990"/>
    <x v="1057"/>
    <m/>
    <x v="2"/>
    <x v="2"/>
    <m/>
    <n v="44.735129999999998"/>
    <n v="-24.206900000000001"/>
    <m/>
    <m/>
  </r>
  <r>
    <s v="MG51507210086001MAM"/>
    <x v="1"/>
    <x v="1"/>
    <m/>
    <x v="1"/>
    <x v="1"/>
    <m/>
    <x v="1"/>
    <x v="1"/>
    <m/>
    <x v="149"/>
    <x v="149"/>
    <m/>
    <x v="890"/>
    <x v="830"/>
    <m/>
    <x v="991"/>
    <x v="1058"/>
    <m/>
    <x v="2"/>
    <x v="2"/>
    <m/>
    <n v="44.747950000000003"/>
    <n v="-24.250019999999999"/>
    <m/>
    <m/>
  </r>
  <r>
    <s v="MG51507210087001MAM"/>
    <x v="1"/>
    <x v="1"/>
    <m/>
    <x v="1"/>
    <x v="1"/>
    <m/>
    <x v="1"/>
    <x v="1"/>
    <m/>
    <x v="149"/>
    <x v="149"/>
    <m/>
    <x v="891"/>
    <x v="831"/>
    <m/>
    <x v="992"/>
    <x v="1059"/>
    <m/>
    <x v="2"/>
    <x v="2"/>
    <m/>
    <n v="44.725769999999997"/>
    <n v="-24.296119999999998"/>
    <m/>
    <m/>
  </r>
  <r>
    <s v="MG25213210001001MAM"/>
    <x v="0"/>
    <x v="0"/>
    <m/>
    <x v="4"/>
    <x v="4"/>
    <m/>
    <x v="11"/>
    <x v="11"/>
    <m/>
    <x v="150"/>
    <x v="150"/>
    <m/>
    <x v="892"/>
    <x v="832"/>
    <m/>
    <x v="993"/>
    <x v="1060"/>
    <m/>
    <x v="2"/>
    <x v="2"/>
    <m/>
    <n v="47.713070000000002"/>
    <n v="-22.882449999999999"/>
    <m/>
    <m/>
  </r>
  <r>
    <s v="MG25213210007001MAM"/>
    <x v="0"/>
    <x v="0"/>
    <m/>
    <x v="4"/>
    <x v="4"/>
    <m/>
    <x v="11"/>
    <x v="11"/>
    <m/>
    <x v="150"/>
    <x v="150"/>
    <m/>
    <x v="893"/>
    <x v="833"/>
    <m/>
    <x v="994"/>
    <x v="1061"/>
    <m/>
    <x v="2"/>
    <x v="2"/>
    <m/>
    <n v="47.6706"/>
    <n v="-22.877279999999999"/>
    <m/>
    <m/>
  </r>
  <r>
    <s v="MG25217052001001MAM"/>
    <x v="0"/>
    <x v="0"/>
    <m/>
    <x v="4"/>
    <x v="4"/>
    <m/>
    <x v="12"/>
    <x v="12"/>
    <m/>
    <x v="151"/>
    <x v="151"/>
    <m/>
    <x v="894"/>
    <x v="834"/>
    <m/>
    <x v="995"/>
    <x v="1062"/>
    <m/>
    <x v="2"/>
    <x v="2"/>
    <m/>
    <n v="47.421219999999998"/>
    <n v="-22.704319999999999"/>
    <m/>
    <m/>
  </r>
  <r>
    <s v="MG25217052003001MAM"/>
    <x v="0"/>
    <x v="0"/>
    <m/>
    <x v="4"/>
    <x v="4"/>
    <m/>
    <x v="12"/>
    <x v="12"/>
    <m/>
    <x v="151"/>
    <x v="151"/>
    <m/>
    <x v="895"/>
    <x v="835"/>
    <m/>
    <x v="996"/>
    <x v="1063"/>
    <m/>
    <x v="2"/>
    <x v="2"/>
    <m/>
    <n v="47.419600000000003"/>
    <n v="-22.674569999999999"/>
    <m/>
    <m/>
  </r>
  <r>
    <s v="MG51512012006001MAM"/>
    <x v="5"/>
    <x v="5"/>
    <m/>
    <x v="3"/>
    <x v="3"/>
    <m/>
    <x v="15"/>
    <x v="15"/>
    <m/>
    <x v="152"/>
    <x v="152"/>
    <m/>
    <x v="896"/>
    <x v="836"/>
    <m/>
    <x v="997"/>
    <x v="1064"/>
    <m/>
    <x v="2"/>
    <x v="2"/>
    <m/>
    <n v="45.961150000000004"/>
    <n v="-23.573129999999999"/>
    <m/>
    <m/>
  </r>
  <r>
    <s v="MG53517130001001MAM"/>
    <x v="5"/>
    <x v="5"/>
    <m/>
    <x v="3"/>
    <x v="3"/>
    <m/>
    <x v="15"/>
    <x v="15"/>
    <m/>
    <x v="152"/>
    <x v="152"/>
    <m/>
    <x v="897"/>
    <x v="837"/>
    <m/>
    <x v="998"/>
    <x v="1065"/>
    <m/>
    <x v="2"/>
    <x v="2"/>
    <m/>
    <n v="45.986049999999999"/>
    <n v="-23.536580000000001"/>
    <m/>
    <m/>
  </r>
  <r>
    <s v="MG53517130003001MAM"/>
    <x v="5"/>
    <x v="5"/>
    <m/>
    <x v="3"/>
    <x v="3"/>
    <m/>
    <x v="15"/>
    <x v="15"/>
    <m/>
    <x v="152"/>
    <x v="152"/>
    <m/>
    <x v="898"/>
    <x v="838"/>
    <m/>
    <x v="999"/>
    <x v="1066"/>
    <m/>
    <x v="2"/>
    <x v="2"/>
    <m/>
    <n v="45.985950000000003"/>
    <n v="-23.4041"/>
    <m/>
    <m/>
  </r>
  <r>
    <s v="MG53517130007001MAM"/>
    <x v="5"/>
    <x v="5"/>
    <m/>
    <x v="3"/>
    <x v="3"/>
    <m/>
    <x v="15"/>
    <x v="15"/>
    <m/>
    <x v="152"/>
    <x v="152"/>
    <m/>
    <x v="899"/>
    <x v="839"/>
    <m/>
    <x v="1000"/>
    <x v="1067"/>
    <m/>
    <x v="2"/>
    <x v="2"/>
    <m/>
    <n v="45.838200000000001"/>
    <n v="-23.505220000000001"/>
    <m/>
    <m/>
  </r>
  <r>
    <s v="MG53517130008001MAM"/>
    <x v="5"/>
    <x v="5"/>
    <m/>
    <x v="3"/>
    <x v="3"/>
    <m/>
    <x v="15"/>
    <x v="15"/>
    <m/>
    <x v="152"/>
    <x v="152"/>
    <m/>
    <x v="900"/>
    <x v="840"/>
    <m/>
    <x v="1001"/>
    <x v="1068"/>
    <m/>
    <x v="2"/>
    <x v="2"/>
    <m/>
    <n v="45.90343"/>
    <n v="-23.507580000000001"/>
    <m/>
    <m/>
  </r>
  <r>
    <s v="MG53517130012001MAM"/>
    <x v="5"/>
    <x v="5"/>
    <m/>
    <x v="3"/>
    <x v="3"/>
    <m/>
    <x v="15"/>
    <x v="15"/>
    <m/>
    <x v="152"/>
    <x v="152"/>
    <m/>
    <x v="809"/>
    <x v="841"/>
    <m/>
    <x v="1002"/>
    <x v="1069"/>
    <m/>
    <x v="2"/>
    <x v="2"/>
    <m/>
    <n v="45.950699999999998"/>
    <n v="-23.617750000000001"/>
    <m/>
    <m/>
  </r>
  <r>
    <s v="MG53517130085001MAM"/>
    <x v="5"/>
    <x v="5"/>
    <m/>
    <x v="3"/>
    <x v="3"/>
    <m/>
    <x v="15"/>
    <x v="15"/>
    <m/>
    <x v="152"/>
    <x v="152"/>
    <m/>
    <x v="499"/>
    <x v="842"/>
    <m/>
    <x v="1003"/>
    <x v="1070"/>
    <m/>
    <x v="2"/>
    <x v="2"/>
    <m/>
    <n v="45.892622000000003"/>
    <n v="-23.564091000000001"/>
    <m/>
    <m/>
  </r>
  <r>
    <s v="MG54511011010001MAM"/>
    <x v="5"/>
    <x v="5"/>
    <m/>
    <x v="3"/>
    <x v="3"/>
    <m/>
    <x v="15"/>
    <x v="15"/>
    <m/>
    <x v="152"/>
    <x v="152"/>
    <m/>
    <x v="255"/>
    <x v="843"/>
    <m/>
    <x v="264"/>
    <x v="1071"/>
    <m/>
    <x v="2"/>
    <x v="2"/>
    <m/>
    <n v="45.88758"/>
    <n v="-23.469799999999999"/>
    <m/>
    <m/>
  </r>
  <r>
    <s v="MG24218010013001MAM"/>
    <x v="5"/>
    <x v="5"/>
    <m/>
    <x v="3"/>
    <x v="3"/>
    <m/>
    <x v="15"/>
    <x v="15"/>
    <m/>
    <x v="153"/>
    <x v="153"/>
    <m/>
    <x v="901"/>
    <x v="844"/>
    <m/>
    <x v="1004"/>
    <x v="1072"/>
    <m/>
    <x v="2"/>
    <x v="2"/>
    <m/>
    <n v="45.423850000000002"/>
    <n v="-23.386970000000002"/>
    <m/>
    <m/>
  </r>
  <r>
    <s v="MG51506090011001MAM"/>
    <x v="5"/>
    <x v="5"/>
    <m/>
    <x v="3"/>
    <x v="3"/>
    <m/>
    <x v="15"/>
    <x v="15"/>
    <m/>
    <x v="153"/>
    <x v="153"/>
    <m/>
    <x v="635"/>
    <x v="845"/>
    <m/>
    <x v="1005"/>
    <x v="1073"/>
    <m/>
    <x v="2"/>
    <x v="2"/>
    <m/>
    <n v="45.452393999999998"/>
    <n v="-23.367182"/>
    <m/>
    <m/>
  </r>
  <r>
    <s v="MG53517310001001MAM"/>
    <x v="5"/>
    <x v="5"/>
    <m/>
    <x v="3"/>
    <x v="3"/>
    <m/>
    <x v="15"/>
    <x v="15"/>
    <m/>
    <x v="153"/>
    <x v="153"/>
    <m/>
    <x v="370"/>
    <x v="846"/>
    <m/>
    <x v="1006"/>
    <x v="1074"/>
    <m/>
    <x v="2"/>
    <x v="2"/>
    <m/>
    <n v="45.4651"/>
    <n v="-23.339680000000001"/>
    <m/>
    <m/>
  </r>
  <r>
    <s v="MG53517310003001MAM"/>
    <x v="5"/>
    <x v="5"/>
    <m/>
    <x v="3"/>
    <x v="3"/>
    <m/>
    <x v="15"/>
    <x v="15"/>
    <m/>
    <x v="153"/>
    <x v="153"/>
    <m/>
    <x v="902"/>
    <x v="847"/>
    <m/>
    <x v="1007"/>
    <x v="1075"/>
    <m/>
    <x v="2"/>
    <x v="2"/>
    <m/>
    <n v="45.433399999999999"/>
    <n v="-23.28593"/>
    <m/>
    <m/>
  </r>
  <r>
    <s v="MG53517310005001MAM"/>
    <x v="5"/>
    <x v="5"/>
    <m/>
    <x v="3"/>
    <x v="3"/>
    <m/>
    <x v="15"/>
    <x v="15"/>
    <m/>
    <x v="153"/>
    <x v="153"/>
    <m/>
    <x v="903"/>
    <x v="848"/>
    <m/>
    <x v="1008"/>
    <x v="1076"/>
    <m/>
    <x v="2"/>
    <x v="2"/>
    <m/>
    <n v="45.532769999999999"/>
    <n v="-23.389620000000001"/>
    <m/>
    <m/>
  </r>
  <r>
    <s v="MG53517310006001MAM"/>
    <x v="5"/>
    <x v="5"/>
    <m/>
    <x v="3"/>
    <x v="3"/>
    <m/>
    <x v="15"/>
    <x v="15"/>
    <m/>
    <x v="153"/>
    <x v="153"/>
    <m/>
    <x v="904"/>
    <x v="849"/>
    <m/>
    <x v="1009"/>
    <x v="1077"/>
    <m/>
    <x v="2"/>
    <x v="2"/>
    <m/>
    <n v="45.486969999999999"/>
    <n v="-23.35342"/>
    <m/>
    <m/>
  </r>
  <r>
    <s v="MG53517310008001MAM"/>
    <x v="5"/>
    <x v="5"/>
    <m/>
    <x v="3"/>
    <x v="3"/>
    <m/>
    <x v="15"/>
    <x v="15"/>
    <m/>
    <x v="153"/>
    <x v="153"/>
    <m/>
    <x v="905"/>
    <x v="850"/>
    <m/>
    <x v="1010"/>
    <x v="1078"/>
    <m/>
    <x v="2"/>
    <x v="2"/>
    <m/>
    <n v="45.401769999999999"/>
    <n v="-23.38353"/>
    <m/>
    <m/>
  </r>
  <r>
    <s v="MG53517310012001MAM"/>
    <x v="5"/>
    <x v="5"/>
    <m/>
    <x v="3"/>
    <x v="3"/>
    <m/>
    <x v="15"/>
    <x v="15"/>
    <m/>
    <x v="153"/>
    <x v="153"/>
    <m/>
    <x v="404"/>
    <x v="851"/>
    <m/>
    <x v="1011"/>
    <x v="1079"/>
    <m/>
    <x v="2"/>
    <x v="2"/>
    <m/>
    <n v="45.501429999999999"/>
    <n v="-23.400279999999999"/>
    <m/>
    <m/>
  </r>
  <r>
    <s v="MG53517310014001MAM"/>
    <x v="5"/>
    <x v="5"/>
    <m/>
    <x v="3"/>
    <x v="3"/>
    <m/>
    <x v="15"/>
    <x v="15"/>
    <m/>
    <x v="153"/>
    <x v="153"/>
    <m/>
    <x v="809"/>
    <x v="852"/>
    <m/>
    <x v="1012"/>
    <x v="1080"/>
    <m/>
    <x v="2"/>
    <x v="2"/>
    <m/>
    <n v="45.372669999999999"/>
    <n v="-23.41385"/>
    <m/>
    <m/>
  </r>
  <r>
    <s v="MG53517310015001MAM"/>
    <x v="5"/>
    <x v="5"/>
    <m/>
    <x v="3"/>
    <x v="3"/>
    <m/>
    <x v="15"/>
    <x v="15"/>
    <m/>
    <x v="153"/>
    <x v="153"/>
    <m/>
    <x v="906"/>
    <x v="853"/>
    <m/>
    <x v="1013"/>
    <x v="1081"/>
    <m/>
    <x v="2"/>
    <x v="2"/>
    <m/>
    <n v="45.423670000000001"/>
    <n v="-23.461300000000001"/>
    <m/>
    <m/>
  </r>
  <r>
    <s v="MG53517310054001MAM"/>
    <x v="5"/>
    <x v="5"/>
    <m/>
    <x v="3"/>
    <x v="3"/>
    <m/>
    <x v="15"/>
    <x v="15"/>
    <m/>
    <x v="153"/>
    <x v="153"/>
    <m/>
    <x v="907"/>
    <x v="854"/>
    <m/>
    <x v="1014"/>
    <x v="1082"/>
    <m/>
    <x v="2"/>
    <x v="2"/>
    <m/>
    <n v="45.479669999999999"/>
    <n v="-23.35652"/>
    <m/>
    <m/>
  </r>
  <r>
    <s v="MG53517310067001MAM"/>
    <x v="5"/>
    <x v="5"/>
    <m/>
    <x v="3"/>
    <x v="3"/>
    <m/>
    <x v="15"/>
    <x v="15"/>
    <m/>
    <x v="153"/>
    <x v="153"/>
    <m/>
    <x v="908"/>
    <x v="855"/>
    <m/>
    <x v="1015"/>
    <x v="1083"/>
    <m/>
    <x v="2"/>
    <x v="2"/>
    <m/>
    <n v="45.437199999999997"/>
    <n v="-23.44415"/>
    <m/>
    <m/>
  </r>
  <r>
    <s v="MG25214230001001MAM"/>
    <x v="0"/>
    <x v="0"/>
    <m/>
    <x v="4"/>
    <x v="4"/>
    <m/>
    <x v="10"/>
    <x v="10"/>
    <m/>
    <x v="154"/>
    <x v="154"/>
    <m/>
    <x v="909"/>
    <x v="856"/>
    <m/>
    <x v="1016"/>
    <x v="1084"/>
    <m/>
    <x v="2"/>
    <x v="2"/>
    <m/>
    <n v="47.442450000000001"/>
    <n v="-23.083100000000002"/>
    <m/>
    <m/>
  </r>
  <r>
    <s v="MG51507250008001MAM"/>
    <x v="5"/>
    <x v="5"/>
    <m/>
    <x v="3"/>
    <x v="3"/>
    <m/>
    <x v="4"/>
    <x v="4"/>
    <m/>
    <x v="11"/>
    <x v="11"/>
    <m/>
    <x v="910"/>
    <x v="857"/>
    <m/>
    <x v="1017"/>
    <x v="1085"/>
    <m/>
    <x v="2"/>
    <x v="2"/>
    <m/>
    <n v="46.132793999999997"/>
    <n v="-24.816690999999999"/>
    <m/>
    <m/>
  </r>
  <r>
    <s v="MG52518251004001MAM"/>
    <x v="5"/>
    <x v="5"/>
    <m/>
    <x v="3"/>
    <x v="3"/>
    <m/>
    <x v="4"/>
    <x v="4"/>
    <m/>
    <x v="11"/>
    <x v="11"/>
    <m/>
    <x v="9"/>
    <x v="858"/>
    <m/>
    <x v="1018"/>
    <x v="1086"/>
    <m/>
    <x v="2"/>
    <x v="2"/>
    <m/>
    <n v="46.195601000000003"/>
    <n v="-24.857468000000001"/>
    <m/>
    <m/>
  </r>
  <r>
    <s v="MG53519090001002MAM"/>
    <x v="5"/>
    <x v="5"/>
    <m/>
    <x v="3"/>
    <x v="3"/>
    <m/>
    <x v="4"/>
    <x v="4"/>
    <m/>
    <x v="11"/>
    <x v="11"/>
    <m/>
    <x v="81"/>
    <x v="84"/>
    <m/>
    <x v="1019"/>
    <x v="1087"/>
    <m/>
    <x v="2"/>
    <x v="2"/>
    <m/>
    <n v="46.132550000000002"/>
    <n v="-24.79158"/>
    <m/>
    <m/>
  </r>
  <r>
    <s v="MG53519090008002MAM"/>
    <x v="5"/>
    <x v="5"/>
    <m/>
    <x v="3"/>
    <x v="3"/>
    <m/>
    <x v="4"/>
    <x v="4"/>
    <m/>
    <x v="11"/>
    <x v="11"/>
    <m/>
    <x v="82"/>
    <x v="85"/>
    <m/>
    <x v="1020"/>
    <x v="1088"/>
    <m/>
    <x v="2"/>
    <x v="2"/>
    <m/>
    <n v="46.058880000000002"/>
    <n v="-24.80855"/>
    <m/>
    <m/>
  </r>
  <r>
    <s v="MG53519090002001MAM"/>
    <x v="5"/>
    <x v="5"/>
    <m/>
    <x v="3"/>
    <x v="3"/>
    <m/>
    <x v="4"/>
    <x v="4"/>
    <m/>
    <x v="11"/>
    <x v="11"/>
    <m/>
    <x v="345"/>
    <x v="859"/>
    <m/>
    <x v="1021"/>
    <x v="1089"/>
    <m/>
    <x v="2"/>
    <x v="2"/>
    <m/>
    <n v="46.166820000000001"/>
    <n v="-24.958842000000001"/>
    <m/>
    <m/>
  </r>
  <r>
    <s v="MG53519090007001MAM"/>
    <x v="5"/>
    <x v="5"/>
    <m/>
    <x v="3"/>
    <x v="3"/>
    <m/>
    <x v="4"/>
    <x v="4"/>
    <m/>
    <x v="11"/>
    <x v="11"/>
    <m/>
    <x v="157"/>
    <x v="860"/>
    <m/>
    <x v="1022"/>
    <x v="1090"/>
    <m/>
    <x v="2"/>
    <x v="2"/>
    <m/>
    <n v="46.052680000000002"/>
    <n v="-24.77467"/>
    <m/>
    <m/>
  </r>
  <r>
    <s v="MG53519090009002MAM"/>
    <x v="5"/>
    <x v="5"/>
    <m/>
    <x v="3"/>
    <x v="3"/>
    <m/>
    <x v="4"/>
    <x v="4"/>
    <m/>
    <x v="11"/>
    <x v="11"/>
    <m/>
    <x v="83"/>
    <x v="86"/>
    <m/>
    <x v="1023"/>
    <x v="1091"/>
    <m/>
    <x v="2"/>
    <x v="2"/>
    <m/>
    <n v="46.117800000000003"/>
    <n v="-24.806719999999999"/>
    <m/>
    <m/>
  </r>
  <r>
    <s v="MG53519090011001MAM"/>
    <x v="5"/>
    <x v="5"/>
    <m/>
    <x v="3"/>
    <x v="3"/>
    <m/>
    <x v="4"/>
    <x v="4"/>
    <m/>
    <x v="11"/>
    <x v="11"/>
    <m/>
    <x v="911"/>
    <x v="861"/>
    <m/>
    <x v="1024"/>
    <x v="1092"/>
    <m/>
    <x v="2"/>
    <x v="2"/>
    <m/>
    <n v="46.167149999999999"/>
    <n v="-24.82077"/>
    <m/>
    <m/>
  </r>
  <r>
    <s v="MG53519090015001MAM"/>
    <x v="5"/>
    <x v="5"/>
    <m/>
    <x v="3"/>
    <x v="3"/>
    <m/>
    <x v="4"/>
    <x v="4"/>
    <m/>
    <x v="11"/>
    <x v="11"/>
    <m/>
    <x v="912"/>
    <x v="862"/>
    <m/>
    <x v="1025"/>
    <x v="1093"/>
    <m/>
    <x v="2"/>
    <x v="2"/>
    <m/>
    <n v="46.331180000000003"/>
    <n v="-24.51127"/>
    <m/>
    <m/>
  </r>
  <r>
    <s v="MG53519090017001MAM"/>
    <x v="5"/>
    <x v="5"/>
    <m/>
    <x v="3"/>
    <x v="3"/>
    <m/>
    <x v="4"/>
    <x v="4"/>
    <m/>
    <x v="11"/>
    <x v="11"/>
    <m/>
    <x v="158"/>
    <x v="863"/>
    <m/>
    <x v="163"/>
    <x v="1094"/>
    <m/>
    <x v="2"/>
    <x v="2"/>
    <m/>
    <n v="46.148119999999999"/>
    <n v="-24.94537"/>
    <m/>
    <m/>
  </r>
  <r>
    <s v="MG53519090057001MAM"/>
    <x v="5"/>
    <x v="5"/>
    <m/>
    <x v="3"/>
    <x v="3"/>
    <m/>
    <x v="4"/>
    <x v="4"/>
    <m/>
    <x v="11"/>
    <x v="11"/>
    <m/>
    <x v="913"/>
    <x v="864"/>
    <m/>
    <x v="1026"/>
    <x v="1095"/>
    <m/>
    <x v="2"/>
    <x v="2"/>
    <m/>
    <n v="46.109650000000002"/>
    <n v="-24.791350000000001"/>
    <m/>
    <m/>
  </r>
  <r>
    <s v="MG23212090004001MAM"/>
    <x v="0"/>
    <x v="0"/>
    <m/>
    <x v="4"/>
    <x v="4"/>
    <m/>
    <x v="11"/>
    <x v="11"/>
    <m/>
    <x v="155"/>
    <x v="155"/>
    <m/>
    <x v="914"/>
    <x v="865"/>
    <m/>
    <x v="1027"/>
    <x v="1096"/>
    <m/>
    <x v="2"/>
    <x v="2"/>
    <m/>
    <n v="47.577449999999999"/>
    <n v="-23.049769999999999"/>
    <m/>
    <m/>
  </r>
  <r>
    <s v="MG25213551001001MAM"/>
    <x v="0"/>
    <x v="0"/>
    <m/>
    <x v="4"/>
    <x v="4"/>
    <m/>
    <x v="11"/>
    <x v="11"/>
    <m/>
    <x v="155"/>
    <x v="155"/>
    <m/>
    <x v="915"/>
    <x v="866"/>
    <m/>
    <x v="1028"/>
    <x v="1097"/>
    <m/>
    <x v="2"/>
    <x v="2"/>
    <m/>
    <n v="47.531619999999997"/>
    <n v="-23.00525"/>
    <m/>
    <m/>
  </r>
  <r>
    <s v="MG23210190005001MAM"/>
    <x v="0"/>
    <x v="0"/>
    <m/>
    <x v="0"/>
    <x v="0"/>
    <m/>
    <x v="14"/>
    <x v="14"/>
    <m/>
    <x v="156"/>
    <x v="156"/>
    <m/>
    <x v="916"/>
    <x v="867"/>
    <m/>
    <x v="1029"/>
    <x v="1098"/>
    <m/>
    <x v="2"/>
    <x v="2"/>
    <m/>
    <n v="47.354100000000003"/>
    <n v="-21.855250000000002"/>
    <m/>
    <m/>
  </r>
  <r>
    <s v="MG23211011003001MAM"/>
    <x v="0"/>
    <x v="0"/>
    <m/>
    <x v="0"/>
    <x v="0"/>
    <m/>
    <x v="14"/>
    <x v="14"/>
    <m/>
    <x v="156"/>
    <x v="156"/>
    <m/>
    <x v="823"/>
    <x v="868"/>
    <m/>
    <x v="1030"/>
    <x v="1099"/>
    <m/>
    <x v="2"/>
    <x v="2"/>
    <m/>
    <n v="47.588749999999997"/>
    <n v="-23.111049999999999"/>
    <m/>
    <m/>
  </r>
  <r>
    <s v="MG23211011007001MAM"/>
    <x v="0"/>
    <x v="0"/>
    <m/>
    <x v="0"/>
    <x v="0"/>
    <m/>
    <x v="14"/>
    <x v="14"/>
    <m/>
    <x v="156"/>
    <x v="156"/>
    <m/>
    <x v="917"/>
    <x v="869"/>
    <m/>
    <x v="1031"/>
    <x v="1100"/>
    <m/>
    <x v="2"/>
    <x v="2"/>
    <m/>
    <n v="47.452629999999999"/>
    <n v="-21.864229999999999"/>
    <m/>
    <m/>
  </r>
  <r>
    <s v="MG23211011009001MAM"/>
    <x v="0"/>
    <x v="0"/>
    <m/>
    <x v="0"/>
    <x v="0"/>
    <m/>
    <x v="14"/>
    <x v="14"/>
    <m/>
    <x v="156"/>
    <x v="156"/>
    <m/>
    <x v="918"/>
    <x v="870"/>
    <m/>
    <x v="1032"/>
    <x v="1101"/>
    <m/>
    <x v="2"/>
    <x v="2"/>
    <m/>
    <n v="47.395479999999999"/>
    <n v="-21.860420000000001"/>
    <m/>
    <m/>
  </r>
  <r>
    <s v="MG23211011010001MAM"/>
    <x v="0"/>
    <x v="0"/>
    <m/>
    <x v="0"/>
    <x v="0"/>
    <m/>
    <x v="14"/>
    <x v="14"/>
    <m/>
    <x v="156"/>
    <x v="156"/>
    <m/>
    <x v="919"/>
    <x v="871"/>
    <m/>
    <x v="1033"/>
    <x v="1102"/>
    <m/>
    <x v="2"/>
    <x v="2"/>
    <m/>
    <n v="47.416679999999999"/>
    <n v="-21.86825"/>
    <m/>
    <m/>
  </r>
  <r>
    <s v="MG23211011011001MAM"/>
    <x v="0"/>
    <x v="0"/>
    <m/>
    <x v="0"/>
    <x v="0"/>
    <m/>
    <x v="14"/>
    <x v="14"/>
    <m/>
    <x v="156"/>
    <x v="156"/>
    <m/>
    <x v="920"/>
    <x v="872"/>
    <m/>
    <x v="1034"/>
    <x v="1103"/>
    <m/>
    <x v="2"/>
    <x v="2"/>
    <m/>
    <n v="47.433720000000001"/>
    <n v="-21.8614"/>
    <m/>
    <m/>
  </r>
  <r>
    <s v="MG23211011012001MAM"/>
    <x v="0"/>
    <x v="0"/>
    <m/>
    <x v="0"/>
    <x v="0"/>
    <m/>
    <x v="14"/>
    <x v="14"/>
    <m/>
    <x v="156"/>
    <x v="156"/>
    <m/>
    <x v="921"/>
    <x v="873"/>
    <m/>
    <x v="1035"/>
    <x v="1104"/>
    <m/>
    <x v="2"/>
    <x v="2"/>
    <m/>
    <n v="47.453870000000002"/>
    <n v="-21.861329999999999"/>
    <m/>
    <m/>
  </r>
  <r>
    <s v="MG23211011016001MAM"/>
    <x v="0"/>
    <x v="0"/>
    <m/>
    <x v="0"/>
    <x v="0"/>
    <m/>
    <x v="14"/>
    <x v="14"/>
    <m/>
    <x v="156"/>
    <x v="156"/>
    <m/>
    <x v="922"/>
    <x v="874"/>
    <m/>
    <x v="1036"/>
    <x v="1105"/>
    <m/>
    <x v="2"/>
    <x v="2"/>
    <m/>
    <n v="47.439399999999999"/>
    <n v="-21.879930000000002"/>
    <m/>
    <m/>
  </r>
  <r>
    <s v="MG23211011020001MAM"/>
    <x v="0"/>
    <x v="0"/>
    <m/>
    <x v="0"/>
    <x v="0"/>
    <m/>
    <x v="14"/>
    <x v="14"/>
    <m/>
    <x v="156"/>
    <x v="156"/>
    <m/>
    <x v="923"/>
    <x v="875"/>
    <m/>
    <x v="1037"/>
    <x v="1106"/>
    <m/>
    <x v="2"/>
    <x v="2"/>
    <m/>
    <n v="47.450530000000001"/>
    <n v="-21.888120000000001"/>
    <m/>
    <m/>
  </r>
  <r>
    <s v="MG23211011029001MAM"/>
    <x v="0"/>
    <x v="0"/>
    <m/>
    <x v="0"/>
    <x v="0"/>
    <m/>
    <x v="14"/>
    <x v="14"/>
    <m/>
    <x v="156"/>
    <x v="156"/>
    <m/>
    <x v="924"/>
    <x v="876"/>
    <m/>
    <x v="1038"/>
    <x v="1107"/>
    <m/>
    <x v="2"/>
    <x v="2"/>
    <m/>
    <n v="47.467750000000002"/>
    <n v="-21.915980000000001"/>
    <m/>
    <m/>
  </r>
  <r>
    <s v="MG23211011030001MAM"/>
    <x v="0"/>
    <x v="0"/>
    <m/>
    <x v="0"/>
    <x v="0"/>
    <m/>
    <x v="14"/>
    <x v="14"/>
    <m/>
    <x v="156"/>
    <x v="156"/>
    <m/>
    <x v="925"/>
    <x v="877"/>
    <m/>
    <x v="1039"/>
    <x v="1108"/>
    <m/>
    <x v="2"/>
    <x v="2"/>
    <m/>
    <n v="47.449469999999998"/>
    <n v="-21.91968"/>
    <m/>
    <m/>
  </r>
  <r>
    <s v="MG23211011031001MAM"/>
    <x v="0"/>
    <x v="0"/>
    <m/>
    <x v="0"/>
    <x v="0"/>
    <m/>
    <x v="14"/>
    <x v="14"/>
    <m/>
    <x v="156"/>
    <x v="156"/>
    <m/>
    <x v="926"/>
    <x v="878"/>
    <m/>
    <x v="1040"/>
    <x v="1109"/>
    <m/>
    <x v="2"/>
    <x v="2"/>
    <m/>
    <n v="47.49738"/>
    <n v="-21.95635"/>
    <m/>
    <m/>
  </r>
  <r>
    <s v="MG23A21101108001MAM"/>
    <x v="0"/>
    <x v="0"/>
    <m/>
    <x v="0"/>
    <x v="0"/>
    <m/>
    <x v="14"/>
    <x v="14"/>
    <m/>
    <x v="156"/>
    <x v="156"/>
    <m/>
    <x v="927"/>
    <x v="879"/>
    <m/>
    <x v="1041"/>
    <x v="1110"/>
    <m/>
    <x v="2"/>
    <x v="2"/>
    <m/>
    <n v="47.382779999999997"/>
    <n v="-21.894279999999998"/>
    <m/>
    <m/>
  </r>
  <r>
    <s v="MG25213210008001MAM"/>
    <x v="0"/>
    <x v="0"/>
    <m/>
    <x v="0"/>
    <x v="0"/>
    <m/>
    <x v="14"/>
    <x v="14"/>
    <m/>
    <x v="156"/>
    <x v="156"/>
    <m/>
    <x v="928"/>
    <x v="880"/>
    <m/>
    <x v="1042"/>
    <x v="1111"/>
    <m/>
    <x v="2"/>
    <x v="2"/>
    <m/>
    <n v="47.68085"/>
    <n v="-22.919630000000002"/>
    <m/>
    <m/>
  </r>
  <r>
    <s v="MG25214171015001MAM"/>
    <x v="0"/>
    <x v="0"/>
    <m/>
    <x v="0"/>
    <x v="0"/>
    <m/>
    <x v="14"/>
    <x v="14"/>
    <m/>
    <x v="156"/>
    <x v="156"/>
    <m/>
    <x v="929"/>
    <x v="881"/>
    <m/>
    <x v="1043"/>
    <x v="1112"/>
    <m/>
    <x v="2"/>
    <x v="2"/>
    <m/>
    <n v="47.421384000000003"/>
    <n v="-21.883123999999999"/>
    <m/>
    <m/>
  </r>
  <r>
    <s v="MG33313194001001MAM"/>
    <x v="0"/>
    <x v="0"/>
    <m/>
    <x v="0"/>
    <x v="0"/>
    <m/>
    <x v="14"/>
    <x v="14"/>
    <m/>
    <x v="156"/>
    <x v="156"/>
    <m/>
    <x v="930"/>
    <x v="882"/>
    <m/>
    <x v="1044"/>
    <x v="1113"/>
    <m/>
    <x v="2"/>
    <x v="2"/>
    <m/>
    <n v="47.483370000000001"/>
    <n v="-21.880549999999999"/>
    <m/>
    <m/>
  </r>
  <r>
    <s v="MG52516190001001MAM"/>
    <x v="5"/>
    <x v="5"/>
    <m/>
    <x v="2"/>
    <x v="2"/>
    <m/>
    <x v="6"/>
    <x v="6"/>
    <m/>
    <x v="157"/>
    <x v="157"/>
    <m/>
    <x v="931"/>
    <x v="883"/>
    <m/>
    <x v="1045"/>
    <x v="1114"/>
    <m/>
    <x v="2"/>
    <x v="2"/>
    <m/>
    <n v="45.823270000000001"/>
    <n v="-24.435269999999999"/>
    <m/>
    <m/>
  </r>
  <r>
    <s v="MG52516190008001MAM"/>
    <x v="5"/>
    <x v="5"/>
    <m/>
    <x v="2"/>
    <x v="2"/>
    <m/>
    <x v="6"/>
    <x v="6"/>
    <m/>
    <x v="157"/>
    <x v="157"/>
    <m/>
    <x v="932"/>
    <x v="884"/>
    <m/>
    <x v="1046"/>
    <x v="1115"/>
    <m/>
    <x v="2"/>
    <x v="2"/>
    <m/>
    <n v="45.350769999999997"/>
    <n v="-25.04448"/>
    <m/>
    <m/>
  </r>
  <r>
    <s v="MG52516190009001MAM"/>
    <x v="5"/>
    <x v="5"/>
    <m/>
    <x v="2"/>
    <x v="2"/>
    <m/>
    <x v="6"/>
    <x v="6"/>
    <m/>
    <x v="157"/>
    <x v="157"/>
    <m/>
    <x v="933"/>
    <x v="885"/>
    <m/>
    <x v="1047"/>
    <x v="1116"/>
    <m/>
    <x v="2"/>
    <x v="2"/>
    <m/>
    <n v="45.856549999999999"/>
    <n v="-24.394120000000001"/>
    <m/>
    <m/>
  </r>
  <r>
    <s v="MG52516190011001MAM"/>
    <x v="5"/>
    <x v="5"/>
    <m/>
    <x v="2"/>
    <x v="2"/>
    <m/>
    <x v="6"/>
    <x v="6"/>
    <m/>
    <x v="157"/>
    <x v="157"/>
    <m/>
    <x v="934"/>
    <x v="886"/>
    <m/>
    <x v="1048"/>
    <x v="1117"/>
    <m/>
    <x v="2"/>
    <x v="2"/>
    <m/>
    <n v="45.83155"/>
    <n v="-24.418050000000001"/>
    <m/>
    <m/>
  </r>
  <r>
    <s v="MG53515115007001MAM"/>
    <x v="5"/>
    <x v="5"/>
    <m/>
    <x v="2"/>
    <x v="2"/>
    <m/>
    <x v="6"/>
    <x v="6"/>
    <m/>
    <x v="157"/>
    <x v="157"/>
    <m/>
    <x v="935"/>
    <x v="887"/>
    <m/>
    <x v="1049"/>
    <x v="1118"/>
    <m/>
    <x v="2"/>
    <x v="2"/>
    <m/>
    <n v="46.548520000000003"/>
    <n v="-25.171849999999999"/>
    <m/>
    <m/>
  </r>
  <r>
    <s v="MG53515115072001MAM"/>
    <x v="5"/>
    <x v="5"/>
    <m/>
    <x v="2"/>
    <x v="2"/>
    <m/>
    <x v="6"/>
    <x v="6"/>
    <m/>
    <x v="157"/>
    <x v="157"/>
    <m/>
    <x v="936"/>
    <x v="888"/>
    <m/>
    <x v="1050"/>
    <x v="1119"/>
    <m/>
    <x v="2"/>
    <x v="2"/>
    <m/>
    <n v="45.917769999999997"/>
    <n v="-24.542819999999999"/>
    <m/>
    <m/>
  </r>
  <r>
    <s v="MG25222051003001MAM"/>
    <x v="0"/>
    <x v="0"/>
    <m/>
    <x v="4"/>
    <x v="4"/>
    <m/>
    <x v="19"/>
    <x v="18"/>
    <m/>
    <x v="158"/>
    <x v="158"/>
    <m/>
    <x v="937"/>
    <x v="889"/>
    <m/>
    <x v="1051"/>
    <x v="1120"/>
    <m/>
    <x v="2"/>
    <x v="2"/>
    <m/>
    <n v="46.820630000000001"/>
    <n v="-23.838480000000001"/>
    <m/>
    <m/>
  </r>
  <r>
    <s v="MG24218050006001MAM"/>
    <x v="5"/>
    <x v="5"/>
    <m/>
    <x v="3"/>
    <x v="3"/>
    <m/>
    <x v="15"/>
    <x v="15"/>
    <m/>
    <x v="159"/>
    <x v="159"/>
    <m/>
    <x v="938"/>
    <x v="890"/>
    <m/>
    <x v="1052"/>
    <x v="1121"/>
    <m/>
    <x v="2"/>
    <x v="2"/>
    <m/>
    <n v="45.647680000000001"/>
    <n v="-23.863600000000002"/>
    <m/>
    <m/>
  </r>
  <r>
    <s v="MG51507030002001MAM"/>
    <x v="5"/>
    <x v="5"/>
    <m/>
    <x v="3"/>
    <x v="3"/>
    <m/>
    <x v="15"/>
    <x v="15"/>
    <m/>
    <x v="159"/>
    <x v="159"/>
    <m/>
    <x v="634"/>
    <x v="891"/>
    <m/>
    <x v="1053"/>
    <x v="1122"/>
    <m/>
    <x v="2"/>
    <x v="2"/>
    <m/>
    <n v="45.657963000000002"/>
    <n v="-23.810119"/>
    <m/>
    <m/>
  </r>
  <r>
    <s v="MG53517291001001MAM"/>
    <x v="5"/>
    <x v="5"/>
    <m/>
    <x v="3"/>
    <x v="3"/>
    <m/>
    <x v="15"/>
    <x v="15"/>
    <m/>
    <x v="159"/>
    <x v="159"/>
    <m/>
    <x v="939"/>
    <x v="892"/>
    <m/>
    <x v="1054"/>
    <x v="1123"/>
    <m/>
    <x v="2"/>
    <x v="2"/>
    <m/>
    <n v="45.702779999999997"/>
    <n v="-23.83005"/>
    <m/>
    <m/>
  </r>
  <r>
    <s v="MG53517291002001MAM"/>
    <x v="5"/>
    <x v="5"/>
    <m/>
    <x v="3"/>
    <x v="3"/>
    <m/>
    <x v="15"/>
    <x v="15"/>
    <m/>
    <x v="159"/>
    <x v="159"/>
    <m/>
    <x v="940"/>
    <x v="893"/>
    <m/>
    <x v="1055"/>
    <x v="1124"/>
    <m/>
    <x v="2"/>
    <x v="2"/>
    <m/>
    <n v="45.711869999999998"/>
    <n v="-23.825700000000001"/>
    <m/>
    <m/>
  </r>
  <r>
    <s v="MG53517291003001MAM"/>
    <x v="5"/>
    <x v="5"/>
    <m/>
    <x v="3"/>
    <x v="3"/>
    <m/>
    <x v="15"/>
    <x v="15"/>
    <m/>
    <x v="159"/>
    <x v="159"/>
    <m/>
    <x v="941"/>
    <x v="894"/>
    <m/>
    <x v="1056"/>
    <x v="1125"/>
    <m/>
    <x v="2"/>
    <x v="2"/>
    <m/>
    <n v="45.68233"/>
    <n v="-23.808399999999999"/>
    <m/>
    <m/>
  </r>
  <r>
    <s v="MG53517291004001MAM"/>
    <x v="5"/>
    <x v="5"/>
    <m/>
    <x v="3"/>
    <x v="3"/>
    <m/>
    <x v="15"/>
    <x v="15"/>
    <m/>
    <x v="159"/>
    <x v="159"/>
    <m/>
    <x v="942"/>
    <x v="895"/>
    <m/>
    <x v="1057"/>
    <x v="1126"/>
    <m/>
    <x v="2"/>
    <x v="2"/>
    <m/>
    <n v="45.667279999999998"/>
    <n v="-23.761869999999998"/>
    <m/>
    <m/>
  </r>
  <r>
    <s v="MG53517291006001MAM"/>
    <x v="5"/>
    <x v="5"/>
    <m/>
    <x v="3"/>
    <x v="3"/>
    <m/>
    <x v="15"/>
    <x v="15"/>
    <m/>
    <x v="159"/>
    <x v="159"/>
    <m/>
    <x v="943"/>
    <x v="896"/>
    <m/>
    <x v="1058"/>
    <x v="1127"/>
    <m/>
    <x v="2"/>
    <x v="2"/>
    <m/>
    <n v="45.668080000000003"/>
    <n v="-23.79485"/>
    <m/>
    <m/>
  </r>
  <r>
    <s v="MG53517291009001MAM"/>
    <x v="5"/>
    <x v="5"/>
    <m/>
    <x v="3"/>
    <x v="3"/>
    <m/>
    <x v="15"/>
    <x v="15"/>
    <m/>
    <x v="159"/>
    <x v="159"/>
    <m/>
    <x v="944"/>
    <x v="897"/>
    <m/>
    <x v="1059"/>
    <x v="1128"/>
    <m/>
    <x v="2"/>
    <x v="2"/>
    <m/>
    <n v="45.760170000000002"/>
    <n v="-25.37115"/>
    <m/>
    <m/>
  </r>
  <r>
    <s v="MG53517291011001MAM"/>
    <x v="5"/>
    <x v="5"/>
    <m/>
    <x v="3"/>
    <x v="3"/>
    <m/>
    <x v="15"/>
    <x v="15"/>
    <m/>
    <x v="159"/>
    <x v="159"/>
    <m/>
    <x v="945"/>
    <x v="898"/>
    <m/>
    <x v="1060"/>
    <x v="1129"/>
    <m/>
    <x v="2"/>
    <x v="2"/>
    <m/>
    <n v="45.755650000000003"/>
    <n v="-23.899519999999999"/>
    <m/>
    <m/>
  </r>
  <r>
    <s v="MG53517291035001MAM"/>
    <x v="5"/>
    <x v="5"/>
    <m/>
    <x v="3"/>
    <x v="3"/>
    <m/>
    <x v="15"/>
    <x v="15"/>
    <m/>
    <x v="159"/>
    <x v="159"/>
    <m/>
    <x v="34"/>
    <x v="899"/>
    <m/>
    <x v="1061"/>
    <x v="1130"/>
    <m/>
    <x v="2"/>
    <x v="2"/>
    <m/>
    <n v="45.637619999999998"/>
    <n v="-23.896629999999998"/>
    <m/>
    <m/>
  </r>
  <r>
    <s v="MG53517291056001MAM"/>
    <x v="5"/>
    <x v="5"/>
    <m/>
    <x v="3"/>
    <x v="3"/>
    <m/>
    <x v="15"/>
    <x v="15"/>
    <m/>
    <x v="159"/>
    <x v="159"/>
    <m/>
    <x v="813"/>
    <x v="900"/>
    <m/>
    <x v="1062"/>
    <x v="1131"/>
    <m/>
    <x v="2"/>
    <x v="2"/>
    <m/>
    <n v="45.360419999999998"/>
    <n v="-24.648530000000001"/>
    <m/>
    <m/>
  </r>
  <r>
    <s v="MG53517291067001MAM"/>
    <x v="5"/>
    <x v="5"/>
    <m/>
    <x v="3"/>
    <x v="3"/>
    <m/>
    <x v="15"/>
    <x v="15"/>
    <m/>
    <x v="159"/>
    <x v="159"/>
    <m/>
    <x v="134"/>
    <x v="901"/>
    <m/>
    <x v="1063"/>
    <x v="1132"/>
    <m/>
    <x v="2"/>
    <x v="2"/>
    <m/>
    <n v="45.739429999999999"/>
    <n v="-23.835149999999999"/>
    <m/>
    <m/>
  </r>
  <r>
    <s v="MG53517291084001MAM"/>
    <x v="5"/>
    <x v="5"/>
    <m/>
    <x v="3"/>
    <x v="3"/>
    <m/>
    <x v="15"/>
    <x v="15"/>
    <m/>
    <x v="159"/>
    <x v="159"/>
    <m/>
    <x v="946"/>
    <x v="902"/>
    <m/>
    <x v="1064"/>
    <x v="1133"/>
    <m/>
    <x v="2"/>
    <x v="2"/>
    <m/>
    <n v="45.702779999999997"/>
    <n v="-23.83005"/>
    <m/>
    <m/>
  </r>
  <r>
    <s v="MG53517291099001MAM"/>
    <x v="5"/>
    <x v="5"/>
    <m/>
    <x v="3"/>
    <x v="3"/>
    <m/>
    <x v="15"/>
    <x v="15"/>
    <m/>
    <x v="159"/>
    <x v="159"/>
    <m/>
    <x v="947"/>
    <x v="903"/>
    <m/>
    <x v="1065"/>
    <x v="1134"/>
    <m/>
    <x v="2"/>
    <x v="2"/>
    <m/>
    <n v="45.713549999999998"/>
    <n v="-23.850930000000002"/>
    <m/>
    <m/>
  </r>
  <r>
    <s v="MG51507310034001MAM"/>
    <x v="1"/>
    <x v="1"/>
    <m/>
    <x v="1"/>
    <x v="1"/>
    <m/>
    <x v="1"/>
    <x v="1"/>
    <m/>
    <x v="12"/>
    <x v="12"/>
    <m/>
    <x v="84"/>
    <x v="87"/>
    <m/>
    <x v="1066"/>
    <x v="1135"/>
    <m/>
    <x v="2"/>
    <x v="2"/>
    <m/>
    <n v="44.026620000000001"/>
    <n v="-24.862480000000001"/>
    <m/>
    <m/>
  </r>
  <r>
    <s v="MG51507310019001MAM"/>
    <x v="1"/>
    <x v="1"/>
    <m/>
    <x v="1"/>
    <x v="1"/>
    <m/>
    <x v="1"/>
    <x v="1"/>
    <m/>
    <x v="12"/>
    <x v="12"/>
    <m/>
    <x v="605"/>
    <x v="904"/>
    <m/>
    <x v="1067"/>
    <x v="1136"/>
    <m/>
    <x v="2"/>
    <x v="2"/>
    <m/>
    <n v="43.767524000000002"/>
    <n v="-24.423687000000001"/>
    <m/>
    <m/>
  </r>
  <r>
    <s v="MG51507310032001MAM"/>
    <x v="1"/>
    <x v="1"/>
    <m/>
    <x v="1"/>
    <x v="1"/>
    <m/>
    <x v="1"/>
    <x v="1"/>
    <m/>
    <x v="12"/>
    <x v="12"/>
    <m/>
    <x v="100"/>
    <x v="905"/>
    <m/>
    <x v="1068"/>
    <x v="1137"/>
    <m/>
    <x v="2"/>
    <x v="2"/>
    <m/>
    <n v="44.020769999999999"/>
    <n v="-24.837050000000001"/>
    <m/>
    <m/>
  </r>
  <r>
    <s v="MG51507310070001MAM"/>
    <x v="1"/>
    <x v="1"/>
    <m/>
    <x v="1"/>
    <x v="1"/>
    <m/>
    <x v="1"/>
    <x v="1"/>
    <m/>
    <x v="12"/>
    <x v="12"/>
    <m/>
    <x v="96"/>
    <x v="906"/>
    <m/>
    <x v="1069"/>
    <x v="1138"/>
    <m/>
    <x v="2"/>
    <x v="2"/>
    <m/>
    <n v="43.969580000000001"/>
    <n v="-24.790780000000002"/>
    <m/>
    <m/>
  </r>
  <r>
    <s v="MG51507310081001MAM"/>
    <x v="1"/>
    <x v="1"/>
    <m/>
    <x v="1"/>
    <x v="1"/>
    <m/>
    <x v="1"/>
    <x v="1"/>
    <m/>
    <x v="12"/>
    <x v="12"/>
    <m/>
    <x v="95"/>
    <x v="907"/>
    <m/>
    <x v="1070"/>
    <x v="1139"/>
    <m/>
    <x v="2"/>
    <x v="2"/>
    <m/>
    <n v="43.944130000000001"/>
    <n v="-24.686170000000001"/>
    <m/>
    <m/>
  </r>
  <r>
    <s v="MG51507310083001MAM"/>
    <x v="1"/>
    <x v="1"/>
    <m/>
    <x v="1"/>
    <x v="1"/>
    <m/>
    <x v="1"/>
    <x v="1"/>
    <m/>
    <x v="12"/>
    <x v="12"/>
    <m/>
    <x v="948"/>
    <x v="908"/>
    <m/>
    <x v="1071"/>
    <x v="1140"/>
    <m/>
    <x v="2"/>
    <x v="2"/>
    <m/>
    <n v="44.002029999999998"/>
    <n v="-24.827780000000001"/>
    <m/>
    <m/>
  </r>
  <r>
    <s v="MG51507310084001MAM"/>
    <x v="1"/>
    <x v="1"/>
    <m/>
    <x v="1"/>
    <x v="1"/>
    <m/>
    <x v="1"/>
    <x v="1"/>
    <m/>
    <x v="12"/>
    <x v="12"/>
    <m/>
    <x v="949"/>
    <x v="909"/>
    <m/>
    <x v="1072"/>
    <x v="1141"/>
    <m/>
    <x v="2"/>
    <x v="2"/>
    <m/>
    <n v="43.961150000000004"/>
    <n v="-24.760269999999998"/>
    <m/>
    <m/>
  </r>
  <r>
    <s v="MG51507310085001MAM"/>
    <x v="1"/>
    <x v="1"/>
    <m/>
    <x v="1"/>
    <x v="1"/>
    <m/>
    <x v="1"/>
    <x v="1"/>
    <m/>
    <x v="12"/>
    <x v="12"/>
    <m/>
    <x v="950"/>
    <x v="910"/>
    <m/>
    <x v="1073"/>
    <x v="1142"/>
    <m/>
    <x v="2"/>
    <x v="2"/>
    <m/>
    <n v="43.994419999999998"/>
    <n v="-24.808579999999999"/>
    <m/>
    <m/>
  </r>
  <r>
    <s v="MG51507310095001MAM"/>
    <x v="1"/>
    <x v="1"/>
    <m/>
    <x v="1"/>
    <x v="1"/>
    <m/>
    <x v="1"/>
    <x v="1"/>
    <m/>
    <x v="12"/>
    <x v="12"/>
    <m/>
    <x v="951"/>
    <x v="911"/>
    <m/>
    <x v="1074"/>
    <x v="1143"/>
    <m/>
    <x v="2"/>
    <x v="2"/>
    <m/>
    <n v="43.843699999999998"/>
    <n v="-24.498999999999999"/>
    <m/>
    <m/>
  </r>
  <r>
    <s v="MG51507310096001MAM"/>
    <x v="1"/>
    <x v="1"/>
    <m/>
    <x v="1"/>
    <x v="1"/>
    <m/>
    <x v="1"/>
    <x v="1"/>
    <m/>
    <x v="12"/>
    <x v="12"/>
    <m/>
    <x v="952"/>
    <x v="912"/>
    <m/>
    <x v="1075"/>
    <x v="1144"/>
    <m/>
    <x v="2"/>
    <x v="2"/>
    <m/>
    <n v="44.032620000000001"/>
    <n v="-24.836829999999999"/>
    <m/>
    <m/>
  </r>
  <r>
    <s v="MG51507310098001MAM"/>
    <x v="1"/>
    <x v="1"/>
    <m/>
    <x v="1"/>
    <x v="1"/>
    <m/>
    <x v="1"/>
    <x v="1"/>
    <m/>
    <x v="12"/>
    <x v="12"/>
    <m/>
    <x v="953"/>
    <x v="913"/>
    <m/>
    <x v="1076"/>
    <x v="1145"/>
    <m/>
    <x v="2"/>
    <x v="2"/>
    <m/>
    <n v="43.944130000000001"/>
    <n v="-24.686170000000001"/>
    <m/>
    <m/>
  </r>
  <r>
    <s v="MG25213110001001MAM"/>
    <x v="0"/>
    <x v="0"/>
    <m/>
    <x v="4"/>
    <x v="4"/>
    <m/>
    <x v="11"/>
    <x v="11"/>
    <m/>
    <x v="160"/>
    <x v="160"/>
    <m/>
    <x v="954"/>
    <x v="914"/>
    <m/>
    <x v="1077"/>
    <x v="1146"/>
    <m/>
    <x v="2"/>
    <x v="2"/>
    <m/>
    <n v="47.728499999999997"/>
    <n v="-22.879100000000001"/>
    <m/>
    <m/>
  </r>
  <r>
    <s v="MG25213110002001MAM"/>
    <x v="0"/>
    <x v="0"/>
    <m/>
    <x v="4"/>
    <x v="4"/>
    <m/>
    <x v="11"/>
    <x v="11"/>
    <m/>
    <x v="160"/>
    <x v="160"/>
    <m/>
    <x v="955"/>
    <x v="915"/>
    <m/>
    <x v="1078"/>
    <x v="1147"/>
    <m/>
    <x v="2"/>
    <x v="2"/>
    <m/>
    <n v="47.753950000000003"/>
    <n v="-22.837399999999999"/>
    <m/>
    <m/>
  </r>
  <r>
    <s v="MG25213110005001MAM"/>
    <x v="0"/>
    <x v="0"/>
    <m/>
    <x v="4"/>
    <x v="4"/>
    <m/>
    <x v="11"/>
    <x v="11"/>
    <m/>
    <x v="160"/>
    <x v="160"/>
    <m/>
    <x v="21"/>
    <x v="916"/>
    <m/>
    <x v="1079"/>
    <x v="1148"/>
    <m/>
    <x v="2"/>
    <x v="2"/>
    <m/>
    <n v="47.652538"/>
    <n v="-22.976485"/>
    <m/>
    <m/>
  </r>
  <r>
    <s v="MG51521031003001MAM"/>
    <x v="0"/>
    <x v="0"/>
    <m/>
    <x v="4"/>
    <x v="4"/>
    <m/>
    <x v="11"/>
    <x v="11"/>
    <m/>
    <x v="160"/>
    <x v="160"/>
    <m/>
    <x v="711"/>
    <x v="917"/>
    <m/>
    <x v="1080"/>
    <x v="1149"/>
    <m/>
    <x v="2"/>
    <x v="2"/>
    <m/>
    <n v="47.742894999999997"/>
    <n v="-22.877568"/>
    <m/>
    <m/>
  </r>
  <r>
    <s v="MG25217130003001MAM"/>
    <x v="0"/>
    <x v="0"/>
    <m/>
    <x v="4"/>
    <x v="4"/>
    <m/>
    <x v="12"/>
    <x v="12"/>
    <m/>
    <x v="57"/>
    <x v="57"/>
    <m/>
    <x v="956"/>
    <x v="918"/>
    <m/>
    <x v="1081"/>
    <x v="1150"/>
    <m/>
    <x v="2"/>
    <x v="2"/>
    <m/>
    <n v="47.260226000000003"/>
    <n v="-22.448934000000001"/>
    <m/>
    <m/>
  </r>
  <r>
    <s v="MG25217130005001MAM"/>
    <x v="0"/>
    <x v="0"/>
    <m/>
    <x v="4"/>
    <x v="4"/>
    <m/>
    <x v="12"/>
    <x v="12"/>
    <m/>
    <x v="57"/>
    <x v="57"/>
    <m/>
    <x v="957"/>
    <x v="919"/>
    <m/>
    <x v="1082"/>
    <x v="1151"/>
    <m/>
    <x v="2"/>
    <x v="2"/>
    <m/>
    <n v="47.251950000000001"/>
    <n v="-22.477699999999999"/>
    <m/>
    <m/>
  </r>
  <r>
    <s v="MG31307070008001MAM"/>
    <x v="0"/>
    <x v="0"/>
    <m/>
    <x v="4"/>
    <x v="4"/>
    <m/>
    <x v="12"/>
    <x v="12"/>
    <m/>
    <x v="57"/>
    <x v="57"/>
    <m/>
    <x v="321"/>
    <x v="920"/>
    <m/>
    <x v="330"/>
    <x v="1152"/>
    <m/>
    <x v="2"/>
    <x v="2"/>
    <m/>
    <n v="47.27373"/>
    <n v="-22.431480000000001"/>
    <m/>
    <m/>
  </r>
  <r>
    <s v="MG25215051001001MAM"/>
    <x v="0"/>
    <x v="0"/>
    <m/>
    <x v="4"/>
    <x v="4"/>
    <m/>
    <x v="16"/>
    <x v="16"/>
    <m/>
    <x v="161"/>
    <x v="161"/>
    <m/>
    <x v="958"/>
    <x v="921"/>
    <m/>
    <x v="1083"/>
    <x v="1153"/>
    <m/>
    <x v="2"/>
    <x v="2"/>
    <m/>
    <n v="46.99682"/>
    <n v="-23.6645"/>
    <m/>
    <m/>
  </r>
  <r>
    <s v="MG25215051056001MAM"/>
    <x v="0"/>
    <x v="0"/>
    <m/>
    <x v="4"/>
    <x v="4"/>
    <m/>
    <x v="16"/>
    <x v="16"/>
    <m/>
    <x v="161"/>
    <x v="161"/>
    <m/>
    <x v="959"/>
    <x v="922"/>
    <m/>
    <x v="1084"/>
    <x v="1154"/>
    <m/>
    <x v="2"/>
    <x v="2"/>
    <m/>
    <n v="47.108379999999997"/>
    <n v="-23.246269999999999"/>
    <m/>
    <m/>
  </r>
  <r>
    <s v="MG52516170006001MAM"/>
    <x v="5"/>
    <x v="5"/>
    <m/>
    <x v="2"/>
    <x v="2"/>
    <m/>
    <x v="6"/>
    <x v="6"/>
    <m/>
    <x v="31"/>
    <x v="31"/>
    <m/>
    <x v="960"/>
    <x v="923"/>
    <m/>
    <x v="1085"/>
    <x v="1155"/>
    <m/>
    <x v="2"/>
    <x v="2"/>
    <m/>
    <n v="45.538919999999997"/>
    <n v="-24.840769999999999"/>
    <m/>
    <m/>
  </r>
  <r>
    <s v="MG52516170027001MAM"/>
    <x v="5"/>
    <x v="5"/>
    <m/>
    <x v="2"/>
    <x v="2"/>
    <m/>
    <x v="6"/>
    <x v="6"/>
    <m/>
    <x v="31"/>
    <x v="31"/>
    <m/>
    <x v="961"/>
    <x v="924"/>
    <m/>
    <x v="1086"/>
    <x v="1156"/>
    <m/>
    <x v="2"/>
    <x v="2"/>
    <m/>
    <n v="45.431420000000003"/>
    <n v="-24.992629999999998"/>
    <m/>
    <m/>
  </r>
  <r>
    <s v="MG52516170028001MAM"/>
    <x v="5"/>
    <x v="5"/>
    <m/>
    <x v="2"/>
    <x v="2"/>
    <m/>
    <x v="6"/>
    <x v="6"/>
    <m/>
    <x v="31"/>
    <x v="31"/>
    <m/>
    <x v="195"/>
    <x v="925"/>
    <m/>
    <x v="204"/>
    <x v="1157"/>
    <m/>
    <x v="2"/>
    <x v="2"/>
    <m/>
    <n v="45.508600000000001"/>
    <n v="-25.01417"/>
    <m/>
    <m/>
  </r>
  <r>
    <s v="MG52516170030001MAM"/>
    <x v="5"/>
    <x v="5"/>
    <m/>
    <x v="2"/>
    <x v="2"/>
    <m/>
    <x v="6"/>
    <x v="6"/>
    <m/>
    <x v="31"/>
    <x v="31"/>
    <m/>
    <x v="654"/>
    <x v="926"/>
    <m/>
    <x v="1087"/>
    <x v="1158"/>
    <m/>
    <x v="2"/>
    <x v="2"/>
    <m/>
    <n v="45.586919999999999"/>
    <n v="-24.95675"/>
    <m/>
    <m/>
  </r>
  <r>
    <s v="MG52516170040001MAM"/>
    <x v="5"/>
    <x v="5"/>
    <m/>
    <x v="2"/>
    <x v="2"/>
    <m/>
    <x v="6"/>
    <x v="6"/>
    <m/>
    <x v="31"/>
    <x v="31"/>
    <m/>
    <x v="962"/>
    <x v="927"/>
    <m/>
    <x v="1088"/>
    <x v="1159"/>
    <m/>
    <x v="2"/>
    <x v="2"/>
    <m/>
    <n v="45.43938"/>
    <n v="-25.107330000000001"/>
    <m/>
    <m/>
  </r>
  <r>
    <s v="MG52516170069001MAM"/>
    <x v="5"/>
    <x v="5"/>
    <m/>
    <x v="2"/>
    <x v="2"/>
    <m/>
    <x v="6"/>
    <x v="6"/>
    <m/>
    <x v="31"/>
    <x v="31"/>
    <m/>
    <x v="963"/>
    <x v="928"/>
    <m/>
    <x v="1089"/>
    <x v="1160"/>
    <m/>
    <x v="2"/>
    <x v="2"/>
    <m/>
    <n v="45.519970000000001"/>
    <n v="-24.927119999999999"/>
    <m/>
    <m/>
  </r>
  <r>
    <s v="MG52516170070001MAM"/>
    <x v="5"/>
    <x v="5"/>
    <m/>
    <x v="2"/>
    <x v="2"/>
    <m/>
    <x v="6"/>
    <x v="6"/>
    <m/>
    <x v="31"/>
    <x v="31"/>
    <m/>
    <x v="964"/>
    <x v="929"/>
    <m/>
    <x v="1090"/>
    <x v="1161"/>
    <m/>
    <x v="2"/>
    <x v="2"/>
    <m/>
    <n v="45.430349999999997"/>
    <n v="-24.739080000000001"/>
    <m/>
    <m/>
  </r>
  <r>
    <s v="MG52516170080001MAM"/>
    <x v="5"/>
    <x v="5"/>
    <m/>
    <x v="2"/>
    <x v="2"/>
    <m/>
    <x v="6"/>
    <x v="6"/>
    <m/>
    <x v="31"/>
    <x v="31"/>
    <m/>
    <x v="965"/>
    <x v="930"/>
    <m/>
    <x v="1091"/>
    <x v="1162"/>
    <m/>
    <x v="2"/>
    <x v="2"/>
    <m/>
    <n v="45.465730000000001"/>
    <n v="-24.960529999999999"/>
    <m/>
    <m/>
  </r>
  <r>
    <s v="MG25217111001001MAM"/>
    <x v="0"/>
    <x v="0"/>
    <m/>
    <x v="4"/>
    <x v="4"/>
    <m/>
    <x v="12"/>
    <x v="12"/>
    <m/>
    <x v="162"/>
    <x v="162"/>
    <m/>
    <x v="966"/>
    <x v="931"/>
    <m/>
    <x v="1092"/>
    <x v="1163"/>
    <m/>
    <x v="2"/>
    <x v="2"/>
    <m/>
    <n v="47.387599999999999"/>
    <n v="-22.430630000000001"/>
    <m/>
    <m/>
  </r>
  <r>
    <s v="MG25217111006001MAM"/>
    <x v="0"/>
    <x v="0"/>
    <m/>
    <x v="4"/>
    <x v="4"/>
    <m/>
    <x v="12"/>
    <x v="12"/>
    <m/>
    <x v="162"/>
    <x v="162"/>
    <m/>
    <x v="967"/>
    <x v="932"/>
    <m/>
    <x v="1093"/>
    <x v="1164"/>
    <m/>
    <x v="2"/>
    <x v="2"/>
    <m/>
    <n v="47.32958"/>
    <n v="-22.439630000000001"/>
    <m/>
    <m/>
  </r>
  <r>
    <s v="MG25217111011001MAM"/>
    <x v="0"/>
    <x v="0"/>
    <m/>
    <x v="4"/>
    <x v="4"/>
    <m/>
    <x v="12"/>
    <x v="12"/>
    <m/>
    <x v="162"/>
    <x v="162"/>
    <m/>
    <x v="968"/>
    <x v="933"/>
    <m/>
    <x v="1094"/>
    <x v="1165"/>
    <m/>
    <x v="2"/>
    <x v="2"/>
    <m/>
    <n v="47.437517"/>
    <n v="-22.485544999999998"/>
    <m/>
    <m/>
  </r>
  <r>
    <s v="MG25214252046001MAM"/>
    <x v="0"/>
    <x v="0"/>
    <m/>
    <x v="4"/>
    <x v="4"/>
    <m/>
    <x v="10"/>
    <x v="10"/>
    <m/>
    <x v="163"/>
    <x v="163"/>
    <m/>
    <x v="968"/>
    <x v="934"/>
    <m/>
    <x v="1095"/>
    <x v="1166"/>
    <m/>
    <x v="2"/>
    <x v="2"/>
    <m/>
    <n v="47.305219000000001"/>
    <n v="-23.211518000000002"/>
    <m/>
    <m/>
  </r>
  <r>
    <s v="MG52513050008001MAM"/>
    <x v="5"/>
    <x v="5"/>
    <m/>
    <x v="2"/>
    <x v="2"/>
    <m/>
    <x v="8"/>
    <x v="8"/>
    <m/>
    <x v="164"/>
    <x v="164"/>
    <m/>
    <x v="932"/>
    <x v="935"/>
    <m/>
    <x v="1096"/>
    <x v="1167"/>
    <m/>
    <x v="2"/>
    <x v="2"/>
    <m/>
    <n v="45.350769999999997"/>
    <n v="-25.04448"/>
    <m/>
    <m/>
  </r>
  <r>
    <s v="MG52513050014001MAM"/>
    <x v="5"/>
    <x v="5"/>
    <m/>
    <x v="2"/>
    <x v="2"/>
    <m/>
    <x v="8"/>
    <x v="8"/>
    <m/>
    <x v="164"/>
    <x v="164"/>
    <m/>
    <x v="969"/>
    <x v="936"/>
    <m/>
    <x v="1097"/>
    <x v="1168"/>
    <m/>
    <x v="2"/>
    <x v="2"/>
    <m/>
    <n v="45.258200000000002"/>
    <n v="-25.235579999999999"/>
    <m/>
    <m/>
  </r>
  <r>
    <s v="MG52513050078001MAM"/>
    <x v="5"/>
    <x v="5"/>
    <m/>
    <x v="2"/>
    <x v="2"/>
    <m/>
    <x v="8"/>
    <x v="8"/>
    <m/>
    <x v="164"/>
    <x v="164"/>
    <m/>
    <x v="970"/>
    <x v="937"/>
    <m/>
    <x v="1098"/>
    <x v="1169"/>
    <m/>
    <x v="2"/>
    <x v="2"/>
    <m/>
    <n v="45.165619999999997"/>
    <n v="-25.046199999999999"/>
    <m/>
    <m/>
  </r>
  <r>
    <s v="MG52513050079001MAM"/>
    <x v="5"/>
    <x v="5"/>
    <m/>
    <x v="2"/>
    <x v="2"/>
    <m/>
    <x v="8"/>
    <x v="8"/>
    <m/>
    <x v="164"/>
    <x v="164"/>
    <m/>
    <x v="971"/>
    <x v="938"/>
    <m/>
    <x v="1099"/>
    <x v="1170"/>
    <m/>
    <x v="2"/>
    <x v="2"/>
    <m/>
    <n v="45.222499999999997"/>
    <n v="-25.165900000000001"/>
    <m/>
    <m/>
  </r>
  <r>
    <s v="MG52513070017001MAM"/>
    <x v="5"/>
    <x v="5"/>
    <m/>
    <x v="2"/>
    <x v="2"/>
    <m/>
    <x v="8"/>
    <x v="8"/>
    <m/>
    <x v="164"/>
    <x v="164"/>
    <m/>
    <x v="972"/>
    <x v="939"/>
    <m/>
    <x v="1100"/>
    <x v="1171"/>
    <m/>
    <x v="2"/>
    <x v="2"/>
    <m/>
    <n v="44.69153"/>
    <n v="-25.225919999999999"/>
    <m/>
    <m/>
  </r>
  <r>
    <s v="MG52514050011001MAM"/>
    <x v="5"/>
    <x v="5"/>
    <m/>
    <x v="2"/>
    <x v="2"/>
    <m/>
    <x v="8"/>
    <x v="8"/>
    <m/>
    <x v="164"/>
    <x v="164"/>
    <m/>
    <x v="973"/>
    <x v="940"/>
    <m/>
    <x v="1101"/>
    <x v="1172"/>
    <m/>
    <x v="2"/>
    <x v="2"/>
    <m/>
    <n v="45.340150000000001"/>
    <n v="-25.507670000000001"/>
    <m/>
    <m/>
  </r>
  <r>
    <s v="MG52514050080001MAM"/>
    <x v="5"/>
    <x v="5"/>
    <m/>
    <x v="2"/>
    <x v="2"/>
    <m/>
    <x v="8"/>
    <x v="8"/>
    <m/>
    <x v="164"/>
    <x v="164"/>
    <m/>
    <x v="974"/>
    <x v="941"/>
    <m/>
    <x v="1102"/>
    <x v="1173"/>
    <m/>
    <x v="2"/>
    <x v="2"/>
    <m/>
    <n v="45.205469999999998"/>
    <n v="-25.207830000000001"/>
    <m/>
    <m/>
  </r>
  <r>
    <s v="MG25214131001001MAM"/>
    <x v="0"/>
    <x v="0"/>
    <m/>
    <x v="4"/>
    <x v="4"/>
    <m/>
    <x v="10"/>
    <x v="10"/>
    <m/>
    <x v="165"/>
    <x v="165"/>
    <m/>
    <x v="975"/>
    <x v="942"/>
    <m/>
    <x v="1103"/>
    <x v="1174"/>
    <m/>
    <x v="2"/>
    <x v="2"/>
    <m/>
    <n v="47.376049999999999"/>
    <n v="-23.296669999999999"/>
    <m/>
    <m/>
  </r>
  <r>
    <s v="MG25213472003001MAM"/>
    <x v="0"/>
    <x v="0"/>
    <m/>
    <x v="4"/>
    <x v="4"/>
    <m/>
    <x v="10"/>
    <x v="10"/>
    <m/>
    <x v="166"/>
    <x v="166"/>
    <m/>
    <x v="976"/>
    <x v="943"/>
    <m/>
    <x v="1104"/>
    <x v="1175"/>
    <m/>
    <x v="2"/>
    <x v="2"/>
    <m/>
    <n v="47.690320999999997"/>
    <n v="-23.244123999999999"/>
    <m/>
    <m/>
  </r>
  <r>
    <s v="MG25214091001001MAM"/>
    <x v="0"/>
    <x v="0"/>
    <m/>
    <x v="4"/>
    <x v="4"/>
    <m/>
    <x v="10"/>
    <x v="10"/>
    <m/>
    <x v="166"/>
    <x v="166"/>
    <m/>
    <x v="977"/>
    <x v="944"/>
    <m/>
    <x v="1105"/>
    <x v="1176"/>
    <m/>
    <x v="2"/>
    <x v="2"/>
    <m/>
    <n v="47.671030000000002"/>
    <n v="-23.19642"/>
    <m/>
    <m/>
  </r>
  <r>
    <s v="MG53517168056001MAM"/>
    <x v="5"/>
    <x v="5"/>
    <m/>
    <x v="3"/>
    <x v="3"/>
    <m/>
    <x v="15"/>
    <x v="15"/>
    <m/>
    <x v="167"/>
    <x v="167"/>
    <m/>
    <x v="46"/>
    <x v="945"/>
    <m/>
    <x v="1106"/>
    <x v="1177"/>
    <m/>
    <x v="2"/>
    <x v="2"/>
    <m/>
    <n v="46.03557"/>
    <n v="-23.755520000000001"/>
    <m/>
    <m/>
  </r>
  <r>
    <s v="MG53517170004001MAM"/>
    <x v="5"/>
    <x v="5"/>
    <m/>
    <x v="3"/>
    <x v="3"/>
    <m/>
    <x v="15"/>
    <x v="15"/>
    <m/>
    <x v="167"/>
    <x v="167"/>
    <m/>
    <x v="349"/>
    <x v="946"/>
    <m/>
    <x v="1107"/>
    <x v="1178"/>
    <m/>
    <x v="2"/>
    <x v="2"/>
    <m/>
    <n v="46.111429999999999"/>
    <n v="-23.688330000000001"/>
    <m/>
    <m/>
  </r>
  <r>
    <s v="MG53517170006001MAM"/>
    <x v="5"/>
    <x v="5"/>
    <m/>
    <x v="3"/>
    <x v="3"/>
    <m/>
    <x v="15"/>
    <x v="15"/>
    <m/>
    <x v="167"/>
    <x v="167"/>
    <m/>
    <x v="511"/>
    <x v="947"/>
    <m/>
    <x v="1108"/>
    <x v="1179"/>
    <m/>
    <x v="2"/>
    <x v="2"/>
    <m/>
    <n v="46.157800000000002"/>
    <n v="-23.653770000000002"/>
    <m/>
    <m/>
  </r>
  <r>
    <s v="MG53517170007001MAM"/>
    <x v="5"/>
    <x v="5"/>
    <m/>
    <x v="3"/>
    <x v="3"/>
    <m/>
    <x v="15"/>
    <x v="15"/>
    <m/>
    <x v="167"/>
    <x v="167"/>
    <m/>
    <x v="978"/>
    <x v="948"/>
    <m/>
    <x v="1109"/>
    <x v="1180"/>
    <m/>
    <x v="2"/>
    <x v="2"/>
    <m/>
    <n v="46.185969999999998"/>
    <n v="-23.6616"/>
    <m/>
    <m/>
  </r>
  <r>
    <s v="MG53517170010001MAM"/>
    <x v="5"/>
    <x v="5"/>
    <m/>
    <x v="3"/>
    <x v="3"/>
    <m/>
    <x v="15"/>
    <x v="15"/>
    <m/>
    <x v="167"/>
    <x v="167"/>
    <m/>
    <x v="979"/>
    <x v="949"/>
    <m/>
    <x v="1110"/>
    <x v="1181"/>
    <m/>
    <x v="2"/>
    <x v="2"/>
    <m/>
    <n v="46.009970000000003"/>
    <n v="-23.717500000000001"/>
    <m/>
    <m/>
  </r>
  <r>
    <s v="MG53517170011001MAM"/>
    <x v="5"/>
    <x v="5"/>
    <m/>
    <x v="3"/>
    <x v="3"/>
    <m/>
    <x v="15"/>
    <x v="15"/>
    <m/>
    <x v="167"/>
    <x v="167"/>
    <m/>
    <x v="980"/>
    <x v="950"/>
    <m/>
    <x v="1111"/>
    <x v="1182"/>
    <m/>
    <x v="2"/>
    <x v="2"/>
    <m/>
    <n v="46.151330000000002"/>
    <n v="-23.720469999999999"/>
    <m/>
    <m/>
  </r>
  <r>
    <s v="MG53517270002001MAM"/>
    <x v="5"/>
    <x v="5"/>
    <m/>
    <x v="3"/>
    <x v="3"/>
    <m/>
    <x v="15"/>
    <x v="15"/>
    <m/>
    <x v="167"/>
    <x v="167"/>
    <m/>
    <x v="981"/>
    <x v="951"/>
    <m/>
    <x v="1112"/>
    <x v="1183"/>
    <m/>
    <x v="2"/>
    <x v="2"/>
    <m/>
    <n v="45.606819999999999"/>
    <n v="-23.165679999999998"/>
    <m/>
    <m/>
  </r>
  <r>
    <s v="MG53519090003001MAM"/>
    <x v="5"/>
    <x v="5"/>
    <m/>
    <x v="3"/>
    <x v="3"/>
    <m/>
    <x v="4"/>
    <x v="4"/>
    <m/>
    <x v="167"/>
    <x v="168"/>
    <m/>
    <x v="360"/>
    <x v="952"/>
    <m/>
    <x v="1113"/>
    <x v="1184"/>
    <m/>
    <x v="2"/>
    <x v="2"/>
    <m/>
    <n v="46.269283000000001"/>
    <n v="-24.590038"/>
    <m/>
    <m/>
  </r>
  <r>
    <s v="MG54510152006001MAM"/>
    <x v="5"/>
    <x v="5"/>
    <m/>
    <x v="3"/>
    <x v="3"/>
    <m/>
    <x v="15"/>
    <x v="15"/>
    <m/>
    <x v="167"/>
    <x v="167"/>
    <m/>
    <x v="831"/>
    <x v="953"/>
    <m/>
    <x v="1114"/>
    <x v="1185"/>
    <m/>
    <x v="2"/>
    <x v="2"/>
    <m/>
    <n v="46.118450000000003"/>
    <n v="-23.796299999999999"/>
    <m/>
    <m/>
  </r>
  <r>
    <s v="MG25213170023001MAM"/>
    <x v="0"/>
    <x v="0"/>
    <m/>
    <x v="4"/>
    <x v="4"/>
    <m/>
    <x v="11"/>
    <x v="11"/>
    <m/>
    <x v="168"/>
    <x v="169"/>
    <m/>
    <x v="982"/>
    <x v="954"/>
    <m/>
    <x v="1115"/>
    <x v="1186"/>
    <m/>
    <x v="2"/>
    <x v="2"/>
    <m/>
    <n v="47.70288"/>
    <n v="-23.152249999999999"/>
    <m/>
    <m/>
  </r>
  <r>
    <s v="MG25213170024001MAM"/>
    <x v="0"/>
    <x v="0"/>
    <m/>
    <x v="4"/>
    <x v="4"/>
    <m/>
    <x v="11"/>
    <x v="11"/>
    <m/>
    <x v="168"/>
    <x v="169"/>
    <m/>
    <x v="983"/>
    <x v="955"/>
    <m/>
    <x v="1116"/>
    <x v="1187"/>
    <m/>
    <x v="2"/>
    <x v="2"/>
    <m/>
    <n v="47.679029999999997"/>
    <n v="-23.186399999999999"/>
    <m/>
    <m/>
  </r>
  <r>
    <s v="MG52513010010001MAM"/>
    <x v="5"/>
    <x v="5"/>
    <m/>
    <x v="2"/>
    <x v="2"/>
    <m/>
    <x v="8"/>
    <x v="8"/>
    <m/>
    <x v="169"/>
    <x v="40"/>
    <m/>
    <x v="984"/>
    <x v="956"/>
    <m/>
    <x v="1117"/>
    <x v="1188"/>
    <m/>
    <x v="2"/>
    <x v="2"/>
    <m/>
    <n v="44.913119999999999"/>
    <n v="-24.98488"/>
    <m/>
    <m/>
  </r>
  <r>
    <s v="MG52513010017001MAM"/>
    <x v="5"/>
    <x v="5"/>
    <m/>
    <x v="2"/>
    <x v="2"/>
    <m/>
    <x v="8"/>
    <x v="8"/>
    <m/>
    <x v="169"/>
    <x v="40"/>
    <m/>
    <x v="627"/>
    <x v="957"/>
    <m/>
    <x v="1118"/>
    <x v="1189"/>
    <m/>
    <x v="2"/>
    <x v="2"/>
    <m/>
    <n v="44.971769999999999"/>
    <n v="-25.03275"/>
    <m/>
    <m/>
  </r>
  <r>
    <s v="MG25213170001001MAM"/>
    <x v="0"/>
    <x v="0"/>
    <m/>
    <x v="4"/>
    <x v="4"/>
    <m/>
    <x v="11"/>
    <x v="11"/>
    <m/>
    <x v="170"/>
    <x v="170"/>
    <m/>
    <x v="985"/>
    <x v="958"/>
    <m/>
    <x v="1119"/>
    <x v="1190"/>
    <m/>
    <x v="2"/>
    <x v="2"/>
    <m/>
    <n v="47.664250000000003"/>
    <n v="-22.672630000000002"/>
    <m/>
    <m/>
  </r>
  <r>
    <s v="MG25213170004001MAM"/>
    <x v="0"/>
    <x v="0"/>
    <m/>
    <x v="4"/>
    <x v="4"/>
    <m/>
    <x v="11"/>
    <x v="11"/>
    <m/>
    <x v="170"/>
    <x v="170"/>
    <m/>
    <x v="986"/>
    <x v="959"/>
    <m/>
    <x v="1120"/>
    <x v="1191"/>
    <m/>
    <x v="2"/>
    <x v="2"/>
    <m/>
    <n v="47.685450000000003"/>
    <n v="-23.2134"/>
    <m/>
    <m/>
  </r>
  <r>
    <s v="MG23211073002001MAM"/>
    <x v="5"/>
    <x v="5"/>
    <m/>
    <x v="3"/>
    <x v="3"/>
    <m/>
    <x v="4"/>
    <x v="4"/>
    <m/>
    <x v="26"/>
    <x v="26"/>
    <m/>
    <x v="987"/>
    <x v="960"/>
    <m/>
    <x v="1121"/>
    <x v="1192"/>
    <m/>
    <x v="2"/>
    <x v="2"/>
    <m/>
    <n v="46.348599999999998"/>
    <n v="-24.177430000000001"/>
    <m/>
    <m/>
  </r>
  <r>
    <s v="MG31309050022001MAM"/>
    <x v="5"/>
    <x v="5"/>
    <m/>
    <x v="3"/>
    <x v="3"/>
    <m/>
    <x v="4"/>
    <x v="4"/>
    <m/>
    <x v="26"/>
    <x v="26"/>
    <m/>
    <x v="161"/>
    <x v="961"/>
    <m/>
    <x v="165"/>
    <x v="1193"/>
    <m/>
    <x v="2"/>
    <x v="2"/>
    <m/>
    <n v="46.305892"/>
    <n v="-24.274450999999999"/>
    <m/>
    <m/>
  </r>
  <r>
    <s v="MG53519190005001MAM"/>
    <x v="5"/>
    <x v="5"/>
    <m/>
    <x v="3"/>
    <x v="3"/>
    <m/>
    <x v="4"/>
    <x v="4"/>
    <m/>
    <x v="26"/>
    <x v="26"/>
    <m/>
    <x v="21"/>
    <x v="962"/>
    <m/>
    <x v="1122"/>
    <x v="1194"/>
    <m/>
    <x v="2"/>
    <x v="2"/>
    <m/>
    <n v="46.337538000000002"/>
    <n v="-24.239785000000001"/>
    <m/>
    <m/>
  </r>
  <r>
    <s v="MG53519190007001MAM"/>
    <x v="5"/>
    <x v="5"/>
    <m/>
    <x v="3"/>
    <x v="3"/>
    <m/>
    <x v="4"/>
    <x v="4"/>
    <m/>
    <x v="26"/>
    <x v="26"/>
    <m/>
    <x v="988"/>
    <x v="963"/>
    <m/>
    <x v="1123"/>
    <x v="1195"/>
    <m/>
    <x v="2"/>
    <x v="2"/>
    <m/>
    <n v="46.300150000000002"/>
    <n v="-24.210429999999999"/>
    <m/>
    <m/>
  </r>
  <r>
    <s v="MG53519190075001MAM"/>
    <x v="5"/>
    <x v="5"/>
    <m/>
    <x v="3"/>
    <x v="3"/>
    <m/>
    <x v="4"/>
    <x v="4"/>
    <m/>
    <x v="26"/>
    <x v="26"/>
    <m/>
    <x v="132"/>
    <x v="964"/>
    <m/>
    <x v="1124"/>
    <x v="1196"/>
    <m/>
    <x v="2"/>
    <x v="2"/>
    <m/>
    <n v="46.446750000000002"/>
    <n v="-24.220269999999999"/>
    <m/>
    <m/>
  </r>
  <r>
    <s v="MG25217030009001MAM"/>
    <x v="0"/>
    <x v="0"/>
    <m/>
    <x v="4"/>
    <x v="4"/>
    <m/>
    <x v="12"/>
    <x v="12"/>
    <m/>
    <x v="56"/>
    <x v="56"/>
    <m/>
    <x v="501"/>
    <x v="965"/>
    <m/>
    <x v="1125"/>
    <x v="1197"/>
    <m/>
    <x v="2"/>
    <x v="2"/>
    <m/>
    <n v="47.480330000000002"/>
    <n v="-22.825769999999999"/>
    <m/>
    <m/>
  </r>
  <r>
    <s v="MG25217030010001MAM"/>
    <x v="0"/>
    <x v="0"/>
    <m/>
    <x v="4"/>
    <x v="4"/>
    <m/>
    <x v="12"/>
    <x v="12"/>
    <m/>
    <x v="56"/>
    <x v="56"/>
    <m/>
    <x v="989"/>
    <x v="966"/>
    <m/>
    <x v="1126"/>
    <x v="1198"/>
    <m/>
    <x v="2"/>
    <x v="2"/>
    <m/>
    <n v="47.436669999999999"/>
    <n v="-22.854399999999998"/>
    <m/>
    <m/>
  </r>
  <r>
    <s v="MG25217030076001MAM"/>
    <x v="0"/>
    <x v="0"/>
    <m/>
    <x v="4"/>
    <x v="4"/>
    <m/>
    <x v="12"/>
    <x v="12"/>
    <m/>
    <x v="56"/>
    <x v="56"/>
    <m/>
    <x v="320"/>
    <x v="967"/>
    <m/>
    <x v="1127"/>
    <x v="1199"/>
    <m/>
    <x v="2"/>
    <x v="2"/>
    <m/>
    <n v="47.453519999999997"/>
    <n v="-22.816569999999999"/>
    <m/>
    <m/>
  </r>
  <r>
    <s v="MG23210190003001MAM"/>
    <x v="0"/>
    <x v="0"/>
    <m/>
    <x v="4"/>
    <x v="4"/>
    <m/>
    <x v="11"/>
    <x v="11"/>
    <m/>
    <x v="53"/>
    <x v="53"/>
    <m/>
    <x v="990"/>
    <x v="968"/>
    <m/>
    <x v="1128"/>
    <x v="1200"/>
    <m/>
    <x v="2"/>
    <x v="2"/>
    <m/>
    <n v="47.714129999999997"/>
    <n v="-22.716850000000001"/>
    <m/>
    <m/>
  </r>
  <r>
    <s v="MG25213150006001MAM"/>
    <x v="0"/>
    <x v="0"/>
    <m/>
    <x v="4"/>
    <x v="4"/>
    <m/>
    <x v="12"/>
    <x v="12"/>
    <m/>
    <x v="53"/>
    <x v="53"/>
    <m/>
    <x v="35"/>
    <x v="969"/>
    <m/>
    <x v="1129"/>
    <x v="1201"/>
    <m/>
    <x v="2"/>
    <x v="2"/>
    <m/>
    <n v="47.366819999999997"/>
    <n v="-22.36523"/>
    <m/>
    <m/>
  </r>
  <r>
    <s v="MG25217150005001MAM"/>
    <x v="0"/>
    <x v="0"/>
    <m/>
    <x v="4"/>
    <x v="4"/>
    <m/>
    <x v="12"/>
    <x v="12"/>
    <m/>
    <x v="53"/>
    <x v="53"/>
    <m/>
    <x v="991"/>
    <x v="970"/>
    <m/>
    <x v="1130"/>
    <x v="1202"/>
    <m/>
    <x v="2"/>
    <x v="2"/>
    <m/>
    <n v="47.399349999999998"/>
    <n v="-22.341819999999998"/>
    <m/>
    <m/>
  </r>
  <r>
    <s v="MG25217051002001MAM"/>
    <x v="0"/>
    <x v="0"/>
    <m/>
    <x v="4"/>
    <x v="4"/>
    <m/>
    <x v="12"/>
    <x v="12"/>
    <m/>
    <x v="171"/>
    <x v="171"/>
    <m/>
    <x v="387"/>
    <x v="971"/>
    <m/>
    <x v="1131"/>
    <x v="1203"/>
    <m/>
    <x v="2"/>
    <x v="2"/>
    <m/>
    <n v="47.357430000000001"/>
    <n v="-22.602969999999999"/>
    <m/>
    <m/>
  </r>
  <r>
    <s v="MG25217051005001MAM"/>
    <x v="0"/>
    <x v="0"/>
    <m/>
    <x v="4"/>
    <x v="4"/>
    <m/>
    <x v="12"/>
    <x v="12"/>
    <m/>
    <x v="171"/>
    <x v="171"/>
    <m/>
    <x v="21"/>
    <x v="972"/>
    <m/>
    <x v="1132"/>
    <x v="1204"/>
    <m/>
    <x v="2"/>
    <x v="2"/>
    <m/>
    <n v="47.414645"/>
    <n v="-22.624687999999999"/>
    <m/>
    <m/>
  </r>
  <r>
    <s v="MG25217051006001MAM"/>
    <x v="0"/>
    <x v="0"/>
    <m/>
    <x v="4"/>
    <x v="4"/>
    <m/>
    <x v="12"/>
    <x v="12"/>
    <m/>
    <x v="171"/>
    <x v="171"/>
    <m/>
    <x v="992"/>
    <x v="973"/>
    <m/>
    <x v="1133"/>
    <x v="1205"/>
    <m/>
    <x v="2"/>
    <x v="2"/>
    <m/>
    <n v="47.442050000000002"/>
    <n v="-22.632480000000001"/>
    <m/>
    <m/>
  </r>
  <r>
    <s v="MG25213290004001MAM"/>
    <x v="0"/>
    <x v="0"/>
    <m/>
    <x v="4"/>
    <x v="4"/>
    <m/>
    <x v="11"/>
    <x v="11"/>
    <m/>
    <x v="172"/>
    <x v="172"/>
    <m/>
    <x v="993"/>
    <x v="974"/>
    <m/>
    <x v="1134"/>
    <x v="1206"/>
    <m/>
    <x v="2"/>
    <x v="2"/>
    <m/>
    <n v="47.610329999999998"/>
    <n v="-22.744700000000002"/>
    <m/>
    <m/>
  </r>
  <r>
    <s v="MG25215032078001MAM"/>
    <x v="0"/>
    <x v="0"/>
    <m/>
    <x v="4"/>
    <x v="4"/>
    <m/>
    <x v="16"/>
    <x v="16"/>
    <m/>
    <x v="173"/>
    <x v="173"/>
    <m/>
    <x v="994"/>
    <x v="975"/>
    <m/>
    <x v="1135"/>
    <x v="1207"/>
    <m/>
    <x v="2"/>
    <x v="2"/>
    <m/>
    <n v="47.04468"/>
    <n v="-23.309920000000002"/>
    <m/>
    <m/>
  </r>
  <r>
    <s v="MG52513070008001MAM"/>
    <x v="5"/>
    <x v="5"/>
    <m/>
    <x v="2"/>
    <x v="2"/>
    <m/>
    <x v="2"/>
    <x v="2"/>
    <m/>
    <x v="174"/>
    <x v="174"/>
    <m/>
    <x v="995"/>
    <x v="976"/>
    <m/>
    <x v="1136"/>
    <x v="1208"/>
    <m/>
    <x v="2"/>
    <x v="2"/>
    <m/>
    <n v="44.693579999999997"/>
    <n v="-25.061050000000002"/>
    <m/>
    <m/>
  </r>
  <r>
    <s v="MG52518130001001MAM"/>
    <x v="5"/>
    <x v="5"/>
    <m/>
    <x v="2"/>
    <x v="2"/>
    <m/>
    <x v="2"/>
    <x v="2"/>
    <m/>
    <x v="174"/>
    <x v="174"/>
    <m/>
    <x v="996"/>
    <x v="977"/>
    <m/>
    <x v="1137"/>
    <x v="1209"/>
    <m/>
    <x v="2"/>
    <x v="2"/>
    <m/>
    <n v="45.392580000000002"/>
    <n v="-24.31813"/>
    <m/>
    <m/>
  </r>
  <r>
    <s v="MG52518130009001MAM"/>
    <x v="5"/>
    <x v="5"/>
    <m/>
    <x v="2"/>
    <x v="2"/>
    <m/>
    <x v="2"/>
    <x v="2"/>
    <m/>
    <x v="174"/>
    <x v="174"/>
    <m/>
    <x v="433"/>
    <x v="978"/>
    <m/>
    <x v="1138"/>
    <x v="1210"/>
    <m/>
    <x v="2"/>
    <x v="2"/>
    <m/>
    <n v="45.397280000000002"/>
    <n v="-24.2517"/>
    <m/>
    <m/>
  </r>
  <r>
    <s v="MG52518130012001MAM"/>
    <x v="5"/>
    <x v="5"/>
    <m/>
    <x v="2"/>
    <x v="2"/>
    <m/>
    <x v="2"/>
    <x v="2"/>
    <m/>
    <x v="174"/>
    <x v="174"/>
    <m/>
    <x v="997"/>
    <x v="979"/>
    <m/>
    <x v="1139"/>
    <x v="1211"/>
    <m/>
    <x v="2"/>
    <x v="2"/>
    <m/>
    <n v="45.348219999999998"/>
    <n v="-24.331880000000002"/>
    <m/>
    <m/>
  </r>
  <r>
    <s v="MG52518130015001MAM"/>
    <x v="5"/>
    <x v="5"/>
    <m/>
    <x v="2"/>
    <x v="2"/>
    <m/>
    <x v="2"/>
    <x v="2"/>
    <m/>
    <x v="174"/>
    <x v="174"/>
    <m/>
    <x v="998"/>
    <x v="980"/>
    <m/>
    <x v="1140"/>
    <x v="1212"/>
    <m/>
    <x v="2"/>
    <x v="2"/>
    <m/>
    <n v="45.4208"/>
    <n v="-24.342919999999999"/>
    <m/>
    <m/>
  </r>
  <r>
    <s v="MG52518130098001MAM"/>
    <x v="5"/>
    <x v="5"/>
    <m/>
    <x v="2"/>
    <x v="2"/>
    <m/>
    <x v="2"/>
    <x v="2"/>
    <m/>
    <x v="174"/>
    <x v="174"/>
    <m/>
    <x v="999"/>
    <x v="981"/>
    <m/>
    <x v="1141"/>
    <x v="1213"/>
    <m/>
    <x v="2"/>
    <x v="2"/>
    <m/>
    <n v="45.363329999999998"/>
    <n v="-24.34477"/>
    <m/>
    <m/>
  </r>
  <r>
    <s v="MG51506170001001MAM"/>
    <x v="3"/>
    <x v="3"/>
    <m/>
    <x v="1"/>
    <x v="1"/>
    <m/>
    <x v="3"/>
    <x v="3"/>
    <m/>
    <x v="175"/>
    <x v="175"/>
    <m/>
    <x v="1000"/>
    <x v="982"/>
    <m/>
    <x v="1142"/>
    <x v="1214"/>
    <m/>
    <x v="2"/>
    <x v="2"/>
    <m/>
    <n v="44.564920000000001"/>
    <n v="-23.43487"/>
    <m/>
    <m/>
  </r>
  <r>
    <s v="MG51506170009001MAM"/>
    <x v="3"/>
    <x v="3"/>
    <m/>
    <x v="1"/>
    <x v="1"/>
    <m/>
    <x v="3"/>
    <x v="3"/>
    <m/>
    <x v="175"/>
    <x v="175"/>
    <m/>
    <x v="727"/>
    <x v="983"/>
    <m/>
    <x v="1143"/>
    <x v="1215"/>
    <m/>
    <x v="2"/>
    <x v="2"/>
    <m/>
    <n v="44.550648000000002"/>
    <n v="-23.466118000000002"/>
    <m/>
    <m/>
  </r>
  <r>
    <s v="MG23210330004001MAM"/>
    <x v="0"/>
    <x v="0"/>
    <m/>
    <x v="4"/>
    <x v="4"/>
    <m/>
    <x v="12"/>
    <x v="12"/>
    <m/>
    <x v="176"/>
    <x v="176"/>
    <m/>
    <x v="986"/>
    <x v="984"/>
    <m/>
    <x v="1144"/>
    <x v="1216"/>
    <m/>
    <x v="2"/>
    <x v="2"/>
    <m/>
    <n v="47.336849999999998"/>
    <n v="-22.73113"/>
    <m/>
    <m/>
  </r>
  <r>
    <s v="MG25217012001001MAM"/>
    <x v="0"/>
    <x v="0"/>
    <m/>
    <x v="4"/>
    <x v="4"/>
    <m/>
    <x v="12"/>
    <x v="12"/>
    <m/>
    <x v="176"/>
    <x v="176"/>
    <m/>
    <x v="1001"/>
    <x v="985"/>
    <m/>
    <x v="1145"/>
    <x v="1217"/>
    <m/>
    <x v="2"/>
    <x v="2"/>
    <m/>
    <n v="47.281300000000002"/>
    <n v="-22.731529999999999"/>
    <m/>
    <m/>
  </r>
  <r>
    <s v="MG25217012003001MAM"/>
    <x v="0"/>
    <x v="0"/>
    <m/>
    <x v="4"/>
    <x v="4"/>
    <m/>
    <x v="12"/>
    <x v="12"/>
    <m/>
    <x v="176"/>
    <x v="176"/>
    <m/>
    <x v="1002"/>
    <x v="986"/>
    <m/>
    <x v="1146"/>
    <x v="1218"/>
    <m/>
    <x v="2"/>
    <x v="2"/>
    <m/>
    <n v="47.326770000000003"/>
    <n v="-22.699549999999999"/>
    <m/>
    <m/>
  </r>
  <r>
    <s v="MG25217012009001MAM"/>
    <x v="0"/>
    <x v="0"/>
    <m/>
    <x v="4"/>
    <x v="4"/>
    <m/>
    <x v="12"/>
    <x v="12"/>
    <m/>
    <x v="176"/>
    <x v="176"/>
    <m/>
    <x v="956"/>
    <x v="987"/>
    <m/>
    <x v="1147"/>
    <x v="1219"/>
    <m/>
    <x v="2"/>
    <x v="2"/>
    <m/>
    <n v="47.351975000000003"/>
    <n v="-22.707605999999998"/>
    <m/>
    <m/>
  </r>
  <r>
    <s v="MG25217012012001MAM"/>
    <x v="0"/>
    <x v="0"/>
    <m/>
    <x v="4"/>
    <x v="4"/>
    <m/>
    <x v="12"/>
    <x v="12"/>
    <m/>
    <x v="176"/>
    <x v="176"/>
    <m/>
    <x v="1003"/>
    <x v="988"/>
    <m/>
    <x v="1148"/>
    <x v="1220"/>
    <m/>
    <x v="2"/>
    <x v="2"/>
    <m/>
    <n v="47.241750000000003"/>
    <n v="-22.7974"/>
    <m/>
    <m/>
  </r>
  <r>
    <s v="MG25214270087001MAM"/>
    <x v="0"/>
    <x v="0"/>
    <m/>
    <x v="4"/>
    <x v="4"/>
    <m/>
    <x v="10"/>
    <x v="10"/>
    <m/>
    <x v="177"/>
    <x v="177"/>
    <m/>
    <x v="1004"/>
    <x v="989"/>
    <m/>
    <x v="1149"/>
    <x v="1221"/>
    <m/>
    <x v="2"/>
    <x v="2"/>
    <m/>
    <n v="47.54365"/>
    <n v="-23.798829999999999"/>
    <m/>
    <m/>
  </r>
  <r>
    <s v="MG25214070006001MAM"/>
    <x v="0"/>
    <x v="0"/>
    <m/>
    <x v="4"/>
    <x v="4"/>
    <m/>
    <x v="11"/>
    <x v="11"/>
    <m/>
    <x v="178"/>
    <x v="178"/>
    <m/>
    <x v="1005"/>
    <x v="990"/>
    <m/>
    <x v="1150"/>
    <x v="1222"/>
    <m/>
    <x v="2"/>
    <x v="2"/>
    <m/>
    <n v="47.840831000000001"/>
    <n v="-22.658707"/>
    <m/>
    <m/>
  </r>
  <r>
    <s v="MG25214070043001MAM"/>
    <x v="0"/>
    <x v="0"/>
    <m/>
    <x v="4"/>
    <x v="4"/>
    <m/>
    <x v="11"/>
    <x v="11"/>
    <m/>
    <x v="178"/>
    <x v="178"/>
    <m/>
    <x v="35"/>
    <x v="991"/>
    <m/>
    <x v="1151"/>
    <x v="1223"/>
    <m/>
    <x v="2"/>
    <x v="2"/>
    <m/>
    <n v="47.794049999999999"/>
    <n v="-22.97392"/>
    <m/>
    <m/>
  </r>
  <r>
    <s v="MG25214070044001MAM"/>
    <x v="0"/>
    <x v="0"/>
    <m/>
    <x v="4"/>
    <x v="4"/>
    <m/>
    <x v="11"/>
    <x v="11"/>
    <m/>
    <x v="178"/>
    <x v="178"/>
    <m/>
    <x v="1006"/>
    <x v="992"/>
    <m/>
    <x v="1152"/>
    <x v="1224"/>
    <m/>
    <x v="2"/>
    <x v="2"/>
    <m/>
    <n v="47.752630000000003"/>
    <n v="-22.971769999999999"/>
    <m/>
    <m/>
  </r>
  <r>
    <s v="MG25214171005001MAM"/>
    <x v="0"/>
    <x v="0"/>
    <m/>
    <x v="4"/>
    <x v="4"/>
    <m/>
    <x v="11"/>
    <x v="11"/>
    <m/>
    <x v="178"/>
    <x v="178"/>
    <m/>
    <x v="1007"/>
    <x v="993"/>
    <m/>
    <x v="1153"/>
    <x v="1225"/>
    <m/>
    <x v="2"/>
    <x v="2"/>
    <m/>
    <n v="47.510930000000002"/>
    <n v="-23.54053"/>
    <m/>
    <m/>
  </r>
  <r>
    <s v="MG23211051004001MAM"/>
    <x v="0"/>
    <x v="0"/>
    <m/>
    <x v="0"/>
    <x v="0"/>
    <m/>
    <x v="14"/>
    <x v="14"/>
    <m/>
    <x v="179"/>
    <x v="179"/>
    <m/>
    <x v="1008"/>
    <x v="994"/>
    <m/>
    <x v="1154"/>
    <x v="1226"/>
    <m/>
    <x v="2"/>
    <x v="2"/>
    <m/>
    <n v="47.578780000000002"/>
    <n v="-21.636970000000002"/>
    <m/>
    <m/>
  </r>
  <r>
    <s v="MG31309050012001MAM"/>
    <x v="0"/>
    <x v="0"/>
    <m/>
    <x v="0"/>
    <x v="0"/>
    <m/>
    <x v="14"/>
    <x v="14"/>
    <m/>
    <x v="179"/>
    <x v="179"/>
    <m/>
    <x v="1009"/>
    <x v="995"/>
    <m/>
    <x v="1155"/>
    <x v="1227"/>
    <m/>
    <x v="2"/>
    <x v="2"/>
    <m/>
    <n v="47.56523"/>
    <n v="-21.64255"/>
    <m/>
    <m/>
  </r>
  <r>
    <s v="MG25217112003001MAM"/>
    <x v="0"/>
    <x v="0"/>
    <m/>
    <x v="4"/>
    <x v="4"/>
    <m/>
    <x v="12"/>
    <x v="12"/>
    <m/>
    <x v="180"/>
    <x v="180"/>
    <m/>
    <x v="1010"/>
    <x v="996"/>
    <m/>
    <x v="1156"/>
    <x v="1228"/>
    <m/>
    <x v="2"/>
    <x v="2"/>
    <m/>
    <n v="47.506030000000003"/>
    <n v="-22.413350000000001"/>
    <m/>
    <m/>
  </r>
  <r>
    <s v="MG25217112006001MAM"/>
    <x v="0"/>
    <x v="0"/>
    <m/>
    <x v="4"/>
    <x v="4"/>
    <m/>
    <x v="12"/>
    <x v="12"/>
    <m/>
    <x v="180"/>
    <x v="180"/>
    <m/>
    <x v="1011"/>
    <x v="997"/>
    <m/>
    <x v="1157"/>
    <x v="1229"/>
    <m/>
    <x v="2"/>
    <x v="2"/>
    <m/>
    <n v="47.546169999999996"/>
    <n v="-22.492180000000001"/>
    <m/>
    <m/>
  </r>
  <r>
    <s v="MG53519210001001MAM"/>
    <x v="5"/>
    <x v="5"/>
    <m/>
    <x v="3"/>
    <x v="3"/>
    <m/>
    <x v="4"/>
    <x v="4"/>
    <m/>
    <x v="181"/>
    <x v="181"/>
    <m/>
    <x v="979"/>
    <x v="998"/>
    <m/>
    <x v="1158"/>
    <x v="1230"/>
    <m/>
    <x v="2"/>
    <x v="2"/>
    <m/>
    <n v="46.793050000000001"/>
    <n v="-24.39283"/>
    <m/>
    <m/>
  </r>
  <r>
    <s v="MG53519210001002MAM"/>
    <x v="5"/>
    <x v="5"/>
    <m/>
    <x v="3"/>
    <x v="3"/>
    <m/>
    <x v="4"/>
    <x v="4"/>
    <m/>
    <x v="181"/>
    <x v="181"/>
    <m/>
    <x v="979"/>
    <x v="998"/>
    <m/>
    <x v="1159"/>
    <x v="1231"/>
    <m/>
    <x v="2"/>
    <x v="2"/>
    <m/>
    <n v="46.793050000000001"/>
    <n v="-24.39283"/>
    <m/>
    <m/>
  </r>
  <r>
    <s v="MG53519210005001MAM"/>
    <x v="5"/>
    <x v="5"/>
    <m/>
    <x v="3"/>
    <x v="3"/>
    <m/>
    <x v="4"/>
    <x v="4"/>
    <m/>
    <x v="181"/>
    <x v="181"/>
    <m/>
    <x v="1012"/>
    <x v="999"/>
    <m/>
    <x v="1160"/>
    <x v="1232"/>
    <m/>
    <x v="2"/>
    <x v="2"/>
    <m/>
    <n v="46.818480000000001"/>
    <n v="-24.369949999999999"/>
    <m/>
    <m/>
  </r>
  <r>
    <s v="MG53519210005002MAM"/>
    <x v="5"/>
    <x v="5"/>
    <m/>
    <x v="3"/>
    <x v="3"/>
    <m/>
    <x v="4"/>
    <x v="4"/>
    <m/>
    <x v="181"/>
    <x v="181"/>
    <m/>
    <x v="1012"/>
    <x v="999"/>
    <m/>
    <x v="1161"/>
    <x v="1233"/>
    <m/>
    <x v="2"/>
    <x v="2"/>
    <m/>
    <n v="46.818480000000001"/>
    <n v="-24.369949999999999"/>
    <m/>
    <m/>
  </r>
  <r>
    <s v="MG53519210067001MAM"/>
    <x v="5"/>
    <x v="5"/>
    <m/>
    <x v="3"/>
    <x v="3"/>
    <m/>
    <x v="4"/>
    <x v="4"/>
    <m/>
    <x v="181"/>
    <x v="181"/>
    <m/>
    <x v="1013"/>
    <x v="1000"/>
    <m/>
    <x v="1162"/>
    <x v="1234"/>
    <m/>
    <x v="2"/>
    <x v="2"/>
    <m/>
    <n v="46.786799999999999"/>
    <n v="-24.524529999999999"/>
    <m/>
    <m/>
  </r>
  <r>
    <s v="MG53519210067002MAM"/>
    <x v="5"/>
    <x v="5"/>
    <m/>
    <x v="3"/>
    <x v="3"/>
    <m/>
    <x v="4"/>
    <x v="4"/>
    <m/>
    <x v="181"/>
    <x v="181"/>
    <m/>
    <x v="1013"/>
    <x v="1000"/>
    <m/>
    <x v="1163"/>
    <x v="1235"/>
    <m/>
    <x v="2"/>
    <x v="2"/>
    <m/>
    <n v="46.786799999999999"/>
    <n v="-24.524529999999999"/>
    <m/>
    <m/>
  </r>
  <r>
    <s v="MG31306070016001MAM"/>
    <x v="1"/>
    <x v="1"/>
    <m/>
    <x v="1"/>
    <x v="1"/>
    <m/>
    <x v="1"/>
    <x v="1"/>
    <m/>
    <x v="182"/>
    <x v="182"/>
    <m/>
    <x v="1014"/>
    <x v="1001"/>
    <m/>
    <x v="1164"/>
    <x v="1236"/>
    <m/>
    <x v="2"/>
    <x v="2"/>
    <m/>
    <n v="44.884279999999997"/>
    <n v="-24.59103"/>
    <m/>
    <m/>
  </r>
  <r>
    <s v="MG41415032001001MAM"/>
    <x v="1"/>
    <x v="1"/>
    <m/>
    <x v="1"/>
    <x v="1"/>
    <m/>
    <x v="1"/>
    <x v="1"/>
    <m/>
    <x v="182"/>
    <x v="182"/>
    <m/>
    <x v="1015"/>
    <x v="1002"/>
    <m/>
    <x v="1165"/>
    <x v="1237"/>
    <m/>
    <x v="2"/>
    <x v="2"/>
    <m/>
    <n v="44.872929999999997"/>
    <n v="-24.46538"/>
    <m/>
    <m/>
  </r>
  <r>
    <s v="MG51507090001001MAM"/>
    <x v="1"/>
    <x v="1"/>
    <m/>
    <x v="1"/>
    <x v="1"/>
    <m/>
    <x v="1"/>
    <x v="1"/>
    <m/>
    <x v="182"/>
    <x v="182"/>
    <m/>
    <x v="1016"/>
    <x v="1003"/>
    <m/>
    <x v="1166"/>
    <x v="1238"/>
    <m/>
    <x v="2"/>
    <x v="2"/>
    <m/>
    <n v="44.813200000000002"/>
    <n v="-24.523869999999999"/>
    <m/>
    <m/>
  </r>
  <r>
    <s v="MG51507090002001MAM"/>
    <x v="1"/>
    <x v="1"/>
    <m/>
    <x v="1"/>
    <x v="1"/>
    <m/>
    <x v="1"/>
    <x v="1"/>
    <m/>
    <x v="182"/>
    <x v="182"/>
    <m/>
    <x v="1017"/>
    <x v="1004"/>
    <m/>
    <x v="1167"/>
    <x v="1239"/>
    <m/>
    <x v="2"/>
    <x v="2"/>
    <m/>
    <n v="44.974879999999999"/>
    <n v="-24.35838"/>
    <m/>
    <m/>
  </r>
  <r>
    <s v="MG51507090004001MAM"/>
    <x v="1"/>
    <x v="1"/>
    <m/>
    <x v="1"/>
    <x v="1"/>
    <m/>
    <x v="1"/>
    <x v="1"/>
    <m/>
    <x v="182"/>
    <x v="182"/>
    <m/>
    <x v="1018"/>
    <x v="1005"/>
    <m/>
    <x v="1168"/>
    <x v="1240"/>
    <m/>
    <x v="2"/>
    <x v="2"/>
    <m/>
    <n v="44.851730000000003"/>
    <n v="-24.45908"/>
    <m/>
    <m/>
  </r>
  <r>
    <s v="MG51507090006001MAM"/>
    <x v="1"/>
    <x v="1"/>
    <m/>
    <x v="1"/>
    <x v="1"/>
    <m/>
    <x v="1"/>
    <x v="1"/>
    <m/>
    <x v="182"/>
    <x v="182"/>
    <m/>
    <x v="1019"/>
    <x v="1006"/>
    <m/>
    <x v="1169"/>
    <x v="1241"/>
    <m/>
    <x v="2"/>
    <x v="2"/>
    <m/>
    <n v="44.912080000000003"/>
    <n v="-24.46735"/>
    <m/>
    <m/>
  </r>
  <r>
    <s v="MG51507090009001MAM"/>
    <x v="1"/>
    <x v="1"/>
    <m/>
    <x v="1"/>
    <x v="1"/>
    <m/>
    <x v="1"/>
    <x v="1"/>
    <m/>
    <x v="182"/>
    <x v="182"/>
    <m/>
    <x v="1020"/>
    <x v="1007"/>
    <m/>
    <x v="1170"/>
    <x v="1242"/>
    <m/>
    <x v="2"/>
    <x v="2"/>
    <m/>
    <n v="44.887779999999999"/>
    <n v="-24.546679999999999"/>
    <m/>
    <m/>
  </r>
  <r>
    <s v="MG51507090010001MAM"/>
    <x v="1"/>
    <x v="1"/>
    <m/>
    <x v="1"/>
    <x v="1"/>
    <m/>
    <x v="1"/>
    <x v="1"/>
    <m/>
    <x v="182"/>
    <x v="182"/>
    <m/>
    <x v="1021"/>
    <x v="1008"/>
    <m/>
    <x v="1171"/>
    <x v="1243"/>
    <m/>
    <x v="2"/>
    <x v="2"/>
    <m/>
    <n v="44.917299999999997"/>
    <n v="-24.54693"/>
    <m/>
    <m/>
  </r>
  <r>
    <s v="MG51507090011001MAM"/>
    <x v="1"/>
    <x v="1"/>
    <m/>
    <x v="1"/>
    <x v="1"/>
    <m/>
    <x v="1"/>
    <x v="1"/>
    <m/>
    <x v="182"/>
    <x v="182"/>
    <m/>
    <x v="1022"/>
    <x v="1009"/>
    <m/>
    <x v="1172"/>
    <x v="1244"/>
    <m/>
    <x v="2"/>
    <x v="2"/>
    <m/>
    <n v="44.843670000000003"/>
    <n v="-24.55902"/>
    <m/>
    <m/>
  </r>
  <r>
    <s v="MG51507090012001MAM"/>
    <x v="1"/>
    <x v="1"/>
    <m/>
    <x v="1"/>
    <x v="1"/>
    <m/>
    <x v="1"/>
    <x v="1"/>
    <m/>
    <x v="182"/>
    <x v="182"/>
    <m/>
    <x v="1023"/>
    <x v="1010"/>
    <m/>
    <x v="1173"/>
    <x v="1245"/>
    <m/>
    <x v="2"/>
    <x v="2"/>
    <m/>
    <n v="44.903849999999998"/>
    <n v="-24.591100000000001"/>
    <m/>
    <m/>
  </r>
  <r>
    <s v="MG51507090013001MAM"/>
    <x v="1"/>
    <x v="1"/>
    <m/>
    <x v="1"/>
    <x v="1"/>
    <m/>
    <x v="1"/>
    <x v="1"/>
    <m/>
    <x v="182"/>
    <x v="182"/>
    <m/>
    <x v="1024"/>
    <x v="1011"/>
    <m/>
    <x v="1174"/>
    <x v="1246"/>
    <m/>
    <x v="2"/>
    <x v="2"/>
    <m/>
    <n v="44.884279999999997"/>
    <n v="-24.59103"/>
    <m/>
    <m/>
  </r>
  <r>
    <s v="MG51507090015001MAM"/>
    <x v="1"/>
    <x v="1"/>
    <m/>
    <x v="1"/>
    <x v="1"/>
    <m/>
    <x v="1"/>
    <x v="1"/>
    <m/>
    <x v="182"/>
    <x v="182"/>
    <m/>
    <x v="1025"/>
    <x v="1012"/>
    <m/>
    <x v="1175"/>
    <x v="1247"/>
    <m/>
    <x v="2"/>
    <x v="2"/>
    <m/>
    <n v="44.834800000000001"/>
    <n v="-24.480070000000001"/>
    <m/>
    <m/>
  </r>
  <r>
    <s v="MG51507130002001MAM"/>
    <x v="1"/>
    <x v="1"/>
    <m/>
    <x v="1"/>
    <x v="1"/>
    <m/>
    <x v="1"/>
    <x v="1"/>
    <m/>
    <x v="182"/>
    <x v="182"/>
    <m/>
    <x v="1026"/>
    <x v="1013"/>
    <m/>
    <x v="1176"/>
    <x v="1248"/>
    <m/>
    <x v="2"/>
    <x v="2"/>
    <m/>
    <n v="45.048650000000002"/>
    <n v="-24.26313"/>
    <m/>
    <m/>
  </r>
  <r>
    <s v="MG52516013005001MAM"/>
    <x v="1"/>
    <x v="1"/>
    <m/>
    <x v="1"/>
    <x v="1"/>
    <m/>
    <x v="1"/>
    <x v="1"/>
    <m/>
    <x v="182"/>
    <x v="182"/>
    <m/>
    <x v="1027"/>
    <x v="1014"/>
    <m/>
    <x v="1177"/>
    <x v="1249"/>
    <m/>
    <x v="2"/>
    <x v="2"/>
    <m/>
    <n v="45.001981000000001"/>
    <n v="-24.322172999999999"/>
    <m/>
    <m/>
  </r>
  <r>
    <s v="MG52516013064001MAM"/>
    <x v="1"/>
    <x v="1"/>
    <m/>
    <x v="1"/>
    <x v="1"/>
    <m/>
    <x v="1"/>
    <x v="1"/>
    <m/>
    <x v="182"/>
    <x v="182"/>
    <m/>
    <x v="1028"/>
    <x v="1015"/>
    <m/>
    <x v="1178"/>
    <x v="1250"/>
    <m/>
    <x v="2"/>
    <x v="2"/>
    <m/>
    <n v="44.912080000000003"/>
    <n v="-24.46735"/>
    <m/>
    <m/>
  </r>
  <r>
    <s v="MG52516013065001MAM"/>
    <x v="1"/>
    <x v="1"/>
    <m/>
    <x v="1"/>
    <x v="1"/>
    <m/>
    <x v="1"/>
    <x v="1"/>
    <m/>
    <x v="182"/>
    <x v="182"/>
    <m/>
    <x v="1029"/>
    <x v="1016"/>
    <m/>
    <x v="1179"/>
    <x v="1251"/>
    <m/>
    <x v="2"/>
    <x v="2"/>
    <m/>
    <n v="44.847670000000001"/>
    <n v="-24.577819999999999"/>
    <m/>
    <m/>
  </r>
  <r>
    <s v="MG52516013066001MAM"/>
    <x v="1"/>
    <x v="1"/>
    <m/>
    <x v="1"/>
    <x v="1"/>
    <m/>
    <x v="1"/>
    <x v="1"/>
    <m/>
    <x v="182"/>
    <x v="182"/>
    <m/>
    <x v="224"/>
    <x v="1017"/>
    <m/>
    <x v="233"/>
    <x v="1252"/>
    <m/>
    <x v="2"/>
    <x v="2"/>
    <m/>
    <n v="44.847119999999997"/>
    <n v="-24.589600000000001"/>
    <m/>
    <m/>
  </r>
  <r>
    <s v="MG52516013067001MAM"/>
    <x v="1"/>
    <x v="1"/>
    <m/>
    <x v="1"/>
    <x v="1"/>
    <m/>
    <x v="1"/>
    <x v="1"/>
    <m/>
    <x v="182"/>
    <x v="182"/>
    <m/>
    <x v="1030"/>
    <x v="1018"/>
    <m/>
    <x v="1180"/>
    <x v="1253"/>
    <m/>
    <x v="2"/>
    <x v="2"/>
    <m/>
    <n v="45.033630000000002"/>
    <n v="-24.315729999999999"/>
    <m/>
    <m/>
  </r>
  <r>
    <s v="MG52516013068001MAM"/>
    <x v="1"/>
    <x v="1"/>
    <m/>
    <x v="1"/>
    <x v="1"/>
    <m/>
    <x v="1"/>
    <x v="1"/>
    <m/>
    <x v="182"/>
    <x v="182"/>
    <m/>
    <x v="1031"/>
    <x v="1019"/>
    <m/>
    <x v="1181"/>
    <x v="1254"/>
    <m/>
    <x v="2"/>
    <x v="2"/>
    <m/>
    <n v="45.033630000000002"/>
    <n v="-24.315729999999999"/>
    <m/>
    <m/>
  </r>
  <r>
    <s v="MG52516013069001MAM"/>
    <x v="1"/>
    <x v="1"/>
    <m/>
    <x v="1"/>
    <x v="1"/>
    <m/>
    <x v="1"/>
    <x v="1"/>
    <m/>
    <x v="182"/>
    <x v="182"/>
    <m/>
    <x v="1032"/>
    <x v="1020"/>
    <m/>
    <x v="1182"/>
    <x v="1255"/>
    <m/>
    <x v="2"/>
    <x v="2"/>
    <m/>
    <n v="44.890700000000002"/>
    <n v="-24.432849999999998"/>
    <m/>
    <m/>
  </r>
  <r>
    <s v="MG52516013070001MAM"/>
    <x v="1"/>
    <x v="1"/>
    <m/>
    <x v="1"/>
    <x v="1"/>
    <m/>
    <x v="1"/>
    <x v="1"/>
    <m/>
    <x v="182"/>
    <x v="182"/>
    <m/>
    <x v="1033"/>
    <x v="1021"/>
    <m/>
    <x v="1183"/>
    <x v="1256"/>
    <m/>
    <x v="2"/>
    <x v="2"/>
    <m/>
    <n v="44.867249999999999"/>
    <n v="-24.533100000000001"/>
    <m/>
    <m/>
  </r>
  <r>
    <s v="MG52516013071001MAM"/>
    <x v="1"/>
    <x v="1"/>
    <m/>
    <x v="1"/>
    <x v="1"/>
    <m/>
    <x v="1"/>
    <x v="1"/>
    <m/>
    <x v="182"/>
    <x v="182"/>
    <m/>
    <x v="1034"/>
    <x v="1022"/>
    <m/>
    <x v="1184"/>
    <x v="1257"/>
    <m/>
    <x v="2"/>
    <x v="2"/>
    <m/>
    <n v="44.860680000000002"/>
    <n v="-24.498080000000002"/>
    <m/>
    <m/>
  </r>
  <r>
    <s v="MG52516013072001MAM"/>
    <x v="1"/>
    <x v="1"/>
    <m/>
    <x v="1"/>
    <x v="1"/>
    <m/>
    <x v="1"/>
    <x v="1"/>
    <m/>
    <x v="182"/>
    <x v="182"/>
    <m/>
    <x v="1035"/>
    <x v="1023"/>
    <m/>
    <x v="1185"/>
    <x v="1258"/>
    <m/>
    <x v="2"/>
    <x v="2"/>
    <m/>
    <n v="44.873600000000003"/>
    <n v="-24.446179999999998"/>
    <m/>
    <m/>
  </r>
  <r>
    <s v="MG52516071012001MAM"/>
    <x v="5"/>
    <x v="5"/>
    <m/>
    <x v="2"/>
    <x v="2"/>
    <m/>
    <x v="6"/>
    <x v="6"/>
    <m/>
    <x v="30"/>
    <x v="30"/>
    <m/>
    <x v="174"/>
    <x v="1024"/>
    <m/>
    <x v="178"/>
    <x v="1259"/>
    <m/>
    <x v="2"/>
    <x v="2"/>
    <m/>
    <n v="46.186100000000003"/>
    <n v="-25.156269999999999"/>
    <m/>
    <m/>
  </r>
  <r>
    <s v="MG52516071017001MAM"/>
    <x v="5"/>
    <x v="5"/>
    <m/>
    <x v="2"/>
    <x v="2"/>
    <m/>
    <x v="6"/>
    <x v="6"/>
    <m/>
    <x v="30"/>
    <x v="30"/>
    <m/>
    <x v="112"/>
    <x v="1025"/>
    <m/>
    <x v="1186"/>
    <x v="1260"/>
    <m/>
    <x v="2"/>
    <x v="2"/>
    <m/>
    <n v="46.173270000000002"/>
    <n v="-25.19445"/>
    <m/>
    <m/>
  </r>
  <r>
    <s v="MG52516071020001MAM"/>
    <x v="5"/>
    <x v="5"/>
    <m/>
    <x v="2"/>
    <x v="2"/>
    <m/>
    <x v="6"/>
    <x v="6"/>
    <m/>
    <x v="30"/>
    <x v="30"/>
    <m/>
    <x v="1036"/>
    <x v="1026"/>
    <m/>
    <x v="1187"/>
    <x v="1261"/>
    <m/>
    <x v="2"/>
    <x v="2"/>
    <m/>
    <n v="46.189279999999997"/>
    <n v="-25.19933"/>
    <m/>
    <m/>
  </r>
  <r>
    <s v="MG52516071028001MAM"/>
    <x v="5"/>
    <x v="5"/>
    <m/>
    <x v="2"/>
    <x v="2"/>
    <m/>
    <x v="6"/>
    <x v="6"/>
    <m/>
    <x v="30"/>
    <x v="30"/>
    <m/>
    <x v="1037"/>
    <x v="1027"/>
    <m/>
    <x v="1188"/>
    <x v="1262"/>
    <m/>
    <x v="2"/>
    <x v="2"/>
    <m/>
    <n v="46.177079999999997"/>
    <n v="-25.191929999999999"/>
    <m/>
    <m/>
  </r>
  <r>
    <s v="MG52516071064001MAM"/>
    <x v="5"/>
    <x v="5"/>
    <m/>
    <x v="2"/>
    <x v="2"/>
    <m/>
    <x v="6"/>
    <x v="6"/>
    <m/>
    <x v="30"/>
    <x v="30"/>
    <m/>
    <x v="1038"/>
    <x v="1028"/>
    <m/>
    <x v="1189"/>
    <x v="1263"/>
    <m/>
    <x v="2"/>
    <x v="2"/>
    <m/>
    <n v="46.191299999999998"/>
    <n v="-25.201270000000001"/>
    <m/>
    <m/>
  </r>
  <r>
    <s v="MG52516071065001MAM"/>
    <x v="5"/>
    <x v="5"/>
    <m/>
    <x v="2"/>
    <x v="2"/>
    <m/>
    <x v="6"/>
    <x v="6"/>
    <m/>
    <x v="30"/>
    <x v="30"/>
    <m/>
    <x v="1039"/>
    <x v="1029"/>
    <m/>
    <x v="1190"/>
    <x v="1264"/>
    <m/>
    <x v="2"/>
    <x v="2"/>
    <m/>
    <n v="46.173450000000003"/>
    <n v="-25.194780000000002"/>
    <m/>
    <m/>
  </r>
  <r>
    <s v="MG52516071066001MAM"/>
    <x v="5"/>
    <x v="5"/>
    <m/>
    <x v="2"/>
    <x v="2"/>
    <m/>
    <x v="6"/>
    <x v="6"/>
    <m/>
    <x v="30"/>
    <x v="30"/>
    <m/>
    <x v="1040"/>
    <x v="1030"/>
    <m/>
    <x v="1191"/>
    <x v="1265"/>
    <m/>
    <x v="2"/>
    <x v="2"/>
    <m/>
    <n v="46.190280000000001"/>
    <n v="-25.198650000000001"/>
    <m/>
    <m/>
  </r>
  <r>
    <s v="MG52516071067001MAM"/>
    <x v="5"/>
    <x v="5"/>
    <m/>
    <x v="2"/>
    <x v="2"/>
    <m/>
    <x v="6"/>
    <x v="6"/>
    <m/>
    <x v="30"/>
    <x v="30"/>
    <m/>
    <x v="1041"/>
    <x v="1031"/>
    <m/>
    <x v="1192"/>
    <x v="1266"/>
    <m/>
    <x v="2"/>
    <x v="2"/>
    <m/>
    <n v="46.187100000000001"/>
    <n v="-25.156500000000001"/>
    <m/>
    <m/>
  </r>
  <r>
    <s v="MG52516071068001MAM"/>
    <x v="5"/>
    <x v="5"/>
    <m/>
    <x v="2"/>
    <x v="2"/>
    <m/>
    <x v="6"/>
    <x v="6"/>
    <m/>
    <x v="30"/>
    <x v="30"/>
    <m/>
    <x v="1042"/>
    <x v="1032"/>
    <m/>
    <x v="1193"/>
    <x v="1267"/>
    <m/>
    <x v="2"/>
    <x v="2"/>
    <m/>
    <n v="46.170400000000001"/>
    <n v="-25.22167"/>
    <m/>
    <m/>
  </r>
  <r>
    <s v="MG52513092004001MAM"/>
    <x v="5"/>
    <x v="5"/>
    <m/>
    <x v="2"/>
    <x v="2"/>
    <m/>
    <x v="6"/>
    <x v="6"/>
    <m/>
    <x v="183"/>
    <x v="183"/>
    <m/>
    <x v="1043"/>
    <x v="1033"/>
    <m/>
    <x v="1194"/>
    <x v="1268"/>
    <m/>
    <x v="2"/>
    <x v="2"/>
    <m/>
    <n v="46.215187"/>
    <n v="-25.175840000000001"/>
    <m/>
    <m/>
  </r>
  <r>
    <s v="MG52516071089001MAM"/>
    <x v="5"/>
    <x v="5"/>
    <m/>
    <x v="2"/>
    <x v="2"/>
    <m/>
    <x v="6"/>
    <x v="6"/>
    <m/>
    <x v="183"/>
    <x v="183"/>
    <m/>
    <x v="1044"/>
    <x v="1034"/>
    <m/>
    <x v="1195"/>
    <x v="1269"/>
    <m/>
    <x v="2"/>
    <x v="2"/>
    <m/>
    <n v="46.201717000000002"/>
    <n v="-25.178325000000001"/>
    <m/>
    <m/>
  </r>
  <r>
    <s v="MG52516072003001MAM"/>
    <x v="5"/>
    <x v="5"/>
    <m/>
    <x v="2"/>
    <x v="2"/>
    <m/>
    <x v="6"/>
    <x v="6"/>
    <m/>
    <x v="183"/>
    <x v="183"/>
    <m/>
    <x v="1045"/>
    <x v="1035"/>
    <m/>
    <x v="1196"/>
    <x v="1270"/>
    <m/>
    <x v="2"/>
    <x v="2"/>
    <m/>
    <n v="46.209269999999997"/>
    <n v="-25.159680000000002"/>
    <m/>
    <m/>
  </r>
  <r>
    <s v="MG52516072013001MAM"/>
    <x v="5"/>
    <x v="5"/>
    <m/>
    <x v="2"/>
    <x v="2"/>
    <m/>
    <x v="6"/>
    <x v="6"/>
    <m/>
    <x v="183"/>
    <x v="183"/>
    <m/>
    <x v="1046"/>
    <x v="1036"/>
    <m/>
    <x v="1197"/>
    <x v="1271"/>
    <m/>
    <x v="2"/>
    <x v="2"/>
    <m/>
    <n v="46.270380000000003"/>
    <n v="-25.174969999999998"/>
    <m/>
    <m/>
  </r>
  <r>
    <s v="MG52516072014001MAM"/>
    <x v="5"/>
    <x v="5"/>
    <m/>
    <x v="2"/>
    <x v="2"/>
    <m/>
    <x v="6"/>
    <x v="6"/>
    <m/>
    <x v="183"/>
    <x v="183"/>
    <m/>
    <x v="1047"/>
    <x v="1037"/>
    <m/>
    <x v="1198"/>
    <x v="1272"/>
    <m/>
    <x v="2"/>
    <x v="2"/>
    <m/>
    <n v="46.237670000000001"/>
    <n v="-25.178070000000002"/>
    <m/>
    <m/>
  </r>
  <r>
    <s v="MG52516072015001MAM"/>
    <x v="5"/>
    <x v="5"/>
    <m/>
    <x v="2"/>
    <x v="2"/>
    <m/>
    <x v="6"/>
    <x v="6"/>
    <m/>
    <x v="183"/>
    <x v="183"/>
    <m/>
    <x v="1048"/>
    <x v="1038"/>
    <m/>
    <x v="1199"/>
    <x v="1273"/>
    <m/>
    <x v="2"/>
    <x v="2"/>
    <m/>
    <n v="46.225569999999998"/>
    <n v="-25.11788"/>
    <m/>
    <m/>
  </r>
  <r>
    <s v="MG52516072071001MAM"/>
    <x v="5"/>
    <x v="5"/>
    <m/>
    <x v="2"/>
    <x v="2"/>
    <m/>
    <x v="6"/>
    <x v="6"/>
    <m/>
    <x v="183"/>
    <x v="183"/>
    <m/>
    <x v="1049"/>
    <x v="1039"/>
    <m/>
    <x v="1200"/>
    <x v="1274"/>
    <m/>
    <x v="2"/>
    <x v="2"/>
    <m/>
    <n v="46.235080000000004"/>
    <n v="-25.172730000000001"/>
    <m/>
    <m/>
  </r>
  <r>
    <s v="MG52516072072001MAM"/>
    <x v="5"/>
    <x v="5"/>
    <m/>
    <x v="2"/>
    <x v="2"/>
    <m/>
    <x v="6"/>
    <x v="6"/>
    <m/>
    <x v="183"/>
    <x v="183"/>
    <m/>
    <x v="1050"/>
    <x v="1040"/>
    <m/>
    <x v="1201"/>
    <x v="1275"/>
    <m/>
    <x v="2"/>
    <x v="2"/>
    <m/>
    <n v="46.213030000000003"/>
    <n v="-25.120329999999999"/>
    <m/>
    <m/>
  </r>
  <r>
    <s v="MG52516072073001MAM"/>
    <x v="5"/>
    <x v="5"/>
    <m/>
    <x v="2"/>
    <x v="2"/>
    <m/>
    <x v="6"/>
    <x v="6"/>
    <m/>
    <x v="183"/>
    <x v="183"/>
    <m/>
    <x v="1051"/>
    <x v="1041"/>
    <m/>
    <x v="1202"/>
    <x v="1276"/>
    <m/>
    <x v="2"/>
    <x v="2"/>
    <m/>
    <n v="46.259779999999999"/>
    <n v="-25.15335"/>
    <m/>
    <m/>
  </r>
  <r>
    <s v="MG52516072074001MAM"/>
    <x v="5"/>
    <x v="5"/>
    <m/>
    <x v="2"/>
    <x v="2"/>
    <m/>
    <x v="6"/>
    <x v="6"/>
    <m/>
    <x v="183"/>
    <x v="183"/>
    <m/>
    <x v="1052"/>
    <x v="1042"/>
    <m/>
    <x v="1203"/>
    <x v="1277"/>
    <m/>
    <x v="2"/>
    <x v="2"/>
    <m/>
    <n v="46.218679999999999"/>
    <n v="-25.18862"/>
    <m/>
    <m/>
  </r>
  <r>
    <s v="MG52516072075001MAM"/>
    <x v="5"/>
    <x v="5"/>
    <m/>
    <x v="2"/>
    <x v="2"/>
    <m/>
    <x v="6"/>
    <x v="6"/>
    <m/>
    <x v="183"/>
    <x v="183"/>
    <m/>
    <x v="1053"/>
    <x v="1043"/>
    <m/>
    <x v="1204"/>
    <x v="1278"/>
    <m/>
    <x v="2"/>
    <x v="2"/>
    <m/>
    <n v="46.24485"/>
    <n v="-25.175719999999998"/>
    <m/>
    <m/>
  </r>
  <r>
    <s v="MG52516072076001MAM"/>
    <x v="5"/>
    <x v="5"/>
    <m/>
    <x v="2"/>
    <x v="2"/>
    <m/>
    <x v="6"/>
    <x v="6"/>
    <m/>
    <x v="183"/>
    <x v="183"/>
    <m/>
    <x v="1054"/>
    <x v="1044"/>
    <m/>
    <x v="1205"/>
    <x v="1279"/>
    <m/>
    <x v="2"/>
    <x v="2"/>
    <m/>
    <n v="46.205550000000002"/>
    <n v="-25.18253"/>
    <m/>
    <m/>
  </r>
  <r>
    <s v="MG52516072077001MAM"/>
    <x v="5"/>
    <x v="5"/>
    <m/>
    <x v="2"/>
    <x v="2"/>
    <m/>
    <x v="6"/>
    <x v="6"/>
    <m/>
    <x v="183"/>
    <x v="183"/>
    <m/>
    <x v="1055"/>
    <x v="1045"/>
    <m/>
    <x v="1206"/>
    <x v="1280"/>
    <m/>
    <x v="2"/>
    <x v="2"/>
    <m/>
    <n v="46.20872"/>
    <n v="-25.15982"/>
    <m/>
    <m/>
  </r>
  <r>
    <s v="MG52516072078001MAM"/>
    <x v="5"/>
    <x v="5"/>
    <m/>
    <x v="2"/>
    <x v="2"/>
    <m/>
    <x v="6"/>
    <x v="6"/>
    <m/>
    <x v="183"/>
    <x v="183"/>
    <m/>
    <x v="1056"/>
    <x v="1046"/>
    <m/>
    <x v="1207"/>
    <x v="1281"/>
    <m/>
    <x v="2"/>
    <x v="2"/>
    <m/>
    <n v="46.207120000000003"/>
    <n v="-25.196919999999999"/>
    <m/>
    <m/>
  </r>
  <r>
    <s v="MG52516072079001MAM"/>
    <x v="5"/>
    <x v="5"/>
    <m/>
    <x v="2"/>
    <x v="2"/>
    <m/>
    <x v="6"/>
    <x v="6"/>
    <m/>
    <x v="183"/>
    <x v="183"/>
    <m/>
    <x v="1057"/>
    <x v="1047"/>
    <m/>
    <x v="1208"/>
    <x v="1282"/>
    <m/>
    <x v="2"/>
    <x v="2"/>
    <m/>
    <n v="46.251719999999999"/>
    <n v="-25.16583"/>
    <m/>
    <m/>
  </r>
  <r>
    <s v="MG52516072080001MAM"/>
    <x v="5"/>
    <x v="5"/>
    <m/>
    <x v="2"/>
    <x v="2"/>
    <m/>
    <x v="6"/>
    <x v="6"/>
    <m/>
    <x v="183"/>
    <x v="183"/>
    <m/>
    <x v="1058"/>
    <x v="1048"/>
    <m/>
    <x v="1209"/>
    <x v="1283"/>
    <m/>
    <x v="2"/>
    <x v="2"/>
    <m/>
    <n v="46.258319999999998"/>
    <n v="-25.174980000000001"/>
    <m/>
    <m/>
  </r>
  <r>
    <s v="MG52516072081001MAM"/>
    <x v="5"/>
    <x v="5"/>
    <m/>
    <x v="2"/>
    <x v="2"/>
    <m/>
    <x v="6"/>
    <x v="6"/>
    <m/>
    <x v="183"/>
    <x v="183"/>
    <m/>
    <x v="1059"/>
    <x v="1049"/>
    <m/>
    <x v="1210"/>
    <x v="1284"/>
    <m/>
    <x v="2"/>
    <x v="2"/>
    <m/>
    <n v="46.25432"/>
    <n v="-25.1739"/>
    <m/>
    <m/>
  </r>
  <r>
    <s v="MG52516072082001MAM"/>
    <x v="5"/>
    <x v="5"/>
    <m/>
    <x v="2"/>
    <x v="2"/>
    <m/>
    <x v="6"/>
    <x v="6"/>
    <m/>
    <x v="183"/>
    <x v="183"/>
    <m/>
    <x v="1060"/>
    <x v="1050"/>
    <m/>
    <x v="1211"/>
    <x v="1285"/>
    <m/>
    <x v="2"/>
    <x v="2"/>
    <m/>
    <n v="46.268250000000002"/>
    <n v="-25.175149999999999"/>
    <m/>
    <m/>
  </r>
  <r>
    <s v="MG52516072083001MAM"/>
    <x v="5"/>
    <x v="5"/>
    <m/>
    <x v="2"/>
    <x v="2"/>
    <m/>
    <x v="6"/>
    <x v="6"/>
    <m/>
    <x v="183"/>
    <x v="183"/>
    <m/>
    <x v="1061"/>
    <x v="1051"/>
    <m/>
    <x v="1212"/>
    <x v="1286"/>
    <m/>
    <x v="2"/>
    <x v="2"/>
    <m/>
    <n v="46.248930000000001"/>
    <n v="-25.15353"/>
    <m/>
    <m/>
  </r>
  <r>
    <s v="MG52516072084001MAM"/>
    <x v="5"/>
    <x v="5"/>
    <m/>
    <x v="2"/>
    <x v="2"/>
    <m/>
    <x v="6"/>
    <x v="6"/>
    <m/>
    <x v="183"/>
    <x v="183"/>
    <m/>
    <x v="1062"/>
    <x v="1052"/>
    <m/>
    <x v="1213"/>
    <x v="1287"/>
    <m/>
    <x v="2"/>
    <x v="2"/>
    <m/>
    <n v="46.199300000000001"/>
    <n v="-25.185680000000001"/>
    <m/>
    <m/>
  </r>
  <r>
    <s v="MG52516072085001MAM"/>
    <x v="5"/>
    <x v="5"/>
    <m/>
    <x v="2"/>
    <x v="2"/>
    <m/>
    <x v="6"/>
    <x v="6"/>
    <m/>
    <x v="183"/>
    <x v="183"/>
    <m/>
    <x v="1063"/>
    <x v="1053"/>
    <m/>
    <x v="1214"/>
    <x v="1288"/>
    <m/>
    <x v="2"/>
    <x v="2"/>
    <m/>
    <n v="46.20655"/>
    <n v="-25.12735"/>
    <m/>
    <m/>
  </r>
  <r>
    <s v="MG52516072086001MAM"/>
    <x v="5"/>
    <x v="5"/>
    <m/>
    <x v="2"/>
    <x v="2"/>
    <m/>
    <x v="6"/>
    <x v="6"/>
    <m/>
    <x v="183"/>
    <x v="183"/>
    <m/>
    <x v="1064"/>
    <x v="1054"/>
    <m/>
    <x v="1215"/>
    <x v="1289"/>
    <m/>
    <x v="2"/>
    <x v="2"/>
    <m/>
    <n v="46.243720000000003"/>
    <n v="-25.119399999999999"/>
    <m/>
    <m/>
  </r>
  <r>
    <s v="MG52516072087001MAM"/>
    <x v="5"/>
    <x v="5"/>
    <m/>
    <x v="2"/>
    <x v="2"/>
    <m/>
    <x v="6"/>
    <x v="6"/>
    <m/>
    <x v="183"/>
    <x v="183"/>
    <m/>
    <x v="1065"/>
    <x v="1055"/>
    <m/>
    <x v="1216"/>
    <x v="1290"/>
    <m/>
    <x v="2"/>
    <x v="2"/>
    <m/>
    <n v="46.242980000000003"/>
    <n v="-25.118950000000002"/>
    <m/>
    <m/>
  </r>
  <r>
    <s v="MG52516072088001MAM"/>
    <x v="5"/>
    <x v="5"/>
    <m/>
    <x v="2"/>
    <x v="2"/>
    <m/>
    <x v="6"/>
    <x v="6"/>
    <m/>
    <x v="183"/>
    <x v="183"/>
    <m/>
    <x v="1066"/>
    <x v="1056"/>
    <m/>
    <x v="1217"/>
    <x v="1291"/>
    <m/>
    <x v="2"/>
    <x v="2"/>
    <m/>
    <n v="46.243720000000003"/>
    <n v="-25.119399999999999"/>
    <m/>
    <m/>
  </r>
  <r>
    <s v="MG52516072089001MAM"/>
    <x v="5"/>
    <x v="5"/>
    <m/>
    <x v="2"/>
    <x v="2"/>
    <m/>
    <x v="6"/>
    <x v="6"/>
    <m/>
    <x v="183"/>
    <x v="183"/>
    <m/>
    <x v="1067"/>
    <x v="1057"/>
    <m/>
    <x v="1218"/>
    <x v="1292"/>
    <m/>
    <x v="2"/>
    <x v="2"/>
    <m/>
    <n v="46.201717000000002"/>
    <n v="-25.178325000000001"/>
    <m/>
    <m/>
  </r>
  <r>
    <s v="MG52516072090001MAM"/>
    <x v="5"/>
    <x v="5"/>
    <m/>
    <x v="2"/>
    <x v="2"/>
    <m/>
    <x v="6"/>
    <x v="6"/>
    <m/>
    <x v="183"/>
    <x v="183"/>
    <m/>
    <x v="1068"/>
    <x v="1058"/>
    <m/>
    <x v="1219"/>
    <x v="1293"/>
    <m/>
    <x v="2"/>
    <x v="2"/>
    <m/>
    <n v="46.258319999999998"/>
    <n v="-25.174980000000001"/>
    <m/>
    <m/>
  </r>
  <r>
    <s v="MG52516072091001MAM"/>
    <x v="5"/>
    <x v="5"/>
    <m/>
    <x v="2"/>
    <x v="2"/>
    <m/>
    <x v="6"/>
    <x v="6"/>
    <m/>
    <x v="183"/>
    <x v="183"/>
    <m/>
    <x v="1069"/>
    <x v="1059"/>
    <m/>
    <x v="1220"/>
    <x v="1294"/>
    <m/>
    <x v="2"/>
    <x v="2"/>
    <m/>
    <n v="46.236420000000003"/>
    <n v="-25.120529999999999"/>
    <m/>
    <m/>
  </r>
  <r>
    <s v="MG51506015005001MAM"/>
    <x v="3"/>
    <x v="3"/>
    <m/>
    <x v="1"/>
    <x v="1"/>
    <m/>
    <x v="3"/>
    <x v="3"/>
    <m/>
    <x v="47"/>
    <x v="47"/>
    <m/>
    <x v="1070"/>
    <x v="1060"/>
    <m/>
    <x v="1221"/>
    <x v="1295"/>
    <m/>
    <x v="2"/>
    <x v="2"/>
    <m/>
    <n v="44.117469999999997"/>
    <n v="-23.822150000000001"/>
    <m/>
    <m/>
  </r>
  <r>
    <s v="MG51506015005002MAM"/>
    <x v="3"/>
    <x v="3"/>
    <m/>
    <x v="1"/>
    <x v="1"/>
    <m/>
    <x v="3"/>
    <x v="3"/>
    <m/>
    <x v="47"/>
    <x v="47"/>
    <m/>
    <x v="1070"/>
    <x v="1060"/>
    <m/>
    <x v="1222"/>
    <x v="1296"/>
    <m/>
    <x v="2"/>
    <x v="2"/>
    <m/>
    <n v="44.117469999999997"/>
    <n v="-23.822150000000001"/>
    <m/>
    <m/>
  </r>
  <r>
    <s v="MG51506015002001MAM"/>
    <x v="3"/>
    <x v="3"/>
    <m/>
    <x v="1"/>
    <x v="1"/>
    <m/>
    <x v="3"/>
    <x v="3"/>
    <m/>
    <x v="47"/>
    <x v="47"/>
    <m/>
    <x v="1071"/>
    <x v="1061"/>
    <m/>
    <x v="1223"/>
    <x v="1297"/>
    <m/>
    <x v="2"/>
    <x v="2"/>
    <m/>
    <n v="44.046280000000003"/>
    <n v="-23.70495"/>
    <m/>
    <m/>
  </r>
  <r>
    <s v="MG51506015003001MAM"/>
    <x v="3"/>
    <x v="3"/>
    <m/>
    <x v="1"/>
    <x v="1"/>
    <m/>
    <x v="3"/>
    <x v="3"/>
    <m/>
    <x v="47"/>
    <x v="47"/>
    <m/>
    <x v="1072"/>
    <x v="1062"/>
    <m/>
    <x v="1224"/>
    <x v="1298"/>
    <m/>
    <x v="2"/>
    <x v="2"/>
    <m/>
    <n v="44.071069999999999"/>
    <n v="-23.75243"/>
    <m/>
    <m/>
  </r>
  <r>
    <s v="MG51506015004001MAM"/>
    <x v="3"/>
    <x v="3"/>
    <m/>
    <x v="1"/>
    <x v="1"/>
    <m/>
    <x v="3"/>
    <x v="3"/>
    <m/>
    <x v="47"/>
    <x v="47"/>
    <m/>
    <x v="1073"/>
    <x v="1063"/>
    <m/>
    <x v="1225"/>
    <x v="1299"/>
    <m/>
    <x v="2"/>
    <x v="2"/>
    <m/>
    <n v="44.111130000000003"/>
    <n v="-23.776879999999998"/>
    <m/>
    <m/>
  </r>
  <r>
    <s v="MG51506015007001MAM"/>
    <x v="3"/>
    <x v="3"/>
    <m/>
    <x v="1"/>
    <x v="1"/>
    <m/>
    <x v="3"/>
    <x v="3"/>
    <m/>
    <x v="47"/>
    <x v="47"/>
    <m/>
    <x v="1074"/>
    <x v="1064"/>
    <m/>
    <x v="1226"/>
    <x v="1300"/>
    <m/>
    <x v="2"/>
    <x v="2"/>
    <m/>
    <n v="44.133879999999998"/>
    <n v="-23.96527"/>
    <m/>
    <m/>
  </r>
  <r>
    <s v="MG51506015008001MAM"/>
    <x v="3"/>
    <x v="3"/>
    <m/>
    <x v="1"/>
    <x v="1"/>
    <m/>
    <x v="3"/>
    <x v="3"/>
    <m/>
    <x v="47"/>
    <x v="47"/>
    <m/>
    <x v="863"/>
    <x v="1065"/>
    <m/>
    <x v="1227"/>
    <x v="1301"/>
    <m/>
    <x v="2"/>
    <x v="2"/>
    <m/>
    <n v="44.136429999999997"/>
    <n v="-23.966370000000001"/>
    <m/>
    <m/>
  </r>
  <r>
    <s v="MG51506015009001MAM"/>
    <x v="3"/>
    <x v="3"/>
    <m/>
    <x v="1"/>
    <x v="1"/>
    <m/>
    <x v="3"/>
    <x v="3"/>
    <m/>
    <x v="47"/>
    <x v="47"/>
    <m/>
    <x v="1075"/>
    <x v="1066"/>
    <m/>
    <x v="1228"/>
    <x v="1302"/>
    <m/>
    <x v="2"/>
    <x v="2"/>
    <m/>
    <n v="44.157350000000001"/>
    <n v="-23.975169999999999"/>
    <m/>
    <m/>
  </r>
  <r>
    <s v="MG51506015012001MAM"/>
    <x v="3"/>
    <x v="3"/>
    <m/>
    <x v="1"/>
    <x v="1"/>
    <m/>
    <x v="3"/>
    <x v="3"/>
    <m/>
    <x v="47"/>
    <x v="47"/>
    <m/>
    <x v="1076"/>
    <x v="1067"/>
    <m/>
    <x v="1229"/>
    <x v="1303"/>
    <m/>
    <x v="2"/>
    <x v="2"/>
    <m/>
    <n v="44.2029"/>
    <n v="-23.978899999999999"/>
    <m/>
    <m/>
  </r>
  <r>
    <s v="MG51506015013001MAM"/>
    <x v="3"/>
    <x v="3"/>
    <m/>
    <x v="1"/>
    <x v="1"/>
    <m/>
    <x v="3"/>
    <x v="3"/>
    <m/>
    <x v="47"/>
    <x v="47"/>
    <m/>
    <x v="1077"/>
    <x v="1068"/>
    <m/>
    <x v="1230"/>
    <x v="1304"/>
    <m/>
    <x v="2"/>
    <x v="2"/>
    <m/>
    <n v="44.235979999999998"/>
    <n v="-24.001819999999999"/>
    <m/>
    <m/>
  </r>
  <r>
    <s v="MG51506130014001MAM"/>
    <x v="3"/>
    <x v="3"/>
    <m/>
    <x v="1"/>
    <x v="1"/>
    <m/>
    <x v="3"/>
    <x v="3"/>
    <m/>
    <x v="47"/>
    <x v="47"/>
    <m/>
    <x v="687"/>
    <x v="1069"/>
    <m/>
    <x v="1231"/>
    <x v="1305"/>
    <m/>
    <x v="2"/>
    <x v="2"/>
    <m/>
    <n v="44.453580000000002"/>
    <n v="-23.673629999999999"/>
    <m/>
    <m/>
  </r>
  <r>
    <s v="MG51507110a_12001MAM"/>
    <x v="3"/>
    <x v="3"/>
    <m/>
    <x v="1"/>
    <x v="1"/>
    <m/>
    <x v="3"/>
    <x v="3"/>
    <m/>
    <x v="47"/>
    <x v="47"/>
    <m/>
    <x v="1078"/>
    <x v="1070"/>
    <m/>
    <x v="1232"/>
    <x v="1306"/>
    <m/>
    <x v="2"/>
    <x v="2"/>
    <m/>
    <n v="44.205370000000002"/>
    <n v="-23.971879999999999"/>
    <m/>
    <m/>
  </r>
  <r>
    <s v="MG53515253005001MAM"/>
    <x v="0"/>
    <x v="0"/>
    <m/>
    <x v="4"/>
    <x v="4"/>
    <m/>
    <x v="10"/>
    <x v="10"/>
    <m/>
    <x v="184"/>
    <x v="184"/>
    <m/>
    <x v="1079"/>
    <x v="1071"/>
    <m/>
    <x v="1233"/>
    <x v="1307"/>
    <m/>
    <x v="2"/>
    <x v="2"/>
    <m/>
    <n v="47.565818"/>
    <n v="-23.673607000000001"/>
    <m/>
    <m/>
  </r>
  <r>
    <s v="MG52513070061001MAM"/>
    <x v="5"/>
    <x v="5"/>
    <m/>
    <x v="2"/>
    <x v="2"/>
    <m/>
    <x v="8"/>
    <x v="8"/>
    <m/>
    <x v="185"/>
    <x v="185"/>
    <m/>
    <x v="1080"/>
    <x v="1072"/>
    <m/>
    <x v="1234"/>
    <x v="1308"/>
    <m/>
    <x v="2"/>
    <x v="2"/>
    <m/>
    <n v="44.665300000000002"/>
    <n v="-25.213480000000001"/>
    <m/>
    <m/>
  </r>
  <r>
    <s v="MG52513070062001MAM"/>
    <x v="5"/>
    <x v="5"/>
    <m/>
    <x v="2"/>
    <x v="2"/>
    <m/>
    <x v="8"/>
    <x v="8"/>
    <m/>
    <x v="185"/>
    <x v="185"/>
    <m/>
    <x v="1081"/>
    <x v="1073"/>
    <m/>
    <x v="1235"/>
    <x v="1309"/>
    <m/>
    <x v="2"/>
    <x v="2"/>
    <m/>
    <n v="44.680019999999999"/>
    <n v="-25.056000000000001"/>
    <m/>
    <m/>
  </r>
  <r>
    <s v="MG52513070063001MAM"/>
    <x v="5"/>
    <x v="5"/>
    <m/>
    <x v="2"/>
    <x v="2"/>
    <m/>
    <x v="8"/>
    <x v="8"/>
    <m/>
    <x v="185"/>
    <x v="185"/>
    <m/>
    <x v="1082"/>
    <x v="1074"/>
    <m/>
    <x v="1236"/>
    <x v="1310"/>
    <m/>
    <x v="2"/>
    <x v="2"/>
    <m/>
    <n v="44.782179999999997"/>
    <n v="-25.247579999999999"/>
    <m/>
    <m/>
  </r>
  <r>
    <s v="MG52513070064001MAM"/>
    <x v="5"/>
    <x v="5"/>
    <m/>
    <x v="2"/>
    <x v="2"/>
    <m/>
    <x v="8"/>
    <x v="8"/>
    <m/>
    <x v="185"/>
    <x v="185"/>
    <m/>
    <x v="1083"/>
    <x v="1075"/>
    <m/>
    <x v="1237"/>
    <x v="1311"/>
    <m/>
    <x v="2"/>
    <x v="2"/>
    <m/>
    <n v="44.746429999999997"/>
    <n v="-25.00207"/>
    <m/>
    <m/>
  </r>
  <r>
    <s v="MG52513070065001MAM"/>
    <x v="5"/>
    <x v="5"/>
    <m/>
    <x v="2"/>
    <x v="2"/>
    <m/>
    <x v="8"/>
    <x v="8"/>
    <m/>
    <x v="185"/>
    <x v="185"/>
    <m/>
    <x v="1084"/>
    <x v="1076"/>
    <m/>
    <x v="1238"/>
    <x v="1312"/>
    <m/>
    <x v="2"/>
    <x v="2"/>
    <m/>
    <n v="44.556350000000002"/>
    <n v="-25.26632"/>
    <m/>
    <m/>
  </r>
  <r>
    <s v="MG52513070066001MAM"/>
    <x v="5"/>
    <x v="5"/>
    <m/>
    <x v="2"/>
    <x v="2"/>
    <m/>
    <x v="8"/>
    <x v="8"/>
    <m/>
    <x v="185"/>
    <x v="185"/>
    <m/>
    <x v="1085"/>
    <x v="1077"/>
    <m/>
    <x v="1239"/>
    <x v="1313"/>
    <m/>
    <x v="2"/>
    <x v="2"/>
    <m/>
    <n v="44.83428"/>
    <n v="-25.099779999999999"/>
    <m/>
    <m/>
  </r>
  <r>
    <s v="MG52513070079001MAM"/>
    <x v="5"/>
    <x v="5"/>
    <m/>
    <x v="2"/>
    <x v="2"/>
    <m/>
    <x v="8"/>
    <x v="8"/>
    <m/>
    <x v="185"/>
    <x v="185"/>
    <m/>
    <x v="121"/>
    <x v="1078"/>
    <m/>
    <x v="1240"/>
    <x v="1314"/>
    <m/>
    <x v="2"/>
    <x v="2"/>
    <m/>
    <n v="44.857329999999997"/>
    <n v="-25.056629999999998"/>
    <m/>
    <m/>
  </r>
  <r>
    <s v="MG54509130006001MAM"/>
    <x v="5"/>
    <x v="5"/>
    <m/>
    <x v="2"/>
    <x v="2"/>
    <m/>
    <x v="8"/>
    <x v="8"/>
    <m/>
    <x v="185"/>
    <x v="185"/>
    <m/>
    <x v="96"/>
    <x v="1079"/>
    <m/>
    <x v="1241"/>
    <x v="1315"/>
    <m/>
    <x v="2"/>
    <x v="2"/>
    <m/>
    <n v="44.525080000000003"/>
    <n v="-25.20853"/>
    <m/>
    <m/>
  </r>
  <r>
    <s v="MG53517293005001MAM"/>
    <x v="5"/>
    <x v="5"/>
    <m/>
    <x v="3"/>
    <x v="3"/>
    <m/>
    <x v="4"/>
    <x v="4"/>
    <m/>
    <x v="186"/>
    <x v="186"/>
    <m/>
    <x v="1086"/>
    <x v="1080"/>
    <m/>
    <x v="1242"/>
    <x v="1316"/>
    <m/>
    <x v="2"/>
    <x v="2"/>
    <m/>
    <n v="46.619500000000002"/>
    <n v="-24.324066999999999"/>
    <m/>
    <m/>
  </r>
  <r>
    <s v="MG53519130001001MAM"/>
    <x v="5"/>
    <x v="5"/>
    <m/>
    <x v="3"/>
    <x v="3"/>
    <m/>
    <x v="4"/>
    <x v="4"/>
    <m/>
    <x v="186"/>
    <x v="186"/>
    <m/>
    <x v="1087"/>
    <x v="1081"/>
    <m/>
    <x v="1243"/>
    <x v="1317"/>
    <m/>
    <x v="2"/>
    <x v="2"/>
    <m/>
    <n v="46.575069999999997"/>
    <n v="-24.357119999999998"/>
    <m/>
    <m/>
  </r>
  <r>
    <s v="MG53519130007001MAM"/>
    <x v="5"/>
    <x v="5"/>
    <m/>
    <x v="3"/>
    <x v="3"/>
    <m/>
    <x v="4"/>
    <x v="4"/>
    <m/>
    <x v="186"/>
    <x v="186"/>
    <m/>
    <x v="1088"/>
    <x v="1082"/>
    <m/>
    <x v="1244"/>
    <x v="1318"/>
    <m/>
    <x v="2"/>
    <x v="2"/>
    <m/>
    <n v="46.588299999999997"/>
    <n v="-24.426069999999999"/>
    <m/>
    <m/>
  </r>
  <r>
    <s v="MG23211033007001MAM"/>
    <x v="0"/>
    <x v="0"/>
    <m/>
    <x v="0"/>
    <x v="0"/>
    <m/>
    <x v="14"/>
    <x v="14"/>
    <m/>
    <x v="187"/>
    <x v="187"/>
    <m/>
    <x v="1089"/>
    <x v="1083"/>
    <m/>
    <x v="1245"/>
    <x v="1319"/>
    <m/>
    <x v="2"/>
    <x v="2"/>
    <m/>
    <n v="47.477530000000002"/>
    <n v="-21.698049999999999"/>
    <m/>
    <m/>
  </r>
  <r>
    <s v="MG23211033009001MAM"/>
    <x v="0"/>
    <x v="0"/>
    <m/>
    <x v="0"/>
    <x v="0"/>
    <m/>
    <x v="14"/>
    <x v="14"/>
    <m/>
    <x v="187"/>
    <x v="187"/>
    <m/>
    <x v="1090"/>
    <x v="1084"/>
    <m/>
    <x v="1246"/>
    <x v="1320"/>
    <m/>
    <x v="2"/>
    <x v="2"/>
    <m/>
    <n v="47.507199999999997"/>
    <n v="-21.73198"/>
    <m/>
    <m/>
  </r>
  <r>
    <s v="MG53519250014001MAM"/>
    <x v="5"/>
    <x v="5"/>
    <m/>
    <x v="3"/>
    <x v="3"/>
    <m/>
    <x v="4"/>
    <x v="4"/>
    <m/>
    <x v="188"/>
    <x v="188"/>
    <m/>
    <x v="1091"/>
    <x v="1085"/>
    <m/>
    <x v="1247"/>
    <x v="1321"/>
    <m/>
    <x v="2"/>
    <x v="2"/>
    <m/>
    <n v="45.980080000000001"/>
    <n v="-24.288319999999999"/>
    <m/>
    <m/>
  </r>
  <r>
    <s v="MG25213590001001MAM"/>
    <x v="0"/>
    <x v="0"/>
    <m/>
    <x v="4"/>
    <x v="4"/>
    <m/>
    <x v="11"/>
    <x v="11"/>
    <m/>
    <x v="189"/>
    <x v="189"/>
    <m/>
    <x v="1092"/>
    <x v="1086"/>
    <m/>
    <x v="1248"/>
    <x v="1322"/>
    <m/>
    <x v="2"/>
    <x v="2"/>
    <m/>
    <n v="47.666600000000003"/>
    <n v="-22.515219999999999"/>
    <m/>
    <m/>
  </r>
  <r>
    <s v="MG25213590007001MAM"/>
    <x v="0"/>
    <x v="0"/>
    <m/>
    <x v="4"/>
    <x v="4"/>
    <m/>
    <x v="11"/>
    <x v="11"/>
    <m/>
    <x v="189"/>
    <x v="189"/>
    <m/>
    <x v="1093"/>
    <x v="1087"/>
    <m/>
    <x v="1249"/>
    <x v="1323"/>
    <m/>
    <x v="2"/>
    <x v="2"/>
    <m/>
    <n v="47.676769999999998"/>
    <n v="-22.531020000000002"/>
    <m/>
    <m/>
  </r>
  <r>
    <s v="MG23209032002001MAM"/>
    <x v="5"/>
    <x v="5"/>
    <m/>
    <x v="2"/>
    <x v="2"/>
    <m/>
    <x v="9"/>
    <x v="9"/>
    <m/>
    <x v="190"/>
    <x v="190"/>
    <m/>
    <x v="146"/>
    <x v="1088"/>
    <m/>
    <x v="151"/>
    <x v="1324"/>
    <m/>
    <x v="2"/>
    <x v="2"/>
    <m/>
    <n v="45.275900999999998"/>
    <n v="-25.500785"/>
    <m/>
    <m/>
  </r>
  <r>
    <s v="MG42411170013001MAM"/>
    <x v="5"/>
    <x v="5"/>
    <m/>
    <x v="2"/>
    <x v="2"/>
    <m/>
    <x v="9"/>
    <x v="9"/>
    <m/>
    <x v="190"/>
    <x v="190"/>
    <m/>
    <x v="1094"/>
    <x v="1089"/>
    <m/>
    <x v="1250"/>
    <x v="1325"/>
    <m/>
    <x v="2"/>
    <x v="2"/>
    <m/>
    <n v="45.277470000000001"/>
    <n v="-25.532250000000001"/>
    <m/>
    <m/>
  </r>
  <r>
    <s v="MG51504010003001MAM"/>
    <x v="5"/>
    <x v="5"/>
    <m/>
    <x v="2"/>
    <x v="2"/>
    <m/>
    <x v="9"/>
    <x v="9"/>
    <m/>
    <x v="190"/>
    <x v="190"/>
    <m/>
    <x v="1095"/>
    <x v="1090"/>
    <m/>
    <x v="1251"/>
    <x v="1326"/>
    <m/>
    <x v="2"/>
    <x v="2"/>
    <m/>
    <n v="45.224558999999999"/>
    <n v="-25.514385999999998"/>
    <m/>
    <m/>
  </r>
  <r>
    <s v="MG52514050008001MAM"/>
    <x v="5"/>
    <x v="5"/>
    <m/>
    <x v="2"/>
    <x v="2"/>
    <m/>
    <x v="9"/>
    <x v="9"/>
    <m/>
    <x v="190"/>
    <x v="190"/>
    <m/>
    <x v="1096"/>
    <x v="1091"/>
    <m/>
    <x v="1252"/>
    <x v="1327"/>
    <m/>
    <x v="2"/>
    <x v="2"/>
    <m/>
    <n v="45.314720000000001"/>
    <n v="-25.517849999999999"/>
    <m/>
    <m/>
  </r>
  <r>
    <s v="MG52514050013001MAM"/>
    <x v="5"/>
    <x v="5"/>
    <m/>
    <x v="2"/>
    <x v="2"/>
    <m/>
    <x v="9"/>
    <x v="9"/>
    <m/>
    <x v="190"/>
    <x v="190"/>
    <m/>
    <x v="1097"/>
    <x v="1092"/>
    <m/>
    <x v="1253"/>
    <x v="1328"/>
    <m/>
    <x v="2"/>
    <x v="2"/>
    <m/>
    <n v="45.273949999999999"/>
    <n v="-25.520199999999999"/>
    <m/>
    <m/>
  </r>
  <r>
    <s v="MG52514050075001MAM"/>
    <x v="5"/>
    <x v="5"/>
    <m/>
    <x v="2"/>
    <x v="2"/>
    <m/>
    <x v="9"/>
    <x v="9"/>
    <m/>
    <x v="190"/>
    <x v="190"/>
    <m/>
    <x v="1098"/>
    <x v="1093"/>
    <m/>
    <x v="1254"/>
    <x v="1329"/>
    <m/>
    <x v="2"/>
    <x v="2"/>
    <m/>
    <n v="45.331629999999997"/>
    <n v="-25.48958"/>
    <m/>
    <m/>
  </r>
  <r>
    <s v="MG52514050076001MAM"/>
    <x v="5"/>
    <x v="5"/>
    <m/>
    <x v="2"/>
    <x v="2"/>
    <m/>
    <x v="9"/>
    <x v="9"/>
    <m/>
    <x v="190"/>
    <x v="190"/>
    <m/>
    <x v="1099"/>
    <x v="1094"/>
    <m/>
    <x v="1255"/>
    <x v="1330"/>
    <m/>
    <x v="2"/>
    <x v="2"/>
    <m/>
    <n v="45.180230000000002"/>
    <n v="-25.545870000000001"/>
    <m/>
    <m/>
  </r>
  <r>
    <s v="MG52514050077001MAM"/>
    <x v="5"/>
    <x v="5"/>
    <m/>
    <x v="2"/>
    <x v="2"/>
    <m/>
    <x v="9"/>
    <x v="9"/>
    <m/>
    <x v="190"/>
    <x v="190"/>
    <m/>
    <x v="1100"/>
    <x v="1095"/>
    <m/>
    <x v="1256"/>
    <x v="1331"/>
    <m/>
    <x v="2"/>
    <x v="2"/>
    <m/>
    <n v="45.311199999999999"/>
    <n v="-25.48488"/>
    <m/>
    <m/>
  </r>
  <r>
    <s v="MG52514050078001MAM"/>
    <x v="5"/>
    <x v="5"/>
    <m/>
    <x v="2"/>
    <x v="2"/>
    <m/>
    <x v="9"/>
    <x v="9"/>
    <m/>
    <x v="190"/>
    <x v="190"/>
    <m/>
    <x v="1101"/>
    <x v="1096"/>
    <m/>
    <x v="1257"/>
    <x v="1332"/>
    <m/>
    <x v="2"/>
    <x v="2"/>
    <m/>
    <n v="45.250320000000002"/>
    <n v="-25.48265"/>
    <m/>
    <m/>
  </r>
  <r>
    <s v="MG52514050079001MAM"/>
    <x v="5"/>
    <x v="5"/>
    <m/>
    <x v="2"/>
    <x v="2"/>
    <m/>
    <x v="9"/>
    <x v="9"/>
    <m/>
    <x v="190"/>
    <x v="190"/>
    <m/>
    <x v="1102"/>
    <x v="1097"/>
    <m/>
    <x v="1258"/>
    <x v="1333"/>
    <m/>
    <x v="2"/>
    <x v="2"/>
    <m/>
    <n v="45.305579999999999"/>
    <n v="-25.505030000000001"/>
    <m/>
    <m/>
  </r>
  <r>
    <s v="MG33312152007001MAM"/>
    <x v="5"/>
    <x v="5"/>
    <m/>
    <x v="2"/>
    <x v="2"/>
    <m/>
    <x v="6"/>
    <x v="6"/>
    <m/>
    <x v="191"/>
    <x v="191"/>
    <m/>
    <x v="1103"/>
    <x v="1098"/>
    <m/>
    <x v="1259"/>
    <x v="1334"/>
    <m/>
    <x v="2"/>
    <x v="2"/>
    <m/>
    <n v="45.68383"/>
    <n v="-25.201799999999999"/>
    <m/>
    <m/>
  </r>
  <r>
    <s v="MG52516112003001MAM"/>
    <x v="5"/>
    <x v="5"/>
    <m/>
    <x v="2"/>
    <x v="2"/>
    <m/>
    <x v="6"/>
    <x v="6"/>
    <m/>
    <x v="191"/>
    <x v="191"/>
    <m/>
    <x v="1104"/>
    <x v="1099"/>
    <m/>
    <x v="1260"/>
    <x v="1335"/>
    <m/>
    <x v="2"/>
    <x v="2"/>
    <m/>
    <n v="45.68468"/>
    <n v="-25.101420000000001"/>
    <m/>
    <m/>
  </r>
  <r>
    <s v="MG52516112009001MAM"/>
    <x v="5"/>
    <x v="5"/>
    <m/>
    <x v="2"/>
    <x v="2"/>
    <m/>
    <x v="6"/>
    <x v="6"/>
    <m/>
    <x v="191"/>
    <x v="191"/>
    <m/>
    <x v="1105"/>
    <x v="1100"/>
    <m/>
    <x v="1261"/>
    <x v="1336"/>
    <m/>
    <x v="2"/>
    <x v="2"/>
    <m/>
    <n v="45.677430000000001"/>
    <n v="-25.167770000000001"/>
    <m/>
    <m/>
  </r>
  <r>
    <s v="MG52516112076001MAM"/>
    <x v="5"/>
    <x v="5"/>
    <m/>
    <x v="2"/>
    <x v="2"/>
    <m/>
    <x v="6"/>
    <x v="6"/>
    <m/>
    <x v="191"/>
    <x v="191"/>
    <m/>
    <x v="1106"/>
    <x v="1101"/>
    <m/>
    <x v="1262"/>
    <x v="1337"/>
    <m/>
    <x v="2"/>
    <x v="2"/>
    <m/>
    <n v="45.697200000000002"/>
    <n v="-25.122420000000002"/>
    <m/>
    <m/>
  </r>
  <r>
    <s v="MG52516112077001MAM"/>
    <x v="5"/>
    <x v="5"/>
    <m/>
    <x v="2"/>
    <x v="2"/>
    <m/>
    <x v="6"/>
    <x v="6"/>
    <m/>
    <x v="191"/>
    <x v="191"/>
    <m/>
    <x v="1107"/>
    <x v="1102"/>
    <m/>
    <x v="1263"/>
    <x v="1338"/>
    <m/>
    <x v="2"/>
    <x v="2"/>
    <m/>
    <n v="45.627079999999999"/>
    <n v="-25.123799999999999"/>
    <m/>
    <m/>
  </r>
  <r>
    <s v="MG52516112078001MAM"/>
    <x v="5"/>
    <x v="5"/>
    <m/>
    <x v="2"/>
    <x v="2"/>
    <m/>
    <x v="6"/>
    <x v="6"/>
    <m/>
    <x v="191"/>
    <x v="191"/>
    <m/>
    <x v="1108"/>
    <x v="1103"/>
    <m/>
    <x v="1264"/>
    <x v="1339"/>
    <m/>
    <x v="2"/>
    <x v="2"/>
    <m/>
    <n v="45.686680000000003"/>
    <n v="-25.133700000000001"/>
    <m/>
    <m/>
  </r>
  <r>
    <s v="MG52518152002001MAM"/>
    <x v="5"/>
    <x v="5"/>
    <m/>
    <x v="2"/>
    <x v="2"/>
    <m/>
    <x v="2"/>
    <x v="2"/>
    <m/>
    <x v="192"/>
    <x v="192"/>
    <m/>
    <x v="209"/>
    <x v="1104"/>
    <m/>
    <x v="218"/>
    <x v="1340"/>
    <m/>
    <x v="2"/>
    <x v="2"/>
    <m/>
    <n v="45.337519999999998"/>
    <n v="-23.880949999999999"/>
    <m/>
    <m/>
  </r>
  <r>
    <s v="MG52518152051001MAM"/>
    <x v="5"/>
    <x v="5"/>
    <m/>
    <x v="2"/>
    <x v="2"/>
    <m/>
    <x v="2"/>
    <x v="2"/>
    <m/>
    <x v="192"/>
    <x v="192"/>
    <m/>
    <x v="1109"/>
    <x v="1105"/>
    <m/>
    <x v="1265"/>
    <x v="1341"/>
    <m/>
    <x v="2"/>
    <x v="2"/>
    <m/>
    <n v="45.237470000000002"/>
    <n v="-23.836379999999998"/>
    <m/>
    <m/>
  </r>
  <r>
    <s v="MG52518152052001MAM"/>
    <x v="5"/>
    <x v="5"/>
    <m/>
    <x v="2"/>
    <x v="2"/>
    <m/>
    <x v="2"/>
    <x v="2"/>
    <m/>
    <x v="192"/>
    <x v="192"/>
    <m/>
    <x v="1110"/>
    <x v="1106"/>
    <m/>
    <x v="1266"/>
    <x v="1342"/>
    <m/>
    <x v="2"/>
    <x v="2"/>
    <m/>
    <n v="45.357250000000001"/>
    <n v="-23.832630000000002"/>
    <m/>
    <m/>
  </r>
  <r>
    <s v="MG52518152053001MAM"/>
    <x v="5"/>
    <x v="5"/>
    <m/>
    <x v="2"/>
    <x v="2"/>
    <m/>
    <x v="2"/>
    <x v="2"/>
    <m/>
    <x v="192"/>
    <x v="192"/>
    <m/>
    <x v="1111"/>
    <x v="1107"/>
    <m/>
    <x v="1267"/>
    <x v="1343"/>
    <m/>
    <x v="2"/>
    <x v="2"/>
    <m/>
    <n v="45.349780000000003"/>
    <n v="-23.845379999999999"/>
    <m/>
    <m/>
  </r>
  <r>
    <s v="MG52518152054001MAM"/>
    <x v="5"/>
    <x v="5"/>
    <m/>
    <x v="2"/>
    <x v="2"/>
    <m/>
    <x v="2"/>
    <x v="2"/>
    <m/>
    <x v="192"/>
    <x v="192"/>
    <m/>
    <x v="1112"/>
    <x v="1108"/>
    <m/>
    <x v="1268"/>
    <x v="1344"/>
    <m/>
    <x v="2"/>
    <x v="2"/>
    <m/>
    <n v="45.434179999999998"/>
    <n v="-23.824300000000001"/>
    <m/>
    <m/>
  </r>
  <r>
    <s v="MG52518152055001MAM"/>
    <x v="5"/>
    <x v="5"/>
    <m/>
    <x v="2"/>
    <x v="2"/>
    <m/>
    <x v="2"/>
    <x v="2"/>
    <m/>
    <x v="192"/>
    <x v="192"/>
    <m/>
    <x v="1113"/>
    <x v="1109"/>
    <m/>
    <x v="1269"/>
    <x v="1345"/>
    <m/>
    <x v="2"/>
    <x v="2"/>
    <m/>
    <n v="45.403379999999999"/>
    <n v="-23.887619999999998"/>
    <m/>
    <m/>
  </r>
  <r>
    <s v="MG52518152056001MAM"/>
    <x v="5"/>
    <x v="5"/>
    <m/>
    <x v="2"/>
    <x v="2"/>
    <m/>
    <x v="2"/>
    <x v="2"/>
    <m/>
    <x v="192"/>
    <x v="192"/>
    <m/>
    <x v="1114"/>
    <x v="1110"/>
    <m/>
    <x v="1270"/>
    <x v="1346"/>
    <m/>
    <x v="2"/>
    <x v="2"/>
    <m/>
    <n v="45.232349999999997"/>
    <n v="-23.885200000000001"/>
    <m/>
    <m/>
  </r>
  <r>
    <s v="MG25222031001001MAM"/>
    <x v="0"/>
    <x v="0"/>
    <m/>
    <x v="4"/>
    <x v="4"/>
    <m/>
    <x v="19"/>
    <x v="18"/>
    <m/>
    <x v="193"/>
    <x v="193"/>
    <m/>
    <x v="1115"/>
    <x v="1111"/>
    <m/>
    <x v="1271"/>
    <x v="1347"/>
    <m/>
    <x v="2"/>
    <x v="2"/>
    <m/>
    <n v="46.918669999999999"/>
    <n v="-24.060680000000001"/>
    <m/>
    <m/>
  </r>
  <r>
    <s v="MG51506050001001MAM"/>
    <x v="3"/>
    <x v="3"/>
    <m/>
    <x v="1"/>
    <x v="1"/>
    <m/>
    <x v="3"/>
    <x v="3"/>
    <m/>
    <x v="15"/>
    <x v="15"/>
    <m/>
    <x v="106"/>
    <x v="109"/>
    <m/>
    <x v="1272"/>
    <x v="1348"/>
    <m/>
    <x v="2"/>
    <x v="2"/>
    <m/>
    <n v="44.471580000000003"/>
    <n v="-23.904399999999999"/>
    <m/>
    <m/>
  </r>
  <r>
    <s v="MG51506050011001MAM"/>
    <x v="3"/>
    <x v="3"/>
    <m/>
    <x v="1"/>
    <x v="1"/>
    <m/>
    <x v="3"/>
    <x v="3"/>
    <m/>
    <x v="15"/>
    <x v="15"/>
    <m/>
    <x v="107"/>
    <x v="110"/>
    <m/>
    <x v="1273"/>
    <x v="1349"/>
    <m/>
    <x v="2"/>
    <x v="2"/>
    <m/>
    <n v="44.3932"/>
    <n v="-23.964400000000001"/>
    <m/>
    <m/>
  </r>
  <r>
    <s v="MG51506050003001MAM"/>
    <x v="3"/>
    <x v="3"/>
    <m/>
    <x v="1"/>
    <x v="1"/>
    <m/>
    <x v="3"/>
    <x v="3"/>
    <m/>
    <x v="15"/>
    <x v="15"/>
    <m/>
    <x v="1116"/>
    <x v="1112"/>
    <m/>
    <x v="1274"/>
    <x v="1350"/>
    <m/>
    <x v="2"/>
    <x v="2"/>
    <m/>
    <n v="44.483469999999997"/>
    <n v="-23.87567"/>
    <m/>
    <m/>
  </r>
  <r>
    <s v="MG51506050008001MAM"/>
    <x v="3"/>
    <x v="3"/>
    <m/>
    <x v="1"/>
    <x v="1"/>
    <m/>
    <x v="3"/>
    <x v="3"/>
    <m/>
    <x v="15"/>
    <x v="15"/>
    <m/>
    <x v="1117"/>
    <x v="1113"/>
    <m/>
    <x v="1275"/>
    <x v="1351"/>
    <m/>
    <x v="2"/>
    <x v="2"/>
    <m/>
    <n v="44.427480000000003"/>
    <n v="-23.927579999999999"/>
    <m/>
    <m/>
  </r>
  <r>
    <s v="MG51506050009001MAM"/>
    <x v="3"/>
    <x v="3"/>
    <m/>
    <x v="1"/>
    <x v="1"/>
    <m/>
    <x v="3"/>
    <x v="3"/>
    <m/>
    <x v="15"/>
    <x v="15"/>
    <m/>
    <x v="1118"/>
    <x v="1114"/>
    <m/>
    <x v="1276"/>
    <x v="1352"/>
    <m/>
    <x v="2"/>
    <x v="2"/>
    <m/>
    <n v="44.402349999999998"/>
    <n v="-23.9468"/>
    <m/>
    <m/>
  </r>
  <r>
    <s v="MG51506050010001MAM"/>
    <x v="3"/>
    <x v="3"/>
    <m/>
    <x v="1"/>
    <x v="1"/>
    <m/>
    <x v="3"/>
    <x v="3"/>
    <m/>
    <x v="15"/>
    <x v="15"/>
    <m/>
    <x v="60"/>
    <x v="1115"/>
    <m/>
    <x v="1277"/>
    <x v="1353"/>
    <m/>
    <x v="2"/>
    <x v="2"/>
    <m/>
    <n v="44.326250000000002"/>
    <n v="-23.981079999999999"/>
    <m/>
    <m/>
  </r>
  <r>
    <s v="MG51506050014001MAM"/>
    <x v="3"/>
    <x v="3"/>
    <m/>
    <x v="1"/>
    <x v="1"/>
    <m/>
    <x v="3"/>
    <x v="3"/>
    <m/>
    <x v="15"/>
    <x v="15"/>
    <m/>
    <x v="1119"/>
    <x v="1116"/>
    <m/>
    <x v="1278"/>
    <x v="1354"/>
    <m/>
    <x v="2"/>
    <x v="2"/>
    <m/>
    <n v="44.410150000000002"/>
    <n v="-24.00442"/>
    <m/>
    <m/>
  </r>
  <r>
    <s v="MG51506050018001MAM"/>
    <x v="3"/>
    <x v="3"/>
    <m/>
    <x v="1"/>
    <x v="1"/>
    <m/>
    <x v="3"/>
    <x v="3"/>
    <m/>
    <x v="15"/>
    <x v="15"/>
    <m/>
    <x v="1120"/>
    <x v="1117"/>
    <m/>
    <x v="1279"/>
    <x v="1355"/>
    <m/>
    <x v="2"/>
    <x v="2"/>
    <m/>
    <n v="44.503929999999997"/>
    <n v="-23.93873"/>
    <m/>
    <m/>
  </r>
  <r>
    <s v="MG51506050022001MAM"/>
    <x v="3"/>
    <x v="3"/>
    <m/>
    <x v="1"/>
    <x v="1"/>
    <m/>
    <x v="3"/>
    <x v="3"/>
    <m/>
    <x v="15"/>
    <x v="15"/>
    <m/>
    <x v="108"/>
    <x v="111"/>
    <m/>
    <x v="1280"/>
    <x v="1356"/>
    <m/>
    <x v="2"/>
    <x v="2"/>
    <m/>
    <n v="44.556220000000003"/>
    <n v="-23.9757"/>
    <m/>
    <m/>
  </r>
  <r>
    <s v="MG51506050024001MAM"/>
    <x v="3"/>
    <x v="3"/>
    <m/>
    <x v="1"/>
    <x v="1"/>
    <m/>
    <x v="3"/>
    <x v="3"/>
    <m/>
    <x v="15"/>
    <x v="15"/>
    <m/>
    <x v="1121"/>
    <x v="1118"/>
    <m/>
    <x v="1281"/>
    <x v="1357"/>
    <m/>
    <x v="2"/>
    <x v="2"/>
    <m/>
    <n v="44.457279999999997"/>
    <n v="-23.938829999999999"/>
    <m/>
    <m/>
  </r>
  <r>
    <s v="MG51520170006001MAM"/>
    <x v="3"/>
    <x v="3"/>
    <m/>
    <x v="1"/>
    <x v="1"/>
    <m/>
    <x v="3"/>
    <x v="3"/>
    <m/>
    <x v="15"/>
    <x v="15"/>
    <m/>
    <x v="1122"/>
    <x v="1119"/>
    <m/>
    <x v="1282"/>
    <x v="1358"/>
    <m/>
    <x v="2"/>
    <x v="2"/>
    <m/>
    <n v="44.456139999999998"/>
    <n v="-23.901157999999999"/>
    <m/>
    <m/>
  </r>
  <r>
    <s v="MG52513091a_8001MAM"/>
    <x v="3"/>
    <x v="3"/>
    <m/>
    <x v="1"/>
    <x v="1"/>
    <m/>
    <x v="3"/>
    <x v="3"/>
    <m/>
    <x v="15"/>
    <x v="15"/>
    <m/>
    <x v="1123"/>
    <x v="1120"/>
    <m/>
    <x v="1283"/>
    <x v="1359"/>
    <m/>
    <x v="2"/>
    <x v="2"/>
    <m/>
    <n v="44.443750000000001"/>
    <n v="-23.955030000000001"/>
    <m/>
    <m/>
  </r>
  <r>
    <s v="MG25214152002001MAM"/>
    <x v="0"/>
    <x v="0"/>
    <m/>
    <x v="4"/>
    <x v="4"/>
    <m/>
    <x v="10"/>
    <x v="10"/>
    <m/>
    <x v="194"/>
    <x v="194"/>
    <m/>
    <x v="1124"/>
    <x v="1121"/>
    <m/>
    <x v="1284"/>
    <x v="1360"/>
    <m/>
    <x v="2"/>
    <x v="2"/>
    <m/>
    <n v="47.61692"/>
    <n v="-23.52833"/>
    <m/>
    <m/>
  </r>
  <r>
    <s v="MG25214152005001MAM"/>
    <x v="0"/>
    <x v="0"/>
    <m/>
    <x v="4"/>
    <x v="4"/>
    <m/>
    <x v="10"/>
    <x v="10"/>
    <m/>
    <x v="194"/>
    <x v="194"/>
    <m/>
    <x v="1125"/>
    <x v="1122"/>
    <m/>
    <x v="1285"/>
    <x v="1361"/>
    <m/>
    <x v="2"/>
    <x v="2"/>
    <m/>
    <n v="47.621270000000003"/>
    <n v="-23.566120000000002"/>
    <m/>
    <m/>
  </r>
  <r>
    <s v="MG25214152013001MAM"/>
    <x v="0"/>
    <x v="0"/>
    <m/>
    <x v="4"/>
    <x v="4"/>
    <m/>
    <x v="10"/>
    <x v="10"/>
    <m/>
    <x v="194"/>
    <x v="194"/>
    <m/>
    <x v="320"/>
    <x v="1123"/>
    <m/>
    <x v="1286"/>
    <x v="1362"/>
    <m/>
    <x v="2"/>
    <x v="2"/>
    <m/>
    <n v="47.590530000000001"/>
    <n v="-23.617930000000001"/>
    <m/>
    <m/>
  </r>
  <r>
    <s v="MG43408150022001MAM"/>
    <x v="0"/>
    <x v="0"/>
    <m/>
    <x v="4"/>
    <x v="4"/>
    <m/>
    <x v="10"/>
    <x v="10"/>
    <m/>
    <x v="194"/>
    <x v="194"/>
    <m/>
    <x v="1126"/>
    <x v="1124"/>
    <m/>
    <x v="1287"/>
    <x v="1363"/>
    <m/>
    <x v="2"/>
    <x v="2"/>
    <m/>
    <n v="47.554850000000002"/>
    <n v="-23.558499999999999"/>
    <m/>
    <m/>
  </r>
  <r>
    <s v="MG25214151001001MAM"/>
    <x v="0"/>
    <x v="0"/>
    <m/>
    <x v="4"/>
    <x v="4"/>
    <m/>
    <x v="10"/>
    <x v="10"/>
    <m/>
    <x v="195"/>
    <x v="195"/>
    <m/>
    <x v="1127"/>
    <x v="1125"/>
    <m/>
    <x v="1288"/>
    <x v="1364"/>
    <m/>
    <x v="2"/>
    <x v="2"/>
    <m/>
    <n v="47.574649999999998"/>
    <n v="-23.513480000000001"/>
    <m/>
    <m/>
  </r>
  <r>
    <s v="MG25214151003001MAM"/>
    <x v="0"/>
    <x v="0"/>
    <m/>
    <x v="4"/>
    <x v="4"/>
    <m/>
    <x v="10"/>
    <x v="10"/>
    <m/>
    <x v="195"/>
    <x v="195"/>
    <m/>
    <x v="1128"/>
    <x v="1126"/>
    <m/>
    <x v="1289"/>
    <x v="1365"/>
    <m/>
    <x v="2"/>
    <x v="2"/>
    <m/>
    <n v="47.530729999999998"/>
    <n v="-23.483519999999999"/>
    <m/>
    <m/>
  </r>
  <r>
    <s v="MG25213230011001MAM"/>
    <x v="0"/>
    <x v="0"/>
    <m/>
    <x v="4"/>
    <x v="4"/>
    <m/>
    <x v="16"/>
    <x v="16"/>
    <m/>
    <x v="196"/>
    <x v="196"/>
    <m/>
    <x v="959"/>
    <x v="1127"/>
    <m/>
    <x v="1290"/>
    <x v="1366"/>
    <m/>
    <x v="2"/>
    <x v="2"/>
    <m/>
    <n v="47.108379999999997"/>
    <n v="-23.246269999999999"/>
    <m/>
    <m/>
  </r>
  <r>
    <s v="MG25215011001001MAM"/>
    <x v="0"/>
    <x v="0"/>
    <m/>
    <x v="4"/>
    <x v="4"/>
    <m/>
    <x v="16"/>
    <x v="16"/>
    <m/>
    <x v="196"/>
    <x v="196"/>
    <m/>
    <x v="1129"/>
    <x v="1128"/>
    <m/>
    <x v="1291"/>
    <x v="1367"/>
    <m/>
    <x v="2"/>
    <x v="2"/>
    <m/>
    <n v="47.012799999999999"/>
    <n v="-23.59535"/>
    <m/>
    <m/>
  </r>
  <r>
    <s v="MG25215011002001MAM"/>
    <x v="0"/>
    <x v="0"/>
    <m/>
    <x v="4"/>
    <x v="4"/>
    <m/>
    <x v="16"/>
    <x v="16"/>
    <m/>
    <x v="196"/>
    <x v="196"/>
    <m/>
    <x v="720"/>
    <x v="1129"/>
    <m/>
    <x v="1292"/>
    <x v="1368"/>
    <m/>
    <x v="2"/>
    <x v="2"/>
    <m/>
    <n v="47.056469999999997"/>
    <n v="-23.532119999999999"/>
    <m/>
    <m/>
  </r>
  <r>
    <s v="MG33316052004001MAM"/>
    <x v="5"/>
    <x v="5"/>
    <m/>
    <x v="2"/>
    <x v="2"/>
    <m/>
    <x v="2"/>
    <x v="2"/>
    <m/>
    <x v="36"/>
    <x v="36"/>
    <m/>
    <x v="227"/>
    <x v="1130"/>
    <m/>
    <x v="236"/>
    <x v="1369"/>
    <m/>
    <x v="2"/>
    <x v="2"/>
    <m/>
    <n v="45.279350000000001"/>
    <n v="-24.240670000000001"/>
    <m/>
    <m/>
  </r>
  <r>
    <s v="MG41405150001001MAM"/>
    <x v="5"/>
    <x v="5"/>
    <m/>
    <x v="2"/>
    <x v="2"/>
    <m/>
    <x v="2"/>
    <x v="2"/>
    <m/>
    <x v="36"/>
    <x v="36"/>
    <m/>
    <x v="497"/>
    <x v="1131"/>
    <m/>
    <x v="1293"/>
    <x v="1370"/>
    <m/>
    <x v="2"/>
    <x v="2"/>
    <m/>
    <n v="45.316679999999998"/>
    <n v="-24.225680000000001"/>
    <m/>
    <m/>
  </r>
  <r>
    <s v="MG51506191012001MAM"/>
    <x v="5"/>
    <x v="5"/>
    <m/>
    <x v="2"/>
    <x v="2"/>
    <m/>
    <x v="2"/>
    <x v="2"/>
    <m/>
    <x v="36"/>
    <x v="36"/>
    <m/>
    <x v="225"/>
    <x v="1132"/>
    <m/>
    <x v="234"/>
    <x v="1371"/>
    <m/>
    <x v="2"/>
    <x v="2"/>
    <m/>
    <n v="45.316039000000004"/>
    <n v="-24.240085000000001"/>
    <m/>
    <m/>
  </r>
  <r>
    <s v="MG52518010004001MAM"/>
    <x v="5"/>
    <x v="5"/>
    <m/>
    <x v="2"/>
    <x v="2"/>
    <m/>
    <x v="2"/>
    <x v="2"/>
    <m/>
    <x v="36"/>
    <x v="36"/>
    <m/>
    <x v="387"/>
    <x v="1133"/>
    <m/>
    <x v="1294"/>
    <x v="1372"/>
    <m/>
    <x v="2"/>
    <x v="2"/>
    <m/>
    <n v="45.317779999999999"/>
    <n v="-24.219480000000001"/>
    <m/>
    <m/>
  </r>
  <r>
    <s v="MG52518010006001MAM"/>
    <x v="5"/>
    <x v="5"/>
    <m/>
    <x v="2"/>
    <x v="2"/>
    <m/>
    <x v="2"/>
    <x v="2"/>
    <m/>
    <x v="36"/>
    <x v="36"/>
    <m/>
    <x v="1130"/>
    <x v="1134"/>
    <m/>
    <x v="1295"/>
    <x v="1373"/>
    <m/>
    <x v="2"/>
    <x v="2"/>
    <m/>
    <n v="45.240519999999997"/>
    <n v="-24.2425"/>
    <m/>
    <m/>
  </r>
  <r>
    <s v="MG52518010010001MAM"/>
    <x v="5"/>
    <x v="5"/>
    <m/>
    <x v="2"/>
    <x v="2"/>
    <m/>
    <x v="2"/>
    <x v="2"/>
    <m/>
    <x v="36"/>
    <x v="36"/>
    <m/>
    <x v="1131"/>
    <x v="1135"/>
    <m/>
    <x v="1296"/>
    <x v="1374"/>
    <m/>
    <x v="2"/>
    <x v="2"/>
    <m/>
    <n v="45.38373"/>
    <n v="-24.247769999999999"/>
    <m/>
    <m/>
  </r>
  <r>
    <s v="MG52518010014001MAM"/>
    <x v="5"/>
    <x v="5"/>
    <m/>
    <x v="2"/>
    <x v="2"/>
    <m/>
    <x v="2"/>
    <x v="2"/>
    <m/>
    <x v="36"/>
    <x v="36"/>
    <m/>
    <x v="714"/>
    <x v="1136"/>
    <m/>
    <x v="1297"/>
    <x v="1375"/>
    <m/>
    <x v="2"/>
    <x v="2"/>
    <m/>
    <n v="45.314720000000001"/>
    <n v="-24.266950000000001"/>
    <m/>
    <m/>
  </r>
  <r>
    <s v="MG54502010003001MAM"/>
    <x v="5"/>
    <x v="5"/>
    <m/>
    <x v="2"/>
    <x v="2"/>
    <m/>
    <x v="2"/>
    <x v="2"/>
    <m/>
    <x v="36"/>
    <x v="36"/>
    <m/>
    <x v="1132"/>
    <x v="1137"/>
    <m/>
    <x v="1298"/>
    <x v="1376"/>
    <m/>
    <x v="2"/>
    <x v="2"/>
    <m/>
    <n v="45.307850000000002"/>
    <n v="-24.222670000000001"/>
    <m/>
    <m/>
  </r>
  <r>
    <s v="MG25217191001001MAM"/>
    <x v="0"/>
    <x v="0"/>
    <m/>
    <x v="4"/>
    <x v="4"/>
    <m/>
    <x v="12"/>
    <x v="12"/>
    <m/>
    <x v="197"/>
    <x v="197"/>
    <m/>
    <x v="1133"/>
    <x v="1138"/>
    <m/>
    <x v="1299"/>
    <x v="1377"/>
    <m/>
    <x v="2"/>
    <x v="2"/>
    <m/>
    <n v="47.193800000000003"/>
    <n v="-22.289180000000002"/>
    <m/>
    <m/>
  </r>
  <r>
    <s v="MG25217191003001MAM"/>
    <x v="0"/>
    <x v="0"/>
    <m/>
    <x v="4"/>
    <x v="4"/>
    <m/>
    <x v="12"/>
    <x v="12"/>
    <m/>
    <x v="197"/>
    <x v="197"/>
    <m/>
    <x v="1134"/>
    <x v="1139"/>
    <m/>
    <x v="1300"/>
    <x v="1378"/>
    <m/>
    <x v="2"/>
    <x v="2"/>
    <m/>
    <n v="47.258130000000001"/>
    <n v="-22.784130000000001"/>
    <m/>
    <m/>
  </r>
  <r>
    <s v="MG25217191005001MAM"/>
    <x v="0"/>
    <x v="0"/>
    <m/>
    <x v="4"/>
    <x v="4"/>
    <m/>
    <x v="12"/>
    <x v="12"/>
    <m/>
    <x v="197"/>
    <x v="197"/>
    <m/>
    <x v="1135"/>
    <x v="1140"/>
    <m/>
    <x v="1301"/>
    <x v="1379"/>
    <m/>
    <x v="2"/>
    <x v="2"/>
    <m/>
    <n v="47.246270000000003"/>
    <n v="-22.30575"/>
    <m/>
    <m/>
  </r>
  <r>
    <s v="MG25213230002001MAM"/>
    <x v="0"/>
    <x v="0"/>
    <m/>
    <x v="4"/>
    <x v="4"/>
    <m/>
    <x v="11"/>
    <x v="11"/>
    <m/>
    <x v="198"/>
    <x v="198"/>
    <m/>
    <x v="1136"/>
    <x v="1141"/>
    <m/>
    <x v="1302"/>
    <x v="1380"/>
    <m/>
    <x v="2"/>
    <x v="2"/>
    <m/>
    <n v="47.78642"/>
    <n v="-22.624179999999999"/>
    <m/>
    <m/>
  </r>
  <r>
    <s v="MG53517293001001MAM"/>
    <x v="5"/>
    <x v="5"/>
    <m/>
    <x v="3"/>
    <x v="3"/>
    <m/>
    <x v="15"/>
    <x v="15"/>
    <m/>
    <x v="199"/>
    <x v="199"/>
    <m/>
    <x v="1137"/>
    <x v="1142"/>
    <m/>
    <x v="1303"/>
    <x v="1381"/>
    <m/>
    <x v="2"/>
    <x v="2"/>
    <m/>
    <n v="45.694629999999997"/>
    <n v="-23.600629999999999"/>
    <m/>
    <m/>
  </r>
  <r>
    <s v="MG53517293025001MAM"/>
    <x v="5"/>
    <x v="5"/>
    <m/>
    <x v="3"/>
    <x v="3"/>
    <m/>
    <x v="15"/>
    <x v="15"/>
    <m/>
    <x v="199"/>
    <x v="199"/>
    <m/>
    <x v="121"/>
    <x v="1143"/>
    <m/>
    <x v="1304"/>
    <x v="1382"/>
    <m/>
    <x v="2"/>
    <x v="2"/>
    <m/>
    <n v="45.739400000000003"/>
    <n v="-23.563800000000001"/>
    <m/>
    <m/>
  </r>
  <r>
    <s v="MG51501006010001MAM"/>
    <x v="5"/>
    <x v="5"/>
    <m/>
    <x v="2"/>
    <x v="2"/>
    <m/>
    <x v="9"/>
    <x v="9"/>
    <m/>
    <x v="200"/>
    <x v="200"/>
    <m/>
    <x v="55"/>
    <x v="1144"/>
    <m/>
    <x v="1305"/>
    <x v="1383"/>
    <m/>
    <x v="2"/>
    <x v="2"/>
    <m/>
    <n v="45.425511999999998"/>
    <n v="-25.357258999999999"/>
    <m/>
    <m/>
  </r>
  <r>
    <s v="MG52514012012001MAM"/>
    <x v="5"/>
    <x v="5"/>
    <m/>
    <x v="2"/>
    <x v="2"/>
    <m/>
    <x v="9"/>
    <x v="9"/>
    <m/>
    <x v="200"/>
    <x v="200"/>
    <m/>
    <x v="1138"/>
    <x v="1145"/>
    <m/>
    <x v="1306"/>
    <x v="1384"/>
    <m/>
    <x v="2"/>
    <x v="2"/>
    <m/>
    <n v="45.359749999999998"/>
    <n v="-25.393180000000001"/>
    <m/>
    <m/>
  </r>
  <r>
    <s v="MG52514012014001MAM"/>
    <x v="5"/>
    <x v="5"/>
    <m/>
    <x v="2"/>
    <x v="2"/>
    <m/>
    <x v="9"/>
    <x v="9"/>
    <m/>
    <x v="200"/>
    <x v="200"/>
    <m/>
    <x v="1139"/>
    <x v="1146"/>
    <m/>
    <x v="1307"/>
    <x v="1385"/>
    <m/>
    <x v="2"/>
    <x v="2"/>
    <m/>
    <n v="45.460279999999997"/>
    <n v="-25.390329999999999"/>
    <m/>
    <m/>
  </r>
  <r>
    <s v="MG52514012015001MAM"/>
    <x v="5"/>
    <x v="5"/>
    <m/>
    <x v="2"/>
    <x v="2"/>
    <m/>
    <x v="9"/>
    <x v="9"/>
    <m/>
    <x v="200"/>
    <x v="200"/>
    <m/>
    <x v="1140"/>
    <x v="1147"/>
    <m/>
    <x v="1308"/>
    <x v="1386"/>
    <m/>
    <x v="2"/>
    <x v="2"/>
    <m/>
    <n v="45.503549999999997"/>
    <n v="-25.423919999999999"/>
    <m/>
    <m/>
  </r>
  <r>
    <s v="MG52514012023001MAM"/>
    <x v="5"/>
    <x v="5"/>
    <m/>
    <x v="2"/>
    <x v="2"/>
    <m/>
    <x v="9"/>
    <x v="9"/>
    <m/>
    <x v="200"/>
    <x v="200"/>
    <m/>
    <x v="1141"/>
    <x v="1148"/>
    <m/>
    <x v="1309"/>
    <x v="1387"/>
    <m/>
    <x v="2"/>
    <x v="2"/>
    <m/>
    <n v="45.580179999999999"/>
    <n v="-25.418150000000001"/>
    <m/>
    <m/>
  </r>
  <r>
    <s v="MG52514012076001MAM"/>
    <x v="5"/>
    <x v="5"/>
    <m/>
    <x v="2"/>
    <x v="2"/>
    <m/>
    <x v="9"/>
    <x v="9"/>
    <m/>
    <x v="200"/>
    <x v="200"/>
    <m/>
    <x v="1142"/>
    <x v="1149"/>
    <m/>
    <x v="1310"/>
    <x v="1388"/>
    <m/>
    <x v="2"/>
    <x v="2"/>
    <m/>
    <n v="45.503549999999997"/>
    <n v="-25.423919999999999"/>
    <m/>
    <m/>
  </r>
  <r>
    <s v="MG52514012077001MAM"/>
    <x v="5"/>
    <x v="5"/>
    <m/>
    <x v="2"/>
    <x v="2"/>
    <m/>
    <x v="9"/>
    <x v="9"/>
    <m/>
    <x v="200"/>
    <x v="200"/>
    <m/>
    <x v="1143"/>
    <x v="1150"/>
    <m/>
    <x v="1311"/>
    <x v="1389"/>
    <m/>
    <x v="2"/>
    <x v="2"/>
    <m/>
    <n v="45.363819999999997"/>
    <n v="-25.371169999999999"/>
    <m/>
    <m/>
  </r>
  <r>
    <s v="MG52514012078001MAM"/>
    <x v="5"/>
    <x v="5"/>
    <m/>
    <x v="2"/>
    <x v="2"/>
    <m/>
    <x v="9"/>
    <x v="9"/>
    <m/>
    <x v="200"/>
    <x v="200"/>
    <m/>
    <x v="1144"/>
    <x v="1151"/>
    <m/>
    <x v="1312"/>
    <x v="1390"/>
    <m/>
    <x v="2"/>
    <x v="2"/>
    <m/>
    <n v="45.604500000000002"/>
    <n v="-25.389520000000001"/>
    <m/>
    <m/>
  </r>
  <r>
    <s v="MG52514012079001MAM"/>
    <x v="5"/>
    <x v="5"/>
    <m/>
    <x v="2"/>
    <x v="2"/>
    <m/>
    <x v="9"/>
    <x v="9"/>
    <m/>
    <x v="200"/>
    <x v="200"/>
    <m/>
    <x v="1145"/>
    <x v="1152"/>
    <m/>
    <x v="1313"/>
    <x v="1391"/>
    <m/>
    <x v="2"/>
    <x v="2"/>
    <m/>
    <n v="45.61918"/>
    <n v="-25.382000000000001"/>
    <m/>
    <m/>
  </r>
  <r>
    <s v="MG52514012080001MAM"/>
    <x v="5"/>
    <x v="5"/>
    <m/>
    <x v="2"/>
    <x v="2"/>
    <m/>
    <x v="9"/>
    <x v="9"/>
    <m/>
    <x v="200"/>
    <x v="200"/>
    <m/>
    <x v="1146"/>
    <x v="1153"/>
    <m/>
    <x v="1314"/>
    <x v="1392"/>
    <m/>
    <x v="2"/>
    <x v="2"/>
    <m/>
    <n v="45.404980000000002"/>
    <n v="-25.403580000000002"/>
    <m/>
    <m/>
  </r>
  <r>
    <s v="MG51520170012001MAM"/>
    <x v="5"/>
    <x v="5"/>
    <m/>
    <x v="3"/>
    <x v="3"/>
    <m/>
    <x v="4"/>
    <x v="4"/>
    <m/>
    <x v="27"/>
    <x v="27"/>
    <m/>
    <x v="163"/>
    <x v="1154"/>
    <m/>
    <x v="167"/>
    <x v="1393"/>
    <m/>
    <x v="2"/>
    <x v="2"/>
    <m/>
    <n v="46.166321000000003"/>
    <n v="-24.298984999999998"/>
    <m/>
    <m/>
  </r>
  <r>
    <s v="MG51520170076001MAM"/>
    <x v="5"/>
    <x v="5"/>
    <m/>
    <x v="3"/>
    <x v="3"/>
    <m/>
    <x v="4"/>
    <x v="4"/>
    <m/>
    <x v="27"/>
    <x v="27"/>
    <m/>
    <x v="1147"/>
    <x v="1155"/>
    <m/>
    <x v="1315"/>
    <x v="1394"/>
    <m/>
    <x v="2"/>
    <x v="2"/>
    <m/>
    <n v="46.226170000000003"/>
    <n v="-24.30688"/>
    <m/>
    <m/>
  </r>
  <r>
    <s v="MG53519292047001MAM"/>
    <x v="5"/>
    <x v="5"/>
    <m/>
    <x v="3"/>
    <x v="3"/>
    <m/>
    <x v="4"/>
    <x v="4"/>
    <m/>
    <x v="27"/>
    <x v="27"/>
    <m/>
    <x v="499"/>
    <x v="1156"/>
    <m/>
    <x v="1316"/>
    <x v="1395"/>
    <m/>
    <x v="2"/>
    <x v="2"/>
    <m/>
    <n v="46.220702000000003"/>
    <n v="-24.375848999999999"/>
    <m/>
    <m/>
  </r>
  <r>
    <s v="MG25214190001001MAM"/>
    <x v="0"/>
    <x v="0"/>
    <m/>
    <x v="4"/>
    <x v="4"/>
    <m/>
    <x v="10"/>
    <x v="10"/>
    <m/>
    <x v="201"/>
    <x v="201"/>
    <m/>
    <x v="1148"/>
    <x v="1157"/>
    <m/>
    <x v="1317"/>
    <x v="1396"/>
    <m/>
    <x v="2"/>
    <x v="2"/>
    <m/>
    <n v="47.263599999999997"/>
    <n v="-23.417750000000002"/>
    <m/>
    <m/>
  </r>
  <r>
    <s v="MG25214190002001MAM"/>
    <x v="0"/>
    <x v="0"/>
    <m/>
    <x v="4"/>
    <x v="4"/>
    <m/>
    <x v="10"/>
    <x v="10"/>
    <m/>
    <x v="201"/>
    <x v="201"/>
    <m/>
    <x v="1149"/>
    <x v="1158"/>
    <m/>
    <x v="1318"/>
    <x v="1397"/>
    <m/>
    <x v="2"/>
    <x v="2"/>
    <m/>
    <n v="47.332720000000002"/>
    <n v="-23.369969999999999"/>
    <m/>
    <m/>
  </r>
  <r>
    <s v="MG25214190005001MAM"/>
    <x v="0"/>
    <x v="0"/>
    <m/>
    <x v="4"/>
    <x v="4"/>
    <m/>
    <x v="10"/>
    <x v="10"/>
    <m/>
    <x v="201"/>
    <x v="201"/>
    <m/>
    <x v="1150"/>
    <x v="1159"/>
    <m/>
    <x v="1319"/>
    <x v="1398"/>
    <m/>
    <x v="2"/>
    <x v="2"/>
    <m/>
    <n v="47.380949999999999"/>
    <n v="-23.4224"/>
    <m/>
    <m/>
  </r>
  <r>
    <s v="MG25214190006001MAM"/>
    <x v="0"/>
    <x v="0"/>
    <m/>
    <x v="4"/>
    <x v="4"/>
    <m/>
    <x v="10"/>
    <x v="10"/>
    <m/>
    <x v="201"/>
    <x v="201"/>
    <m/>
    <x v="1151"/>
    <x v="1160"/>
    <m/>
    <x v="1320"/>
    <x v="1399"/>
    <m/>
    <x v="2"/>
    <x v="2"/>
    <m/>
    <n v="47.32705"/>
    <n v="-23.5151"/>
    <m/>
    <m/>
  </r>
  <r>
    <s v="MG25214190008001MAM"/>
    <x v="0"/>
    <x v="0"/>
    <m/>
    <x v="4"/>
    <x v="4"/>
    <m/>
    <x v="10"/>
    <x v="10"/>
    <m/>
    <x v="201"/>
    <x v="201"/>
    <m/>
    <x v="1152"/>
    <x v="1161"/>
    <m/>
    <x v="1321"/>
    <x v="1400"/>
    <m/>
    <x v="2"/>
    <x v="2"/>
    <m/>
    <n v="47.384779999999999"/>
    <n v="-23.587949999999999"/>
    <m/>
    <m/>
  </r>
  <r>
    <s v="MG25222051001001MAM"/>
    <x v="0"/>
    <x v="0"/>
    <m/>
    <x v="4"/>
    <x v="4"/>
    <m/>
    <x v="19"/>
    <x v="18"/>
    <m/>
    <x v="202"/>
    <x v="202"/>
    <m/>
    <x v="1153"/>
    <x v="1162"/>
    <m/>
    <x v="1322"/>
    <x v="1401"/>
    <m/>
    <x v="2"/>
    <x v="2"/>
    <m/>
    <n v="46.649880000000003"/>
    <n v="-23.731280000000002"/>
    <m/>
    <m/>
  </r>
  <r>
    <s v="MG41403050016001MAM"/>
    <x v="5"/>
    <x v="5"/>
    <m/>
    <x v="3"/>
    <x v="3"/>
    <m/>
    <x v="15"/>
    <x v="15"/>
    <m/>
    <x v="203"/>
    <x v="203"/>
    <m/>
    <x v="210"/>
    <x v="1163"/>
    <m/>
    <x v="1323"/>
    <x v="1402"/>
    <m/>
    <x v="2"/>
    <x v="2"/>
    <m/>
    <n v="45.474699999999999"/>
    <n v="-23.078970000000002"/>
    <m/>
    <m/>
  </r>
  <r>
    <s v="MG53517332001001MAM"/>
    <x v="5"/>
    <x v="5"/>
    <m/>
    <x v="3"/>
    <x v="3"/>
    <m/>
    <x v="15"/>
    <x v="15"/>
    <m/>
    <x v="203"/>
    <x v="203"/>
    <m/>
    <x v="1154"/>
    <x v="1164"/>
    <m/>
    <x v="1324"/>
    <x v="1403"/>
    <m/>
    <x v="2"/>
    <x v="2"/>
    <m/>
    <n v="45.468899999999998"/>
    <n v="-22.97917"/>
    <m/>
    <m/>
  </r>
  <r>
    <s v="MG53517332002001MAM"/>
    <x v="5"/>
    <x v="5"/>
    <m/>
    <x v="3"/>
    <x v="3"/>
    <m/>
    <x v="15"/>
    <x v="15"/>
    <m/>
    <x v="203"/>
    <x v="203"/>
    <m/>
    <x v="1155"/>
    <x v="1165"/>
    <m/>
    <x v="1325"/>
    <x v="1404"/>
    <m/>
    <x v="2"/>
    <x v="2"/>
    <m/>
    <n v="45.554600000000001"/>
    <n v="-22.959219999999998"/>
    <m/>
    <m/>
  </r>
  <r>
    <s v="MG53517332003001MAM"/>
    <x v="5"/>
    <x v="5"/>
    <m/>
    <x v="3"/>
    <x v="3"/>
    <m/>
    <x v="15"/>
    <x v="15"/>
    <m/>
    <x v="203"/>
    <x v="203"/>
    <m/>
    <x v="1156"/>
    <x v="1166"/>
    <m/>
    <x v="1326"/>
    <x v="1405"/>
    <m/>
    <x v="2"/>
    <x v="2"/>
    <m/>
    <n v="45.479430000000001"/>
    <n v="-23.029119999999999"/>
    <m/>
    <m/>
  </r>
  <r>
    <s v="MG54509030003001MAM"/>
    <x v="5"/>
    <x v="5"/>
    <m/>
    <x v="3"/>
    <x v="3"/>
    <m/>
    <x v="15"/>
    <x v="15"/>
    <m/>
    <x v="203"/>
    <x v="203"/>
    <m/>
    <x v="1157"/>
    <x v="1167"/>
    <m/>
    <x v="1327"/>
    <x v="1406"/>
    <m/>
    <x v="2"/>
    <x v="2"/>
    <m/>
    <n v="45.477119999999999"/>
    <n v="-23.122900000000001"/>
    <m/>
    <m/>
  </r>
  <r>
    <s v="MG51506011022001MAM"/>
    <x v="3"/>
    <x v="3"/>
    <m/>
    <x v="1"/>
    <x v="1"/>
    <m/>
    <x v="3"/>
    <x v="3"/>
    <m/>
    <x v="16"/>
    <x v="16"/>
    <m/>
    <x v="1158"/>
    <x v="1168"/>
    <m/>
    <x v="1328"/>
    <x v="1407"/>
    <m/>
    <x v="2"/>
    <x v="2"/>
    <m/>
    <n v="44.621899999999997"/>
    <n v="-23.84928"/>
    <m/>
    <m/>
  </r>
  <r>
    <s v="MG51506012003001MAM"/>
    <x v="3"/>
    <x v="3"/>
    <m/>
    <x v="1"/>
    <x v="1"/>
    <m/>
    <x v="3"/>
    <x v="3"/>
    <m/>
    <x v="16"/>
    <x v="16"/>
    <m/>
    <x v="289"/>
    <x v="1169"/>
    <m/>
    <x v="298"/>
    <x v="1408"/>
    <m/>
    <x v="2"/>
    <x v="2"/>
    <m/>
    <n v="44.659170000000003"/>
    <n v="-23.756019999999999"/>
    <m/>
    <m/>
  </r>
  <r>
    <s v="MG51506012065001MAM"/>
    <x v="3"/>
    <x v="3"/>
    <m/>
    <x v="1"/>
    <x v="1"/>
    <m/>
    <x v="3"/>
    <x v="3"/>
    <m/>
    <x v="16"/>
    <x v="16"/>
    <m/>
    <x v="1159"/>
    <x v="1170"/>
    <m/>
    <x v="1329"/>
    <x v="1409"/>
    <m/>
    <x v="2"/>
    <x v="2"/>
    <m/>
    <n v="44.695480000000003"/>
    <n v="-23.727979999999999"/>
    <m/>
    <m/>
  </r>
  <r>
    <s v="MG51506012067001MAM"/>
    <x v="3"/>
    <x v="3"/>
    <m/>
    <x v="1"/>
    <x v="1"/>
    <m/>
    <x v="3"/>
    <x v="3"/>
    <m/>
    <x v="16"/>
    <x v="16"/>
    <m/>
    <x v="110"/>
    <x v="1171"/>
    <m/>
    <x v="1330"/>
    <x v="1410"/>
    <m/>
    <x v="2"/>
    <x v="2"/>
    <m/>
    <n v="44.681429999999999"/>
    <n v="-23.7866"/>
    <m/>
    <m/>
  </r>
  <r>
    <s v="MG51507070008001MAM"/>
    <x v="3"/>
    <x v="3"/>
    <m/>
    <x v="1"/>
    <x v="1"/>
    <m/>
    <x v="3"/>
    <x v="3"/>
    <m/>
    <x v="16"/>
    <x v="16"/>
    <m/>
    <x v="109"/>
    <x v="112"/>
    <m/>
    <x v="1331"/>
    <x v="1411"/>
    <m/>
    <x v="2"/>
    <x v="2"/>
    <m/>
    <n v="44.662689999999998"/>
    <n v="-23.771963"/>
    <m/>
    <m/>
  </r>
  <r>
    <s v="MG51512112005001MAM"/>
    <x v="3"/>
    <x v="3"/>
    <m/>
    <x v="1"/>
    <x v="1"/>
    <m/>
    <x v="3"/>
    <x v="3"/>
    <m/>
    <x v="16"/>
    <x v="16"/>
    <m/>
    <x v="1160"/>
    <x v="1172"/>
    <m/>
    <x v="1332"/>
    <x v="1412"/>
    <m/>
    <x v="2"/>
    <x v="2"/>
    <m/>
    <n v="44.659170000000003"/>
    <n v="-23.756019999999999"/>
    <m/>
    <m/>
  </r>
  <r>
    <s v="MG51506270001001MAM"/>
    <x v="3"/>
    <x v="3"/>
    <m/>
    <x v="1"/>
    <x v="1"/>
    <m/>
    <x v="3"/>
    <x v="3"/>
    <m/>
    <x v="48"/>
    <x v="48"/>
    <m/>
    <x v="302"/>
    <x v="1173"/>
    <m/>
    <x v="311"/>
    <x v="1413"/>
    <m/>
    <x v="2"/>
    <x v="2"/>
    <m/>
    <n v="44.7027"/>
    <n v="-23.524539999999998"/>
    <m/>
    <m/>
  </r>
  <r>
    <s v="MG51506270006001MAM"/>
    <x v="3"/>
    <x v="3"/>
    <m/>
    <x v="1"/>
    <x v="1"/>
    <m/>
    <x v="3"/>
    <x v="3"/>
    <m/>
    <x v="48"/>
    <x v="48"/>
    <m/>
    <x v="1161"/>
    <x v="1174"/>
    <m/>
    <x v="1333"/>
    <x v="1414"/>
    <m/>
    <x v="2"/>
    <x v="2"/>
    <m/>
    <n v="44.694920000000003"/>
    <n v="-23.526319999999998"/>
    <m/>
    <m/>
  </r>
  <r>
    <s v="MG53519070002001MAM"/>
    <x v="5"/>
    <x v="5"/>
    <m/>
    <x v="3"/>
    <x v="3"/>
    <m/>
    <x v="4"/>
    <x v="4"/>
    <m/>
    <x v="17"/>
    <x v="17"/>
    <m/>
    <x v="1162"/>
    <x v="1175"/>
    <m/>
    <x v="1334"/>
    <x v="1415"/>
    <m/>
    <x v="2"/>
    <x v="2"/>
    <m/>
    <n v="46.275570000000002"/>
    <n v="-25.10802"/>
    <m/>
    <m/>
  </r>
  <r>
    <s v="MG53519070005001MAM"/>
    <x v="5"/>
    <x v="5"/>
    <m/>
    <x v="3"/>
    <x v="3"/>
    <m/>
    <x v="4"/>
    <x v="4"/>
    <m/>
    <x v="17"/>
    <x v="17"/>
    <m/>
    <x v="1163"/>
    <x v="1176"/>
    <m/>
    <x v="1335"/>
    <x v="1416"/>
    <m/>
    <x v="2"/>
    <x v="2"/>
    <m/>
    <n v="46.271569999999997"/>
    <n v="-25.11628"/>
    <m/>
    <m/>
  </r>
  <r>
    <s v="MG53519070006001MAM"/>
    <x v="5"/>
    <x v="5"/>
    <m/>
    <x v="3"/>
    <x v="3"/>
    <m/>
    <x v="4"/>
    <x v="4"/>
    <m/>
    <x v="17"/>
    <x v="17"/>
    <m/>
    <x v="1164"/>
    <x v="1177"/>
    <m/>
    <x v="1336"/>
    <x v="1417"/>
    <m/>
    <x v="2"/>
    <x v="2"/>
    <m/>
    <n v="46.319450000000003"/>
    <n v="-25.142520000000001"/>
    <m/>
    <m/>
  </r>
  <r>
    <s v="MG53519070011001MAM"/>
    <x v="5"/>
    <x v="5"/>
    <m/>
    <x v="3"/>
    <x v="3"/>
    <m/>
    <x v="4"/>
    <x v="4"/>
    <m/>
    <x v="17"/>
    <x v="17"/>
    <m/>
    <x v="1165"/>
    <x v="1178"/>
    <m/>
    <x v="1337"/>
    <x v="1418"/>
    <m/>
    <x v="2"/>
    <x v="2"/>
    <m/>
    <n v="46.32403"/>
    <n v="-25.148019999999999"/>
    <m/>
    <m/>
  </r>
  <r>
    <s v="MG53519070012001MAM"/>
    <x v="5"/>
    <x v="5"/>
    <m/>
    <x v="3"/>
    <x v="3"/>
    <m/>
    <x v="4"/>
    <x v="4"/>
    <m/>
    <x v="17"/>
    <x v="17"/>
    <m/>
    <x v="1166"/>
    <x v="1179"/>
    <m/>
    <x v="1338"/>
    <x v="1419"/>
    <m/>
    <x v="2"/>
    <x v="2"/>
    <m/>
    <n v="46.316299999999998"/>
    <n v="-25.144349999999999"/>
    <m/>
    <m/>
  </r>
  <r>
    <s v="MG25214332003001MAM"/>
    <x v="0"/>
    <x v="0"/>
    <m/>
    <x v="4"/>
    <x v="4"/>
    <m/>
    <x v="10"/>
    <x v="10"/>
    <m/>
    <x v="204"/>
    <x v="204"/>
    <m/>
    <x v="885"/>
    <x v="1180"/>
    <m/>
    <x v="1339"/>
    <x v="1420"/>
    <m/>
    <x v="2"/>
    <x v="2"/>
    <m/>
    <n v="47.409129999999998"/>
    <n v="-24.004380000000001"/>
    <m/>
    <m/>
  </r>
  <r>
    <s v="MG25214332007001MAM"/>
    <x v="0"/>
    <x v="0"/>
    <m/>
    <x v="4"/>
    <x v="4"/>
    <m/>
    <x v="10"/>
    <x v="10"/>
    <m/>
    <x v="204"/>
    <x v="204"/>
    <m/>
    <x v="1167"/>
    <x v="1181"/>
    <m/>
    <x v="1340"/>
    <x v="1421"/>
    <m/>
    <x v="2"/>
    <x v="2"/>
    <m/>
    <n v="47.439300000000003"/>
    <n v="-24.044329999999999"/>
    <m/>
    <m/>
  </r>
  <r>
    <s v="MG25215012004001MAM"/>
    <x v="5"/>
    <x v="5"/>
    <m/>
    <x v="2"/>
    <x v="2"/>
    <m/>
    <x v="6"/>
    <x v="6"/>
    <m/>
    <x v="18"/>
    <x v="18"/>
    <m/>
    <x v="608"/>
    <x v="1182"/>
    <m/>
    <x v="1341"/>
    <x v="1422"/>
    <m/>
    <x v="2"/>
    <x v="2"/>
    <m/>
    <n v="45.717849000000001"/>
    <n v="-25.187944000000002"/>
    <m/>
    <m/>
  </r>
  <r>
    <s v="MG42410191005001MAM"/>
    <x v="5"/>
    <x v="5"/>
    <m/>
    <x v="2"/>
    <x v="2"/>
    <m/>
    <x v="6"/>
    <x v="6"/>
    <m/>
    <x v="18"/>
    <x v="18"/>
    <m/>
    <x v="1168"/>
    <x v="1183"/>
    <m/>
    <x v="1342"/>
    <x v="1423"/>
    <m/>
    <x v="2"/>
    <x v="2"/>
    <m/>
    <n v="45.752969999999998"/>
    <n v="-25.253270000000001"/>
    <m/>
    <m/>
  </r>
  <r>
    <s v="MG52516111001001MAM"/>
    <x v="5"/>
    <x v="5"/>
    <m/>
    <x v="2"/>
    <x v="2"/>
    <m/>
    <x v="6"/>
    <x v="6"/>
    <m/>
    <x v="18"/>
    <x v="18"/>
    <m/>
    <x v="116"/>
    <x v="119"/>
    <m/>
    <x v="182"/>
    <x v="1424"/>
    <m/>
    <x v="2"/>
    <x v="2"/>
    <m/>
    <n v="45.731369999999998"/>
    <n v="-25.215319999999998"/>
    <m/>
    <m/>
  </r>
  <r>
    <s v="MG52516111089001MAM"/>
    <x v="5"/>
    <x v="5"/>
    <m/>
    <x v="2"/>
    <x v="2"/>
    <m/>
    <x v="6"/>
    <x v="6"/>
    <m/>
    <x v="18"/>
    <x v="18"/>
    <m/>
    <x v="120"/>
    <x v="1184"/>
    <m/>
    <x v="183"/>
    <x v="1425"/>
    <m/>
    <x v="2"/>
    <x v="2"/>
    <m/>
    <n v="45.819420000000001"/>
    <n v="-25.136649999999999"/>
    <m/>
    <m/>
  </r>
  <r>
    <s v="MG52516111134001MAM"/>
    <x v="5"/>
    <x v="5"/>
    <m/>
    <x v="2"/>
    <x v="2"/>
    <m/>
    <x v="6"/>
    <x v="6"/>
    <m/>
    <x v="18"/>
    <x v="18"/>
    <m/>
    <x v="1169"/>
    <x v="1185"/>
    <m/>
    <x v="1343"/>
    <x v="1426"/>
    <m/>
    <x v="2"/>
    <x v="2"/>
    <m/>
    <n v="45.80048"/>
    <n v="-25.19115"/>
    <m/>
    <m/>
  </r>
  <r>
    <s v="MG52516111009001MAM"/>
    <x v="5"/>
    <x v="5"/>
    <m/>
    <x v="2"/>
    <x v="2"/>
    <m/>
    <x v="6"/>
    <x v="6"/>
    <m/>
    <x v="18"/>
    <x v="18"/>
    <m/>
    <x v="370"/>
    <x v="1186"/>
    <m/>
    <x v="1344"/>
    <x v="1427"/>
    <m/>
    <x v="2"/>
    <x v="2"/>
    <m/>
    <n v="45.839019999999998"/>
    <n v="-25.186330000000002"/>
    <m/>
    <m/>
  </r>
  <r>
    <s v="MG52516111012001MAM"/>
    <x v="5"/>
    <x v="5"/>
    <m/>
    <x v="2"/>
    <x v="2"/>
    <m/>
    <x v="6"/>
    <x v="6"/>
    <m/>
    <x v="18"/>
    <x v="18"/>
    <m/>
    <x v="118"/>
    <x v="1187"/>
    <m/>
    <x v="184"/>
    <x v="1428"/>
    <m/>
    <x v="2"/>
    <x v="2"/>
    <m/>
    <n v="45.863529999999997"/>
    <n v="-25.054829999999999"/>
    <m/>
    <m/>
  </r>
  <r>
    <s v="MG52516111015001MAM"/>
    <x v="5"/>
    <x v="5"/>
    <m/>
    <x v="2"/>
    <x v="2"/>
    <m/>
    <x v="6"/>
    <x v="6"/>
    <m/>
    <x v="18"/>
    <x v="18"/>
    <m/>
    <x v="1170"/>
    <x v="1188"/>
    <m/>
    <x v="1345"/>
    <x v="1429"/>
    <m/>
    <x v="2"/>
    <x v="2"/>
    <m/>
    <n v="45.753369999999997"/>
    <n v="-25.185179999999999"/>
    <m/>
    <m/>
  </r>
  <r>
    <s v="MG52516111017001MAM"/>
    <x v="5"/>
    <x v="5"/>
    <m/>
    <x v="2"/>
    <x v="2"/>
    <m/>
    <x v="6"/>
    <x v="6"/>
    <m/>
    <x v="18"/>
    <x v="18"/>
    <m/>
    <x v="1171"/>
    <x v="1189"/>
    <m/>
    <x v="1346"/>
    <x v="1430"/>
    <m/>
    <x v="2"/>
    <x v="2"/>
    <m/>
    <n v="45.760480000000001"/>
    <n v="-25.120470000000001"/>
    <m/>
    <m/>
  </r>
  <r>
    <s v="MG52516111045001MAM"/>
    <x v="5"/>
    <x v="5"/>
    <m/>
    <x v="2"/>
    <x v="2"/>
    <m/>
    <x v="6"/>
    <x v="6"/>
    <m/>
    <x v="18"/>
    <x v="18"/>
    <m/>
    <x v="1172"/>
    <x v="1190"/>
    <m/>
    <x v="1347"/>
    <x v="1431"/>
    <m/>
    <x v="2"/>
    <x v="2"/>
    <m/>
    <n v="45.779049999999998"/>
    <n v="-25.238"/>
    <m/>
    <m/>
  </r>
  <r>
    <s v="MG52516111046001MAM"/>
    <x v="5"/>
    <x v="5"/>
    <m/>
    <x v="2"/>
    <x v="2"/>
    <m/>
    <x v="6"/>
    <x v="6"/>
    <m/>
    <x v="18"/>
    <x v="18"/>
    <m/>
    <x v="1173"/>
    <x v="1191"/>
    <m/>
    <x v="1348"/>
    <x v="1432"/>
    <m/>
    <x v="2"/>
    <x v="2"/>
    <m/>
    <n v="45.772730000000003"/>
    <n v="-25.179670000000002"/>
    <m/>
    <m/>
  </r>
  <r>
    <s v="MG52516111047001MAM"/>
    <x v="5"/>
    <x v="5"/>
    <m/>
    <x v="2"/>
    <x v="2"/>
    <m/>
    <x v="6"/>
    <x v="6"/>
    <m/>
    <x v="18"/>
    <x v="18"/>
    <m/>
    <x v="1174"/>
    <x v="1192"/>
    <m/>
    <x v="1349"/>
    <x v="1433"/>
    <m/>
    <x v="2"/>
    <x v="2"/>
    <m/>
    <n v="45.752020000000002"/>
    <n v="-25.179079999999999"/>
    <m/>
    <m/>
  </r>
  <r>
    <s v="MG52516111048001MAM"/>
    <x v="5"/>
    <x v="5"/>
    <m/>
    <x v="2"/>
    <x v="2"/>
    <m/>
    <x v="6"/>
    <x v="6"/>
    <m/>
    <x v="18"/>
    <x v="18"/>
    <m/>
    <x v="1175"/>
    <x v="1193"/>
    <m/>
    <x v="1350"/>
    <x v="1434"/>
    <m/>
    <x v="2"/>
    <x v="2"/>
    <m/>
    <n v="45.78613"/>
    <n v="-25.162949999999999"/>
    <m/>
    <m/>
  </r>
  <r>
    <s v="MG52516111049001MAM"/>
    <x v="5"/>
    <x v="5"/>
    <m/>
    <x v="2"/>
    <x v="2"/>
    <m/>
    <x v="6"/>
    <x v="6"/>
    <m/>
    <x v="18"/>
    <x v="18"/>
    <m/>
    <x v="381"/>
    <x v="1194"/>
    <m/>
    <x v="1351"/>
    <x v="1435"/>
    <m/>
    <x v="2"/>
    <x v="2"/>
    <m/>
    <n v="45.802199999999999"/>
    <n v="-25.191669999999998"/>
    <m/>
    <m/>
  </r>
  <r>
    <s v="MG52516111050001MAM"/>
    <x v="5"/>
    <x v="5"/>
    <m/>
    <x v="2"/>
    <x v="2"/>
    <m/>
    <x v="6"/>
    <x v="6"/>
    <m/>
    <x v="18"/>
    <x v="18"/>
    <m/>
    <x v="1176"/>
    <x v="1195"/>
    <m/>
    <x v="1352"/>
    <x v="1436"/>
    <m/>
    <x v="2"/>
    <x v="2"/>
    <m/>
    <n v="45.75985"/>
    <n v="-25.26323"/>
    <m/>
    <m/>
  </r>
  <r>
    <s v="MG52516111051001MAM"/>
    <x v="5"/>
    <x v="5"/>
    <m/>
    <x v="2"/>
    <x v="2"/>
    <m/>
    <x v="6"/>
    <x v="6"/>
    <m/>
    <x v="18"/>
    <x v="18"/>
    <m/>
    <x v="1177"/>
    <x v="1196"/>
    <m/>
    <x v="1353"/>
    <x v="1437"/>
    <m/>
    <x v="2"/>
    <x v="2"/>
    <m/>
    <n v="45.756680000000003"/>
    <n v="-25.268419999999999"/>
    <m/>
    <m/>
  </r>
  <r>
    <s v="MG52516111052001MAM"/>
    <x v="5"/>
    <x v="5"/>
    <m/>
    <x v="2"/>
    <x v="2"/>
    <m/>
    <x v="6"/>
    <x v="6"/>
    <m/>
    <x v="18"/>
    <x v="18"/>
    <m/>
    <x v="753"/>
    <x v="1197"/>
    <m/>
    <x v="1354"/>
    <x v="1438"/>
    <m/>
    <x v="2"/>
    <x v="2"/>
    <m/>
    <n v="45.85295"/>
    <n v="-25.138870000000001"/>
    <m/>
    <m/>
  </r>
  <r>
    <s v="MG52516111053001MAM"/>
    <x v="5"/>
    <x v="5"/>
    <m/>
    <x v="2"/>
    <x v="2"/>
    <m/>
    <x v="6"/>
    <x v="6"/>
    <m/>
    <x v="18"/>
    <x v="18"/>
    <m/>
    <x v="1178"/>
    <x v="1198"/>
    <m/>
    <x v="1355"/>
    <x v="1439"/>
    <m/>
    <x v="2"/>
    <x v="2"/>
    <m/>
    <n v="45.770049999999998"/>
    <n v="-25.254750000000001"/>
    <m/>
    <m/>
  </r>
  <r>
    <s v="MG52516111054001MAM"/>
    <x v="5"/>
    <x v="5"/>
    <m/>
    <x v="2"/>
    <x v="2"/>
    <m/>
    <x v="6"/>
    <x v="6"/>
    <m/>
    <x v="18"/>
    <x v="18"/>
    <m/>
    <x v="117"/>
    <x v="1199"/>
    <m/>
    <x v="186"/>
    <x v="1440"/>
    <m/>
    <x v="2"/>
    <x v="2"/>
    <m/>
    <n v="45.731369999999998"/>
    <n v="-25.215319999999998"/>
    <m/>
    <m/>
  </r>
  <r>
    <s v="MG52516111055001MAM"/>
    <x v="5"/>
    <x v="5"/>
    <m/>
    <x v="2"/>
    <x v="2"/>
    <m/>
    <x v="6"/>
    <x v="6"/>
    <m/>
    <x v="18"/>
    <x v="18"/>
    <m/>
    <x v="1179"/>
    <x v="1200"/>
    <m/>
    <x v="1356"/>
    <x v="1441"/>
    <m/>
    <x v="2"/>
    <x v="2"/>
    <m/>
    <n v="45.731369999999998"/>
    <n v="-25.215319999999998"/>
    <m/>
    <m/>
  </r>
  <r>
    <s v="MG52516111057001MAM"/>
    <x v="5"/>
    <x v="5"/>
    <m/>
    <x v="2"/>
    <x v="2"/>
    <m/>
    <x v="6"/>
    <x v="6"/>
    <m/>
    <x v="18"/>
    <x v="18"/>
    <m/>
    <x v="1180"/>
    <x v="1201"/>
    <m/>
    <x v="1357"/>
    <x v="1442"/>
    <m/>
    <x v="2"/>
    <x v="2"/>
    <m/>
    <n v="45.78613"/>
    <n v="-25.162949999999999"/>
    <m/>
    <m/>
  </r>
  <r>
    <s v="MG52516111058001MAM"/>
    <x v="5"/>
    <x v="5"/>
    <m/>
    <x v="2"/>
    <x v="2"/>
    <m/>
    <x v="6"/>
    <x v="6"/>
    <m/>
    <x v="18"/>
    <x v="18"/>
    <m/>
    <x v="121"/>
    <x v="1202"/>
    <m/>
    <x v="185"/>
    <x v="1443"/>
    <m/>
    <x v="2"/>
    <x v="2"/>
    <m/>
    <n v="45.778399999999998"/>
    <n v="-25.246919999999999"/>
    <m/>
    <m/>
  </r>
  <r>
    <s v="MG52516111059001MAM"/>
    <x v="5"/>
    <x v="5"/>
    <m/>
    <x v="2"/>
    <x v="2"/>
    <m/>
    <x v="6"/>
    <x v="6"/>
    <m/>
    <x v="18"/>
    <x v="18"/>
    <m/>
    <x v="1181"/>
    <x v="1203"/>
    <m/>
    <x v="1358"/>
    <x v="1444"/>
    <m/>
    <x v="2"/>
    <x v="2"/>
    <m/>
    <n v="45.79222"/>
    <n v="-25.140329999999999"/>
    <m/>
    <m/>
  </r>
  <r>
    <s v="MG52516111078001MAM"/>
    <x v="5"/>
    <x v="5"/>
    <m/>
    <x v="2"/>
    <x v="2"/>
    <m/>
    <x v="6"/>
    <x v="6"/>
    <m/>
    <x v="18"/>
    <x v="18"/>
    <m/>
    <x v="1182"/>
    <x v="1204"/>
    <m/>
    <x v="1359"/>
    <x v="1445"/>
    <m/>
    <x v="2"/>
    <x v="2"/>
    <m/>
    <n v="45.729370000000003"/>
    <n v="-25.233370000000001"/>
    <m/>
    <m/>
  </r>
  <r>
    <s v="MG53515033003001MAM"/>
    <x v="5"/>
    <x v="5"/>
    <m/>
    <x v="2"/>
    <x v="2"/>
    <m/>
    <x v="6"/>
    <x v="6"/>
    <m/>
    <x v="18"/>
    <x v="18"/>
    <m/>
    <x v="1183"/>
    <x v="1205"/>
    <m/>
    <x v="1360"/>
    <x v="1446"/>
    <m/>
    <x v="2"/>
    <x v="2"/>
    <m/>
    <n v="45.830874999999999"/>
    <n v="-25.155370999999999"/>
    <m/>
    <m/>
  </r>
  <r>
    <s v="MG53519010013001MAM"/>
    <x v="5"/>
    <x v="5"/>
    <m/>
    <x v="2"/>
    <x v="2"/>
    <m/>
    <x v="6"/>
    <x v="6"/>
    <m/>
    <x v="18"/>
    <x v="18"/>
    <m/>
    <x v="1184"/>
    <x v="1206"/>
    <m/>
    <x v="1361"/>
    <x v="1447"/>
    <m/>
    <x v="2"/>
    <x v="2"/>
    <m/>
    <n v="46.337020000000003"/>
    <n v="-25.061299999999999"/>
    <m/>
    <m/>
  </r>
  <r>
    <s v="MG25215052001001MAM"/>
    <x v="0"/>
    <x v="0"/>
    <m/>
    <x v="4"/>
    <x v="4"/>
    <m/>
    <x v="16"/>
    <x v="16"/>
    <m/>
    <x v="205"/>
    <x v="205"/>
    <m/>
    <x v="1185"/>
    <x v="1207"/>
    <m/>
    <x v="1362"/>
    <x v="1448"/>
    <m/>
    <x v="2"/>
    <x v="2"/>
    <m/>
    <n v="46.961680000000001"/>
    <n v="-22.925319999999999"/>
    <m/>
    <m/>
  </r>
  <r>
    <s v="MG25215052022001MAM"/>
    <x v="0"/>
    <x v="0"/>
    <m/>
    <x v="4"/>
    <x v="4"/>
    <m/>
    <x v="16"/>
    <x v="16"/>
    <m/>
    <x v="205"/>
    <x v="205"/>
    <m/>
    <x v="1186"/>
    <x v="1208"/>
    <m/>
    <x v="1363"/>
    <x v="1449"/>
    <m/>
    <x v="2"/>
    <x v="2"/>
    <m/>
    <n v="46.868270000000003"/>
    <n v="-22.993120000000001"/>
    <m/>
    <m/>
  </r>
  <r>
    <s v="MG51506192003001MAM"/>
    <x v="3"/>
    <x v="3"/>
    <m/>
    <x v="1"/>
    <x v="1"/>
    <m/>
    <x v="3"/>
    <x v="3"/>
    <m/>
    <x v="49"/>
    <x v="49"/>
    <m/>
    <x v="1187"/>
    <x v="1209"/>
    <m/>
    <x v="1364"/>
    <x v="1450"/>
    <m/>
    <x v="2"/>
    <x v="2"/>
    <m/>
    <n v="45.027484000000001"/>
    <n v="-23.456804999999999"/>
    <m/>
    <m/>
  </r>
  <r>
    <s v="MG51506210001001MAM"/>
    <x v="3"/>
    <x v="3"/>
    <m/>
    <x v="1"/>
    <x v="1"/>
    <m/>
    <x v="3"/>
    <x v="3"/>
    <m/>
    <x v="49"/>
    <x v="49"/>
    <m/>
    <x v="1188"/>
    <x v="1210"/>
    <m/>
    <x v="1365"/>
    <x v="1451"/>
    <m/>
    <x v="2"/>
    <x v="2"/>
    <m/>
    <n v="44.770569999999999"/>
    <n v="-23.87452"/>
    <m/>
    <m/>
  </r>
  <r>
    <s v="MG51506210002001MAM"/>
    <x v="3"/>
    <x v="3"/>
    <m/>
    <x v="1"/>
    <x v="1"/>
    <m/>
    <x v="3"/>
    <x v="3"/>
    <m/>
    <x v="49"/>
    <x v="49"/>
    <m/>
    <x v="345"/>
    <x v="1211"/>
    <m/>
    <x v="1366"/>
    <x v="1452"/>
    <m/>
    <x v="2"/>
    <x v="2"/>
    <m/>
    <n v="44.727606999999999"/>
    <n v="-23.889344999999999"/>
    <m/>
    <m/>
  </r>
  <r>
    <s v="MG51506210010001MAM"/>
    <x v="3"/>
    <x v="3"/>
    <m/>
    <x v="1"/>
    <x v="1"/>
    <m/>
    <x v="3"/>
    <x v="3"/>
    <m/>
    <x v="49"/>
    <x v="49"/>
    <m/>
    <x v="55"/>
    <x v="1212"/>
    <m/>
    <x v="1367"/>
    <x v="1453"/>
    <m/>
    <x v="2"/>
    <x v="2"/>
    <m/>
    <n v="44.744630000000001"/>
    <n v="-23.906264"/>
    <m/>
    <m/>
  </r>
  <r>
    <s v="MG51506210026001MAM"/>
    <x v="3"/>
    <x v="3"/>
    <m/>
    <x v="1"/>
    <x v="1"/>
    <m/>
    <x v="3"/>
    <x v="3"/>
    <m/>
    <x v="49"/>
    <x v="49"/>
    <m/>
    <x v="1189"/>
    <x v="1213"/>
    <m/>
    <x v="1368"/>
    <x v="1454"/>
    <m/>
    <x v="2"/>
    <x v="2"/>
    <m/>
    <n v="44.713320000000003"/>
    <n v="-23.929189999999998"/>
    <m/>
    <m/>
  </r>
  <r>
    <s v="MG51506210030001MAM"/>
    <x v="3"/>
    <x v="3"/>
    <m/>
    <x v="1"/>
    <x v="1"/>
    <m/>
    <x v="3"/>
    <x v="3"/>
    <m/>
    <x v="49"/>
    <x v="49"/>
    <m/>
    <x v="1190"/>
    <x v="1214"/>
    <m/>
    <x v="1369"/>
    <x v="1455"/>
    <m/>
    <x v="2"/>
    <x v="2"/>
    <m/>
    <n v="44.713320000000003"/>
    <n v="-23.929189999999998"/>
    <m/>
    <m/>
  </r>
  <r>
    <s v="MG51506252002001MAM"/>
    <x v="3"/>
    <x v="3"/>
    <m/>
    <x v="1"/>
    <x v="1"/>
    <m/>
    <x v="3"/>
    <x v="3"/>
    <m/>
    <x v="49"/>
    <x v="49"/>
    <m/>
    <x v="1191"/>
    <x v="1215"/>
    <m/>
    <x v="1370"/>
    <x v="1456"/>
    <m/>
    <x v="2"/>
    <x v="2"/>
    <m/>
    <n v="44.804749999999999"/>
    <n v="-23.761880000000001"/>
    <m/>
    <m/>
  </r>
  <r>
    <s v="MG51506252004001MAM"/>
    <x v="3"/>
    <x v="3"/>
    <m/>
    <x v="1"/>
    <x v="1"/>
    <m/>
    <x v="3"/>
    <x v="3"/>
    <m/>
    <x v="49"/>
    <x v="49"/>
    <m/>
    <x v="1192"/>
    <x v="1216"/>
    <m/>
    <x v="1371"/>
    <x v="1457"/>
    <m/>
    <x v="2"/>
    <x v="2"/>
    <m/>
    <n v="44.79515"/>
    <n v="-23.776669999999999"/>
    <m/>
    <m/>
  </r>
  <r>
    <s v="MG51506252013001MAM"/>
    <x v="3"/>
    <x v="3"/>
    <m/>
    <x v="1"/>
    <x v="1"/>
    <m/>
    <x v="3"/>
    <x v="3"/>
    <m/>
    <x v="49"/>
    <x v="49"/>
    <m/>
    <x v="1193"/>
    <x v="1217"/>
    <m/>
    <x v="1372"/>
    <x v="1458"/>
    <m/>
    <x v="2"/>
    <x v="2"/>
    <m/>
    <n v="44.846229999999998"/>
    <n v="-23.805949999999999"/>
    <m/>
    <m/>
  </r>
  <r>
    <s v="MG52518152009001MAM"/>
    <x v="3"/>
    <x v="3"/>
    <m/>
    <x v="1"/>
    <x v="1"/>
    <m/>
    <x v="3"/>
    <x v="3"/>
    <m/>
    <x v="49"/>
    <x v="49"/>
    <m/>
    <x v="1194"/>
    <x v="1218"/>
    <m/>
    <x v="1373"/>
    <x v="1459"/>
    <m/>
    <x v="2"/>
    <x v="2"/>
    <m/>
    <n v="44.784987999999998"/>
    <n v="-23.893740999999999"/>
    <m/>
    <m/>
  </r>
  <r>
    <s v="MG25214070001001MAM"/>
    <x v="0"/>
    <x v="0"/>
    <m/>
    <x v="4"/>
    <x v="4"/>
    <m/>
    <x v="10"/>
    <x v="10"/>
    <m/>
    <x v="206"/>
    <x v="206"/>
    <m/>
    <x v="1195"/>
    <x v="1219"/>
    <m/>
    <x v="1374"/>
    <x v="1460"/>
    <m/>
    <x v="2"/>
    <x v="2"/>
    <m/>
    <n v="47.600250000000003"/>
    <n v="-23.288900000000002"/>
    <m/>
    <m/>
  </r>
  <r>
    <s v="MG44402072009001MAM"/>
    <x v="3"/>
    <x v="3"/>
    <m/>
    <x v="1"/>
    <x v="1"/>
    <m/>
    <x v="3"/>
    <x v="3"/>
    <m/>
    <x v="50"/>
    <x v="50"/>
    <m/>
    <x v="1196"/>
    <x v="1220"/>
    <m/>
    <x v="1375"/>
    <x v="1461"/>
    <m/>
    <x v="2"/>
    <x v="2"/>
    <m/>
    <n v="44.294150000000002"/>
    <n v="-23.57422"/>
    <m/>
    <m/>
  </r>
  <r>
    <s v="MG51506090001001MAM"/>
    <x v="3"/>
    <x v="3"/>
    <m/>
    <x v="1"/>
    <x v="1"/>
    <m/>
    <x v="3"/>
    <x v="3"/>
    <m/>
    <x v="50"/>
    <x v="50"/>
    <m/>
    <x v="309"/>
    <x v="1221"/>
    <m/>
    <x v="318"/>
    <x v="1462"/>
    <m/>
    <x v="2"/>
    <x v="2"/>
    <m/>
    <n v="44.30097"/>
    <n v="-23.544820000000001"/>
    <m/>
    <m/>
  </r>
  <r>
    <s v="MG51506090007001MAM"/>
    <x v="3"/>
    <x v="3"/>
    <m/>
    <x v="1"/>
    <x v="1"/>
    <m/>
    <x v="3"/>
    <x v="3"/>
    <m/>
    <x v="50"/>
    <x v="50"/>
    <m/>
    <x v="1197"/>
    <x v="1222"/>
    <m/>
    <x v="1376"/>
    <x v="1463"/>
    <m/>
    <x v="2"/>
    <x v="2"/>
    <m/>
    <n v="44.267980000000001"/>
    <n v="-23.612400000000001"/>
    <m/>
    <m/>
  </r>
  <r>
    <s v="MG51506090012001MAM"/>
    <x v="3"/>
    <x v="3"/>
    <m/>
    <x v="1"/>
    <x v="1"/>
    <m/>
    <x v="3"/>
    <x v="3"/>
    <m/>
    <x v="50"/>
    <x v="50"/>
    <m/>
    <x v="307"/>
    <x v="1223"/>
    <m/>
    <x v="316"/>
    <x v="1464"/>
    <m/>
    <x v="2"/>
    <x v="2"/>
    <m/>
    <n v="44.2896"/>
    <n v="-23.666029999999999"/>
    <m/>
    <m/>
  </r>
  <r>
    <s v="MG23211072006001MAM"/>
    <x v="0"/>
    <x v="0"/>
    <m/>
    <x v="0"/>
    <x v="0"/>
    <m/>
    <x v="14"/>
    <x v="14"/>
    <m/>
    <x v="207"/>
    <x v="207"/>
    <m/>
    <x v="1198"/>
    <x v="1224"/>
    <m/>
    <x v="1377"/>
    <x v="1465"/>
    <m/>
    <x v="2"/>
    <x v="2"/>
    <m/>
    <n v="47.492100000000001"/>
    <n v="-22.06898"/>
    <m/>
    <m/>
  </r>
  <r>
    <s v="MG25215011003001MAM"/>
    <x v="0"/>
    <x v="0"/>
    <m/>
    <x v="0"/>
    <x v="0"/>
    <m/>
    <x v="14"/>
    <x v="14"/>
    <m/>
    <x v="207"/>
    <x v="207"/>
    <m/>
    <x v="1199"/>
    <x v="1225"/>
    <m/>
    <x v="1378"/>
    <x v="1466"/>
    <m/>
    <x v="2"/>
    <x v="2"/>
    <m/>
    <n v="47.515560000000001"/>
    <n v="-22.059816999999999"/>
    <m/>
    <m/>
  </r>
  <r>
    <s v="MG42409150006001MAM"/>
    <x v="5"/>
    <x v="5"/>
    <m/>
    <x v="2"/>
    <x v="2"/>
    <m/>
    <x v="2"/>
    <x v="2"/>
    <m/>
    <x v="208"/>
    <x v="208"/>
    <m/>
    <x v="1200"/>
    <x v="1226"/>
    <m/>
    <x v="1379"/>
    <x v="1467"/>
    <m/>
    <x v="2"/>
    <x v="2"/>
    <m/>
    <n v="45.443570000000001"/>
    <n v="-24.190180000000002"/>
    <m/>
    <m/>
  </r>
  <r>
    <s v="MG52518210001001MAM"/>
    <x v="5"/>
    <x v="5"/>
    <m/>
    <x v="2"/>
    <x v="2"/>
    <m/>
    <x v="2"/>
    <x v="2"/>
    <m/>
    <x v="208"/>
    <x v="208"/>
    <m/>
    <x v="1201"/>
    <x v="1227"/>
    <m/>
    <x v="1380"/>
    <x v="1468"/>
    <m/>
    <x v="2"/>
    <x v="2"/>
    <m/>
    <n v="45.485729999999997"/>
    <n v="-24.172329999999999"/>
    <m/>
    <m/>
  </r>
  <r>
    <s v="MG52518210002001MAM"/>
    <x v="5"/>
    <x v="5"/>
    <m/>
    <x v="2"/>
    <x v="2"/>
    <m/>
    <x v="2"/>
    <x v="2"/>
    <m/>
    <x v="208"/>
    <x v="208"/>
    <m/>
    <x v="1202"/>
    <x v="1228"/>
    <m/>
    <x v="1381"/>
    <x v="1469"/>
    <m/>
    <x v="2"/>
    <x v="2"/>
    <m/>
    <n v="45.475050000000003"/>
    <n v="-24.118970000000001"/>
    <m/>
    <m/>
  </r>
  <r>
    <s v="MG25213430008001MAM"/>
    <x v="5"/>
    <x v="5"/>
    <m/>
    <x v="3"/>
    <x v="3"/>
    <m/>
    <x v="4"/>
    <x v="4"/>
    <m/>
    <x v="19"/>
    <x v="19"/>
    <m/>
    <x v="1203"/>
    <x v="1229"/>
    <m/>
    <x v="1382"/>
    <x v="1470"/>
    <m/>
    <x v="2"/>
    <x v="2"/>
    <m/>
    <n v="46.468023000000002"/>
    <n v="-25.112124000000001"/>
    <m/>
    <m/>
  </r>
  <r>
    <s v="MG32315030006002MAM"/>
    <x v="5"/>
    <x v="5"/>
    <m/>
    <x v="3"/>
    <x v="3"/>
    <m/>
    <x v="4"/>
    <x v="4"/>
    <m/>
    <x v="19"/>
    <x v="19"/>
    <m/>
    <x v="122"/>
    <x v="125"/>
    <m/>
    <x v="1383"/>
    <x v="1471"/>
    <m/>
    <x v="2"/>
    <x v="2"/>
    <m/>
    <n v="46.4711"/>
    <n v="-25.15362"/>
    <m/>
    <m/>
  </r>
  <r>
    <s v="MG53519050023002MAM"/>
    <x v="5"/>
    <x v="5"/>
    <m/>
    <x v="3"/>
    <x v="3"/>
    <m/>
    <x v="4"/>
    <x v="4"/>
    <m/>
    <x v="19"/>
    <x v="19"/>
    <m/>
    <x v="123"/>
    <x v="126"/>
    <m/>
    <x v="1384"/>
    <x v="1472"/>
    <m/>
    <x v="2"/>
    <x v="2"/>
    <m/>
    <n v="46.520099999999999"/>
    <n v="-25.152270000000001"/>
    <m/>
    <m/>
  </r>
  <r>
    <s v="MG53519050024002MAM"/>
    <x v="5"/>
    <x v="5"/>
    <m/>
    <x v="3"/>
    <x v="3"/>
    <m/>
    <x v="4"/>
    <x v="4"/>
    <m/>
    <x v="19"/>
    <x v="19"/>
    <m/>
    <x v="125"/>
    <x v="128"/>
    <m/>
    <x v="1385"/>
    <x v="1473"/>
    <m/>
    <x v="2"/>
    <x v="2"/>
    <m/>
    <n v="46.442219999999999"/>
    <n v="-25.09328"/>
    <m/>
    <m/>
  </r>
  <r>
    <s v="MG53519050016001MAM"/>
    <x v="5"/>
    <x v="5"/>
    <m/>
    <x v="3"/>
    <x v="3"/>
    <m/>
    <x v="4"/>
    <x v="4"/>
    <m/>
    <x v="19"/>
    <x v="19"/>
    <m/>
    <x v="1204"/>
    <x v="1230"/>
    <m/>
    <x v="1386"/>
    <x v="1474"/>
    <m/>
    <x v="2"/>
    <x v="2"/>
    <m/>
    <n v="46.490580000000001"/>
    <n v="-25.10595"/>
    <m/>
    <m/>
  </r>
  <r>
    <s v="MG25213230013001MAM"/>
    <x v="0"/>
    <x v="0"/>
    <m/>
    <x v="4"/>
    <x v="4"/>
    <m/>
    <x v="11"/>
    <x v="11"/>
    <m/>
    <x v="209"/>
    <x v="209"/>
    <m/>
    <x v="320"/>
    <x v="1231"/>
    <m/>
    <x v="329"/>
    <x v="1475"/>
    <m/>
    <x v="2"/>
    <x v="2"/>
    <m/>
    <n v="47.744799999999998"/>
    <n v="-22.778870000000001"/>
    <m/>
    <m/>
  </r>
  <r>
    <s v="MG43408150044001MAM"/>
    <x v="0"/>
    <x v="0"/>
    <m/>
    <x v="4"/>
    <x v="4"/>
    <m/>
    <x v="11"/>
    <x v="11"/>
    <m/>
    <x v="209"/>
    <x v="209"/>
    <m/>
    <x v="1205"/>
    <x v="1232"/>
    <m/>
    <x v="1387"/>
    <x v="1476"/>
    <m/>
    <x v="2"/>
    <x v="2"/>
    <m/>
    <n v="47.706879999999998"/>
    <n v="-22.669119999999999"/>
    <m/>
    <m/>
  </r>
  <r>
    <s v="MG51501001003001MAM"/>
    <x v="3"/>
    <x v="3"/>
    <m/>
    <x v="1"/>
    <x v="1"/>
    <m/>
    <x v="20"/>
    <x v="19"/>
    <m/>
    <x v="210"/>
    <x v="210"/>
    <m/>
    <x v="1206"/>
    <x v="1233"/>
    <m/>
    <x v="1388"/>
    <x v="1477"/>
    <m/>
    <x v="2"/>
    <x v="2"/>
    <m/>
    <n v="43.687629999999999"/>
    <n v="-23.357749999999999"/>
    <m/>
    <m/>
  </r>
  <r>
    <s v="MG51501005001001MAM"/>
    <x v="3"/>
    <x v="3"/>
    <m/>
    <x v="1"/>
    <x v="1"/>
    <m/>
    <x v="20"/>
    <x v="19"/>
    <m/>
    <x v="210"/>
    <x v="210"/>
    <m/>
    <x v="1207"/>
    <x v="1234"/>
    <m/>
    <x v="1389"/>
    <x v="1478"/>
    <m/>
    <x v="2"/>
    <x v="2"/>
    <m/>
    <n v="43.680880000000002"/>
    <n v="-23.34413"/>
    <m/>
    <m/>
  </r>
  <r>
    <s v="MG53519270001001MAM"/>
    <x v="5"/>
    <x v="5"/>
    <m/>
    <x v="3"/>
    <x v="3"/>
    <m/>
    <x v="4"/>
    <x v="4"/>
    <m/>
    <x v="211"/>
    <x v="211"/>
    <m/>
    <x v="44"/>
    <x v="1235"/>
    <m/>
    <x v="1390"/>
    <x v="1479"/>
    <m/>
    <x v="2"/>
    <x v="2"/>
    <m/>
    <n v="46.032769999999999"/>
    <n v="-24.45712"/>
    <m/>
    <m/>
  </r>
  <r>
    <s v="MG51506111001001MAM"/>
    <x v="3"/>
    <x v="3"/>
    <m/>
    <x v="1"/>
    <x v="1"/>
    <m/>
    <x v="3"/>
    <x v="3"/>
    <m/>
    <x v="212"/>
    <x v="212"/>
    <m/>
    <x v="1208"/>
    <x v="1236"/>
    <m/>
    <x v="1391"/>
    <x v="1480"/>
    <m/>
    <x v="2"/>
    <x v="2"/>
    <m/>
    <n v="44.318950000000001"/>
    <n v="-23.531230000000001"/>
    <m/>
    <m/>
  </r>
  <r>
    <s v="MG51506111015001MAM"/>
    <x v="3"/>
    <x v="3"/>
    <m/>
    <x v="1"/>
    <x v="1"/>
    <m/>
    <x v="3"/>
    <x v="3"/>
    <m/>
    <x v="212"/>
    <x v="212"/>
    <m/>
    <x v="1209"/>
    <x v="1237"/>
    <m/>
    <x v="1392"/>
    <x v="1481"/>
    <m/>
    <x v="2"/>
    <x v="2"/>
    <m/>
    <n v="44.374319999999997"/>
    <n v="-23.519169999999999"/>
    <m/>
    <m/>
  </r>
  <r>
    <s v="MG51506111017001MAM"/>
    <x v="3"/>
    <x v="3"/>
    <m/>
    <x v="1"/>
    <x v="1"/>
    <m/>
    <x v="3"/>
    <x v="3"/>
    <m/>
    <x v="212"/>
    <x v="212"/>
    <m/>
    <x v="1210"/>
    <x v="1238"/>
    <m/>
    <x v="1393"/>
    <x v="1482"/>
    <m/>
    <x v="2"/>
    <x v="2"/>
    <m/>
    <n v="44.329169999999998"/>
    <n v="-23.513380000000002"/>
    <m/>
    <m/>
  </r>
  <r>
    <s v="MG51506111018001MAM"/>
    <x v="3"/>
    <x v="3"/>
    <m/>
    <x v="1"/>
    <x v="1"/>
    <m/>
    <x v="3"/>
    <x v="3"/>
    <m/>
    <x v="212"/>
    <x v="212"/>
    <m/>
    <x v="1211"/>
    <x v="1239"/>
    <m/>
    <x v="1394"/>
    <x v="1483"/>
    <m/>
    <x v="2"/>
    <x v="2"/>
    <m/>
    <n v="44.320369999999997"/>
    <n v="-23.52215"/>
    <m/>
    <m/>
  </r>
  <r>
    <s v="MG53515111005001MAM"/>
    <x v="3"/>
    <x v="3"/>
    <m/>
    <x v="1"/>
    <x v="1"/>
    <m/>
    <x v="3"/>
    <x v="3"/>
    <m/>
    <x v="212"/>
    <x v="212"/>
    <m/>
    <x v="1212"/>
    <x v="1240"/>
    <m/>
    <x v="1395"/>
    <x v="1484"/>
    <m/>
    <x v="2"/>
    <x v="2"/>
    <m/>
    <n v="44.349353999999998"/>
    <n v="-23.542332999999999"/>
    <m/>
    <m/>
  </r>
  <r>
    <s v="MG54502070002001MAM"/>
    <x v="3"/>
    <x v="3"/>
    <m/>
    <x v="1"/>
    <x v="1"/>
    <m/>
    <x v="3"/>
    <x v="3"/>
    <m/>
    <x v="212"/>
    <x v="212"/>
    <m/>
    <x v="1213"/>
    <x v="1241"/>
    <m/>
    <x v="1396"/>
    <x v="1485"/>
    <m/>
    <x v="2"/>
    <x v="2"/>
    <m/>
    <n v="44.324370000000002"/>
    <n v="-23.44537"/>
    <m/>
    <m/>
  </r>
  <r>
    <s v="MG25213450006001MAM"/>
    <x v="0"/>
    <x v="0"/>
    <m/>
    <x v="4"/>
    <x v="4"/>
    <m/>
    <x v="11"/>
    <x v="11"/>
    <m/>
    <x v="213"/>
    <x v="213"/>
    <m/>
    <x v="499"/>
    <x v="1242"/>
    <m/>
    <x v="1397"/>
    <x v="1486"/>
    <m/>
    <x v="2"/>
    <x v="2"/>
    <m/>
    <n v="47.614839000000003"/>
    <n v="-22.928636000000001"/>
    <m/>
    <m/>
  </r>
  <r>
    <s v="MG25213450010001MAM"/>
    <x v="0"/>
    <x v="0"/>
    <m/>
    <x v="4"/>
    <x v="4"/>
    <m/>
    <x v="11"/>
    <x v="11"/>
    <m/>
    <x v="213"/>
    <x v="213"/>
    <m/>
    <x v="1214"/>
    <x v="1243"/>
    <m/>
    <x v="1398"/>
    <x v="1487"/>
    <m/>
    <x v="2"/>
    <x v="2"/>
    <m/>
    <n v="47.557769999999998"/>
    <n v="-22.98593"/>
    <m/>
    <m/>
  </r>
  <r>
    <s v="MG53519110001001MAM"/>
    <x v="5"/>
    <x v="5"/>
    <m/>
    <x v="3"/>
    <x v="3"/>
    <m/>
    <x v="4"/>
    <x v="4"/>
    <m/>
    <x v="214"/>
    <x v="214"/>
    <m/>
    <x v="1215"/>
    <x v="1244"/>
    <m/>
    <x v="1399"/>
    <x v="1488"/>
    <m/>
    <x v="2"/>
    <x v="2"/>
    <m/>
    <n v="46.463949999999997"/>
    <n v="-24.640820000000001"/>
    <m/>
    <m/>
  </r>
  <r>
    <s v="MG53519110009001MAM"/>
    <x v="5"/>
    <x v="5"/>
    <m/>
    <x v="3"/>
    <x v="3"/>
    <m/>
    <x v="4"/>
    <x v="4"/>
    <m/>
    <x v="214"/>
    <x v="214"/>
    <m/>
    <x v="433"/>
    <x v="1245"/>
    <m/>
    <x v="1400"/>
    <x v="1489"/>
    <m/>
    <x v="2"/>
    <x v="2"/>
    <m/>
    <n v="46.478982999999999"/>
    <n v="-24.654185999999999"/>
    <m/>
    <m/>
  </r>
  <r>
    <s v="MG53519110013001MAM"/>
    <x v="5"/>
    <x v="5"/>
    <m/>
    <x v="3"/>
    <x v="3"/>
    <m/>
    <x v="4"/>
    <x v="4"/>
    <m/>
    <x v="214"/>
    <x v="214"/>
    <m/>
    <x v="1216"/>
    <x v="1246"/>
    <m/>
    <x v="1401"/>
    <x v="1490"/>
    <m/>
    <x v="2"/>
    <x v="2"/>
    <m/>
    <n v="46.533900000000003"/>
    <n v="-24.680199999999999"/>
    <m/>
    <m/>
  </r>
  <r>
    <s v="MG53519110058001MAM"/>
    <x v="5"/>
    <x v="5"/>
    <m/>
    <x v="3"/>
    <x v="3"/>
    <m/>
    <x v="4"/>
    <x v="4"/>
    <m/>
    <x v="214"/>
    <x v="214"/>
    <m/>
    <x v="1217"/>
    <x v="1247"/>
    <m/>
    <x v="1402"/>
    <x v="1491"/>
    <m/>
    <x v="2"/>
    <x v="2"/>
    <m/>
    <n v="46.50132"/>
    <n v="-24.48123"/>
    <m/>
    <m/>
  </r>
  <r>
    <s v="MG52513030075001MAM"/>
    <x v="5"/>
    <x v="5"/>
    <m/>
    <x v="2"/>
    <x v="2"/>
    <m/>
    <x v="8"/>
    <x v="8"/>
    <m/>
    <x v="215"/>
    <x v="215"/>
    <m/>
    <x v="1218"/>
    <x v="1248"/>
    <m/>
    <x v="1403"/>
    <x v="1492"/>
    <m/>
    <x v="2"/>
    <x v="2"/>
    <m/>
    <n v="45.053280000000001"/>
    <n v="-24.74145"/>
    <m/>
    <m/>
  </r>
  <r>
    <s v="MG52513030076001MAM"/>
    <x v="5"/>
    <x v="5"/>
    <m/>
    <x v="2"/>
    <x v="2"/>
    <m/>
    <x v="8"/>
    <x v="8"/>
    <m/>
    <x v="215"/>
    <x v="215"/>
    <m/>
    <x v="1219"/>
    <x v="1249"/>
    <m/>
    <x v="1404"/>
    <x v="1493"/>
    <m/>
    <x v="2"/>
    <x v="2"/>
    <m/>
    <n v="45.163469999999997"/>
    <n v="-24.877320000000001"/>
    <m/>
    <m/>
  </r>
  <r>
    <s v="MG52513030077001MAM"/>
    <x v="5"/>
    <x v="5"/>
    <m/>
    <x v="2"/>
    <x v="2"/>
    <m/>
    <x v="8"/>
    <x v="8"/>
    <m/>
    <x v="215"/>
    <x v="215"/>
    <m/>
    <x v="1220"/>
    <x v="1250"/>
    <m/>
    <x v="1405"/>
    <x v="1494"/>
    <m/>
    <x v="2"/>
    <x v="2"/>
    <m/>
    <n v="45.028480000000002"/>
    <n v="-24.78575"/>
    <m/>
    <m/>
  </r>
  <r>
    <s v="MG52513091007001MAM"/>
    <x v="5"/>
    <x v="5"/>
    <m/>
    <x v="2"/>
    <x v="2"/>
    <m/>
    <x v="8"/>
    <x v="8"/>
    <m/>
    <x v="215"/>
    <x v="215"/>
    <m/>
    <x v="1221"/>
    <x v="1251"/>
    <m/>
    <x v="1406"/>
    <x v="1495"/>
    <m/>
    <x v="2"/>
    <x v="2"/>
    <m/>
    <n v="45.1158"/>
    <n v="-24.704429999999999"/>
    <m/>
    <m/>
  </r>
  <r>
    <s v="MG52513091010001MAM"/>
    <x v="5"/>
    <x v="5"/>
    <m/>
    <x v="2"/>
    <x v="2"/>
    <m/>
    <x v="8"/>
    <x v="8"/>
    <m/>
    <x v="215"/>
    <x v="215"/>
    <m/>
    <x v="1222"/>
    <x v="1252"/>
    <m/>
    <x v="1407"/>
    <x v="1496"/>
    <m/>
    <x v="2"/>
    <x v="2"/>
    <m/>
    <n v="45.022869999999998"/>
    <n v="-25.151579999999999"/>
    <m/>
    <m/>
  </r>
  <r>
    <s v="MG52513091019001MAM"/>
    <x v="5"/>
    <x v="5"/>
    <m/>
    <x v="2"/>
    <x v="2"/>
    <m/>
    <x v="8"/>
    <x v="8"/>
    <m/>
    <x v="215"/>
    <x v="215"/>
    <m/>
    <x v="715"/>
    <x v="1253"/>
    <m/>
    <x v="1408"/>
    <x v="1497"/>
    <m/>
    <x v="2"/>
    <x v="2"/>
    <m/>
    <n v="45.102200000000003"/>
    <n v="-24.825500000000002"/>
    <m/>
    <m/>
  </r>
  <r>
    <s v="MG51507030004001MAM"/>
    <x v="5"/>
    <x v="5"/>
    <m/>
    <x v="2"/>
    <x v="2"/>
    <m/>
    <x v="8"/>
    <x v="8"/>
    <m/>
    <x v="216"/>
    <x v="216"/>
    <m/>
    <x v="641"/>
    <x v="1254"/>
    <m/>
    <x v="1409"/>
    <x v="1498"/>
    <m/>
    <x v="2"/>
    <x v="2"/>
    <m/>
    <n v="44.836412000000003"/>
    <n v="-25.1995"/>
    <m/>
    <m/>
  </r>
  <r>
    <s v="MG52513030001001MAM"/>
    <x v="5"/>
    <x v="5"/>
    <m/>
    <x v="2"/>
    <x v="2"/>
    <m/>
    <x v="8"/>
    <x v="8"/>
    <m/>
    <x v="216"/>
    <x v="216"/>
    <m/>
    <x v="1223"/>
    <x v="1255"/>
    <m/>
    <x v="1410"/>
    <x v="1499"/>
    <m/>
    <x v="2"/>
    <x v="2"/>
    <m/>
    <n v="45.019579999999998"/>
    <n v="-25.270600000000002"/>
    <m/>
    <m/>
  </r>
  <r>
    <s v="MG52513030002001MAM"/>
    <x v="5"/>
    <x v="5"/>
    <m/>
    <x v="2"/>
    <x v="2"/>
    <m/>
    <x v="8"/>
    <x v="8"/>
    <m/>
    <x v="216"/>
    <x v="216"/>
    <m/>
    <x v="1224"/>
    <x v="1256"/>
    <m/>
    <x v="1411"/>
    <x v="1500"/>
    <m/>
    <x v="2"/>
    <x v="2"/>
    <m/>
    <n v="44.894950000000001"/>
    <n v="-25.151230000000002"/>
    <m/>
    <m/>
  </r>
  <r>
    <s v="MG52513030003001MAM"/>
    <x v="5"/>
    <x v="5"/>
    <m/>
    <x v="2"/>
    <x v="2"/>
    <m/>
    <x v="8"/>
    <x v="8"/>
    <m/>
    <x v="216"/>
    <x v="216"/>
    <m/>
    <x v="1225"/>
    <x v="1257"/>
    <m/>
    <x v="1412"/>
    <x v="1501"/>
    <m/>
    <x v="2"/>
    <x v="2"/>
    <m/>
    <n v="44.824979999999996"/>
    <n v="-25.162030000000001"/>
    <m/>
    <m/>
  </r>
  <r>
    <s v="MG52513030005001MAM"/>
    <x v="5"/>
    <x v="5"/>
    <m/>
    <x v="2"/>
    <x v="2"/>
    <m/>
    <x v="8"/>
    <x v="8"/>
    <m/>
    <x v="216"/>
    <x v="216"/>
    <m/>
    <x v="1226"/>
    <x v="1258"/>
    <m/>
    <x v="1413"/>
    <x v="1502"/>
    <m/>
    <x v="2"/>
    <x v="2"/>
    <m/>
    <n v="44.891080000000002"/>
    <n v="-25.217020000000002"/>
    <m/>
    <m/>
  </r>
  <r>
    <s v="MG52513030007001MAM"/>
    <x v="5"/>
    <x v="5"/>
    <m/>
    <x v="2"/>
    <x v="2"/>
    <m/>
    <x v="8"/>
    <x v="8"/>
    <m/>
    <x v="216"/>
    <x v="216"/>
    <m/>
    <x v="1227"/>
    <x v="1259"/>
    <m/>
    <x v="1414"/>
    <x v="1503"/>
    <m/>
    <x v="2"/>
    <x v="2"/>
    <m/>
    <n v="44.9878"/>
    <n v="-25.207630000000002"/>
    <m/>
    <m/>
  </r>
  <r>
    <s v="MG52513030008001MAM"/>
    <x v="5"/>
    <x v="5"/>
    <m/>
    <x v="2"/>
    <x v="2"/>
    <m/>
    <x v="8"/>
    <x v="8"/>
    <m/>
    <x v="216"/>
    <x v="216"/>
    <m/>
    <x v="1228"/>
    <x v="1260"/>
    <m/>
    <x v="1415"/>
    <x v="1504"/>
    <m/>
    <x v="2"/>
    <x v="2"/>
    <m/>
    <n v="45.043930000000003"/>
    <n v="-25.25948"/>
    <m/>
    <m/>
  </r>
  <r>
    <s v="MG52513030009001MAM"/>
    <x v="5"/>
    <x v="5"/>
    <m/>
    <x v="2"/>
    <x v="2"/>
    <m/>
    <x v="8"/>
    <x v="8"/>
    <m/>
    <x v="216"/>
    <x v="216"/>
    <m/>
    <x v="1229"/>
    <x v="1261"/>
    <m/>
    <x v="1416"/>
    <x v="1505"/>
    <m/>
    <x v="2"/>
    <x v="2"/>
    <m/>
    <n v="44.875149999999998"/>
    <n v="-25.240849999999998"/>
    <m/>
    <m/>
  </r>
  <r>
    <s v="MG52513030010001MAM"/>
    <x v="5"/>
    <x v="5"/>
    <m/>
    <x v="2"/>
    <x v="2"/>
    <m/>
    <x v="8"/>
    <x v="8"/>
    <m/>
    <x v="216"/>
    <x v="216"/>
    <m/>
    <x v="1230"/>
    <x v="1262"/>
    <m/>
    <x v="1417"/>
    <x v="1506"/>
    <m/>
    <x v="2"/>
    <x v="2"/>
    <m/>
    <n v="44.977862999999999"/>
    <n v="-25.304137999999998"/>
    <m/>
    <m/>
  </r>
  <r>
    <s v="MG52513030012001MAM"/>
    <x v="5"/>
    <x v="5"/>
    <m/>
    <x v="2"/>
    <x v="2"/>
    <m/>
    <x v="8"/>
    <x v="8"/>
    <m/>
    <x v="216"/>
    <x v="216"/>
    <m/>
    <x v="1231"/>
    <x v="1263"/>
    <m/>
    <x v="1418"/>
    <x v="1507"/>
    <m/>
    <x v="2"/>
    <x v="2"/>
    <m/>
    <n v="45.121020000000001"/>
    <n v="-25.319220000000001"/>
    <m/>
    <m/>
  </r>
  <r>
    <s v="MG52513030013001MAM"/>
    <x v="5"/>
    <x v="5"/>
    <m/>
    <x v="2"/>
    <x v="2"/>
    <m/>
    <x v="8"/>
    <x v="8"/>
    <m/>
    <x v="216"/>
    <x v="216"/>
    <m/>
    <x v="1232"/>
    <x v="1264"/>
    <m/>
    <x v="1419"/>
    <x v="1508"/>
    <m/>
    <x v="2"/>
    <x v="2"/>
    <m/>
    <n v="44.993049999999997"/>
    <n v="-25.327220000000001"/>
    <m/>
    <m/>
  </r>
  <r>
    <s v="MG52513030018001MAM"/>
    <x v="5"/>
    <x v="5"/>
    <m/>
    <x v="2"/>
    <x v="2"/>
    <m/>
    <x v="8"/>
    <x v="8"/>
    <m/>
    <x v="216"/>
    <x v="216"/>
    <m/>
    <x v="1233"/>
    <x v="1265"/>
    <m/>
    <x v="1420"/>
    <x v="1509"/>
    <m/>
    <x v="2"/>
    <x v="2"/>
    <m/>
    <n v="44.786392999999997"/>
    <n v="-25.189284000000001"/>
    <m/>
    <m/>
  </r>
  <r>
    <s v="MG52513030019001MAM"/>
    <x v="5"/>
    <x v="5"/>
    <m/>
    <x v="2"/>
    <x v="2"/>
    <m/>
    <x v="8"/>
    <x v="8"/>
    <m/>
    <x v="216"/>
    <x v="216"/>
    <m/>
    <x v="1234"/>
    <x v="1266"/>
    <m/>
    <x v="1421"/>
    <x v="1510"/>
    <m/>
    <x v="2"/>
    <x v="2"/>
    <m/>
    <n v="45.135980000000004"/>
    <n v="-25.37387"/>
    <m/>
    <m/>
  </r>
  <r>
    <s v="MG52513030020001MAM"/>
    <x v="5"/>
    <x v="5"/>
    <m/>
    <x v="2"/>
    <x v="2"/>
    <m/>
    <x v="8"/>
    <x v="8"/>
    <m/>
    <x v="216"/>
    <x v="216"/>
    <m/>
    <x v="1235"/>
    <x v="1267"/>
    <m/>
    <x v="1422"/>
    <x v="1511"/>
    <m/>
    <x v="2"/>
    <x v="2"/>
    <m/>
    <n v="44.974850000000004"/>
    <n v="-25.389569999999999"/>
    <m/>
    <m/>
  </r>
  <r>
    <s v="MG52513030021001MAM"/>
    <x v="5"/>
    <x v="5"/>
    <m/>
    <x v="2"/>
    <x v="2"/>
    <m/>
    <x v="8"/>
    <x v="8"/>
    <m/>
    <x v="216"/>
    <x v="216"/>
    <m/>
    <x v="1236"/>
    <x v="1268"/>
    <m/>
    <x v="1423"/>
    <x v="1512"/>
    <m/>
    <x v="2"/>
    <x v="2"/>
    <m/>
    <n v="44.954129999999999"/>
    <n v="-25.41835"/>
    <m/>
    <m/>
  </r>
  <r>
    <s v="MG52513030023001MAM"/>
    <x v="5"/>
    <x v="5"/>
    <m/>
    <x v="2"/>
    <x v="2"/>
    <m/>
    <x v="8"/>
    <x v="8"/>
    <m/>
    <x v="216"/>
    <x v="216"/>
    <m/>
    <x v="1237"/>
    <x v="1269"/>
    <m/>
    <x v="1424"/>
    <x v="1513"/>
    <m/>
    <x v="2"/>
    <x v="2"/>
    <m/>
    <n v="44.959829999999997"/>
    <n v="-25.46518"/>
    <m/>
    <m/>
  </r>
  <r>
    <s v="MG52513030071001MAM"/>
    <x v="5"/>
    <x v="5"/>
    <m/>
    <x v="2"/>
    <x v="2"/>
    <m/>
    <x v="8"/>
    <x v="8"/>
    <m/>
    <x v="216"/>
    <x v="216"/>
    <m/>
    <x v="1238"/>
    <x v="1270"/>
    <m/>
    <x v="1425"/>
    <x v="1514"/>
    <m/>
    <x v="2"/>
    <x v="2"/>
    <m/>
    <n v="45.048479999999998"/>
    <n v="-25.461870000000001"/>
    <m/>
    <m/>
  </r>
  <r>
    <s v="MG52513030072001MAM"/>
    <x v="5"/>
    <x v="5"/>
    <m/>
    <x v="2"/>
    <x v="2"/>
    <m/>
    <x v="8"/>
    <x v="8"/>
    <m/>
    <x v="216"/>
    <x v="216"/>
    <m/>
    <x v="1239"/>
    <x v="1271"/>
    <m/>
    <x v="1426"/>
    <x v="1515"/>
    <m/>
    <x v="2"/>
    <x v="2"/>
    <m/>
    <n v="45.161679999999997"/>
    <n v="-25.332180000000001"/>
    <m/>
    <m/>
  </r>
  <r>
    <s v="MG52513030073001MAM"/>
    <x v="5"/>
    <x v="5"/>
    <m/>
    <x v="2"/>
    <x v="2"/>
    <m/>
    <x v="8"/>
    <x v="8"/>
    <m/>
    <x v="216"/>
    <x v="216"/>
    <m/>
    <x v="1240"/>
    <x v="1272"/>
    <m/>
    <x v="1427"/>
    <x v="1516"/>
    <m/>
    <x v="2"/>
    <x v="2"/>
    <m/>
    <n v="45.161679999999997"/>
    <n v="-25.332180000000001"/>
    <m/>
    <m/>
  </r>
  <r>
    <s v="MG52513030074001MAM"/>
    <x v="5"/>
    <x v="5"/>
    <m/>
    <x v="2"/>
    <x v="2"/>
    <m/>
    <x v="8"/>
    <x v="8"/>
    <m/>
    <x v="216"/>
    <x v="216"/>
    <m/>
    <x v="1241"/>
    <x v="1273"/>
    <m/>
    <x v="1428"/>
    <x v="1517"/>
    <m/>
    <x v="2"/>
    <x v="2"/>
    <m/>
    <n v="44.984270000000002"/>
    <n v="-25.253520000000002"/>
    <m/>
    <m/>
  </r>
  <r>
    <s v="MG25214032001001MAM"/>
    <x v="0"/>
    <x v="0"/>
    <m/>
    <x v="4"/>
    <x v="4"/>
    <m/>
    <x v="10"/>
    <x v="10"/>
    <m/>
    <x v="217"/>
    <x v="217"/>
    <m/>
    <x v="1242"/>
    <x v="1274"/>
    <m/>
    <x v="1429"/>
    <x v="1518"/>
    <m/>
    <x v="2"/>
    <x v="2"/>
    <m/>
    <n v="47.547249999999998"/>
    <n v="-23.41093"/>
    <m/>
    <m/>
  </r>
  <r>
    <s v="MG71713170004001MAM"/>
    <x v="0"/>
    <x v="0"/>
    <m/>
    <x v="4"/>
    <x v="4"/>
    <m/>
    <x v="10"/>
    <x v="10"/>
    <m/>
    <x v="217"/>
    <x v="217"/>
    <m/>
    <x v="1243"/>
    <x v="1275"/>
    <m/>
    <x v="1430"/>
    <x v="1519"/>
    <m/>
    <x v="2"/>
    <x v="2"/>
    <m/>
    <n v="47.5715"/>
    <n v="-23.362549999999999"/>
    <m/>
    <m/>
  </r>
  <r>
    <s v="MG23210271003001MAM"/>
    <x v="0"/>
    <x v="0"/>
    <m/>
    <x v="4"/>
    <x v="4"/>
    <m/>
    <x v="10"/>
    <x v="10"/>
    <m/>
    <x v="54"/>
    <x v="54"/>
    <m/>
    <x v="317"/>
    <x v="1276"/>
    <m/>
    <x v="1431"/>
    <x v="1520"/>
    <m/>
    <x v="2"/>
    <x v="2"/>
    <m/>
    <n v="47.689619999999998"/>
    <n v="-23.288250000000001"/>
    <m/>
    <m/>
  </r>
  <r>
    <s v="MG25214050001001MAM"/>
    <x v="0"/>
    <x v="0"/>
    <m/>
    <x v="4"/>
    <x v="4"/>
    <m/>
    <x v="10"/>
    <x v="10"/>
    <m/>
    <x v="54"/>
    <x v="54"/>
    <m/>
    <x v="315"/>
    <x v="1277"/>
    <m/>
    <x v="324"/>
    <x v="1521"/>
    <m/>
    <x v="2"/>
    <x v="2"/>
    <m/>
    <n v="47.617530000000002"/>
    <n v="-23.325700000000001"/>
    <m/>
    <m/>
  </r>
  <r>
    <s v="MG25214050006001MAM"/>
    <x v="0"/>
    <x v="0"/>
    <m/>
    <x v="4"/>
    <x v="4"/>
    <m/>
    <x v="10"/>
    <x v="10"/>
    <m/>
    <x v="54"/>
    <x v="54"/>
    <m/>
    <x v="1244"/>
    <x v="1278"/>
    <m/>
    <x v="1432"/>
    <x v="1522"/>
    <m/>
    <x v="2"/>
    <x v="2"/>
    <m/>
    <n v="47.633319999999998"/>
    <n v="-23.346170000000001"/>
    <m/>
    <m/>
  </r>
  <r>
    <s v="MG51504010007001MAM"/>
    <x v="5"/>
    <x v="5"/>
    <m/>
    <x v="2"/>
    <x v="2"/>
    <m/>
    <x v="9"/>
    <x v="9"/>
    <m/>
    <x v="218"/>
    <x v="218"/>
    <m/>
    <x v="1245"/>
    <x v="1279"/>
    <m/>
    <x v="1433"/>
    <x v="1523"/>
    <m/>
    <x v="2"/>
    <x v="2"/>
    <m/>
    <n v="45.415934999999998"/>
    <n v="-25.227115999999999"/>
    <m/>
    <m/>
  </r>
  <r>
    <s v="MG52514011022001MAM"/>
    <x v="5"/>
    <x v="5"/>
    <m/>
    <x v="2"/>
    <x v="2"/>
    <m/>
    <x v="9"/>
    <x v="9"/>
    <m/>
    <x v="218"/>
    <x v="218"/>
    <m/>
    <x v="1246"/>
    <x v="1280"/>
    <m/>
    <x v="1434"/>
    <x v="1524"/>
    <m/>
    <x v="2"/>
    <x v="2"/>
    <m/>
    <n v="45.482419999999998"/>
    <n v="-25.31587"/>
    <m/>
    <m/>
  </r>
  <r>
    <s v="MG52514011023001MAM"/>
    <x v="5"/>
    <x v="5"/>
    <m/>
    <x v="2"/>
    <x v="2"/>
    <m/>
    <x v="9"/>
    <x v="9"/>
    <m/>
    <x v="218"/>
    <x v="218"/>
    <m/>
    <x v="1247"/>
    <x v="1281"/>
    <m/>
    <x v="1435"/>
    <x v="1525"/>
    <m/>
    <x v="2"/>
    <x v="2"/>
    <m/>
    <n v="45.492620000000002"/>
    <n v="-25.313220000000001"/>
    <m/>
    <m/>
  </r>
  <r>
    <s v="MG52514011025001MAM"/>
    <x v="5"/>
    <x v="5"/>
    <m/>
    <x v="2"/>
    <x v="2"/>
    <m/>
    <x v="9"/>
    <x v="9"/>
    <m/>
    <x v="218"/>
    <x v="218"/>
    <m/>
    <x v="1248"/>
    <x v="1282"/>
    <m/>
    <x v="1436"/>
    <x v="1526"/>
    <m/>
    <x v="2"/>
    <x v="2"/>
    <m/>
    <n v="45.594200000000001"/>
    <n v="-25.310199999999998"/>
    <m/>
    <m/>
  </r>
  <r>
    <s v="MG52514011037001MAM"/>
    <x v="5"/>
    <x v="5"/>
    <m/>
    <x v="2"/>
    <x v="2"/>
    <m/>
    <x v="9"/>
    <x v="9"/>
    <m/>
    <x v="218"/>
    <x v="218"/>
    <m/>
    <x v="1249"/>
    <x v="1283"/>
    <m/>
    <x v="1437"/>
    <x v="1527"/>
    <m/>
    <x v="2"/>
    <x v="2"/>
    <m/>
    <n v="45.584319999999998"/>
    <n v="-25.335370000000001"/>
    <m/>
    <m/>
  </r>
  <r>
    <s v="MG52514011038001MAM"/>
    <x v="5"/>
    <x v="5"/>
    <m/>
    <x v="2"/>
    <x v="2"/>
    <m/>
    <x v="9"/>
    <x v="9"/>
    <m/>
    <x v="218"/>
    <x v="218"/>
    <m/>
    <x v="1250"/>
    <x v="1284"/>
    <m/>
    <x v="1438"/>
    <x v="1528"/>
    <m/>
    <x v="2"/>
    <x v="2"/>
    <m/>
    <n v="45.586199999999998"/>
    <n v="-25.400079999999999"/>
    <m/>
    <m/>
  </r>
  <r>
    <s v="MG52514011045001MAM"/>
    <x v="5"/>
    <x v="5"/>
    <m/>
    <x v="2"/>
    <x v="2"/>
    <m/>
    <x v="9"/>
    <x v="9"/>
    <m/>
    <x v="218"/>
    <x v="218"/>
    <m/>
    <x v="248"/>
    <x v="1285"/>
    <m/>
    <x v="257"/>
    <x v="1529"/>
    <m/>
    <x v="2"/>
    <x v="2"/>
    <m/>
    <n v="45.465195999999999"/>
    <n v="-25.302122000000001"/>
    <m/>
    <m/>
  </r>
  <r>
    <s v="MG52514011081001MAM"/>
    <x v="5"/>
    <x v="5"/>
    <m/>
    <x v="2"/>
    <x v="2"/>
    <m/>
    <x v="9"/>
    <x v="9"/>
    <m/>
    <x v="218"/>
    <x v="218"/>
    <m/>
    <x v="1251"/>
    <x v="1286"/>
    <m/>
    <x v="1439"/>
    <x v="1530"/>
    <m/>
    <x v="2"/>
    <x v="2"/>
    <m/>
    <n v="45.331099999999999"/>
    <n v="-25.231269999999999"/>
    <m/>
    <m/>
  </r>
  <r>
    <s v="MG52514011082001MAM"/>
    <x v="5"/>
    <x v="5"/>
    <m/>
    <x v="2"/>
    <x v="2"/>
    <m/>
    <x v="9"/>
    <x v="9"/>
    <m/>
    <x v="218"/>
    <x v="218"/>
    <m/>
    <x v="1252"/>
    <x v="1287"/>
    <m/>
    <x v="1440"/>
    <x v="1531"/>
    <m/>
    <x v="2"/>
    <x v="2"/>
    <m/>
    <n v="45.332500000000003"/>
    <n v="-25.227170000000001"/>
    <m/>
    <m/>
  </r>
  <r>
    <s v="MG52514011083001MAM"/>
    <x v="5"/>
    <x v="5"/>
    <m/>
    <x v="2"/>
    <x v="2"/>
    <m/>
    <x v="9"/>
    <x v="9"/>
    <m/>
    <x v="218"/>
    <x v="218"/>
    <m/>
    <x v="1253"/>
    <x v="1288"/>
    <m/>
    <x v="1441"/>
    <x v="1532"/>
    <m/>
    <x v="2"/>
    <x v="2"/>
    <m/>
    <n v="45.466369999999998"/>
    <n v="-25.319500000000001"/>
    <m/>
    <m/>
  </r>
  <r>
    <s v="MG52514011084001MAM"/>
    <x v="5"/>
    <x v="5"/>
    <m/>
    <x v="2"/>
    <x v="2"/>
    <m/>
    <x v="9"/>
    <x v="9"/>
    <m/>
    <x v="218"/>
    <x v="218"/>
    <m/>
    <x v="1254"/>
    <x v="1289"/>
    <m/>
    <x v="1442"/>
    <x v="1533"/>
    <m/>
    <x v="2"/>
    <x v="2"/>
    <m/>
    <n v="45.443779999999997"/>
    <n v="-25.22307"/>
    <m/>
    <m/>
  </r>
  <r>
    <s v="MG52514011085001MAM"/>
    <x v="5"/>
    <x v="5"/>
    <m/>
    <x v="2"/>
    <x v="2"/>
    <m/>
    <x v="9"/>
    <x v="9"/>
    <m/>
    <x v="218"/>
    <x v="218"/>
    <m/>
    <x v="1255"/>
    <x v="1290"/>
    <m/>
    <x v="1443"/>
    <x v="1534"/>
    <m/>
    <x v="2"/>
    <x v="2"/>
    <m/>
    <n v="45.474870000000003"/>
    <n v="-25.328769999999999"/>
    <m/>
    <m/>
  </r>
  <r>
    <s v="MG52514011086001MAM"/>
    <x v="5"/>
    <x v="5"/>
    <m/>
    <x v="2"/>
    <x v="2"/>
    <m/>
    <x v="9"/>
    <x v="9"/>
    <m/>
    <x v="218"/>
    <x v="218"/>
    <m/>
    <x v="1256"/>
    <x v="1291"/>
    <m/>
    <x v="1444"/>
    <x v="1535"/>
    <m/>
    <x v="2"/>
    <x v="2"/>
    <m/>
    <n v="45.498370000000001"/>
    <n v="-25.343170000000001"/>
    <m/>
    <m/>
  </r>
  <r>
    <s v="MG52514011087001MAM"/>
    <x v="5"/>
    <x v="5"/>
    <m/>
    <x v="2"/>
    <x v="2"/>
    <m/>
    <x v="9"/>
    <x v="9"/>
    <m/>
    <x v="218"/>
    <x v="218"/>
    <m/>
    <x v="1257"/>
    <x v="1292"/>
    <m/>
    <x v="1445"/>
    <x v="1536"/>
    <m/>
    <x v="2"/>
    <x v="2"/>
    <m/>
    <n v="45.596319999999999"/>
    <n v="-25.356529999999999"/>
    <m/>
    <m/>
  </r>
  <r>
    <s v="MG52514011088001MAM"/>
    <x v="5"/>
    <x v="5"/>
    <m/>
    <x v="2"/>
    <x v="2"/>
    <m/>
    <x v="9"/>
    <x v="9"/>
    <m/>
    <x v="218"/>
    <x v="218"/>
    <m/>
    <x v="1258"/>
    <x v="1293"/>
    <m/>
    <x v="1446"/>
    <x v="1537"/>
    <m/>
    <x v="2"/>
    <x v="2"/>
    <m/>
    <n v="45.544199999999996"/>
    <n v="-25.36553"/>
    <m/>
    <m/>
  </r>
  <r>
    <s v="MG52514011089001MAM"/>
    <x v="5"/>
    <x v="5"/>
    <m/>
    <x v="2"/>
    <x v="2"/>
    <m/>
    <x v="9"/>
    <x v="9"/>
    <m/>
    <x v="218"/>
    <x v="218"/>
    <m/>
    <x v="1259"/>
    <x v="1294"/>
    <m/>
    <x v="1447"/>
    <x v="1538"/>
    <m/>
    <x v="2"/>
    <x v="2"/>
    <m/>
    <n v="45.64293"/>
    <n v="-25.273050000000001"/>
    <m/>
    <m/>
  </r>
  <r>
    <s v="MG52518110001001MAM"/>
    <x v="5"/>
    <x v="5"/>
    <m/>
    <x v="2"/>
    <x v="2"/>
    <m/>
    <x v="2"/>
    <x v="2"/>
    <m/>
    <x v="219"/>
    <x v="219"/>
    <m/>
    <x v="1260"/>
    <x v="1295"/>
    <m/>
    <x v="1448"/>
    <x v="1539"/>
    <m/>
    <x v="2"/>
    <x v="2"/>
    <m/>
    <n v="45.211799999999997"/>
    <n v="-24.343250000000001"/>
    <m/>
    <m/>
  </r>
  <r>
    <s v="MG52518110002001MAM"/>
    <x v="5"/>
    <x v="5"/>
    <m/>
    <x v="2"/>
    <x v="2"/>
    <m/>
    <x v="2"/>
    <x v="2"/>
    <m/>
    <x v="219"/>
    <x v="219"/>
    <m/>
    <x v="360"/>
    <x v="1296"/>
    <m/>
    <x v="1449"/>
    <x v="1540"/>
    <m/>
    <x v="2"/>
    <x v="2"/>
    <m/>
    <n v="45.241230000000002"/>
    <n v="-24.285900000000002"/>
    <m/>
    <m/>
  </r>
  <r>
    <s v="MG52518110004001MAM"/>
    <x v="5"/>
    <x v="5"/>
    <m/>
    <x v="2"/>
    <x v="2"/>
    <m/>
    <x v="2"/>
    <x v="2"/>
    <m/>
    <x v="219"/>
    <x v="219"/>
    <m/>
    <x v="1261"/>
    <x v="1297"/>
    <m/>
    <x v="1450"/>
    <x v="1541"/>
    <m/>
    <x v="2"/>
    <x v="2"/>
    <m/>
    <n v="45.283200000000001"/>
    <n v="-24.342880000000001"/>
    <m/>
    <m/>
  </r>
  <r>
    <s v="MG52518110007001MAM"/>
    <x v="5"/>
    <x v="5"/>
    <m/>
    <x v="2"/>
    <x v="2"/>
    <m/>
    <x v="2"/>
    <x v="2"/>
    <m/>
    <x v="219"/>
    <x v="219"/>
    <m/>
    <x v="1262"/>
    <x v="1298"/>
    <m/>
    <x v="1451"/>
    <x v="1542"/>
    <m/>
    <x v="2"/>
    <x v="2"/>
    <m/>
    <n v="45.251530000000002"/>
    <n v="-24.356169999999999"/>
    <m/>
    <m/>
  </r>
  <r>
    <s v="MG52518110077001MAM"/>
    <x v="5"/>
    <x v="5"/>
    <m/>
    <x v="2"/>
    <x v="2"/>
    <m/>
    <x v="2"/>
    <x v="2"/>
    <m/>
    <x v="219"/>
    <x v="219"/>
    <m/>
    <x v="1263"/>
    <x v="1299"/>
    <m/>
    <x v="1452"/>
    <x v="1543"/>
    <m/>
    <x v="2"/>
    <x v="2"/>
    <m/>
    <n v="45.233930000000001"/>
    <n v="-24.370470000000001"/>
    <m/>
    <m/>
  </r>
  <r>
    <s v="MG52518092006001MAM"/>
    <x v="5"/>
    <x v="5"/>
    <m/>
    <x v="2"/>
    <x v="2"/>
    <m/>
    <x v="2"/>
    <x v="2"/>
    <m/>
    <x v="220"/>
    <x v="37"/>
    <m/>
    <x v="230"/>
    <x v="1300"/>
    <m/>
    <x v="239"/>
    <x v="1544"/>
    <m/>
    <x v="2"/>
    <x v="2"/>
    <m/>
    <n v="45.401229999999998"/>
    <n v="-24.158270000000002"/>
    <m/>
    <m/>
  </r>
  <r>
    <s v="MG52518092056001MAM"/>
    <x v="5"/>
    <x v="5"/>
    <m/>
    <x v="2"/>
    <x v="2"/>
    <m/>
    <x v="2"/>
    <x v="2"/>
    <m/>
    <x v="220"/>
    <x v="37"/>
    <m/>
    <x v="1264"/>
    <x v="1301"/>
    <m/>
    <x v="1453"/>
    <x v="1545"/>
    <m/>
    <x v="2"/>
    <x v="2"/>
    <m/>
    <n v="45.32593"/>
    <n v="-24.1264"/>
    <m/>
    <m/>
  </r>
  <r>
    <s v="MG52518092057001MAM"/>
    <x v="5"/>
    <x v="5"/>
    <m/>
    <x v="2"/>
    <x v="2"/>
    <m/>
    <x v="2"/>
    <x v="2"/>
    <m/>
    <x v="220"/>
    <x v="37"/>
    <m/>
    <x v="1265"/>
    <x v="1302"/>
    <m/>
    <x v="1454"/>
    <x v="1546"/>
    <m/>
    <x v="2"/>
    <x v="2"/>
    <m/>
    <n v="45.377420000000001"/>
    <n v="-24.148949999999999"/>
    <m/>
    <m/>
  </r>
  <r>
    <s v="MG53519230001002MAM"/>
    <x v="5"/>
    <x v="5"/>
    <m/>
    <x v="3"/>
    <x v="3"/>
    <m/>
    <x v="4"/>
    <x v="4"/>
    <m/>
    <x v="22"/>
    <x v="22"/>
    <m/>
    <x v="141"/>
    <x v="145"/>
    <m/>
    <x v="1455"/>
    <x v="1547"/>
    <m/>
    <x v="2"/>
    <x v="2"/>
    <m/>
    <n v="46.07443"/>
    <n v="-24.066669999999998"/>
    <m/>
    <m/>
  </r>
  <r>
    <s v="MG53519230008002MAM"/>
    <x v="5"/>
    <x v="5"/>
    <m/>
    <x v="3"/>
    <x v="3"/>
    <m/>
    <x v="4"/>
    <x v="4"/>
    <m/>
    <x v="22"/>
    <x v="22"/>
    <m/>
    <x v="142"/>
    <x v="146"/>
    <m/>
    <x v="1456"/>
    <x v="1548"/>
    <m/>
    <x v="2"/>
    <x v="2"/>
    <m/>
    <n v="45.966349999999998"/>
    <n v="-24.13758"/>
    <m/>
    <m/>
  </r>
  <r>
    <s v="MG25214010003001MAM"/>
    <x v="0"/>
    <x v="0"/>
    <m/>
    <x v="4"/>
    <x v="4"/>
    <m/>
    <x v="10"/>
    <x v="10"/>
    <m/>
    <x v="221"/>
    <x v="220"/>
    <m/>
    <x v="1266"/>
    <x v="1303"/>
    <m/>
    <x v="1457"/>
    <x v="1549"/>
    <m/>
    <x v="2"/>
    <x v="2"/>
    <m/>
    <n v="47.600949999999997"/>
    <n v="-23.333120000000001"/>
    <m/>
    <m/>
  </r>
  <r>
    <s v="MG25214010005001MAM"/>
    <x v="0"/>
    <x v="0"/>
    <m/>
    <x v="4"/>
    <x v="4"/>
    <m/>
    <x v="10"/>
    <x v="10"/>
    <m/>
    <x v="221"/>
    <x v="220"/>
    <m/>
    <x v="25"/>
    <x v="1304"/>
    <m/>
    <x v="1458"/>
    <x v="1550"/>
    <m/>
    <x v="2"/>
    <x v="2"/>
    <m/>
    <n v="47.627726000000003"/>
    <n v="-23.369022999999999"/>
    <m/>
    <m/>
  </r>
  <r>
    <s v="MG25214010010001MAM"/>
    <x v="0"/>
    <x v="0"/>
    <m/>
    <x v="4"/>
    <x v="4"/>
    <m/>
    <x v="10"/>
    <x v="10"/>
    <m/>
    <x v="221"/>
    <x v="220"/>
    <m/>
    <x v="1267"/>
    <x v="1305"/>
    <m/>
    <x v="1459"/>
    <x v="1551"/>
    <m/>
    <x v="2"/>
    <x v="2"/>
    <m/>
    <n v="47.647500000000001"/>
    <n v="-23.36233"/>
    <m/>
    <m/>
  </r>
  <r>
    <s v="MG25214010012001MAM"/>
    <x v="0"/>
    <x v="0"/>
    <m/>
    <x v="4"/>
    <x v="4"/>
    <m/>
    <x v="10"/>
    <x v="10"/>
    <m/>
    <x v="221"/>
    <x v="220"/>
    <m/>
    <x v="1268"/>
    <x v="1306"/>
    <m/>
    <x v="1460"/>
    <x v="1552"/>
    <m/>
    <x v="2"/>
    <x v="2"/>
    <m/>
    <n v="47.618400000000001"/>
    <n v="-23.378879999999999"/>
    <m/>
    <m/>
  </r>
  <r>
    <s v="MG51506130032001MAM"/>
    <x v="0"/>
    <x v="0"/>
    <m/>
    <x v="4"/>
    <x v="4"/>
    <m/>
    <x v="10"/>
    <x v="10"/>
    <m/>
    <x v="221"/>
    <x v="220"/>
    <m/>
    <x v="1269"/>
    <x v="1307"/>
    <m/>
    <x v="1461"/>
    <x v="1553"/>
    <m/>
    <x v="2"/>
    <x v="2"/>
    <m/>
    <n v="47.60783"/>
    <n v="-23.352"/>
    <m/>
    <m/>
  </r>
  <r>
    <s v="MG51506130033001MAM"/>
    <x v="0"/>
    <x v="0"/>
    <m/>
    <x v="4"/>
    <x v="4"/>
    <m/>
    <x v="10"/>
    <x v="10"/>
    <m/>
    <x v="222"/>
    <x v="221"/>
    <m/>
    <x v="1270"/>
    <x v="1308"/>
    <m/>
    <x v="1462"/>
    <x v="1554"/>
    <m/>
    <x v="2"/>
    <x v="2"/>
    <m/>
    <n v="47.638829999999999"/>
    <n v="-23.357479999999999"/>
    <m/>
    <m/>
  </r>
  <r>
    <s v="MG25217192001001MAM"/>
    <x v="0"/>
    <x v="0"/>
    <m/>
    <x v="4"/>
    <x v="4"/>
    <m/>
    <x v="12"/>
    <x v="12"/>
    <m/>
    <x v="223"/>
    <x v="222"/>
    <m/>
    <x v="1271"/>
    <x v="1309"/>
    <m/>
    <x v="1463"/>
    <x v="1555"/>
    <m/>
    <x v="2"/>
    <x v="2"/>
    <m/>
    <n v="47.31532"/>
    <n v="-22.325749999999999"/>
    <m/>
    <m/>
  </r>
  <r>
    <s v="MG25217192002001MAM"/>
    <x v="0"/>
    <x v="0"/>
    <m/>
    <x v="4"/>
    <x v="4"/>
    <m/>
    <x v="12"/>
    <x v="12"/>
    <m/>
    <x v="223"/>
    <x v="222"/>
    <m/>
    <x v="1272"/>
    <x v="1310"/>
    <m/>
    <x v="1464"/>
    <x v="1556"/>
    <m/>
    <x v="2"/>
    <x v="2"/>
    <m/>
    <n v="47.268970000000003"/>
    <n v="-22.317879999999999"/>
    <m/>
    <m/>
  </r>
  <r>
    <s v="MG25217192003001MAM"/>
    <x v="0"/>
    <x v="0"/>
    <m/>
    <x v="4"/>
    <x v="4"/>
    <m/>
    <x v="12"/>
    <x v="12"/>
    <m/>
    <x v="223"/>
    <x v="222"/>
    <m/>
    <x v="1273"/>
    <x v="1311"/>
    <m/>
    <x v="1465"/>
    <x v="1557"/>
    <m/>
    <x v="2"/>
    <x v="2"/>
    <m/>
    <n v="47.260420000000003"/>
    <n v="-22.352499999999999"/>
    <m/>
    <m/>
  </r>
  <r>
    <s v="MG25217192004001MAM"/>
    <x v="0"/>
    <x v="0"/>
    <m/>
    <x v="4"/>
    <x v="4"/>
    <m/>
    <x v="12"/>
    <x v="12"/>
    <m/>
    <x v="223"/>
    <x v="222"/>
    <m/>
    <x v="1274"/>
    <x v="1312"/>
    <m/>
    <x v="1466"/>
    <x v="1558"/>
    <m/>
    <x v="2"/>
    <x v="2"/>
    <m/>
    <n v="47.317129999999999"/>
    <n v="-22.346150000000002"/>
    <m/>
    <m/>
  </r>
  <r>
    <s v="MG25213050003001MAM"/>
    <x v="0"/>
    <x v="0"/>
    <m/>
    <x v="4"/>
    <x v="4"/>
    <m/>
    <x v="11"/>
    <x v="11"/>
    <m/>
    <x v="224"/>
    <x v="223"/>
    <m/>
    <x v="1275"/>
    <x v="1313"/>
    <m/>
    <x v="1467"/>
    <x v="1559"/>
    <m/>
    <x v="2"/>
    <x v="2"/>
    <m/>
    <n v="47.746580000000002"/>
    <n v="-22.727599999999999"/>
    <m/>
    <m/>
  </r>
  <r>
    <s v="MG25213050044001MAM"/>
    <x v="0"/>
    <x v="0"/>
    <m/>
    <x v="4"/>
    <x v="4"/>
    <m/>
    <x v="11"/>
    <x v="11"/>
    <m/>
    <x v="224"/>
    <x v="223"/>
    <m/>
    <x v="1276"/>
    <x v="1314"/>
    <m/>
    <x v="1468"/>
    <x v="1560"/>
    <m/>
    <x v="2"/>
    <x v="2"/>
    <m/>
    <n v="47.727950999999997"/>
    <n v="-22.742149999999999"/>
    <m/>
    <m/>
  </r>
  <r>
    <s v="MG25213050045001MAM"/>
    <x v="0"/>
    <x v="0"/>
    <m/>
    <x v="4"/>
    <x v="4"/>
    <m/>
    <x v="11"/>
    <x v="11"/>
    <m/>
    <x v="224"/>
    <x v="223"/>
    <m/>
    <x v="1243"/>
    <x v="1315"/>
    <m/>
    <x v="1469"/>
    <x v="1561"/>
    <m/>
    <x v="2"/>
    <x v="2"/>
    <m/>
    <n v="47.737209"/>
    <n v="-22.731804"/>
    <m/>
    <m/>
  </r>
  <r>
    <s v="MG25213570011001MAM"/>
    <x v="0"/>
    <x v="0"/>
    <m/>
    <x v="4"/>
    <x v="4"/>
    <m/>
    <x v="11"/>
    <x v="11"/>
    <m/>
    <x v="225"/>
    <x v="224"/>
    <m/>
    <x v="968"/>
    <x v="1316"/>
    <m/>
    <x v="1470"/>
    <x v="1562"/>
    <m/>
    <x v="2"/>
    <x v="2"/>
    <m/>
    <n v="47.712583000000002"/>
    <n v="-22.570967"/>
    <m/>
    <m/>
  </r>
  <r>
    <s v="MG32315010005001MAM"/>
    <x v="0"/>
    <x v="0"/>
    <m/>
    <x v="4"/>
    <x v="4"/>
    <m/>
    <x v="11"/>
    <x v="11"/>
    <m/>
    <x v="225"/>
    <x v="224"/>
    <m/>
    <x v="1277"/>
    <x v="1317"/>
    <m/>
    <x v="1471"/>
    <x v="1563"/>
    <m/>
    <x v="2"/>
    <x v="2"/>
    <m/>
    <n v="47.695180000000001"/>
    <n v="-22.544519999999999"/>
    <m/>
    <m/>
  </r>
  <r>
    <s v="MG25214112005001MAM"/>
    <x v="0"/>
    <x v="0"/>
    <m/>
    <x v="4"/>
    <x v="4"/>
    <m/>
    <x v="10"/>
    <x v="10"/>
    <m/>
    <x v="226"/>
    <x v="225"/>
    <m/>
    <x v="1278"/>
    <x v="1318"/>
    <m/>
    <x v="1472"/>
    <x v="1564"/>
    <m/>
    <x v="2"/>
    <x v="2"/>
    <m/>
    <n v="47.478920000000002"/>
    <n v="-23.206530000000001"/>
    <m/>
    <m/>
  </r>
  <r>
    <s v="MG25214312004001MAM"/>
    <x v="0"/>
    <x v="0"/>
    <m/>
    <x v="4"/>
    <x v="4"/>
    <m/>
    <x v="10"/>
    <x v="10"/>
    <m/>
    <x v="226"/>
    <x v="225"/>
    <m/>
    <x v="376"/>
    <x v="1319"/>
    <m/>
    <x v="1473"/>
    <x v="1565"/>
    <m/>
    <x v="2"/>
    <x v="2"/>
    <m/>
    <n v="47.496299999999998"/>
    <n v="-23.71367"/>
    <m/>
    <m/>
  </r>
  <r>
    <s v="MG25214312006001MAM"/>
    <x v="0"/>
    <x v="0"/>
    <m/>
    <x v="4"/>
    <x v="4"/>
    <m/>
    <x v="10"/>
    <x v="10"/>
    <m/>
    <x v="226"/>
    <x v="225"/>
    <m/>
    <x v="1279"/>
    <x v="1320"/>
    <m/>
    <x v="1474"/>
    <x v="1566"/>
    <m/>
    <x v="2"/>
    <x v="2"/>
    <m/>
    <n v="47.484769999999997"/>
    <n v="-23.764880000000002"/>
    <m/>
    <m/>
  </r>
  <r>
    <s v="MG52518252005001MAM"/>
    <x v="5"/>
    <x v="5"/>
    <m/>
    <x v="2"/>
    <x v="2"/>
    <m/>
    <x v="2"/>
    <x v="2"/>
    <m/>
    <x v="227"/>
    <x v="226"/>
    <m/>
    <x v="1280"/>
    <x v="1321"/>
    <m/>
    <x v="1475"/>
    <x v="1567"/>
    <m/>
    <x v="2"/>
    <x v="2"/>
    <m/>
    <n v="45.5047"/>
    <n v="-24.0046"/>
    <m/>
    <m/>
  </r>
  <r>
    <s v="MG52518252006001MAM"/>
    <x v="5"/>
    <x v="5"/>
    <m/>
    <x v="2"/>
    <x v="2"/>
    <m/>
    <x v="2"/>
    <x v="2"/>
    <m/>
    <x v="227"/>
    <x v="226"/>
    <m/>
    <x v="1281"/>
    <x v="1322"/>
    <m/>
    <x v="1476"/>
    <x v="1568"/>
    <m/>
    <x v="2"/>
    <x v="2"/>
    <m/>
    <n v="45.516249999999999"/>
    <n v="-24.02347"/>
    <m/>
    <m/>
  </r>
  <r>
    <s v="MG52518252056001MAM"/>
    <x v="5"/>
    <x v="5"/>
    <m/>
    <x v="2"/>
    <x v="2"/>
    <m/>
    <x v="2"/>
    <x v="2"/>
    <m/>
    <x v="227"/>
    <x v="226"/>
    <m/>
    <x v="1282"/>
    <x v="1323"/>
    <m/>
    <x v="1477"/>
    <x v="1569"/>
    <m/>
    <x v="2"/>
    <x v="2"/>
    <m/>
    <n v="45.576700000000002"/>
    <n v="-24.068200000000001"/>
    <m/>
    <m/>
  </r>
  <r>
    <s v="MG52518252057001MAM"/>
    <x v="5"/>
    <x v="5"/>
    <m/>
    <x v="2"/>
    <x v="2"/>
    <m/>
    <x v="2"/>
    <x v="2"/>
    <m/>
    <x v="227"/>
    <x v="226"/>
    <m/>
    <x v="1283"/>
    <x v="1324"/>
    <m/>
    <x v="1478"/>
    <x v="1570"/>
    <m/>
    <x v="2"/>
    <x v="2"/>
    <m/>
    <n v="45.446750000000002"/>
    <n v="-24.083929999999999"/>
    <m/>
    <m/>
  </r>
  <r>
    <s v="MG52518252058001MAM"/>
    <x v="5"/>
    <x v="5"/>
    <m/>
    <x v="2"/>
    <x v="2"/>
    <m/>
    <x v="2"/>
    <x v="2"/>
    <m/>
    <x v="227"/>
    <x v="226"/>
    <m/>
    <x v="1284"/>
    <x v="1325"/>
    <m/>
    <x v="1479"/>
    <x v="1571"/>
    <m/>
    <x v="2"/>
    <x v="2"/>
    <m/>
    <n v="45.467329999999997"/>
    <n v="-24.05132"/>
    <m/>
    <m/>
  </r>
  <r>
    <s v="MG25217071001001MAM"/>
    <x v="0"/>
    <x v="0"/>
    <m/>
    <x v="4"/>
    <x v="4"/>
    <m/>
    <x v="12"/>
    <x v="12"/>
    <m/>
    <x v="228"/>
    <x v="227"/>
    <m/>
    <x v="1285"/>
    <x v="1326"/>
    <m/>
    <x v="1480"/>
    <x v="1572"/>
    <m/>
    <x v="2"/>
    <x v="2"/>
    <m/>
    <n v="47.284080000000003"/>
    <n v="-22.968319999999999"/>
    <m/>
    <m/>
  </r>
  <r>
    <s v="MG25217071005001MAM"/>
    <x v="0"/>
    <x v="0"/>
    <m/>
    <x v="4"/>
    <x v="4"/>
    <m/>
    <x v="12"/>
    <x v="12"/>
    <m/>
    <x v="228"/>
    <x v="227"/>
    <m/>
    <x v="1286"/>
    <x v="1327"/>
    <m/>
    <x v="1481"/>
    <x v="1573"/>
    <m/>
    <x v="2"/>
    <x v="2"/>
    <m/>
    <n v="47.303804999999997"/>
    <n v="-22.911135000000002"/>
    <m/>
    <m/>
  </r>
  <r>
    <s v="MG25213030003001MAM"/>
    <x v="0"/>
    <x v="0"/>
    <m/>
    <x v="4"/>
    <x v="4"/>
    <m/>
    <x v="11"/>
    <x v="11"/>
    <m/>
    <x v="229"/>
    <x v="228"/>
    <m/>
    <x v="1287"/>
    <x v="1328"/>
    <m/>
    <x v="1482"/>
    <x v="1574"/>
    <m/>
    <x v="2"/>
    <x v="2"/>
    <m/>
    <n v="47.704549999999998"/>
    <n v="-22.757079999999998"/>
    <m/>
    <m/>
  </r>
  <r>
    <s v="MG25213030006001MAM"/>
    <x v="0"/>
    <x v="0"/>
    <m/>
    <x v="4"/>
    <x v="4"/>
    <m/>
    <x v="11"/>
    <x v="11"/>
    <m/>
    <x v="229"/>
    <x v="228"/>
    <m/>
    <x v="317"/>
    <x v="1329"/>
    <m/>
    <x v="1483"/>
    <x v="1575"/>
    <m/>
    <x v="2"/>
    <x v="2"/>
    <m/>
    <n v="47.695630000000001"/>
    <n v="-22.802630000000001"/>
    <m/>
    <m/>
  </r>
  <r>
    <s v="MG25214171001001MAM"/>
    <x v="0"/>
    <x v="0"/>
    <m/>
    <x v="4"/>
    <x v="4"/>
    <m/>
    <x v="10"/>
    <x v="10"/>
    <m/>
    <x v="230"/>
    <x v="229"/>
    <m/>
    <x v="1288"/>
    <x v="1330"/>
    <m/>
    <x v="1484"/>
    <x v="1576"/>
    <m/>
    <x v="2"/>
    <x v="2"/>
    <m/>
    <n v="47.499229999999997"/>
    <n v="-23.539919999999999"/>
    <m/>
    <m/>
  </r>
  <r>
    <s v="MG43404171013001MAM"/>
    <x v="1"/>
    <x v="1"/>
    <m/>
    <x v="1"/>
    <x v="1"/>
    <m/>
    <x v="1"/>
    <x v="1"/>
    <m/>
    <x v="231"/>
    <x v="230"/>
    <m/>
    <x v="288"/>
    <x v="1331"/>
    <m/>
    <x v="297"/>
    <x v="1577"/>
    <m/>
    <x v="2"/>
    <x v="2"/>
    <m/>
    <n v="44.599670000000003"/>
    <n v="-24.191420000000001"/>
    <m/>
    <m/>
  </r>
  <r>
    <s v="MG51507250003001MAM"/>
    <x v="1"/>
    <x v="1"/>
    <m/>
    <x v="1"/>
    <x v="1"/>
    <m/>
    <x v="1"/>
    <x v="1"/>
    <m/>
    <x v="231"/>
    <x v="230"/>
    <m/>
    <x v="1289"/>
    <x v="1332"/>
    <m/>
    <x v="1485"/>
    <x v="1578"/>
    <m/>
    <x v="2"/>
    <x v="2"/>
    <m/>
    <n v="44.785879999999999"/>
    <n v="-24.0686"/>
    <m/>
    <m/>
  </r>
  <r>
    <s v="MG51507250005001MAM"/>
    <x v="1"/>
    <x v="1"/>
    <m/>
    <x v="1"/>
    <x v="1"/>
    <m/>
    <x v="1"/>
    <x v="1"/>
    <m/>
    <x v="231"/>
    <x v="230"/>
    <m/>
    <x v="1290"/>
    <x v="1333"/>
    <m/>
    <x v="1486"/>
    <x v="1579"/>
    <m/>
    <x v="2"/>
    <x v="2"/>
    <m/>
    <n v="44.628"/>
    <n v="-24.128299999999999"/>
    <m/>
    <m/>
  </r>
  <r>
    <s v="MG51507250057001MAM"/>
    <x v="1"/>
    <x v="1"/>
    <m/>
    <x v="1"/>
    <x v="1"/>
    <m/>
    <x v="1"/>
    <x v="1"/>
    <m/>
    <x v="231"/>
    <x v="230"/>
    <m/>
    <x v="1291"/>
    <x v="1334"/>
    <m/>
    <x v="1487"/>
    <x v="1580"/>
    <m/>
    <x v="2"/>
    <x v="2"/>
    <m/>
    <n v="44.774929999999998"/>
    <n v="-24.14583"/>
    <m/>
    <m/>
  </r>
  <r>
    <s v="MG51507250058001MAM"/>
    <x v="1"/>
    <x v="1"/>
    <m/>
    <x v="1"/>
    <x v="1"/>
    <m/>
    <x v="1"/>
    <x v="1"/>
    <m/>
    <x v="231"/>
    <x v="230"/>
    <m/>
    <x v="1292"/>
    <x v="1335"/>
    <m/>
    <x v="1488"/>
    <x v="1581"/>
    <m/>
    <x v="2"/>
    <x v="2"/>
    <m/>
    <n v="44.79815"/>
    <n v="-24.117049999999999"/>
    <m/>
    <m/>
  </r>
  <r>
    <s v="MG51507250059001MAM"/>
    <x v="1"/>
    <x v="1"/>
    <m/>
    <x v="1"/>
    <x v="1"/>
    <m/>
    <x v="1"/>
    <x v="1"/>
    <m/>
    <x v="231"/>
    <x v="230"/>
    <m/>
    <x v="910"/>
    <x v="1336"/>
    <m/>
    <x v="1489"/>
    <x v="1582"/>
    <m/>
    <x v="2"/>
    <x v="2"/>
    <m/>
    <n v="44.602919999999997"/>
    <n v="-24.14723"/>
    <m/>
    <m/>
  </r>
  <r>
    <s v="MG51507250060001MAM"/>
    <x v="1"/>
    <x v="1"/>
    <m/>
    <x v="1"/>
    <x v="1"/>
    <m/>
    <x v="1"/>
    <x v="1"/>
    <m/>
    <x v="231"/>
    <x v="230"/>
    <m/>
    <x v="1293"/>
    <x v="1337"/>
    <m/>
    <x v="1490"/>
    <x v="1583"/>
    <m/>
    <x v="2"/>
    <x v="2"/>
    <m/>
    <n v="44.733849999999997"/>
    <n v="-24.11375"/>
    <m/>
    <m/>
  </r>
  <r>
    <s v="MG51507250061001MAM"/>
    <x v="1"/>
    <x v="1"/>
    <m/>
    <x v="1"/>
    <x v="1"/>
    <m/>
    <x v="1"/>
    <x v="1"/>
    <m/>
    <x v="231"/>
    <x v="230"/>
    <m/>
    <x v="1294"/>
    <x v="1338"/>
    <m/>
    <x v="1491"/>
    <x v="1584"/>
    <m/>
    <x v="2"/>
    <x v="2"/>
    <m/>
    <n v="44.651949999999999"/>
    <n v="-24.176130000000001"/>
    <m/>
    <m/>
  </r>
  <r>
    <s v="MG51507250062001MAM"/>
    <x v="1"/>
    <x v="1"/>
    <m/>
    <x v="1"/>
    <x v="1"/>
    <m/>
    <x v="1"/>
    <x v="1"/>
    <m/>
    <x v="231"/>
    <x v="230"/>
    <m/>
    <x v="1295"/>
    <x v="1339"/>
    <m/>
    <x v="1492"/>
    <x v="1585"/>
    <m/>
    <x v="2"/>
    <x v="2"/>
    <m/>
    <n v="44.602350000000001"/>
    <n v="-24.180099999999999"/>
    <m/>
    <m/>
  </r>
  <r>
    <s v="MG51507250063001MAM"/>
    <x v="1"/>
    <x v="1"/>
    <m/>
    <x v="1"/>
    <x v="1"/>
    <m/>
    <x v="1"/>
    <x v="1"/>
    <m/>
    <x v="231"/>
    <x v="230"/>
    <m/>
    <x v="1296"/>
    <x v="1340"/>
    <m/>
    <x v="1493"/>
    <x v="1586"/>
    <m/>
    <x v="2"/>
    <x v="2"/>
    <m/>
    <n v="44.8307"/>
    <n v="-24.1236"/>
    <m/>
    <m/>
  </r>
  <r>
    <s v="MG25214111001001MAM"/>
    <x v="0"/>
    <x v="0"/>
    <m/>
    <x v="4"/>
    <x v="4"/>
    <m/>
    <x v="10"/>
    <x v="10"/>
    <m/>
    <x v="55"/>
    <x v="55"/>
    <m/>
    <x v="319"/>
    <x v="1341"/>
    <m/>
    <x v="328"/>
    <x v="1587"/>
    <m/>
    <x v="2"/>
    <x v="2"/>
    <m/>
    <n v="47.525869999999998"/>
    <n v="-23.264579999999999"/>
    <m/>
    <m/>
  </r>
  <r>
    <s v="MG25213090001001MAM"/>
    <x v="0"/>
    <x v="0"/>
    <m/>
    <x v="4"/>
    <x v="4"/>
    <m/>
    <x v="11"/>
    <x v="11"/>
    <m/>
    <x v="232"/>
    <x v="231"/>
    <m/>
    <x v="986"/>
    <x v="1342"/>
    <m/>
    <x v="1494"/>
    <x v="1588"/>
    <m/>
    <x v="2"/>
    <x v="2"/>
    <m/>
    <n v="47.763950000000001"/>
    <n v="-22.877549999999999"/>
    <m/>
    <m/>
  </r>
  <r>
    <s v="MG51512130006001MAM"/>
    <x v="0"/>
    <x v="0"/>
    <m/>
    <x v="4"/>
    <x v="4"/>
    <m/>
    <x v="11"/>
    <x v="11"/>
    <m/>
    <x v="232"/>
    <x v="231"/>
    <m/>
    <x v="511"/>
    <x v="1343"/>
    <m/>
    <x v="1495"/>
    <x v="1589"/>
    <m/>
    <x v="2"/>
    <x v="2"/>
    <m/>
    <n v="47.635081"/>
    <n v="-22.794968999999998"/>
    <m/>
    <m/>
  </r>
  <r>
    <s v="MG25217011002001MAM"/>
    <x v="0"/>
    <x v="0"/>
    <m/>
    <x v="4"/>
    <x v="4"/>
    <m/>
    <x v="12"/>
    <x v="12"/>
    <m/>
    <x v="233"/>
    <x v="232"/>
    <m/>
    <x v="1297"/>
    <x v="1344"/>
    <m/>
    <x v="1496"/>
    <x v="1590"/>
    <m/>
    <x v="2"/>
    <x v="2"/>
    <m/>
    <n v="47.331449999999997"/>
    <n v="-22.80068"/>
    <m/>
    <m/>
  </r>
  <r>
    <s v="MG25217011003001MAM"/>
    <x v="0"/>
    <x v="0"/>
    <m/>
    <x v="4"/>
    <x v="4"/>
    <m/>
    <x v="12"/>
    <x v="12"/>
    <m/>
    <x v="233"/>
    <x v="232"/>
    <m/>
    <x v="1298"/>
    <x v="1345"/>
    <m/>
    <x v="1497"/>
    <x v="1591"/>
    <m/>
    <x v="2"/>
    <x v="2"/>
    <m/>
    <n v="47.307870000000001"/>
    <n v="-22.811419999999998"/>
    <m/>
    <m/>
  </r>
  <r>
    <s v="MG25217011004001MAM"/>
    <x v="0"/>
    <x v="0"/>
    <m/>
    <x v="4"/>
    <x v="4"/>
    <m/>
    <x v="12"/>
    <x v="12"/>
    <m/>
    <x v="233"/>
    <x v="232"/>
    <m/>
    <x v="1299"/>
    <x v="1346"/>
    <m/>
    <x v="1498"/>
    <x v="1592"/>
    <m/>
    <x v="2"/>
    <x v="2"/>
    <m/>
    <n v="47.334499999999998"/>
    <n v="-22.826799999999999"/>
    <m/>
    <m/>
  </r>
  <r>
    <s v="MG43404070006001MAM"/>
    <x v="0"/>
    <x v="0"/>
    <m/>
    <x v="4"/>
    <x v="4"/>
    <m/>
    <x v="12"/>
    <x v="12"/>
    <m/>
    <x v="233"/>
    <x v="232"/>
    <m/>
    <x v="1300"/>
    <x v="1347"/>
    <m/>
    <x v="1499"/>
    <x v="1593"/>
    <m/>
    <x v="2"/>
    <x v="2"/>
    <m/>
    <n v="47.322769999999998"/>
    <n v="-22.820499999999999"/>
    <m/>
    <m/>
  </r>
  <r>
    <s v="603110005SMP"/>
    <x v="5"/>
    <x v="5"/>
    <m/>
    <x v="3"/>
    <x v="3"/>
    <m/>
    <x v="4"/>
    <x v="4"/>
    <m/>
    <x v="17"/>
    <x v="17"/>
    <m/>
    <x v="1301"/>
    <x v="161"/>
    <m/>
    <x v="1500"/>
    <x v="1594"/>
    <m/>
    <x v="3"/>
    <x v="3"/>
    <m/>
    <n v="-25.162365999999999"/>
    <n v="46.286211999999999"/>
    <m/>
    <m/>
  </r>
  <r>
    <s v="603110013SMP"/>
    <x v="5"/>
    <x v="5"/>
    <m/>
    <x v="3"/>
    <x v="3"/>
    <m/>
    <x v="4"/>
    <x v="4"/>
    <m/>
    <x v="17"/>
    <x v="17"/>
    <m/>
    <x v="1301"/>
    <x v="161"/>
    <m/>
    <x v="1501"/>
    <x v="1595"/>
    <m/>
    <x v="3"/>
    <x v="3"/>
    <m/>
    <n v="-25.149025000000002"/>
    <n v="46.325845000000001"/>
    <m/>
    <m/>
  </r>
  <r>
    <s v="603120002SMP"/>
    <x v="5"/>
    <x v="5"/>
    <m/>
    <x v="3"/>
    <x v="3"/>
    <m/>
    <x v="4"/>
    <x v="4"/>
    <m/>
    <x v="8"/>
    <x v="8"/>
    <m/>
    <x v="1301"/>
    <x v="161"/>
    <m/>
    <x v="1502"/>
    <x v="1596"/>
    <m/>
    <x v="3"/>
    <x v="3"/>
    <m/>
    <n v="-25.12894"/>
    <n v="46.394053"/>
    <m/>
    <m/>
  </r>
  <r>
    <s v="603110015SMP"/>
    <x v="5"/>
    <x v="5"/>
    <m/>
    <x v="3"/>
    <x v="3"/>
    <m/>
    <x v="4"/>
    <x v="4"/>
    <m/>
    <x v="17"/>
    <x v="17"/>
    <m/>
    <x v="1301"/>
    <x v="161"/>
    <m/>
    <x v="1334"/>
    <x v="1597"/>
    <m/>
    <x v="3"/>
    <x v="3"/>
    <m/>
    <n v="-25.109172999999998"/>
    <n v="46.274861999999999"/>
    <m/>
    <m/>
  </r>
  <r>
    <s v="603010013SMP"/>
    <x v="5"/>
    <x v="5"/>
    <m/>
    <x v="3"/>
    <x v="3"/>
    <m/>
    <x v="4"/>
    <x v="4"/>
    <m/>
    <x v="70"/>
    <x v="70"/>
    <m/>
    <x v="1301"/>
    <x v="161"/>
    <m/>
    <x v="1503"/>
    <x v="1598"/>
    <m/>
    <x v="3"/>
    <x v="3"/>
    <m/>
    <n v="-25.100916000000002"/>
    <n v="46.439025000000001"/>
    <m/>
    <m/>
  </r>
  <r>
    <s v="603010020SMP"/>
    <x v="5"/>
    <x v="5"/>
    <m/>
    <x v="3"/>
    <x v="3"/>
    <m/>
    <x v="4"/>
    <x v="4"/>
    <m/>
    <x v="70"/>
    <x v="70"/>
    <m/>
    <x v="1301"/>
    <x v="161"/>
    <m/>
    <x v="1504"/>
    <x v="1599"/>
    <m/>
    <x v="3"/>
    <x v="3"/>
    <m/>
    <n v="-25.098158000000002"/>
    <n v="46.380329000000003"/>
    <m/>
    <m/>
  </r>
  <r>
    <s v="603010030SMP"/>
    <x v="5"/>
    <x v="5"/>
    <m/>
    <x v="3"/>
    <x v="3"/>
    <m/>
    <x v="4"/>
    <x v="4"/>
    <m/>
    <x v="70"/>
    <x v="70"/>
    <m/>
    <x v="1301"/>
    <x v="161"/>
    <m/>
    <x v="1505"/>
    <x v="1600"/>
    <m/>
    <x v="3"/>
    <x v="3"/>
    <m/>
    <n v="-25.085107000000001"/>
    <n v="46.407128"/>
    <m/>
    <m/>
  </r>
  <r>
    <s v="603010025SMP"/>
    <x v="5"/>
    <x v="5"/>
    <m/>
    <x v="3"/>
    <x v="3"/>
    <m/>
    <x v="4"/>
    <x v="4"/>
    <m/>
    <x v="70"/>
    <x v="70"/>
    <m/>
    <x v="1301"/>
    <x v="161"/>
    <m/>
    <x v="1506"/>
    <x v="1601"/>
    <m/>
    <x v="3"/>
    <x v="3"/>
    <m/>
    <n v="-25.071632999999999"/>
    <n v="46.330584999999999"/>
    <m/>
    <m/>
  </r>
  <r>
    <s v="603010009SMP"/>
    <x v="5"/>
    <x v="5"/>
    <m/>
    <x v="3"/>
    <x v="3"/>
    <m/>
    <x v="4"/>
    <x v="4"/>
    <m/>
    <x v="70"/>
    <x v="70"/>
    <m/>
    <x v="1301"/>
    <x v="161"/>
    <m/>
    <x v="1507"/>
    <x v="1602"/>
    <m/>
    <x v="3"/>
    <x v="3"/>
    <m/>
    <n v="-25.069897000000001"/>
    <n v="46.359074999999997"/>
    <m/>
    <m/>
  </r>
  <r>
    <s v="603010004SMP"/>
    <x v="5"/>
    <x v="5"/>
    <m/>
    <x v="3"/>
    <x v="3"/>
    <m/>
    <x v="4"/>
    <x v="4"/>
    <m/>
    <x v="70"/>
    <x v="70"/>
    <m/>
    <x v="1301"/>
    <x v="161"/>
    <m/>
    <x v="1508"/>
    <x v="1603"/>
    <m/>
    <x v="3"/>
    <x v="3"/>
    <m/>
    <n v="-25.057033000000001"/>
    <n v="46.400593000000001"/>
    <m/>
    <m/>
  </r>
  <r>
    <s v="603020015SMP"/>
    <x v="5"/>
    <x v="5"/>
    <m/>
    <x v="3"/>
    <x v="3"/>
    <m/>
    <x v="4"/>
    <x v="4"/>
    <m/>
    <x v="5"/>
    <x v="5"/>
    <m/>
    <x v="1301"/>
    <x v="161"/>
    <m/>
    <x v="1509"/>
    <x v="1604"/>
    <m/>
    <x v="3"/>
    <x v="3"/>
    <m/>
    <n v="-24.999731000000001"/>
    <n v="46.535926000000003"/>
    <m/>
    <m/>
  </r>
  <r>
    <s v="603020005SMP"/>
    <x v="5"/>
    <x v="5"/>
    <m/>
    <x v="3"/>
    <x v="3"/>
    <m/>
    <x v="4"/>
    <x v="4"/>
    <m/>
    <x v="5"/>
    <x v="5"/>
    <m/>
    <x v="1301"/>
    <x v="161"/>
    <m/>
    <x v="1510"/>
    <x v="1605"/>
    <m/>
    <x v="3"/>
    <x v="3"/>
    <m/>
    <n v="-24.984642999999998"/>
    <n v="46.402667000000001"/>
    <m/>
    <m/>
  </r>
  <r>
    <s v="603060006SMP"/>
    <x v="5"/>
    <x v="5"/>
    <m/>
    <x v="3"/>
    <x v="3"/>
    <m/>
    <x v="4"/>
    <x v="4"/>
    <m/>
    <x v="11"/>
    <x v="11"/>
    <m/>
    <x v="1301"/>
    <x v="161"/>
    <m/>
    <x v="163"/>
    <x v="1606"/>
    <m/>
    <x v="3"/>
    <x v="3"/>
    <m/>
    <n v="-24.931284999999999"/>
    <n v="46.214888000000002"/>
    <m/>
    <m/>
  </r>
  <r>
    <s v="603060040SMP"/>
    <x v="5"/>
    <x v="5"/>
    <m/>
    <x v="3"/>
    <x v="3"/>
    <m/>
    <x v="4"/>
    <x v="4"/>
    <m/>
    <x v="11"/>
    <x v="11"/>
    <m/>
    <x v="1301"/>
    <x v="161"/>
    <m/>
    <x v="1511"/>
    <x v="1607"/>
    <m/>
    <x v="3"/>
    <x v="3"/>
    <m/>
    <n v="-24.894953000000001"/>
    <n v="46.192749999999997"/>
    <m/>
    <m/>
  </r>
  <r>
    <s v="603060017SMP"/>
    <x v="5"/>
    <x v="5"/>
    <m/>
    <x v="3"/>
    <x v="3"/>
    <m/>
    <x v="4"/>
    <x v="4"/>
    <m/>
    <x v="11"/>
    <x v="11"/>
    <m/>
    <x v="1301"/>
    <x v="161"/>
    <m/>
    <x v="1512"/>
    <x v="1608"/>
    <m/>
    <x v="3"/>
    <x v="3"/>
    <m/>
    <n v="-24.879553000000001"/>
    <n v="46.220441000000001"/>
    <m/>
    <m/>
  </r>
  <r>
    <s v="603060011SMP"/>
    <x v="5"/>
    <x v="5"/>
    <m/>
    <x v="3"/>
    <x v="3"/>
    <m/>
    <x v="4"/>
    <x v="4"/>
    <m/>
    <x v="11"/>
    <x v="11"/>
    <m/>
    <x v="1301"/>
    <x v="161"/>
    <m/>
    <x v="46"/>
    <x v="1609"/>
    <m/>
    <x v="3"/>
    <x v="3"/>
    <m/>
    <n v="-24.843554999999999"/>
    <n v="46.179760999999999"/>
    <m/>
    <m/>
  </r>
  <r>
    <s v="603060020SMP"/>
    <x v="5"/>
    <x v="5"/>
    <m/>
    <x v="3"/>
    <x v="3"/>
    <m/>
    <x v="4"/>
    <x v="4"/>
    <m/>
    <x v="11"/>
    <x v="11"/>
    <m/>
    <x v="1301"/>
    <x v="161"/>
    <m/>
    <x v="87"/>
    <x v="1610"/>
    <m/>
    <x v="3"/>
    <x v="3"/>
    <m/>
    <n v="-24.805911999999999"/>
    <n v="46.118952999999998"/>
    <m/>
    <m/>
  </r>
  <r>
    <s v="603060013SMP"/>
    <x v="5"/>
    <x v="5"/>
    <m/>
    <x v="3"/>
    <x v="3"/>
    <m/>
    <x v="4"/>
    <x v="4"/>
    <m/>
    <x v="11"/>
    <x v="11"/>
    <m/>
    <x v="1301"/>
    <x v="161"/>
    <m/>
    <x v="86"/>
    <x v="1611"/>
    <m/>
    <x v="3"/>
    <x v="3"/>
    <m/>
    <n v="-24.805125"/>
    <n v="46.059745999999997"/>
    <m/>
    <m/>
  </r>
  <r>
    <s v="603060014SMP"/>
    <x v="5"/>
    <x v="5"/>
    <m/>
    <x v="3"/>
    <x v="3"/>
    <m/>
    <x v="4"/>
    <x v="4"/>
    <m/>
    <x v="11"/>
    <x v="11"/>
    <m/>
    <x v="1301"/>
    <x v="161"/>
    <m/>
    <x v="85"/>
    <x v="1612"/>
    <m/>
    <x v="3"/>
    <x v="3"/>
    <m/>
    <n v="-24.801386999999998"/>
    <n v="46.136242000000003"/>
    <m/>
    <m/>
  </r>
  <r>
    <s v="603060010SMP"/>
    <x v="5"/>
    <x v="5"/>
    <m/>
    <x v="3"/>
    <x v="3"/>
    <m/>
    <x v="4"/>
    <x v="4"/>
    <m/>
    <x v="11"/>
    <x v="11"/>
    <m/>
    <x v="1301"/>
    <x v="161"/>
    <m/>
    <x v="1513"/>
    <x v="1613"/>
    <m/>
    <x v="3"/>
    <x v="3"/>
    <m/>
    <n v="-24.797936"/>
    <n v="46.035198999999999"/>
    <m/>
    <m/>
  </r>
  <r>
    <s v="603060012SMP"/>
    <x v="5"/>
    <x v="5"/>
    <m/>
    <x v="3"/>
    <x v="3"/>
    <m/>
    <x v="4"/>
    <x v="4"/>
    <m/>
    <x v="11"/>
    <x v="11"/>
    <m/>
    <x v="1301"/>
    <x v="161"/>
    <m/>
    <x v="23"/>
    <x v="1614"/>
    <m/>
    <x v="3"/>
    <x v="3"/>
    <m/>
    <n v="-24.737893"/>
    <n v="46.052858000000001"/>
    <m/>
    <m/>
  </r>
  <r>
    <s v="603130020SMP"/>
    <x v="5"/>
    <x v="5"/>
    <m/>
    <x v="3"/>
    <x v="3"/>
    <m/>
    <x v="4"/>
    <x v="4"/>
    <m/>
    <x v="214"/>
    <x v="214"/>
    <m/>
    <x v="1301"/>
    <x v="161"/>
    <m/>
    <x v="1514"/>
    <x v="1615"/>
    <m/>
    <x v="3"/>
    <x v="3"/>
    <m/>
    <n v="-24.599519999999998"/>
    <n v="46.477065000000003"/>
    <m/>
    <m/>
  </r>
  <r>
    <s v="603130018SMP"/>
    <x v="5"/>
    <x v="5"/>
    <m/>
    <x v="3"/>
    <x v="3"/>
    <m/>
    <x v="4"/>
    <x v="4"/>
    <m/>
    <x v="214"/>
    <x v="214"/>
    <m/>
    <x v="1301"/>
    <x v="161"/>
    <m/>
    <x v="1515"/>
    <x v="1616"/>
    <m/>
    <x v="3"/>
    <x v="3"/>
    <m/>
    <n v="-24.598952000000001"/>
    <n v="46.511845000000001"/>
    <m/>
    <m/>
  </r>
  <r>
    <s v="603130009SMP"/>
    <x v="5"/>
    <x v="5"/>
    <m/>
    <x v="3"/>
    <x v="3"/>
    <m/>
    <x v="4"/>
    <x v="4"/>
    <m/>
    <x v="214"/>
    <x v="214"/>
    <m/>
    <x v="1301"/>
    <x v="161"/>
    <m/>
    <x v="1402"/>
    <x v="1617"/>
    <m/>
    <x v="3"/>
    <x v="3"/>
    <m/>
    <n v="-24.483021999999998"/>
    <n v="46.500284000000001"/>
    <m/>
    <m/>
  </r>
  <r>
    <s v="603150005SMP"/>
    <x v="5"/>
    <x v="5"/>
    <m/>
    <x v="3"/>
    <x v="3"/>
    <m/>
    <x v="4"/>
    <x v="4"/>
    <m/>
    <x v="27"/>
    <x v="27"/>
    <m/>
    <x v="1301"/>
    <x v="161"/>
    <m/>
    <x v="167"/>
    <x v="1618"/>
    <m/>
    <x v="3"/>
    <x v="3"/>
    <m/>
    <n v="-24.437453000000001"/>
    <n v="46.219948000000002"/>
    <m/>
    <m/>
  </r>
  <r>
    <s v="603090012SMP"/>
    <x v="5"/>
    <x v="5"/>
    <m/>
    <x v="3"/>
    <x v="3"/>
    <m/>
    <x v="4"/>
    <x v="4"/>
    <m/>
    <x v="186"/>
    <x v="186"/>
    <m/>
    <x v="1301"/>
    <x v="161"/>
    <m/>
    <x v="1243"/>
    <x v="1619"/>
    <m/>
    <x v="3"/>
    <x v="3"/>
    <m/>
    <n v="-24.356892999999999"/>
    <n v="46.576011000000001"/>
    <m/>
    <m/>
  </r>
  <r>
    <s v="603090007SMP"/>
    <x v="5"/>
    <x v="5"/>
    <m/>
    <x v="3"/>
    <x v="3"/>
    <m/>
    <x v="4"/>
    <x v="4"/>
    <m/>
    <x v="186"/>
    <x v="186"/>
    <m/>
    <x v="1301"/>
    <x v="161"/>
    <m/>
    <x v="1516"/>
    <x v="1620"/>
    <m/>
    <x v="3"/>
    <x v="3"/>
    <m/>
    <n v="-24.292041000000001"/>
    <n v="46.57385"/>
    <m/>
    <m/>
  </r>
  <r>
    <s v="603090018SMP"/>
    <x v="5"/>
    <x v="5"/>
    <m/>
    <x v="3"/>
    <x v="3"/>
    <m/>
    <x v="4"/>
    <x v="4"/>
    <m/>
    <x v="186"/>
    <x v="186"/>
    <m/>
    <x v="1301"/>
    <x v="161"/>
    <m/>
    <x v="62"/>
    <x v="1621"/>
    <m/>
    <x v="3"/>
    <x v="3"/>
    <m/>
    <n v="-24.291938999999999"/>
    <n v="46.604961000000003"/>
    <m/>
    <m/>
  </r>
  <r>
    <s v="603050008SMP"/>
    <x v="5"/>
    <x v="5"/>
    <m/>
    <x v="3"/>
    <x v="3"/>
    <m/>
    <x v="4"/>
    <x v="4"/>
    <m/>
    <x v="142"/>
    <x v="142"/>
    <m/>
    <x v="1301"/>
    <x v="161"/>
    <m/>
    <x v="1517"/>
    <x v="1622"/>
    <m/>
    <x v="3"/>
    <x v="3"/>
    <m/>
    <n v="-24.279589999999999"/>
    <n v="46.607508000000003"/>
    <m/>
    <m/>
  </r>
  <r>
    <s v="603140007SMP"/>
    <x v="5"/>
    <x v="5"/>
    <m/>
    <x v="3"/>
    <x v="3"/>
    <m/>
    <x v="4"/>
    <x v="4"/>
    <m/>
    <x v="22"/>
    <x v="22"/>
    <m/>
    <x v="1301"/>
    <x v="161"/>
    <m/>
    <x v="801"/>
    <x v="1623"/>
    <m/>
    <x v="3"/>
    <x v="3"/>
    <m/>
    <n v="-24.138435999999999"/>
    <n v="45.983445000000003"/>
    <m/>
    <m/>
  </r>
  <r>
    <s v="603140014SMP"/>
    <x v="5"/>
    <x v="5"/>
    <m/>
    <x v="3"/>
    <x v="3"/>
    <m/>
    <x v="4"/>
    <x v="4"/>
    <m/>
    <x v="22"/>
    <x v="22"/>
    <m/>
    <x v="1301"/>
    <x v="161"/>
    <m/>
    <x v="142"/>
    <x v="1624"/>
    <m/>
    <x v="3"/>
    <x v="3"/>
    <m/>
    <n v="-24.122726"/>
    <n v="45.950201"/>
    <m/>
    <m/>
  </r>
  <r>
    <s v="603140018SMP"/>
    <x v="5"/>
    <x v="5"/>
    <m/>
    <x v="3"/>
    <x v="3"/>
    <m/>
    <x v="4"/>
    <x v="4"/>
    <m/>
    <x v="22"/>
    <x v="22"/>
    <m/>
    <x v="1301"/>
    <x v="161"/>
    <m/>
    <x v="1455"/>
    <x v="1625"/>
    <m/>
    <x v="3"/>
    <x v="3"/>
    <m/>
    <n v="-24.073792999999998"/>
    <n v="46.074885000000002"/>
    <m/>
    <m/>
  </r>
  <r>
    <s v="603120001SMP"/>
    <x v="5"/>
    <x v="5"/>
    <m/>
    <x v="3"/>
    <x v="3"/>
    <m/>
    <x v="4"/>
    <x v="4"/>
    <m/>
    <x v="8"/>
    <x v="8"/>
    <m/>
    <x v="1301"/>
    <x v="161"/>
    <m/>
    <x v="1518"/>
    <x v="1626"/>
    <m/>
    <x v="3"/>
    <x v="3"/>
    <m/>
    <n v="-25.155750000000001"/>
    <n v="46.388599999999997"/>
    <m/>
    <m/>
  </r>
  <r>
    <s v="603180005SMP"/>
    <x v="5"/>
    <x v="5"/>
    <m/>
    <x v="3"/>
    <x v="3"/>
    <m/>
    <x v="4"/>
    <x v="4"/>
    <m/>
    <x v="8"/>
    <x v="8"/>
    <m/>
    <x v="1301"/>
    <x v="161"/>
    <m/>
    <x v="1519"/>
    <x v="1627"/>
    <m/>
    <x v="3"/>
    <x v="3"/>
    <m/>
    <n v="-25.155750000000001"/>
    <n v="46.388599999999997"/>
    <m/>
    <m/>
  </r>
  <r>
    <s v="603180004SMP"/>
    <x v="5"/>
    <x v="5"/>
    <m/>
    <x v="3"/>
    <x v="3"/>
    <m/>
    <x v="4"/>
    <x v="4"/>
    <m/>
    <x v="8"/>
    <x v="8"/>
    <m/>
    <x v="1301"/>
    <x v="161"/>
    <m/>
    <x v="1520"/>
    <x v="1628"/>
    <m/>
    <x v="3"/>
    <x v="3"/>
    <m/>
    <n v="-25.155750000000001"/>
    <n v="46.388599999999997"/>
    <m/>
    <m/>
  </r>
  <r>
    <s v="603060037SMP"/>
    <x v="5"/>
    <x v="5"/>
    <m/>
    <x v="3"/>
    <x v="3"/>
    <m/>
    <x v="4"/>
    <x v="4"/>
    <m/>
    <x v="11"/>
    <x v="11"/>
    <m/>
    <x v="1301"/>
    <x v="161"/>
    <m/>
    <x v="1366"/>
    <x v="1629"/>
    <m/>
    <x v="3"/>
    <x v="3"/>
    <m/>
    <n v="-24.79158"/>
    <n v="46.132550000000002"/>
    <m/>
    <m/>
  </r>
  <r>
    <s v="603120005SMP"/>
    <x v="5"/>
    <x v="5"/>
    <m/>
    <x v="3"/>
    <x v="3"/>
    <m/>
    <x v="4"/>
    <x v="4"/>
    <m/>
    <x v="70"/>
    <x v="70"/>
    <m/>
    <x v="1301"/>
    <x v="161"/>
    <m/>
    <x v="1521"/>
    <x v="1630"/>
    <m/>
    <x v="3"/>
    <x v="3"/>
    <m/>
    <n v="-25.047519999999999"/>
    <n v="46.31915"/>
    <m/>
    <m/>
  </r>
  <r>
    <s v="603180006SMP"/>
    <x v="5"/>
    <x v="5"/>
    <m/>
    <x v="3"/>
    <x v="3"/>
    <m/>
    <x v="4"/>
    <x v="4"/>
    <m/>
    <x v="8"/>
    <x v="8"/>
    <m/>
    <x v="1301"/>
    <x v="161"/>
    <m/>
    <x v="1522"/>
    <x v="1631"/>
    <m/>
    <x v="3"/>
    <x v="3"/>
    <m/>
    <n v="-25.155750000000001"/>
    <n v="46.388599999999997"/>
    <m/>
    <m/>
  </r>
  <r>
    <s v="603180002SMP"/>
    <x v="5"/>
    <x v="5"/>
    <m/>
    <x v="3"/>
    <x v="3"/>
    <m/>
    <x v="4"/>
    <x v="4"/>
    <m/>
    <x v="8"/>
    <x v="8"/>
    <m/>
    <x v="1301"/>
    <x v="161"/>
    <m/>
    <x v="1523"/>
    <x v="1632"/>
    <m/>
    <x v="3"/>
    <x v="3"/>
    <m/>
    <n v="-25.155750000000001"/>
    <n v="46.388599999999997"/>
    <m/>
    <m/>
  </r>
  <r>
    <s v="603060021SMP"/>
    <x v="5"/>
    <x v="5"/>
    <m/>
    <x v="3"/>
    <x v="3"/>
    <m/>
    <x v="4"/>
    <x v="4"/>
    <m/>
    <x v="11"/>
    <x v="11"/>
    <m/>
    <x v="1301"/>
    <x v="161"/>
    <m/>
    <x v="1347"/>
    <x v="1633"/>
    <m/>
    <x v="3"/>
    <x v="3"/>
    <m/>
    <n v="-24.79158"/>
    <n v="46.132550000000002"/>
    <m/>
    <m/>
  </r>
  <r>
    <s v="603120003SMP"/>
    <x v="5"/>
    <x v="5"/>
    <m/>
    <x v="3"/>
    <x v="3"/>
    <m/>
    <x v="4"/>
    <x v="4"/>
    <m/>
    <x v="8"/>
    <x v="8"/>
    <m/>
    <x v="1301"/>
    <x v="161"/>
    <m/>
    <x v="54"/>
    <x v="1634"/>
    <m/>
    <x v="3"/>
    <x v="3"/>
    <m/>
    <n v="-25.155750000000001"/>
    <n v="46.388599999999997"/>
    <m/>
    <m/>
  </r>
  <r>
    <s v="603010034SMP"/>
    <x v="5"/>
    <x v="5"/>
    <m/>
    <x v="3"/>
    <x v="3"/>
    <m/>
    <x v="4"/>
    <x v="4"/>
    <m/>
    <x v="70"/>
    <x v="70"/>
    <m/>
    <x v="1301"/>
    <x v="161"/>
    <m/>
    <x v="1524"/>
    <x v="1635"/>
    <m/>
    <x v="3"/>
    <x v="3"/>
    <m/>
    <n v="-25.047519999999999"/>
    <n v="46.31915"/>
    <m/>
    <m/>
  </r>
  <r>
    <s v="603020002SMP"/>
    <x v="5"/>
    <x v="5"/>
    <m/>
    <x v="3"/>
    <x v="3"/>
    <m/>
    <x v="4"/>
    <x v="4"/>
    <m/>
    <x v="5"/>
    <x v="5"/>
    <m/>
    <x v="1301"/>
    <x v="161"/>
    <m/>
    <x v="44"/>
    <x v="1636"/>
    <m/>
    <x v="3"/>
    <x v="3"/>
    <m/>
    <n v="-24.980070000000001"/>
    <n v="46.338749999999997"/>
    <m/>
    <m/>
  </r>
  <r>
    <s v="603020022SMP"/>
    <x v="5"/>
    <x v="5"/>
    <m/>
    <x v="3"/>
    <x v="3"/>
    <m/>
    <x v="4"/>
    <x v="4"/>
    <m/>
    <x v="5"/>
    <x v="5"/>
    <m/>
    <x v="1301"/>
    <x v="161"/>
    <m/>
    <x v="1525"/>
    <x v="1637"/>
    <m/>
    <x v="3"/>
    <x v="3"/>
    <m/>
    <n v="-24.980070000000001"/>
    <n v="46.338749999999997"/>
    <m/>
    <m/>
  </r>
  <r>
    <s v="603160001SMP"/>
    <x v="5"/>
    <x v="5"/>
    <m/>
    <x v="3"/>
    <x v="3"/>
    <m/>
    <x v="4"/>
    <x v="4"/>
    <m/>
    <x v="211"/>
    <x v="211"/>
    <m/>
    <x v="1301"/>
    <x v="161"/>
    <m/>
    <x v="1526"/>
    <x v="1638"/>
    <m/>
    <x v="3"/>
    <x v="3"/>
    <m/>
    <n v="-24.22353"/>
    <n v="45.865000000000002"/>
    <m/>
    <m/>
  </r>
  <r>
    <s v="603060027SMP"/>
    <x v="5"/>
    <x v="5"/>
    <m/>
    <x v="3"/>
    <x v="3"/>
    <m/>
    <x v="4"/>
    <x v="4"/>
    <m/>
    <x v="11"/>
    <x v="11"/>
    <m/>
    <x v="1301"/>
    <x v="161"/>
    <m/>
    <x v="1527"/>
    <x v="1639"/>
    <m/>
    <x v="3"/>
    <x v="3"/>
    <m/>
    <n v="-24.79158"/>
    <n v="46.132550000000002"/>
    <m/>
    <m/>
  </r>
  <r>
    <s v="603130002SMP"/>
    <x v="5"/>
    <x v="5"/>
    <m/>
    <x v="3"/>
    <x v="3"/>
    <m/>
    <x v="4"/>
    <x v="4"/>
    <m/>
    <x v="214"/>
    <x v="214"/>
    <m/>
    <x v="1301"/>
    <x v="161"/>
    <m/>
    <x v="1528"/>
    <x v="1640"/>
    <m/>
    <x v="3"/>
    <x v="3"/>
    <m/>
    <n v="-24.65972"/>
    <n v="46.469880000000003"/>
    <m/>
    <m/>
  </r>
  <r>
    <s v="603130028SMP"/>
    <x v="5"/>
    <x v="5"/>
    <m/>
    <x v="3"/>
    <x v="3"/>
    <m/>
    <x v="4"/>
    <x v="4"/>
    <m/>
    <x v="214"/>
    <x v="214"/>
    <m/>
    <x v="1301"/>
    <x v="161"/>
    <m/>
    <x v="1529"/>
    <x v="1641"/>
    <m/>
    <x v="3"/>
    <x v="3"/>
    <m/>
    <n v="-24.65972"/>
    <n v="46.469880000000003"/>
    <m/>
    <m/>
  </r>
  <r>
    <s v="603020017SMP"/>
    <x v="5"/>
    <x v="5"/>
    <m/>
    <x v="3"/>
    <x v="3"/>
    <m/>
    <x v="4"/>
    <x v="4"/>
    <m/>
    <x v="5"/>
    <x v="5"/>
    <m/>
    <x v="1301"/>
    <x v="161"/>
    <m/>
    <x v="1530"/>
    <x v="1642"/>
    <m/>
    <x v="3"/>
    <x v="3"/>
    <m/>
    <n v="-24.980070000000001"/>
    <n v="46.338749999999997"/>
    <m/>
    <m/>
  </r>
  <r>
    <s v="603060030SMP"/>
    <x v="5"/>
    <x v="5"/>
    <m/>
    <x v="3"/>
    <x v="3"/>
    <m/>
    <x v="4"/>
    <x v="4"/>
    <m/>
    <x v="11"/>
    <x v="11"/>
    <m/>
    <x v="1301"/>
    <x v="161"/>
    <m/>
    <x v="742"/>
    <x v="1643"/>
    <m/>
    <x v="3"/>
    <x v="3"/>
    <m/>
    <n v="-24.79158"/>
    <n v="46.132550000000002"/>
    <m/>
    <m/>
  </r>
  <r>
    <s v="603020006SMP"/>
    <x v="5"/>
    <x v="5"/>
    <m/>
    <x v="3"/>
    <x v="3"/>
    <m/>
    <x v="4"/>
    <x v="4"/>
    <m/>
    <x v="5"/>
    <x v="5"/>
    <m/>
    <x v="1301"/>
    <x v="161"/>
    <m/>
    <x v="1531"/>
    <x v="1644"/>
    <m/>
    <x v="3"/>
    <x v="3"/>
    <m/>
    <n v="-24.980070000000001"/>
    <n v="46.338749999999997"/>
    <m/>
    <m/>
  </r>
  <r>
    <s v="603060007SMP"/>
    <x v="5"/>
    <x v="5"/>
    <m/>
    <x v="3"/>
    <x v="3"/>
    <m/>
    <x v="4"/>
    <x v="4"/>
    <m/>
    <x v="11"/>
    <x v="11"/>
    <m/>
    <x v="1301"/>
    <x v="161"/>
    <m/>
    <x v="1532"/>
    <x v="1645"/>
    <m/>
    <x v="3"/>
    <x v="3"/>
    <m/>
    <n v="-24.79158"/>
    <n v="46.132550000000002"/>
    <m/>
    <m/>
  </r>
  <r>
    <s v="603010012SMP"/>
    <x v="5"/>
    <x v="5"/>
    <m/>
    <x v="3"/>
    <x v="3"/>
    <m/>
    <x v="4"/>
    <x v="4"/>
    <m/>
    <x v="70"/>
    <x v="70"/>
    <m/>
    <x v="1301"/>
    <x v="161"/>
    <m/>
    <x v="1533"/>
    <x v="1646"/>
    <m/>
    <x v="3"/>
    <x v="3"/>
    <m/>
    <n v="-25.047519999999999"/>
    <n v="46.31915"/>
    <m/>
    <m/>
  </r>
  <r>
    <s v="603020007SMP"/>
    <x v="5"/>
    <x v="5"/>
    <m/>
    <x v="3"/>
    <x v="3"/>
    <m/>
    <x v="4"/>
    <x v="4"/>
    <m/>
    <x v="5"/>
    <x v="5"/>
    <m/>
    <x v="1301"/>
    <x v="161"/>
    <m/>
    <x v="761"/>
    <x v="1647"/>
    <m/>
    <x v="3"/>
    <x v="3"/>
    <m/>
    <n v="-24.980070000000001"/>
    <n v="46.338749999999997"/>
    <m/>
    <m/>
  </r>
  <r>
    <s v="603140011SMP"/>
    <x v="5"/>
    <x v="5"/>
    <m/>
    <x v="3"/>
    <x v="3"/>
    <m/>
    <x v="4"/>
    <x v="4"/>
    <m/>
    <x v="22"/>
    <x v="22"/>
    <m/>
    <x v="1301"/>
    <x v="161"/>
    <m/>
    <x v="1485"/>
    <x v="1648"/>
    <m/>
    <x v="3"/>
    <x v="3"/>
    <m/>
    <n v="-24.066669999999998"/>
    <n v="46.07443"/>
    <m/>
    <m/>
  </r>
  <r>
    <s v="603180003SMP"/>
    <x v="5"/>
    <x v="5"/>
    <m/>
    <x v="3"/>
    <x v="3"/>
    <m/>
    <x v="4"/>
    <x v="4"/>
    <m/>
    <x v="8"/>
    <x v="8"/>
    <m/>
    <x v="1301"/>
    <x v="161"/>
    <m/>
    <x v="1534"/>
    <x v="1649"/>
    <m/>
    <x v="3"/>
    <x v="3"/>
    <m/>
    <n v="-25.155750000000001"/>
    <n v="46.388599999999997"/>
    <m/>
    <m/>
  </r>
  <r>
    <s v="603110007SMP"/>
    <x v="5"/>
    <x v="5"/>
    <m/>
    <x v="3"/>
    <x v="3"/>
    <m/>
    <x v="4"/>
    <x v="4"/>
    <m/>
    <x v="17"/>
    <x v="17"/>
    <m/>
    <x v="1301"/>
    <x v="161"/>
    <m/>
    <x v="1535"/>
    <x v="1650"/>
    <m/>
    <x v="3"/>
    <x v="3"/>
    <m/>
    <n v="-25.142520000000001"/>
    <n v="46.319450000000003"/>
    <m/>
    <m/>
  </r>
  <r>
    <s v="603020011SMP"/>
    <x v="5"/>
    <x v="5"/>
    <m/>
    <x v="3"/>
    <x v="3"/>
    <m/>
    <x v="4"/>
    <x v="4"/>
    <m/>
    <x v="5"/>
    <x v="5"/>
    <m/>
    <x v="1301"/>
    <x v="161"/>
    <m/>
    <x v="36"/>
    <x v="1651"/>
    <m/>
    <x v="3"/>
    <x v="3"/>
    <m/>
    <n v="-24.980070000000001"/>
    <n v="46.338749999999997"/>
    <m/>
    <m/>
  </r>
  <r>
    <s v="603020012SMP"/>
    <x v="5"/>
    <x v="5"/>
    <m/>
    <x v="3"/>
    <x v="3"/>
    <m/>
    <x v="4"/>
    <x v="4"/>
    <m/>
    <x v="5"/>
    <x v="5"/>
    <m/>
    <x v="1301"/>
    <x v="161"/>
    <m/>
    <x v="38"/>
    <x v="1652"/>
    <m/>
    <x v="3"/>
    <x v="3"/>
    <m/>
    <n v="-24.980070000000001"/>
    <n v="46.338749999999997"/>
    <m/>
    <m/>
  </r>
  <r>
    <s v="603010016SMP"/>
    <x v="5"/>
    <x v="5"/>
    <m/>
    <x v="3"/>
    <x v="3"/>
    <m/>
    <x v="4"/>
    <x v="4"/>
    <m/>
    <x v="70"/>
    <x v="70"/>
    <m/>
    <x v="1301"/>
    <x v="161"/>
    <m/>
    <x v="1536"/>
    <x v="1653"/>
    <m/>
    <x v="3"/>
    <x v="3"/>
    <m/>
    <n v="-25.047519999999999"/>
    <n v="46.31915"/>
    <m/>
    <m/>
  </r>
  <r>
    <s v="603060028SMP"/>
    <x v="5"/>
    <x v="5"/>
    <m/>
    <x v="3"/>
    <x v="3"/>
    <m/>
    <x v="4"/>
    <x v="4"/>
    <m/>
    <x v="11"/>
    <x v="11"/>
    <m/>
    <x v="1301"/>
    <x v="161"/>
    <m/>
    <x v="1537"/>
    <x v="1654"/>
    <m/>
    <x v="3"/>
    <x v="3"/>
    <m/>
    <n v="-24.79158"/>
    <n v="46.132550000000002"/>
    <m/>
    <m/>
  </r>
  <r>
    <s v="603010017SMP"/>
    <x v="5"/>
    <x v="5"/>
    <m/>
    <x v="3"/>
    <x v="3"/>
    <m/>
    <x v="4"/>
    <x v="4"/>
    <m/>
    <x v="70"/>
    <x v="70"/>
    <m/>
    <x v="1301"/>
    <x v="161"/>
    <m/>
    <x v="1538"/>
    <x v="1655"/>
    <m/>
    <x v="3"/>
    <x v="3"/>
    <m/>
    <n v="-25.047519999999999"/>
    <n v="46.31915"/>
    <m/>
    <m/>
  </r>
  <r>
    <s v="603160003SMP"/>
    <x v="5"/>
    <x v="5"/>
    <m/>
    <x v="3"/>
    <x v="3"/>
    <m/>
    <x v="4"/>
    <x v="4"/>
    <m/>
    <x v="211"/>
    <x v="211"/>
    <m/>
    <x v="1301"/>
    <x v="161"/>
    <m/>
    <x v="1539"/>
    <x v="1656"/>
    <m/>
    <x v="3"/>
    <x v="3"/>
    <m/>
    <n v="-24.22353"/>
    <n v="45.865000000000002"/>
    <m/>
    <m/>
  </r>
  <r>
    <s v="603110010SMP"/>
    <x v="5"/>
    <x v="5"/>
    <m/>
    <x v="3"/>
    <x v="3"/>
    <m/>
    <x v="4"/>
    <x v="4"/>
    <m/>
    <x v="17"/>
    <x v="17"/>
    <m/>
    <x v="1301"/>
    <x v="161"/>
    <m/>
    <x v="1338"/>
    <x v="1657"/>
    <m/>
    <x v="3"/>
    <x v="3"/>
    <m/>
    <n v="-25.142520000000001"/>
    <n v="46.319450000000003"/>
    <m/>
    <m/>
  </r>
  <r>
    <s v="603120012SMP"/>
    <x v="5"/>
    <x v="5"/>
    <m/>
    <x v="3"/>
    <x v="3"/>
    <m/>
    <x v="4"/>
    <x v="4"/>
    <m/>
    <x v="8"/>
    <x v="8"/>
    <m/>
    <x v="1301"/>
    <x v="161"/>
    <m/>
    <x v="1540"/>
    <x v="1658"/>
    <m/>
    <x v="3"/>
    <x v="3"/>
    <m/>
    <n v="-25.155750000000001"/>
    <n v="46.388599999999997"/>
    <m/>
    <m/>
  </r>
  <r>
    <s v="603020013SMP"/>
    <x v="5"/>
    <x v="5"/>
    <m/>
    <x v="3"/>
    <x v="3"/>
    <m/>
    <x v="4"/>
    <x v="4"/>
    <m/>
    <x v="5"/>
    <x v="5"/>
    <m/>
    <x v="1301"/>
    <x v="161"/>
    <m/>
    <x v="1541"/>
    <x v="1659"/>
    <m/>
    <x v="3"/>
    <x v="3"/>
    <m/>
    <n v="-24.980070000000001"/>
    <n v="46.338749999999997"/>
    <m/>
    <m/>
  </r>
  <r>
    <s v="603020021SMP"/>
    <x v="5"/>
    <x v="5"/>
    <m/>
    <x v="3"/>
    <x v="3"/>
    <m/>
    <x v="4"/>
    <x v="4"/>
    <m/>
    <x v="5"/>
    <x v="5"/>
    <m/>
    <x v="1301"/>
    <x v="161"/>
    <m/>
    <x v="1542"/>
    <x v="1660"/>
    <m/>
    <x v="3"/>
    <x v="3"/>
    <m/>
    <n v="-24.980070000000001"/>
    <n v="46.338749999999997"/>
    <m/>
    <m/>
  </r>
  <r>
    <s v="603020014SMP"/>
    <x v="5"/>
    <x v="5"/>
    <m/>
    <x v="3"/>
    <x v="3"/>
    <m/>
    <x v="4"/>
    <x v="4"/>
    <m/>
    <x v="5"/>
    <x v="5"/>
    <m/>
    <x v="1301"/>
    <x v="161"/>
    <m/>
    <x v="1543"/>
    <x v="1661"/>
    <m/>
    <x v="3"/>
    <x v="3"/>
    <m/>
    <n v="-24.980070000000001"/>
    <n v="46.338749999999997"/>
    <m/>
    <m/>
  </r>
  <r>
    <s v="603010031SMP"/>
    <x v="5"/>
    <x v="5"/>
    <m/>
    <x v="3"/>
    <x v="3"/>
    <m/>
    <x v="4"/>
    <x v="4"/>
    <m/>
    <x v="70"/>
    <x v="70"/>
    <m/>
    <x v="1301"/>
    <x v="161"/>
    <m/>
    <x v="1544"/>
    <x v="1662"/>
    <m/>
    <x v="3"/>
    <x v="3"/>
    <m/>
    <n v="-25.047519999999999"/>
    <n v="46.31915"/>
    <m/>
    <m/>
  </r>
  <r>
    <s v="603010021SMP"/>
    <x v="5"/>
    <x v="5"/>
    <m/>
    <x v="3"/>
    <x v="3"/>
    <m/>
    <x v="4"/>
    <x v="4"/>
    <m/>
    <x v="70"/>
    <x v="70"/>
    <m/>
    <x v="1301"/>
    <x v="161"/>
    <m/>
    <x v="1545"/>
    <x v="1663"/>
    <m/>
    <x v="3"/>
    <x v="3"/>
    <m/>
    <n v="-25.047519999999999"/>
    <n v="46.31915"/>
    <m/>
    <m/>
  </r>
  <r>
    <s v="603010035SMP"/>
    <x v="5"/>
    <x v="5"/>
    <m/>
    <x v="3"/>
    <x v="3"/>
    <m/>
    <x v="4"/>
    <x v="4"/>
    <m/>
    <x v="70"/>
    <x v="70"/>
    <m/>
    <x v="1301"/>
    <x v="161"/>
    <m/>
    <x v="1546"/>
    <x v="1664"/>
    <m/>
    <x v="3"/>
    <x v="3"/>
    <m/>
    <n v="-25.047519999999999"/>
    <n v="46.31915"/>
    <m/>
    <m/>
  </r>
  <r>
    <s v="603010023SMP"/>
    <x v="5"/>
    <x v="5"/>
    <m/>
    <x v="3"/>
    <x v="3"/>
    <m/>
    <x v="4"/>
    <x v="4"/>
    <m/>
    <x v="70"/>
    <x v="70"/>
    <m/>
    <x v="1301"/>
    <x v="161"/>
    <m/>
    <x v="1547"/>
    <x v="1665"/>
    <m/>
    <x v="3"/>
    <x v="3"/>
    <m/>
    <n v="-25.047519999999999"/>
    <n v="46.31915"/>
    <m/>
    <m/>
  </r>
  <r>
    <s v="603160005SMP"/>
    <x v="5"/>
    <x v="5"/>
    <m/>
    <x v="3"/>
    <x v="3"/>
    <m/>
    <x v="4"/>
    <x v="4"/>
    <m/>
    <x v="211"/>
    <x v="211"/>
    <m/>
    <x v="1301"/>
    <x v="161"/>
    <m/>
    <x v="1390"/>
    <x v="1666"/>
    <m/>
    <x v="3"/>
    <x v="3"/>
    <m/>
    <n v="-24.22353"/>
    <n v="45.865000000000002"/>
    <m/>
    <m/>
  </r>
  <r>
    <s v="603020023SMP"/>
    <x v="5"/>
    <x v="5"/>
    <m/>
    <x v="3"/>
    <x v="3"/>
    <m/>
    <x v="4"/>
    <x v="4"/>
    <m/>
    <x v="5"/>
    <x v="5"/>
    <m/>
    <x v="1301"/>
    <x v="161"/>
    <m/>
    <x v="1548"/>
    <x v="1667"/>
    <m/>
    <x v="3"/>
    <x v="3"/>
    <m/>
    <n v="-24.980070000000001"/>
    <n v="46.338749999999997"/>
    <m/>
    <m/>
  </r>
  <r>
    <s v="603030015SMP"/>
    <x v="5"/>
    <x v="5"/>
    <m/>
    <x v="3"/>
    <x v="3"/>
    <m/>
    <x v="4"/>
    <x v="4"/>
    <m/>
    <x v="25"/>
    <x v="25"/>
    <m/>
    <x v="1301"/>
    <x v="161"/>
    <m/>
    <x v="1509"/>
    <x v="1668"/>
    <m/>
    <x v="3"/>
    <x v="3"/>
    <m/>
    <n v="-24.504529999999999"/>
    <n v="46.051020000000001"/>
    <m/>
    <m/>
  </r>
  <r>
    <s v="604020007SMP"/>
    <x v="5"/>
    <x v="5"/>
    <m/>
    <x v="2"/>
    <x v="2"/>
    <m/>
    <x v="6"/>
    <x v="6"/>
    <m/>
    <x v="69"/>
    <x v="69"/>
    <m/>
    <x v="1301"/>
    <x v="161"/>
    <m/>
    <x v="1549"/>
    <x v="1669"/>
    <m/>
    <x v="3"/>
    <x v="3"/>
    <m/>
    <n v="-25.386365000000001"/>
    <n v="45.828319999999998"/>
    <m/>
    <m/>
  </r>
  <r>
    <s v="604020004SMP"/>
    <x v="5"/>
    <x v="5"/>
    <m/>
    <x v="2"/>
    <x v="2"/>
    <m/>
    <x v="6"/>
    <x v="6"/>
    <m/>
    <x v="69"/>
    <x v="69"/>
    <m/>
    <x v="1301"/>
    <x v="161"/>
    <m/>
    <x v="1550"/>
    <x v="1670"/>
    <m/>
    <x v="3"/>
    <x v="3"/>
    <m/>
    <n v="-25.377637"/>
    <n v="45.799914000000001"/>
    <m/>
    <m/>
  </r>
  <r>
    <s v="604020002SMP"/>
    <x v="5"/>
    <x v="5"/>
    <m/>
    <x v="2"/>
    <x v="2"/>
    <m/>
    <x v="6"/>
    <x v="6"/>
    <m/>
    <x v="69"/>
    <x v="69"/>
    <m/>
    <x v="1301"/>
    <x v="161"/>
    <m/>
    <x v="1551"/>
    <x v="1671"/>
    <m/>
    <x v="3"/>
    <x v="3"/>
    <m/>
    <n v="-25.359726999999999"/>
    <n v="45.849122000000001"/>
    <m/>
    <m/>
  </r>
  <r>
    <s v="604020010SMP"/>
    <x v="5"/>
    <x v="5"/>
    <m/>
    <x v="2"/>
    <x v="2"/>
    <m/>
    <x v="6"/>
    <x v="6"/>
    <m/>
    <x v="69"/>
    <x v="69"/>
    <m/>
    <x v="1301"/>
    <x v="161"/>
    <m/>
    <x v="821"/>
    <x v="1672"/>
    <m/>
    <x v="3"/>
    <x v="3"/>
    <m/>
    <n v="-25.344688000000001"/>
    <n v="45.861362"/>
    <m/>
    <m/>
  </r>
  <r>
    <s v="604020003SMP"/>
    <x v="5"/>
    <x v="5"/>
    <m/>
    <x v="2"/>
    <x v="2"/>
    <m/>
    <x v="6"/>
    <x v="6"/>
    <m/>
    <x v="69"/>
    <x v="69"/>
    <m/>
    <x v="1301"/>
    <x v="161"/>
    <m/>
    <x v="1552"/>
    <x v="1673"/>
    <m/>
    <x v="3"/>
    <x v="3"/>
    <m/>
    <n v="-25.326467000000001"/>
    <n v="45.896438000000003"/>
    <m/>
    <m/>
  </r>
  <r>
    <s v="604020001SMP"/>
    <x v="5"/>
    <x v="5"/>
    <m/>
    <x v="2"/>
    <x v="2"/>
    <m/>
    <x v="6"/>
    <x v="6"/>
    <m/>
    <x v="69"/>
    <x v="69"/>
    <m/>
    <x v="1301"/>
    <x v="161"/>
    <m/>
    <x v="375"/>
    <x v="1674"/>
    <m/>
    <x v="3"/>
    <x v="3"/>
    <m/>
    <n v="-25.317827000000001"/>
    <n v="45.895437000000001"/>
    <m/>
    <m/>
  </r>
  <r>
    <s v="604050012SMP"/>
    <x v="5"/>
    <x v="5"/>
    <m/>
    <x v="2"/>
    <x v="2"/>
    <m/>
    <x v="6"/>
    <x v="6"/>
    <m/>
    <x v="79"/>
    <x v="79"/>
    <m/>
    <x v="1301"/>
    <x v="161"/>
    <m/>
    <x v="415"/>
    <x v="1675"/>
    <m/>
    <x v="3"/>
    <x v="3"/>
    <m/>
    <n v="-25.314821999999999"/>
    <n v="45.844192999999997"/>
    <m/>
    <m/>
  </r>
  <r>
    <s v="604050037SMP"/>
    <x v="5"/>
    <x v="5"/>
    <m/>
    <x v="2"/>
    <x v="2"/>
    <m/>
    <x v="6"/>
    <x v="6"/>
    <m/>
    <x v="79"/>
    <x v="79"/>
    <m/>
    <x v="1301"/>
    <x v="161"/>
    <m/>
    <x v="1553"/>
    <x v="1676"/>
    <m/>
    <x v="3"/>
    <x v="3"/>
    <m/>
    <n v="-25.310479000000001"/>
    <n v="45.858111000000001"/>
    <m/>
    <m/>
  </r>
  <r>
    <s v="604020009SMP"/>
    <x v="5"/>
    <x v="5"/>
    <m/>
    <x v="2"/>
    <x v="2"/>
    <m/>
    <x v="6"/>
    <x v="6"/>
    <m/>
    <x v="69"/>
    <x v="69"/>
    <m/>
    <x v="1301"/>
    <x v="161"/>
    <m/>
    <x v="1554"/>
    <x v="1677"/>
    <m/>
    <x v="3"/>
    <x v="3"/>
    <m/>
    <n v="-25.304155999999999"/>
    <n v="45.919991000000003"/>
    <m/>
    <m/>
  </r>
  <r>
    <s v="604110001SMP"/>
    <x v="5"/>
    <x v="5"/>
    <m/>
    <x v="2"/>
    <x v="2"/>
    <m/>
    <x v="6"/>
    <x v="6"/>
    <m/>
    <x v="141"/>
    <x v="141"/>
    <m/>
    <x v="1301"/>
    <x v="161"/>
    <m/>
    <x v="1555"/>
    <x v="1678"/>
    <m/>
    <x v="3"/>
    <x v="3"/>
    <m/>
    <n v="-25.295506"/>
    <n v="45.930869000000001"/>
    <m/>
    <m/>
  </r>
  <r>
    <s v="604050002SMP"/>
    <x v="5"/>
    <x v="5"/>
    <m/>
    <x v="2"/>
    <x v="2"/>
    <m/>
    <x v="6"/>
    <x v="6"/>
    <m/>
    <x v="79"/>
    <x v="79"/>
    <m/>
    <x v="1301"/>
    <x v="161"/>
    <m/>
    <x v="1556"/>
    <x v="1679"/>
    <m/>
    <x v="3"/>
    <x v="3"/>
    <m/>
    <n v="-25.292966"/>
    <n v="45.853167999999997"/>
    <m/>
    <m/>
  </r>
  <r>
    <s v="604110005SMP"/>
    <x v="5"/>
    <x v="5"/>
    <m/>
    <x v="2"/>
    <x v="2"/>
    <m/>
    <x v="6"/>
    <x v="6"/>
    <m/>
    <x v="141"/>
    <x v="141"/>
    <m/>
    <x v="1301"/>
    <x v="161"/>
    <m/>
    <x v="956"/>
    <x v="1680"/>
    <m/>
    <x v="3"/>
    <x v="3"/>
    <m/>
    <n v="-25.286169999999998"/>
    <n v="45.946564000000002"/>
    <m/>
    <m/>
  </r>
  <r>
    <s v="604050007SMP"/>
    <x v="5"/>
    <x v="5"/>
    <m/>
    <x v="2"/>
    <x v="2"/>
    <m/>
    <x v="6"/>
    <x v="6"/>
    <m/>
    <x v="79"/>
    <x v="79"/>
    <m/>
    <x v="1301"/>
    <x v="161"/>
    <m/>
    <x v="1557"/>
    <x v="1681"/>
    <m/>
    <x v="3"/>
    <x v="3"/>
    <m/>
    <n v="-25.284141000000002"/>
    <n v="45.867728"/>
    <m/>
    <m/>
  </r>
  <r>
    <s v="604050017SMP"/>
    <x v="5"/>
    <x v="5"/>
    <m/>
    <x v="2"/>
    <x v="2"/>
    <m/>
    <x v="6"/>
    <x v="6"/>
    <m/>
    <x v="79"/>
    <x v="79"/>
    <m/>
    <x v="1301"/>
    <x v="161"/>
    <m/>
    <x v="1558"/>
    <x v="1682"/>
    <m/>
    <x v="3"/>
    <x v="3"/>
    <m/>
    <n v="-25.279788"/>
    <n v="45.908515000000001"/>
    <m/>
    <m/>
  </r>
  <r>
    <s v="604050010SMP"/>
    <x v="5"/>
    <x v="5"/>
    <m/>
    <x v="2"/>
    <x v="2"/>
    <m/>
    <x v="6"/>
    <x v="6"/>
    <m/>
    <x v="79"/>
    <x v="79"/>
    <m/>
    <x v="1301"/>
    <x v="161"/>
    <m/>
    <x v="1559"/>
    <x v="1683"/>
    <m/>
    <x v="3"/>
    <x v="3"/>
    <m/>
    <n v="-25.278283999999999"/>
    <n v="45.876595999999999"/>
    <m/>
    <m/>
  </r>
  <r>
    <s v="604020006SMP"/>
    <x v="5"/>
    <x v="5"/>
    <m/>
    <x v="2"/>
    <x v="2"/>
    <m/>
    <x v="6"/>
    <x v="6"/>
    <m/>
    <x v="69"/>
    <x v="69"/>
    <m/>
    <x v="1301"/>
    <x v="161"/>
    <m/>
    <x v="1560"/>
    <x v="1684"/>
    <m/>
    <x v="3"/>
    <x v="3"/>
    <m/>
    <n v="-25.278144000000001"/>
    <n v="45.898381000000001"/>
    <m/>
    <m/>
  </r>
  <r>
    <s v="604110011SMP"/>
    <x v="5"/>
    <x v="5"/>
    <m/>
    <x v="2"/>
    <x v="2"/>
    <m/>
    <x v="6"/>
    <x v="6"/>
    <m/>
    <x v="141"/>
    <x v="141"/>
    <m/>
    <x v="1301"/>
    <x v="161"/>
    <m/>
    <x v="1561"/>
    <x v="1685"/>
    <m/>
    <x v="3"/>
    <x v="3"/>
    <m/>
    <n v="-25.276648000000002"/>
    <n v="45.943041000000001"/>
    <m/>
    <m/>
  </r>
  <r>
    <s v="604110002SMP"/>
    <x v="5"/>
    <x v="5"/>
    <m/>
    <x v="2"/>
    <x v="2"/>
    <m/>
    <x v="6"/>
    <x v="6"/>
    <m/>
    <x v="141"/>
    <x v="141"/>
    <m/>
    <x v="1301"/>
    <x v="161"/>
    <m/>
    <x v="1562"/>
    <x v="1686"/>
    <m/>
    <x v="3"/>
    <x v="3"/>
    <m/>
    <n v="-25.275926999999999"/>
    <n v="45.984715000000001"/>
    <m/>
    <m/>
  </r>
  <r>
    <s v="604110007SMP"/>
    <x v="5"/>
    <x v="5"/>
    <m/>
    <x v="2"/>
    <x v="2"/>
    <m/>
    <x v="6"/>
    <x v="6"/>
    <m/>
    <x v="141"/>
    <x v="141"/>
    <m/>
    <x v="1301"/>
    <x v="161"/>
    <m/>
    <x v="1563"/>
    <x v="1687"/>
    <m/>
    <x v="3"/>
    <x v="3"/>
    <m/>
    <n v="-25.272770999999999"/>
    <n v="45.9617"/>
    <m/>
    <m/>
  </r>
  <r>
    <s v="604050015SMP"/>
    <x v="5"/>
    <x v="5"/>
    <m/>
    <x v="2"/>
    <x v="2"/>
    <m/>
    <x v="6"/>
    <x v="6"/>
    <m/>
    <x v="79"/>
    <x v="79"/>
    <m/>
    <x v="1301"/>
    <x v="161"/>
    <m/>
    <x v="1564"/>
    <x v="1688"/>
    <m/>
    <x v="3"/>
    <x v="3"/>
    <m/>
    <n v="-25.267785"/>
    <n v="45.876271000000003"/>
    <m/>
    <m/>
  </r>
  <r>
    <s v="604040001SMP"/>
    <x v="5"/>
    <x v="5"/>
    <m/>
    <x v="2"/>
    <x v="2"/>
    <m/>
    <x v="6"/>
    <x v="6"/>
    <m/>
    <x v="78"/>
    <x v="78"/>
    <m/>
    <x v="1301"/>
    <x v="161"/>
    <m/>
    <x v="1565"/>
    <x v="1689"/>
    <m/>
    <x v="3"/>
    <x v="3"/>
    <m/>
    <n v="-25.267246"/>
    <n v="45.919462000000003"/>
    <m/>
    <m/>
  </r>
  <r>
    <s v="604060031SMP"/>
    <x v="5"/>
    <x v="5"/>
    <m/>
    <x v="2"/>
    <x v="2"/>
    <m/>
    <x v="6"/>
    <x v="6"/>
    <m/>
    <x v="82"/>
    <x v="82"/>
    <m/>
    <x v="1301"/>
    <x v="161"/>
    <m/>
    <x v="1566"/>
    <x v="1690"/>
    <m/>
    <x v="3"/>
    <x v="3"/>
    <m/>
    <n v="-25.263591000000002"/>
    <n v="46.061419000000001"/>
    <m/>
    <m/>
  </r>
  <r>
    <s v="604110003SMP"/>
    <x v="5"/>
    <x v="5"/>
    <m/>
    <x v="2"/>
    <x v="2"/>
    <m/>
    <x v="6"/>
    <x v="6"/>
    <m/>
    <x v="141"/>
    <x v="141"/>
    <m/>
    <x v="1301"/>
    <x v="161"/>
    <m/>
    <x v="1177"/>
    <x v="1691"/>
    <m/>
    <x v="3"/>
    <x v="3"/>
    <m/>
    <n v="-25.257237"/>
    <n v="45.966428999999998"/>
    <m/>
    <m/>
  </r>
  <r>
    <s v="604110008SMP"/>
    <x v="5"/>
    <x v="5"/>
    <m/>
    <x v="2"/>
    <x v="2"/>
    <m/>
    <x v="6"/>
    <x v="6"/>
    <m/>
    <x v="141"/>
    <x v="141"/>
    <m/>
    <x v="1301"/>
    <x v="161"/>
    <m/>
    <x v="1567"/>
    <x v="1692"/>
    <m/>
    <x v="3"/>
    <x v="3"/>
    <m/>
    <n v="-25.253968"/>
    <n v="45.978695999999999"/>
    <m/>
    <m/>
  </r>
  <r>
    <s v="604040007SMP"/>
    <x v="5"/>
    <x v="5"/>
    <m/>
    <x v="2"/>
    <x v="2"/>
    <m/>
    <x v="6"/>
    <x v="6"/>
    <m/>
    <x v="78"/>
    <x v="78"/>
    <m/>
    <x v="1301"/>
    <x v="161"/>
    <m/>
    <x v="423"/>
    <x v="1693"/>
    <m/>
    <x v="3"/>
    <x v="3"/>
    <m/>
    <n v="-25.253032999999999"/>
    <n v="45.933542000000003"/>
    <m/>
    <m/>
  </r>
  <r>
    <s v="604050013SMP"/>
    <x v="5"/>
    <x v="5"/>
    <m/>
    <x v="2"/>
    <x v="2"/>
    <m/>
    <x v="6"/>
    <x v="6"/>
    <m/>
    <x v="79"/>
    <x v="79"/>
    <m/>
    <x v="1301"/>
    <x v="161"/>
    <m/>
    <x v="1568"/>
    <x v="1694"/>
    <m/>
    <x v="3"/>
    <x v="3"/>
    <m/>
    <n v="-25.250420999999999"/>
    <n v="45.835234999999997"/>
    <m/>
    <m/>
  </r>
  <r>
    <s v="604050011SMP"/>
    <x v="5"/>
    <x v="5"/>
    <m/>
    <x v="2"/>
    <x v="2"/>
    <m/>
    <x v="6"/>
    <x v="6"/>
    <m/>
    <x v="79"/>
    <x v="79"/>
    <m/>
    <x v="1301"/>
    <x v="161"/>
    <m/>
    <x v="1569"/>
    <x v="1695"/>
    <m/>
    <x v="3"/>
    <x v="3"/>
    <m/>
    <n v="-25.249343"/>
    <n v="45.816138000000002"/>
    <m/>
    <m/>
  </r>
  <r>
    <s v="604190005SMP"/>
    <x v="5"/>
    <x v="5"/>
    <m/>
    <x v="2"/>
    <x v="2"/>
    <m/>
    <x v="6"/>
    <x v="6"/>
    <m/>
    <x v="234"/>
    <x v="233"/>
    <m/>
    <x v="1301"/>
    <x v="161"/>
    <m/>
    <x v="614"/>
    <x v="1696"/>
    <m/>
    <x v="3"/>
    <x v="3"/>
    <m/>
    <n v="-25.246977999999999"/>
    <n v="45.994256"/>
    <m/>
    <m/>
  </r>
  <r>
    <s v="604040009SMP"/>
    <x v="5"/>
    <x v="5"/>
    <m/>
    <x v="2"/>
    <x v="2"/>
    <m/>
    <x v="6"/>
    <x v="6"/>
    <m/>
    <x v="78"/>
    <x v="78"/>
    <m/>
    <x v="1301"/>
    <x v="161"/>
    <m/>
    <x v="494"/>
    <x v="1697"/>
    <m/>
    <x v="3"/>
    <x v="3"/>
    <m/>
    <n v="-25.243884000000001"/>
    <n v="45.959048000000003"/>
    <m/>
    <m/>
  </r>
  <r>
    <s v="604170022SMP"/>
    <x v="5"/>
    <x v="5"/>
    <m/>
    <x v="2"/>
    <x v="2"/>
    <m/>
    <x v="6"/>
    <x v="6"/>
    <m/>
    <x v="18"/>
    <x v="18"/>
    <m/>
    <x v="1301"/>
    <x v="161"/>
    <m/>
    <x v="185"/>
    <x v="1698"/>
    <m/>
    <x v="3"/>
    <x v="3"/>
    <m/>
    <n v="-25.241541999999999"/>
    <n v="45.776443999999998"/>
    <m/>
    <m/>
  </r>
  <r>
    <s v="604050005SMP"/>
    <x v="5"/>
    <x v="5"/>
    <m/>
    <x v="2"/>
    <x v="2"/>
    <m/>
    <x v="6"/>
    <x v="6"/>
    <m/>
    <x v="79"/>
    <x v="79"/>
    <m/>
    <x v="1301"/>
    <x v="161"/>
    <m/>
    <x v="1570"/>
    <x v="1699"/>
    <m/>
    <x v="3"/>
    <x v="3"/>
    <m/>
    <n v="-25.232696000000001"/>
    <n v="45.800721000000003"/>
    <m/>
    <m/>
  </r>
  <r>
    <s v="604170007SMP"/>
    <x v="5"/>
    <x v="5"/>
    <m/>
    <x v="2"/>
    <x v="2"/>
    <m/>
    <x v="6"/>
    <x v="6"/>
    <m/>
    <x v="18"/>
    <x v="18"/>
    <m/>
    <x v="1301"/>
    <x v="161"/>
    <m/>
    <x v="1571"/>
    <x v="1700"/>
    <m/>
    <x v="3"/>
    <x v="3"/>
    <m/>
    <n v="-25.230350000000001"/>
    <n v="45.748252999999998"/>
    <m/>
    <m/>
  </r>
  <r>
    <s v="604050014SMP"/>
    <x v="5"/>
    <x v="5"/>
    <m/>
    <x v="2"/>
    <x v="2"/>
    <m/>
    <x v="6"/>
    <x v="6"/>
    <m/>
    <x v="79"/>
    <x v="79"/>
    <m/>
    <x v="1301"/>
    <x v="161"/>
    <m/>
    <x v="1572"/>
    <x v="1701"/>
    <m/>
    <x v="3"/>
    <x v="3"/>
    <m/>
    <n v="-25.229178999999998"/>
    <n v="45.866658999999999"/>
    <m/>
    <m/>
  </r>
  <r>
    <s v="604060019SMP"/>
    <x v="5"/>
    <x v="5"/>
    <m/>
    <x v="2"/>
    <x v="2"/>
    <m/>
    <x v="6"/>
    <x v="6"/>
    <m/>
    <x v="82"/>
    <x v="82"/>
    <m/>
    <x v="1301"/>
    <x v="161"/>
    <m/>
    <x v="489"/>
    <x v="1702"/>
    <m/>
    <x v="3"/>
    <x v="3"/>
    <m/>
    <n v="-25.229073"/>
    <n v="46.11204"/>
    <m/>
    <m/>
  </r>
  <r>
    <s v="604040008SMP"/>
    <x v="5"/>
    <x v="5"/>
    <m/>
    <x v="2"/>
    <x v="2"/>
    <m/>
    <x v="6"/>
    <x v="6"/>
    <m/>
    <x v="78"/>
    <x v="78"/>
    <m/>
    <x v="1301"/>
    <x v="161"/>
    <m/>
    <x v="1573"/>
    <x v="1703"/>
    <m/>
    <x v="3"/>
    <x v="3"/>
    <m/>
    <n v="-25.228225999999999"/>
    <n v="45.964308000000003"/>
    <m/>
    <m/>
  </r>
  <r>
    <s v="604040002SMP"/>
    <x v="5"/>
    <x v="5"/>
    <m/>
    <x v="2"/>
    <x v="2"/>
    <m/>
    <x v="6"/>
    <x v="6"/>
    <m/>
    <x v="78"/>
    <x v="78"/>
    <m/>
    <x v="1301"/>
    <x v="161"/>
    <m/>
    <x v="729"/>
    <x v="1704"/>
    <m/>
    <x v="3"/>
    <x v="3"/>
    <m/>
    <n v="-25.226794000000002"/>
    <n v="45.928567000000001"/>
    <m/>
    <m/>
  </r>
  <r>
    <s v="604060032SMP"/>
    <x v="5"/>
    <x v="5"/>
    <m/>
    <x v="2"/>
    <x v="2"/>
    <m/>
    <x v="6"/>
    <x v="6"/>
    <m/>
    <x v="82"/>
    <x v="82"/>
    <m/>
    <x v="1301"/>
    <x v="161"/>
    <m/>
    <x v="1574"/>
    <x v="1705"/>
    <m/>
    <x v="3"/>
    <x v="3"/>
    <m/>
    <n v="-25.220096999999999"/>
    <n v="46.103476999999998"/>
    <m/>
    <m/>
  </r>
  <r>
    <s v="604060010SMP"/>
    <x v="5"/>
    <x v="5"/>
    <m/>
    <x v="2"/>
    <x v="2"/>
    <m/>
    <x v="6"/>
    <x v="6"/>
    <m/>
    <x v="82"/>
    <x v="82"/>
    <m/>
    <x v="1301"/>
    <x v="161"/>
    <m/>
    <x v="1575"/>
    <x v="1706"/>
    <m/>
    <x v="3"/>
    <x v="3"/>
    <m/>
    <n v="-25.217752000000001"/>
    <n v="46.063724999999998"/>
    <m/>
    <m/>
  </r>
  <r>
    <s v="604050003SMP"/>
    <x v="5"/>
    <x v="5"/>
    <m/>
    <x v="2"/>
    <x v="2"/>
    <m/>
    <x v="6"/>
    <x v="6"/>
    <m/>
    <x v="79"/>
    <x v="79"/>
    <m/>
    <x v="1301"/>
    <x v="161"/>
    <m/>
    <x v="1576"/>
    <x v="1707"/>
    <m/>
    <x v="3"/>
    <x v="3"/>
    <m/>
    <n v="-25.216138999999998"/>
    <n v="45.822955999999998"/>
    <m/>
    <m/>
  </r>
  <r>
    <s v="604060025SMP"/>
    <x v="5"/>
    <x v="5"/>
    <m/>
    <x v="2"/>
    <x v="2"/>
    <m/>
    <x v="6"/>
    <x v="6"/>
    <m/>
    <x v="82"/>
    <x v="82"/>
    <m/>
    <x v="1301"/>
    <x v="161"/>
    <m/>
    <x v="1577"/>
    <x v="1708"/>
    <m/>
    <x v="3"/>
    <x v="3"/>
    <m/>
    <n v="-25.212734000000001"/>
    <n v="46.093606999999999"/>
    <m/>
    <m/>
  </r>
  <r>
    <s v="604010010SMP"/>
    <x v="5"/>
    <x v="5"/>
    <m/>
    <x v="2"/>
    <x v="2"/>
    <m/>
    <x v="6"/>
    <x v="6"/>
    <m/>
    <x v="28"/>
    <x v="28"/>
    <m/>
    <x v="1301"/>
    <x v="161"/>
    <m/>
    <x v="1578"/>
    <x v="1709"/>
    <m/>
    <x v="3"/>
    <x v="3"/>
    <m/>
    <n v="-25.212403999999999"/>
    <n v="46.002355999999999"/>
    <m/>
    <m/>
  </r>
  <r>
    <s v="604010005SMP"/>
    <x v="5"/>
    <x v="5"/>
    <m/>
    <x v="2"/>
    <x v="2"/>
    <m/>
    <x v="6"/>
    <x v="6"/>
    <m/>
    <x v="28"/>
    <x v="28"/>
    <m/>
    <x v="1301"/>
    <x v="161"/>
    <m/>
    <x v="1579"/>
    <x v="1710"/>
    <m/>
    <x v="3"/>
    <x v="3"/>
    <m/>
    <n v="-25.210445"/>
    <n v="45.999955"/>
    <m/>
    <m/>
  </r>
  <r>
    <s v="604170024SMP"/>
    <x v="5"/>
    <x v="5"/>
    <m/>
    <x v="2"/>
    <x v="2"/>
    <m/>
    <x v="6"/>
    <x v="6"/>
    <m/>
    <x v="18"/>
    <x v="18"/>
    <m/>
    <x v="1301"/>
    <x v="161"/>
    <m/>
    <x v="182"/>
    <x v="1711"/>
    <m/>
    <x v="3"/>
    <x v="3"/>
    <m/>
    <n v="-25.209554000000001"/>
    <n v="45.761854"/>
    <m/>
    <m/>
  </r>
  <r>
    <s v="604190012SMP"/>
    <x v="5"/>
    <x v="5"/>
    <m/>
    <x v="2"/>
    <x v="2"/>
    <m/>
    <x v="6"/>
    <x v="6"/>
    <m/>
    <x v="234"/>
    <x v="233"/>
    <m/>
    <x v="1301"/>
    <x v="161"/>
    <m/>
    <x v="627"/>
    <x v="1712"/>
    <m/>
    <x v="3"/>
    <x v="3"/>
    <m/>
    <n v="-25.208361"/>
    <n v="46.039242000000002"/>
    <m/>
    <m/>
  </r>
  <r>
    <s v="604060021SMP"/>
    <x v="5"/>
    <x v="5"/>
    <m/>
    <x v="2"/>
    <x v="2"/>
    <m/>
    <x v="6"/>
    <x v="6"/>
    <m/>
    <x v="82"/>
    <x v="82"/>
    <m/>
    <x v="1301"/>
    <x v="161"/>
    <m/>
    <x v="475"/>
    <x v="1713"/>
    <m/>
    <x v="3"/>
    <x v="3"/>
    <m/>
    <n v="-25.203104"/>
    <n v="46.123770999999998"/>
    <m/>
    <m/>
  </r>
  <r>
    <s v="604010001SMP"/>
    <x v="5"/>
    <x v="5"/>
    <m/>
    <x v="2"/>
    <x v="2"/>
    <m/>
    <x v="6"/>
    <x v="6"/>
    <m/>
    <x v="28"/>
    <x v="28"/>
    <m/>
    <x v="1301"/>
    <x v="161"/>
    <m/>
    <x v="169"/>
    <x v="1714"/>
    <m/>
    <x v="3"/>
    <x v="3"/>
    <m/>
    <n v="-25.199914"/>
    <n v="45.980939999999997"/>
    <m/>
    <m/>
  </r>
  <r>
    <s v="604140009SMP"/>
    <x v="5"/>
    <x v="5"/>
    <m/>
    <x v="2"/>
    <x v="2"/>
    <m/>
    <x v="6"/>
    <x v="6"/>
    <m/>
    <x v="30"/>
    <x v="30"/>
    <m/>
    <x v="1301"/>
    <x v="161"/>
    <m/>
    <x v="1580"/>
    <x v="1715"/>
    <m/>
    <x v="3"/>
    <x v="3"/>
    <m/>
    <n v="-25.199736000000001"/>
    <n v="46.152831999999997"/>
    <m/>
    <m/>
  </r>
  <r>
    <s v="604030009SMP"/>
    <x v="5"/>
    <x v="5"/>
    <m/>
    <x v="2"/>
    <x v="2"/>
    <m/>
    <x v="6"/>
    <x v="6"/>
    <m/>
    <x v="73"/>
    <x v="73"/>
    <m/>
    <x v="1301"/>
    <x v="161"/>
    <m/>
    <x v="1581"/>
    <x v="1716"/>
    <m/>
    <x v="3"/>
    <x v="3"/>
    <m/>
    <n v="-25.199095"/>
    <n v="45.964860999999999"/>
    <m/>
    <m/>
  </r>
  <r>
    <s v="604140014SMP"/>
    <x v="5"/>
    <x v="5"/>
    <m/>
    <x v="2"/>
    <x v="2"/>
    <m/>
    <x v="6"/>
    <x v="6"/>
    <m/>
    <x v="30"/>
    <x v="30"/>
    <m/>
    <x v="1301"/>
    <x v="161"/>
    <m/>
    <x v="1193"/>
    <x v="1717"/>
    <m/>
    <x v="3"/>
    <x v="3"/>
    <m/>
    <n v="-25.198675999999999"/>
    <n v="46.192633000000001"/>
    <m/>
    <m/>
  </r>
  <r>
    <s v="604140002SMP"/>
    <x v="5"/>
    <x v="5"/>
    <m/>
    <x v="2"/>
    <x v="2"/>
    <m/>
    <x v="6"/>
    <x v="6"/>
    <m/>
    <x v="30"/>
    <x v="30"/>
    <m/>
    <x v="1301"/>
    <x v="161"/>
    <m/>
    <x v="1582"/>
    <x v="1718"/>
    <m/>
    <x v="3"/>
    <x v="3"/>
    <m/>
    <n v="-25.197505"/>
    <n v="46.217666999999999"/>
    <m/>
    <m/>
  </r>
  <r>
    <s v="604170019SMP"/>
    <x v="5"/>
    <x v="5"/>
    <m/>
    <x v="2"/>
    <x v="2"/>
    <m/>
    <x v="6"/>
    <x v="6"/>
    <m/>
    <x v="18"/>
    <x v="18"/>
    <m/>
    <x v="1301"/>
    <x v="161"/>
    <m/>
    <x v="186"/>
    <x v="1719"/>
    <m/>
    <x v="3"/>
    <x v="3"/>
    <m/>
    <n v="-25.193131000000001"/>
    <n v="45.809401999999999"/>
    <m/>
    <m/>
  </r>
  <r>
    <s v="604060009SMP"/>
    <x v="5"/>
    <x v="5"/>
    <m/>
    <x v="2"/>
    <x v="2"/>
    <m/>
    <x v="6"/>
    <x v="6"/>
    <m/>
    <x v="82"/>
    <x v="82"/>
    <m/>
    <x v="1301"/>
    <x v="161"/>
    <m/>
    <x v="484"/>
    <x v="1720"/>
    <m/>
    <x v="3"/>
    <x v="3"/>
    <m/>
    <n v="-25.192080000000001"/>
    <n v="46.105226000000002"/>
    <m/>
    <m/>
  </r>
  <r>
    <s v="604010015SMP"/>
    <x v="5"/>
    <x v="5"/>
    <m/>
    <x v="2"/>
    <x v="2"/>
    <m/>
    <x v="6"/>
    <x v="6"/>
    <m/>
    <x v="28"/>
    <x v="28"/>
    <m/>
    <x v="1301"/>
    <x v="161"/>
    <m/>
    <x v="1583"/>
    <x v="1721"/>
    <m/>
    <x v="3"/>
    <x v="3"/>
    <m/>
    <n v="-25.191549999999999"/>
    <n v="46.006627999999999"/>
    <m/>
    <m/>
  </r>
  <r>
    <s v="604060002SMP"/>
    <x v="5"/>
    <x v="5"/>
    <m/>
    <x v="2"/>
    <x v="2"/>
    <m/>
    <x v="6"/>
    <x v="6"/>
    <m/>
    <x v="82"/>
    <x v="82"/>
    <m/>
    <x v="1301"/>
    <x v="161"/>
    <m/>
    <x v="468"/>
    <x v="1722"/>
    <m/>
    <x v="3"/>
    <x v="3"/>
    <m/>
    <n v="-25.191065999999999"/>
    <n v="46.134652000000003"/>
    <m/>
    <m/>
  </r>
  <r>
    <s v="604060023SMP"/>
    <x v="5"/>
    <x v="5"/>
    <m/>
    <x v="2"/>
    <x v="2"/>
    <m/>
    <x v="6"/>
    <x v="6"/>
    <m/>
    <x v="82"/>
    <x v="82"/>
    <m/>
    <x v="1301"/>
    <x v="161"/>
    <m/>
    <x v="476"/>
    <x v="1723"/>
    <m/>
    <x v="3"/>
    <x v="3"/>
    <m/>
    <n v="-25.190612000000002"/>
    <n v="46.101165999999999"/>
    <m/>
    <m/>
  </r>
  <r>
    <s v="604170014SMP"/>
    <x v="5"/>
    <x v="5"/>
    <m/>
    <x v="2"/>
    <x v="2"/>
    <m/>
    <x v="6"/>
    <x v="6"/>
    <m/>
    <x v="18"/>
    <x v="18"/>
    <m/>
    <x v="1301"/>
    <x v="161"/>
    <m/>
    <x v="1344"/>
    <x v="1724"/>
    <m/>
    <x v="3"/>
    <x v="3"/>
    <m/>
    <n v="-25.190058000000001"/>
    <n v="45.823368000000002"/>
    <m/>
    <m/>
  </r>
  <r>
    <s v="604170025SMP"/>
    <x v="5"/>
    <x v="5"/>
    <m/>
    <x v="2"/>
    <x v="2"/>
    <m/>
    <x v="6"/>
    <x v="6"/>
    <m/>
    <x v="18"/>
    <x v="18"/>
    <m/>
    <x v="1301"/>
    <x v="161"/>
    <m/>
    <x v="1584"/>
    <x v="1725"/>
    <m/>
    <x v="3"/>
    <x v="3"/>
    <m/>
    <n v="-25.189478000000001"/>
    <n v="45.778595000000003"/>
    <m/>
    <m/>
  </r>
  <r>
    <s v="604060022SMP"/>
    <x v="5"/>
    <x v="5"/>
    <m/>
    <x v="2"/>
    <x v="2"/>
    <m/>
    <x v="6"/>
    <x v="6"/>
    <m/>
    <x v="82"/>
    <x v="82"/>
    <m/>
    <x v="1301"/>
    <x v="161"/>
    <m/>
    <x v="1585"/>
    <x v="1726"/>
    <m/>
    <x v="3"/>
    <x v="3"/>
    <m/>
    <n v="-25.189467"/>
    <n v="46.082738999999997"/>
    <m/>
    <m/>
  </r>
  <r>
    <s v="604060012SMP"/>
    <x v="5"/>
    <x v="5"/>
    <m/>
    <x v="2"/>
    <x v="2"/>
    <m/>
    <x v="6"/>
    <x v="6"/>
    <m/>
    <x v="82"/>
    <x v="82"/>
    <m/>
    <x v="1301"/>
    <x v="161"/>
    <m/>
    <x v="1586"/>
    <x v="1727"/>
    <m/>
    <x v="3"/>
    <x v="3"/>
    <m/>
    <n v="-25.186225"/>
    <n v="46.089849000000001"/>
    <m/>
    <m/>
  </r>
  <r>
    <s v="604060046SMP"/>
    <x v="5"/>
    <x v="5"/>
    <m/>
    <x v="2"/>
    <x v="2"/>
    <m/>
    <x v="6"/>
    <x v="6"/>
    <m/>
    <x v="82"/>
    <x v="82"/>
    <m/>
    <x v="1301"/>
    <x v="161"/>
    <m/>
    <x v="1587"/>
    <x v="1728"/>
    <m/>
    <x v="3"/>
    <x v="3"/>
    <m/>
    <n v="-25.185298"/>
    <n v="46.090074999999999"/>
    <m/>
    <m/>
  </r>
  <r>
    <s v="604150003SMP"/>
    <x v="5"/>
    <x v="5"/>
    <m/>
    <x v="2"/>
    <x v="2"/>
    <m/>
    <x v="6"/>
    <x v="6"/>
    <m/>
    <x v="183"/>
    <x v="183"/>
    <m/>
    <x v="1301"/>
    <x v="161"/>
    <m/>
    <x v="1588"/>
    <x v="1729"/>
    <m/>
    <x v="3"/>
    <x v="3"/>
    <m/>
    <n v="-25.185286000000001"/>
    <n v="46.166342999999998"/>
    <m/>
    <m/>
  </r>
  <r>
    <s v="604150012SMP"/>
    <x v="5"/>
    <x v="5"/>
    <m/>
    <x v="2"/>
    <x v="2"/>
    <m/>
    <x v="6"/>
    <x v="6"/>
    <m/>
    <x v="183"/>
    <x v="183"/>
    <m/>
    <x v="1301"/>
    <x v="161"/>
    <m/>
    <x v="1213"/>
    <x v="1730"/>
    <m/>
    <x v="3"/>
    <x v="3"/>
    <m/>
    <n v="-25.182769"/>
    <n v="46.200113000000002"/>
    <m/>
    <m/>
  </r>
  <r>
    <s v="604140019SMP"/>
    <x v="5"/>
    <x v="5"/>
    <m/>
    <x v="2"/>
    <x v="2"/>
    <m/>
    <x v="6"/>
    <x v="6"/>
    <m/>
    <x v="30"/>
    <x v="30"/>
    <m/>
    <x v="1301"/>
    <x v="161"/>
    <m/>
    <x v="1589"/>
    <x v="1731"/>
    <m/>
    <x v="3"/>
    <x v="3"/>
    <m/>
    <n v="-25.182663000000002"/>
    <n v="46.183776999999999"/>
    <m/>
    <m/>
  </r>
  <r>
    <s v="604170003SMP"/>
    <x v="5"/>
    <x v="5"/>
    <m/>
    <x v="2"/>
    <x v="2"/>
    <m/>
    <x v="6"/>
    <x v="6"/>
    <m/>
    <x v="18"/>
    <x v="18"/>
    <m/>
    <x v="1301"/>
    <x v="161"/>
    <m/>
    <x v="1345"/>
    <x v="1732"/>
    <m/>
    <x v="3"/>
    <x v="3"/>
    <m/>
    <n v="-25.182034999999999"/>
    <n v="45.771895000000001"/>
    <m/>
    <m/>
  </r>
  <r>
    <s v="604010009SMP"/>
    <x v="5"/>
    <x v="5"/>
    <m/>
    <x v="2"/>
    <x v="2"/>
    <m/>
    <x v="6"/>
    <x v="6"/>
    <m/>
    <x v="28"/>
    <x v="28"/>
    <m/>
    <x v="1301"/>
    <x v="161"/>
    <m/>
    <x v="1590"/>
    <x v="1733"/>
    <m/>
    <x v="3"/>
    <x v="3"/>
    <m/>
    <n v="-25.181934999999999"/>
    <n v="46.035806999999998"/>
    <m/>
    <m/>
  </r>
  <r>
    <s v="604170006SMP"/>
    <x v="5"/>
    <x v="5"/>
    <m/>
    <x v="2"/>
    <x v="2"/>
    <m/>
    <x v="6"/>
    <x v="6"/>
    <m/>
    <x v="18"/>
    <x v="18"/>
    <m/>
    <x v="1301"/>
    <x v="161"/>
    <m/>
    <x v="1591"/>
    <x v="1734"/>
    <m/>
    <x v="3"/>
    <x v="3"/>
    <m/>
    <n v="-25.179839000000001"/>
    <n v="45.751395000000002"/>
    <m/>
    <m/>
  </r>
  <r>
    <s v="604150010SMP"/>
    <x v="5"/>
    <x v="5"/>
    <m/>
    <x v="2"/>
    <x v="2"/>
    <m/>
    <x v="6"/>
    <x v="6"/>
    <m/>
    <x v="183"/>
    <x v="183"/>
    <m/>
    <x v="1301"/>
    <x v="161"/>
    <m/>
    <x v="1195"/>
    <x v="1735"/>
    <m/>
    <x v="3"/>
    <x v="3"/>
    <m/>
    <n v="-25.176857999999999"/>
    <n v="46.244321999999997"/>
    <m/>
    <m/>
  </r>
  <r>
    <s v="604060003SMP"/>
    <x v="5"/>
    <x v="5"/>
    <m/>
    <x v="2"/>
    <x v="2"/>
    <m/>
    <x v="6"/>
    <x v="6"/>
    <m/>
    <x v="82"/>
    <x v="82"/>
    <m/>
    <x v="1301"/>
    <x v="161"/>
    <m/>
    <x v="478"/>
    <x v="1736"/>
    <m/>
    <x v="3"/>
    <x v="3"/>
    <m/>
    <n v="-25.176328999999999"/>
    <n v="46.140324"/>
    <m/>
    <m/>
  </r>
  <r>
    <s v="604150006SMP"/>
    <x v="5"/>
    <x v="5"/>
    <m/>
    <x v="2"/>
    <x v="2"/>
    <m/>
    <x v="6"/>
    <x v="6"/>
    <m/>
    <x v="183"/>
    <x v="183"/>
    <m/>
    <x v="1301"/>
    <x v="161"/>
    <m/>
    <x v="1197"/>
    <x v="1737"/>
    <m/>
    <x v="3"/>
    <x v="3"/>
    <m/>
    <n v="-25.174776999999999"/>
    <n v="46.269382"/>
    <m/>
    <m/>
  </r>
  <r>
    <s v="604170017SMP"/>
    <x v="5"/>
    <x v="5"/>
    <m/>
    <x v="2"/>
    <x v="2"/>
    <m/>
    <x v="6"/>
    <x v="6"/>
    <m/>
    <x v="18"/>
    <x v="18"/>
    <m/>
    <x v="1301"/>
    <x v="161"/>
    <m/>
    <x v="1361"/>
    <x v="1738"/>
    <m/>
    <x v="3"/>
    <x v="3"/>
    <m/>
    <n v="-25.174627999999998"/>
    <n v="45.720970000000001"/>
    <m/>
    <m/>
  </r>
  <r>
    <s v="604190015SMP"/>
    <x v="5"/>
    <x v="5"/>
    <m/>
    <x v="2"/>
    <x v="2"/>
    <m/>
    <x v="6"/>
    <x v="6"/>
    <m/>
    <x v="234"/>
    <x v="233"/>
    <m/>
    <x v="1301"/>
    <x v="161"/>
    <m/>
    <x v="1592"/>
    <x v="1739"/>
    <m/>
    <x v="3"/>
    <x v="3"/>
    <m/>
    <n v="-25.174424999999999"/>
    <n v="45.909717000000001"/>
    <m/>
    <m/>
  </r>
  <r>
    <s v="604060026SMP"/>
    <x v="5"/>
    <x v="5"/>
    <m/>
    <x v="2"/>
    <x v="2"/>
    <m/>
    <x v="6"/>
    <x v="6"/>
    <m/>
    <x v="82"/>
    <x v="82"/>
    <m/>
    <x v="1301"/>
    <x v="161"/>
    <m/>
    <x v="1300"/>
    <x v="1740"/>
    <m/>
    <x v="3"/>
    <x v="3"/>
    <m/>
    <n v="-25.174108"/>
    <n v="46.096161000000002"/>
    <m/>
    <m/>
  </r>
  <r>
    <s v="604150002SMP"/>
    <x v="5"/>
    <x v="5"/>
    <m/>
    <x v="2"/>
    <x v="2"/>
    <m/>
    <x v="6"/>
    <x v="6"/>
    <m/>
    <x v="183"/>
    <x v="183"/>
    <m/>
    <x v="1301"/>
    <x v="161"/>
    <m/>
    <x v="1593"/>
    <x v="1741"/>
    <m/>
    <x v="3"/>
    <x v="3"/>
    <m/>
    <n v="-25.172991"/>
    <n v="46.254015000000003"/>
    <m/>
    <m/>
  </r>
  <r>
    <s v="604140013SMP"/>
    <x v="5"/>
    <x v="5"/>
    <m/>
    <x v="2"/>
    <x v="2"/>
    <m/>
    <x v="6"/>
    <x v="6"/>
    <m/>
    <x v="30"/>
    <x v="30"/>
    <m/>
    <x v="1301"/>
    <x v="161"/>
    <m/>
    <x v="1188"/>
    <x v="1742"/>
    <m/>
    <x v="3"/>
    <x v="3"/>
    <m/>
    <n v="-25.171046"/>
    <n v="46.156745000000001"/>
    <m/>
    <m/>
  </r>
  <r>
    <s v="604140012SMP"/>
    <x v="5"/>
    <x v="5"/>
    <m/>
    <x v="2"/>
    <x v="2"/>
    <m/>
    <x v="6"/>
    <x v="6"/>
    <m/>
    <x v="30"/>
    <x v="30"/>
    <m/>
    <x v="1301"/>
    <x v="161"/>
    <m/>
    <x v="1594"/>
    <x v="1743"/>
    <m/>
    <x v="3"/>
    <x v="3"/>
    <m/>
    <n v="-25.171046"/>
    <n v="46.156745000000001"/>
    <m/>
    <m/>
  </r>
  <r>
    <s v="604060029SMP"/>
    <x v="5"/>
    <x v="5"/>
    <m/>
    <x v="2"/>
    <x v="2"/>
    <m/>
    <x v="6"/>
    <x v="6"/>
    <m/>
    <x v="82"/>
    <x v="82"/>
    <m/>
    <x v="1301"/>
    <x v="161"/>
    <m/>
    <x v="1595"/>
    <x v="1744"/>
    <m/>
    <x v="3"/>
    <x v="3"/>
    <m/>
    <n v="-25.169383"/>
    <n v="46.092953000000001"/>
    <m/>
    <m/>
  </r>
  <r>
    <s v="604170009SMP"/>
    <x v="5"/>
    <x v="5"/>
    <m/>
    <x v="2"/>
    <x v="2"/>
    <m/>
    <x v="6"/>
    <x v="6"/>
    <m/>
    <x v="18"/>
    <x v="18"/>
    <m/>
    <x v="1301"/>
    <x v="161"/>
    <m/>
    <x v="1596"/>
    <x v="1745"/>
    <m/>
    <x v="3"/>
    <x v="3"/>
    <m/>
    <n v="-25.166841000000002"/>
    <n v="45.809559999999998"/>
    <m/>
    <m/>
  </r>
  <r>
    <s v="604010002SMP"/>
    <x v="5"/>
    <x v="5"/>
    <m/>
    <x v="2"/>
    <x v="2"/>
    <m/>
    <x v="6"/>
    <x v="6"/>
    <m/>
    <x v="28"/>
    <x v="28"/>
    <m/>
    <x v="1301"/>
    <x v="161"/>
    <m/>
    <x v="1597"/>
    <x v="1746"/>
    <m/>
    <x v="3"/>
    <x v="3"/>
    <m/>
    <n v="-25.160630000000001"/>
    <n v="46.022409000000003"/>
    <m/>
    <m/>
  </r>
  <r>
    <s v="604060007SMP"/>
    <x v="5"/>
    <x v="5"/>
    <m/>
    <x v="2"/>
    <x v="2"/>
    <m/>
    <x v="6"/>
    <x v="6"/>
    <m/>
    <x v="82"/>
    <x v="82"/>
    <m/>
    <x v="1301"/>
    <x v="161"/>
    <m/>
    <x v="477"/>
    <x v="1747"/>
    <m/>
    <x v="3"/>
    <x v="3"/>
    <m/>
    <n v="-25.160612"/>
    <n v="46.06662"/>
    <m/>
    <m/>
  </r>
  <r>
    <s v="604170021SMP"/>
    <x v="5"/>
    <x v="5"/>
    <m/>
    <x v="2"/>
    <x v="2"/>
    <m/>
    <x v="6"/>
    <x v="6"/>
    <m/>
    <x v="18"/>
    <x v="18"/>
    <m/>
    <x v="1301"/>
    <x v="161"/>
    <m/>
    <x v="123"/>
    <x v="1748"/>
    <m/>
    <x v="3"/>
    <x v="3"/>
    <m/>
    <n v="-25.158522999999999"/>
    <n v="45.762545000000003"/>
    <m/>
    <m/>
  </r>
  <r>
    <s v="604060011SMP"/>
    <x v="5"/>
    <x v="5"/>
    <m/>
    <x v="2"/>
    <x v="2"/>
    <m/>
    <x v="6"/>
    <x v="6"/>
    <m/>
    <x v="82"/>
    <x v="82"/>
    <m/>
    <x v="1301"/>
    <x v="161"/>
    <m/>
    <x v="474"/>
    <x v="1749"/>
    <m/>
    <x v="3"/>
    <x v="3"/>
    <m/>
    <n v="-25.145512"/>
    <n v="46.139243999999998"/>
    <m/>
    <m/>
  </r>
  <r>
    <s v="604170011SMP"/>
    <x v="5"/>
    <x v="5"/>
    <m/>
    <x v="2"/>
    <x v="2"/>
    <m/>
    <x v="6"/>
    <x v="6"/>
    <m/>
    <x v="18"/>
    <x v="18"/>
    <m/>
    <x v="1301"/>
    <x v="161"/>
    <m/>
    <x v="1598"/>
    <x v="1750"/>
    <m/>
    <x v="3"/>
    <x v="3"/>
    <m/>
    <n v="-25.144660999999999"/>
    <n v="45.855772000000002"/>
    <m/>
    <m/>
  </r>
  <r>
    <s v="604140001SMP"/>
    <x v="5"/>
    <x v="5"/>
    <m/>
    <x v="2"/>
    <x v="2"/>
    <m/>
    <x v="6"/>
    <x v="6"/>
    <m/>
    <x v="30"/>
    <x v="30"/>
    <m/>
    <x v="1301"/>
    <x v="161"/>
    <m/>
    <x v="1599"/>
    <x v="1751"/>
    <m/>
    <x v="3"/>
    <x v="3"/>
    <m/>
    <n v="-25.141372"/>
    <n v="46.206035999999997"/>
    <m/>
    <m/>
  </r>
  <r>
    <s v="604150004SMP"/>
    <x v="5"/>
    <x v="5"/>
    <m/>
    <x v="2"/>
    <x v="2"/>
    <m/>
    <x v="6"/>
    <x v="6"/>
    <m/>
    <x v="183"/>
    <x v="183"/>
    <m/>
    <x v="1301"/>
    <x v="161"/>
    <m/>
    <x v="1194"/>
    <x v="1752"/>
    <m/>
    <x v="3"/>
    <x v="3"/>
    <m/>
    <n v="-25.135221000000001"/>
    <n v="46.179200000000002"/>
    <m/>
    <m/>
  </r>
  <r>
    <s v="604150023SMP"/>
    <x v="5"/>
    <x v="5"/>
    <m/>
    <x v="2"/>
    <x v="2"/>
    <m/>
    <x v="6"/>
    <x v="6"/>
    <m/>
    <x v="183"/>
    <x v="183"/>
    <m/>
    <x v="1301"/>
    <x v="161"/>
    <m/>
    <x v="1600"/>
    <x v="1753"/>
    <m/>
    <x v="3"/>
    <x v="3"/>
    <m/>
    <n v="-25.133548999999999"/>
    <n v="46.223931999999998"/>
    <m/>
    <m/>
  </r>
  <r>
    <s v="604010013SMP"/>
    <x v="5"/>
    <x v="5"/>
    <m/>
    <x v="2"/>
    <x v="2"/>
    <m/>
    <x v="6"/>
    <x v="6"/>
    <m/>
    <x v="28"/>
    <x v="28"/>
    <m/>
    <x v="1301"/>
    <x v="161"/>
    <m/>
    <x v="170"/>
    <x v="1754"/>
    <m/>
    <x v="3"/>
    <x v="3"/>
    <m/>
    <n v="-25.130219"/>
    <n v="46.025469000000001"/>
    <m/>
    <m/>
  </r>
  <r>
    <s v="604030011SMP"/>
    <x v="5"/>
    <x v="5"/>
    <m/>
    <x v="2"/>
    <x v="2"/>
    <m/>
    <x v="6"/>
    <x v="6"/>
    <m/>
    <x v="73"/>
    <x v="73"/>
    <m/>
    <x v="1301"/>
    <x v="161"/>
    <m/>
    <x v="477"/>
    <x v="1755"/>
    <m/>
    <x v="3"/>
    <x v="3"/>
    <m/>
    <n v="-25.128316999999999"/>
    <n v="45.997852999999999"/>
    <m/>
    <m/>
  </r>
  <r>
    <s v="604060027SMP"/>
    <x v="5"/>
    <x v="5"/>
    <m/>
    <x v="2"/>
    <x v="2"/>
    <m/>
    <x v="6"/>
    <x v="6"/>
    <m/>
    <x v="82"/>
    <x v="82"/>
    <m/>
    <x v="1301"/>
    <x v="161"/>
    <m/>
    <x v="1601"/>
    <x v="1756"/>
    <m/>
    <x v="3"/>
    <x v="3"/>
    <m/>
    <n v="-25.127952000000001"/>
    <n v="46.157544999999999"/>
    <m/>
    <m/>
  </r>
  <r>
    <s v="604150011SMP"/>
    <x v="5"/>
    <x v="5"/>
    <m/>
    <x v="2"/>
    <x v="2"/>
    <m/>
    <x v="6"/>
    <x v="6"/>
    <m/>
    <x v="183"/>
    <x v="183"/>
    <m/>
    <x v="1301"/>
    <x v="161"/>
    <m/>
    <x v="1602"/>
    <x v="1757"/>
    <m/>
    <x v="3"/>
    <x v="3"/>
    <m/>
    <n v="-25.126975999999999"/>
    <n v="46.206781999999997"/>
    <m/>
    <m/>
  </r>
  <r>
    <s v="604010008SMP"/>
    <x v="5"/>
    <x v="5"/>
    <m/>
    <x v="2"/>
    <x v="2"/>
    <m/>
    <x v="6"/>
    <x v="6"/>
    <m/>
    <x v="28"/>
    <x v="28"/>
    <m/>
    <x v="1301"/>
    <x v="161"/>
    <m/>
    <x v="1603"/>
    <x v="1758"/>
    <m/>
    <x v="3"/>
    <x v="3"/>
    <m/>
    <n v="-25.126659"/>
    <n v="46.012821000000002"/>
    <m/>
    <m/>
  </r>
  <r>
    <s v="604150009SMP"/>
    <x v="5"/>
    <x v="5"/>
    <m/>
    <x v="2"/>
    <x v="2"/>
    <m/>
    <x v="6"/>
    <x v="6"/>
    <m/>
    <x v="183"/>
    <x v="183"/>
    <m/>
    <x v="1301"/>
    <x v="161"/>
    <m/>
    <x v="1604"/>
    <x v="1759"/>
    <m/>
    <x v="3"/>
    <x v="3"/>
    <m/>
    <n v="-25.119388000000001"/>
    <n v="46.240034999999999"/>
    <m/>
    <m/>
  </r>
  <r>
    <s v="604030008SMP"/>
    <x v="5"/>
    <x v="5"/>
    <m/>
    <x v="2"/>
    <x v="2"/>
    <m/>
    <x v="6"/>
    <x v="6"/>
    <m/>
    <x v="73"/>
    <x v="73"/>
    <m/>
    <x v="1301"/>
    <x v="161"/>
    <m/>
    <x v="1605"/>
    <x v="1760"/>
    <m/>
    <x v="3"/>
    <x v="3"/>
    <m/>
    <n v="-25.112997"/>
    <n v="45.997487"/>
    <m/>
    <m/>
  </r>
  <r>
    <s v="604030005SMP"/>
    <x v="5"/>
    <x v="5"/>
    <m/>
    <x v="2"/>
    <x v="2"/>
    <m/>
    <x v="6"/>
    <x v="6"/>
    <m/>
    <x v="73"/>
    <x v="73"/>
    <m/>
    <x v="1301"/>
    <x v="161"/>
    <m/>
    <x v="282"/>
    <x v="1761"/>
    <m/>
    <x v="3"/>
    <x v="3"/>
    <m/>
    <n v="-25.112607000000001"/>
    <n v="45.970999999999997"/>
    <m/>
    <m/>
  </r>
  <r>
    <s v="604140003SMP"/>
    <x v="5"/>
    <x v="5"/>
    <m/>
    <x v="2"/>
    <x v="2"/>
    <m/>
    <x v="6"/>
    <x v="6"/>
    <m/>
    <x v="30"/>
    <x v="30"/>
    <m/>
    <x v="1301"/>
    <x v="161"/>
    <m/>
    <x v="597"/>
    <x v="1762"/>
    <m/>
    <x v="3"/>
    <x v="3"/>
    <m/>
    <n v="-25.105460000000001"/>
    <n v="46.202691999999999"/>
    <m/>
    <m/>
  </r>
  <r>
    <s v="604030013SMP"/>
    <x v="5"/>
    <x v="5"/>
    <m/>
    <x v="2"/>
    <x v="2"/>
    <m/>
    <x v="6"/>
    <x v="6"/>
    <m/>
    <x v="73"/>
    <x v="73"/>
    <m/>
    <x v="1301"/>
    <x v="161"/>
    <m/>
    <x v="1606"/>
    <x v="1763"/>
    <m/>
    <x v="3"/>
    <x v="3"/>
    <m/>
    <n v="-25.105049999999999"/>
    <n v="45.994900999999999"/>
    <m/>
    <m/>
  </r>
  <r>
    <s v="604060016SMP"/>
    <x v="5"/>
    <x v="5"/>
    <m/>
    <x v="2"/>
    <x v="2"/>
    <m/>
    <x v="6"/>
    <x v="6"/>
    <m/>
    <x v="82"/>
    <x v="82"/>
    <m/>
    <x v="1301"/>
    <x v="161"/>
    <m/>
    <x v="1607"/>
    <x v="1764"/>
    <m/>
    <x v="3"/>
    <x v="3"/>
    <m/>
    <n v="-25.102432"/>
    <n v="46.140849000000003"/>
    <m/>
    <m/>
  </r>
  <r>
    <s v="604060044SMP"/>
    <x v="5"/>
    <x v="5"/>
    <m/>
    <x v="2"/>
    <x v="2"/>
    <m/>
    <x v="6"/>
    <x v="6"/>
    <m/>
    <x v="82"/>
    <x v="82"/>
    <m/>
    <x v="1301"/>
    <x v="161"/>
    <m/>
    <x v="1138"/>
    <x v="1765"/>
    <m/>
    <x v="3"/>
    <x v="3"/>
    <m/>
    <n v="-25.081164999999999"/>
    <n v="46.094231000000001"/>
    <m/>
    <m/>
  </r>
  <r>
    <s v="604030016SMP"/>
    <x v="5"/>
    <x v="5"/>
    <m/>
    <x v="2"/>
    <x v="2"/>
    <m/>
    <x v="6"/>
    <x v="6"/>
    <m/>
    <x v="73"/>
    <x v="73"/>
    <m/>
    <x v="1301"/>
    <x v="161"/>
    <m/>
    <x v="1608"/>
    <x v="1766"/>
    <m/>
    <x v="3"/>
    <x v="3"/>
    <m/>
    <n v="-25.080134000000001"/>
    <n v="45.997759000000002"/>
    <m/>
    <m/>
  </r>
  <r>
    <s v="604090005SMP"/>
    <x v="5"/>
    <x v="5"/>
    <m/>
    <x v="2"/>
    <x v="2"/>
    <m/>
    <x v="6"/>
    <x v="6"/>
    <m/>
    <x v="98"/>
    <x v="29"/>
    <m/>
    <x v="1301"/>
    <x v="161"/>
    <m/>
    <x v="177"/>
    <x v="1767"/>
    <m/>
    <x v="3"/>
    <x v="3"/>
    <m/>
    <n v="-25.069275000000001"/>
    <n v="46.248990999999997"/>
    <m/>
    <m/>
  </r>
  <r>
    <s v="604030014SMP"/>
    <x v="5"/>
    <x v="5"/>
    <m/>
    <x v="2"/>
    <x v="2"/>
    <m/>
    <x v="6"/>
    <x v="6"/>
    <m/>
    <x v="73"/>
    <x v="73"/>
    <m/>
    <x v="1301"/>
    <x v="161"/>
    <m/>
    <x v="1609"/>
    <x v="1768"/>
    <m/>
    <x v="3"/>
    <x v="3"/>
    <m/>
    <n v="-25.066734"/>
    <n v="46.019134000000001"/>
    <m/>
    <m/>
  </r>
  <r>
    <s v="604090003SMP"/>
    <x v="5"/>
    <x v="5"/>
    <m/>
    <x v="2"/>
    <x v="2"/>
    <m/>
    <x v="6"/>
    <x v="6"/>
    <m/>
    <x v="98"/>
    <x v="29"/>
    <m/>
    <x v="1301"/>
    <x v="161"/>
    <m/>
    <x v="1610"/>
    <x v="1769"/>
    <m/>
    <x v="3"/>
    <x v="3"/>
    <m/>
    <n v="-25.065263000000002"/>
    <n v="46.258074000000001"/>
    <m/>
    <m/>
  </r>
  <r>
    <s v="604090008SMP"/>
    <x v="5"/>
    <x v="5"/>
    <m/>
    <x v="2"/>
    <x v="2"/>
    <m/>
    <x v="6"/>
    <x v="6"/>
    <m/>
    <x v="98"/>
    <x v="29"/>
    <m/>
    <x v="1301"/>
    <x v="161"/>
    <m/>
    <x v="1611"/>
    <x v="1770"/>
    <m/>
    <x v="3"/>
    <x v="3"/>
    <m/>
    <n v="-25.064691"/>
    <n v="46.194028000000003"/>
    <m/>
    <m/>
  </r>
  <r>
    <s v="604030019SMP"/>
    <x v="5"/>
    <x v="5"/>
    <m/>
    <x v="2"/>
    <x v="2"/>
    <m/>
    <x v="6"/>
    <x v="6"/>
    <m/>
    <x v="73"/>
    <x v="73"/>
    <m/>
    <x v="1301"/>
    <x v="161"/>
    <m/>
    <x v="1612"/>
    <x v="1771"/>
    <m/>
    <x v="3"/>
    <x v="3"/>
    <m/>
    <n v="-25.064447000000001"/>
    <n v="45.978200000000001"/>
    <m/>
    <m/>
  </r>
  <r>
    <s v="604090007SMP"/>
    <x v="5"/>
    <x v="5"/>
    <m/>
    <x v="2"/>
    <x v="2"/>
    <m/>
    <x v="6"/>
    <x v="6"/>
    <m/>
    <x v="98"/>
    <x v="29"/>
    <m/>
    <x v="1301"/>
    <x v="161"/>
    <m/>
    <x v="622"/>
    <x v="1772"/>
    <m/>
    <x v="3"/>
    <x v="3"/>
    <m/>
    <n v="-25.060164"/>
    <n v="46.239372000000003"/>
    <m/>
    <m/>
  </r>
  <r>
    <s v="604090004SMP"/>
    <x v="5"/>
    <x v="5"/>
    <m/>
    <x v="2"/>
    <x v="2"/>
    <m/>
    <x v="6"/>
    <x v="6"/>
    <m/>
    <x v="98"/>
    <x v="29"/>
    <m/>
    <x v="1301"/>
    <x v="161"/>
    <m/>
    <x v="174"/>
    <x v="1773"/>
    <m/>
    <x v="3"/>
    <x v="3"/>
    <m/>
    <n v="-25.048756000000001"/>
    <n v="46.222524999999997"/>
    <m/>
    <m/>
  </r>
  <r>
    <s v="604030001SMP"/>
    <x v="5"/>
    <x v="5"/>
    <m/>
    <x v="2"/>
    <x v="2"/>
    <m/>
    <x v="6"/>
    <x v="6"/>
    <m/>
    <x v="73"/>
    <x v="73"/>
    <m/>
    <x v="1301"/>
    <x v="161"/>
    <m/>
    <x v="1613"/>
    <x v="1774"/>
    <m/>
    <x v="3"/>
    <x v="3"/>
    <m/>
    <n v="-25.043323000000001"/>
    <n v="46.014893000000001"/>
    <m/>
    <m/>
  </r>
  <r>
    <s v="604090002SMP"/>
    <x v="5"/>
    <x v="5"/>
    <m/>
    <x v="2"/>
    <x v="2"/>
    <m/>
    <x v="6"/>
    <x v="6"/>
    <m/>
    <x v="98"/>
    <x v="29"/>
    <m/>
    <x v="1301"/>
    <x v="161"/>
    <m/>
    <x v="1614"/>
    <x v="1775"/>
    <m/>
    <x v="3"/>
    <x v="3"/>
    <m/>
    <n v="-25.038699000000001"/>
    <n v="46.193983000000003"/>
    <m/>
    <m/>
  </r>
  <r>
    <s v="604190007SMP"/>
    <x v="5"/>
    <x v="5"/>
    <m/>
    <x v="2"/>
    <x v="2"/>
    <m/>
    <x v="6"/>
    <x v="6"/>
    <m/>
    <x v="234"/>
    <x v="233"/>
    <m/>
    <x v="1301"/>
    <x v="161"/>
    <m/>
    <x v="1615"/>
    <x v="1776"/>
    <m/>
    <x v="3"/>
    <x v="3"/>
    <m/>
    <n v="-25.031638000000001"/>
    <n v="46.067661999999999"/>
    <m/>
    <m/>
  </r>
  <r>
    <s v="604190013SMP"/>
    <x v="5"/>
    <x v="5"/>
    <m/>
    <x v="2"/>
    <x v="2"/>
    <m/>
    <x v="6"/>
    <x v="6"/>
    <m/>
    <x v="234"/>
    <x v="233"/>
    <m/>
    <x v="1301"/>
    <x v="161"/>
    <m/>
    <x v="1616"/>
    <x v="1777"/>
    <m/>
    <x v="3"/>
    <x v="3"/>
    <m/>
    <n v="-25.028973000000001"/>
    <n v="46.119503000000002"/>
    <m/>
    <m/>
  </r>
  <r>
    <s v="604090010SMP"/>
    <x v="5"/>
    <x v="5"/>
    <m/>
    <x v="2"/>
    <x v="2"/>
    <m/>
    <x v="6"/>
    <x v="6"/>
    <m/>
    <x v="30"/>
    <x v="30"/>
    <m/>
    <x v="1301"/>
    <x v="161"/>
    <m/>
    <x v="1617"/>
    <x v="1778"/>
    <m/>
    <x v="3"/>
    <x v="3"/>
    <m/>
    <n v="-25.025421999999999"/>
    <n v="46.210202000000002"/>
    <m/>
    <m/>
  </r>
  <r>
    <s v="604190008SMP"/>
    <x v="5"/>
    <x v="5"/>
    <m/>
    <x v="2"/>
    <x v="2"/>
    <m/>
    <x v="6"/>
    <x v="6"/>
    <m/>
    <x v="234"/>
    <x v="233"/>
    <m/>
    <x v="1301"/>
    <x v="161"/>
    <m/>
    <x v="1618"/>
    <x v="1779"/>
    <m/>
    <x v="3"/>
    <x v="3"/>
    <m/>
    <n v="-25.008863999999999"/>
    <n v="46.065054000000003"/>
    <m/>
    <m/>
  </r>
  <r>
    <s v="604190002SMP"/>
    <x v="5"/>
    <x v="5"/>
    <m/>
    <x v="2"/>
    <x v="2"/>
    <m/>
    <x v="6"/>
    <x v="6"/>
    <m/>
    <x v="234"/>
    <x v="233"/>
    <m/>
    <x v="1301"/>
    <x v="161"/>
    <m/>
    <x v="1619"/>
    <x v="1780"/>
    <m/>
    <x v="3"/>
    <x v="3"/>
    <m/>
    <n v="-24.992160999999999"/>
    <n v="45.980839000000003"/>
    <m/>
    <m/>
  </r>
  <r>
    <s v="604030015SMP"/>
    <x v="5"/>
    <x v="5"/>
    <m/>
    <x v="2"/>
    <x v="2"/>
    <m/>
    <x v="6"/>
    <x v="6"/>
    <m/>
    <x v="73"/>
    <x v="73"/>
    <m/>
    <x v="1301"/>
    <x v="161"/>
    <m/>
    <x v="1620"/>
    <x v="1781"/>
    <m/>
    <x v="3"/>
    <x v="3"/>
    <m/>
    <n v="-24.976578"/>
    <n v="45.946916000000002"/>
    <m/>
    <m/>
  </r>
  <r>
    <s v="604190014SMP"/>
    <x v="5"/>
    <x v="5"/>
    <m/>
    <x v="2"/>
    <x v="2"/>
    <m/>
    <x v="6"/>
    <x v="6"/>
    <m/>
    <x v="234"/>
    <x v="233"/>
    <m/>
    <x v="1301"/>
    <x v="161"/>
    <m/>
    <x v="1621"/>
    <x v="1782"/>
    <m/>
    <x v="3"/>
    <x v="3"/>
    <m/>
    <n v="-24.966925"/>
    <n v="46.112845"/>
    <m/>
    <m/>
  </r>
  <r>
    <s v="604010012SMP"/>
    <x v="5"/>
    <x v="5"/>
    <m/>
    <x v="2"/>
    <x v="2"/>
    <m/>
    <x v="6"/>
    <x v="6"/>
    <m/>
    <x v="28"/>
    <x v="28"/>
    <m/>
    <x v="1301"/>
    <x v="161"/>
    <m/>
    <x v="347"/>
    <x v="1783"/>
    <m/>
    <x v="3"/>
    <x v="3"/>
    <m/>
    <n v="-24.807693"/>
    <n v="45.937375000000003"/>
    <m/>
    <m/>
  </r>
  <r>
    <s v="604170008SMP"/>
    <x v="5"/>
    <x v="5"/>
    <m/>
    <x v="2"/>
    <x v="2"/>
    <m/>
    <x v="6"/>
    <x v="6"/>
    <m/>
    <x v="18"/>
    <x v="18"/>
    <m/>
    <x v="1301"/>
    <x v="161"/>
    <m/>
    <x v="1341"/>
    <x v="1784"/>
    <m/>
    <x v="3"/>
    <x v="3"/>
    <m/>
    <n v="-25.208704000000001"/>
    <n v="45.743022000000003"/>
    <m/>
    <m/>
  </r>
  <r>
    <s v="604110004SMP"/>
    <x v="5"/>
    <x v="5"/>
    <m/>
    <x v="2"/>
    <x v="2"/>
    <m/>
    <x v="6"/>
    <x v="6"/>
    <m/>
    <x v="141"/>
    <x v="141"/>
    <m/>
    <x v="1301"/>
    <x v="161"/>
    <m/>
    <x v="1622"/>
    <x v="1785"/>
    <m/>
    <x v="3"/>
    <x v="3"/>
    <m/>
    <n v="-25.292911"/>
    <n v="45.981974999999998"/>
    <m/>
    <m/>
  </r>
  <r>
    <s v="604020011SMP"/>
    <x v="5"/>
    <x v="5"/>
    <m/>
    <x v="2"/>
    <x v="2"/>
    <m/>
    <x v="6"/>
    <x v="6"/>
    <m/>
    <x v="69"/>
    <x v="69"/>
    <m/>
    <x v="1301"/>
    <x v="161"/>
    <m/>
    <x v="1623"/>
    <x v="1786"/>
    <m/>
    <x v="3"/>
    <x v="3"/>
    <m/>
    <n v="-25.333680000000001"/>
    <n v="45.877830000000003"/>
    <m/>
    <m/>
  </r>
  <r>
    <s v="604060001SMP"/>
    <x v="5"/>
    <x v="5"/>
    <m/>
    <x v="2"/>
    <x v="2"/>
    <m/>
    <x v="6"/>
    <x v="6"/>
    <m/>
    <x v="82"/>
    <x v="82"/>
    <m/>
    <x v="1301"/>
    <x v="161"/>
    <m/>
    <x v="469"/>
    <x v="1787"/>
    <m/>
    <x v="3"/>
    <x v="3"/>
    <m/>
    <n v="-25.24278"/>
    <n v="46.048929999999999"/>
    <m/>
    <m/>
  </r>
  <r>
    <s v="604170004SMP"/>
    <x v="5"/>
    <x v="5"/>
    <m/>
    <x v="2"/>
    <x v="2"/>
    <m/>
    <x v="6"/>
    <x v="6"/>
    <m/>
    <x v="18"/>
    <x v="18"/>
    <m/>
    <x v="1301"/>
    <x v="161"/>
    <m/>
    <x v="1624"/>
    <x v="1788"/>
    <m/>
    <x v="3"/>
    <x v="3"/>
    <m/>
    <n v="-25.23423"/>
    <n v="45.695920000000001"/>
    <m/>
    <m/>
  </r>
  <r>
    <s v="604030028SMP"/>
    <x v="5"/>
    <x v="5"/>
    <m/>
    <x v="2"/>
    <x v="2"/>
    <m/>
    <x v="6"/>
    <x v="6"/>
    <m/>
    <x v="73"/>
    <x v="73"/>
    <m/>
    <x v="1301"/>
    <x v="161"/>
    <m/>
    <x v="1625"/>
    <x v="1789"/>
    <m/>
    <x v="3"/>
    <x v="3"/>
    <m/>
    <n v="-25.063680000000002"/>
    <n v="46.025869999999998"/>
    <m/>
    <m/>
  </r>
  <r>
    <s v="604090014SMP"/>
    <x v="5"/>
    <x v="5"/>
    <m/>
    <x v="2"/>
    <x v="2"/>
    <m/>
    <x v="6"/>
    <x v="6"/>
    <m/>
    <x v="98"/>
    <x v="29"/>
    <m/>
    <x v="1301"/>
    <x v="161"/>
    <m/>
    <x v="1626"/>
    <x v="1790"/>
    <m/>
    <x v="3"/>
    <x v="3"/>
    <m/>
    <n v="-25.025829999999999"/>
    <n v="46.117530000000002"/>
    <m/>
    <m/>
  </r>
  <r>
    <s v="604030002SMP"/>
    <x v="5"/>
    <x v="5"/>
    <m/>
    <x v="2"/>
    <x v="2"/>
    <m/>
    <x v="6"/>
    <x v="6"/>
    <m/>
    <x v="73"/>
    <x v="73"/>
    <m/>
    <x v="1301"/>
    <x v="161"/>
    <m/>
    <x v="1627"/>
    <x v="1791"/>
    <m/>
    <x v="3"/>
    <x v="3"/>
    <m/>
    <n v="-25.063680000000002"/>
    <n v="46.025869999999998"/>
    <m/>
    <m/>
  </r>
  <r>
    <s v="604030025SMP"/>
    <x v="5"/>
    <x v="5"/>
    <m/>
    <x v="2"/>
    <x v="2"/>
    <m/>
    <x v="6"/>
    <x v="6"/>
    <m/>
    <x v="73"/>
    <x v="73"/>
    <m/>
    <x v="1301"/>
    <x v="161"/>
    <m/>
    <x v="1628"/>
    <x v="1792"/>
    <m/>
    <x v="3"/>
    <x v="3"/>
    <m/>
    <n v="-25.063680000000002"/>
    <n v="46.025869999999998"/>
    <m/>
    <m/>
  </r>
  <r>
    <s v="604040016SMP"/>
    <x v="5"/>
    <x v="5"/>
    <m/>
    <x v="2"/>
    <x v="2"/>
    <m/>
    <x v="6"/>
    <x v="6"/>
    <m/>
    <x v="78"/>
    <x v="78"/>
    <m/>
    <x v="1301"/>
    <x v="161"/>
    <m/>
    <x v="1629"/>
    <x v="1793"/>
    <m/>
    <x v="3"/>
    <x v="3"/>
    <m/>
    <n v="-25.260079999999999"/>
    <n v="45.944319999999998"/>
    <m/>
    <m/>
  </r>
  <r>
    <s v="604090017SMP"/>
    <x v="5"/>
    <x v="5"/>
    <m/>
    <x v="2"/>
    <x v="2"/>
    <m/>
    <x v="6"/>
    <x v="6"/>
    <m/>
    <x v="98"/>
    <x v="29"/>
    <m/>
    <x v="1301"/>
    <x v="161"/>
    <m/>
    <x v="1630"/>
    <x v="1794"/>
    <m/>
    <x v="3"/>
    <x v="3"/>
    <m/>
    <n v="-25.025829999999999"/>
    <n v="46.117530000000002"/>
    <m/>
    <m/>
  </r>
  <r>
    <s v="604050022SMP"/>
    <x v="5"/>
    <x v="5"/>
    <m/>
    <x v="2"/>
    <x v="2"/>
    <m/>
    <x v="6"/>
    <x v="6"/>
    <m/>
    <x v="79"/>
    <x v="79"/>
    <m/>
    <x v="1301"/>
    <x v="161"/>
    <m/>
    <x v="1631"/>
    <x v="1795"/>
    <m/>
    <x v="3"/>
    <x v="3"/>
    <m/>
    <n v="-25.273779999999999"/>
    <n v="45.859949999999998"/>
    <m/>
    <m/>
  </r>
  <r>
    <s v="604060030SMP"/>
    <x v="5"/>
    <x v="5"/>
    <m/>
    <x v="2"/>
    <x v="2"/>
    <m/>
    <x v="6"/>
    <x v="6"/>
    <m/>
    <x v="82"/>
    <x v="82"/>
    <m/>
    <x v="1301"/>
    <x v="161"/>
    <m/>
    <x v="1632"/>
    <x v="1796"/>
    <m/>
    <x v="3"/>
    <x v="3"/>
    <m/>
    <n v="-25.24278"/>
    <n v="46.048929999999999"/>
    <m/>
    <m/>
  </r>
  <r>
    <s v="604030006SMP"/>
    <x v="5"/>
    <x v="5"/>
    <m/>
    <x v="2"/>
    <x v="2"/>
    <m/>
    <x v="6"/>
    <x v="6"/>
    <m/>
    <x v="73"/>
    <x v="73"/>
    <m/>
    <x v="1301"/>
    <x v="161"/>
    <m/>
    <x v="1633"/>
    <x v="1797"/>
    <m/>
    <x v="3"/>
    <x v="3"/>
    <m/>
    <n v="-25.063680000000002"/>
    <n v="46.025869999999998"/>
    <m/>
    <m/>
  </r>
  <r>
    <s v="604170018SMP"/>
    <x v="5"/>
    <x v="5"/>
    <m/>
    <x v="2"/>
    <x v="2"/>
    <m/>
    <x v="6"/>
    <x v="6"/>
    <m/>
    <x v="18"/>
    <x v="18"/>
    <m/>
    <x v="1301"/>
    <x v="161"/>
    <m/>
    <x v="1634"/>
    <x v="1798"/>
    <m/>
    <x v="3"/>
    <x v="3"/>
    <m/>
    <n v="-25.23423"/>
    <n v="45.695920000000001"/>
    <m/>
    <m/>
  </r>
  <r>
    <s v="604090021SMP"/>
    <x v="5"/>
    <x v="5"/>
    <m/>
    <x v="2"/>
    <x v="2"/>
    <m/>
    <x v="6"/>
    <x v="6"/>
    <m/>
    <x v="234"/>
    <x v="233"/>
    <m/>
    <x v="1301"/>
    <x v="161"/>
    <m/>
    <x v="627"/>
    <x v="1799"/>
    <m/>
    <x v="3"/>
    <x v="3"/>
    <m/>
    <n v="-25.197430000000001"/>
    <n v="46.043520000000001"/>
    <m/>
    <m/>
  </r>
  <r>
    <s v="604170037SMP"/>
    <x v="5"/>
    <x v="5"/>
    <m/>
    <x v="2"/>
    <x v="2"/>
    <m/>
    <x v="6"/>
    <x v="6"/>
    <m/>
    <x v="18"/>
    <x v="18"/>
    <m/>
    <x v="1301"/>
    <x v="161"/>
    <m/>
    <x v="1635"/>
    <x v="1800"/>
    <m/>
    <x v="3"/>
    <x v="3"/>
    <m/>
    <n v="-25.23423"/>
    <n v="45.695920000000001"/>
    <m/>
    <m/>
  </r>
  <r>
    <s v="604160001SMP"/>
    <x v="5"/>
    <x v="5"/>
    <m/>
    <x v="2"/>
    <x v="2"/>
    <m/>
    <x v="18"/>
    <x v="7"/>
    <m/>
    <x v="191"/>
    <x v="191"/>
    <m/>
    <x v="1301"/>
    <x v="161"/>
    <m/>
    <x v="1636"/>
    <x v="1801"/>
    <m/>
    <x v="3"/>
    <x v="3"/>
    <m/>
    <n v="-25.164088"/>
    <n v="45.690935000000003"/>
    <m/>
    <m/>
  </r>
  <r>
    <s v="604160004SMP"/>
    <x v="5"/>
    <x v="5"/>
    <m/>
    <x v="2"/>
    <x v="2"/>
    <m/>
    <x v="18"/>
    <x v="7"/>
    <m/>
    <x v="191"/>
    <x v="191"/>
    <m/>
    <x v="1301"/>
    <x v="161"/>
    <m/>
    <x v="1637"/>
    <x v="1802"/>
    <m/>
    <x v="3"/>
    <x v="3"/>
    <m/>
    <n v="-25.156046"/>
    <n v="45.674270999999997"/>
    <m/>
    <m/>
  </r>
  <r>
    <s v="604160002SMP"/>
    <x v="5"/>
    <x v="5"/>
    <m/>
    <x v="2"/>
    <x v="2"/>
    <m/>
    <x v="18"/>
    <x v="7"/>
    <m/>
    <x v="191"/>
    <x v="191"/>
    <m/>
    <x v="1301"/>
    <x v="161"/>
    <m/>
    <x v="1638"/>
    <x v="1803"/>
    <m/>
    <x v="3"/>
    <x v="3"/>
    <m/>
    <n v="-25.124271"/>
    <n v="45.695554999999999"/>
    <m/>
    <m/>
  </r>
  <r>
    <s v="604160003SMP"/>
    <x v="5"/>
    <x v="5"/>
    <m/>
    <x v="2"/>
    <x v="2"/>
    <m/>
    <x v="18"/>
    <x v="7"/>
    <m/>
    <x v="191"/>
    <x v="191"/>
    <m/>
    <x v="1301"/>
    <x v="161"/>
    <m/>
    <x v="1639"/>
    <x v="1804"/>
    <m/>
    <x v="3"/>
    <x v="3"/>
    <m/>
    <n v="-25.111681000000001"/>
    <n v="45.702452999999998"/>
    <m/>
    <m/>
  </r>
  <r>
    <s v="604130026SMP"/>
    <x v="5"/>
    <x v="5"/>
    <m/>
    <x v="2"/>
    <x v="2"/>
    <m/>
    <x v="18"/>
    <x v="7"/>
    <m/>
    <x v="93"/>
    <x v="94"/>
    <m/>
    <x v="1301"/>
    <x v="161"/>
    <m/>
    <x v="1640"/>
    <x v="1805"/>
    <m/>
    <x v="3"/>
    <x v="3"/>
    <m/>
    <n v="-25.097218000000002"/>
    <n v="45.394170000000003"/>
    <m/>
    <m/>
  </r>
  <r>
    <s v="604130009SMP"/>
    <x v="5"/>
    <x v="5"/>
    <m/>
    <x v="2"/>
    <x v="2"/>
    <m/>
    <x v="18"/>
    <x v="7"/>
    <m/>
    <x v="93"/>
    <x v="94"/>
    <m/>
    <x v="1301"/>
    <x v="161"/>
    <m/>
    <x v="1088"/>
    <x v="1806"/>
    <m/>
    <x v="3"/>
    <x v="3"/>
    <m/>
    <n v="-25.080431999999998"/>
    <n v="45.462547999999998"/>
    <m/>
    <m/>
  </r>
  <r>
    <s v="604130019SMP"/>
    <x v="5"/>
    <x v="5"/>
    <m/>
    <x v="2"/>
    <x v="2"/>
    <m/>
    <x v="18"/>
    <x v="7"/>
    <m/>
    <x v="93"/>
    <x v="94"/>
    <m/>
    <x v="1301"/>
    <x v="161"/>
    <m/>
    <x v="1641"/>
    <x v="1807"/>
    <m/>
    <x v="3"/>
    <x v="3"/>
    <m/>
    <n v="-25.070571999999999"/>
    <n v="45.631115000000001"/>
    <m/>
    <m/>
  </r>
  <r>
    <s v="604130008SMP"/>
    <x v="5"/>
    <x v="5"/>
    <m/>
    <x v="2"/>
    <x v="2"/>
    <m/>
    <x v="18"/>
    <x v="7"/>
    <m/>
    <x v="93"/>
    <x v="94"/>
    <m/>
    <x v="1301"/>
    <x v="161"/>
    <m/>
    <x v="1642"/>
    <x v="1808"/>
    <m/>
    <x v="3"/>
    <x v="3"/>
    <m/>
    <n v="-25.024587"/>
    <n v="45.472422999999999"/>
    <m/>
    <m/>
  </r>
  <r>
    <s v="604130031SMP"/>
    <x v="5"/>
    <x v="5"/>
    <m/>
    <x v="2"/>
    <x v="2"/>
    <m/>
    <x v="18"/>
    <x v="7"/>
    <m/>
    <x v="93"/>
    <x v="94"/>
    <m/>
    <x v="1301"/>
    <x v="161"/>
    <m/>
    <x v="1643"/>
    <x v="1809"/>
    <m/>
    <x v="3"/>
    <x v="3"/>
    <m/>
    <n v="-25.002246"/>
    <n v="45.617655999999997"/>
    <m/>
    <m/>
  </r>
  <r>
    <s v="604130010SMP"/>
    <x v="5"/>
    <x v="5"/>
    <m/>
    <x v="2"/>
    <x v="2"/>
    <m/>
    <x v="18"/>
    <x v="7"/>
    <m/>
    <x v="31"/>
    <x v="31"/>
    <m/>
    <x v="1301"/>
    <x v="161"/>
    <m/>
    <x v="1644"/>
    <x v="1810"/>
    <m/>
    <x v="3"/>
    <x v="3"/>
    <m/>
    <n v="-24.961675"/>
    <n v="45.464618999999999"/>
    <m/>
    <m/>
  </r>
  <r>
    <s v="604100027SMP"/>
    <x v="5"/>
    <x v="5"/>
    <m/>
    <x v="2"/>
    <x v="2"/>
    <m/>
    <x v="18"/>
    <x v="7"/>
    <m/>
    <x v="235"/>
    <x v="23"/>
    <m/>
    <x v="1301"/>
    <x v="161"/>
    <m/>
    <x v="150"/>
    <x v="1811"/>
    <m/>
    <x v="3"/>
    <x v="3"/>
    <m/>
    <n v="-24.947998999999999"/>
    <n v="45.762337000000002"/>
    <m/>
    <m/>
  </r>
  <r>
    <s v="604130012SMP"/>
    <x v="5"/>
    <x v="5"/>
    <m/>
    <x v="2"/>
    <x v="2"/>
    <m/>
    <x v="18"/>
    <x v="7"/>
    <m/>
    <x v="31"/>
    <x v="31"/>
    <m/>
    <x v="1301"/>
    <x v="161"/>
    <m/>
    <x v="1645"/>
    <x v="1812"/>
    <m/>
    <x v="3"/>
    <x v="3"/>
    <m/>
    <n v="-24.936717999999999"/>
    <n v="45.524787000000003"/>
    <m/>
    <m/>
  </r>
  <r>
    <s v="604130028SMP"/>
    <x v="5"/>
    <x v="5"/>
    <m/>
    <x v="2"/>
    <x v="2"/>
    <m/>
    <x v="18"/>
    <x v="7"/>
    <m/>
    <x v="31"/>
    <x v="31"/>
    <m/>
    <x v="1301"/>
    <x v="161"/>
    <m/>
    <x v="515"/>
    <x v="1813"/>
    <m/>
    <x v="3"/>
    <x v="3"/>
    <m/>
    <n v="-24.898779000000001"/>
    <n v="45.359136999999997"/>
    <m/>
    <m/>
  </r>
  <r>
    <s v="604130025SMP"/>
    <x v="5"/>
    <x v="5"/>
    <m/>
    <x v="2"/>
    <x v="2"/>
    <m/>
    <x v="18"/>
    <x v="7"/>
    <m/>
    <x v="31"/>
    <x v="31"/>
    <m/>
    <x v="1301"/>
    <x v="161"/>
    <m/>
    <x v="1646"/>
    <x v="1814"/>
    <m/>
    <x v="3"/>
    <x v="3"/>
    <m/>
    <n v="-24.878903000000001"/>
    <n v="45.497675999999998"/>
    <m/>
    <m/>
  </r>
  <r>
    <s v="604130014SMP"/>
    <x v="5"/>
    <x v="5"/>
    <m/>
    <x v="2"/>
    <x v="2"/>
    <m/>
    <x v="18"/>
    <x v="7"/>
    <m/>
    <x v="31"/>
    <x v="31"/>
    <m/>
    <x v="1301"/>
    <x v="161"/>
    <m/>
    <x v="1647"/>
    <x v="1815"/>
    <m/>
    <x v="3"/>
    <x v="3"/>
    <m/>
    <n v="-24.820202999999999"/>
    <n v="45.549948000000001"/>
    <m/>
    <m/>
  </r>
  <r>
    <s v="604100011SMP"/>
    <x v="5"/>
    <x v="5"/>
    <m/>
    <x v="2"/>
    <x v="2"/>
    <m/>
    <x v="18"/>
    <x v="7"/>
    <m/>
    <x v="235"/>
    <x v="23"/>
    <m/>
    <x v="1301"/>
    <x v="161"/>
    <m/>
    <x v="1648"/>
    <x v="1816"/>
    <m/>
    <x v="3"/>
    <x v="3"/>
    <m/>
    <n v="-24.817895"/>
    <n v="45.648896999999998"/>
    <m/>
    <m/>
  </r>
  <r>
    <s v="604100019SMP"/>
    <x v="5"/>
    <x v="5"/>
    <m/>
    <x v="2"/>
    <x v="2"/>
    <m/>
    <x v="18"/>
    <x v="7"/>
    <m/>
    <x v="235"/>
    <x v="23"/>
    <m/>
    <x v="1301"/>
    <x v="161"/>
    <m/>
    <x v="148"/>
    <x v="1817"/>
    <m/>
    <x v="3"/>
    <x v="3"/>
    <m/>
    <n v="-24.814143000000001"/>
    <n v="45.657277000000001"/>
    <m/>
    <m/>
  </r>
  <r>
    <s v="604130005SMP"/>
    <x v="5"/>
    <x v="5"/>
    <m/>
    <x v="2"/>
    <x v="2"/>
    <m/>
    <x v="18"/>
    <x v="7"/>
    <m/>
    <x v="31"/>
    <x v="31"/>
    <m/>
    <x v="1301"/>
    <x v="161"/>
    <m/>
    <x v="1649"/>
    <x v="1818"/>
    <m/>
    <x v="3"/>
    <x v="3"/>
    <m/>
    <n v="-24.799347000000001"/>
    <n v="45.479660000000003"/>
    <m/>
    <m/>
  </r>
  <r>
    <s v="604130007SMP"/>
    <x v="5"/>
    <x v="5"/>
    <m/>
    <x v="2"/>
    <x v="2"/>
    <m/>
    <x v="18"/>
    <x v="7"/>
    <m/>
    <x v="31"/>
    <x v="31"/>
    <m/>
    <x v="1301"/>
    <x v="161"/>
    <m/>
    <x v="1650"/>
    <x v="1819"/>
    <m/>
    <x v="3"/>
    <x v="3"/>
    <m/>
    <n v="-24.795027000000001"/>
    <n v="45.573224000000003"/>
    <m/>
    <m/>
  </r>
  <r>
    <s v="604130006SMP"/>
    <x v="5"/>
    <x v="5"/>
    <m/>
    <x v="2"/>
    <x v="2"/>
    <m/>
    <x v="18"/>
    <x v="7"/>
    <m/>
    <x v="31"/>
    <x v="31"/>
    <m/>
    <x v="1301"/>
    <x v="161"/>
    <m/>
    <x v="1651"/>
    <x v="1820"/>
    <m/>
    <x v="3"/>
    <x v="3"/>
    <m/>
    <n v="-24.77534"/>
    <n v="45.549774999999997"/>
    <m/>
    <m/>
  </r>
  <r>
    <s v="604130022SMP"/>
    <x v="5"/>
    <x v="5"/>
    <m/>
    <x v="2"/>
    <x v="2"/>
    <m/>
    <x v="18"/>
    <x v="7"/>
    <m/>
    <x v="31"/>
    <x v="31"/>
    <m/>
    <x v="1301"/>
    <x v="161"/>
    <m/>
    <x v="202"/>
    <x v="1821"/>
    <m/>
    <x v="3"/>
    <x v="3"/>
    <m/>
    <n v="-24.773016999999999"/>
    <n v="45.498569000000003"/>
    <m/>
    <m/>
  </r>
  <r>
    <s v="604080005SMP"/>
    <x v="5"/>
    <x v="5"/>
    <m/>
    <x v="2"/>
    <x v="2"/>
    <m/>
    <x v="18"/>
    <x v="7"/>
    <m/>
    <x v="24"/>
    <x v="24"/>
    <m/>
    <x v="1301"/>
    <x v="161"/>
    <m/>
    <x v="156"/>
    <x v="1822"/>
    <m/>
    <x v="3"/>
    <x v="3"/>
    <m/>
    <n v="-24.7196"/>
    <n v="45.589151999999999"/>
    <m/>
    <m/>
  </r>
  <r>
    <s v="604080017SMP"/>
    <x v="5"/>
    <x v="5"/>
    <m/>
    <x v="2"/>
    <x v="2"/>
    <m/>
    <x v="18"/>
    <x v="7"/>
    <m/>
    <x v="24"/>
    <x v="24"/>
    <m/>
    <x v="1301"/>
    <x v="161"/>
    <m/>
    <x v="1652"/>
    <x v="1823"/>
    <m/>
    <x v="3"/>
    <x v="3"/>
    <m/>
    <n v="-24.696732999999998"/>
    <n v="45.617595999999999"/>
    <m/>
    <m/>
  </r>
  <r>
    <s v="604100031SMP"/>
    <x v="5"/>
    <x v="5"/>
    <m/>
    <x v="2"/>
    <x v="2"/>
    <m/>
    <x v="18"/>
    <x v="7"/>
    <m/>
    <x v="235"/>
    <x v="23"/>
    <m/>
    <x v="1301"/>
    <x v="161"/>
    <m/>
    <x v="154"/>
    <x v="1824"/>
    <m/>
    <x v="3"/>
    <x v="3"/>
    <m/>
    <n v="-24.692941000000001"/>
    <n v="45.885179000000001"/>
    <m/>
    <m/>
  </r>
  <r>
    <s v="604080010SMP"/>
    <x v="5"/>
    <x v="5"/>
    <m/>
    <x v="2"/>
    <x v="2"/>
    <m/>
    <x v="18"/>
    <x v="7"/>
    <m/>
    <x v="24"/>
    <x v="24"/>
    <m/>
    <x v="1301"/>
    <x v="161"/>
    <m/>
    <x v="189"/>
    <x v="1825"/>
    <m/>
    <x v="3"/>
    <x v="3"/>
    <m/>
    <n v="-24.669090000000001"/>
    <n v="45.596539999999997"/>
    <m/>
    <m/>
  </r>
  <r>
    <s v="604080011SMP"/>
    <x v="5"/>
    <x v="5"/>
    <m/>
    <x v="2"/>
    <x v="2"/>
    <m/>
    <x v="18"/>
    <x v="7"/>
    <m/>
    <x v="24"/>
    <x v="24"/>
    <m/>
    <x v="1301"/>
    <x v="161"/>
    <m/>
    <x v="1653"/>
    <x v="1826"/>
    <m/>
    <x v="3"/>
    <x v="3"/>
    <m/>
    <n v="-24.637156999999998"/>
    <n v="45.545344"/>
    <m/>
    <m/>
  </r>
  <r>
    <s v="604080019SMP"/>
    <x v="5"/>
    <x v="5"/>
    <m/>
    <x v="2"/>
    <x v="2"/>
    <m/>
    <x v="18"/>
    <x v="7"/>
    <m/>
    <x v="24"/>
    <x v="24"/>
    <m/>
    <x v="1301"/>
    <x v="161"/>
    <m/>
    <x v="1654"/>
    <x v="1827"/>
    <m/>
    <x v="3"/>
    <x v="3"/>
    <m/>
    <n v="-24.633403000000001"/>
    <n v="45.578324000000002"/>
    <m/>
    <m/>
  </r>
  <r>
    <s v="604080018SMP"/>
    <x v="5"/>
    <x v="5"/>
    <m/>
    <x v="2"/>
    <x v="2"/>
    <m/>
    <x v="18"/>
    <x v="7"/>
    <m/>
    <x v="24"/>
    <x v="24"/>
    <m/>
    <x v="1301"/>
    <x v="161"/>
    <m/>
    <x v="1655"/>
    <x v="1828"/>
    <m/>
    <x v="3"/>
    <x v="3"/>
    <m/>
    <n v="-24.615696"/>
    <n v="45.581822000000003"/>
    <m/>
    <m/>
  </r>
  <r>
    <s v="604100018SMP"/>
    <x v="5"/>
    <x v="5"/>
    <m/>
    <x v="2"/>
    <x v="2"/>
    <m/>
    <x v="18"/>
    <x v="7"/>
    <m/>
    <x v="92"/>
    <x v="93"/>
    <m/>
    <x v="1301"/>
    <x v="161"/>
    <m/>
    <x v="1656"/>
    <x v="1829"/>
    <m/>
    <x v="3"/>
    <x v="3"/>
    <m/>
    <n v="-24.600883"/>
    <n v="45.718024"/>
    <m/>
    <m/>
  </r>
  <r>
    <s v="604100017SMP"/>
    <x v="5"/>
    <x v="5"/>
    <m/>
    <x v="2"/>
    <x v="2"/>
    <m/>
    <x v="18"/>
    <x v="7"/>
    <m/>
    <x v="92"/>
    <x v="93"/>
    <m/>
    <x v="1301"/>
    <x v="161"/>
    <m/>
    <x v="1657"/>
    <x v="1830"/>
    <m/>
    <x v="3"/>
    <x v="3"/>
    <m/>
    <n v="-24.600470000000001"/>
    <n v="45.709865000000001"/>
    <m/>
    <m/>
  </r>
  <r>
    <s v="604100051SMP"/>
    <x v="5"/>
    <x v="5"/>
    <m/>
    <x v="2"/>
    <x v="2"/>
    <m/>
    <x v="18"/>
    <x v="7"/>
    <m/>
    <x v="92"/>
    <x v="93"/>
    <m/>
    <x v="1301"/>
    <x v="161"/>
    <m/>
    <x v="1658"/>
    <x v="1831"/>
    <m/>
    <x v="3"/>
    <x v="3"/>
    <m/>
    <n v="-24.517239"/>
    <n v="45.545847000000002"/>
    <m/>
    <m/>
  </r>
  <r>
    <s v="604070003SMP"/>
    <x v="5"/>
    <x v="5"/>
    <m/>
    <x v="2"/>
    <x v="2"/>
    <m/>
    <x v="18"/>
    <x v="7"/>
    <m/>
    <x v="83"/>
    <x v="83"/>
    <m/>
    <x v="1301"/>
    <x v="161"/>
    <m/>
    <x v="1659"/>
    <x v="1832"/>
    <m/>
    <x v="3"/>
    <x v="3"/>
    <m/>
    <n v="-24.496549000000002"/>
    <n v="45.653050999999998"/>
    <m/>
    <m/>
  </r>
  <r>
    <s v="604070001SMP"/>
    <x v="5"/>
    <x v="5"/>
    <m/>
    <x v="2"/>
    <x v="2"/>
    <m/>
    <x v="18"/>
    <x v="7"/>
    <m/>
    <x v="83"/>
    <x v="83"/>
    <m/>
    <x v="1301"/>
    <x v="161"/>
    <m/>
    <x v="497"/>
    <x v="1833"/>
    <m/>
    <x v="3"/>
    <x v="3"/>
    <m/>
    <n v="-24.476814999999998"/>
    <n v="45.636288"/>
    <m/>
    <m/>
  </r>
  <r>
    <s v="604130016SMP"/>
    <x v="5"/>
    <x v="5"/>
    <m/>
    <x v="2"/>
    <x v="2"/>
    <m/>
    <x v="18"/>
    <x v="7"/>
    <m/>
    <x v="93"/>
    <x v="94"/>
    <m/>
    <x v="1301"/>
    <x v="161"/>
    <m/>
    <x v="1090"/>
    <x v="1834"/>
    <m/>
    <x v="3"/>
    <x v="3"/>
    <m/>
    <n v="-24.776060000000001"/>
    <n v="45.610092999999999"/>
    <m/>
    <m/>
  </r>
  <r>
    <s v="604130034SMP"/>
    <x v="5"/>
    <x v="5"/>
    <m/>
    <x v="2"/>
    <x v="2"/>
    <m/>
    <x v="18"/>
    <x v="7"/>
    <m/>
    <x v="93"/>
    <x v="94"/>
    <m/>
    <x v="1301"/>
    <x v="161"/>
    <m/>
    <x v="1660"/>
    <x v="1835"/>
    <m/>
    <x v="3"/>
    <x v="3"/>
    <m/>
    <n v="-24.776060000000001"/>
    <n v="45.610092999999999"/>
    <m/>
    <m/>
  </r>
  <r>
    <s v="604100060SMP"/>
    <x v="5"/>
    <x v="5"/>
    <m/>
    <x v="2"/>
    <x v="2"/>
    <m/>
    <x v="18"/>
    <x v="7"/>
    <m/>
    <x v="235"/>
    <x v="23"/>
    <m/>
    <x v="1301"/>
    <x v="161"/>
    <m/>
    <x v="1661"/>
    <x v="1836"/>
    <m/>
    <x v="3"/>
    <x v="3"/>
    <m/>
    <n v="-24.692250000000001"/>
    <n v="45.866979999999998"/>
    <m/>
    <m/>
  </r>
  <r>
    <s v="604080050SMP"/>
    <x v="5"/>
    <x v="5"/>
    <m/>
    <x v="2"/>
    <x v="2"/>
    <m/>
    <x v="18"/>
    <x v="7"/>
    <m/>
    <x v="24"/>
    <x v="24"/>
    <m/>
    <x v="1301"/>
    <x v="161"/>
    <m/>
    <x v="1597"/>
    <x v="1837"/>
    <m/>
    <x v="3"/>
    <x v="3"/>
    <m/>
    <n v="-24.77112"/>
    <n v="45.651380000000003"/>
    <m/>
    <m/>
  </r>
  <r>
    <s v="604130032SMP"/>
    <x v="5"/>
    <x v="5"/>
    <m/>
    <x v="2"/>
    <x v="2"/>
    <m/>
    <x v="18"/>
    <x v="7"/>
    <m/>
    <x v="31"/>
    <x v="31"/>
    <m/>
    <x v="1301"/>
    <x v="161"/>
    <m/>
    <x v="1662"/>
    <x v="1838"/>
    <m/>
    <x v="3"/>
    <x v="3"/>
    <m/>
    <n v="-24.81822"/>
    <n v="45.579949999999997"/>
    <m/>
    <m/>
  </r>
  <r>
    <s v="604070004SMP"/>
    <x v="5"/>
    <x v="5"/>
    <m/>
    <x v="2"/>
    <x v="2"/>
    <m/>
    <x v="18"/>
    <x v="7"/>
    <m/>
    <x v="83"/>
    <x v="83"/>
    <m/>
    <x v="1301"/>
    <x v="161"/>
    <m/>
    <x v="1663"/>
    <x v="1839"/>
    <m/>
    <x v="3"/>
    <x v="3"/>
    <m/>
    <n v="-24.573979999999999"/>
    <n v="45.651479999999999"/>
    <m/>
    <m/>
  </r>
  <r>
    <s v="604100016SMP"/>
    <x v="5"/>
    <x v="5"/>
    <m/>
    <x v="2"/>
    <x v="2"/>
    <m/>
    <x v="18"/>
    <x v="7"/>
    <m/>
    <x v="235"/>
    <x v="23"/>
    <m/>
    <x v="1301"/>
    <x v="161"/>
    <m/>
    <x v="1664"/>
    <x v="1840"/>
    <m/>
    <x v="3"/>
    <x v="3"/>
    <m/>
    <n v="-24.692250000000001"/>
    <n v="45.866979999999998"/>
    <m/>
    <m/>
  </r>
  <r>
    <s v="604100058SMP"/>
    <x v="5"/>
    <x v="5"/>
    <m/>
    <x v="2"/>
    <x v="2"/>
    <m/>
    <x v="18"/>
    <x v="7"/>
    <m/>
    <x v="235"/>
    <x v="23"/>
    <m/>
    <x v="1301"/>
    <x v="161"/>
    <m/>
    <x v="1665"/>
    <x v="1841"/>
    <m/>
    <x v="3"/>
    <x v="3"/>
    <m/>
    <n v="-24.692250000000001"/>
    <n v="45.866979999999998"/>
    <m/>
    <m/>
  </r>
  <r>
    <s v="604070008SMP"/>
    <x v="5"/>
    <x v="5"/>
    <m/>
    <x v="2"/>
    <x v="2"/>
    <m/>
    <x v="18"/>
    <x v="7"/>
    <m/>
    <x v="83"/>
    <x v="83"/>
    <m/>
    <x v="1301"/>
    <x v="161"/>
    <m/>
    <x v="496"/>
    <x v="1842"/>
    <m/>
    <x v="3"/>
    <x v="3"/>
    <m/>
    <n v="-24.573979999999999"/>
    <n v="45.651479999999999"/>
    <m/>
    <m/>
  </r>
  <r>
    <s v="604120007SMP"/>
    <x v="5"/>
    <x v="5"/>
    <m/>
    <x v="2"/>
    <x v="2"/>
    <m/>
    <x v="18"/>
    <x v="7"/>
    <m/>
    <x v="157"/>
    <x v="157"/>
    <m/>
    <x v="1301"/>
    <x v="161"/>
    <m/>
    <x v="1666"/>
    <x v="1843"/>
    <m/>
    <x v="3"/>
    <x v="3"/>
    <m/>
    <n v="-24.463329999999999"/>
    <n v="45.774279999999997"/>
    <m/>
    <m/>
  </r>
  <r>
    <s v="604070010SMP"/>
    <x v="5"/>
    <x v="5"/>
    <m/>
    <x v="2"/>
    <x v="2"/>
    <m/>
    <x v="18"/>
    <x v="7"/>
    <m/>
    <x v="83"/>
    <x v="83"/>
    <m/>
    <x v="1301"/>
    <x v="161"/>
    <m/>
    <x v="1667"/>
    <x v="1844"/>
    <m/>
    <x v="3"/>
    <x v="3"/>
    <m/>
    <n v="-24.573979999999999"/>
    <n v="45.651479999999999"/>
    <m/>
    <m/>
  </r>
  <r>
    <s v="604220016SMP"/>
    <x v="5"/>
    <x v="5"/>
    <m/>
    <x v="2"/>
    <x v="2"/>
    <m/>
    <x v="18"/>
    <x v="7"/>
    <m/>
    <x v="93"/>
    <x v="94"/>
    <m/>
    <x v="1301"/>
    <x v="161"/>
    <m/>
    <x v="1668"/>
    <x v="1845"/>
    <m/>
    <x v="3"/>
    <x v="3"/>
    <m/>
    <n v="-24.776060000000001"/>
    <n v="45.610092999999999"/>
    <m/>
    <m/>
  </r>
  <r>
    <s v="604080042SMP"/>
    <x v="5"/>
    <x v="5"/>
    <m/>
    <x v="2"/>
    <x v="2"/>
    <m/>
    <x v="18"/>
    <x v="7"/>
    <m/>
    <x v="24"/>
    <x v="24"/>
    <m/>
    <x v="1301"/>
    <x v="161"/>
    <m/>
    <x v="1669"/>
    <x v="1846"/>
    <m/>
    <x v="3"/>
    <x v="3"/>
    <m/>
    <n v="-24.77112"/>
    <n v="45.651380000000003"/>
    <m/>
    <m/>
  </r>
  <r>
    <s v="604100057SMP"/>
    <x v="5"/>
    <x v="5"/>
    <m/>
    <x v="2"/>
    <x v="2"/>
    <m/>
    <x v="18"/>
    <x v="7"/>
    <m/>
    <x v="235"/>
    <x v="23"/>
    <m/>
    <x v="1301"/>
    <x v="161"/>
    <m/>
    <x v="154"/>
    <x v="1847"/>
    <m/>
    <x v="3"/>
    <x v="3"/>
    <m/>
    <n v="-24.692250000000001"/>
    <n v="45.866979999999998"/>
    <m/>
    <m/>
  </r>
  <r>
    <s v="607110009SMP"/>
    <x v="5"/>
    <x v="5"/>
    <m/>
    <x v="2"/>
    <x v="2"/>
    <m/>
    <x v="2"/>
    <x v="2"/>
    <m/>
    <x v="135"/>
    <x v="135"/>
    <m/>
    <x v="1301"/>
    <x v="161"/>
    <m/>
    <x v="1670"/>
    <x v="1848"/>
    <m/>
    <x v="3"/>
    <x v="3"/>
    <m/>
    <n v="-24.723652000000001"/>
    <n v="45.378625999999997"/>
    <m/>
    <m/>
  </r>
  <r>
    <s v="607110003SMP"/>
    <x v="5"/>
    <x v="5"/>
    <m/>
    <x v="2"/>
    <x v="2"/>
    <m/>
    <x v="2"/>
    <x v="2"/>
    <m/>
    <x v="135"/>
    <x v="135"/>
    <m/>
    <x v="1301"/>
    <x v="161"/>
    <m/>
    <x v="1671"/>
    <x v="1849"/>
    <m/>
    <x v="3"/>
    <x v="3"/>
    <m/>
    <n v="-24.690905999999998"/>
    <n v="45.376649"/>
    <m/>
    <m/>
  </r>
  <r>
    <s v="607070019SMP"/>
    <x v="5"/>
    <x v="5"/>
    <m/>
    <x v="2"/>
    <x v="2"/>
    <m/>
    <x v="2"/>
    <x v="2"/>
    <m/>
    <x v="135"/>
    <x v="135"/>
    <m/>
    <x v="1301"/>
    <x v="161"/>
    <m/>
    <x v="1672"/>
    <x v="1850"/>
    <m/>
    <x v="3"/>
    <x v="3"/>
    <m/>
    <n v="-24.685378"/>
    <n v="45.343220000000002"/>
    <m/>
    <m/>
  </r>
  <r>
    <s v="607070003SMP"/>
    <x v="5"/>
    <x v="5"/>
    <m/>
    <x v="2"/>
    <x v="2"/>
    <m/>
    <x v="2"/>
    <x v="2"/>
    <m/>
    <x v="135"/>
    <x v="135"/>
    <m/>
    <x v="1301"/>
    <x v="161"/>
    <m/>
    <x v="1673"/>
    <x v="1851"/>
    <m/>
    <x v="3"/>
    <x v="3"/>
    <m/>
    <n v="-24.682466999999999"/>
    <n v="45.296554999999998"/>
    <m/>
    <m/>
  </r>
  <r>
    <s v="607110004SMP"/>
    <x v="5"/>
    <x v="5"/>
    <m/>
    <x v="2"/>
    <x v="2"/>
    <m/>
    <x v="2"/>
    <x v="2"/>
    <m/>
    <x v="135"/>
    <x v="135"/>
    <m/>
    <x v="1301"/>
    <x v="161"/>
    <m/>
    <x v="1674"/>
    <x v="1852"/>
    <m/>
    <x v="3"/>
    <x v="3"/>
    <m/>
    <n v="-24.680102999999999"/>
    <n v="45.400235000000002"/>
    <m/>
    <m/>
  </r>
  <r>
    <s v="607070014SMP"/>
    <x v="5"/>
    <x v="5"/>
    <m/>
    <x v="2"/>
    <x v="2"/>
    <m/>
    <x v="2"/>
    <x v="2"/>
    <m/>
    <x v="135"/>
    <x v="135"/>
    <m/>
    <x v="1301"/>
    <x v="161"/>
    <m/>
    <x v="1675"/>
    <x v="1853"/>
    <m/>
    <x v="3"/>
    <x v="3"/>
    <m/>
    <n v="-24.664639999999999"/>
    <n v="45.335157000000002"/>
    <m/>
    <m/>
  </r>
  <r>
    <s v="607110011SMP"/>
    <x v="5"/>
    <x v="5"/>
    <m/>
    <x v="2"/>
    <x v="2"/>
    <m/>
    <x v="2"/>
    <x v="2"/>
    <m/>
    <x v="135"/>
    <x v="135"/>
    <m/>
    <x v="1301"/>
    <x v="161"/>
    <m/>
    <x v="898"/>
    <x v="1854"/>
    <m/>
    <x v="3"/>
    <x v="3"/>
    <m/>
    <n v="-24.655041000000001"/>
    <n v="45.38767"/>
    <m/>
    <m/>
  </r>
  <r>
    <s v="607110007SMP"/>
    <x v="5"/>
    <x v="5"/>
    <m/>
    <x v="2"/>
    <x v="2"/>
    <m/>
    <x v="2"/>
    <x v="2"/>
    <m/>
    <x v="135"/>
    <x v="135"/>
    <m/>
    <x v="1301"/>
    <x v="161"/>
    <m/>
    <x v="1676"/>
    <x v="1855"/>
    <m/>
    <x v="3"/>
    <x v="3"/>
    <m/>
    <n v="-24.614540999999999"/>
    <n v="45.384788999999998"/>
    <m/>
    <m/>
  </r>
  <r>
    <s v="607070008SMP"/>
    <x v="5"/>
    <x v="5"/>
    <m/>
    <x v="2"/>
    <x v="2"/>
    <m/>
    <x v="2"/>
    <x v="2"/>
    <m/>
    <x v="135"/>
    <x v="135"/>
    <m/>
    <x v="1301"/>
    <x v="161"/>
    <m/>
    <x v="1677"/>
    <x v="1856"/>
    <m/>
    <x v="3"/>
    <x v="3"/>
    <m/>
    <n v="-24.606366000000001"/>
    <n v="45.349699999999999"/>
    <m/>
    <m/>
  </r>
  <r>
    <s v="607110002SMP"/>
    <x v="5"/>
    <x v="5"/>
    <m/>
    <x v="2"/>
    <x v="2"/>
    <m/>
    <x v="2"/>
    <x v="2"/>
    <m/>
    <x v="135"/>
    <x v="135"/>
    <m/>
    <x v="1301"/>
    <x v="161"/>
    <m/>
    <x v="133"/>
    <x v="1857"/>
    <m/>
    <x v="3"/>
    <x v="3"/>
    <m/>
    <n v="-24.604167"/>
    <n v="45.425345"/>
    <m/>
    <m/>
  </r>
  <r>
    <s v="607070002SMP"/>
    <x v="5"/>
    <x v="5"/>
    <m/>
    <x v="2"/>
    <x v="2"/>
    <m/>
    <x v="2"/>
    <x v="2"/>
    <m/>
    <x v="120"/>
    <x v="120"/>
    <m/>
    <x v="1301"/>
    <x v="161"/>
    <m/>
    <x v="1678"/>
    <x v="1858"/>
    <m/>
    <x v="3"/>
    <x v="3"/>
    <m/>
    <n v="-24.597100999999999"/>
    <n v="45.234000999999999"/>
    <m/>
    <m/>
  </r>
  <r>
    <s v="607070016SMP"/>
    <x v="5"/>
    <x v="5"/>
    <m/>
    <x v="2"/>
    <x v="2"/>
    <m/>
    <x v="2"/>
    <x v="2"/>
    <m/>
    <x v="120"/>
    <x v="120"/>
    <m/>
    <x v="1301"/>
    <x v="161"/>
    <m/>
    <x v="1679"/>
    <x v="1859"/>
    <m/>
    <x v="3"/>
    <x v="3"/>
    <m/>
    <n v="-24.593636"/>
    <n v="45.249569999999999"/>
    <m/>
    <m/>
  </r>
  <r>
    <s v="607080003SMP"/>
    <x v="5"/>
    <x v="5"/>
    <m/>
    <x v="2"/>
    <x v="2"/>
    <m/>
    <x v="2"/>
    <x v="2"/>
    <m/>
    <x v="124"/>
    <x v="124"/>
    <m/>
    <x v="1301"/>
    <x v="161"/>
    <m/>
    <x v="1680"/>
    <x v="1860"/>
    <m/>
    <x v="3"/>
    <x v="3"/>
    <m/>
    <n v="-24.589032"/>
    <n v="45.491259999999997"/>
    <m/>
    <m/>
  </r>
  <r>
    <s v="607080005SMP"/>
    <x v="5"/>
    <x v="5"/>
    <m/>
    <x v="2"/>
    <x v="2"/>
    <m/>
    <x v="2"/>
    <x v="2"/>
    <m/>
    <x v="124"/>
    <x v="124"/>
    <m/>
    <x v="1301"/>
    <x v="161"/>
    <m/>
    <x v="1681"/>
    <x v="1861"/>
    <m/>
    <x v="3"/>
    <x v="3"/>
    <m/>
    <n v="-24.583807"/>
    <n v="45.468594000000003"/>
    <m/>
    <m/>
  </r>
  <r>
    <s v="607070033SMP"/>
    <x v="5"/>
    <x v="5"/>
    <m/>
    <x v="2"/>
    <x v="2"/>
    <m/>
    <x v="2"/>
    <x v="2"/>
    <m/>
    <x v="120"/>
    <x v="120"/>
    <m/>
    <x v="1301"/>
    <x v="161"/>
    <m/>
    <x v="1682"/>
    <x v="1862"/>
    <m/>
    <x v="3"/>
    <x v="3"/>
    <m/>
    <n v="-24.582559"/>
    <n v="45.258628999999999"/>
    <m/>
    <m/>
  </r>
  <r>
    <s v="607110010SMP"/>
    <x v="5"/>
    <x v="5"/>
    <m/>
    <x v="2"/>
    <x v="2"/>
    <m/>
    <x v="2"/>
    <x v="2"/>
    <m/>
    <x v="135"/>
    <x v="135"/>
    <m/>
    <x v="1301"/>
    <x v="161"/>
    <m/>
    <x v="902"/>
    <x v="1863"/>
    <m/>
    <x v="3"/>
    <x v="3"/>
    <m/>
    <n v="-24.577044999999998"/>
    <n v="45.390256999999998"/>
    <m/>
    <m/>
  </r>
  <r>
    <s v="607070027SMP"/>
    <x v="5"/>
    <x v="5"/>
    <m/>
    <x v="2"/>
    <x v="2"/>
    <m/>
    <x v="2"/>
    <x v="2"/>
    <m/>
    <x v="135"/>
    <x v="135"/>
    <m/>
    <x v="1301"/>
    <x v="161"/>
    <m/>
    <x v="1495"/>
    <x v="1864"/>
    <m/>
    <x v="3"/>
    <x v="3"/>
    <m/>
    <n v="-24.562045000000001"/>
    <n v="45.356710999999997"/>
    <m/>
    <m/>
  </r>
  <r>
    <s v="607070022SMP"/>
    <x v="5"/>
    <x v="5"/>
    <m/>
    <x v="2"/>
    <x v="2"/>
    <m/>
    <x v="2"/>
    <x v="2"/>
    <m/>
    <x v="120"/>
    <x v="120"/>
    <m/>
    <x v="1301"/>
    <x v="161"/>
    <m/>
    <x v="1683"/>
    <x v="1865"/>
    <m/>
    <x v="3"/>
    <x v="3"/>
    <m/>
    <n v="-24.558721999999999"/>
    <n v="45.301056000000003"/>
    <m/>
    <m/>
  </r>
  <r>
    <s v="607070026SMP"/>
    <x v="5"/>
    <x v="5"/>
    <m/>
    <x v="2"/>
    <x v="2"/>
    <m/>
    <x v="2"/>
    <x v="2"/>
    <m/>
    <x v="120"/>
    <x v="120"/>
    <m/>
    <x v="1301"/>
    <x v="161"/>
    <m/>
    <x v="1684"/>
    <x v="1866"/>
    <m/>
    <x v="3"/>
    <x v="3"/>
    <m/>
    <n v="-24.558613999999999"/>
    <n v="45.219776000000003"/>
    <m/>
    <m/>
  </r>
  <r>
    <s v="607070029SMP"/>
    <x v="5"/>
    <x v="5"/>
    <m/>
    <x v="2"/>
    <x v="2"/>
    <m/>
    <x v="2"/>
    <x v="2"/>
    <m/>
    <x v="120"/>
    <x v="120"/>
    <m/>
    <x v="1301"/>
    <x v="161"/>
    <m/>
    <x v="1685"/>
    <x v="1867"/>
    <m/>
    <x v="3"/>
    <x v="3"/>
    <m/>
    <n v="-24.555548999999999"/>
    <n v="45.259712"/>
    <m/>
    <m/>
  </r>
  <r>
    <s v="607080013SMP"/>
    <x v="5"/>
    <x v="5"/>
    <m/>
    <x v="2"/>
    <x v="2"/>
    <m/>
    <x v="2"/>
    <x v="2"/>
    <m/>
    <x v="124"/>
    <x v="124"/>
    <m/>
    <x v="1301"/>
    <x v="161"/>
    <m/>
    <x v="1686"/>
    <x v="1868"/>
    <m/>
    <x v="3"/>
    <x v="3"/>
    <m/>
    <n v="-24.550795999999998"/>
    <n v="45.470913000000003"/>
    <m/>
    <m/>
  </r>
  <r>
    <s v="607070034SMP"/>
    <x v="5"/>
    <x v="5"/>
    <m/>
    <x v="2"/>
    <x v="2"/>
    <m/>
    <x v="2"/>
    <x v="2"/>
    <m/>
    <x v="120"/>
    <x v="120"/>
    <m/>
    <x v="1301"/>
    <x v="161"/>
    <m/>
    <x v="1687"/>
    <x v="1869"/>
    <m/>
    <x v="3"/>
    <x v="3"/>
    <m/>
    <n v="-24.548684000000002"/>
    <n v="45.176195999999997"/>
    <m/>
    <m/>
  </r>
  <r>
    <s v="607070024SMP"/>
    <x v="5"/>
    <x v="5"/>
    <m/>
    <x v="2"/>
    <x v="2"/>
    <m/>
    <x v="2"/>
    <x v="2"/>
    <m/>
    <x v="120"/>
    <x v="120"/>
    <m/>
    <x v="1301"/>
    <x v="161"/>
    <m/>
    <x v="1688"/>
    <x v="1870"/>
    <m/>
    <x v="3"/>
    <x v="3"/>
    <m/>
    <n v="-24.516382"/>
    <n v="45.342382000000001"/>
    <m/>
    <m/>
  </r>
  <r>
    <s v="607080004SMP"/>
    <x v="5"/>
    <x v="5"/>
    <m/>
    <x v="2"/>
    <x v="2"/>
    <m/>
    <x v="2"/>
    <x v="2"/>
    <m/>
    <x v="124"/>
    <x v="124"/>
    <m/>
    <x v="1301"/>
    <x v="161"/>
    <m/>
    <x v="1689"/>
    <x v="1871"/>
    <m/>
    <x v="3"/>
    <x v="3"/>
    <m/>
    <n v="-24.508320000000001"/>
    <n v="45.365594999999999"/>
    <m/>
    <m/>
  </r>
  <r>
    <s v="607080012SMP"/>
    <x v="5"/>
    <x v="5"/>
    <m/>
    <x v="2"/>
    <x v="2"/>
    <m/>
    <x v="2"/>
    <x v="2"/>
    <m/>
    <x v="124"/>
    <x v="124"/>
    <m/>
    <x v="1301"/>
    <x v="161"/>
    <m/>
    <x v="1690"/>
    <x v="1872"/>
    <m/>
    <x v="3"/>
    <x v="3"/>
    <m/>
    <n v="-24.503298999999998"/>
    <n v="45.414102"/>
    <m/>
    <m/>
  </r>
  <r>
    <s v="607070011SMP"/>
    <x v="5"/>
    <x v="5"/>
    <m/>
    <x v="2"/>
    <x v="2"/>
    <m/>
    <x v="2"/>
    <x v="2"/>
    <m/>
    <x v="120"/>
    <x v="120"/>
    <m/>
    <x v="1301"/>
    <x v="161"/>
    <m/>
    <x v="1691"/>
    <x v="1873"/>
    <m/>
    <x v="3"/>
    <x v="3"/>
    <m/>
    <n v="-24.498557999999999"/>
    <n v="45.257198000000002"/>
    <m/>
    <m/>
  </r>
  <r>
    <s v="607080007SMP"/>
    <x v="5"/>
    <x v="5"/>
    <m/>
    <x v="2"/>
    <x v="2"/>
    <m/>
    <x v="2"/>
    <x v="2"/>
    <m/>
    <x v="124"/>
    <x v="124"/>
    <m/>
    <x v="1301"/>
    <x v="161"/>
    <m/>
    <x v="823"/>
    <x v="1874"/>
    <m/>
    <x v="3"/>
    <x v="3"/>
    <m/>
    <n v="-24.496411999999999"/>
    <n v="45.374535000000002"/>
    <m/>
    <m/>
  </r>
  <r>
    <s v="607080018SMP"/>
    <x v="5"/>
    <x v="5"/>
    <m/>
    <x v="2"/>
    <x v="2"/>
    <m/>
    <x v="2"/>
    <x v="2"/>
    <m/>
    <x v="124"/>
    <x v="124"/>
    <m/>
    <x v="1301"/>
    <x v="161"/>
    <m/>
    <x v="1692"/>
    <x v="1875"/>
    <m/>
    <x v="3"/>
    <x v="3"/>
    <m/>
    <n v="-24.484252000000001"/>
    <n v="45.412579000000001"/>
    <m/>
    <m/>
  </r>
  <r>
    <s v="607080016SMP"/>
    <x v="5"/>
    <x v="5"/>
    <m/>
    <x v="2"/>
    <x v="2"/>
    <m/>
    <x v="2"/>
    <x v="2"/>
    <m/>
    <x v="124"/>
    <x v="124"/>
    <m/>
    <x v="1301"/>
    <x v="161"/>
    <m/>
    <x v="1693"/>
    <x v="1876"/>
    <m/>
    <x v="3"/>
    <x v="3"/>
    <m/>
    <n v="-24.476243"/>
    <n v="45.491365999999999"/>
    <m/>
    <m/>
  </r>
  <r>
    <s v="607070021SMP"/>
    <x v="5"/>
    <x v="5"/>
    <m/>
    <x v="2"/>
    <x v="2"/>
    <m/>
    <x v="2"/>
    <x v="2"/>
    <m/>
    <x v="120"/>
    <x v="120"/>
    <m/>
    <x v="1301"/>
    <x v="161"/>
    <m/>
    <x v="1297"/>
    <x v="1877"/>
    <m/>
    <x v="3"/>
    <x v="3"/>
    <m/>
    <n v="-24.473738000000001"/>
    <n v="45.341603999999997"/>
    <m/>
    <m/>
  </r>
  <r>
    <s v="607080017SMP"/>
    <x v="5"/>
    <x v="5"/>
    <m/>
    <x v="2"/>
    <x v="2"/>
    <m/>
    <x v="2"/>
    <x v="2"/>
    <m/>
    <x v="124"/>
    <x v="124"/>
    <m/>
    <x v="1301"/>
    <x v="161"/>
    <m/>
    <x v="1694"/>
    <x v="1878"/>
    <m/>
    <x v="3"/>
    <x v="3"/>
    <m/>
    <n v="-24.473376999999999"/>
    <n v="45.503172999999997"/>
    <m/>
    <m/>
  </r>
  <r>
    <s v="607070025SMP"/>
    <x v="5"/>
    <x v="5"/>
    <m/>
    <x v="2"/>
    <x v="2"/>
    <m/>
    <x v="2"/>
    <x v="2"/>
    <m/>
    <x v="120"/>
    <x v="120"/>
    <m/>
    <x v="1301"/>
    <x v="161"/>
    <m/>
    <x v="1695"/>
    <x v="1879"/>
    <m/>
    <x v="3"/>
    <x v="3"/>
    <m/>
    <n v="-24.468686000000002"/>
    <n v="45.255540000000003"/>
    <m/>
    <m/>
  </r>
  <r>
    <s v="607100010SMP"/>
    <x v="5"/>
    <x v="5"/>
    <m/>
    <x v="2"/>
    <x v="2"/>
    <m/>
    <x v="2"/>
    <x v="2"/>
    <m/>
    <x v="34"/>
    <x v="34"/>
    <m/>
    <x v="1301"/>
    <x v="161"/>
    <m/>
    <x v="1696"/>
    <x v="1880"/>
    <m/>
    <x v="3"/>
    <x v="3"/>
    <m/>
    <n v="-24.457540999999999"/>
    <n v="45.172739999999997"/>
    <m/>
    <m/>
  </r>
  <r>
    <s v="607070006SMP"/>
    <x v="5"/>
    <x v="5"/>
    <m/>
    <x v="2"/>
    <x v="2"/>
    <m/>
    <x v="2"/>
    <x v="2"/>
    <m/>
    <x v="135"/>
    <x v="135"/>
    <m/>
    <x v="1301"/>
    <x v="161"/>
    <m/>
    <x v="1697"/>
    <x v="1881"/>
    <m/>
    <x v="3"/>
    <x v="3"/>
    <m/>
    <n v="-24.452971999999999"/>
    <n v="45.383200000000002"/>
    <m/>
    <m/>
  </r>
  <r>
    <s v="607080023SMP"/>
    <x v="5"/>
    <x v="5"/>
    <m/>
    <x v="2"/>
    <x v="2"/>
    <m/>
    <x v="2"/>
    <x v="2"/>
    <m/>
    <x v="124"/>
    <x v="124"/>
    <m/>
    <x v="1301"/>
    <x v="161"/>
    <m/>
    <x v="1698"/>
    <x v="1882"/>
    <m/>
    <x v="3"/>
    <x v="3"/>
    <m/>
    <n v="-24.448083"/>
    <n v="45.350233000000003"/>
    <m/>
    <m/>
  </r>
  <r>
    <s v="607080006SMP"/>
    <x v="5"/>
    <x v="5"/>
    <m/>
    <x v="2"/>
    <x v="2"/>
    <m/>
    <x v="2"/>
    <x v="2"/>
    <m/>
    <x v="124"/>
    <x v="124"/>
    <m/>
    <x v="1301"/>
    <x v="161"/>
    <m/>
    <x v="1124"/>
    <x v="1883"/>
    <m/>
    <x v="3"/>
    <x v="3"/>
    <m/>
    <n v="-24.436544999999999"/>
    <n v="45.403486000000001"/>
    <m/>
    <m/>
  </r>
  <r>
    <s v="607070013SMP"/>
    <x v="5"/>
    <x v="5"/>
    <m/>
    <x v="2"/>
    <x v="2"/>
    <m/>
    <x v="2"/>
    <x v="2"/>
    <m/>
    <x v="120"/>
    <x v="120"/>
    <m/>
    <x v="1301"/>
    <x v="161"/>
    <m/>
    <x v="1699"/>
    <x v="1884"/>
    <m/>
    <x v="3"/>
    <x v="3"/>
    <m/>
    <n v="-24.434774999999998"/>
    <n v="45.298768000000003"/>
    <m/>
    <m/>
  </r>
  <r>
    <s v="607100003SMP"/>
    <x v="5"/>
    <x v="5"/>
    <m/>
    <x v="2"/>
    <x v="2"/>
    <m/>
    <x v="2"/>
    <x v="2"/>
    <m/>
    <x v="219"/>
    <x v="219"/>
    <m/>
    <x v="1301"/>
    <x v="161"/>
    <m/>
    <x v="1700"/>
    <x v="1885"/>
    <m/>
    <x v="3"/>
    <x v="3"/>
    <m/>
    <n v="-24.412980999999998"/>
    <n v="45.171571"/>
    <m/>
    <m/>
  </r>
  <r>
    <s v="607100006SMP"/>
    <x v="5"/>
    <x v="5"/>
    <m/>
    <x v="2"/>
    <x v="2"/>
    <m/>
    <x v="2"/>
    <x v="2"/>
    <m/>
    <x v="34"/>
    <x v="34"/>
    <m/>
    <x v="1301"/>
    <x v="161"/>
    <m/>
    <x v="880"/>
    <x v="1886"/>
    <m/>
    <x v="3"/>
    <x v="3"/>
    <m/>
    <n v="-24.404381000000001"/>
    <n v="45.068967000000001"/>
    <m/>
    <m/>
  </r>
  <r>
    <s v="607080015SMP"/>
    <x v="5"/>
    <x v="5"/>
    <m/>
    <x v="2"/>
    <x v="2"/>
    <m/>
    <x v="2"/>
    <x v="2"/>
    <m/>
    <x v="124"/>
    <x v="124"/>
    <m/>
    <x v="1301"/>
    <x v="161"/>
    <m/>
    <x v="822"/>
    <x v="1887"/>
    <m/>
    <x v="3"/>
    <x v="3"/>
    <m/>
    <n v="-24.394404999999999"/>
    <n v="45.384563"/>
    <m/>
    <m/>
  </r>
  <r>
    <s v="607160001SMP"/>
    <x v="5"/>
    <x v="5"/>
    <m/>
    <x v="2"/>
    <x v="2"/>
    <m/>
    <x v="2"/>
    <x v="2"/>
    <m/>
    <x v="219"/>
    <x v="219"/>
    <m/>
    <x v="1301"/>
    <x v="161"/>
    <m/>
    <x v="1701"/>
    <x v="1888"/>
    <m/>
    <x v="3"/>
    <x v="3"/>
    <m/>
    <n v="-24.361031000000001"/>
    <n v="45.255336"/>
    <m/>
    <m/>
  </r>
  <r>
    <s v="607080022SMP"/>
    <x v="5"/>
    <x v="5"/>
    <m/>
    <x v="2"/>
    <x v="2"/>
    <m/>
    <x v="2"/>
    <x v="2"/>
    <m/>
    <x v="124"/>
    <x v="124"/>
    <m/>
    <x v="1301"/>
    <x v="161"/>
    <m/>
    <x v="1702"/>
    <x v="1889"/>
    <m/>
    <x v="3"/>
    <x v="3"/>
    <m/>
    <n v="-24.357316999999998"/>
    <n v="45.364899000000001"/>
    <m/>
    <m/>
  </r>
  <r>
    <s v="607120013SMP"/>
    <x v="5"/>
    <x v="5"/>
    <m/>
    <x v="2"/>
    <x v="2"/>
    <m/>
    <x v="2"/>
    <x v="2"/>
    <m/>
    <x v="174"/>
    <x v="174"/>
    <m/>
    <x v="1301"/>
    <x v="161"/>
    <m/>
    <x v="1703"/>
    <x v="1890"/>
    <m/>
    <x v="3"/>
    <x v="3"/>
    <m/>
    <n v="-24.352122000000001"/>
    <n v="45.419967999999997"/>
    <m/>
    <m/>
  </r>
  <r>
    <s v="607120009SMP"/>
    <x v="5"/>
    <x v="5"/>
    <m/>
    <x v="2"/>
    <x v="2"/>
    <m/>
    <x v="2"/>
    <x v="2"/>
    <m/>
    <x v="174"/>
    <x v="174"/>
    <m/>
    <x v="1301"/>
    <x v="161"/>
    <m/>
    <x v="1704"/>
    <x v="1891"/>
    <m/>
    <x v="3"/>
    <x v="3"/>
    <m/>
    <n v="-24.347650999999999"/>
    <n v="45.423206"/>
    <m/>
    <m/>
  </r>
  <r>
    <s v="607120007SMP"/>
    <x v="5"/>
    <x v="5"/>
    <m/>
    <x v="2"/>
    <x v="2"/>
    <m/>
    <x v="2"/>
    <x v="2"/>
    <m/>
    <x v="174"/>
    <x v="174"/>
    <m/>
    <x v="1301"/>
    <x v="161"/>
    <m/>
    <x v="1705"/>
    <x v="1892"/>
    <m/>
    <x v="3"/>
    <x v="3"/>
    <m/>
    <n v="-24.343275999999999"/>
    <n v="45.367531999999997"/>
    <m/>
    <m/>
  </r>
  <r>
    <s v="607120001SMP"/>
    <x v="5"/>
    <x v="5"/>
    <m/>
    <x v="2"/>
    <x v="2"/>
    <m/>
    <x v="2"/>
    <x v="2"/>
    <m/>
    <x v="174"/>
    <x v="174"/>
    <m/>
    <x v="1301"/>
    <x v="161"/>
    <m/>
    <x v="1706"/>
    <x v="1893"/>
    <m/>
    <x v="3"/>
    <x v="3"/>
    <m/>
    <n v="-24.336976"/>
    <n v="45.306252999999998"/>
    <m/>
    <m/>
  </r>
  <r>
    <s v="607160006SMP"/>
    <x v="5"/>
    <x v="5"/>
    <m/>
    <x v="2"/>
    <x v="2"/>
    <m/>
    <x v="2"/>
    <x v="2"/>
    <m/>
    <x v="219"/>
    <x v="219"/>
    <m/>
    <x v="1301"/>
    <x v="161"/>
    <m/>
    <x v="1707"/>
    <x v="1894"/>
    <m/>
    <x v="3"/>
    <x v="3"/>
    <m/>
    <n v="-24.334692"/>
    <n v="45.157586999999999"/>
    <m/>
    <m/>
  </r>
  <r>
    <s v="607120002SMP"/>
    <x v="5"/>
    <x v="5"/>
    <m/>
    <x v="2"/>
    <x v="2"/>
    <m/>
    <x v="2"/>
    <x v="2"/>
    <m/>
    <x v="174"/>
    <x v="174"/>
    <m/>
    <x v="1301"/>
    <x v="161"/>
    <m/>
    <x v="1096"/>
    <x v="1895"/>
    <m/>
    <x v="3"/>
    <x v="3"/>
    <m/>
    <n v="-24.333000999999999"/>
    <n v="45.360956000000002"/>
    <m/>
    <m/>
  </r>
  <r>
    <s v="607160007SMP"/>
    <x v="5"/>
    <x v="5"/>
    <m/>
    <x v="2"/>
    <x v="2"/>
    <m/>
    <x v="2"/>
    <x v="2"/>
    <m/>
    <x v="219"/>
    <x v="219"/>
    <m/>
    <x v="1301"/>
    <x v="161"/>
    <m/>
    <x v="1448"/>
    <x v="1896"/>
    <m/>
    <x v="3"/>
    <x v="3"/>
    <m/>
    <n v="-24.331855000000001"/>
    <n v="45.223564000000003"/>
    <m/>
    <m/>
  </r>
  <r>
    <s v="607040001SMP"/>
    <x v="5"/>
    <x v="5"/>
    <m/>
    <x v="2"/>
    <x v="2"/>
    <m/>
    <x v="2"/>
    <x v="2"/>
    <m/>
    <x v="97"/>
    <x v="98"/>
    <m/>
    <x v="1301"/>
    <x v="161"/>
    <m/>
    <x v="1708"/>
    <x v="1897"/>
    <m/>
    <x v="3"/>
    <x v="3"/>
    <m/>
    <n v="-24.327746000000001"/>
    <n v="45.281132999999997"/>
    <m/>
    <m/>
  </r>
  <r>
    <s v="607120012SMP"/>
    <x v="5"/>
    <x v="5"/>
    <m/>
    <x v="2"/>
    <x v="2"/>
    <m/>
    <x v="2"/>
    <x v="2"/>
    <m/>
    <x v="174"/>
    <x v="174"/>
    <m/>
    <x v="1301"/>
    <x v="161"/>
    <m/>
    <x v="1709"/>
    <x v="1898"/>
    <m/>
    <x v="3"/>
    <x v="3"/>
    <m/>
    <n v="-24.322808999999999"/>
    <n v="45.380549000000002"/>
    <m/>
    <m/>
  </r>
  <r>
    <s v="607120014SMP"/>
    <x v="5"/>
    <x v="5"/>
    <m/>
    <x v="2"/>
    <x v="2"/>
    <m/>
    <x v="2"/>
    <x v="2"/>
    <m/>
    <x v="174"/>
    <x v="174"/>
    <m/>
    <x v="1301"/>
    <x v="161"/>
    <m/>
    <x v="1137"/>
    <x v="1899"/>
    <m/>
    <x v="3"/>
    <x v="3"/>
    <m/>
    <n v="-24.319915000000002"/>
    <n v="45.391314999999999"/>
    <m/>
    <m/>
  </r>
  <r>
    <s v="607040005SMP"/>
    <x v="5"/>
    <x v="5"/>
    <m/>
    <x v="2"/>
    <x v="2"/>
    <m/>
    <x v="2"/>
    <x v="2"/>
    <m/>
    <x v="97"/>
    <x v="98"/>
    <m/>
    <x v="1301"/>
    <x v="161"/>
    <m/>
    <x v="814"/>
    <x v="1900"/>
    <m/>
    <x v="3"/>
    <x v="3"/>
    <m/>
    <n v="-24.318957999999999"/>
    <n v="45.257936999999998"/>
    <m/>
    <m/>
  </r>
  <r>
    <s v="607120010SMP"/>
    <x v="5"/>
    <x v="5"/>
    <m/>
    <x v="2"/>
    <x v="2"/>
    <m/>
    <x v="2"/>
    <x v="2"/>
    <m/>
    <x v="174"/>
    <x v="174"/>
    <m/>
    <x v="1301"/>
    <x v="161"/>
    <m/>
    <x v="1710"/>
    <x v="1901"/>
    <m/>
    <x v="3"/>
    <x v="3"/>
    <m/>
    <n v="-24.311373"/>
    <n v="45.329394000000001"/>
    <m/>
    <m/>
  </r>
  <r>
    <s v="607160004SMP"/>
    <x v="5"/>
    <x v="5"/>
    <m/>
    <x v="2"/>
    <x v="2"/>
    <m/>
    <x v="2"/>
    <x v="2"/>
    <m/>
    <x v="219"/>
    <x v="219"/>
    <m/>
    <x v="1301"/>
    <x v="161"/>
    <m/>
    <x v="1711"/>
    <x v="1902"/>
    <m/>
    <x v="3"/>
    <x v="3"/>
    <m/>
    <n v="-24.307428999999999"/>
    <n v="45.276195000000001"/>
    <m/>
    <m/>
  </r>
  <r>
    <s v="607120015SMP"/>
    <x v="5"/>
    <x v="5"/>
    <m/>
    <x v="2"/>
    <x v="2"/>
    <m/>
    <x v="2"/>
    <x v="2"/>
    <m/>
    <x v="174"/>
    <x v="174"/>
    <m/>
    <x v="1301"/>
    <x v="161"/>
    <m/>
    <x v="1712"/>
    <x v="1903"/>
    <m/>
    <x v="3"/>
    <x v="3"/>
    <m/>
    <n v="-24.304887999999998"/>
    <n v="45.408659"/>
    <m/>
    <m/>
  </r>
  <r>
    <s v="607040003SMP"/>
    <x v="5"/>
    <x v="5"/>
    <m/>
    <x v="2"/>
    <x v="2"/>
    <m/>
    <x v="2"/>
    <x v="2"/>
    <m/>
    <x v="97"/>
    <x v="98"/>
    <m/>
    <x v="1301"/>
    <x v="161"/>
    <m/>
    <x v="1713"/>
    <x v="1904"/>
    <m/>
    <x v="3"/>
    <x v="3"/>
    <m/>
    <n v="-24.303552"/>
    <n v="45.294536999999998"/>
    <m/>
    <m/>
  </r>
  <r>
    <s v="607120016SMP"/>
    <x v="5"/>
    <x v="5"/>
    <m/>
    <x v="2"/>
    <x v="2"/>
    <m/>
    <x v="2"/>
    <x v="2"/>
    <m/>
    <x v="174"/>
    <x v="174"/>
    <m/>
    <x v="1301"/>
    <x v="161"/>
    <m/>
    <x v="890"/>
    <x v="1905"/>
    <m/>
    <x v="3"/>
    <x v="3"/>
    <m/>
    <n v="-24.296292000000001"/>
    <n v="45.349525"/>
    <m/>
    <m/>
  </r>
  <r>
    <s v="607150011SMP"/>
    <x v="5"/>
    <x v="5"/>
    <m/>
    <x v="2"/>
    <x v="2"/>
    <m/>
    <x v="2"/>
    <x v="2"/>
    <m/>
    <x v="208"/>
    <x v="208"/>
    <m/>
    <x v="1301"/>
    <x v="161"/>
    <m/>
    <x v="352"/>
    <x v="1906"/>
    <m/>
    <x v="3"/>
    <x v="3"/>
    <m/>
    <n v="-24.268795000000001"/>
    <n v="45.453372000000002"/>
    <m/>
    <m/>
  </r>
  <r>
    <s v="607040004SMP"/>
    <x v="5"/>
    <x v="5"/>
    <m/>
    <x v="2"/>
    <x v="2"/>
    <m/>
    <x v="2"/>
    <x v="2"/>
    <m/>
    <x v="97"/>
    <x v="98"/>
    <m/>
    <x v="1301"/>
    <x v="161"/>
    <m/>
    <x v="1714"/>
    <x v="1907"/>
    <m/>
    <x v="3"/>
    <x v="3"/>
    <m/>
    <n v="-24.266877000000001"/>
    <n v="45.282221"/>
    <m/>
    <m/>
  </r>
  <r>
    <s v="607120003SMP"/>
    <x v="5"/>
    <x v="5"/>
    <m/>
    <x v="2"/>
    <x v="2"/>
    <m/>
    <x v="2"/>
    <x v="2"/>
    <m/>
    <x v="174"/>
    <x v="174"/>
    <m/>
    <x v="1301"/>
    <x v="161"/>
    <m/>
    <x v="1715"/>
    <x v="1908"/>
    <m/>
    <x v="3"/>
    <x v="3"/>
    <m/>
    <n v="-24.259755999999999"/>
    <n v="45.372973000000002"/>
    <m/>
    <m/>
  </r>
  <r>
    <s v="607060004SMP"/>
    <x v="5"/>
    <x v="5"/>
    <m/>
    <x v="2"/>
    <x v="2"/>
    <m/>
    <x v="2"/>
    <x v="2"/>
    <m/>
    <x v="33"/>
    <x v="33"/>
    <m/>
    <x v="1301"/>
    <x v="161"/>
    <m/>
    <x v="221"/>
    <x v="1909"/>
    <m/>
    <x v="3"/>
    <x v="3"/>
    <m/>
    <n v="-24.25103"/>
    <n v="45.090549000000003"/>
    <m/>
    <m/>
  </r>
  <r>
    <s v="607060003SMP"/>
    <x v="5"/>
    <x v="5"/>
    <m/>
    <x v="2"/>
    <x v="2"/>
    <m/>
    <x v="2"/>
    <x v="2"/>
    <m/>
    <x v="33"/>
    <x v="33"/>
    <m/>
    <x v="1301"/>
    <x v="161"/>
    <m/>
    <x v="1716"/>
    <x v="1910"/>
    <m/>
    <x v="3"/>
    <x v="3"/>
    <m/>
    <n v="-24.248405000000002"/>
    <n v="45.156483999999999"/>
    <m/>
    <m/>
  </r>
  <r>
    <s v="607120011SMP"/>
    <x v="5"/>
    <x v="5"/>
    <m/>
    <x v="2"/>
    <x v="2"/>
    <m/>
    <x v="2"/>
    <x v="2"/>
    <m/>
    <x v="174"/>
    <x v="174"/>
    <m/>
    <x v="1301"/>
    <x v="161"/>
    <m/>
    <x v="1717"/>
    <x v="1911"/>
    <m/>
    <x v="3"/>
    <x v="3"/>
    <m/>
    <n v="-24.247091999999999"/>
    <n v="45.386054999999999"/>
    <m/>
    <m/>
  </r>
  <r>
    <s v="607060005SMP"/>
    <x v="5"/>
    <x v="5"/>
    <m/>
    <x v="2"/>
    <x v="2"/>
    <m/>
    <x v="2"/>
    <x v="2"/>
    <m/>
    <x v="33"/>
    <x v="33"/>
    <m/>
    <x v="1301"/>
    <x v="161"/>
    <m/>
    <x v="1231"/>
    <x v="1912"/>
    <m/>
    <x v="3"/>
    <x v="3"/>
    <m/>
    <n v="-24.246148999999999"/>
    <n v="45.181215000000002"/>
    <m/>
    <m/>
  </r>
  <r>
    <s v="607140003SMP"/>
    <x v="5"/>
    <x v="5"/>
    <m/>
    <x v="2"/>
    <x v="2"/>
    <m/>
    <x v="2"/>
    <x v="2"/>
    <m/>
    <x v="36"/>
    <x v="36"/>
    <m/>
    <x v="1301"/>
    <x v="161"/>
    <m/>
    <x v="235"/>
    <x v="1913"/>
    <m/>
    <x v="3"/>
    <x v="3"/>
    <m/>
    <n v="-24.246115"/>
    <n v="45.382339999999999"/>
    <m/>
    <m/>
  </r>
  <r>
    <s v="607140001SMP"/>
    <x v="5"/>
    <x v="5"/>
    <m/>
    <x v="2"/>
    <x v="2"/>
    <m/>
    <x v="2"/>
    <x v="2"/>
    <m/>
    <x v="97"/>
    <x v="98"/>
    <m/>
    <x v="1301"/>
    <x v="161"/>
    <m/>
    <x v="1718"/>
    <x v="1914"/>
    <m/>
    <x v="3"/>
    <x v="3"/>
    <m/>
    <n v="-24.245059999999999"/>
    <n v="45.222526000000002"/>
    <m/>
    <m/>
  </r>
  <r>
    <s v="607150017SMP"/>
    <x v="5"/>
    <x v="5"/>
    <m/>
    <x v="2"/>
    <x v="2"/>
    <m/>
    <x v="2"/>
    <x v="2"/>
    <m/>
    <x v="208"/>
    <x v="208"/>
    <m/>
    <x v="1301"/>
    <x v="161"/>
    <m/>
    <x v="1296"/>
    <x v="1915"/>
    <m/>
    <x v="3"/>
    <x v="3"/>
    <m/>
    <n v="-24.233919"/>
    <n v="45.409103999999999"/>
    <m/>
    <m/>
  </r>
  <r>
    <s v="607140013SMP"/>
    <x v="5"/>
    <x v="5"/>
    <m/>
    <x v="2"/>
    <x v="2"/>
    <m/>
    <x v="2"/>
    <x v="2"/>
    <m/>
    <x v="36"/>
    <x v="36"/>
    <m/>
    <x v="1301"/>
    <x v="161"/>
    <m/>
    <x v="1719"/>
    <x v="1916"/>
    <m/>
    <x v="3"/>
    <x v="3"/>
    <m/>
    <n v="-24.230301000000001"/>
    <n v="45.323439"/>
    <m/>
    <m/>
  </r>
  <r>
    <s v="607140010SMP"/>
    <x v="5"/>
    <x v="5"/>
    <m/>
    <x v="2"/>
    <x v="2"/>
    <m/>
    <x v="2"/>
    <x v="2"/>
    <m/>
    <x v="36"/>
    <x v="36"/>
    <m/>
    <x v="1301"/>
    <x v="161"/>
    <m/>
    <x v="693"/>
    <x v="1917"/>
    <m/>
    <x v="3"/>
    <x v="3"/>
    <m/>
    <n v="-24.229281"/>
    <n v="45.309958999999999"/>
    <m/>
    <m/>
  </r>
  <r>
    <s v="607050006SMP"/>
    <x v="5"/>
    <x v="5"/>
    <m/>
    <x v="2"/>
    <x v="2"/>
    <m/>
    <x v="2"/>
    <x v="2"/>
    <m/>
    <x v="100"/>
    <x v="100"/>
    <m/>
    <x v="1301"/>
    <x v="161"/>
    <m/>
    <x v="635"/>
    <x v="1918"/>
    <m/>
    <x v="3"/>
    <x v="3"/>
    <m/>
    <n v="-24.215945999999999"/>
    <n v="45.219791000000001"/>
    <m/>
    <m/>
  </r>
  <r>
    <s v="607150019SMP"/>
    <x v="5"/>
    <x v="5"/>
    <m/>
    <x v="2"/>
    <x v="2"/>
    <m/>
    <x v="2"/>
    <x v="2"/>
    <m/>
    <x v="208"/>
    <x v="208"/>
    <m/>
    <x v="1301"/>
    <x v="161"/>
    <m/>
    <x v="1380"/>
    <x v="1919"/>
    <m/>
    <x v="3"/>
    <x v="3"/>
    <m/>
    <n v="-24.214797000000001"/>
    <n v="45.489702000000001"/>
    <m/>
    <m/>
  </r>
  <r>
    <s v="607050008SMP"/>
    <x v="5"/>
    <x v="5"/>
    <m/>
    <x v="2"/>
    <x v="2"/>
    <m/>
    <x v="2"/>
    <x v="2"/>
    <m/>
    <x v="100"/>
    <x v="100"/>
    <m/>
    <x v="1301"/>
    <x v="161"/>
    <m/>
    <x v="1720"/>
    <x v="1920"/>
    <m/>
    <x v="3"/>
    <x v="3"/>
    <m/>
    <n v="-24.196213"/>
    <n v="45.287545000000001"/>
    <m/>
    <m/>
  </r>
  <r>
    <s v="607150012SMP"/>
    <x v="5"/>
    <x v="5"/>
    <m/>
    <x v="2"/>
    <x v="2"/>
    <m/>
    <x v="2"/>
    <x v="2"/>
    <m/>
    <x v="208"/>
    <x v="208"/>
    <m/>
    <x v="1301"/>
    <x v="161"/>
    <m/>
    <x v="1721"/>
    <x v="1921"/>
    <m/>
    <x v="3"/>
    <x v="3"/>
    <m/>
    <n v="-24.192139999999998"/>
    <n v="45.391230999999998"/>
    <m/>
    <m/>
  </r>
  <r>
    <s v="607150002SMP"/>
    <x v="5"/>
    <x v="5"/>
    <m/>
    <x v="2"/>
    <x v="2"/>
    <m/>
    <x v="2"/>
    <x v="2"/>
    <m/>
    <x v="208"/>
    <x v="208"/>
    <m/>
    <x v="1301"/>
    <x v="161"/>
    <m/>
    <x v="1722"/>
    <x v="1922"/>
    <m/>
    <x v="3"/>
    <x v="3"/>
    <m/>
    <n v="-24.191699"/>
    <n v="45.422002999999997"/>
    <m/>
    <m/>
  </r>
  <r>
    <s v="607090010SMP"/>
    <x v="5"/>
    <x v="5"/>
    <m/>
    <x v="2"/>
    <x v="2"/>
    <m/>
    <x v="2"/>
    <x v="2"/>
    <m/>
    <x v="7"/>
    <x v="7"/>
    <m/>
    <x v="1301"/>
    <x v="161"/>
    <m/>
    <x v="46"/>
    <x v="1923"/>
    <m/>
    <x v="3"/>
    <x v="3"/>
    <m/>
    <n v="-24.177744000000001"/>
    <n v="45.675134"/>
    <m/>
    <m/>
  </r>
  <r>
    <s v="607190011SMP"/>
    <x v="5"/>
    <x v="5"/>
    <m/>
    <x v="2"/>
    <x v="2"/>
    <m/>
    <x v="2"/>
    <x v="2"/>
    <m/>
    <x v="9"/>
    <x v="9"/>
    <m/>
    <x v="1301"/>
    <x v="161"/>
    <m/>
    <x v="1723"/>
    <x v="1924"/>
    <m/>
    <x v="3"/>
    <x v="3"/>
    <m/>
    <n v="-24.173067"/>
    <n v="45.331453000000003"/>
    <m/>
    <m/>
  </r>
  <r>
    <s v="607050001SMP"/>
    <x v="5"/>
    <x v="5"/>
    <m/>
    <x v="2"/>
    <x v="2"/>
    <m/>
    <x v="2"/>
    <x v="2"/>
    <m/>
    <x v="100"/>
    <x v="100"/>
    <m/>
    <x v="1301"/>
    <x v="161"/>
    <m/>
    <x v="633"/>
    <x v="1925"/>
    <m/>
    <x v="3"/>
    <x v="3"/>
    <m/>
    <n v="-24.170627"/>
    <n v="45.199527000000003"/>
    <m/>
    <m/>
  </r>
  <r>
    <s v="607190008SMP"/>
    <x v="5"/>
    <x v="5"/>
    <m/>
    <x v="2"/>
    <x v="2"/>
    <m/>
    <x v="2"/>
    <x v="2"/>
    <m/>
    <x v="9"/>
    <x v="9"/>
    <m/>
    <x v="1301"/>
    <x v="161"/>
    <m/>
    <x v="62"/>
    <x v="1926"/>
    <m/>
    <x v="3"/>
    <x v="3"/>
    <m/>
    <n v="-24.166025000000001"/>
    <n v="45.272323999999998"/>
    <m/>
    <m/>
  </r>
  <r>
    <s v="607190001SMP"/>
    <x v="5"/>
    <x v="5"/>
    <m/>
    <x v="2"/>
    <x v="2"/>
    <m/>
    <x v="2"/>
    <x v="2"/>
    <m/>
    <x v="35"/>
    <x v="35"/>
    <m/>
    <x v="1301"/>
    <x v="161"/>
    <m/>
    <x v="58"/>
    <x v="1927"/>
    <m/>
    <x v="3"/>
    <x v="3"/>
    <m/>
    <n v="-24.163525"/>
    <n v="45.149593000000003"/>
    <m/>
    <m/>
  </r>
  <r>
    <s v="607190003SMP"/>
    <x v="5"/>
    <x v="5"/>
    <m/>
    <x v="2"/>
    <x v="2"/>
    <m/>
    <x v="2"/>
    <x v="2"/>
    <m/>
    <x v="9"/>
    <x v="9"/>
    <m/>
    <x v="1301"/>
    <x v="161"/>
    <m/>
    <x v="876"/>
    <x v="1928"/>
    <m/>
    <x v="3"/>
    <x v="3"/>
    <m/>
    <n v="-24.159776999999998"/>
    <n v="45.236863999999997"/>
    <m/>
    <m/>
  </r>
  <r>
    <s v="607190005SMP"/>
    <x v="5"/>
    <x v="5"/>
    <m/>
    <x v="2"/>
    <x v="2"/>
    <m/>
    <x v="2"/>
    <x v="2"/>
    <m/>
    <x v="9"/>
    <x v="9"/>
    <m/>
    <x v="1301"/>
    <x v="161"/>
    <m/>
    <x v="1397"/>
    <x v="1929"/>
    <m/>
    <x v="3"/>
    <x v="3"/>
    <m/>
    <n v="-24.158683"/>
    <n v="45.338039999999999"/>
    <m/>
    <m/>
  </r>
  <r>
    <s v="607150010SMP"/>
    <x v="5"/>
    <x v="5"/>
    <m/>
    <x v="2"/>
    <x v="2"/>
    <m/>
    <x v="2"/>
    <x v="2"/>
    <m/>
    <x v="208"/>
    <x v="208"/>
    <m/>
    <x v="1301"/>
    <x v="161"/>
    <m/>
    <x v="1724"/>
    <x v="1930"/>
    <m/>
    <x v="3"/>
    <x v="3"/>
    <m/>
    <n v="-24.158619999999999"/>
    <n v="45.496848"/>
    <m/>
    <m/>
  </r>
  <r>
    <s v="607050003SMP"/>
    <x v="5"/>
    <x v="5"/>
    <m/>
    <x v="2"/>
    <x v="2"/>
    <m/>
    <x v="2"/>
    <x v="2"/>
    <m/>
    <x v="100"/>
    <x v="100"/>
    <m/>
    <x v="1301"/>
    <x v="161"/>
    <m/>
    <x v="1725"/>
    <x v="1931"/>
    <m/>
    <x v="3"/>
    <x v="3"/>
    <m/>
    <n v="-24.158149000000002"/>
    <n v="45.318322999999999"/>
    <m/>
    <m/>
  </r>
  <r>
    <s v="607170006SMP"/>
    <x v="5"/>
    <x v="5"/>
    <m/>
    <x v="2"/>
    <x v="2"/>
    <m/>
    <x v="2"/>
    <x v="2"/>
    <m/>
    <x v="220"/>
    <x v="37"/>
    <m/>
    <x v="1301"/>
    <x v="161"/>
    <m/>
    <x v="1726"/>
    <x v="1932"/>
    <m/>
    <x v="3"/>
    <x v="3"/>
    <m/>
    <n v="-24.145789000000001"/>
    <n v="45.378261999999999"/>
    <m/>
    <m/>
  </r>
  <r>
    <s v="607190009SMP"/>
    <x v="5"/>
    <x v="5"/>
    <m/>
    <x v="2"/>
    <x v="2"/>
    <m/>
    <x v="2"/>
    <x v="2"/>
    <m/>
    <x v="35"/>
    <x v="35"/>
    <m/>
    <x v="1301"/>
    <x v="161"/>
    <m/>
    <x v="877"/>
    <x v="1933"/>
    <m/>
    <x v="3"/>
    <x v="3"/>
    <m/>
    <n v="-24.138065999999998"/>
    <n v="45.202793999999997"/>
    <m/>
    <m/>
  </r>
  <r>
    <s v="607010032SMP"/>
    <x v="5"/>
    <x v="5"/>
    <m/>
    <x v="2"/>
    <x v="2"/>
    <m/>
    <x v="2"/>
    <x v="2"/>
    <m/>
    <x v="35"/>
    <x v="35"/>
    <m/>
    <x v="1301"/>
    <x v="161"/>
    <m/>
    <x v="1727"/>
    <x v="1934"/>
    <m/>
    <x v="3"/>
    <x v="3"/>
    <m/>
    <n v="-24.132477000000002"/>
    <n v="45.172060000000002"/>
    <m/>
    <m/>
  </r>
  <r>
    <s v="607010027SMP"/>
    <x v="5"/>
    <x v="5"/>
    <m/>
    <x v="2"/>
    <x v="2"/>
    <m/>
    <x v="2"/>
    <x v="2"/>
    <m/>
    <x v="9"/>
    <x v="9"/>
    <m/>
    <x v="1301"/>
    <x v="161"/>
    <m/>
    <x v="298"/>
    <x v="1935"/>
    <m/>
    <x v="3"/>
    <x v="3"/>
    <m/>
    <n v="-24.132173999999999"/>
    <n v="45.256228999999998"/>
    <m/>
    <m/>
  </r>
  <r>
    <s v="607140007SMP"/>
    <x v="5"/>
    <x v="5"/>
    <m/>
    <x v="2"/>
    <x v="2"/>
    <m/>
    <x v="2"/>
    <x v="2"/>
    <m/>
    <x v="36"/>
    <x v="36"/>
    <m/>
    <x v="1301"/>
    <x v="161"/>
    <m/>
    <x v="1728"/>
    <x v="1936"/>
    <m/>
    <x v="3"/>
    <x v="3"/>
    <m/>
    <n v="-24.13148"/>
    <n v="45.19079"/>
    <m/>
    <m/>
  </r>
  <r>
    <s v="607140008SMP"/>
    <x v="5"/>
    <x v="5"/>
    <m/>
    <x v="2"/>
    <x v="2"/>
    <m/>
    <x v="2"/>
    <x v="2"/>
    <m/>
    <x v="36"/>
    <x v="36"/>
    <m/>
    <x v="1301"/>
    <x v="161"/>
    <m/>
    <x v="1729"/>
    <x v="1937"/>
    <m/>
    <x v="3"/>
    <x v="3"/>
    <m/>
    <n v="-24.13148"/>
    <n v="45.19079"/>
    <m/>
    <m/>
  </r>
  <r>
    <s v="607140004SMP"/>
    <x v="5"/>
    <x v="5"/>
    <m/>
    <x v="2"/>
    <x v="2"/>
    <m/>
    <x v="2"/>
    <x v="2"/>
    <m/>
    <x v="97"/>
    <x v="98"/>
    <m/>
    <x v="1301"/>
    <x v="161"/>
    <m/>
    <x v="1730"/>
    <x v="1938"/>
    <m/>
    <x v="3"/>
    <x v="3"/>
    <m/>
    <n v="-24.13148"/>
    <n v="45.19079"/>
    <m/>
    <m/>
  </r>
  <r>
    <s v="607140005SMP"/>
    <x v="5"/>
    <x v="5"/>
    <m/>
    <x v="2"/>
    <x v="2"/>
    <m/>
    <x v="2"/>
    <x v="2"/>
    <m/>
    <x v="97"/>
    <x v="98"/>
    <m/>
    <x v="1301"/>
    <x v="161"/>
    <m/>
    <x v="1731"/>
    <x v="1939"/>
    <m/>
    <x v="3"/>
    <x v="3"/>
    <m/>
    <n v="-24.13148"/>
    <n v="45.19079"/>
    <m/>
    <m/>
  </r>
  <r>
    <s v="607140009SMP"/>
    <x v="5"/>
    <x v="5"/>
    <m/>
    <x v="2"/>
    <x v="2"/>
    <m/>
    <x v="2"/>
    <x v="2"/>
    <m/>
    <x v="36"/>
    <x v="36"/>
    <m/>
    <x v="1301"/>
    <x v="161"/>
    <m/>
    <x v="234"/>
    <x v="1940"/>
    <m/>
    <x v="3"/>
    <x v="3"/>
    <m/>
    <n v="-24.130410000000001"/>
    <n v="45.200130000000001"/>
    <m/>
    <m/>
  </r>
  <r>
    <s v="607190007SMP"/>
    <x v="5"/>
    <x v="5"/>
    <m/>
    <x v="2"/>
    <x v="2"/>
    <m/>
    <x v="2"/>
    <x v="2"/>
    <m/>
    <x v="9"/>
    <x v="9"/>
    <m/>
    <x v="1301"/>
    <x v="161"/>
    <m/>
    <x v="336"/>
    <x v="1941"/>
    <m/>
    <x v="3"/>
    <x v="3"/>
    <m/>
    <n v="-24.130147999999998"/>
    <n v="45.211703999999997"/>
    <m/>
    <m/>
  </r>
  <r>
    <s v="607170005SMP"/>
    <x v="5"/>
    <x v="5"/>
    <m/>
    <x v="2"/>
    <x v="2"/>
    <m/>
    <x v="2"/>
    <x v="2"/>
    <m/>
    <x v="220"/>
    <x v="37"/>
    <m/>
    <x v="1301"/>
    <x v="161"/>
    <m/>
    <x v="1732"/>
    <x v="1942"/>
    <m/>
    <x v="3"/>
    <x v="3"/>
    <m/>
    <n v="-24.127579000000001"/>
    <n v="45.324190000000002"/>
    <m/>
    <m/>
  </r>
  <r>
    <s v="607170002SMP"/>
    <x v="5"/>
    <x v="5"/>
    <m/>
    <x v="2"/>
    <x v="2"/>
    <m/>
    <x v="2"/>
    <x v="2"/>
    <m/>
    <x v="220"/>
    <x v="37"/>
    <m/>
    <x v="1301"/>
    <x v="161"/>
    <m/>
    <x v="1453"/>
    <x v="1943"/>
    <m/>
    <x v="3"/>
    <x v="3"/>
    <m/>
    <n v="-24.126232999999999"/>
    <n v="45.328152000000003"/>
    <m/>
    <m/>
  </r>
  <r>
    <s v="607090006SMP"/>
    <x v="5"/>
    <x v="5"/>
    <m/>
    <x v="2"/>
    <x v="2"/>
    <m/>
    <x v="2"/>
    <x v="2"/>
    <m/>
    <x v="227"/>
    <x v="226"/>
    <m/>
    <x v="1301"/>
    <x v="161"/>
    <m/>
    <x v="1733"/>
    <x v="1944"/>
    <m/>
    <x v="3"/>
    <x v="3"/>
    <m/>
    <n v="-24.119714999999999"/>
    <n v="45.534677000000002"/>
    <m/>
    <m/>
  </r>
  <r>
    <s v="607010024SMP"/>
    <x v="5"/>
    <x v="5"/>
    <m/>
    <x v="2"/>
    <x v="2"/>
    <m/>
    <x v="2"/>
    <x v="2"/>
    <m/>
    <x v="35"/>
    <x v="35"/>
    <m/>
    <x v="1301"/>
    <x v="161"/>
    <m/>
    <x v="210"/>
    <x v="1945"/>
    <m/>
    <x v="3"/>
    <x v="3"/>
    <m/>
    <n v="-24.108205999999999"/>
    <n v="45.180531000000002"/>
    <m/>
    <m/>
  </r>
  <r>
    <s v="607090012SMP"/>
    <x v="5"/>
    <x v="5"/>
    <m/>
    <x v="2"/>
    <x v="2"/>
    <m/>
    <x v="2"/>
    <x v="2"/>
    <m/>
    <x v="124"/>
    <x v="124"/>
    <m/>
    <x v="1301"/>
    <x v="161"/>
    <m/>
    <x v="1734"/>
    <x v="1946"/>
    <m/>
    <x v="3"/>
    <x v="3"/>
    <m/>
    <n v="-24.103884000000001"/>
    <n v="45.687466999999998"/>
    <m/>
    <m/>
  </r>
  <r>
    <s v="607090005SMP"/>
    <x v="5"/>
    <x v="5"/>
    <m/>
    <x v="2"/>
    <x v="2"/>
    <m/>
    <x v="2"/>
    <x v="2"/>
    <m/>
    <x v="227"/>
    <x v="226"/>
    <m/>
    <x v="1301"/>
    <x v="161"/>
    <m/>
    <x v="1735"/>
    <x v="1947"/>
    <m/>
    <x v="3"/>
    <x v="3"/>
    <m/>
    <n v="-24.100788999999999"/>
    <n v="45.530045000000001"/>
    <m/>
    <m/>
  </r>
  <r>
    <s v="607020010SMP"/>
    <x v="5"/>
    <x v="5"/>
    <m/>
    <x v="2"/>
    <x v="2"/>
    <m/>
    <x v="2"/>
    <x v="2"/>
    <m/>
    <x v="220"/>
    <x v="37"/>
    <m/>
    <x v="1301"/>
    <x v="161"/>
    <m/>
    <x v="360"/>
    <x v="1948"/>
    <m/>
    <x v="3"/>
    <x v="3"/>
    <m/>
    <n v="-24.094989000000002"/>
    <n v="45.374634"/>
    <m/>
    <m/>
  </r>
  <r>
    <s v="607010001SMP"/>
    <x v="5"/>
    <x v="5"/>
    <m/>
    <x v="2"/>
    <x v="2"/>
    <m/>
    <x v="2"/>
    <x v="2"/>
    <m/>
    <x v="32"/>
    <x v="32"/>
    <m/>
    <x v="1301"/>
    <x v="161"/>
    <m/>
    <x v="1736"/>
    <x v="1949"/>
    <m/>
    <x v="3"/>
    <x v="3"/>
    <m/>
    <n v="-24.067719"/>
    <n v="45.233809999999998"/>
    <m/>
    <m/>
  </r>
  <r>
    <s v="607020009SMP"/>
    <x v="5"/>
    <x v="5"/>
    <m/>
    <x v="2"/>
    <x v="2"/>
    <m/>
    <x v="2"/>
    <x v="2"/>
    <m/>
    <x v="67"/>
    <x v="67"/>
    <m/>
    <x v="1301"/>
    <x v="161"/>
    <m/>
    <x v="1737"/>
    <x v="1950"/>
    <m/>
    <x v="3"/>
    <x v="3"/>
    <m/>
    <n v="-24.051641"/>
    <n v="45.398195999999999"/>
    <m/>
    <m/>
  </r>
  <r>
    <s v="607010004SMP"/>
    <x v="5"/>
    <x v="5"/>
    <m/>
    <x v="2"/>
    <x v="2"/>
    <m/>
    <x v="2"/>
    <x v="2"/>
    <m/>
    <x v="32"/>
    <x v="32"/>
    <m/>
    <x v="1301"/>
    <x v="161"/>
    <m/>
    <x v="219"/>
    <x v="1951"/>
    <m/>
    <x v="3"/>
    <x v="3"/>
    <m/>
    <n v="-24.046983000000001"/>
    <n v="45.179830000000003"/>
    <m/>
    <m/>
  </r>
  <r>
    <s v="607010029SMP"/>
    <x v="5"/>
    <x v="5"/>
    <m/>
    <x v="2"/>
    <x v="2"/>
    <m/>
    <x v="2"/>
    <x v="2"/>
    <m/>
    <x v="67"/>
    <x v="67"/>
    <m/>
    <x v="1301"/>
    <x v="161"/>
    <m/>
    <x v="1738"/>
    <x v="1952"/>
    <m/>
    <x v="3"/>
    <x v="3"/>
    <m/>
    <n v="-24.045093999999999"/>
    <n v="45.350755999999997"/>
    <m/>
    <m/>
  </r>
  <r>
    <s v="607180002SMP"/>
    <x v="5"/>
    <x v="5"/>
    <m/>
    <x v="2"/>
    <x v="2"/>
    <m/>
    <x v="2"/>
    <x v="2"/>
    <m/>
    <x v="227"/>
    <x v="226"/>
    <m/>
    <x v="1301"/>
    <x v="161"/>
    <m/>
    <x v="1739"/>
    <x v="1953"/>
    <m/>
    <x v="3"/>
    <x v="3"/>
    <m/>
    <n v="-24.024989999999999"/>
    <n v="45.621921"/>
    <m/>
    <m/>
  </r>
  <r>
    <s v="607020007SMP"/>
    <x v="5"/>
    <x v="5"/>
    <m/>
    <x v="2"/>
    <x v="2"/>
    <m/>
    <x v="2"/>
    <x v="2"/>
    <m/>
    <x v="67"/>
    <x v="67"/>
    <m/>
    <x v="1301"/>
    <x v="161"/>
    <m/>
    <x v="1740"/>
    <x v="1954"/>
    <m/>
    <x v="3"/>
    <x v="3"/>
    <m/>
    <n v="-24.023835999999999"/>
    <n v="45.381666000000003"/>
    <m/>
    <m/>
  </r>
  <r>
    <s v="607020011SMP"/>
    <x v="5"/>
    <x v="5"/>
    <m/>
    <x v="2"/>
    <x v="2"/>
    <m/>
    <x v="2"/>
    <x v="2"/>
    <m/>
    <x v="67"/>
    <x v="67"/>
    <m/>
    <x v="1301"/>
    <x v="161"/>
    <m/>
    <x v="579"/>
    <x v="1955"/>
    <m/>
    <x v="3"/>
    <x v="3"/>
    <m/>
    <n v="-24.021061"/>
    <n v="45.413983999999999"/>
    <m/>
    <m/>
  </r>
  <r>
    <s v="607010023SMP"/>
    <x v="5"/>
    <x v="5"/>
    <m/>
    <x v="2"/>
    <x v="2"/>
    <m/>
    <x v="2"/>
    <x v="2"/>
    <m/>
    <x v="32"/>
    <x v="32"/>
    <m/>
    <x v="1301"/>
    <x v="161"/>
    <m/>
    <x v="1741"/>
    <x v="1956"/>
    <m/>
    <x v="3"/>
    <x v="3"/>
    <m/>
    <n v="-24.005765"/>
    <n v="45.258088999999998"/>
    <m/>
    <m/>
  </r>
  <r>
    <s v="607010021SMP"/>
    <x v="5"/>
    <x v="5"/>
    <m/>
    <x v="2"/>
    <x v="2"/>
    <m/>
    <x v="2"/>
    <x v="2"/>
    <m/>
    <x v="67"/>
    <x v="67"/>
    <m/>
    <x v="1301"/>
    <x v="161"/>
    <m/>
    <x v="1742"/>
    <x v="1957"/>
    <m/>
    <x v="3"/>
    <x v="3"/>
    <m/>
    <n v="-23.941123999999999"/>
    <n v="45.418500999999999"/>
    <m/>
    <m/>
  </r>
  <r>
    <s v="607010020SMP"/>
    <x v="5"/>
    <x v="5"/>
    <m/>
    <x v="2"/>
    <x v="2"/>
    <m/>
    <x v="2"/>
    <x v="2"/>
    <m/>
    <x v="32"/>
    <x v="32"/>
    <m/>
    <x v="1301"/>
    <x v="161"/>
    <m/>
    <x v="1362"/>
    <x v="1958"/>
    <m/>
    <x v="3"/>
    <x v="3"/>
    <m/>
    <n v="-23.914992000000002"/>
    <n v="45.254705000000001"/>
    <m/>
    <m/>
  </r>
  <r>
    <s v="607130017SMP"/>
    <x v="5"/>
    <x v="5"/>
    <m/>
    <x v="2"/>
    <x v="2"/>
    <m/>
    <x v="2"/>
    <x v="2"/>
    <m/>
    <x v="192"/>
    <x v="192"/>
    <m/>
    <x v="1301"/>
    <x v="161"/>
    <m/>
    <x v="1743"/>
    <x v="1959"/>
    <m/>
    <x v="3"/>
    <x v="3"/>
    <m/>
    <n v="-23.907160999999999"/>
    <n v="45.290163999999997"/>
    <m/>
    <m/>
  </r>
  <r>
    <s v="601010020SMP"/>
    <x v="5"/>
    <x v="5"/>
    <m/>
    <x v="2"/>
    <x v="2"/>
    <m/>
    <x v="2"/>
    <x v="2"/>
    <m/>
    <x v="9"/>
    <x v="9"/>
    <m/>
    <x v="1301"/>
    <x v="161"/>
    <m/>
    <x v="1744"/>
    <x v="1960"/>
    <m/>
    <x v="3"/>
    <x v="3"/>
    <m/>
    <n v="-24.151952999999999"/>
    <n v="45.182243"/>
    <m/>
    <m/>
  </r>
  <r>
    <s v="601010019SMP"/>
    <x v="5"/>
    <x v="5"/>
    <m/>
    <x v="2"/>
    <x v="2"/>
    <m/>
    <x v="2"/>
    <x v="2"/>
    <m/>
    <x v="9"/>
    <x v="9"/>
    <m/>
    <x v="1301"/>
    <x v="161"/>
    <m/>
    <x v="1745"/>
    <x v="1961"/>
    <m/>
    <x v="3"/>
    <x v="3"/>
    <m/>
    <n v="-24.151204"/>
    <n v="45.181562999999997"/>
    <m/>
    <m/>
  </r>
  <r>
    <s v="607030001SMP"/>
    <x v="5"/>
    <x v="5"/>
    <m/>
    <x v="2"/>
    <x v="2"/>
    <m/>
    <x v="2"/>
    <x v="2"/>
    <m/>
    <x v="3"/>
    <x v="3"/>
    <m/>
    <x v="1301"/>
    <x v="161"/>
    <m/>
    <x v="606"/>
    <x v="1962"/>
    <m/>
    <x v="3"/>
    <x v="3"/>
    <m/>
    <n v="-24.352399999999999"/>
    <n v="45.621130000000001"/>
    <m/>
    <m/>
  </r>
  <r>
    <s v="607160005SMP"/>
    <x v="5"/>
    <x v="5"/>
    <m/>
    <x v="2"/>
    <x v="2"/>
    <m/>
    <x v="2"/>
    <x v="2"/>
    <m/>
    <x v="219"/>
    <x v="219"/>
    <m/>
    <x v="1301"/>
    <x v="161"/>
    <m/>
    <x v="1746"/>
    <x v="1963"/>
    <m/>
    <x v="3"/>
    <x v="3"/>
    <m/>
    <n v="-24.356169999999999"/>
    <n v="45.251530000000002"/>
    <m/>
    <m/>
  </r>
  <r>
    <s v="607120022SMP"/>
    <x v="5"/>
    <x v="5"/>
    <m/>
    <x v="2"/>
    <x v="2"/>
    <m/>
    <x v="2"/>
    <x v="2"/>
    <m/>
    <x v="174"/>
    <x v="174"/>
    <m/>
    <x v="1301"/>
    <x v="161"/>
    <m/>
    <x v="1747"/>
    <x v="1964"/>
    <m/>
    <x v="3"/>
    <x v="3"/>
    <m/>
    <n v="-24.2517"/>
    <n v="45.397280000000002"/>
    <m/>
    <m/>
  </r>
  <r>
    <s v="607180011SMP"/>
    <x v="5"/>
    <x v="5"/>
    <m/>
    <x v="2"/>
    <x v="2"/>
    <m/>
    <x v="2"/>
    <x v="2"/>
    <m/>
    <x v="227"/>
    <x v="226"/>
    <m/>
    <x v="1301"/>
    <x v="161"/>
    <m/>
    <x v="1748"/>
    <x v="1965"/>
    <m/>
    <x v="3"/>
    <x v="3"/>
    <m/>
    <n v="-24.08043"/>
    <n v="45.490099999999998"/>
    <m/>
    <m/>
  </r>
  <r>
    <s v="607120024SMP"/>
    <x v="5"/>
    <x v="5"/>
    <m/>
    <x v="2"/>
    <x v="2"/>
    <m/>
    <x v="2"/>
    <x v="2"/>
    <m/>
    <x v="174"/>
    <x v="174"/>
    <m/>
    <x v="1301"/>
    <x v="161"/>
    <m/>
    <x v="1749"/>
    <x v="1966"/>
    <m/>
    <x v="3"/>
    <x v="3"/>
    <m/>
    <n v="-24.2517"/>
    <n v="45.397280000000002"/>
    <m/>
    <m/>
  </r>
  <r>
    <s v="607120006SMP"/>
    <x v="5"/>
    <x v="5"/>
    <m/>
    <x v="2"/>
    <x v="2"/>
    <m/>
    <x v="2"/>
    <x v="2"/>
    <m/>
    <x v="174"/>
    <x v="174"/>
    <m/>
    <x v="1301"/>
    <x v="161"/>
    <m/>
    <x v="1750"/>
    <x v="1967"/>
    <m/>
    <x v="3"/>
    <x v="3"/>
    <m/>
    <n v="-24.2517"/>
    <n v="45.397280000000002"/>
    <m/>
    <m/>
  </r>
  <r>
    <s v="607020004SMP"/>
    <x v="5"/>
    <x v="5"/>
    <m/>
    <x v="2"/>
    <x v="2"/>
    <m/>
    <x v="2"/>
    <x v="2"/>
    <m/>
    <x v="120"/>
    <x v="120"/>
    <m/>
    <x v="1301"/>
    <x v="161"/>
    <m/>
    <x v="1751"/>
    <x v="1968"/>
    <m/>
    <x v="3"/>
    <x v="3"/>
    <m/>
    <n v="-24.536750000000001"/>
    <n v="45.167470000000002"/>
    <m/>
    <m/>
  </r>
  <r>
    <s v="607180010SMP"/>
    <x v="5"/>
    <x v="5"/>
    <m/>
    <x v="2"/>
    <x v="2"/>
    <m/>
    <x v="2"/>
    <x v="2"/>
    <m/>
    <x v="227"/>
    <x v="226"/>
    <m/>
    <x v="1301"/>
    <x v="161"/>
    <m/>
    <x v="1752"/>
    <x v="1969"/>
    <m/>
    <x v="3"/>
    <x v="3"/>
    <m/>
    <n v="-24.08043"/>
    <n v="45.490099999999998"/>
    <m/>
    <m/>
  </r>
  <r>
    <s v="607010036SMP"/>
    <x v="5"/>
    <x v="5"/>
    <m/>
    <x v="2"/>
    <x v="2"/>
    <m/>
    <x v="2"/>
    <x v="2"/>
    <m/>
    <x v="67"/>
    <x v="67"/>
    <m/>
    <x v="1301"/>
    <x v="161"/>
    <m/>
    <x v="1753"/>
    <x v="1970"/>
    <m/>
    <x v="3"/>
    <x v="3"/>
    <m/>
    <n v="-24.012519999999999"/>
    <n v="45.438980000000001"/>
    <m/>
    <m/>
  </r>
  <r>
    <s v="607020014SMP"/>
    <x v="5"/>
    <x v="5"/>
    <m/>
    <x v="2"/>
    <x v="2"/>
    <m/>
    <x v="2"/>
    <x v="2"/>
    <m/>
    <x v="67"/>
    <x v="67"/>
    <m/>
    <x v="1301"/>
    <x v="161"/>
    <m/>
    <x v="1754"/>
    <x v="1971"/>
    <m/>
    <x v="3"/>
    <x v="3"/>
    <m/>
    <n v="-24.012519999999999"/>
    <n v="45.438980000000001"/>
    <m/>
    <m/>
  </r>
  <r>
    <s v="607180008SMP"/>
    <x v="5"/>
    <x v="5"/>
    <m/>
    <x v="2"/>
    <x v="2"/>
    <m/>
    <x v="2"/>
    <x v="2"/>
    <m/>
    <x v="227"/>
    <x v="226"/>
    <m/>
    <x v="1301"/>
    <x v="161"/>
    <m/>
    <x v="1755"/>
    <x v="1972"/>
    <m/>
    <x v="3"/>
    <x v="3"/>
    <m/>
    <n v="-24.08043"/>
    <n v="45.490099999999998"/>
    <m/>
    <m/>
  </r>
  <r>
    <s v="607170004SMP"/>
    <x v="5"/>
    <x v="5"/>
    <m/>
    <x v="2"/>
    <x v="2"/>
    <m/>
    <x v="2"/>
    <x v="2"/>
    <m/>
    <x v="220"/>
    <x v="37"/>
    <m/>
    <x v="1301"/>
    <x v="161"/>
    <m/>
    <x v="1756"/>
    <x v="1973"/>
    <m/>
    <x v="3"/>
    <x v="3"/>
    <m/>
    <n v="-24.137699999999999"/>
    <n v="45.377380000000002"/>
    <m/>
    <m/>
  </r>
  <r>
    <s v="609050008SMP"/>
    <x v="5"/>
    <x v="5"/>
    <m/>
    <x v="2"/>
    <x v="2"/>
    <m/>
    <x v="8"/>
    <x v="8"/>
    <m/>
    <x v="216"/>
    <x v="216"/>
    <m/>
    <x v="1301"/>
    <x v="161"/>
    <m/>
    <x v="1757"/>
    <x v="1974"/>
    <m/>
    <x v="3"/>
    <x v="3"/>
    <m/>
    <n v="-25.486716000000001"/>
    <n v="45.063234000000001"/>
    <m/>
    <m/>
  </r>
  <r>
    <s v="609050007SMP"/>
    <x v="5"/>
    <x v="5"/>
    <m/>
    <x v="2"/>
    <x v="2"/>
    <m/>
    <x v="8"/>
    <x v="8"/>
    <m/>
    <x v="216"/>
    <x v="216"/>
    <m/>
    <x v="1301"/>
    <x v="161"/>
    <m/>
    <x v="1719"/>
    <x v="1975"/>
    <m/>
    <x v="3"/>
    <x v="3"/>
    <m/>
    <n v="-25.486000000000001"/>
    <n v="45.101978000000003"/>
    <m/>
    <m/>
  </r>
  <r>
    <s v="609050033SMP"/>
    <x v="5"/>
    <x v="5"/>
    <m/>
    <x v="2"/>
    <x v="2"/>
    <m/>
    <x v="8"/>
    <x v="8"/>
    <m/>
    <x v="216"/>
    <x v="216"/>
    <m/>
    <x v="1301"/>
    <x v="161"/>
    <m/>
    <x v="1707"/>
    <x v="1976"/>
    <m/>
    <x v="3"/>
    <x v="3"/>
    <m/>
    <n v="-25.47035"/>
    <n v="45.138185"/>
    <m/>
    <m/>
  </r>
  <r>
    <s v="609050028SMP"/>
    <x v="5"/>
    <x v="5"/>
    <m/>
    <x v="2"/>
    <x v="2"/>
    <m/>
    <x v="8"/>
    <x v="8"/>
    <m/>
    <x v="216"/>
    <x v="216"/>
    <m/>
    <x v="1301"/>
    <x v="161"/>
    <m/>
    <x v="1758"/>
    <x v="1977"/>
    <m/>
    <x v="3"/>
    <x v="3"/>
    <m/>
    <n v="-25.460051"/>
    <n v="45.088216000000003"/>
    <m/>
    <m/>
  </r>
  <r>
    <s v="609050039SMP"/>
    <x v="5"/>
    <x v="5"/>
    <m/>
    <x v="2"/>
    <x v="2"/>
    <m/>
    <x v="8"/>
    <x v="8"/>
    <m/>
    <x v="216"/>
    <x v="216"/>
    <m/>
    <x v="1301"/>
    <x v="161"/>
    <m/>
    <x v="1759"/>
    <x v="1978"/>
    <m/>
    <x v="3"/>
    <x v="3"/>
    <m/>
    <n v="-25.458763000000001"/>
    <n v="45.024914000000003"/>
    <m/>
    <m/>
  </r>
  <r>
    <s v="609050018SMP"/>
    <x v="5"/>
    <x v="5"/>
    <m/>
    <x v="2"/>
    <x v="2"/>
    <m/>
    <x v="8"/>
    <x v="8"/>
    <m/>
    <x v="216"/>
    <x v="216"/>
    <m/>
    <x v="1301"/>
    <x v="161"/>
    <m/>
    <x v="1424"/>
    <x v="1979"/>
    <m/>
    <x v="3"/>
    <x v="3"/>
    <m/>
    <n v="-25.440138000000001"/>
    <n v="44.990473000000001"/>
    <m/>
    <m/>
  </r>
  <r>
    <s v="609050045SMP"/>
    <x v="5"/>
    <x v="5"/>
    <m/>
    <x v="2"/>
    <x v="2"/>
    <m/>
    <x v="8"/>
    <x v="8"/>
    <m/>
    <x v="216"/>
    <x v="216"/>
    <m/>
    <x v="1301"/>
    <x v="161"/>
    <m/>
    <x v="1423"/>
    <x v="1980"/>
    <m/>
    <x v="3"/>
    <x v="3"/>
    <m/>
    <n v="-25.426116"/>
    <n v="44.939813999999998"/>
    <m/>
    <m/>
  </r>
  <r>
    <s v="609050025SMP"/>
    <x v="5"/>
    <x v="5"/>
    <m/>
    <x v="2"/>
    <x v="2"/>
    <m/>
    <x v="8"/>
    <x v="8"/>
    <m/>
    <x v="216"/>
    <x v="216"/>
    <m/>
    <x v="1301"/>
    <x v="161"/>
    <m/>
    <x v="1760"/>
    <x v="1981"/>
    <m/>
    <x v="3"/>
    <x v="3"/>
    <m/>
    <n v="-25.362904"/>
    <n v="45.089748"/>
    <m/>
    <m/>
  </r>
  <r>
    <s v="609050005SMP"/>
    <x v="5"/>
    <x v="5"/>
    <m/>
    <x v="2"/>
    <x v="2"/>
    <m/>
    <x v="8"/>
    <x v="8"/>
    <m/>
    <x v="216"/>
    <x v="216"/>
    <m/>
    <x v="1301"/>
    <x v="161"/>
    <m/>
    <x v="1761"/>
    <x v="1982"/>
    <m/>
    <x v="3"/>
    <x v="3"/>
    <m/>
    <n v="-25.361815"/>
    <n v="45.236263999999998"/>
    <m/>
    <m/>
  </r>
  <r>
    <s v="609050015SMP"/>
    <x v="5"/>
    <x v="5"/>
    <m/>
    <x v="2"/>
    <x v="2"/>
    <m/>
    <x v="8"/>
    <x v="8"/>
    <m/>
    <x v="216"/>
    <x v="216"/>
    <m/>
    <x v="1301"/>
    <x v="161"/>
    <m/>
    <x v="1762"/>
    <x v="1983"/>
    <m/>
    <x v="3"/>
    <x v="3"/>
    <m/>
    <n v="-25.360060000000001"/>
    <n v="44.908062999999999"/>
    <m/>
    <m/>
  </r>
  <r>
    <s v="609050024SMP"/>
    <x v="5"/>
    <x v="5"/>
    <m/>
    <x v="2"/>
    <x v="2"/>
    <m/>
    <x v="8"/>
    <x v="8"/>
    <m/>
    <x v="216"/>
    <x v="216"/>
    <m/>
    <x v="1301"/>
    <x v="161"/>
    <m/>
    <x v="1763"/>
    <x v="1984"/>
    <m/>
    <x v="3"/>
    <x v="3"/>
    <m/>
    <n v="-25.329135000000001"/>
    <n v="44.840961"/>
    <m/>
    <m/>
  </r>
  <r>
    <s v="609020014SMP"/>
    <x v="5"/>
    <x v="5"/>
    <m/>
    <x v="2"/>
    <x v="2"/>
    <m/>
    <x v="8"/>
    <x v="8"/>
    <m/>
    <x v="164"/>
    <x v="164"/>
    <m/>
    <x v="1301"/>
    <x v="161"/>
    <m/>
    <x v="1165"/>
    <x v="1985"/>
    <m/>
    <x v="3"/>
    <x v="3"/>
    <m/>
    <n v="-25.320457000000001"/>
    <n v="45.211312"/>
    <m/>
    <m/>
  </r>
  <r>
    <s v="609050030SMP"/>
    <x v="5"/>
    <x v="5"/>
    <m/>
    <x v="2"/>
    <x v="2"/>
    <m/>
    <x v="8"/>
    <x v="8"/>
    <m/>
    <x v="216"/>
    <x v="216"/>
    <m/>
    <x v="1301"/>
    <x v="161"/>
    <m/>
    <x v="1764"/>
    <x v="1986"/>
    <m/>
    <x v="3"/>
    <x v="3"/>
    <m/>
    <n v="-25.319275000000001"/>
    <n v="45.119717999999999"/>
    <m/>
    <m/>
  </r>
  <r>
    <s v="609050019SMP"/>
    <x v="5"/>
    <x v="5"/>
    <m/>
    <x v="2"/>
    <x v="2"/>
    <m/>
    <x v="8"/>
    <x v="8"/>
    <m/>
    <x v="216"/>
    <x v="216"/>
    <m/>
    <x v="1301"/>
    <x v="161"/>
    <m/>
    <x v="1419"/>
    <x v="1987"/>
    <m/>
    <x v="3"/>
    <x v="3"/>
    <m/>
    <n v="-25.302999"/>
    <n v="44.984948000000003"/>
    <m/>
    <m/>
  </r>
  <r>
    <s v="609020002SMP"/>
    <x v="5"/>
    <x v="5"/>
    <m/>
    <x v="2"/>
    <x v="2"/>
    <m/>
    <x v="8"/>
    <x v="8"/>
    <m/>
    <x v="164"/>
    <x v="164"/>
    <m/>
    <x v="1301"/>
    <x v="161"/>
    <m/>
    <x v="1765"/>
    <x v="1988"/>
    <m/>
    <x v="3"/>
    <x v="3"/>
    <m/>
    <n v="-25.297488000000001"/>
    <n v="45.307975999999996"/>
    <m/>
    <m/>
  </r>
  <r>
    <s v="609050001SMP"/>
    <x v="5"/>
    <x v="5"/>
    <m/>
    <x v="2"/>
    <x v="2"/>
    <m/>
    <x v="8"/>
    <x v="8"/>
    <m/>
    <x v="216"/>
    <x v="216"/>
    <m/>
    <x v="1301"/>
    <x v="161"/>
    <m/>
    <x v="1766"/>
    <x v="1989"/>
    <m/>
    <x v="3"/>
    <x v="3"/>
    <m/>
    <n v="-25.290716"/>
    <n v="45.094000000000001"/>
    <m/>
    <m/>
  </r>
  <r>
    <s v="609020008SMP"/>
    <x v="5"/>
    <x v="5"/>
    <m/>
    <x v="2"/>
    <x v="2"/>
    <m/>
    <x v="8"/>
    <x v="8"/>
    <m/>
    <x v="164"/>
    <x v="164"/>
    <m/>
    <x v="1301"/>
    <x v="161"/>
    <m/>
    <x v="1767"/>
    <x v="1990"/>
    <m/>
    <x v="3"/>
    <x v="3"/>
    <m/>
    <n v="-25.290438000000002"/>
    <n v="45.142871"/>
    <m/>
    <m/>
  </r>
  <r>
    <s v="609050010SMP"/>
    <x v="5"/>
    <x v="5"/>
    <m/>
    <x v="2"/>
    <x v="2"/>
    <m/>
    <x v="8"/>
    <x v="8"/>
    <m/>
    <x v="216"/>
    <x v="216"/>
    <m/>
    <x v="1301"/>
    <x v="161"/>
    <m/>
    <x v="1768"/>
    <x v="1991"/>
    <m/>
    <x v="3"/>
    <x v="3"/>
    <m/>
    <n v="-25.276931999999999"/>
    <n v="45.080289999999998"/>
    <m/>
    <m/>
  </r>
  <r>
    <s v="609020028SMP"/>
    <x v="5"/>
    <x v="5"/>
    <m/>
    <x v="2"/>
    <x v="2"/>
    <m/>
    <x v="8"/>
    <x v="8"/>
    <m/>
    <x v="164"/>
    <x v="164"/>
    <m/>
    <x v="1301"/>
    <x v="161"/>
    <m/>
    <x v="1769"/>
    <x v="1992"/>
    <m/>
    <x v="3"/>
    <x v="3"/>
    <m/>
    <n v="-25.268353000000001"/>
    <n v="45.114767999999998"/>
    <m/>
    <m/>
  </r>
  <r>
    <s v="609020006SMP"/>
    <x v="5"/>
    <x v="5"/>
    <m/>
    <x v="2"/>
    <x v="2"/>
    <m/>
    <x v="8"/>
    <x v="8"/>
    <m/>
    <x v="164"/>
    <x v="164"/>
    <m/>
    <x v="1301"/>
    <x v="161"/>
    <m/>
    <x v="1770"/>
    <x v="1993"/>
    <m/>
    <x v="3"/>
    <x v="3"/>
    <m/>
    <n v="-25.266475"/>
    <n v="45.167020999999998"/>
    <m/>
    <m/>
  </r>
  <r>
    <s v="609020030SMP"/>
    <x v="5"/>
    <x v="5"/>
    <m/>
    <x v="2"/>
    <x v="2"/>
    <m/>
    <x v="8"/>
    <x v="8"/>
    <m/>
    <x v="164"/>
    <x v="164"/>
    <m/>
    <x v="1301"/>
    <x v="161"/>
    <m/>
    <x v="201"/>
    <x v="1994"/>
    <m/>
    <x v="3"/>
    <x v="3"/>
    <m/>
    <n v="-25.263812999999999"/>
    <n v="45.291452"/>
    <m/>
    <m/>
  </r>
  <r>
    <s v="609020022SMP"/>
    <x v="5"/>
    <x v="5"/>
    <m/>
    <x v="2"/>
    <x v="2"/>
    <m/>
    <x v="8"/>
    <x v="8"/>
    <m/>
    <x v="164"/>
    <x v="164"/>
    <m/>
    <x v="1301"/>
    <x v="161"/>
    <m/>
    <x v="1771"/>
    <x v="1995"/>
    <m/>
    <x v="3"/>
    <x v="3"/>
    <m/>
    <n v="-25.261935000000001"/>
    <n v="45.247608"/>
    <m/>
    <m/>
  </r>
  <r>
    <s v="609020021SMP"/>
    <x v="5"/>
    <x v="5"/>
    <m/>
    <x v="2"/>
    <x v="2"/>
    <m/>
    <x v="8"/>
    <x v="8"/>
    <m/>
    <x v="164"/>
    <x v="164"/>
    <m/>
    <x v="1301"/>
    <x v="161"/>
    <m/>
    <x v="1772"/>
    <x v="1996"/>
    <m/>
    <x v="3"/>
    <x v="3"/>
    <m/>
    <n v="-25.261771"/>
    <n v="45.206046999999998"/>
    <m/>
    <m/>
  </r>
  <r>
    <s v="609050020SMP"/>
    <x v="5"/>
    <x v="5"/>
    <m/>
    <x v="2"/>
    <x v="2"/>
    <m/>
    <x v="8"/>
    <x v="8"/>
    <m/>
    <x v="216"/>
    <x v="216"/>
    <m/>
    <x v="1301"/>
    <x v="161"/>
    <m/>
    <x v="1428"/>
    <x v="1997"/>
    <m/>
    <x v="3"/>
    <x v="3"/>
    <m/>
    <n v="-25.255210999999999"/>
    <n v="44.957661000000002"/>
    <m/>
    <m/>
  </r>
  <r>
    <s v="609050013SMP"/>
    <x v="5"/>
    <x v="5"/>
    <m/>
    <x v="2"/>
    <x v="2"/>
    <m/>
    <x v="8"/>
    <x v="8"/>
    <m/>
    <x v="216"/>
    <x v="216"/>
    <m/>
    <x v="1301"/>
    <x v="161"/>
    <m/>
    <x v="1410"/>
    <x v="1998"/>
    <m/>
    <x v="3"/>
    <x v="3"/>
    <m/>
    <n v="-25.253003"/>
    <n v="45.013202"/>
    <m/>
    <m/>
  </r>
  <r>
    <s v="609020017SMP"/>
    <x v="5"/>
    <x v="5"/>
    <m/>
    <x v="2"/>
    <x v="2"/>
    <m/>
    <x v="8"/>
    <x v="8"/>
    <m/>
    <x v="164"/>
    <x v="164"/>
    <m/>
    <x v="1301"/>
    <x v="161"/>
    <m/>
    <x v="1773"/>
    <x v="1999"/>
    <m/>
    <x v="3"/>
    <x v="3"/>
    <m/>
    <n v="-25.247579999999999"/>
    <n v="45.253422999999998"/>
    <m/>
    <m/>
  </r>
  <r>
    <s v="609010008SMP"/>
    <x v="5"/>
    <x v="5"/>
    <m/>
    <x v="2"/>
    <x v="2"/>
    <m/>
    <x v="8"/>
    <x v="8"/>
    <m/>
    <x v="125"/>
    <x v="125"/>
    <m/>
    <x v="1301"/>
    <x v="161"/>
    <m/>
    <x v="1774"/>
    <x v="2000"/>
    <m/>
    <x v="3"/>
    <x v="3"/>
    <m/>
    <n v="-25.240133"/>
    <n v="45.083565999999998"/>
    <m/>
    <m/>
  </r>
  <r>
    <s v="609020039SMP"/>
    <x v="5"/>
    <x v="5"/>
    <m/>
    <x v="2"/>
    <x v="2"/>
    <m/>
    <x v="8"/>
    <x v="8"/>
    <m/>
    <x v="164"/>
    <x v="164"/>
    <m/>
    <x v="1301"/>
    <x v="161"/>
    <m/>
    <x v="1775"/>
    <x v="2001"/>
    <m/>
    <x v="3"/>
    <x v="3"/>
    <m/>
    <n v="-25.230899000000001"/>
    <n v="45.166105000000002"/>
    <m/>
    <m/>
  </r>
  <r>
    <s v="609020005SMP"/>
    <x v="5"/>
    <x v="5"/>
    <m/>
    <x v="2"/>
    <x v="2"/>
    <m/>
    <x v="8"/>
    <x v="8"/>
    <m/>
    <x v="164"/>
    <x v="164"/>
    <m/>
    <x v="1301"/>
    <x v="161"/>
    <m/>
    <x v="1776"/>
    <x v="2002"/>
    <m/>
    <x v="3"/>
    <x v="3"/>
    <m/>
    <n v="-25.229020999999999"/>
    <n v="45.234918999999998"/>
    <m/>
    <m/>
  </r>
  <r>
    <s v="609010010SMP"/>
    <x v="5"/>
    <x v="5"/>
    <m/>
    <x v="2"/>
    <x v="2"/>
    <m/>
    <x v="8"/>
    <x v="8"/>
    <m/>
    <x v="125"/>
    <x v="125"/>
    <m/>
    <x v="1301"/>
    <x v="161"/>
    <m/>
    <x v="1777"/>
    <x v="2003"/>
    <m/>
    <x v="3"/>
    <x v="3"/>
    <m/>
    <n v="-25.227118999999998"/>
    <n v="45.100161999999997"/>
    <m/>
    <m/>
  </r>
  <r>
    <s v="609020012SMP"/>
    <x v="5"/>
    <x v="5"/>
    <m/>
    <x v="2"/>
    <x v="2"/>
    <m/>
    <x v="8"/>
    <x v="8"/>
    <m/>
    <x v="164"/>
    <x v="164"/>
    <m/>
    <x v="1301"/>
    <x v="161"/>
    <m/>
    <x v="1778"/>
    <x v="2004"/>
    <m/>
    <x v="3"/>
    <x v="3"/>
    <m/>
    <n v="-25.221864"/>
    <n v="45.269385999999997"/>
    <m/>
    <m/>
  </r>
  <r>
    <s v="609010035SMP"/>
    <x v="5"/>
    <x v="5"/>
    <m/>
    <x v="2"/>
    <x v="2"/>
    <m/>
    <x v="8"/>
    <x v="8"/>
    <m/>
    <x v="125"/>
    <x v="125"/>
    <m/>
    <x v="1301"/>
    <x v="161"/>
    <m/>
    <x v="463"/>
    <x v="2005"/>
    <m/>
    <x v="3"/>
    <x v="3"/>
    <m/>
    <n v="-25.220480999999999"/>
    <n v="45.062142999999999"/>
    <m/>
    <m/>
  </r>
  <r>
    <s v="609020026SMP"/>
    <x v="5"/>
    <x v="5"/>
    <m/>
    <x v="2"/>
    <x v="2"/>
    <m/>
    <x v="8"/>
    <x v="8"/>
    <m/>
    <x v="164"/>
    <x v="164"/>
    <m/>
    <x v="1301"/>
    <x v="161"/>
    <m/>
    <x v="1101"/>
    <x v="2006"/>
    <m/>
    <x v="3"/>
    <x v="3"/>
    <m/>
    <n v="-25.216080000000002"/>
    <n v="45.143878000000001"/>
    <m/>
    <m/>
  </r>
  <r>
    <s v="609020043SMP"/>
    <x v="5"/>
    <x v="5"/>
    <m/>
    <x v="2"/>
    <x v="2"/>
    <m/>
    <x v="8"/>
    <x v="8"/>
    <m/>
    <x v="164"/>
    <x v="164"/>
    <m/>
    <x v="1301"/>
    <x v="161"/>
    <m/>
    <x v="1779"/>
    <x v="2007"/>
    <m/>
    <x v="3"/>
    <x v="3"/>
    <m/>
    <n v="-25.215629"/>
    <n v="45.143048"/>
    <m/>
    <m/>
  </r>
  <r>
    <s v="609050043SMP"/>
    <x v="5"/>
    <x v="5"/>
    <m/>
    <x v="2"/>
    <x v="2"/>
    <m/>
    <x v="8"/>
    <x v="8"/>
    <m/>
    <x v="216"/>
    <x v="216"/>
    <m/>
    <x v="1301"/>
    <x v="161"/>
    <m/>
    <x v="1780"/>
    <x v="2008"/>
    <m/>
    <x v="3"/>
    <x v="3"/>
    <m/>
    <n v="-25.207561999999999"/>
    <n v="44.961283999999999"/>
    <m/>
    <m/>
  </r>
  <r>
    <s v="609020015SMP"/>
    <x v="5"/>
    <x v="5"/>
    <m/>
    <x v="2"/>
    <x v="2"/>
    <m/>
    <x v="8"/>
    <x v="8"/>
    <m/>
    <x v="164"/>
    <x v="164"/>
    <m/>
    <x v="1301"/>
    <x v="161"/>
    <m/>
    <x v="1102"/>
    <x v="2009"/>
    <m/>
    <x v="3"/>
    <x v="3"/>
    <m/>
    <n v="-25.206118"/>
    <n v="45.204079999999998"/>
    <m/>
    <m/>
  </r>
  <r>
    <s v="609010021SMP"/>
    <x v="5"/>
    <x v="5"/>
    <m/>
    <x v="2"/>
    <x v="2"/>
    <m/>
    <x v="8"/>
    <x v="8"/>
    <m/>
    <x v="125"/>
    <x v="125"/>
    <m/>
    <x v="1301"/>
    <x v="161"/>
    <m/>
    <x v="1781"/>
    <x v="2010"/>
    <m/>
    <x v="3"/>
    <x v="3"/>
    <m/>
    <n v="-25.193563000000001"/>
    <n v="45.070295000000002"/>
    <m/>
    <m/>
  </r>
  <r>
    <s v="609020007SMP"/>
    <x v="5"/>
    <x v="5"/>
    <m/>
    <x v="2"/>
    <x v="2"/>
    <m/>
    <x v="8"/>
    <x v="8"/>
    <m/>
    <x v="164"/>
    <x v="164"/>
    <m/>
    <x v="1301"/>
    <x v="161"/>
    <m/>
    <x v="1782"/>
    <x v="2011"/>
    <m/>
    <x v="3"/>
    <x v="3"/>
    <m/>
    <n v="-25.192385000000002"/>
    <n v="45.190159999999999"/>
    <m/>
    <m/>
  </r>
  <r>
    <s v="609010007SMP"/>
    <x v="5"/>
    <x v="5"/>
    <m/>
    <x v="2"/>
    <x v="2"/>
    <m/>
    <x v="8"/>
    <x v="8"/>
    <m/>
    <x v="125"/>
    <x v="125"/>
    <m/>
    <x v="1301"/>
    <x v="161"/>
    <m/>
    <x v="828"/>
    <x v="2012"/>
    <m/>
    <x v="3"/>
    <x v="3"/>
    <m/>
    <n v="-25.19164"/>
    <n v="45.041912000000004"/>
    <m/>
    <m/>
  </r>
  <r>
    <s v="609030015SMP"/>
    <x v="5"/>
    <x v="5"/>
    <m/>
    <x v="2"/>
    <x v="2"/>
    <m/>
    <x v="8"/>
    <x v="8"/>
    <m/>
    <x v="185"/>
    <x v="185"/>
    <m/>
    <x v="1301"/>
    <x v="161"/>
    <m/>
    <x v="1783"/>
    <x v="2013"/>
    <m/>
    <x v="3"/>
    <x v="3"/>
    <m/>
    <n v="-25.188908000000001"/>
    <n v="44.634855999999999"/>
    <m/>
    <m/>
  </r>
  <r>
    <s v="609010012SMP"/>
    <x v="5"/>
    <x v="5"/>
    <m/>
    <x v="2"/>
    <x v="2"/>
    <m/>
    <x v="8"/>
    <x v="8"/>
    <m/>
    <x v="125"/>
    <x v="125"/>
    <m/>
    <x v="1301"/>
    <x v="161"/>
    <m/>
    <x v="1784"/>
    <x v="2014"/>
    <m/>
    <x v="3"/>
    <x v="3"/>
    <m/>
    <n v="-25.182596"/>
    <n v="45.073013000000003"/>
    <m/>
    <m/>
  </r>
  <r>
    <s v="609030004SMP"/>
    <x v="5"/>
    <x v="5"/>
    <m/>
    <x v="2"/>
    <x v="2"/>
    <m/>
    <x v="8"/>
    <x v="8"/>
    <m/>
    <x v="185"/>
    <x v="185"/>
    <m/>
    <x v="1301"/>
    <x v="161"/>
    <m/>
    <x v="1785"/>
    <x v="2015"/>
    <m/>
    <x v="3"/>
    <x v="3"/>
    <m/>
    <n v="-25.182119"/>
    <n v="44.684344000000003"/>
    <m/>
    <m/>
  </r>
  <r>
    <s v="609010031SMP"/>
    <x v="5"/>
    <x v="5"/>
    <m/>
    <x v="2"/>
    <x v="2"/>
    <m/>
    <x v="8"/>
    <x v="8"/>
    <m/>
    <x v="125"/>
    <x v="125"/>
    <m/>
    <x v="1301"/>
    <x v="161"/>
    <m/>
    <x v="1786"/>
    <x v="2016"/>
    <m/>
    <x v="3"/>
    <x v="3"/>
    <m/>
    <n v="-25.178812000000001"/>
    <n v="45.014156999999997"/>
    <m/>
    <m/>
  </r>
  <r>
    <s v="609020035SMP"/>
    <x v="5"/>
    <x v="5"/>
    <m/>
    <x v="2"/>
    <x v="2"/>
    <m/>
    <x v="8"/>
    <x v="8"/>
    <m/>
    <x v="164"/>
    <x v="164"/>
    <m/>
    <x v="1301"/>
    <x v="161"/>
    <m/>
    <x v="1787"/>
    <x v="2017"/>
    <m/>
    <x v="3"/>
    <x v="3"/>
    <m/>
    <n v="-25.173206"/>
    <n v="45.255296999999999"/>
    <m/>
    <m/>
  </r>
  <r>
    <s v="609050009SMP"/>
    <x v="5"/>
    <x v="5"/>
    <m/>
    <x v="2"/>
    <x v="2"/>
    <m/>
    <x v="8"/>
    <x v="8"/>
    <m/>
    <x v="216"/>
    <x v="216"/>
    <m/>
    <x v="1301"/>
    <x v="161"/>
    <m/>
    <x v="1347"/>
    <x v="2018"/>
    <m/>
    <x v="3"/>
    <x v="3"/>
    <m/>
    <n v="-25.172749"/>
    <n v="44.993138999999999"/>
    <m/>
    <m/>
  </r>
  <r>
    <s v="609010017SMP"/>
    <x v="5"/>
    <x v="5"/>
    <m/>
    <x v="2"/>
    <x v="2"/>
    <m/>
    <x v="8"/>
    <x v="8"/>
    <m/>
    <x v="125"/>
    <x v="125"/>
    <m/>
    <x v="1301"/>
    <x v="161"/>
    <m/>
    <x v="1788"/>
    <x v="2019"/>
    <m/>
    <x v="3"/>
    <x v="3"/>
    <m/>
    <n v="-25.172543000000001"/>
    <n v="45.059221000000001"/>
    <m/>
    <m/>
  </r>
  <r>
    <s v="609050003SMP"/>
    <x v="5"/>
    <x v="5"/>
    <m/>
    <x v="2"/>
    <x v="2"/>
    <m/>
    <x v="8"/>
    <x v="8"/>
    <m/>
    <x v="216"/>
    <x v="216"/>
    <m/>
    <x v="1301"/>
    <x v="161"/>
    <m/>
    <x v="1789"/>
    <x v="2020"/>
    <m/>
    <x v="3"/>
    <x v="3"/>
    <m/>
    <n v="-25.169976999999999"/>
    <n v="44.941740000000003"/>
    <m/>
    <m/>
  </r>
  <r>
    <s v="609010025SMP"/>
    <x v="5"/>
    <x v="5"/>
    <m/>
    <x v="2"/>
    <x v="2"/>
    <m/>
    <x v="8"/>
    <x v="8"/>
    <m/>
    <x v="125"/>
    <x v="125"/>
    <m/>
    <x v="1301"/>
    <x v="161"/>
    <m/>
    <x v="1790"/>
    <x v="2021"/>
    <m/>
    <x v="3"/>
    <x v="3"/>
    <m/>
    <n v="-25.169685000000001"/>
    <n v="45.04466"/>
    <m/>
    <m/>
  </r>
  <r>
    <s v="609010004SMP"/>
    <x v="5"/>
    <x v="5"/>
    <m/>
    <x v="2"/>
    <x v="2"/>
    <m/>
    <x v="8"/>
    <x v="8"/>
    <m/>
    <x v="125"/>
    <x v="125"/>
    <m/>
    <x v="1301"/>
    <x v="161"/>
    <m/>
    <x v="248"/>
    <x v="2022"/>
    <m/>
    <x v="3"/>
    <x v="3"/>
    <m/>
    <n v="-25.153327000000001"/>
    <n v="45.020648000000001"/>
    <m/>
    <m/>
  </r>
  <r>
    <s v="609030010SMP"/>
    <x v="5"/>
    <x v="5"/>
    <m/>
    <x v="2"/>
    <x v="2"/>
    <m/>
    <x v="8"/>
    <x v="8"/>
    <m/>
    <x v="185"/>
    <x v="185"/>
    <m/>
    <x v="1301"/>
    <x v="161"/>
    <m/>
    <x v="1791"/>
    <x v="2023"/>
    <m/>
    <x v="3"/>
    <x v="3"/>
    <m/>
    <n v="-25.147359000000002"/>
    <n v="44.597603999999997"/>
    <m/>
    <m/>
  </r>
  <r>
    <s v="609020018SMP"/>
    <x v="5"/>
    <x v="5"/>
    <m/>
    <x v="2"/>
    <x v="2"/>
    <m/>
    <x v="8"/>
    <x v="8"/>
    <m/>
    <x v="164"/>
    <x v="164"/>
    <m/>
    <x v="1301"/>
    <x v="161"/>
    <m/>
    <x v="1792"/>
    <x v="2024"/>
    <m/>
    <x v="3"/>
    <x v="3"/>
    <m/>
    <n v="-25.144855"/>
    <n v="45.263486999999998"/>
    <m/>
    <m/>
  </r>
  <r>
    <s v="609010015SMP"/>
    <x v="5"/>
    <x v="5"/>
    <m/>
    <x v="2"/>
    <x v="2"/>
    <m/>
    <x v="8"/>
    <x v="8"/>
    <m/>
    <x v="125"/>
    <x v="125"/>
    <m/>
    <x v="1301"/>
    <x v="161"/>
    <m/>
    <x v="1793"/>
    <x v="2025"/>
    <m/>
    <x v="3"/>
    <x v="3"/>
    <m/>
    <n v="-25.126639000000001"/>
    <n v="45.194336999999997"/>
    <m/>
    <m/>
  </r>
  <r>
    <s v="609010018SMP"/>
    <x v="5"/>
    <x v="5"/>
    <m/>
    <x v="2"/>
    <x v="2"/>
    <m/>
    <x v="8"/>
    <x v="8"/>
    <m/>
    <x v="125"/>
    <x v="125"/>
    <m/>
    <x v="1301"/>
    <x v="161"/>
    <m/>
    <x v="1794"/>
    <x v="2026"/>
    <m/>
    <x v="3"/>
    <x v="3"/>
    <m/>
    <n v="-25.119875"/>
    <n v="44.867814000000003"/>
    <m/>
    <m/>
  </r>
  <r>
    <s v="609010054SMP"/>
    <x v="5"/>
    <x v="5"/>
    <m/>
    <x v="2"/>
    <x v="2"/>
    <m/>
    <x v="8"/>
    <x v="8"/>
    <m/>
    <x v="125"/>
    <x v="125"/>
    <m/>
    <x v="1301"/>
    <x v="161"/>
    <m/>
    <x v="1650"/>
    <x v="2027"/>
    <m/>
    <x v="3"/>
    <x v="3"/>
    <m/>
    <n v="-25.114851000000002"/>
    <n v="44.945385999999999"/>
    <m/>
    <m/>
  </r>
  <r>
    <s v="609030008SMP"/>
    <x v="5"/>
    <x v="5"/>
    <m/>
    <x v="2"/>
    <x v="2"/>
    <m/>
    <x v="8"/>
    <x v="8"/>
    <m/>
    <x v="185"/>
    <x v="185"/>
    <m/>
    <x v="1301"/>
    <x v="161"/>
    <m/>
    <x v="100"/>
    <x v="2028"/>
    <m/>
    <x v="3"/>
    <x v="3"/>
    <m/>
    <n v="-25.108238"/>
    <n v="44.632835"/>
    <m/>
    <m/>
  </r>
  <r>
    <s v="609020010SMP"/>
    <x v="5"/>
    <x v="5"/>
    <m/>
    <x v="2"/>
    <x v="2"/>
    <m/>
    <x v="8"/>
    <x v="8"/>
    <m/>
    <x v="164"/>
    <x v="164"/>
    <m/>
    <x v="1301"/>
    <x v="161"/>
    <m/>
    <x v="1795"/>
    <x v="2029"/>
    <m/>
    <x v="3"/>
    <x v="3"/>
    <m/>
    <n v="-25.094125999999999"/>
    <n v="45.133493999999999"/>
    <m/>
    <m/>
  </r>
  <r>
    <s v="609020034SMP"/>
    <x v="5"/>
    <x v="5"/>
    <m/>
    <x v="2"/>
    <x v="2"/>
    <m/>
    <x v="8"/>
    <x v="8"/>
    <m/>
    <x v="164"/>
    <x v="164"/>
    <m/>
    <x v="1301"/>
    <x v="161"/>
    <m/>
    <x v="1796"/>
    <x v="2030"/>
    <m/>
    <x v="3"/>
    <x v="3"/>
    <m/>
    <n v="-25.086966"/>
    <n v="45.185614000000001"/>
    <m/>
    <m/>
  </r>
  <r>
    <s v="609030007SMP"/>
    <x v="5"/>
    <x v="5"/>
    <m/>
    <x v="2"/>
    <x v="2"/>
    <m/>
    <x v="8"/>
    <x v="8"/>
    <m/>
    <x v="185"/>
    <x v="185"/>
    <m/>
    <x v="1301"/>
    <x v="161"/>
    <m/>
    <x v="629"/>
    <x v="2031"/>
    <m/>
    <x v="3"/>
    <x v="3"/>
    <m/>
    <n v="-25.079756"/>
    <n v="44.752040999999998"/>
    <m/>
    <m/>
  </r>
  <r>
    <s v="609020019SMP"/>
    <x v="5"/>
    <x v="5"/>
    <m/>
    <x v="2"/>
    <x v="2"/>
    <m/>
    <x v="8"/>
    <x v="8"/>
    <m/>
    <x v="164"/>
    <x v="164"/>
    <m/>
    <x v="1301"/>
    <x v="161"/>
    <m/>
    <x v="1797"/>
    <x v="2032"/>
    <m/>
    <x v="3"/>
    <x v="3"/>
    <m/>
    <n v="-25.058748000000001"/>
    <n v="45.282755999999999"/>
    <m/>
    <m/>
  </r>
  <r>
    <s v="609030003SMP"/>
    <x v="5"/>
    <x v="5"/>
    <m/>
    <x v="2"/>
    <x v="2"/>
    <m/>
    <x v="8"/>
    <x v="8"/>
    <m/>
    <x v="185"/>
    <x v="185"/>
    <m/>
    <x v="1301"/>
    <x v="161"/>
    <m/>
    <x v="1235"/>
    <x v="2033"/>
    <m/>
    <x v="3"/>
    <x v="3"/>
    <m/>
    <n v="-25.057981000000002"/>
    <n v="44.677719000000003"/>
    <m/>
    <m/>
  </r>
  <r>
    <s v="609030009SMP"/>
    <x v="5"/>
    <x v="5"/>
    <m/>
    <x v="2"/>
    <x v="2"/>
    <m/>
    <x v="8"/>
    <x v="8"/>
    <m/>
    <x v="185"/>
    <x v="185"/>
    <m/>
    <x v="1301"/>
    <x v="161"/>
    <m/>
    <x v="185"/>
    <x v="2034"/>
    <m/>
    <x v="3"/>
    <x v="3"/>
    <m/>
    <n v="-25.056276"/>
    <n v="44.870187999999999"/>
    <m/>
    <m/>
  </r>
  <r>
    <s v="609010020SMP"/>
    <x v="5"/>
    <x v="5"/>
    <m/>
    <x v="2"/>
    <x v="2"/>
    <m/>
    <x v="8"/>
    <x v="8"/>
    <m/>
    <x v="125"/>
    <x v="125"/>
    <m/>
    <x v="1301"/>
    <x v="161"/>
    <m/>
    <x v="1798"/>
    <x v="2035"/>
    <m/>
    <x v="3"/>
    <x v="3"/>
    <m/>
    <n v="-25.053127"/>
    <n v="45.113477000000003"/>
    <m/>
    <m/>
  </r>
  <r>
    <s v="609020013SMP"/>
    <x v="5"/>
    <x v="5"/>
    <m/>
    <x v="2"/>
    <x v="2"/>
    <m/>
    <x v="8"/>
    <x v="8"/>
    <m/>
    <x v="164"/>
    <x v="164"/>
    <m/>
    <x v="1301"/>
    <x v="161"/>
    <m/>
    <x v="1799"/>
    <x v="2036"/>
    <m/>
    <x v="3"/>
    <x v="3"/>
    <m/>
    <n v="-25.046018"/>
    <n v="45.170616000000003"/>
    <m/>
    <m/>
  </r>
  <r>
    <s v="609020025SMP"/>
    <x v="5"/>
    <x v="5"/>
    <m/>
    <x v="2"/>
    <x v="2"/>
    <m/>
    <x v="8"/>
    <x v="8"/>
    <m/>
    <x v="164"/>
    <x v="164"/>
    <m/>
    <x v="1301"/>
    <x v="161"/>
    <m/>
    <x v="1096"/>
    <x v="2037"/>
    <m/>
    <x v="3"/>
    <x v="3"/>
    <m/>
    <n v="-25.044350000000001"/>
    <n v="45.350529000000002"/>
    <m/>
    <m/>
  </r>
  <r>
    <s v="609030016SMP"/>
    <x v="5"/>
    <x v="5"/>
    <m/>
    <x v="2"/>
    <x v="2"/>
    <m/>
    <x v="8"/>
    <x v="8"/>
    <m/>
    <x v="185"/>
    <x v="185"/>
    <m/>
    <x v="1301"/>
    <x v="161"/>
    <m/>
    <x v="1800"/>
    <x v="2038"/>
    <m/>
    <x v="3"/>
    <x v="3"/>
    <m/>
    <n v="-25.039963"/>
    <n v="44.713391999999999"/>
    <m/>
    <m/>
  </r>
  <r>
    <s v="609010001SMP"/>
    <x v="5"/>
    <x v="5"/>
    <m/>
    <x v="2"/>
    <x v="2"/>
    <m/>
    <x v="8"/>
    <x v="8"/>
    <m/>
    <x v="125"/>
    <x v="125"/>
    <m/>
    <x v="1301"/>
    <x v="161"/>
    <m/>
    <x v="1801"/>
    <x v="2039"/>
    <m/>
    <x v="3"/>
    <x v="3"/>
    <m/>
    <n v="-25.014869000000001"/>
    <n v="45.097664000000002"/>
    <m/>
    <m/>
  </r>
  <r>
    <s v="609060015SMP"/>
    <x v="5"/>
    <x v="5"/>
    <m/>
    <x v="2"/>
    <x v="2"/>
    <m/>
    <x v="8"/>
    <x v="8"/>
    <m/>
    <x v="39"/>
    <x v="39"/>
    <m/>
    <x v="1301"/>
    <x v="161"/>
    <m/>
    <x v="246"/>
    <x v="2040"/>
    <m/>
    <x v="3"/>
    <x v="3"/>
    <m/>
    <n v="-25.009708"/>
    <n v="45.188205000000004"/>
    <m/>
    <m/>
  </r>
  <r>
    <s v="609010013SMP"/>
    <x v="5"/>
    <x v="5"/>
    <m/>
    <x v="2"/>
    <x v="2"/>
    <m/>
    <x v="8"/>
    <x v="8"/>
    <m/>
    <x v="125"/>
    <x v="125"/>
    <m/>
    <x v="1301"/>
    <x v="161"/>
    <m/>
    <x v="1802"/>
    <x v="2041"/>
    <m/>
    <x v="3"/>
    <x v="3"/>
    <m/>
    <n v="-24.993941"/>
    <n v="45.092529999999996"/>
    <m/>
    <m/>
  </r>
  <r>
    <s v="609010005SMP"/>
    <x v="5"/>
    <x v="5"/>
    <m/>
    <x v="2"/>
    <x v="2"/>
    <m/>
    <x v="8"/>
    <x v="8"/>
    <m/>
    <x v="169"/>
    <x v="40"/>
    <m/>
    <x v="1301"/>
    <x v="161"/>
    <m/>
    <x v="1803"/>
    <x v="2042"/>
    <m/>
    <x v="3"/>
    <x v="3"/>
    <m/>
    <n v="-24.987182000000001"/>
    <n v="44.911068999999998"/>
    <m/>
    <m/>
  </r>
  <r>
    <s v="609060009SMP"/>
    <x v="5"/>
    <x v="5"/>
    <m/>
    <x v="2"/>
    <x v="2"/>
    <m/>
    <x v="8"/>
    <x v="8"/>
    <m/>
    <x v="39"/>
    <x v="39"/>
    <m/>
    <x v="1301"/>
    <x v="161"/>
    <m/>
    <x v="1804"/>
    <x v="2043"/>
    <m/>
    <x v="3"/>
    <x v="3"/>
    <m/>
    <n v="-24.978113"/>
    <n v="45.202694999999999"/>
    <m/>
    <m/>
  </r>
  <r>
    <s v="609060010SMP"/>
    <x v="5"/>
    <x v="5"/>
    <m/>
    <x v="2"/>
    <x v="2"/>
    <m/>
    <x v="8"/>
    <x v="8"/>
    <m/>
    <x v="39"/>
    <x v="39"/>
    <m/>
    <x v="1301"/>
    <x v="161"/>
    <m/>
    <x v="1805"/>
    <x v="2044"/>
    <m/>
    <x v="3"/>
    <x v="3"/>
    <m/>
    <n v="-24.974654999999998"/>
    <n v="45.164842999999998"/>
    <m/>
    <m/>
  </r>
  <r>
    <s v="609030005SMP"/>
    <x v="5"/>
    <x v="5"/>
    <m/>
    <x v="2"/>
    <x v="2"/>
    <m/>
    <x v="8"/>
    <x v="8"/>
    <m/>
    <x v="185"/>
    <x v="185"/>
    <m/>
    <x v="1301"/>
    <x v="161"/>
    <m/>
    <x v="515"/>
    <x v="2045"/>
    <m/>
    <x v="3"/>
    <x v="3"/>
    <m/>
    <n v="-24.963317"/>
    <n v="44.809671999999999"/>
    <m/>
    <m/>
  </r>
  <r>
    <s v="609040006SMP"/>
    <x v="5"/>
    <x v="5"/>
    <m/>
    <x v="2"/>
    <x v="2"/>
    <m/>
    <x v="8"/>
    <x v="8"/>
    <m/>
    <x v="215"/>
    <x v="215"/>
    <m/>
    <x v="1301"/>
    <x v="161"/>
    <m/>
    <x v="1806"/>
    <x v="2046"/>
    <m/>
    <x v="3"/>
    <x v="3"/>
    <m/>
    <n v="-24.957886999999999"/>
    <n v="45.143062999999998"/>
    <m/>
    <m/>
  </r>
  <r>
    <s v="609060002SMP"/>
    <x v="5"/>
    <x v="5"/>
    <m/>
    <x v="2"/>
    <x v="2"/>
    <m/>
    <x v="8"/>
    <x v="8"/>
    <m/>
    <x v="39"/>
    <x v="39"/>
    <m/>
    <x v="1301"/>
    <x v="161"/>
    <m/>
    <x v="1807"/>
    <x v="2047"/>
    <m/>
    <x v="3"/>
    <x v="3"/>
    <m/>
    <n v="-24.942401"/>
    <n v="45.320653999999998"/>
    <m/>
    <m/>
  </r>
  <r>
    <s v="609060004SMP"/>
    <x v="5"/>
    <x v="5"/>
    <m/>
    <x v="2"/>
    <x v="2"/>
    <m/>
    <x v="8"/>
    <x v="8"/>
    <m/>
    <x v="39"/>
    <x v="39"/>
    <m/>
    <x v="1301"/>
    <x v="161"/>
    <m/>
    <x v="1808"/>
    <x v="2048"/>
    <m/>
    <x v="3"/>
    <x v="3"/>
    <m/>
    <n v="-24.941222"/>
    <n v="45.332922000000003"/>
    <m/>
    <m/>
  </r>
  <r>
    <s v="609060001SMP"/>
    <x v="5"/>
    <x v="5"/>
    <m/>
    <x v="2"/>
    <x v="2"/>
    <m/>
    <x v="8"/>
    <x v="8"/>
    <m/>
    <x v="39"/>
    <x v="39"/>
    <m/>
    <x v="1301"/>
    <x v="161"/>
    <m/>
    <x v="1809"/>
    <x v="2049"/>
    <m/>
    <x v="3"/>
    <x v="3"/>
    <m/>
    <n v="-24.927979000000001"/>
    <n v="45.341994"/>
    <m/>
    <m/>
  </r>
  <r>
    <s v="609040005SMP"/>
    <x v="5"/>
    <x v="5"/>
    <m/>
    <x v="2"/>
    <x v="2"/>
    <m/>
    <x v="8"/>
    <x v="8"/>
    <m/>
    <x v="215"/>
    <x v="215"/>
    <m/>
    <x v="1301"/>
    <x v="161"/>
    <m/>
    <x v="1810"/>
    <x v="2050"/>
    <m/>
    <x v="3"/>
    <x v="3"/>
    <m/>
    <n v="-24.926545999999998"/>
    <n v="45.213262"/>
    <m/>
    <m/>
  </r>
  <r>
    <s v="609010052SMP"/>
    <x v="5"/>
    <x v="5"/>
    <m/>
    <x v="2"/>
    <x v="2"/>
    <m/>
    <x v="8"/>
    <x v="8"/>
    <m/>
    <x v="169"/>
    <x v="40"/>
    <m/>
    <x v="1301"/>
    <x v="161"/>
    <m/>
    <x v="1811"/>
    <x v="2051"/>
    <m/>
    <x v="3"/>
    <x v="3"/>
    <m/>
    <n v="-24.91676"/>
    <n v="44.942245999999997"/>
    <m/>
    <m/>
  </r>
  <r>
    <s v="609060011SMP"/>
    <x v="5"/>
    <x v="5"/>
    <m/>
    <x v="2"/>
    <x v="2"/>
    <m/>
    <x v="8"/>
    <x v="8"/>
    <m/>
    <x v="39"/>
    <x v="39"/>
    <m/>
    <x v="1301"/>
    <x v="161"/>
    <m/>
    <x v="1812"/>
    <x v="2052"/>
    <m/>
    <x v="3"/>
    <x v="3"/>
    <m/>
    <n v="-24.911625999999998"/>
    <n v="45.227682000000001"/>
    <m/>
    <m/>
  </r>
  <r>
    <s v="609040024SMP"/>
    <x v="5"/>
    <x v="5"/>
    <m/>
    <x v="2"/>
    <x v="2"/>
    <m/>
    <x v="8"/>
    <x v="8"/>
    <m/>
    <x v="215"/>
    <x v="215"/>
    <m/>
    <x v="1301"/>
    <x v="161"/>
    <m/>
    <x v="1813"/>
    <x v="2053"/>
    <m/>
    <x v="3"/>
    <x v="3"/>
    <m/>
    <n v="-24.909238999999999"/>
    <n v="45.158107000000001"/>
    <m/>
    <m/>
  </r>
  <r>
    <s v="609040003SMP"/>
    <x v="5"/>
    <x v="5"/>
    <m/>
    <x v="2"/>
    <x v="2"/>
    <m/>
    <x v="8"/>
    <x v="8"/>
    <m/>
    <x v="215"/>
    <x v="215"/>
    <m/>
    <x v="1301"/>
    <x v="161"/>
    <m/>
    <x v="1814"/>
    <x v="2054"/>
    <m/>
    <x v="3"/>
    <x v="3"/>
    <m/>
    <n v="-24.906548000000001"/>
    <n v="45.112712999999999"/>
    <m/>
    <m/>
  </r>
  <r>
    <s v="609010034SMP"/>
    <x v="5"/>
    <x v="5"/>
    <m/>
    <x v="2"/>
    <x v="2"/>
    <m/>
    <x v="8"/>
    <x v="8"/>
    <m/>
    <x v="169"/>
    <x v="40"/>
    <m/>
    <x v="1301"/>
    <x v="161"/>
    <m/>
    <x v="1815"/>
    <x v="2055"/>
    <m/>
    <x v="3"/>
    <x v="3"/>
    <m/>
    <n v="-24.898575000000001"/>
    <n v="44.930630000000001"/>
    <m/>
    <m/>
  </r>
  <r>
    <s v="609060003SMP"/>
    <x v="5"/>
    <x v="5"/>
    <m/>
    <x v="2"/>
    <x v="2"/>
    <m/>
    <x v="8"/>
    <x v="8"/>
    <m/>
    <x v="39"/>
    <x v="39"/>
    <m/>
    <x v="1301"/>
    <x v="161"/>
    <m/>
    <x v="244"/>
    <x v="2056"/>
    <m/>
    <x v="3"/>
    <x v="3"/>
    <m/>
    <n v="-24.896809000000001"/>
    <n v="45.347996999999999"/>
    <m/>
    <m/>
  </r>
  <r>
    <s v="609040042SMP"/>
    <x v="5"/>
    <x v="5"/>
    <m/>
    <x v="2"/>
    <x v="2"/>
    <m/>
    <x v="8"/>
    <x v="8"/>
    <m/>
    <x v="215"/>
    <x v="215"/>
    <m/>
    <x v="1301"/>
    <x v="161"/>
    <m/>
    <x v="1816"/>
    <x v="2057"/>
    <m/>
    <x v="3"/>
    <x v="3"/>
    <m/>
    <n v="-24.881360999999998"/>
    <n v="45.259473999999997"/>
    <m/>
    <m/>
  </r>
  <r>
    <s v="609040039SMP"/>
    <x v="5"/>
    <x v="5"/>
    <m/>
    <x v="2"/>
    <x v="2"/>
    <m/>
    <x v="8"/>
    <x v="8"/>
    <m/>
    <x v="215"/>
    <x v="215"/>
    <m/>
    <x v="1301"/>
    <x v="161"/>
    <m/>
    <x v="1404"/>
    <x v="2058"/>
    <m/>
    <x v="3"/>
    <x v="3"/>
    <m/>
    <n v="-24.878246000000001"/>
    <n v="45.163009000000002"/>
    <m/>
    <m/>
  </r>
  <r>
    <s v="609010019SMP"/>
    <x v="5"/>
    <x v="5"/>
    <m/>
    <x v="2"/>
    <x v="2"/>
    <m/>
    <x v="8"/>
    <x v="8"/>
    <m/>
    <x v="169"/>
    <x v="40"/>
    <m/>
    <x v="1301"/>
    <x v="161"/>
    <m/>
    <x v="1817"/>
    <x v="2059"/>
    <m/>
    <x v="3"/>
    <x v="3"/>
    <m/>
    <n v="-24.877500000000001"/>
    <n v="44.932789999999997"/>
    <m/>
    <m/>
  </r>
  <r>
    <s v="609040016SMP"/>
    <x v="5"/>
    <x v="5"/>
    <m/>
    <x v="2"/>
    <x v="2"/>
    <m/>
    <x v="8"/>
    <x v="8"/>
    <m/>
    <x v="215"/>
    <x v="215"/>
    <m/>
    <x v="1301"/>
    <x v="161"/>
    <m/>
    <x v="1818"/>
    <x v="2060"/>
    <m/>
    <x v="3"/>
    <x v="3"/>
    <m/>
    <n v="-24.874842000000001"/>
    <n v="45.198974999999997"/>
    <m/>
    <m/>
  </r>
  <r>
    <s v="609010006SMP"/>
    <x v="5"/>
    <x v="5"/>
    <m/>
    <x v="2"/>
    <x v="2"/>
    <m/>
    <x v="8"/>
    <x v="8"/>
    <m/>
    <x v="169"/>
    <x v="40"/>
    <m/>
    <x v="1301"/>
    <x v="161"/>
    <m/>
    <x v="1819"/>
    <x v="2061"/>
    <m/>
    <x v="3"/>
    <x v="3"/>
    <m/>
    <n v="-24.873707"/>
    <n v="45.000698"/>
    <m/>
    <m/>
  </r>
  <r>
    <s v="609040007SMP"/>
    <x v="5"/>
    <x v="5"/>
    <m/>
    <x v="2"/>
    <x v="2"/>
    <m/>
    <x v="8"/>
    <x v="8"/>
    <m/>
    <x v="215"/>
    <x v="215"/>
    <m/>
    <x v="1301"/>
    <x v="161"/>
    <m/>
    <x v="1820"/>
    <x v="2062"/>
    <m/>
    <x v="3"/>
    <x v="3"/>
    <m/>
    <n v="-24.859348000000001"/>
    <n v="45.234346000000002"/>
    <m/>
    <m/>
  </r>
  <r>
    <s v="609010024SMP"/>
    <x v="5"/>
    <x v="5"/>
    <m/>
    <x v="2"/>
    <x v="2"/>
    <m/>
    <x v="8"/>
    <x v="8"/>
    <m/>
    <x v="169"/>
    <x v="40"/>
    <m/>
    <x v="1301"/>
    <x v="161"/>
    <m/>
    <x v="1821"/>
    <x v="2063"/>
    <m/>
    <x v="3"/>
    <x v="3"/>
    <m/>
    <n v="-24.853511000000001"/>
    <n v="44.985311000000003"/>
    <m/>
    <m/>
  </r>
  <r>
    <s v="609040017SMP"/>
    <x v="5"/>
    <x v="5"/>
    <m/>
    <x v="2"/>
    <x v="2"/>
    <m/>
    <x v="8"/>
    <x v="8"/>
    <m/>
    <x v="38"/>
    <x v="38"/>
    <m/>
    <x v="1301"/>
    <x v="161"/>
    <m/>
    <x v="1822"/>
    <x v="2064"/>
    <m/>
    <x v="3"/>
    <x v="3"/>
    <m/>
    <n v="-24.852530000000002"/>
    <n v="45.356673000000001"/>
    <m/>
    <m/>
  </r>
  <r>
    <s v="609060006SMP"/>
    <x v="5"/>
    <x v="5"/>
    <m/>
    <x v="2"/>
    <x v="2"/>
    <m/>
    <x v="8"/>
    <x v="8"/>
    <m/>
    <x v="39"/>
    <x v="39"/>
    <m/>
    <x v="1301"/>
    <x v="161"/>
    <m/>
    <x v="1823"/>
    <x v="2065"/>
    <m/>
    <x v="3"/>
    <x v="3"/>
    <m/>
    <n v="-24.849981"/>
    <n v="45.277704999999997"/>
    <m/>
    <m/>
  </r>
  <r>
    <s v="609060007SMP"/>
    <x v="5"/>
    <x v="5"/>
    <m/>
    <x v="2"/>
    <x v="2"/>
    <m/>
    <x v="8"/>
    <x v="8"/>
    <m/>
    <x v="39"/>
    <x v="39"/>
    <m/>
    <x v="1301"/>
    <x v="161"/>
    <m/>
    <x v="1442"/>
    <x v="2066"/>
    <m/>
    <x v="3"/>
    <x v="3"/>
    <m/>
    <n v="-24.829816999999998"/>
    <n v="45.260992999999999"/>
    <m/>
    <m/>
  </r>
  <r>
    <s v="609040014SMP"/>
    <x v="5"/>
    <x v="5"/>
    <m/>
    <x v="2"/>
    <x v="2"/>
    <m/>
    <x v="8"/>
    <x v="8"/>
    <m/>
    <x v="38"/>
    <x v="38"/>
    <m/>
    <x v="1301"/>
    <x v="161"/>
    <m/>
    <x v="364"/>
    <x v="2067"/>
    <m/>
    <x v="3"/>
    <x v="3"/>
    <m/>
    <n v="-24.822723"/>
    <n v="45.339393999999999"/>
    <m/>
    <m/>
  </r>
  <r>
    <s v="609040013SMP"/>
    <x v="5"/>
    <x v="5"/>
    <m/>
    <x v="2"/>
    <x v="2"/>
    <m/>
    <x v="8"/>
    <x v="8"/>
    <m/>
    <x v="215"/>
    <x v="215"/>
    <m/>
    <x v="1301"/>
    <x v="161"/>
    <m/>
    <x v="1408"/>
    <x v="2068"/>
    <m/>
    <x v="3"/>
    <x v="3"/>
    <m/>
    <n v="-24.820976000000002"/>
    <n v="45.110100000000003"/>
    <m/>
    <m/>
  </r>
  <r>
    <s v="609040022SMP"/>
    <x v="5"/>
    <x v="5"/>
    <m/>
    <x v="2"/>
    <x v="2"/>
    <m/>
    <x v="8"/>
    <x v="8"/>
    <m/>
    <x v="38"/>
    <x v="38"/>
    <m/>
    <x v="1301"/>
    <x v="161"/>
    <m/>
    <x v="240"/>
    <x v="2069"/>
    <m/>
    <x v="3"/>
    <x v="3"/>
    <m/>
    <n v="-24.802771"/>
    <n v="45.256047000000002"/>
    <m/>
    <m/>
  </r>
  <r>
    <s v="609040047SMP"/>
    <x v="5"/>
    <x v="5"/>
    <m/>
    <x v="2"/>
    <x v="2"/>
    <m/>
    <x v="8"/>
    <x v="8"/>
    <m/>
    <x v="38"/>
    <x v="38"/>
    <m/>
    <x v="1301"/>
    <x v="161"/>
    <m/>
    <x v="1824"/>
    <x v="2070"/>
    <m/>
    <x v="3"/>
    <x v="3"/>
    <m/>
    <n v="-24.800803999999999"/>
    <n v="45.330649999999999"/>
    <m/>
    <m/>
  </r>
  <r>
    <s v="609060005SMP"/>
    <x v="5"/>
    <x v="5"/>
    <m/>
    <x v="2"/>
    <x v="2"/>
    <m/>
    <x v="8"/>
    <x v="8"/>
    <m/>
    <x v="39"/>
    <x v="39"/>
    <m/>
    <x v="1301"/>
    <x v="161"/>
    <m/>
    <x v="758"/>
    <x v="2071"/>
    <m/>
    <x v="3"/>
    <x v="3"/>
    <m/>
    <n v="-24.7852"/>
    <n v="45.191535999999999"/>
    <m/>
    <m/>
  </r>
  <r>
    <s v="609040025SMP"/>
    <x v="5"/>
    <x v="5"/>
    <m/>
    <x v="2"/>
    <x v="2"/>
    <m/>
    <x v="8"/>
    <x v="8"/>
    <m/>
    <x v="215"/>
    <x v="215"/>
    <m/>
    <x v="1301"/>
    <x v="161"/>
    <m/>
    <x v="1407"/>
    <x v="2072"/>
    <m/>
    <x v="3"/>
    <x v="3"/>
    <m/>
    <n v="-24.781555999999998"/>
    <n v="45.027892999999999"/>
    <m/>
    <m/>
  </r>
  <r>
    <s v="609040019SMP"/>
    <x v="5"/>
    <x v="5"/>
    <m/>
    <x v="2"/>
    <x v="2"/>
    <m/>
    <x v="8"/>
    <x v="8"/>
    <m/>
    <x v="215"/>
    <x v="215"/>
    <m/>
    <x v="1301"/>
    <x v="161"/>
    <m/>
    <x v="1825"/>
    <x v="2073"/>
    <m/>
    <x v="3"/>
    <x v="3"/>
    <m/>
    <n v="-24.777759"/>
    <n v="45.100265"/>
    <m/>
    <m/>
  </r>
  <r>
    <s v="609040011SMP"/>
    <x v="5"/>
    <x v="5"/>
    <m/>
    <x v="2"/>
    <x v="2"/>
    <m/>
    <x v="8"/>
    <x v="8"/>
    <m/>
    <x v="38"/>
    <x v="38"/>
    <m/>
    <x v="1301"/>
    <x v="161"/>
    <m/>
    <x v="241"/>
    <x v="2074"/>
    <m/>
    <x v="3"/>
    <x v="3"/>
    <m/>
    <n v="-24.775829999999999"/>
    <n v="45.342891999999999"/>
    <m/>
    <m/>
  </r>
  <r>
    <s v="609060016SMP"/>
    <x v="5"/>
    <x v="5"/>
    <m/>
    <x v="2"/>
    <x v="2"/>
    <m/>
    <x v="8"/>
    <x v="8"/>
    <m/>
    <x v="39"/>
    <x v="39"/>
    <m/>
    <x v="1301"/>
    <x v="161"/>
    <m/>
    <x v="87"/>
    <x v="2075"/>
    <m/>
    <x v="3"/>
    <x v="3"/>
    <m/>
    <n v="-24.754306"/>
    <n v="45.168227999999999"/>
    <m/>
    <m/>
  </r>
  <r>
    <s v="609040037SMP"/>
    <x v="5"/>
    <x v="5"/>
    <m/>
    <x v="2"/>
    <x v="2"/>
    <m/>
    <x v="8"/>
    <x v="8"/>
    <m/>
    <x v="215"/>
    <x v="215"/>
    <m/>
    <x v="1301"/>
    <x v="161"/>
    <m/>
    <x v="1168"/>
    <x v="2076"/>
    <m/>
    <x v="3"/>
    <x v="3"/>
    <m/>
    <n v="-24.745282"/>
    <n v="45.122031"/>
    <m/>
    <m/>
  </r>
  <r>
    <s v="609040015SMP"/>
    <x v="5"/>
    <x v="5"/>
    <m/>
    <x v="2"/>
    <x v="2"/>
    <m/>
    <x v="8"/>
    <x v="8"/>
    <m/>
    <x v="215"/>
    <x v="215"/>
    <m/>
    <x v="1301"/>
    <x v="161"/>
    <m/>
    <x v="1826"/>
    <x v="2077"/>
    <m/>
    <x v="3"/>
    <x v="3"/>
    <m/>
    <n v="-24.733878000000001"/>
    <n v="45.052965"/>
    <m/>
    <m/>
  </r>
  <r>
    <s v="609040026SMP"/>
    <x v="5"/>
    <x v="5"/>
    <m/>
    <x v="2"/>
    <x v="2"/>
    <m/>
    <x v="8"/>
    <x v="8"/>
    <m/>
    <x v="215"/>
    <x v="215"/>
    <m/>
    <x v="1301"/>
    <x v="161"/>
    <m/>
    <x v="1827"/>
    <x v="2078"/>
    <m/>
    <x v="3"/>
    <x v="3"/>
    <m/>
    <n v="-24.710704"/>
    <n v="45.065499000000003"/>
    <m/>
    <m/>
  </r>
  <r>
    <s v="609040029SMP"/>
    <x v="5"/>
    <x v="5"/>
    <m/>
    <x v="2"/>
    <x v="2"/>
    <m/>
    <x v="8"/>
    <x v="8"/>
    <m/>
    <x v="215"/>
    <x v="215"/>
    <m/>
    <x v="1301"/>
    <x v="161"/>
    <m/>
    <x v="1406"/>
    <x v="2079"/>
    <m/>
    <x v="3"/>
    <x v="3"/>
    <m/>
    <n v="-24.710201999999999"/>
    <n v="45.114041999999998"/>
    <m/>
    <m/>
  </r>
  <r>
    <s v="609040028SMP"/>
    <x v="5"/>
    <x v="5"/>
    <m/>
    <x v="2"/>
    <x v="2"/>
    <m/>
    <x v="8"/>
    <x v="8"/>
    <m/>
    <x v="215"/>
    <x v="215"/>
    <m/>
    <x v="1301"/>
    <x v="161"/>
    <m/>
    <x v="1828"/>
    <x v="2080"/>
    <m/>
    <x v="3"/>
    <x v="3"/>
    <m/>
    <n v="-24.701454999999999"/>
    <n v="45.133105"/>
    <m/>
    <m/>
  </r>
  <r>
    <s v="609040008SMP"/>
    <x v="5"/>
    <x v="5"/>
    <m/>
    <x v="2"/>
    <x v="2"/>
    <m/>
    <x v="8"/>
    <x v="8"/>
    <m/>
    <x v="215"/>
    <x v="215"/>
    <m/>
    <x v="1301"/>
    <x v="161"/>
    <m/>
    <x v="1829"/>
    <x v="2081"/>
    <m/>
    <x v="3"/>
    <x v="3"/>
    <m/>
    <n v="-24.687519999999999"/>
    <n v="45.135331000000001"/>
    <m/>
    <m/>
  </r>
  <r>
    <s v="609040012SMP"/>
    <x v="5"/>
    <x v="5"/>
    <m/>
    <x v="2"/>
    <x v="2"/>
    <m/>
    <x v="8"/>
    <x v="8"/>
    <m/>
    <x v="215"/>
    <x v="215"/>
    <m/>
    <x v="1301"/>
    <x v="161"/>
    <m/>
    <x v="54"/>
    <x v="2082"/>
    <m/>
    <x v="3"/>
    <x v="3"/>
    <m/>
    <n v="-24.632670999999998"/>
    <n v="45.125475000000002"/>
    <m/>
    <m/>
  </r>
  <r>
    <s v="609040020SMP"/>
    <x v="5"/>
    <x v="5"/>
    <m/>
    <x v="2"/>
    <x v="2"/>
    <m/>
    <x v="8"/>
    <x v="8"/>
    <m/>
    <x v="215"/>
    <x v="215"/>
    <m/>
    <x v="1301"/>
    <x v="161"/>
    <m/>
    <x v="1830"/>
    <x v="2083"/>
    <m/>
    <x v="3"/>
    <x v="3"/>
    <m/>
    <n v="-24.588439000000001"/>
    <n v="45.069965000000003"/>
    <m/>
    <m/>
  </r>
  <r>
    <s v="609050022SMP"/>
    <x v="5"/>
    <x v="5"/>
    <m/>
    <x v="2"/>
    <x v="2"/>
    <m/>
    <x v="8"/>
    <x v="8"/>
    <m/>
    <x v="216"/>
    <x v="216"/>
    <m/>
    <x v="1301"/>
    <x v="161"/>
    <m/>
    <x v="1831"/>
    <x v="2084"/>
    <m/>
    <x v="3"/>
    <x v="3"/>
    <m/>
    <n v="-25.473120000000002"/>
    <n v="45.060020000000002"/>
    <m/>
    <m/>
  </r>
  <r>
    <s v="609010016SMP"/>
    <x v="5"/>
    <x v="5"/>
    <m/>
    <x v="2"/>
    <x v="2"/>
    <m/>
    <x v="8"/>
    <x v="8"/>
    <m/>
    <x v="125"/>
    <x v="125"/>
    <m/>
    <x v="1301"/>
    <x v="161"/>
    <m/>
    <x v="1832"/>
    <x v="2085"/>
    <m/>
    <x v="3"/>
    <x v="3"/>
    <m/>
    <n v="-25.04945"/>
    <n v="45.138919999999999"/>
    <m/>
    <m/>
  </r>
  <r>
    <s v="609050044SMP"/>
    <x v="5"/>
    <x v="5"/>
    <m/>
    <x v="2"/>
    <x v="2"/>
    <m/>
    <x v="8"/>
    <x v="8"/>
    <m/>
    <x v="216"/>
    <x v="216"/>
    <m/>
    <x v="1301"/>
    <x v="161"/>
    <m/>
    <x v="1833"/>
    <x v="2086"/>
    <m/>
    <x v="3"/>
    <x v="3"/>
    <m/>
    <n v="-25.473120000000002"/>
    <n v="45.060020000000002"/>
    <m/>
    <m/>
  </r>
  <r>
    <s v="609030020SMP"/>
    <x v="5"/>
    <x v="5"/>
    <m/>
    <x v="2"/>
    <x v="2"/>
    <m/>
    <x v="8"/>
    <x v="8"/>
    <m/>
    <x v="185"/>
    <x v="185"/>
    <m/>
    <x v="1301"/>
    <x v="161"/>
    <m/>
    <x v="1834"/>
    <x v="2087"/>
    <m/>
    <x v="3"/>
    <x v="3"/>
    <m/>
    <n v="-25.250119999999999"/>
    <n v="44.726199999999999"/>
    <m/>
    <m/>
  </r>
  <r>
    <s v="609030028SMP"/>
    <x v="5"/>
    <x v="5"/>
    <m/>
    <x v="2"/>
    <x v="2"/>
    <m/>
    <x v="8"/>
    <x v="8"/>
    <m/>
    <x v="185"/>
    <x v="185"/>
    <m/>
    <x v="1301"/>
    <x v="161"/>
    <m/>
    <x v="1835"/>
    <x v="2088"/>
    <m/>
    <x v="3"/>
    <x v="3"/>
    <m/>
    <n v="-25.250119999999999"/>
    <n v="44.726199999999999"/>
    <m/>
    <m/>
  </r>
  <r>
    <s v="604200001SMP"/>
    <x v="5"/>
    <x v="5"/>
    <m/>
    <x v="3"/>
    <x v="3"/>
    <m/>
    <x v="15"/>
    <x v="15"/>
    <m/>
    <x v="88"/>
    <x v="88"/>
    <m/>
    <x v="1301"/>
    <x v="161"/>
    <m/>
    <x v="1836"/>
    <x v="2089"/>
    <m/>
    <x v="3"/>
    <x v="3"/>
    <m/>
    <n v="-25.203050999999999"/>
    <n v="45.946125000000002"/>
    <m/>
    <m/>
  </r>
  <r>
    <s v="604200008SMP"/>
    <x v="5"/>
    <x v="5"/>
    <m/>
    <x v="3"/>
    <x v="3"/>
    <m/>
    <x v="15"/>
    <x v="15"/>
    <m/>
    <x v="88"/>
    <x v="88"/>
    <m/>
    <x v="1301"/>
    <x v="161"/>
    <m/>
    <x v="1837"/>
    <x v="2090"/>
    <m/>
    <x v="3"/>
    <x v="3"/>
    <m/>
    <n v="-25.186703999999999"/>
    <n v="45.951535"/>
    <m/>
    <m/>
  </r>
  <r>
    <s v="604200004SMP"/>
    <x v="5"/>
    <x v="5"/>
    <m/>
    <x v="3"/>
    <x v="3"/>
    <m/>
    <x v="15"/>
    <x v="15"/>
    <m/>
    <x v="88"/>
    <x v="88"/>
    <m/>
    <x v="1301"/>
    <x v="161"/>
    <m/>
    <x v="1838"/>
    <x v="2091"/>
    <m/>
    <x v="3"/>
    <x v="3"/>
    <m/>
    <n v="-25.148371000000001"/>
    <n v="45.897168000000001"/>
    <m/>
    <m/>
  </r>
  <r>
    <s v="604030003SMP"/>
    <x v="5"/>
    <x v="5"/>
    <m/>
    <x v="3"/>
    <x v="3"/>
    <m/>
    <x v="15"/>
    <x v="15"/>
    <m/>
    <x v="88"/>
    <x v="88"/>
    <m/>
    <x v="1301"/>
    <x v="161"/>
    <m/>
    <x v="1839"/>
    <x v="2092"/>
    <m/>
    <x v="3"/>
    <x v="3"/>
    <m/>
    <n v="-25.126474999999999"/>
    <n v="45.904089999999997"/>
    <m/>
    <m/>
  </r>
  <r>
    <s v="604200003SMP"/>
    <x v="5"/>
    <x v="5"/>
    <m/>
    <x v="3"/>
    <x v="3"/>
    <m/>
    <x v="15"/>
    <x v="15"/>
    <m/>
    <x v="88"/>
    <x v="88"/>
    <m/>
    <x v="1301"/>
    <x v="161"/>
    <m/>
    <x v="1840"/>
    <x v="2093"/>
    <m/>
    <x v="3"/>
    <x v="3"/>
    <m/>
    <n v="-25.104385000000001"/>
    <n v="45.896737000000002"/>
    <m/>
    <m/>
  </r>
  <r>
    <s v="613200001SMP"/>
    <x v="5"/>
    <x v="5"/>
    <m/>
    <x v="3"/>
    <x v="3"/>
    <m/>
    <x v="15"/>
    <x v="15"/>
    <m/>
    <x v="203"/>
    <x v="203"/>
    <m/>
    <x v="1301"/>
    <x v="161"/>
    <m/>
    <x v="219"/>
    <x v="2094"/>
    <m/>
    <x v="3"/>
    <x v="3"/>
    <m/>
    <n v="-23.134830000000001"/>
    <n v="45.443129999999996"/>
    <m/>
    <m/>
  </r>
  <r>
    <s v="614270009SMP"/>
    <x v="5"/>
    <x v="5"/>
    <m/>
    <x v="3"/>
    <x v="3"/>
    <m/>
    <x v="15"/>
    <x v="15"/>
    <m/>
    <x v="88"/>
    <x v="88"/>
    <m/>
    <x v="1301"/>
    <x v="161"/>
    <m/>
    <x v="1841"/>
    <x v="2095"/>
    <m/>
    <x v="3"/>
    <x v="3"/>
    <m/>
    <n v="-23.234069999999999"/>
    <n v="45.818800000000003"/>
    <m/>
    <m/>
  </r>
  <r>
    <s v="613010013SMP"/>
    <x v="5"/>
    <x v="5"/>
    <m/>
    <x v="3"/>
    <x v="3"/>
    <m/>
    <x v="15"/>
    <x v="15"/>
    <m/>
    <x v="236"/>
    <x v="234"/>
    <m/>
    <x v="1301"/>
    <x v="161"/>
    <m/>
    <x v="1842"/>
    <x v="2096"/>
    <m/>
    <x v="3"/>
    <x v="3"/>
    <m/>
    <n v="-23.07122"/>
    <n v="46.13353"/>
    <m/>
    <m/>
  </r>
  <r>
    <s v="613210008SMP"/>
    <x v="5"/>
    <x v="5"/>
    <m/>
    <x v="3"/>
    <x v="3"/>
    <m/>
    <x v="15"/>
    <x v="15"/>
    <m/>
    <x v="88"/>
    <x v="88"/>
    <m/>
    <x v="1301"/>
    <x v="161"/>
    <m/>
    <x v="1843"/>
    <x v="2097"/>
    <m/>
    <x v="3"/>
    <x v="3"/>
    <m/>
    <n v="-23.234069999999999"/>
    <n v="45.818800000000003"/>
    <m/>
    <m/>
  </r>
  <r>
    <s v="613200002SMP"/>
    <x v="5"/>
    <x v="5"/>
    <m/>
    <x v="3"/>
    <x v="3"/>
    <m/>
    <x v="15"/>
    <x v="15"/>
    <m/>
    <x v="203"/>
    <x v="203"/>
    <m/>
    <x v="1301"/>
    <x v="161"/>
    <m/>
    <x v="1844"/>
    <x v="2098"/>
    <m/>
    <x v="3"/>
    <x v="3"/>
    <m/>
    <n v="-23.134830000000001"/>
    <n v="45.443129999999996"/>
    <m/>
    <m/>
  </r>
  <r>
    <s v="613210002SMP"/>
    <x v="5"/>
    <x v="5"/>
    <m/>
    <x v="3"/>
    <x v="3"/>
    <m/>
    <x v="15"/>
    <x v="15"/>
    <m/>
    <x v="88"/>
    <x v="88"/>
    <m/>
    <x v="1301"/>
    <x v="161"/>
    <m/>
    <x v="1845"/>
    <x v="2099"/>
    <m/>
    <x v="3"/>
    <x v="3"/>
    <m/>
    <n v="-23.234069999999999"/>
    <n v="45.818800000000003"/>
    <m/>
    <m/>
  </r>
  <r>
    <s v="613200007SMP"/>
    <x v="5"/>
    <x v="5"/>
    <m/>
    <x v="3"/>
    <x v="3"/>
    <m/>
    <x v="15"/>
    <x v="15"/>
    <m/>
    <x v="203"/>
    <x v="203"/>
    <m/>
    <x v="1301"/>
    <x v="161"/>
    <m/>
    <x v="1846"/>
    <x v="2100"/>
    <m/>
    <x v="3"/>
    <x v="3"/>
    <m/>
    <n v="-23.134830000000001"/>
    <n v="45.443129999999996"/>
    <m/>
    <m/>
  </r>
  <r>
    <s v="613100006SMP"/>
    <x v="5"/>
    <x v="5"/>
    <m/>
    <x v="3"/>
    <x v="3"/>
    <m/>
    <x v="15"/>
    <x v="15"/>
    <m/>
    <x v="152"/>
    <x v="152"/>
    <m/>
    <x v="1301"/>
    <x v="161"/>
    <m/>
    <x v="1847"/>
    <x v="2101"/>
    <m/>
    <x v="3"/>
    <x v="3"/>
    <m/>
    <n v="-23.559419999999999"/>
    <n v="45.99897"/>
    <m/>
    <m/>
  </r>
  <r>
    <s v="613100023SMP"/>
    <x v="5"/>
    <x v="5"/>
    <m/>
    <x v="3"/>
    <x v="3"/>
    <m/>
    <x v="15"/>
    <x v="15"/>
    <m/>
    <x v="152"/>
    <x v="152"/>
    <m/>
    <x v="1301"/>
    <x v="161"/>
    <m/>
    <x v="1848"/>
    <x v="2102"/>
    <m/>
    <x v="3"/>
    <x v="3"/>
    <m/>
    <n v="-23.559419999999999"/>
    <n v="45.99897"/>
    <m/>
    <m/>
  </r>
  <r>
    <s v="613100021SMP"/>
    <x v="5"/>
    <x v="5"/>
    <m/>
    <x v="3"/>
    <x v="3"/>
    <m/>
    <x v="15"/>
    <x v="15"/>
    <m/>
    <x v="152"/>
    <x v="152"/>
    <m/>
    <x v="1301"/>
    <x v="161"/>
    <m/>
    <x v="1849"/>
    <x v="2103"/>
    <m/>
    <x v="3"/>
    <x v="3"/>
    <m/>
    <n v="-23.559419999999999"/>
    <n v="45.99897"/>
    <m/>
    <m/>
  </r>
  <r>
    <s v="614050012SMP"/>
    <x v="5"/>
    <x v="5"/>
    <m/>
    <x v="3"/>
    <x v="3"/>
    <m/>
    <x v="21"/>
    <x v="20"/>
    <m/>
    <x v="237"/>
    <x v="235"/>
    <m/>
    <x v="1301"/>
    <x v="161"/>
    <m/>
    <x v="1850"/>
    <x v="2104"/>
    <m/>
    <x v="3"/>
    <x v="3"/>
    <m/>
    <n v="-25.174129000000001"/>
    <n v="46.685495000000003"/>
    <m/>
    <m/>
  </r>
  <r>
    <s v="614050008SMP"/>
    <x v="5"/>
    <x v="5"/>
    <m/>
    <x v="3"/>
    <x v="3"/>
    <m/>
    <x v="21"/>
    <x v="20"/>
    <m/>
    <x v="237"/>
    <x v="235"/>
    <m/>
    <x v="1301"/>
    <x v="161"/>
    <m/>
    <x v="1851"/>
    <x v="2105"/>
    <m/>
    <x v="3"/>
    <x v="3"/>
    <m/>
    <n v="-25.174122000000001"/>
    <n v="46.700733999999997"/>
    <m/>
    <m/>
  </r>
  <r>
    <s v="614050001SMP"/>
    <x v="5"/>
    <x v="5"/>
    <m/>
    <x v="3"/>
    <x v="3"/>
    <m/>
    <x v="21"/>
    <x v="20"/>
    <m/>
    <x v="237"/>
    <x v="235"/>
    <m/>
    <x v="1301"/>
    <x v="161"/>
    <m/>
    <x v="1852"/>
    <x v="2106"/>
    <m/>
    <x v="3"/>
    <x v="3"/>
    <m/>
    <n v="-25.173404999999999"/>
    <n v="46.672224"/>
    <m/>
    <m/>
  </r>
  <r>
    <s v="614050002SMP"/>
    <x v="5"/>
    <x v="5"/>
    <m/>
    <x v="3"/>
    <x v="3"/>
    <m/>
    <x v="21"/>
    <x v="20"/>
    <m/>
    <x v="237"/>
    <x v="235"/>
    <m/>
    <x v="1301"/>
    <x v="161"/>
    <m/>
    <x v="1853"/>
    <x v="2107"/>
    <m/>
    <x v="3"/>
    <x v="3"/>
    <m/>
    <n v="-25.169847000000001"/>
    <n v="46.694996000000003"/>
    <m/>
    <m/>
  </r>
  <r>
    <s v="614050004SMP"/>
    <x v="5"/>
    <x v="5"/>
    <m/>
    <x v="3"/>
    <x v="3"/>
    <m/>
    <x v="21"/>
    <x v="20"/>
    <m/>
    <x v="237"/>
    <x v="235"/>
    <m/>
    <x v="1301"/>
    <x v="161"/>
    <m/>
    <x v="1854"/>
    <x v="2108"/>
    <m/>
    <x v="3"/>
    <x v="3"/>
    <m/>
    <n v="-25.161287999999999"/>
    <n v="46.706538000000002"/>
    <m/>
    <m/>
  </r>
  <r>
    <s v="614060004SMP"/>
    <x v="5"/>
    <x v="5"/>
    <m/>
    <x v="3"/>
    <x v="3"/>
    <m/>
    <x v="21"/>
    <x v="20"/>
    <m/>
    <x v="238"/>
    <x v="236"/>
    <m/>
    <x v="1301"/>
    <x v="161"/>
    <m/>
    <x v="1855"/>
    <x v="2109"/>
    <m/>
    <x v="3"/>
    <x v="3"/>
    <m/>
    <n v="-25.124811000000001"/>
    <n v="46.524690999999997"/>
    <m/>
    <m/>
  </r>
  <r>
    <s v="614210002SMP"/>
    <x v="5"/>
    <x v="5"/>
    <m/>
    <x v="3"/>
    <x v="3"/>
    <m/>
    <x v="21"/>
    <x v="20"/>
    <m/>
    <x v="239"/>
    <x v="237"/>
    <m/>
    <x v="1301"/>
    <x v="161"/>
    <m/>
    <x v="582"/>
    <x v="2110"/>
    <m/>
    <x v="3"/>
    <x v="3"/>
    <m/>
    <n v="-25.101759000000001"/>
    <n v="46.670493"/>
    <m/>
    <m/>
  </r>
  <r>
    <s v="614070001SMP"/>
    <x v="5"/>
    <x v="5"/>
    <m/>
    <x v="3"/>
    <x v="3"/>
    <m/>
    <x v="21"/>
    <x v="20"/>
    <m/>
    <x v="240"/>
    <x v="238"/>
    <m/>
    <x v="1301"/>
    <x v="161"/>
    <m/>
    <x v="1856"/>
    <x v="2111"/>
    <m/>
    <x v="3"/>
    <x v="3"/>
    <m/>
    <n v="-25.053439000000001"/>
    <n v="46.781703"/>
    <m/>
    <m/>
  </r>
  <r>
    <s v="614210011SMP"/>
    <x v="5"/>
    <x v="5"/>
    <m/>
    <x v="3"/>
    <x v="3"/>
    <m/>
    <x v="21"/>
    <x v="20"/>
    <m/>
    <x v="239"/>
    <x v="237"/>
    <m/>
    <x v="1301"/>
    <x v="161"/>
    <m/>
    <x v="1857"/>
    <x v="2112"/>
    <m/>
    <x v="3"/>
    <x v="3"/>
    <m/>
    <n v="-25.053284999999999"/>
    <n v="46.687933000000001"/>
    <m/>
    <m/>
  </r>
  <r>
    <s v="614210003SMP"/>
    <x v="5"/>
    <x v="5"/>
    <m/>
    <x v="3"/>
    <x v="3"/>
    <m/>
    <x v="21"/>
    <x v="20"/>
    <m/>
    <x v="239"/>
    <x v="237"/>
    <m/>
    <x v="1301"/>
    <x v="161"/>
    <m/>
    <x v="1858"/>
    <x v="2113"/>
    <m/>
    <x v="3"/>
    <x v="3"/>
    <m/>
    <n v="-25.047934000000001"/>
    <n v="46.596294"/>
    <m/>
    <m/>
  </r>
  <r>
    <s v="614250003SMP"/>
    <x v="5"/>
    <x v="5"/>
    <m/>
    <x v="3"/>
    <x v="3"/>
    <m/>
    <x v="21"/>
    <x v="20"/>
    <m/>
    <x v="241"/>
    <x v="239"/>
    <m/>
    <x v="1301"/>
    <x v="161"/>
    <m/>
    <x v="1859"/>
    <x v="2114"/>
    <m/>
    <x v="3"/>
    <x v="3"/>
    <m/>
    <n v="-25.047934000000001"/>
    <n v="46.596294"/>
    <m/>
    <m/>
  </r>
  <r>
    <s v="614070004SMP"/>
    <x v="5"/>
    <x v="5"/>
    <m/>
    <x v="3"/>
    <x v="3"/>
    <m/>
    <x v="21"/>
    <x v="20"/>
    <m/>
    <x v="240"/>
    <x v="238"/>
    <m/>
    <x v="1301"/>
    <x v="161"/>
    <m/>
    <x v="1860"/>
    <x v="2115"/>
    <m/>
    <x v="3"/>
    <x v="3"/>
    <m/>
    <n v="-25.044025000000001"/>
    <n v="46.760824999999997"/>
    <m/>
    <m/>
  </r>
  <r>
    <s v="614070006SMP"/>
    <x v="5"/>
    <x v="5"/>
    <m/>
    <x v="3"/>
    <x v="3"/>
    <m/>
    <x v="21"/>
    <x v="20"/>
    <m/>
    <x v="240"/>
    <x v="238"/>
    <m/>
    <x v="1301"/>
    <x v="161"/>
    <m/>
    <x v="693"/>
    <x v="2116"/>
    <m/>
    <x v="3"/>
    <x v="3"/>
    <m/>
    <n v="-25.036517"/>
    <n v="46.727899000000001"/>
    <m/>
    <m/>
  </r>
  <r>
    <s v="614070002SMP"/>
    <x v="5"/>
    <x v="5"/>
    <m/>
    <x v="3"/>
    <x v="3"/>
    <m/>
    <x v="21"/>
    <x v="20"/>
    <m/>
    <x v="240"/>
    <x v="238"/>
    <m/>
    <x v="1301"/>
    <x v="161"/>
    <m/>
    <x v="477"/>
    <x v="2117"/>
    <m/>
    <x v="3"/>
    <x v="3"/>
    <m/>
    <n v="-25.035294"/>
    <n v="46.752904999999998"/>
    <m/>
    <m/>
  </r>
  <r>
    <s v="614070011SMP"/>
    <x v="5"/>
    <x v="5"/>
    <m/>
    <x v="3"/>
    <x v="3"/>
    <m/>
    <x v="21"/>
    <x v="20"/>
    <m/>
    <x v="240"/>
    <x v="238"/>
    <m/>
    <x v="1301"/>
    <x v="161"/>
    <m/>
    <x v="1861"/>
    <x v="2118"/>
    <m/>
    <x v="3"/>
    <x v="3"/>
    <m/>
    <n v="-25.034838000000001"/>
    <n v="46.725729999999999"/>
    <m/>
    <m/>
  </r>
  <r>
    <s v="614070003SMP"/>
    <x v="5"/>
    <x v="5"/>
    <m/>
    <x v="3"/>
    <x v="3"/>
    <m/>
    <x v="21"/>
    <x v="20"/>
    <m/>
    <x v="240"/>
    <x v="238"/>
    <m/>
    <x v="1301"/>
    <x v="161"/>
    <m/>
    <x v="1862"/>
    <x v="2119"/>
    <m/>
    <x v="3"/>
    <x v="3"/>
    <m/>
    <n v="-25.033491000000001"/>
    <n v="46.775472999999998"/>
    <m/>
    <m/>
  </r>
  <r>
    <s v="614230004SMP"/>
    <x v="5"/>
    <x v="5"/>
    <m/>
    <x v="3"/>
    <x v="3"/>
    <m/>
    <x v="21"/>
    <x v="20"/>
    <m/>
    <x v="242"/>
    <x v="240"/>
    <m/>
    <x v="1301"/>
    <x v="161"/>
    <m/>
    <x v="1863"/>
    <x v="2120"/>
    <m/>
    <x v="3"/>
    <x v="3"/>
    <m/>
    <n v="-25.021944000000001"/>
    <n v="46.888632000000001"/>
    <m/>
    <m/>
  </r>
  <r>
    <s v="614210019SMP"/>
    <x v="5"/>
    <x v="5"/>
    <m/>
    <x v="3"/>
    <x v="3"/>
    <m/>
    <x v="21"/>
    <x v="20"/>
    <m/>
    <x v="239"/>
    <x v="237"/>
    <m/>
    <x v="1301"/>
    <x v="161"/>
    <m/>
    <x v="1864"/>
    <x v="2121"/>
    <m/>
    <x v="3"/>
    <x v="3"/>
    <m/>
    <n v="-25.020434999999999"/>
    <n v="46.651322999999998"/>
    <m/>
    <m/>
  </r>
  <r>
    <s v="614210004SMP"/>
    <x v="5"/>
    <x v="5"/>
    <m/>
    <x v="3"/>
    <x v="3"/>
    <m/>
    <x v="21"/>
    <x v="20"/>
    <m/>
    <x v="239"/>
    <x v="237"/>
    <m/>
    <x v="1301"/>
    <x v="161"/>
    <m/>
    <x v="1865"/>
    <x v="2122"/>
    <m/>
    <x v="3"/>
    <x v="3"/>
    <m/>
    <n v="-25.017313999999999"/>
    <n v="46.651766000000002"/>
    <m/>
    <m/>
  </r>
  <r>
    <s v="614230005SMP"/>
    <x v="5"/>
    <x v="5"/>
    <m/>
    <x v="3"/>
    <x v="3"/>
    <m/>
    <x v="21"/>
    <x v="20"/>
    <m/>
    <x v="242"/>
    <x v="240"/>
    <m/>
    <x v="1301"/>
    <x v="161"/>
    <m/>
    <x v="1866"/>
    <x v="2123"/>
    <m/>
    <x v="3"/>
    <x v="3"/>
    <m/>
    <n v="-25.012412000000001"/>
    <n v="46.934945999999997"/>
    <m/>
    <m/>
  </r>
  <r>
    <s v="614250007SMP"/>
    <x v="5"/>
    <x v="5"/>
    <m/>
    <x v="3"/>
    <x v="3"/>
    <m/>
    <x v="21"/>
    <x v="20"/>
    <m/>
    <x v="241"/>
    <x v="239"/>
    <m/>
    <x v="1301"/>
    <x v="161"/>
    <m/>
    <x v="1867"/>
    <x v="2124"/>
    <m/>
    <x v="3"/>
    <x v="3"/>
    <m/>
    <n v="-25.006432"/>
    <n v="46.597324999999998"/>
    <m/>
    <m/>
  </r>
  <r>
    <s v="614160009SMP"/>
    <x v="5"/>
    <x v="5"/>
    <m/>
    <x v="3"/>
    <x v="3"/>
    <m/>
    <x v="21"/>
    <x v="20"/>
    <m/>
    <x v="243"/>
    <x v="241"/>
    <m/>
    <x v="1301"/>
    <x v="161"/>
    <m/>
    <x v="1868"/>
    <x v="2125"/>
    <m/>
    <x v="3"/>
    <x v="3"/>
    <m/>
    <n v="-24.998273999999999"/>
    <n v="46.856513"/>
    <m/>
    <m/>
  </r>
  <r>
    <s v="614160014SMP"/>
    <x v="5"/>
    <x v="5"/>
    <m/>
    <x v="3"/>
    <x v="3"/>
    <m/>
    <x v="21"/>
    <x v="20"/>
    <m/>
    <x v="243"/>
    <x v="241"/>
    <m/>
    <x v="1301"/>
    <x v="161"/>
    <m/>
    <x v="1869"/>
    <x v="2126"/>
    <m/>
    <x v="3"/>
    <x v="3"/>
    <m/>
    <n v="-24.986132999999999"/>
    <n v="46.866945000000001"/>
    <m/>
    <m/>
  </r>
  <r>
    <s v="614030002SMP"/>
    <x v="5"/>
    <x v="5"/>
    <m/>
    <x v="3"/>
    <x v="3"/>
    <m/>
    <x v="21"/>
    <x v="20"/>
    <m/>
    <x v="244"/>
    <x v="242"/>
    <m/>
    <x v="1301"/>
    <x v="161"/>
    <m/>
    <x v="1870"/>
    <x v="2127"/>
    <m/>
    <x v="3"/>
    <x v="3"/>
    <m/>
    <n v="-24.980094999999999"/>
    <n v="46.979669000000001"/>
    <m/>
    <m/>
  </r>
  <r>
    <s v="614030004SMP"/>
    <x v="5"/>
    <x v="5"/>
    <m/>
    <x v="3"/>
    <x v="3"/>
    <m/>
    <x v="21"/>
    <x v="20"/>
    <m/>
    <x v="244"/>
    <x v="242"/>
    <m/>
    <x v="1301"/>
    <x v="161"/>
    <m/>
    <x v="1871"/>
    <x v="2128"/>
    <m/>
    <x v="3"/>
    <x v="3"/>
    <m/>
    <n v="-24.936895"/>
    <n v="46.988028"/>
    <m/>
    <m/>
  </r>
  <r>
    <s v="614030001SMP"/>
    <x v="5"/>
    <x v="5"/>
    <m/>
    <x v="3"/>
    <x v="3"/>
    <m/>
    <x v="21"/>
    <x v="20"/>
    <m/>
    <x v="244"/>
    <x v="242"/>
    <m/>
    <x v="1301"/>
    <x v="161"/>
    <m/>
    <x v="1872"/>
    <x v="2129"/>
    <m/>
    <x v="3"/>
    <x v="3"/>
    <m/>
    <n v="-24.932614000000001"/>
    <n v="46.973381000000003"/>
    <m/>
    <m/>
  </r>
  <r>
    <s v="614020016SMP"/>
    <x v="5"/>
    <x v="5"/>
    <m/>
    <x v="3"/>
    <x v="3"/>
    <m/>
    <x v="21"/>
    <x v="20"/>
    <m/>
    <x v="245"/>
    <x v="243"/>
    <m/>
    <x v="1301"/>
    <x v="161"/>
    <m/>
    <x v="1873"/>
    <x v="2130"/>
    <m/>
    <x v="3"/>
    <x v="3"/>
    <m/>
    <n v="-24.38993"/>
    <n v="47.144069999999999"/>
    <m/>
    <m/>
  </r>
  <r>
    <s v="614240020SMP"/>
    <x v="5"/>
    <x v="5"/>
    <m/>
    <x v="3"/>
    <x v="3"/>
    <m/>
    <x v="21"/>
    <x v="20"/>
    <m/>
    <x v="246"/>
    <x v="244"/>
    <m/>
    <x v="1301"/>
    <x v="161"/>
    <m/>
    <x v="1874"/>
    <x v="2131"/>
    <m/>
    <x v="3"/>
    <x v="3"/>
    <m/>
    <n v="-25.02328"/>
    <n v="46.972450000000002"/>
    <m/>
    <m/>
  </r>
  <r>
    <s v="614240003SMP"/>
    <x v="5"/>
    <x v="5"/>
    <m/>
    <x v="3"/>
    <x v="3"/>
    <m/>
    <x v="21"/>
    <x v="20"/>
    <m/>
    <x v="246"/>
    <x v="244"/>
    <m/>
    <x v="1301"/>
    <x v="161"/>
    <m/>
    <x v="1875"/>
    <x v="2132"/>
    <m/>
    <x v="3"/>
    <x v="3"/>
    <m/>
    <n v="-25.02328"/>
    <n v="46.972450000000002"/>
    <m/>
    <m/>
  </r>
  <r>
    <s v="614240004SMP"/>
    <x v="5"/>
    <x v="5"/>
    <m/>
    <x v="3"/>
    <x v="3"/>
    <m/>
    <x v="21"/>
    <x v="20"/>
    <m/>
    <x v="246"/>
    <x v="244"/>
    <m/>
    <x v="1301"/>
    <x v="161"/>
    <m/>
    <x v="106"/>
    <x v="2133"/>
    <m/>
    <x v="3"/>
    <x v="3"/>
    <m/>
    <n v="-25.02328"/>
    <n v="46.972450000000002"/>
    <m/>
    <m/>
  </r>
  <r>
    <s v="614220002SMP"/>
    <x v="5"/>
    <x v="5"/>
    <m/>
    <x v="3"/>
    <x v="3"/>
    <m/>
    <x v="21"/>
    <x v="20"/>
    <m/>
    <x v="247"/>
    <x v="245"/>
    <m/>
    <x v="1301"/>
    <x v="161"/>
    <m/>
    <x v="1876"/>
    <x v="2134"/>
    <m/>
    <x v="3"/>
    <x v="3"/>
    <m/>
    <n v="-25.068020000000001"/>
    <n v="46.789000000000001"/>
    <m/>
    <m/>
  </r>
  <r>
    <s v="614020019SMP"/>
    <x v="5"/>
    <x v="5"/>
    <m/>
    <x v="3"/>
    <x v="3"/>
    <m/>
    <x v="21"/>
    <x v="20"/>
    <m/>
    <x v="245"/>
    <x v="243"/>
    <m/>
    <x v="1301"/>
    <x v="161"/>
    <m/>
    <x v="1877"/>
    <x v="2135"/>
    <m/>
    <x v="3"/>
    <x v="3"/>
    <m/>
    <n v="-24.38993"/>
    <n v="47.144069999999999"/>
    <m/>
    <m/>
  </r>
  <r>
    <s v="614240005SMP"/>
    <x v="5"/>
    <x v="5"/>
    <m/>
    <x v="3"/>
    <x v="3"/>
    <m/>
    <x v="21"/>
    <x v="20"/>
    <m/>
    <x v="246"/>
    <x v="244"/>
    <m/>
    <x v="1301"/>
    <x v="161"/>
    <m/>
    <x v="1878"/>
    <x v="2136"/>
    <m/>
    <x v="3"/>
    <x v="3"/>
    <m/>
    <n v="-25.02328"/>
    <n v="46.972450000000002"/>
    <m/>
    <m/>
  </r>
  <r>
    <s v="614060001SMP"/>
    <x v="5"/>
    <x v="5"/>
    <m/>
    <x v="3"/>
    <x v="3"/>
    <m/>
    <x v="21"/>
    <x v="20"/>
    <m/>
    <x v="238"/>
    <x v="236"/>
    <m/>
    <x v="1301"/>
    <x v="161"/>
    <m/>
    <x v="755"/>
    <x v="2137"/>
    <m/>
    <x v="3"/>
    <x v="3"/>
    <m/>
    <n v="-25.139579999999999"/>
    <n v="46.566119999999998"/>
    <m/>
    <m/>
  </r>
  <r>
    <s v="614020014SMP"/>
    <x v="5"/>
    <x v="5"/>
    <m/>
    <x v="3"/>
    <x v="3"/>
    <m/>
    <x v="21"/>
    <x v="20"/>
    <m/>
    <x v="248"/>
    <x v="246"/>
    <m/>
    <x v="1301"/>
    <x v="161"/>
    <m/>
    <x v="1879"/>
    <x v="2138"/>
    <m/>
    <x v="3"/>
    <x v="3"/>
    <m/>
    <n v="-24.410799999999998"/>
    <n v="46.985219999999998"/>
    <m/>
    <m/>
  </r>
  <r>
    <s v="614230002SMP"/>
    <x v="5"/>
    <x v="5"/>
    <m/>
    <x v="3"/>
    <x v="3"/>
    <m/>
    <x v="21"/>
    <x v="20"/>
    <m/>
    <x v="242"/>
    <x v="240"/>
    <m/>
    <x v="1301"/>
    <x v="161"/>
    <m/>
    <x v="1880"/>
    <x v="2139"/>
    <m/>
    <x v="3"/>
    <x v="3"/>
    <m/>
    <n v="-25.026050000000001"/>
    <n v="46.889519999999997"/>
    <m/>
    <m/>
  </r>
  <r>
    <s v="614210014SMP"/>
    <x v="5"/>
    <x v="5"/>
    <m/>
    <x v="3"/>
    <x v="3"/>
    <m/>
    <x v="21"/>
    <x v="20"/>
    <m/>
    <x v="239"/>
    <x v="237"/>
    <m/>
    <x v="1301"/>
    <x v="161"/>
    <m/>
    <x v="1881"/>
    <x v="2140"/>
    <m/>
    <x v="3"/>
    <x v="3"/>
    <m/>
    <n v="-24.9664"/>
    <n v="46.66957"/>
    <m/>
    <m/>
  </r>
  <r>
    <s v="614030014SMP"/>
    <x v="5"/>
    <x v="5"/>
    <m/>
    <x v="3"/>
    <x v="3"/>
    <m/>
    <x v="21"/>
    <x v="20"/>
    <m/>
    <x v="244"/>
    <x v="242"/>
    <m/>
    <x v="1301"/>
    <x v="161"/>
    <m/>
    <x v="1882"/>
    <x v="2141"/>
    <m/>
    <x v="3"/>
    <x v="3"/>
    <m/>
    <n v="-24.92672"/>
    <n v="46.970550000000003"/>
    <m/>
    <m/>
  </r>
  <r>
    <s v="614070012SMP"/>
    <x v="5"/>
    <x v="5"/>
    <m/>
    <x v="3"/>
    <x v="3"/>
    <m/>
    <x v="21"/>
    <x v="20"/>
    <m/>
    <x v="240"/>
    <x v="238"/>
    <m/>
    <x v="1301"/>
    <x v="161"/>
    <m/>
    <x v="1883"/>
    <x v="2142"/>
    <m/>
    <x v="3"/>
    <x v="3"/>
    <m/>
    <n v="-25.028030000000001"/>
    <n v="46.769449999999999"/>
    <m/>
    <m/>
  </r>
  <r>
    <s v="614020017SMP"/>
    <x v="5"/>
    <x v="5"/>
    <m/>
    <x v="3"/>
    <x v="3"/>
    <m/>
    <x v="21"/>
    <x v="20"/>
    <m/>
    <x v="245"/>
    <x v="243"/>
    <m/>
    <x v="1301"/>
    <x v="161"/>
    <m/>
    <x v="1884"/>
    <x v="2143"/>
    <m/>
    <x v="3"/>
    <x v="3"/>
    <m/>
    <n v="-24.38993"/>
    <n v="47.144069999999999"/>
    <m/>
    <m/>
  </r>
  <r>
    <s v="614060008SMP"/>
    <x v="5"/>
    <x v="5"/>
    <m/>
    <x v="3"/>
    <x v="3"/>
    <m/>
    <x v="21"/>
    <x v="20"/>
    <m/>
    <x v="238"/>
    <x v="236"/>
    <m/>
    <x v="1301"/>
    <x v="161"/>
    <m/>
    <x v="1049"/>
    <x v="2144"/>
    <m/>
    <x v="3"/>
    <x v="3"/>
    <m/>
    <n v="-25.139579999999999"/>
    <n v="46.566119999999998"/>
    <m/>
    <m/>
  </r>
  <r>
    <s v="614060003SMP"/>
    <x v="5"/>
    <x v="5"/>
    <m/>
    <x v="3"/>
    <x v="3"/>
    <m/>
    <x v="21"/>
    <x v="20"/>
    <m/>
    <x v="238"/>
    <x v="236"/>
    <m/>
    <x v="1301"/>
    <x v="161"/>
    <m/>
    <x v="219"/>
    <x v="2145"/>
    <m/>
    <x v="3"/>
    <x v="3"/>
    <m/>
    <n v="-25.139579999999999"/>
    <n v="46.566119999999998"/>
    <m/>
    <m/>
  </r>
  <r>
    <s v="614070013SMP"/>
    <x v="5"/>
    <x v="5"/>
    <m/>
    <x v="3"/>
    <x v="3"/>
    <m/>
    <x v="21"/>
    <x v="20"/>
    <m/>
    <x v="240"/>
    <x v="238"/>
    <m/>
    <x v="1301"/>
    <x v="161"/>
    <m/>
    <x v="1885"/>
    <x v="2146"/>
    <m/>
    <x v="3"/>
    <x v="3"/>
    <m/>
    <n v="-25.028030000000001"/>
    <n v="46.769449999999999"/>
    <m/>
    <m/>
  </r>
  <r>
    <s v="614240008SMP"/>
    <x v="5"/>
    <x v="5"/>
    <m/>
    <x v="3"/>
    <x v="3"/>
    <m/>
    <x v="21"/>
    <x v="20"/>
    <m/>
    <x v="246"/>
    <x v="244"/>
    <m/>
    <x v="1301"/>
    <x v="161"/>
    <m/>
    <x v="1886"/>
    <x v="2147"/>
    <m/>
    <x v="3"/>
    <x v="3"/>
    <m/>
    <n v="-25.02328"/>
    <n v="46.972450000000002"/>
    <m/>
    <m/>
  </r>
  <r>
    <s v="614150004SMP"/>
    <x v="5"/>
    <x v="5"/>
    <m/>
    <x v="3"/>
    <x v="3"/>
    <m/>
    <x v="21"/>
    <x v="20"/>
    <m/>
    <x v="249"/>
    <x v="247"/>
    <m/>
    <x v="1301"/>
    <x v="161"/>
    <m/>
    <x v="1887"/>
    <x v="2148"/>
    <m/>
    <x v="3"/>
    <x v="3"/>
    <m/>
    <n v="-24.67923"/>
    <n v="47.084180000000003"/>
    <m/>
    <m/>
  </r>
  <r>
    <s v="614250006SMP"/>
    <x v="5"/>
    <x v="5"/>
    <m/>
    <x v="3"/>
    <x v="3"/>
    <m/>
    <x v="21"/>
    <x v="20"/>
    <m/>
    <x v="241"/>
    <x v="239"/>
    <m/>
    <x v="1301"/>
    <x v="161"/>
    <m/>
    <x v="1888"/>
    <x v="2149"/>
    <m/>
    <x v="3"/>
    <x v="3"/>
    <m/>
    <n v="-25.126519999999999"/>
    <n v="46.624699999999997"/>
    <m/>
    <m/>
  </r>
  <r>
    <s v="614270001SMP"/>
    <x v="5"/>
    <x v="5"/>
    <m/>
    <x v="3"/>
    <x v="3"/>
    <m/>
    <x v="21"/>
    <x v="20"/>
    <m/>
    <x v="250"/>
    <x v="248"/>
    <m/>
    <x v="1301"/>
    <x v="161"/>
    <m/>
    <x v="1889"/>
    <x v="2150"/>
    <m/>
    <x v="3"/>
    <x v="3"/>
    <m/>
    <n v="-24.15042"/>
    <n v="47.218200000000003"/>
    <m/>
    <m/>
  </r>
  <r>
    <s v="614050010SMP"/>
    <x v="5"/>
    <x v="5"/>
    <m/>
    <x v="3"/>
    <x v="3"/>
    <m/>
    <x v="21"/>
    <x v="20"/>
    <m/>
    <x v="237"/>
    <x v="235"/>
    <m/>
    <x v="1301"/>
    <x v="161"/>
    <m/>
    <x v="1890"/>
    <x v="2151"/>
    <m/>
    <x v="3"/>
    <x v="3"/>
    <m/>
    <n v="-25.1358"/>
    <n v="46.752279999999999"/>
    <m/>
    <m/>
  </r>
  <r>
    <s v="614290001SMP"/>
    <x v="5"/>
    <x v="5"/>
    <m/>
    <x v="3"/>
    <x v="3"/>
    <m/>
    <x v="21"/>
    <x v="20"/>
    <m/>
    <x v="245"/>
    <x v="243"/>
    <m/>
    <x v="1301"/>
    <x v="161"/>
    <m/>
    <x v="1891"/>
    <x v="2152"/>
    <m/>
    <x v="3"/>
    <x v="3"/>
    <m/>
    <n v="-24.38993"/>
    <n v="47.144069999999999"/>
    <m/>
    <m/>
  </r>
  <r>
    <s v="614050011SMP"/>
    <x v="5"/>
    <x v="5"/>
    <m/>
    <x v="3"/>
    <x v="3"/>
    <m/>
    <x v="21"/>
    <x v="20"/>
    <m/>
    <x v="237"/>
    <x v="235"/>
    <m/>
    <x v="1301"/>
    <x v="161"/>
    <m/>
    <x v="1892"/>
    <x v="2153"/>
    <m/>
    <x v="3"/>
    <x v="3"/>
    <m/>
    <n v="-25.1358"/>
    <n v="46.752279999999999"/>
    <m/>
    <m/>
  </r>
  <r>
    <s v="614150005SMP"/>
    <x v="5"/>
    <x v="5"/>
    <m/>
    <x v="3"/>
    <x v="3"/>
    <m/>
    <x v="21"/>
    <x v="20"/>
    <m/>
    <x v="249"/>
    <x v="247"/>
    <m/>
    <x v="1301"/>
    <x v="161"/>
    <m/>
    <x v="1893"/>
    <x v="2154"/>
    <m/>
    <x v="3"/>
    <x v="3"/>
    <m/>
    <n v="-24.67923"/>
    <n v="47.084180000000003"/>
    <m/>
    <m/>
  </r>
  <r>
    <s v="614220003SMP"/>
    <x v="5"/>
    <x v="5"/>
    <m/>
    <x v="3"/>
    <x v="3"/>
    <m/>
    <x v="21"/>
    <x v="20"/>
    <m/>
    <x v="247"/>
    <x v="245"/>
    <m/>
    <x v="1301"/>
    <x v="161"/>
    <m/>
    <x v="1893"/>
    <x v="2155"/>
    <m/>
    <x v="3"/>
    <x v="3"/>
    <m/>
    <n v="-25.068020000000001"/>
    <n v="46.789000000000001"/>
    <m/>
    <m/>
  </r>
  <r>
    <s v="614030010SMP"/>
    <x v="5"/>
    <x v="5"/>
    <m/>
    <x v="3"/>
    <x v="3"/>
    <m/>
    <x v="21"/>
    <x v="20"/>
    <m/>
    <x v="244"/>
    <x v="242"/>
    <m/>
    <x v="1301"/>
    <x v="161"/>
    <m/>
    <x v="1894"/>
    <x v="2156"/>
    <m/>
    <x v="3"/>
    <x v="3"/>
    <m/>
    <n v="-24.92672"/>
    <n v="46.970550000000003"/>
    <m/>
    <m/>
  </r>
  <r>
    <s v="614170014SMP"/>
    <x v="5"/>
    <x v="5"/>
    <m/>
    <x v="3"/>
    <x v="3"/>
    <m/>
    <x v="21"/>
    <x v="20"/>
    <m/>
    <x v="251"/>
    <x v="249"/>
    <m/>
    <x v="1301"/>
    <x v="161"/>
    <m/>
    <x v="527"/>
    <x v="2157"/>
    <m/>
    <x v="3"/>
    <x v="3"/>
    <m/>
    <n v="-24.517299999999999"/>
    <n v="47.210079999999998"/>
    <m/>
    <m/>
  </r>
  <r>
    <s v="614020018SMP"/>
    <x v="5"/>
    <x v="5"/>
    <m/>
    <x v="3"/>
    <x v="3"/>
    <m/>
    <x v="21"/>
    <x v="20"/>
    <m/>
    <x v="248"/>
    <x v="246"/>
    <m/>
    <x v="1301"/>
    <x v="161"/>
    <m/>
    <x v="1895"/>
    <x v="2158"/>
    <m/>
    <x v="3"/>
    <x v="3"/>
    <m/>
    <n v="-24.410799999999998"/>
    <n v="46.985219999999998"/>
    <m/>
    <m/>
  </r>
  <r>
    <s v="614250002SMP"/>
    <x v="5"/>
    <x v="5"/>
    <m/>
    <x v="3"/>
    <x v="3"/>
    <m/>
    <x v="21"/>
    <x v="20"/>
    <m/>
    <x v="241"/>
    <x v="239"/>
    <m/>
    <x v="1301"/>
    <x v="161"/>
    <m/>
    <x v="1896"/>
    <x v="2159"/>
    <m/>
    <x v="3"/>
    <x v="3"/>
    <m/>
    <n v="-25.126519999999999"/>
    <n v="46.624699999999997"/>
    <m/>
    <m/>
  </r>
  <r>
    <s v="614210005SMP"/>
    <x v="5"/>
    <x v="5"/>
    <m/>
    <x v="3"/>
    <x v="3"/>
    <m/>
    <x v="21"/>
    <x v="20"/>
    <m/>
    <x v="239"/>
    <x v="237"/>
    <m/>
    <x v="1301"/>
    <x v="161"/>
    <m/>
    <x v="1897"/>
    <x v="2160"/>
    <m/>
    <x v="3"/>
    <x v="3"/>
    <m/>
    <n v="-24.9664"/>
    <n v="46.66957"/>
    <m/>
    <m/>
  </r>
  <r>
    <s v="614060005SMP"/>
    <x v="5"/>
    <x v="5"/>
    <m/>
    <x v="3"/>
    <x v="3"/>
    <m/>
    <x v="21"/>
    <x v="20"/>
    <m/>
    <x v="238"/>
    <x v="236"/>
    <m/>
    <x v="1301"/>
    <x v="161"/>
    <m/>
    <x v="1898"/>
    <x v="2161"/>
    <m/>
    <x v="3"/>
    <x v="3"/>
    <m/>
    <n v="-25.139579999999999"/>
    <n v="46.566119999999998"/>
    <m/>
    <m/>
  </r>
  <r>
    <s v="614060010SMP"/>
    <x v="5"/>
    <x v="5"/>
    <m/>
    <x v="3"/>
    <x v="3"/>
    <m/>
    <x v="21"/>
    <x v="20"/>
    <m/>
    <x v="238"/>
    <x v="236"/>
    <m/>
    <x v="1301"/>
    <x v="161"/>
    <m/>
    <x v="1650"/>
    <x v="2162"/>
    <m/>
    <x v="3"/>
    <x v="3"/>
    <m/>
    <n v="-25.139579999999999"/>
    <n v="46.566119999999998"/>
    <m/>
    <m/>
  </r>
  <r>
    <s v="614050009SMP"/>
    <x v="5"/>
    <x v="5"/>
    <m/>
    <x v="3"/>
    <x v="3"/>
    <m/>
    <x v="21"/>
    <x v="20"/>
    <m/>
    <x v="237"/>
    <x v="235"/>
    <m/>
    <x v="1301"/>
    <x v="161"/>
    <m/>
    <x v="1899"/>
    <x v="2163"/>
    <m/>
    <x v="3"/>
    <x v="3"/>
    <m/>
    <n v="-25.1358"/>
    <n v="46.752279999999999"/>
    <m/>
    <m/>
  </r>
  <r>
    <s v="614150028SMP"/>
    <x v="5"/>
    <x v="5"/>
    <m/>
    <x v="3"/>
    <x v="3"/>
    <m/>
    <x v="21"/>
    <x v="20"/>
    <m/>
    <x v="249"/>
    <x v="247"/>
    <m/>
    <x v="1301"/>
    <x v="161"/>
    <m/>
    <x v="1900"/>
    <x v="2164"/>
    <m/>
    <x v="3"/>
    <x v="3"/>
    <m/>
    <n v="-24.67923"/>
    <n v="47.084180000000003"/>
    <m/>
    <m/>
  </r>
  <r>
    <s v="614150022SMP"/>
    <x v="5"/>
    <x v="5"/>
    <m/>
    <x v="3"/>
    <x v="3"/>
    <m/>
    <x v="21"/>
    <x v="20"/>
    <m/>
    <x v="249"/>
    <x v="247"/>
    <m/>
    <x v="1301"/>
    <x v="161"/>
    <m/>
    <x v="1901"/>
    <x v="2165"/>
    <m/>
    <x v="3"/>
    <x v="3"/>
    <m/>
    <n v="-24.67923"/>
    <n v="47.084180000000003"/>
    <m/>
    <m/>
  </r>
  <r>
    <s v="614210020SMP"/>
    <x v="5"/>
    <x v="5"/>
    <m/>
    <x v="3"/>
    <x v="3"/>
    <m/>
    <x v="21"/>
    <x v="20"/>
    <m/>
    <x v="239"/>
    <x v="237"/>
    <m/>
    <x v="1301"/>
    <x v="161"/>
    <m/>
    <x v="1533"/>
    <x v="2166"/>
    <m/>
    <x v="3"/>
    <x v="3"/>
    <m/>
    <n v="-24.9664"/>
    <n v="46.66957"/>
    <m/>
    <m/>
  </r>
  <r>
    <s v="614060006SMP"/>
    <x v="5"/>
    <x v="5"/>
    <m/>
    <x v="3"/>
    <x v="3"/>
    <m/>
    <x v="21"/>
    <x v="20"/>
    <m/>
    <x v="238"/>
    <x v="236"/>
    <m/>
    <x v="1301"/>
    <x v="161"/>
    <m/>
    <x v="1513"/>
    <x v="2167"/>
    <m/>
    <x v="3"/>
    <x v="3"/>
    <m/>
    <n v="-25.139579999999999"/>
    <n v="46.566119999999998"/>
    <m/>
    <m/>
  </r>
  <r>
    <s v="614010004SMP"/>
    <x v="5"/>
    <x v="5"/>
    <m/>
    <x v="3"/>
    <x v="3"/>
    <m/>
    <x v="21"/>
    <x v="20"/>
    <m/>
    <x v="252"/>
    <x v="250"/>
    <m/>
    <x v="1301"/>
    <x v="161"/>
    <m/>
    <x v="1902"/>
    <x v="2168"/>
    <m/>
    <x v="3"/>
    <x v="3"/>
    <m/>
    <n v="-24.85323"/>
    <n v="46.672620000000002"/>
    <m/>
    <m/>
  </r>
  <r>
    <s v="614240011SMP"/>
    <x v="5"/>
    <x v="5"/>
    <m/>
    <x v="3"/>
    <x v="3"/>
    <m/>
    <x v="21"/>
    <x v="20"/>
    <m/>
    <x v="246"/>
    <x v="244"/>
    <m/>
    <x v="1301"/>
    <x v="161"/>
    <m/>
    <x v="1903"/>
    <x v="2169"/>
    <m/>
    <x v="3"/>
    <x v="3"/>
    <m/>
    <n v="-25.02328"/>
    <n v="46.972450000000002"/>
    <m/>
    <m/>
  </r>
  <r>
    <s v="614210010SMP"/>
    <x v="5"/>
    <x v="5"/>
    <m/>
    <x v="3"/>
    <x v="3"/>
    <m/>
    <x v="21"/>
    <x v="20"/>
    <m/>
    <x v="239"/>
    <x v="237"/>
    <m/>
    <x v="1301"/>
    <x v="161"/>
    <m/>
    <x v="1904"/>
    <x v="2170"/>
    <m/>
    <x v="3"/>
    <x v="3"/>
    <m/>
    <n v="-24.9664"/>
    <n v="46.66957"/>
    <m/>
    <m/>
  </r>
  <r>
    <s v="614150009SMP"/>
    <x v="5"/>
    <x v="5"/>
    <m/>
    <x v="3"/>
    <x v="3"/>
    <m/>
    <x v="21"/>
    <x v="20"/>
    <m/>
    <x v="249"/>
    <x v="247"/>
    <m/>
    <x v="1301"/>
    <x v="161"/>
    <m/>
    <x v="1905"/>
    <x v="2171"/>
    <m/>
    <x v="3"/>
    <x v="3"/>
    <m/>
    <n v="-24.67923"/>
    <n v="47.084180000000003"/>
    <m/>
    <m/>
  </r>
  <r>
    <s v="614190007SMP"/>
    <x v="5"/>
    <x v="5"/>
    <m/>
    <x v="3"/>
    <x v="3"/>
    <m/>
    <x v="21"/>
    <x v="20"/>
    <m/>
    <x v="253"/>
    <x v="251"/>
    <m/>
    <x v="1301"/>
    <x v="161"/>
    <m/>
    <x v="1906"/>
    <x v="2172"/>
    <m/>
    <x v="3"/>
    <x v="3"/>
    <m/>
    <n v="-24.903320000000001"/>
    <n v="47.022399999999998"/>
    <m/>
    <m/>
  </r>
  <r>
    <s v="614060011SMP"/>
    <x v="5"/>
    <x v="5"/>
    <m/>
    <x v="3"/>
    <x v="3"/>
    <m/>
    <x v="21"/>
    <x v="20"/>
    <m/>
    <x v="238"/>
    <x v="236"/>
    <m/>
    <x v="1301"/>
    <x v="161"/>
    <m/>
    <x v="1907"/>
    <x v="2173"/>
    <m/>
    <x v="3"/>
    <x v="3"/>
    <m/>
    <n v="-25.139579999999999"/>
    <n v="46.566119999999998"/>
    <m/>
    <m/>
  </r>
  <r>
    <s v="614030003SMP"/>
    <x v="5"/>
    <x v="5"/>
    <m/>
    <x v="3"/>
    <x v="3"/>
    <m/>
    <x v="21"/>
    <x v="20"/>
    <m/>
    <x v="244"/>
    <x v="242"/>
    <m/>
    <x v="1301"/>
    <x v="161"/>
    <m/>
    <x v="1908"/>
    <x v="2174"/>
    <m/>
    <x v="3"/>
    <x v="3"/>
    <m/>
    <n v="-24.92672"/>
    <n v="46.970550000000003"/>
    <m/>
    <m/>
  </r>
  <r>
    <s v="614150010SMP"/>
    <x v="5"/>
    <x v="5"/>
    <m/>
    <x v="3"/>
    <x v="3"/>
    <m/>
    <x v="21"/>
    <x v="20"/>
    <m/>
    <x v="254"/>
    <x v="252"/>
    <m/>
    <x v="1301"/>
    <x v="161"/>
    <m/>
    <x v="1909"/>
    <x v="2175"/>
    <m/>
    <x v="3"/>
    <x v="3"/>
    <m/>
    <n v="-24.592949999999998"/>
    <n v="47.236730000000001"/>
    <m/>
    <m/>
  </r>
  <r>
    <s v="614150011SMP"/>
    <x v="5"/>
    <x v="5"/>
    <m/>
    <x v="3"/>
    <x v="3"/>
    <m/>
    <x v="21"/>
    <x v="20"/>
    <m/>
    <x v="249"/>
    <x v="247"/>
    <m/>
    <x v="1301"/>
    <x v="161"/>
    <m/>
    <x v="1910"/>
    <x v="2176"/>
    <m/>
    <x v="3"/>
    <x v="3"/>
    <m/>
    <n v="-24.67923"/>
    <n v="47.084180000000003"/>
    <m/>
    <m/>
  </r>
  <r>
    <s v="614120003SMP"/>
    <x v="5"/>
    <x v="5"/>
    <m/>
    <x v="3"/>
    <x v="3"/>
    <m/>
    <x v="21"/>
    <x v="20"/>
    <m/>
    <x v="254"/>
    <x v="252"/>
    <m/>
    <x v="1301"/>
    <x v="161"/>
    <m/>
    <x v="1911"/>
    <x v="2177"/>
    <m/>
    <x v="3"/>
    <x v="3"/>
    <m/>
    <n v="-24.592949999999998"/>
    <n v="47.236730000000001"/>
    <m/>
    <m/>
  </r>
  <r>
    <s v="614220005SMP"/>
    <x v="5"/>
    <x v="5"/>
    <m/>
    <x v="3"/>
    <x v="3"/>
    <m/>
    <x v="21"/>
    <x v="20"/>
    <m/>
    <x v="247"/>
    <x v="245"/>
    <m/>
    <x v="1301"/>
    <x v="161"/>
    <m/>
    <x v="1912"/>
    <x v="2178"/>
    <m/>
    <x v="3"/>
    <x v="3"/>
    <m/>
    <n v="-25.068020000000001"/>
    <n v="46.789000000000001"/>
    <m/>
    <m/>
  </r>
  <r>
    <s v="614190003SMP"/>
    <x v="5"/>
    <x v="5"/>
    <m/>
    <x v="3"/>
    <x v="3"/>
    <m/>
    <x v="21"/>
    <x v="20"/>
    <m/>
    <x v="253"/>
    <x v="251"/>
    <m/>
    <x v="1301"/>
    <x v="161"/>
    <m/>
    <x v="1913"/>
    <x v="2179"/>
    <m/>
    <x v="3"/>
    <x v="3"/>
    <m/>
    <n v="-24.903320000000001"/>
    <n v="47.022399999999998"/>
    <m/>
    <m/>
  </r>
  <r>
    <s v="614230006SMP"/>
    <x v="5"/>
    <x v="5"/>
    <m/>
    <x v="3"/>
    <x v="3"/>
    <m/>
    <x v="21"/>
    <x v="20"/>
    <m/>
    <x v="242"/>
    <x v="240"/>
    <m/>
    <x v="1301"/>
    <x v="161"/>
    <m/>
    <x v="1914"/>
    <x v="2180"/>
    <m/>
    <x v="3"/>
    <x v="3"/>
    <m/>
    <n v="-25.026050000000001"/>
    <n v="46.889519999999997"/>
    <m/>
    <m/>
  </r>
  <r>
    <s v="614240002SMP"/>
    <x v="5"/>
    <x v="5"/>
    <m/>
    <x v="3"/>
    <x v="3"/>
    <m/>
    <x v="21"/>
    <x v="20"/>
    <m/>
    <x v="246"/>
    <x v="244"/>
    <m/>
    <x v="1301"/>
    <x v="161"/>
    <m/>
    <x v="1915"/>
    <x v="2181"/>
    <m/>
    <x v="3"/>
    <x v="3"/>
    <m/>
    <n v="-25.02328"/>
    <n v="46.972450000000002"/>
    <m/>
    <m/>
  </r>
  <r>
    <s v="614020020SMP"/>
    <x v="5"/>
    <x v="5"/>
    <m/>
    <x v="3"/>
    <x v="3"/>
    <m/>
    <x v="21"/>
    <x v="20"/>
    <m/>
    <x v="248"/>
    <x v="246"/>
    <m/>
    <x v="1301"/>
    <x v="161"/>
    <m/>
    <x v="1449"/>
    <x v="2182"/>
    <m/>
    <x v="3"/>
    <x v="3"/>
    <m/>
    <n v="-24.410799999999998"/>
    <n v="46.985219999999998"/>
    <m/>
    <m/>
  </r>
  <r>
    <s v="614150013SMP"/>
    <x v="5"/>
    <x v="5"/>
    <m/>
    <x v="3"/>
    <x v="3"/>
    <m/>
    <x v="21"/>
    <x v="20"/>
    <m/>
    <x v="249"/>
    <x v="247"/>
    <m/>
    <x v="1301"/>
    <x v="161"/>
    <m/>
    <x v="1476"/>
    <x v="2183"/>
    <m/>
    <x v="3"/>
    <x v="3"/>
    <m/>
    <n v="-24.67923"/>
    <n v="47.084180000000003"/>
    <m/>
    <m/>
  </r>
  <r>
    <s v="614150025SMP"/>
    <x v="5"/>
    <x v="5"/>
    <m/>
    <x v="3"/>
    <x v="3"/>
    <m/>
    <x v="21"/>
    <x v="20"/>
    <m/>
    <x v="249"/>
    <x v="247"/>
    <m/>
    <x v="1301"/>
    <x v="161"/>
    <m/>
    <x v="1916"/>
    <x v="2184"/>
    <m/>
    <x v="3"/>
    <x v="3"/>
    <m/>
    <n v="-24.67923"/>
    <n v="47.084180000000003"/>
    <m/>
    <m/>
  </r>
  <r>
    <s v="614190004SMP"/>
    <x v="5"/>
    <x v="5"/>
    <m/>
    <x v="3"/>
    <x v="3"/>
    <m/>
    <x v="21"/>
    <x v="20"/>
    <m/>
    <x v="253"/>
    <x v="251"/>
    <m/>
    <x v="1301"/>
    <x v="161"/>
    <m/>
    <x v="1917"/>
    <x v="2185"/>
    <m/>
    <x v="3"/>
    <x v="3"/>
    <m/>
    <n v="-24.903320000000001"/>
    <n v="47.022399999999998"/>
    <m/>
    <m/>
  </r>
  <r>
    <s v="614020023SMP"/>
    <x v="5"/>
    <x v="5"/>
    <m/>
    <x v="3"/>
    <x v="3"/>
    <m/>
    <x v="21"/>
    <x v="20"/>
    <m/>
    <x v="248"/>
    <x v="246"/>
    <m/>
    <x v="1301"/>
    <x v="161"/>
    <m/>
    <x v="1918"/>
    <x v="2186"/>
    <m/>
    <x v="3"/>
    <x v="3"/>
    <m/>
    <n v="-24.410799999999998"/>
    <n v="46.985219999999998"/>
    <m/>
    <m/>
  </r>
  <r>
    <s v="614070005SMP"/>
    <x v="5"/>
    <x v="5"/>
    <m/>
    <x v="3"/>
    <x v="3"/>
    <m/>
    <x v="21"/>
    <x v="20"/>
    <m/>
    <x v="240"/>
    <x v="238"/>
    <m/>
    <x v="1301"/>
    <x v="161"/>
    <m/>
    <x v="1919"/>
    <x v="2187"/>
    <m/>
    <x v="3"/>
    <x v="3"/>
    <m/>
    <n v="-25.028030000000001"/>
    <n v="46.769449999999999"/>
    <m/>
    <m/>
  </r>
  <r>
    <s v="614210015SMP"/>
    <x v="5"/>
    <x v="5"/>
    <m/>
    <x v="3"/>
    <x v="3"/>
    <m/>
    <x v="21"/>
    <x v="20"/>
    <m/>
    <x v="239"/>
    <x v="237"/>
    <m/>
    <x v="1301"/>
    <x v="161"/>
    <m/>
    <x v="1573"/>
    <x v="2188"/>
    <m/>
    <x v="3"/>
    <x v="3"/>
    <m/>
    <n v="-24.9664"/>
    <n v="46.66957"/>
    <m/>
    <m/>
  </r>
  <r>
    <s v="614210012SMP"/>
    <x v="5"/>
    <x v="5"/>
    <m/>
    <x v="3"/>
    <x v="3"/>
    <m/>
    <x v="21"/>
    <x v="20"/>
    <m/>
    <x v="237"/>
    <x v="235"/>
    <m/>
    <x v="1301"/>
    <x v="161"/>
    <m/>
    <x v="1920"/>
    <x v="2189"/>
    <m/>
    <x v="3"/>
    <x v="3"/>
    <m/>
    <n v="-25.1358"/>
    <n v="46.752279999999999"/>
    <m/>
    <m/>
  </r>
  <r>
    <s v="614230008SMP"/>
    <x v="5"/>
    <x v="5"/>
    <m/>
    <x v="3"/>
    <x v="3"/>
    <m/>
    <x v="21"/>
    <x v="20"/>
    <m/>
    <x v="242"/>
    <x v="240"/>
    <m/>
    <x v="1301"/>
    <x v="161"/>
    <m/>
    <x v="1921"/>
    <x v="2190"/>
    <m/>
    <x v="3"/>
    <x v="3"/>
    <m/>
    <n v="-25.026050000000001"/>
    <n v="46.889519999999997"/>
    <m/>
    <m/>
  </r>
  <r>
    <s v="614270003SMP"/>
    <x v="5"/>
    <x v="5"/>
    <m/>
    <x v="3"/>
    <x v="3"/>
    <m/>
    <x v="21"/>
    <x v="20"/>
    <m/>
    <x v="250"/>
    <x v="248"/>
    <m/>
    <x v="1301"/>
    <x v="161"/>
    <m/>
    <x v="1922"/>
    <x v="2191"/>
    <m/>
    <x v="3"/>
    <x v="3"/>
    <m/>
    <n v="-24.15042"/>
    <n v="47.218200000000003"/>
    <m/>
    <m/>
  </r>
  <r>
    <s v="614240013SMP"/>
    <x v="5"/>
    <x v="5"/>
    <m/>
    <x v="3"/>
    <x v="3"/>
    <m/>
    <x v="21"/>
    <x v="20"/>
    <m/>
    <x v="246"/>
    <x v="244"/>
    <m/>
    <x v="1301"/>
    <x v="161"/>
    <m/>
    <x v="693"/>
    <x v="2192"/>
    <m/>
    <x v="3"/>
    <x v="3"/>
    <m/>
    <n v="-25.02328"/>
    <n v="46.972450000000002"/>
    <m/>
    <m/>
  </r>
  <r>
    <s v="614020004SMP"/>
    <x v="5"/>
    <x v="5"/>
    <m/>
    <x v="3"/>
    <x v="3"/>
    <m/>
    <x v="21"/>
    <x v="20"/>
    <m/>
    <x v="245"/>
    <x v="243"/>
    <m/>
    <x v="1301"/>
    <x v="161"/>
    <m/>
    <x v="185"/>
    <x v="2193"/>
    <m/>
    <x v="3"/>
    <x v="3"/>
    <m/>
    <n v="-24.38993"/>
    <n v="47.144069999999999"/>
    <m/>
    <m/>
  </r>
  <r>
    <s v="614190005SMP"/>
    <x v="5"/>
    <x v="5"/>
    <m/>
    <x v="3"/>
    <x v="3"/>
    <m/>
    <x v="21"/>
    <x v="20"/>
    <m/>
    <x v="253"/>
    <x v="251"/>
    <m/>
    <x v="1301"/>
    <x v="161"/>
    <m/>
    <x v="1923"/>
    <x v="2194"/>
    <m/>
    <x v="3"/>
    <x v="3"/>
    <m/>
    <n v="-24.903320000000001"/>
    <n v="47.022399999999998"/>
    <m/>
    <m/>
  </r>
  <r>
    <s v="614070007SMP"/>
    <x v="5"/>
    <x v="5"/>
    <m/>
    <x v="3"/>
    <x v="3"/>
    <m/>
    <x v="21"/>
    <x v="20"/>
    <m/>
    <x v="240"/>
    <x v="238"/>
    <m/>
    <x v="1301"/>
    <x v="161"/>
    <m/>
    <x v="1924"/>
    <x v="2195"/>
    <m/>
    <x v="3"/>
    <x v="3"/>
    <m/>
    <n v="-25.028030000000001"/>
    <n v="46.769449999999999"/>
    <m/>
    <m/>
  </r>
  <r>
    <s v="614020010SMP"/>
    <x v="5"/>
    <x v="5"/>
    <m/>
    <x v="3"/>
    <x v="3"/>
    <m/>
    <x v="21"/>
    <x v="20"/>
    <m/>
    <x v="245"/>
    <x v="243"/>
    <m/>
    <x v="1301"/>
    <x v="161"/>
    <m/>
    <x v="1925"/>
    <x v="2196"/>
    <m/>
    <x v="3"/>
    <x v="3"/>
    <m/>
    <n v="-24.38993"/>
    <n v="47.144069999999999"/>
    <m/>
    <m/>
  </r>
  <r>
    <s v="614150016SMP"/>
    <x v="5"/>
    <x v="5"/>
    <m/>
    <x v="3"/>
    <x v="3"/>
    <m/>
    <x v="21"/>
    <x v="20"/>
    <m/>
    <x v="249"/>
    <x v="247"/>
    <m/>
    <x v="1301"/>
    <x v="161"/>
    <m/>
    <x v="1926"/>
    <x v="2197"/>
    <m/>
    <x v="3"/>
    <x v="3"/>
    <m/>
    <n v="-24.67923"/>
    <n v="47.084180000000003"/>
    <m/>
    <m/>
  </r>
  <r>
    <s v="614150018SMP"/>
    <x v="5"/>
    <x v="5"/>
    <m/>
    <x v="3"/>
    <x v="3"/>
    <m/>
    <x v="21"/>
    <x v="20"/>
    <m/>
    <x v="249"/>
    <x v="247"/>
    <m/>
    <x v="1301"/>
    <x v="161"/>
    <m/>
    <x v="1927"/>
    <x v="2198"/>
    <m/>
    <x v="3"/>
    <x v="3"/>
    <m/>
    <n v="-24.67923"/>
    <n v="47.084180000000003"/>
    <m/>
    <m/>
  </r>
  <r>
    <s v="614250001SMP"/>
    <x v="5"/>
    <x v="5"/>
    <m/>
    <x v="3"/>
    <x v="3"/>
    <m/>
    <x v="21"/>
    <x v="20"/>
    <m/>
    <x v="241"/>
    <x v="239"/>
    <m/>
    <x v="1301"/>
    <x v="161"/>
    <m/>
    <x v="1928"/>
    <x v="2199"/>
    <m/>
    <x v="3"/>
    <x v="3"/>
    <m/>
    <n v="-25.126519999999999"/>
    <n v="46.624699999999997"/>
    <m/>
    <m/>
  </r>
  <r>
    <s v="614020005SMP"/>
    <x v="5"/>
    <x v="5"/>
    <m/>
    <x v="3"/>
    <x v="3"/>
    <m/>
    <x v="21"/>
    <x v="20"/>
    <m/>
    <x v="245"/>
    <x v="243"/>
    <m/>
    <x v="1301"/>
    <x v="161"/>
    <m/>
    <x v="1929"/>
    <x v="2200"/>
    <m/>
    <x v="3"/>
    <x v="3"/>
    <m/>
    <n v="-24.38993"/>
    <n v="47.144069999999999"/>
    <m/>
    <m/>
  </r>
  <r>
    <s v="614020022SMP"/>
    <x v="5"/>
    <x v="5"/>
    <m/>
    <x v="3"/>
    <x v="3"/>
    <m/>
    <x v="21"/>
    <x v="20"/>
    <m/>
    <x v="248"/>
    <x v="246"/>
    <m/>
    <x v="1301"/>
    <x v="161"/>
    <m/>
    <x v="1930"/>
    <x v="2201"/>
    <m/>
    <x v="3"/>
    <x v="3"/>
    <m/>
    <n v="-24.410799999999998"/>
    <n v="46.985219999999998"/>
    <m/>
    <m/>
  </r>
  <r>
    <s v="614290002SMP"/>
    <x v="5"/>
    <x v="5"/>
    <m/>
    <x v="3"/>
    <x v="3"/>
    <m/>
    <x v="21"/>
    <x v="20"/>
    <m/>
    <x v="245"/>
    <x v="243"/>
    <m/>
    <x v="1301"/>
    <x v="161"/>
    <m/>
    <x v="1931"/>
    <x v="2202"/>
    <m/>
    <x v="3"/>
    <x v="3"/>
    <m/>
    <n v="-24.38993"/>
    <n v="47.144069999999999"/>
    <m/>
    <m/>
  </r>
  <r>
    <s v="614210021SMP"/>
    <x v="5"/>
    <x v="5"/>
    <m/>
    <x v="3"/>
    <x v="3"/>
    <m/>
    <x v="21"/>
    <x v="20"/>
    <m/>
    <x v="239"/>
    <x v="237"/>
    <m/>
    <x v="1301"/>
    <x v="161"/>
    <m/>
    <x v="1932"/>
    <x v="2203"/>
    <m/>
    <x v="3"/>
    <x v="3"/>
    <m/>
    <n v="-24.9664"/>
    <n v="46.66957"/>
    <m/>
    <m/>
  </r>
  <r>
    <s v="614020029SMP"/>
    <x v="5"/>
    <x v="5"/>
    <m/>
    <x v="3"/>
    <x v="3"/>
    <m/>
    <x v="21"/>
    <x v="20"/>
    <m/>
    <x v="248"/>
    <x v="246"/>
    <m/>
    <x v="1301"/>
    <x v="161"/>
    <m/>
    <x v="1933"/>
    <x v="2204"/>
    <m/>
    <x v="3"/>
    <x v="3"/>
    <m/>
    <n v="-24.410799999999998"/>
    <n v="46.985219999999998"/>
    <m/>
    <m/>
  </r>
  <r>
    <s v="614020021SMP"/>
    <x v="5"/>
    <x v="5"/>
    <m/>
    <x v="3"/>
    <x v="3"/>
    <m/>
    <x v="21"/>
    <x v="20"/>
    <m/>
    <x v="248"/>
    <x v="246"/>
    <m/>
    <x v="1301"/>
    <x v="161"/>
    <m/>
    <x v="1934"/>
    <x v="2205"/>
    <m/>
    <x v="3"/>
    <x v="3"/>
    <m/>
    <n v="-24.410799999999998"/>
    <n v="46.985219999999998"/>
    <m/>
    <m/>
  </r>
  <r>
    <s v="614020028SMP"/>
    <x v="5"/>
    <x v="5"/>
    <m/>
    <x v="3"/>
    <x v="3"/>
    <m/>
    <x v="21"/>
    <x v="20"/>
    <m/>
    <x v="248"/>
    <x v="246"/>
    <m/>
    <x v="1301"/>
    <x v="161"/>
    <m/>
    <x v="1935"/>
    <x v="2206"/>
    <m/>
    <x v="3"/>
    <x v="3"/>
    <m/>
    <n v="-24.410799999999998"/>
    <n v="46.985219999999998"/>
    <m/>
    <m/>
  </r>
  <r>
    <s v="614060013SMP"/>
    <x v="5"/>
    <x v="5"/>
    <m/>
    <x v="3"/>
    <x v="3"/>
    <m/>
    <x v="21"/>
    <x v="20"/>
    <m/>
    <x v="238"/>
    <x v="236"/>
    <m/>
    <x v="1301"/>
    <x v="161"/>
    <m/>
    <x v="1936"/>
    <x v="2207"/>
    <m/>
    <x v="3"/>
    <x v="3"/>
    <m/>
    <n v="-25.139579999999999"/>
    <n v="46.566119999999998"/>
    <m/>
    <m/>
  </r>
  <r>
    <s v="614060009SMP"/>
    <x v="5"/>
    <x v="5"/>
    <m/>
    <x v="3"/>
    <x v="3"/>
    <m/>
    <x v="21"/>
    <x v="20"/>
    <m/>
    <x v="238"/>
    <x v="236"/>
    <m/>
    <x v="1301"/>
    <x v="161"/>
    <m/>
    <x v="1937"/>
    <x v="2208"/>
    <m/>
    <x v="3"/>
    <x v="3"/>
    <m/>
    <n v="-25.139579999999999"/>
    <n v="46.566119999999998"/>
    <m/>
    <m/>
  </r>
  <r>
    <s v="614140006SMP"/>
    <x v="5"/>
    <x v="5"/>
    <m/>
    <x v="3"/>
    <x v="3"/>
    <m/>
    <x v="21"/>
    <x v="20"/>
    <m/>
    <x v="255"/>
    <x v="253"/>
    <m/>
    <x v="1301"/>
    <x v="161"/>
    <m/>
    <x v="1938"/>
    <x v="2209"/>
    <m/>
    <x v="3"/>
    <x v="3"/>
    <m/>
    <n v="-24.829599999999999"/>
    <n v="46.879420000000003"/>
    <m/>
    <m/>
  </r>
  <r>
    <s v="614180002SMP"/>
    <x v="5"/>
    <x v="5"/>
    <m/>
    <x v="3"/>
    <x v="3"/>
    <m/>
    <x v="21"/>
    <x v="20"/>
    <m/>
    <x v="256"/>
    <x v="254"/>
    <m/>
    <x v="1301"/>
    <x v="161"/>
    <m/>
    <x v="1939"/>
    <x v="2210"/>
    <m/>
    <x v="3"/>
    <x v="3"/>
    <m/>
    <n v="-24.908249999999999"/>
    <n v="46.822830000000003"/>
    <m/>
    <m/>
  </r>
  <r>
    <s v="621040007SMP"/>
    <x v="5"/>
    <x v="5"/>
    <m/>
    <x v="2"/>
    <x v="2"/>
    <m/>
    <x v="9"/>
    <x v="9"/>
    <m/>
    <x v="190"/>
    <x v="190"/>
    <m/>
    <x v="1301"/>
    <x v="161"/>
    <m/>
    <x v="1940"/>
    <x v="2211"/>
    <m/>
    <x v="3"/>
    <x v="3"/>
    <m/>
    <n v="-25.573347999999999"/>
    <n v="45.314213000000002"/>
    <m/>
    <m/>
  </r>
  <r>
    <s v="621070013SMP"/>
    <x v="5"/>
    <x v="5"/>
    <m/>
    <x v="2"/>
    <x v="2"/>
    <m/>
    <x v="9"/>
    <x v="9"/>
    <m/>
    <x v="257"/>
    <x v="255"/>
    <m/>
    <x v="1301"/>
    <x v="161"/>
    <m/>
    <x v="1941"/>
    <x v="2212"/>
    <m/>
    <x v="3"/>
    <x v="3"/>
    <m/>
    <n v="-25.567080000000001"/>
    <n v="45.527847000000001"/>
    <m/>
    <m/>
  </r>
  <r>
    <s v="621040020SMP"/>
    <x v="5"/>
    <x v="5"/>
    <m/>
    <x v="2"/>
    <x v="2"/>
    <m/>
    <x v="9"/>
    <x v="9"/>
    <m/>
    <x v="190"/>
    <x v="190"/>
    <m/>
    <x v="1301"/>
    <x v="161"/>
    <m/>
    <x v="1942"/>
    <x v="2213"/>
    <m/>
    <x v="3"/>
    <x v="3"/>
    <m/>
    <n v="-25.565145000000001"/>
    <n v="45.284699000000003"/>
    <m/>
    <m/>
  </r>
  <r>
    <s v="621040025SMP"/>
    <x v="5"/>
    <x v="5"/>
    <m/>
    <x v="2"/>
    <x v="2"/>
    <m/>
    <x v="9"/>
    <x v="9"/>
    <m/>
    <x v="190"/>
    <x v="190"/>
    <m/>
    <x v="1301"/>
    <x v="161"/>
    <m/>
    <x v="693"/>
    <x v="2214"/>
    <m/>
    <x v="3"/>
    <x v="3"/>
    <m/>
    <n v="-25.563234000000001"/>
    <n v="45.326718999999997"/>
    <m/>
    <m/>
  </r>
  <r>
    <s v="621040016SMP"/>
    <x v="5"/>
    <x v="5"/>
    <m/>
    <x v="2"/>
    <x v="2"/>
    <m/>
    <x v="9"/>
    <x v="9"/>
    <m/>
    <x v="190"/>
    <x v="190"/>
    <m/>
    <x v="1301"/>
    <x v="161"/>
    <m/>
    <x v="1067"/>
    <x v="2215"/>
    <m/>
    <x v="3"/>
    <x v="3"/>
    <m/>
    <n v="-25.560154000000001"/>
    <n v="45.233122000000002"/>
    <m/>
    <m/>
  </r>
  <r>
    <s v="621070007SMP"/>
    <x v="5"/>
    <x v="5"/>
    <m/>
    <x v="2"/>
    <x v="2"/>
    <m/>
    <x v="9"/>
    <x v="9"/>
    <m/>
    <x v="257"/>
    <x v="255"/>
    <m/>
    <x v="1301"/>
    <x v="161"/>
    <m/>
    <x v="1943"/>
    <x v="2216"/>
    <m/>
    <x v="3"/>
    <x v="3"/>
    <m/>
    <n v="-25.548342999999999"/>
    <n v="45.517142999999997"/>
    <m/>
    <m/>
  </r>
  <r>
    <s v="621040014SMP"/>
    <x v="5"/>
    <x v="5"/>
    <m/>
    <x v="2"/>
    <x v="2"/>
    <m/>
    <x v="9"/>
    <x v="9"/>
    <m/>
    <x v="190"/>
    <x v="190"/>
    <m/>
    <x v="1301"/>
    <x v="161"/>
    <m/>
    <x v="1944"/>
    <x v="2217"/>
    <m/>
    <x v="3"/>
    <x v="3"/>
    <m/>
    <n v="-25.543718999999999"/>
    <n v="45.176543000000002"/>
    <m/>
    <m/>
  </r>
  <r>
    <s v="621070014SMP"/>
    <x v="5"/>
    <x v="5"/>
    <m/>
    <x v="2"/>
    <x v="2"/>
    <m/>
    <x v="9"/>
    <x v="9"/>
    <m/>
    <x v="257"/>
    <x v="255"/>
    <m/>
    <x v="1301"/>
    <x v="161"/>
    <m/>
    <x v="1945"/>
    <x v="2218"/>
    <m/>
    <x v="3"/>
    <x v="3"/>
    <m/>
    <n v="-25.539159999999999"/>
    <n v="45.557150999999998"/>
    <m/>
    <m/>
  </r>
  <r>
    <s v="621070019SMP"/>
    <x v="5"/>
    <x v="5"/>
    <m/>
    <x v="2"/>
    <x v="2"/>
    <m/>
    <x v="9"/>
    <x v="9"/>
    <m/>
    <x v="257"/>
    <x v="255"/>
    <m/>
    <x v="1301"/>
    <x v="161"/>
    <m/>
    <x v="186"/>
    <x v="2219"/>
    <m/>
    <x v="3"/>
    <x v="3"/>
    <m/>
    <n v="-25.538157000000002"/>
    <n v="45.523910999999998"/>
    <m/>
    <m/>
  </r>
  <r>
    <s v="621070011SMP"/>
    <x v="5"/>
    <x v="5"/>
    <m/>
    <x v="2"/>
    <x v="2"/>
    <m/>
    <x v="9"/>
    <x v="9"/>
    <m/>
    <x v="257"/>
    <x v="255"/>
    <m/>
    <x v="1301"/>
    <x v="161"/>
    <m/>
    <x v="1946"/>
    <x v="2220"/>
    <m/>
    <x v="3"/>
    <x v="3"/>
    <m/>
    <n v="-25.537841"/>
    <n v="45.440752000000003"/>
    <m/>
    <m/>
  </r>
  <r>
    <s v="621070006SMP"/>
    <x v="5"/>
    <x v="5"/>
    <m/>
    <x v="2"/>
    <x v="2"/>
    <m/>
    <x v="9"/>
    <x v="9"/>
    <m/>
    <x v="257"/>
    <x v="255"/>
    <m/>
    <x v="1301"/>
    <x v="161"/>
    <m/>
    <x v="1947"/>
    <x v="2221"/>
    <m/>
    <x v="3"/>
    <x v="3"/>
    <m/>
    <n v="-25.535254999999999"/>
    <n v="45.412441999999999"/>
    <m/>
    <m/>
  </r>
  <r>
    <s v="621070017SMP"/>
    <x v="5"/>
    <x v="5"/>
    <m/>
    <x v="2"/>
    <x v="2"/>
    <m/>
    <x v="9"/>
    <x v="9"/>
    <m/>
    <x v="257"/>
    <x v="255"/>
    <m/>
    <x v="1301"/>
    <x v="161"/>
    <m/>
    <x v="1392"/>
    <x v="2222"/>
    <m/>
    <x v="3"/>
    <x v="3"/>
    <m/>
    <n v="-25.532212000000001"/>
    <n v="45.477547000000001"/>
    <m/>
    <m/>
  </r>
  <r>
    <s v="621040022SMP"/>
    <x v="5"/>
    <x v="5"/>
    <m/>
    <x v="2"/>
    <x v="2"/>
    <m/>
    <x v="9"/>
    <x v="9"/>
    <m/>
    <x v="190"/>
    <x v="190"/>
    <m/>
    <x v="1301"/>
    <x v="161"/>
    <m/>
    <x v="1250"/>
    <x v="2223"/>
    <m/>
    <x v="3"/>
    <x v="3"/>
    <m/>
    <n v="-25.526444999999999"/>
    <n v="45.275626000000003"/>
    <m/>
    <m/>
  </r>
  <r>
    <s v="621060012SMP"/>
    <x v="5"/>
    <x v="5"/>
    <m/>
    <x v="2"/>
    <x v="2"/>
    <m/>
    <x v="9"/>
    <x v="9"/>
    <m/>
    <x v="258"/>
    <x v="256"/>
    <m/>
    <x v="1301"/>
    <x v="161"/>
    <m/>
    <x v="1948"/>
    <x v="2224"/>
    <m/>
    <x v="3"/>
    <x v="3"/>
    <m/>
    <n v="-25.523285000000001"/>
    <n v="45.585621000000003"/>
    <m/>
    <m/>
  </r>
  <r>
    <s v="621070004SMP"/>
    <x v="5"/>
    <x v="5"/>
    <m/>
    <x v="2"/>
    <x v="2"/>
    <m/>
    <x v="9"/>
    <x v="9"/>
    <m/>
    <x v="257"/>
    <x v="255"/>
    <m/>
    <x v="1301"/>
    <x v="161"/>
    <m/>
    <x v="1949"/>
    <x v="2225"/>
    <m/>
    <x v="3"/>
    <x v="3"/>
    <m/>
    <n v="-25.520977999999999"/>
    <n v="45.397570000000002"/>
    <m/>
    <m/>
  </r>
  <r>
    <s v="621060010SMP"/>
    <x v="5"/>
    <x v="5"/>
    <m/>
    <x v="2"/>
    <x v="2"/>
    <m/>
    <x v="9"/>
    <x v="9"/>
    <m/>
    <x v="258"/>
    <x v="256"/>
    <m/>
    <x v="1301"/>
    <x v="161"/>
    <m/>
    <x v="1950"/>
    <x v="2226"/>
    <m/>
    <x v="3"/>
    <x v="3"/>
    <m/>
    <n v="-25.520147000000001"/>
    <n v="45.597901999999998"/>
    <m/>
    <m/>
  </r>
  <r>
    <s v="621060007SMP"/>
    <x v="5"/>
    <x v="5"/>
    <m/>
    <x v="2"/>
    <x v="2"/>
    <m/>
    <x v="9"/>
    <x v="9"/>
    <m/>
    <x v="258"/>
    <x v="256"/>
    <m/>
    <x v="1301"/>
    <x v="161"/>
    <m/>
    <x v="1951"/>
    <x v="2227"/>
    <m/>
    <x v="3"/>
    <x v="3"/>
    <m/>
    <n v="-25.518854999999999"/>
    <n v="45.580016999999998"/>
    <m/>
    <m/>
  </r>
  <r>
    <s v="621040038SMP"/>
    <x v="5"/>
    <x v="5"/>
    <m/>
    <x v="2"/>
    <x v="2"/>
    <m/>
    <x v="9"/>
    <x v="9"/>
    <m/>
    <x v="190"/>
    <x v="190"/>
    <m/>
    <x v="1301"/>
    <x v="161"/>
    <m/>
    <x v="1952"/>
    <x v="2228"/>
    <m/>
    <x v="3"/>
    <x v="3"/>
    <m/>
    <n v="-25.516878999999999"/>
    <n v="45.215468999999999"/>
    <m/>
    <m/>
  </r>
  <r>
    <s v="621070003SMP"/>
    <x v="5"/>
    <x v="5"/>
    <m/>
    <x v="2"/>
    <x v="2"/>
    <m/>
    <x v="9"/>
    <x v="9"/>
    <m/>
    <x v="257"/>
    <x v="255"/>
    <m/>
    <x v="1301"/>
    <x v="161"/>
    <m/>
    <x v="1227"/>
    <x v="2229"/>
    <m/>
    <x v="3"/>
    <x v="3"/>
    <m/>
    <n v="-25.515028999999998"/>
    <n v="45.50703"/>
    <m/>
    <m/>
  </r>
  <r>
    <s v="621040008SMP"/>
    <x v="5"/>
    <x v="5"/>
    <m/>
    <x v="2"/>
    <x v="2"/>
    <m/>
    <x v="9"/>
    <x v="9"/>
    <m/>
    <x v="190"/>
    <x v="190"/>
    <m/>
    <x v="1301"/>
    <x v="161"/>
    <m/>
    <x v="1953"/>
    <x v="2230"/>
    <m/>
    <x v="3"/>
    <x v="3"/>
    <m/>
    <n v="-25.511030000000002"/>
    <n v="45.182862999999998"/>
    <m/>
    <m/>
  </r>
  <r>
    <s v="621070021SMP"/>
    <x v="5"/>
    <x v="5"/>
    <m/>
    <x v="2"/>
    <x v="2"/>
    <m/>
    <x v="9"/>
    <x v="9"/>
    <m/>
    <x v="257"/>
    <x v="255"/>
    <m/>
    <x v="1301"/>
    <x v="161"/>
    <m/>
    <x v="1954"/>
    <x v="2231"/>
    <m/>
    <x v="3"/>
    <x v="3"/>
    <m/>
    <n v="-25.501864999999999"/>
    <n v="45.397792000000003"/>
    <m/>
    <m/>
  </r>
  <r>
    <s v="621040031SMP"/>
    <x v="5"/>
    <x v="5"/>
    <m/>
    <x v="2"/>
    <x v="2"/>
    <m/>
    <x v="9"/>
    <x v="9"/>
    <m/>
    <x v="190"/>
    <x v="190"/>
    <m/>
    <x v="1301"/>
    <x v="161"/>
    <m/>
    <x v="531"/>
    <x v="2232"/>
    <m/>
    <x v="3"/>
    <x v="3"/>
    <m/>
    <n v="-25.498384999999999"/>
    <n v="45.292071999999997"/>
    <m/>
    <m/>
  </r>
  <r>
    <s v="621060006SMP"/>
    <x v="5"/>
    <x v="5"/>
    <m/>
    <x v="2"/>
    <x v="2"/>
    <m/>
    <x v="9"/>
    <x v="9"/>
    <m/>
    <x v="258"/>
    <x v="256"/>
    <m/>
    <x v="1301"/>
    <x v="161"/>
    <m/>
    <x v="1955"/>
    <x v="2233"/>
    <m/>
    <x v="3"/>
    <x v="3"/>
    <m/>
    <n v="-25.498007999999999"/>
    <n v="45.605519000000001"/>
    <m/>
    <m/>
  </r>
  <r>
    <s v="621070009SMP"/>
    <x v="5"/>
    <x v="5"/>
    <m/>
    <x v="2"/>
    <x v="2"/>
    <m/>
    <x v="9"/>
    <x v="9"/>
    <m/>
    <x v="257"/>
    <x v="255"/>
    <m/>
    <x v="1301"/>
    <x v="161"/>
    <m/>
    <x v="1956"/>
    <x v="2234"/>
    <m/>
    <x v="3"/>
    <x v="3"/>
    <m/>
    <n v="-25.493613"/>
    <n v="45.485019000000001"/>
    <m/>
    <m/>
  </r>
  <r>
    <s v="621040003SMP"/>
    <x v="5"/>
    <x v="5"/>
    <m/>
    <x v="2"/>
    <x v="2"/>
    <m/>
    <x v="9"/>
    <x v="9"/>
    <m/>
    <x v="190"/>
    <x v="190"/>
    <m/>
    <x v="1301"/>
    <x v="161"/>
    <m/>
    <x v="1257"/>
    <x v="2235"/>
    <m/>
    <x v="3"/>
    <x v="3"/>
    <m/>
    <n v="-25.488454999999998"/>
    <n v="45.242105000000002"/>
    <m/>
    <m/>
  </r>
  <r>
    <s v="621060008SMP"/>
    <x v="5"/>
    <x v="5"/>
    <m/>
    <x v="2"/>
    <x v="2"/>
    <m/>
    <x v="9"/>
    <x v="9"/>
    <m/>
    <x v="258"/>
    <x v="256"/>
    <m/>
    <x v="1301"/>
    <x v="161"/>
    <m/>
    <x v="1957"/>
    <x v="2236"/>
    <m/>
    <x v="3"/>
    <x v="3"/>
    <m/>
    <n v="-25.488043999999999"/>
    <n v="45.635939999999998"/>
    <m/>
    <m/>
  </r>
  <r>
    <s v="621060009SMP"/>
    <x v="5"/>
    <x v="5"/>
    <m/>
    <x v="2"/>
    <x v="2"/>
    <m/>
    <x v="9"/>
    <x v="9"/>
    <m/>
    <x v="258"/>
    <x v="256"/>
    <m/>
    <x v="1301"/>
    <x v="161"/>
    <m/>
    <x v="1958"/>
    <x v="2237"/>
    <m/>
    <x v="3"/>
    <x v="3"/>
    <m/>
    <n v="-25.487179999999999"/>
    <n v="45.560034000000002"/>
    <m/>
    <m/>
  </r>
  <r>
    <s v="621040018SMP"/>
    <x v="5"/>
    <x v="5"/>
    <m/>
    <x v="2"/>
    <x v="2"/>
    <m/>
    <x v="9"/>
    <x v="9"/>
    <m/>
    <x v="190"/>
    <x v="190"/>
    <m/>
    <x v="1301"/>
    <x v="161"/>
    <m/>
    <x v="1959"/>
    <x v="2238"/>
    <m/>
    <x v="3"/>
    <x v="3"/>
    <m/>
    <n v="-25.487041000000001"/>
    <n v="45.300949000000003"/>
    <m/>
    <m/>
  </r>
  <r>
    <s v="621040017SMP"/>
    <x v="5"/>
    <x v="5"/>
    <m/>
    <x v="2"/>
    <x v="2"/>
    <m/>
    <x v="9"/>
    <x v="9"/>
    <m/>
    <x v="190"/>
    <x v="190"/>
    <m/>
    <x v="1301"/>
    <x v="161"/>
    <m/>
    <x v="1960"/>
    <x v="2239"/>
    <m/>
    <x v="3"/>
    <x v="3"/>
    <m/>
    <n v="-25.483419000000001"/>
    <n v="45.195112999999999"/>
    <m/>
    <m/>
  </r>
  <r>
    <s v="621080004SMP"/>
    <x v="5"/>
    <x v="5"/>
    <m/>
    <x v="2"/>
    <x v="2"/>
    <m/>
    <x v="9"/>
    <x v="9"/>
    <m/>
    <x v="200"/>
    <x v="200"/>
    <m/>
    <x v="1301"/>
    <x v="161"/>
    <m/>
    <x v="821"/>
    <x v="2240"/>
    <m/>
    <x v="3"/>
    <x v="3"/>
    <m/>
    <n v="-25.458006000000001"/>
    <n v="45.608820000000001"/>
    <m/>
    <m/>
  </r>
  <r>
    <s v="621060011SMP"/>
    <x v="5"/>
    <x v="5"/>
    <m/>
    <x v="2"/>
    <x v="2"/>
    <m/>
    <x v="9"/>
    <x v="9"/>
    <m/>
    <x v="258"/>
    <x v="256"/>
    <m/>
    <x v="1301"/>
    <x v="161"/>
    <m/>
    <x v="1961"/>
    <x v="2241"/>
    <m/>
    <x v="3"/>
    <x v="3"/>
    <m/>
    <n v="-25.452514999999998"/>
    <n v="45.654595999999998"/>
    <m/>
    <m/>
  </r>
  <r>
    <s v="621080017SMP"/>
    <x v="5"/>
    <x v="5"/>
    <m/>
    <x v="2"/>
    <x v="2"/>
    <m/>
    <x v="9"/>
    <x v="9"/>
    <m/>
    <x v="200"/>
    <x v="200"/>
    <m/>
    <x v="1301"/>
    <x v="161"/>
    <m/>
    <x v="1962"/>
    <x v="2242"/>
    <m/>
    <x v="3"/>
    <x v="3"/>
    <m/>
    <n v="-25.44894"/>
    <n v="45.581969999999998"/>
    <m/>
    <m/>
  </r>
  <r>
    <s v="621010017SMP"/>
    <x v="5"/>
    <x v="5"/>
    <m/>
    <x v="2"/>
    <x v="2"/>
    <m/>
    <x v="9"/>
    <x v="9"/>
    <m/>
    <x v="109"/>
    <x v="109"/>
    <m/>
    <x v="1301"/>
    <x v="161"/>
    <m/>
    <x v="730"/>
    <x v="2243"/>
    <m/>
    <x v="3"/>
    <x v="3"/>
    <m/>
    <n v="-25.444645000000001"/>
    <n v="45.711737999999997"/>
    <m/>
    <m/>
  </r>
  <r>
    <s v="621080023SMP"/>
    <x v="5"/>
    <x v="5"/>
    <m/>
    <x v="2"/>
    <x v="2"/>
    <m/>
    <x v="9"/>
    <x v="9"/>
    <m/>
    <x v="200"/>
    <x v="200"/>
    <m/>
    <x v="1301"/>
    <x v="161"/>
    <m/>
    <x v="62"/>
    <x v="2244"/>
    <m/>
    <x v="3"/>
    <x v="3"/>
    <m/>
    <n v="-25.443584000000001"/>
    <n v="45.329859999999996"/>
    <m/>
    <m/>
  </r>
  <r>
    <s v="621060005SMP"/>
    <x v="5"/>
    <x v="5"/>
    <m/>
    <x v="2"/>
    <x v="2"/>
    <m/>
    <x v="9"/>
    <x v="9"/>
    <m/>
    <x v="258"/>
    <x v="256"/>
    <m/>
    <x v="1301"/>
    <x v="161"/>
    <m/>
    <x v="1963"/>
    <x v="2245"/>
    <m/>
    <x v="3"/>
    <x v="3"/>
    <m/>
    <n v="-25.439715"/>
    <n v="45.675839000000003"/>
    <m/>
    <m/>
  </r>
  <r>
    <s v="621080015SMP"/>
    <x v="5"/>
    <x v="5"/>
    <m/>
    <x v="2"/>
    <x v="2"/>
    <m/>
    <x v="9"/>
    <x v="9"/>
    <m/>
    <x v="200"/>
    <x v="200"/>
    <m/>
    <x v="1301"/>
    <x v="161"/>
    <m/>
    <x v="498"/>
    <x v="2246"/>
    <m/>
    <x v="3"/>
    <x v="3"/>
    <m/>
    <n v="-25.438794000000001"/>
    <n v="45.621918000000001"/>
    <m/>
    <m/>
  </r>
  <r>
    <s v="621080021SMP"/>
    <x v="5"/>
    <x v="5"/>
    <m/>
    <x v="2"/>
    <x v="2"/>
    <m/>
    <x v="9"/>
    <x v="9"/>
    <m/>
    <x v="200"/>
    <x v="200"/>
    <m/>
    <x v="1301"/>
    <x v="161"/>
    <m/>
    <x v="1964"/>
    <x v="2247"/>
    <m/>
    <x v="3"/>
    <x v="3"/>
    <m/>
    <n v="-25.438081"/>
    <n v="45.377972"/>
    <m/>
    <m/>
  </r>
  <r>
    <s v="621010004SMP"/>
    <x v="5"/>
    <x v="5"/>
    <m/>
    <x v="2"/>
    <x v="2"/>
    <m/>
    <x v="9"/>
    <x v="9"/>
    <m/>
    <x v="109"/>
    <x v="109"/>
    <m/>
    <x v="1301"/>
    <x v="161"/>
    <m/>
    <x v="1965"/>
    <x v="2248"/>
    <m/>
    <x v="3"/>
    <x v="3"/>
    <m/>
    <n v="-25.432894999999998"/>
    <n v="45.700735000000002"/>
    <m/>
    <m/>
  </r>
  <r>
    <s v="621010016SMP"/>
    <x v="5"/>
    <x v="5"/>
    <m/>
    <x v="2"/>
    <x v="2"/>
    <m/>
    <x v="9"/>
    <x v="9"/>
    <m/>
    <x v="109"/>
    <x v="109"/>
    <m/>
    <x v="1301"/>
    <x v="161"/>
    <m/>
    <x v="1966"/>
    <x v="2249"/>
    <m/>
    <x v="3"/>
    <x v="3"/>
    <m/>
    <n v="-25.428124"/>
    <n v="45.751925"/>
    <m/>
    <m/>
  </r>
  <r>
    <s v="621080022SMP"/>
    <x v="5"/>
    <x v="5"/>
    <m/>
    <x v="2"/>
    <x v="2"/>
    <m/>
    <x v="9"/>
    <x v="9"/>
    <m/>
    <x v="200"/>
    <x v="200"/>
    <m/>
    <x v="1301"/>
    <x v="161"/>
    <m/>
    <x v="439"/>
    <x v="2250"/>
    <m/>
    <x v="3"/>
    <x v="3"/>
    <m/>
    <n v="-25.418502"/>
    <n v="45.477531999999997"/>
    <m/>
    <m/>
  </r>
  <r>
    <s v="621010018SMP"/>
    <x v="5"/>
    <x v="5"/>
    <m/>
    <x v="2"/>
    <x v="2"/>
    <m/>
    <x v="9"/>
    <x v="9"/>
    <m/>
    <x v="109"/>
    <x v="109"/>
    <m/>
    <x v="1301"/>
    <x v="161"/>
    <m/>
    <x v="1967"/>
    <x v="2251"/>
    <m/>
    <x v="3"/>
    <x v="3"/>
    <m/>
    <n v="-25.407368999999999"/>
    <n v="45.752673000000001"/>
    <m/>
    <m/>
  </r>
  <r>
    <s v="621080008SMP"/>
    <x v="5"/>
    <x v="5"/>
    <m/>
    <x v="2"/>
    <x v="2"/>
    <m/>
    <x v="9"/>
    <x v="9"/>
    <m/>
    <x v="200"/>
    <x v="200"/>
    <m/>
    <x v="1301"/>
    <x v="161"/>
    <m/>
    <x v="1968"/>
    <x v="2252"/>
    <m/>
    <x v="3"/>
    <x v="3"/>
    <m/>
    <n v="-25.402854999999999"/>
    <n v="45.485162000000003"/>
    <m/>
    <m/>
  </r>
  <r>
    <s v="621080040SMP"/>
    <x v="5"/>
    <x v="5"/>
    <m/>
    <x v="2"/>
    <x v="2"/>
    <m/>
    <x v="9"/>
    <x v="9"/>
    <m/>
    <x v="200"/>
    <x v="200"/>
    <m/>
    <x v="1301"/>
    <x v="161"/>
    <m/>
    <x v="1307"/>
    <x v="2253"/>
    <m/>
    <x v="3"/>
    <x v="3"/>
    <m/>
    <n v="-25.401261000000002"/>
    <n v="45.445307999999997"/>
    <m/>
    <m/>
  </r>
  <r>
    <s v="621080016SMP"/>
    <x v="5"/>
    <x v="5"/>
    <m/>
    <x v="2"/>
    <x v="2"/>
    <m/>
    <x v="9"/>
    <x v="9"/>
    <m/>
    <x v="200"/>
    <x v="200"/>
    <m/>
    <x v="1301"/>
    <x v="161"/>
    <m/>
    <x v="1969"/>
    <x v="2254"/>
    <m/>
    <x v="3"/>
    <x v="3"/>
    <m/>
    <n v="-25.400314000000002"/>
    <n v="45.405827000000002"/>
    <m/>
    <m/>
  </r>
  <r>
    <s v="621010011SMP"/>
    <x v="5"/>
    <x v="5"/>
    <m/>
    <x v="2"/>
    <x v="2"/>
    <m/>
    <x v="9"/>
    <x v="9"/>
    <m/>
    <x v="109"/>
    <x v="109"/>
    <m/>
    <x v="1301"/>
    <x v="161"/>
    <m/>
    <x v="1970"/>
    <x v="2255"/>
    <m/>
    <x v="3"/>
    <x v="3"/>
    <m/>
    <n v="-25.394960000000001"/>
    <n v="45.755307000000002"/>
    <m/>
    <m/>
  </r>
  <r>
    <s v="621080011SMP"/>
    <x v="5"/>
    <x v="5"/>
    <m/>
    <x v="2"/>
    <x v="2"/>
    <m/>
    <x v="9"/>
    <x v="9"/>
    <m/>
    <x v="200"/>
    <x v="200"/>
    <m/>
    <x v="1301"/>
    <x v="161"/>
    <m/>
    <x v="1971"/>
    <x v="2256"/>
    <m/>
    <x v="3"/>
    <x v="3"/>
    <m/>
    <n v="-25.393142999999998"/>
    <n v="45.469245999999998"/>
    <m/>
    <m/>
  </r>
  <r>
    <s v="621080014SMP"/>
    <x v="5"/>
    <x v="5"/>
    <m/>
    <x v="2"/>
    <x v="2"/>
    <m/>
    <x v="9"/>
    <x v="9"/>
    <m/>
    <x v="200"/>
    <x v="200"/>
    <m/>
    <x v="1301"/>
    <x v="161"/>
    <m/>
    <x v="1306"/>
    <x v="2257"/>
    <m/>
    <x v="3"/>
    <x v="3"/>
    <m/>
    <n v="-25.392672999999998"/>
    <n v="45.359344"/>
    <m/>
    <m/>
  </r>
  <r>
    <s v="621080034SMP"/>
    <x v="5"/>
    <x v="5"/>
    <m/>
    <x v="2"/>
    <x v="2"/>
    <m/>
    <x v="9"/>
    <x v="9"/>
    <m/>
    <x v="259"/>
    <x v="257"/>
    <m/>
    <x v="1301"/>
    <x v="161"/>
    <m/>
    <x v="693"/>
    <x v="2258"/>
    <m/>
    <x v="3"/>
    <x v="3"/>
    <m/>
    <n v="-25.390961999999998"/>
    <n v="45.700834"/>
    <m/>
    <m/>
  </r>
  <r>
    <s v="621080002SMP"/>
    <x v="5"/>
    <x v="5"/>
    <m/>
    <x v="2"/>
    <x v="2"/>
    <m/>
    <x v="9"/>
    <x v="9"/>
    <m/>
    <x v="200"/>
    <x v="200"/>
    <m/>
    <x v="1301"/>
    <x v="161"/>
    <m/>
    <x v="1972"/>
    <x v="2259"/>
    <m/>
    <x v="3"/>
    <x v="3"/>
    <m/>
    <n v="-25.383095999999998"/>
    <n v="45.643492999999999"/>
    <m/>
    <m/>
  </r>
  <r>
    <s v="621010022SMP"/>
    <x v="5"/>
    <x v="5"/>
    <m/>
    <x v="2"/>
    <x v="2"/>
    <m/>
    <x v="9"/>
    <x v="9"/>
    <m/>
    <x v="109"/>
    <x v="109"/>
    <m/>
    <x v="1301"/>
    <x v="161"/>
    <m/>
    <x v="1973"/>
    <x v="2260"/>
    <m/>
    <x v="3"/>
    <x v="3"/>
    <m/>
    <n v="-25.382639000000001"/>
    <n v="45.724668000000001"/>
    <m/>
    <m/>
  </r>
  <r>
    <s v="621050028SMP"/>
    <x v="5"/>
    <x v="5"/>
    <m/>
    <x v="2"/>
    <x v="2"/>
    <m/>
    <x v="9"/>
    <x v="9"/>
    <m/>
    <x v="218"/>
    <x v="218"/>
    <m/>
    <x v="1301"/>
    <x v="161"/>
    <m/>
    <x v="1974"/>
    <x v="2261"/>
    <m/>
    <x v="3"/>
    <x v="3"/>
    <m/>
    <n v="-25.381091999999999"/>
    <n v="45.587705999999997"/>
    <m/>
    <m/>
  </r>
  <r>
    <s v="621010013SMP"/>
    <x v="5"/>
    <x v="5"/>
    <m/>
    <x v="2"/>
    <x v="2"/>
    <m/>
    <x v="9"/>
    <x v="9"/>
    <m/>
    <x v="109"/>
    <x v="109"/>
    <m/>
    <x v="1301"/>
    <x v="161"/>
    <m/>
    <x v="1975"/>
    <x v="2262"/>
    <m/>
    <x v="3"/>
    <x v="3"/>
    <m/>
    <n v="-25.378353000000001"/>
    <n v="45.770746000000003"/>
    <m/>
    <m/>
  </r>
  <r>
    <s v="621050017SMP"/>
    <x v="5"/>
    <x v="5"/>
    <m/>
    <x v="2"/>
    <x v="2"/>
    <m/>
    <x v="9"/>
    <x v="9"/>
    <m/>
    <x v="218"/>
    <x v="218"/>
    <m/>
    <x v="1301"/>
    <x v="161"/>
    <m/>
    <x v="1441"/>
    <x v="2263"/>
    <m/>
    <x v="3"/>
    <x v="3"/>
    <m/>
    <n v="-25.375381000000001"/>
    <n v="45.506746999999997"/>
    <m/>
    <m/>
  </r>
  <r>
    <s v="621050007SMP"/>
    <x v="5"/>
    <x v="5"/>
    <m/>
    <x v="2"/>
    <x v="2"/>
    <m/>
    <x v="9"/>
    <x v="9"/>
    <m/>
    <x v="218"/>
    <x v="218"/>
    <m/>
    <x v="1301"/>
    <x v="161"/>
    <m/>
    <x v="1976"/>
    <x v="2264"/>
    <m/>
    <x v="3"/>
    <x v="3"/>
    <m/>
    <n v="-25.372207"/>
    <n v="45.277109000000003"/>
    <m/>
    <m/>
  </r>
  <r>
    <s v="621040010SMP"/>
    <x v="5"/>
    <x v="5"/>
    <m/>
    <x v="2"/>
    <x v="2"/>
    <m/>
    <x v="9"/>
    <x v="9"/>
    <m/>
    <x v="190"/>
    <x v="190"/>
    <m/>
    <x v="1301"/>
    <x v="161"/>
    <m/>
    <x v="1977"/>
    <x v="2265"/>
    <m/>
    <x v="3"/>
    <x v="3"/>
    <m/>
    <n v="-25.371158000000001"/>
    <n v="45.261021999999997"/>
    <m/>
    <m/>
  </r>
  <r>
    <s v="621010007SMP"/>
    <x v="5"/>
    <x v="5"/>
    <m/>
    <x v="2"/>
    <x v="2"/>
    <m/>
    <x v="9"/>
    <x v="9"/>
    <m/>
    <x v="109"/>
    <x v="109"/>
    <m/>
    <x v="1301"/>
    <x v="161"/>
    <m/>
    <x v="1668"/>
    <x v="2266"/>
    <m/>
    <x v="3"/>
    <x v="3"/>
    <m/>
    <n v="-25.368501999999999"/>
    <n v="45.731237"/>
    <m/>
    <m/>
  </r>
  <r>
    <s v="621080005SMP"/>
    <x v="5"/>
    <x v="5"/>
    <m/>
    <x v="2"/>
    <x v="2"/>
    <m/>
    <x v="9"/>
    <x v="9"/>
    <m/>
    <x v="259"/>
    <x v="257"/>
    <m/>
    <x v="1301"/>
    <x v="161"/>
    <m/>
    <x v="1978"/>
    <x v="2267"/>
    <m/>
    <x v="3"/>
    <x v="3"/>
    <m/>
    <n v="-25.365504999999999"/>
    <n v="45.300066999999999"/>
    <m/>
    <m/>
  </r>
  <r>
    <s v="621050018SMP"/>
    <x v="5"/>
    <x v="5"/>
    <m/>
    <x v="2"/>
    <x v="2"/>
    <m/>
    <x v="9"/>
    <x v="9"/>
    <m/>
    <x v="218"/>
    <x v="218"/>
    <m/>
    <x v="1301"/>
    <x v="161"/>
    <m/>
    <x v="1979"/>
    <x v="2268"/>
    <m/>
    <x v="3"/>
    <x v="3"/>
    <m/>
    <n v="-25.364754999999999"/>
    <n v="45.544077999999999"/>
    <m/>
    <m/>
  </r>
  <r>
    <s v="621010010SMP"/>
    <x v="5"/>
    <x v="5"/>
    <m/>
    <x v="2"/>
    <x v="2"/>
    <m/>
    <x v="9"/>
    <x v="9"/>
    <m/>
    <x v="109"/>
    <x v="109"/>
    <m/>
    <x v="1301"/>
    <x v="161"/>
    <m/>
    <x v="727"/>
    <x v="2269"/>
    <m/>
    <x v="3"/>
    <x v="3"/>
    <m/>
    <n v="-25.349734999999999"/>
    <n v="45.758279000000002"/>
    <m/>
    <m/>
  </r>
  <r>
    <s v="621050002SMP"/>
    <x v="5"/>
    <x v="5"/>
    <m/>
    <x v="2"/>
    <x v="2"/>
    <m/>
    <x v="9"/>
    <x v="9"/>
    <m/>
    <x v="218"/>
    <x v="218"/>
    <m/>
    <x v="1301"/>
    <x v="161"/>
    <m/>
    <x v="1980"/>
    <x v="2270"/>
    <m/>
    <x v="3"/>
    <x v="3"/>
    <m/>
    <n v="-25.346124"/>
    <n v="45.447878000000003"/>
    <m/>
    <m/>
  </r>
  <r>
    <s v="621050029SMP"/>
    <x v="5"/>
    <x v="5"/>
    <m/>
    <x v="2"/>
    <x v="2"/>
    <m/>
    <x v="9"/>
    <x v="9"/>
    <m/>
    <x v="218"/>
    <x v="218"/>
    <m/>
    <x v="1301"/>
    <x v="161"/>
    <m/>
    <x v="1438"/>
    <x v="2271"/>
    <m/>
    <x v="3"/>
    <x v="3"/>
    <m/>
    <n v="-25.344812000000001"/>
    <n v="45.591583999999997"/>
    <m/>
    <m/>
  </r>
  <r>
    <s v="621050012SMP"/>
    <x v="5"/>
    <x v="5"/>
    <m/>
    <x v="2"/>
    <x v="2"/>
    <m/>
    <x v="9"/>
    <x v="9"/>
    <m/>
    <x v="218"/>
    <x v="218"/>
    <m/>
    <x v="1301"/>
    <x v="161"/>
    <m/>
    <x v="1981"/>
    <x v="2272"/>
    <m/>
    <x v="3"/>
    <x v="3"/>
    <m/>
    <n v="-25.343969000000001"/>
    <n v="45.322239000000003"/>
    <m/>
    <m/>
  </r>
  <r>
    <s v="621030009SMP"/>
    <x v="5"/>
    <x v="5"/>
    <m/>
    <x v="2"/>
    <x v="2"/>
    <m/>
    <x v="9"/>
    <x v="9"/>
    <m/>
    <x v="41"/>
    <x v="41"/>
    <m/>
    <x v="1301"/>
    <x v="161"/>
    <m/>
    <x v="1982"/>
    <x v="2273"/>
    <m/>
    <x v="3"/>
    <x v="3"/>
    <m/>
    <n v="-25.342672"/>
    <n v="45.698315000000001"/>
    <m/>
    <m/>
  </r>
  <r>
    <s v="621050034SMP"/>
    <x v="5"/>
    <x v="5"/>
    <m/>
    <x v="2"/>
    <x v="2"/>
    <m/>
    <x v="9"/>
    <x v="9"/>
    <m/>
    <x v="218"/>
    <x v="218"/>
    <m/>
    <x v="1301"/>
    <x v="161"/>
    <m/>
    <x v="1983"/>
    <x v="2274"/>
    <m/>
    <x v="3"/>
    <x v="3"/>
    <m/>
    <n v="-25.340475000000001"/>
    <n v="45.490841000000003"/>
    <m/>
    <m/>
  </r>
  <r>
    <s v="621030001SMP"/>
    <x v="5"/>
    <x v="5"/>
    <m/>
    <x v="2"/>
    <x v="2"/>
    <m/>
    <x v="9"/>
    <x v="9"/>
    <m/>
    <x v="41"/>
    <x v="41"/>
    <m/>
    <x v="1301"/>
    <x v="161"/>
    <m/>
    <x v="1984"/>
    <x v="2275"/>
    <m/>
    <x v="3"/>
    <x v="3"/>
    <m/>
    <n v="-25.332249000000001"/>
    <n v="45.749732999999999"/>
    <m/>
    <m/>
  </r>
  <r>
    <s v="621050014SMP"/>
    <x v="5"/>
    <x v="5"/>
    <m/>
    <x v="2"/>
    <x v="2"/>
    <m/>
    <x v="9"/>
    <x v="9"/>
    <m/>
    <x v="218"/>
    <x v="218"/>
    <m/>
    <x v="1301"/>
    <x v="161"/>
    <m/>
    <x v="1985"/>
    <x v="2276"/>
    <m/>
    <x v="3"/>
    <x v="3"/>
    <m/>
    <n v="-25.331306000000001"/>
    <n v="45.340038999999997"/>
    <m/>
    <m/>
  </r>
  <r>
    <s v="621080026SMP"/>
    <x v="5"/>
    <x v="5"/>
    <m/>
    <x v="2"/>
    <x v="2"/>
    <m/>
    <x v="9"/>
    <x v="9"/>
    <m/>
    <x v="259"/>
    <x v="257"/>
    <m/>
    <x v="1301"/>
    <x v="161"/>
    <m/>
    <x v="1986"/>
    <x v="2277"/>
    <m/>
    <x v="3"/>
    <x v="3"/>
    <m/>
    <n v="-25.328299999999999"/>
    <n v="45.389868999999997"/>
    <m/>
    <m/>
  </r>
  <r>
    <s v="621030013SMP"/>
    <x v="5"/>
    <x v="5"/>
    <m/>
    <x v="2"/>
    <x v="2"/>
    <m/>
    <x v="9"/>
    <x v="9"/>
    <m/>
    <x v="41"/>
    <x v="41"/>
    <m/>
    <x v="1301"/>
    <x v="161"/>
    <m/>
    <x v="1987"/>
    <x v="2278"/>
    <m/>
    <x v="3"/>
    <x v="3"/>
    <m/>
    <n v="-25.32743"/>
    <n v="45.791887000000003"/>
    <m/>
    <m/>
  </r>
  <r>
    <s v="621050030SMP"/>
    <x v="5"/>
    <x v="5"/>
    <m/>
    <x v="2"/>
    <x v="2"/>
    <m/>
    <x v="9"/>
    <x v="9"/>
    <m/>
    <x v="218"/>
    <x v="218"/>
    <m/>
    <x v="1301"/>
    <x v="161"/>
    <m/>
    <x v="1988"/>
    <x v="2279"/>
    <m/>
    <x v="3"/>
    <x v="3"/>
    <m/>
    <n v="-25.325355999999999"/>
    <n v="45.557875000000003"/>
    <m/>
    <m/>
  </r>
  <r>
    <s v="621050051SMP"/>
    <x v="5"/>
    <x v="5"/>
    <m/>
    <x v="2"/>
    <x v="2"/>
    <m/>
    <x v="9"/>
    <x v="9"/>
    <m/>
    <x v="218"/>
    <x v="218"/>
    <m/>
    <x v="1301"/>
    <x v="161"/>
    <m/>
    <x v="1989"/>
    <x v="2280"/>
    <m/>
    <x v="3"/>
    <x v="3"/>
    <m/>
    <n v="-25.321663999999998"/>
    <n v="45.449089999999998"/>
    <m/>
    <m/>
  </r>
  <r>
    <s v="621010009SMP"/>
    <x v="5"/>
    <x v="5"/>
    <m/>
    <x v="2"/>
    <x v="2"/>
    <m/>
    <x v="9"/>
    <x v="9"/>
    <m/>
    <x v="109"/>
    <x v="109"/>
    <m/>
    <x v="1301"/>
    <x v="161"/>
    <m/>
    <x v="1990"/>
    <x v="2281"/>
    <m/>
    <x v="3"/>
    <x v="3"/>
    <m/>
    <n v="-25.32141"/>
    <n v="45.783628"/>
    <m/>
    <m/>
  </r>
  <r>
    <s v="621050037SMP"/>
    <x v="5"/>
    <x v="5"/>
    <m/>
    <x v="2"/>
    <x v="2"/>
    <m/>
    <x v="9"/>
    <x v="9"/>
    <m/>
    <x v="218"/>
    <x v="218"/>
    <m/>
    <x v="1301"/>
    <x v="161"/>
    <m/>
    <x v="1991"/>
    <x v="2282"/>
    <m/>
    <x v="3"/>
    <x v="3"/>
    <m/>
    <n v="-25.316645999999999"/>
    <n v="45.487032999999997"/>
    <m/>
    <m/>
  </r>
  <r>
    <s v="621050021SMP"/>
    <x v="5"/>
    <x v="5"/>
    <m/>
    <x v="2"/>
    <x v="2"/>
    <m/>
    <x v="9"/>
    <x v="9"/>
    <m/>
    <x v="218"/>
    <x v="218"/>
    <m/>
    <x v="1301"/>
    <x v="161"/>
    <m/>
    <x v="1992"/>
    <x v="2283"/>
    <m/>
    <x v="3"/>
    <x v="3"/>
    <m/>
    <n v="-25.315024999999999"/>
    <n v="45.420417999999998"/>
    <m/>
    <m/>
  </r>
  <r>
    <s v="621050036SMP"/>
    <x v="5"/>
    <x v="5"/>
    <m/>
    <x v="2"/>
    <x v="2"/>
    <m/>
    <x v="9"/>
    <x v="9"/>
    <m/>
    <x v="218"/>
    <x v="218"/>
    <m/>
    <x v="1301"/>
    <x v="161"/>
    <m/>
    <x v="1993"/>
    <x v="2284"/>
    <m/>
    <x v="3"/>
    <x v="3"/>
    <m/>
    <n v="-25.314561000000001"/>
    <n v="45.487234000000001"/>
    <m/>
    <m/>
  </r>
  <r>
    <s v="621030017SMP"/>
    <x v="5"/>
    <x v="5"/>
    <m/>
    <x v="2"/>
    <x v="2"/>
    <m/>
    <x v="9"/>
    <x v="9"/>
    <m/>
    <x v="41"/>
    <x v="41"/>
    <m/>
    <x v="1301"/>
    <x v="161"/>
    <m/>
    <x v="1994"/>
    <x v="2285"/>
    <m/>
    <x v="3"/>
    <x v="3"/>
    <m/>
    <n v="-25.309623999999999"/>
    <n v="45.640937000000001"/>
    <m/>
    <m/>
  </r>
  <r>
    <s v="621030014SMP"/>
    <x v="5"/>
    <x v="5"/>
    <m/>
    <x v="2"/>
    <x v="2"/>
    <m/>
    <x v="9"/>
    <x v="9"/>
    <m/>
    <x v="41"/>
    <x v="41"/>
    <m/>
    <x v="1301"/>
    <x v="161"/>
    <m/>
    <x v="1995"/>
    <x v="2286"/>
    <m/>
    <x v="3"/>
    <x v="3"/>
    <m/>
    <n v="-25.309339000000001"/>
    <n v="45.756545000000003"/>
    <m/>
    <m/>
  </r>
  <r>
    <s v="621050032SMP"/>
    <x v="5"/>
    <x v="5"/>
    <m/>
    <x v="2"/>
    <x v="2"/>
    <m/>
    <x v="9"/>
    <x v="9"/>
    <m/>
    <x v="218"/>
    <x v="218"/>
    <m/>
    <x v="1301"/>
    <x v="161"/>
    <m/>
    <x v="1436"/>
    <x v="2287"/>
    <m/>
    <x v="3"/>
    <x v="3"/>
    <m/>
    <n v="-25.308859999999999"/>
    <n v="45.566926000000002"/>
    <m/>
    <m/>
  </r>
  <r>
    <s v="621030025SMP"/>
    <x v="5"/>
    <x v="5"/>
    <m/>
    <x v="2"/>
    <x v="2"/>
    <m/>
    <x v="9"/>
    <x v="9"/>
    <m/>
    <x v="41"/>
    <x v="41"/>
    <m/>
    <x v="1301"/>
    <x v="161"/>
    <m/>
    <x v="1996"/>
    <x v="2288"/>
    <m/>
    <x v="3"/>
    <x v="3"/>
    <m/>
    <n v="-25.307262000000001"/>
    <n v="45.592725000000002"/>
    <m/>
    <m/>
  </r>
  <r>
    <s v="621030008SMP"/>
    <x v="5"/>
    <x v="5"/>
    <m/>
    <x v="2"/>
    <x v="2"/>
    <m/>
    <x v="9"/>
    <x v="9"/>
    <m/>
    <x v="41"/>
    <x v="41"/>
    <m/>
    <x v="1301"/>
    <x v="161"/>
    <m/>
    <x v="515"/>
    <x v="2289"/>
    <m/>
    <x v="3"/>
    <x v="3"/>
    <m/>
    <n v="-25.306816999999999"/>
    <n v="45.786628"/>
    <m/>
    <m/>
  </r>
  <r>
    <s v="621030022SMP"/>
    <x v="5"/>
    <x v="5"/>
    <m/>
    <x v="2"/>
    <x v="2"/>
    <m/>
    <x v="9"/>
    <x v="9"/>
    <m/>
    <x v="41"/>
    <x v="41"/>
    <m/>
    <x v="1301"/>
    <x v="161"/>
    <m/>
    <x v="1997"/>
    <x v="2290"/>
    <m/>
    <x v="3"/>
    <x v="3"/>
    <m/>
    <n v="-25.305033000000002"/>
    <n v="45.700369000000002"/>
    <m/>
    <m/>
  </r>
  <r>
    <s v="621030006SMP"/>
    <x v="5"/>
    <x v="5"/>
    <m/>
    <x v="2"/>
    <x v="2"/>
    <m/>
    <x v="9"/>
    <x v="9"/>
    <m/>
    <x v="41"/>
    <x v="41"/>
    <m/>
    <x v="1301"/>
    <x v="161"/>
    <m/>
    <x v="1998"/>
    <x v="2291"/>
    <m/>
    <x v="3"/>
    <x v="3"/>
    <m/>
    <n v="-25.301828"/>
    <n v="45.711284999999997"/>
    <m/>
    <m/>
  </r>
  <r>
    <s v="621030012SMP"/>
    <x v="5"/>
    <x v="5"/>
    <m/>
    <x v="2"/>
    <x v="2"/>
    <m/>
    <x v="9"/>
    <x v="9"/>
    <m/>
    <x v="41"/>
    <x v="41"/>
    <m/>
    <x v="1301"/>
    <x v="161"/>
    <m/>
    <x v="251"/>
    <x v="2292"/>
    <m/>
    <x v="3"/>
    <x v="3"/>
    <m/>
    <n v="-25.301010999999999"/>
    <n v="45.734597999999998"/>
    <m/>
    <m/>
  </r>
  <r>
    <s v="621050009SMP"/>
    <x v="5"/>
    <x v="5"/>
    <m/>
    <x v="2"/>
    <x v="2"/>
    <m/>
    <x v="9"/>
    <x v="9"/>
    <m/>
    <x v="218"/>
    <x v="218"/>
    <m/>
    <x v="1301"/>
    <x v="161"/>
    <m/>
    <x v="463"/>
    <x v="2293"/>
    <m/>
    <x v="3"/>
    <x v="3"/>
    <m/>
    <n v="-25.290811000000001"/>
    <n v="45.451847000000001"/>
    <m/>
    <m/>
  </r>
  <r>
    <s v="621050001SMP"/>
    <x v="5"/>
    <x v="5"/>
    <m/>
    <x v="2"/>
    <x v="2"/>
    <m/>
    <x v="9"/>
    <x v="9"/>
    <m/>
    <x v="218"/>
    <x v="218"/>
    <m/>
    <x v="1301"/>
    <x v="161"/>
    <m/>
    <x v="1999"/>
    <x v="2294"/>
    <m/>
    <x v="3"/>
    <x v="3"/>
    <m/>
    <n v="-25.287686000000001"/>
    <n v="45.368974999999999"/>
    <m/>
    <m/>
  </r>
  <r>
    <s v="621050047SMP"/>
    <x v="5"/>
    <x v="5"/>
    <m/>
    <x v="2"/>
    <x v="2"/>
    <m/>
    <x v="9"/>
    <x v="9"/>
    <m/>
    <x v="218"/>
    <x v="218"/>
    <m/>
    <x v="1301"/>
    <x v="161"/>
    <m/>
    <x v="2000"/>
    <x v="2295"/>
    <m/>
    <x v="3"/>
    <x v="3"/>
    <m/>
    <n v="-25.287517000000001"/>
    <n v="45.601286000000002"/>
    <m/>
    <m/>
  </r>
  <r>
    <s v="621080030SMP"/>
    <x v="5"/>
    <x v="5"/>
    <m/>
    <x v="2"/>
    <x v="2"/>
    <m/>
    <x v="9"/>
    <x v="9"/>
    <m/>
    <x v="259"/>
    <x v="257"/>
    <m/>
    <x v="1301"/>
    <x v="161"/>
    <m/>
    <x v="2001"/>
    <x v="2296"/>
    <m/>
    <x v="3"/>
    <x v="3"/>
    <m/>
    <n v="-25.283208999999999"/>
    <n v="45.368602000000003"/>
    <m/>
    <m/>
  </r>
  <r>
    <s v="621050013SMP"/>
    <x v="5"/>
    <x v="5"/>
    <m/>
    <x v="2"/>
    <x v="2"/>
    <m/>
    <x v="9"/>
    <x v="9"/>
    <m/>
    <x v="218"/>
    <x v="218"/>
    <m/>
    <x v="1301"/>
    <x v="161"/>
    <m/>
    <x v="410"/>
    <x v="2297"/>
    <m/>
    <x v="3"/>
    <x v="3"/>
    <m/>
    <n v="-25.279084999999998"/>
    <n v="45.512269000000003"/>
    <m/>
    <m/>
  </r>
  <r>
    <s v="621030027SMP"/>
    <x v="5"/>
    <x v="5"/>
    <m/>
    <x v="2"/>
    <x v="2"/>
    <m/>
    <x v="9"/>
    <x v="9"/>
    <m/>
    <x v="41"/>
    <x v="41"/>
    <m/>
    <x v="1301"/>
    <x v="161"/>
    <m/>
    <x v="2002"/>
    <x v="2298"/>
    <m/>
    <x v="3"/>
    <x v="3"/>
    <m/>
    <n v="-25.274232000000001"/>
    <n v="45.812629000000001"/>
    <m/>
    <m/>
  </r>
  <r>
    <s v="621050025SMP"/>
    <x v="5"/>
    <x v="5"/>
    <m/>
    <x v="2"/>
    <x v="2"/>
    <m/>
    <x v="9"/>
    <x v="9"/>
    <m/>
    <x v="218"/>
    <x v="218"/>
    <m/>
    <x v="1301"/>
    <x v="161"/>
    <m/>
    <x v="2003"/>
    <x v="2299"/>
    <m/>
    <x v="3"/>
    <x v="3"/>
    <m/>
    <n v="-25.272908999999999"/>
    <n v="45.545102999999997"/>
    <m/>
    <m/>
  </r>
  <r>
    <s v="621030020SMP"/>
    <x v="5"/>
    <x v="5"/>
    <m/>
    <x v="2"/>
    <x v="2"/>
    <m/>
    <x v="9"/>
    <x v="9"/>
    <m/>
    <x v="41"/>
    <x v="41"/>
    <m/>
    <x v="1301"/>
    <x v="161"/>
    <m/>
    <x v="2004"/>
    <x v="2300"/>
    <m/>
    <x v="3"/>
    <x v="3"/>
    <m/>
    <n v="-25.270489999999999"/>
    <n v="45.731937000000002"/>
    <m/>
    <m/>
  </r>
  <r>
    <s v="621050024SMP"/>
    <x v="5"/>
    <x v="5"/>
    <m/>
    <x v="2"/>
    <x v="2"/>
    <m/>
    <x v="9"/>
    <x v="9"/>
    <m/>
    <x v="218"/>
    <x v="218"/>
    <m/>
    <x v="1301"/>
    <x v="161"/>
    <m/>
    <x v="2005"/>
    <x v="2301"/>
    <m/>
    <x v="3"/>
    <x v="3"/>
    <m/>
    <n v="-25.269176000000002"/>
    <n v="45.419702000000001"/>
    <m/>
    <m/>
  </r>
  <r>
    <s v="621050023SMP"/>
    <x v="5"/>
    <x v="5"/>
    <m/>
    <x v="2"/>
    <x v="2"/>
    <m/>
    <x v="9"/>
    <x v="9"/>
    <m/>
    <x v="218"/>
    <x v="218"/>
    <m/>
    <x v="1301"/>
    <x v="161"/>
    <m/>
    <x v="2006"/>
    <x v="2302"/>
    <m/>
    <x v="3"/>
    <x v="3"/>
    <m/>
    <n v="-25.246929999999999"/>
    <n v="45.467301999999997"/>
    <m/>
    <m/>
  </r>
  <r>
    <s v="621030016SMP"/>
    <x v="5"/>
    <x v="5"/>
    <m/>
    <x v="2"/>
    <x v="2"/>
    <m/>
    <x v="9"/>
    <x v="9"/>
    <m/>
    <x v="41"/>
    <x v="41"/>
    <m/>
    <x v="1301"/>
    <x v="161"/>
    <m/>
    <x v="2007"/>
    <x v="2303"/>
    <m/>
    <x v="3"/>
    <x v="3"/>
    <m/>
    <n v="-25.236650999999998"/>
    <n v="45.600253000000002"/>
    <m/>
    <m/>
  </r>
  <r>
    <s v="621080039SMP"/>
    <x v="5"/>
    <x v="5"/>
    <m/>
    <x v="2"/>
    <x v="2"/>
    <m/>
    <x v="9"/>
    <x v="9"/>
    <m/>
    <x v="259"/>
    <x v="257"/>
    <m/>
    <x v="1301"/>
    <x v="161"/>
    <m/>
    <x v="2008"/>
    <x v="2304"/>
    <m/>
    <x v="3"/>
    <x v="3"/>
    <m/>
    <n v="-25.228902000000001"/>
    <n v="45.31371"/>
    <m/>
    <m/>
  </r>
  <r>
    <s v="621030007SMP"/>
    <x v="5"/>
    <x v="5"/>
    <m/>
    <x v="2"/>
    <x v="2"/>
    <m/>
    <x v="9"/>
    <x v="9"/>
    <m/>
    <x v="41"/>
    <x v="41"/>
    <m/>
    <x v="1301"/>
    <x v="161"/>
    <m/>
    <x v="2009"/>
    <x v="2305"/>
    <m/>
    <x v="3"/>
    <x v="3"/>
    <m/>
    <n v="-25.222090000000001"/>
    <n v="45.681027"/>
    <m/>
    <m/>
  </r>
  <r>
    <s v="621030021SMP"/>
    <x v="5"/>
    <x v="5"/>
    <m/>
    <x v="2"/>
    <x v="2"/>
    <m/>
    <x v="9"/>
    <x v="9"/>
    <m/>
    <x v="41"/>
    <x v="41"/>
    <m/>
    <x v="1301"/>
    <x v="161"/>
    <m/>
    <x v="2010"/>
    <x v="2306"/>
    <m/>
    <x v="3"/>
    <x v="3"/>
    <m/>
    <n v="-25.200538999999999"/>
    <n v="45.677033000000002"/>
    <m/>
    <m/>
  </r>
  <r>
    <s v="621080025SMP"/>
    <x v="5"/>
    <x v="5"/>
    <m/>
    <x v="2"/>
    <x v="2"/>
    <m/>
    <x v="9"/>
    <x v="9"/>
    <m/>
    <x v="259"/>
    <x v="257"/>
    <m/>
    <x v="1301"/>
    <x v="161"/>
    <m/>
    <x v="2011"/>
    <x v="2307"/>
    <m/>
    <x v="3"/>
    <x v="3"/>
    <m/>
    <n v="-25.147244000000001"/>
    <n v="45.354393000000002"/>
    <m/>
    <m/>
  </r>
  <r>
    <s v="605030010SMP"/>
    <x v="1"/>
    <x v="1"/>
    <m/>
    <x v="1"/>
    <x v="1"/>
    <m/>
    <x v="1"/>
    <x v="1"/>
    <m/>
    <x v="43"/>
    <x v="43"/>
    <m/>
    <x v="1301"/>
    <x v="161"/>
    <m/>
    <x v="2012"/>
    <x v="2308"/>
    <m/>
    <x v="3"/>
    <x v="3"/>
    <m/>
    <n v="-25.264887999999999"/>
    <n v="44.355401999999998"/>
    <m/>
    <m/>
  </r>
  <r>
    <s v="605030025SMP"/>
    <x v="1"/>
    <x v="1"/>
    <m/>
    <x v="1"/>
    <x v="1"/>
    <m/>
    <x v="1"/>
    <x v="1"/>
    <m/>
    <x v="43"/>
    <x v="43"/>
    <m/>
    <x v="1301"/>
    <x v="161"/>
    <m/>
    <x v="2013"/>
    <x v="2309"/>
    <m/>
    <x v="3"/>
    <x v="3"/>
    <m/>
    <n v="-25.240888000000002"/>
    <n v="44.481386999999998"/>
    <m/>
    <m/>
  </r>
  <r>
    <s v="605030023SMP"/>
    <x v="1"/>
    <x v="1"/>
    <m/>
    <x v="1"/>
    <x v="1"/>
    <m/>
    <x v="1"/>
    <x v="1"/>
    <m/>
    <x v="43"/>
    <x v="43"/>
    <m/>
    <x v="1301"/>
    <x v="161"/>
    <m/>
    <x v="282"/>
    <x v="2310"/>
    <m/>
    <x v="3"/>
    <x v="3"/>
    <m/>
    <n v="-25.217381"/>
    <n v="44.427109999999999"/>
    <m/>
    <m/>
  </r>
  <r>
    <s v="605030016SMP"/>
    <x v="1"/>
    <x v="1"/>
    <m/>
    <x v="1"/>
    <x v="1"/>
    <m/>
    <x v="1"/>
    <x v="1"/>
    <m/>
    <x v="43"/>
    <x v="43"/>
    <m/>
    <x v="1301"/>
    <x v="161"/>
    <m/>
    <x v="2014"/>
    <x v="2311"/>
    <m/>
    <x v="3"/>
    <x v="3"/>
    <m/>
    <n v="-25.206795"/>
    <n v="44.457751999999999"/>
    <m/>
    <m/>
  </r>
  <r>
    <s v="605030003SMP"/>
    <x v="1"/>
    <x v="1"/>
    <m/>
    <x v="1"/>
    <x v="1"/>
    <m/>
    <x v="1"/>
    <x v="1"/>
    <m/>
    <x v="43"/>
    <x v="43"/>
    <m/>
    <x v="1301"/>
    <x v="161"/>
    <m/>
    <x v="2015"/>
    <x v="2312"/>
    <m/>
    <x v="3"/>
    <x v="3"/>
    <m/>
    <n v="-25.196911"/>
    <n v="44.435783000000001"/>
    <m/>
    <m/>
  </r>
  <r>
    <s v="605030021SMP"/>
    <x v="1"/>
    <x v="1"/>
    <m/>
    <x v="1"/>
    <x v="1"/>
    <m/>
    <x v="1"/>
    <x v="1"/>
    <m/>
    <x v="43"/>
    <x v="43"/>
    <m/>
    <x v="1301"/>
    <x v="161"/>
    <m/>
    <x v="278"/>
    <x v="2313"/>
    <m/>
    <x v="3"/>
    <x v="3"/>
    <m/>
    <n v="-25.152863"/>
    <n v="44.394965999999997"/>
    <m/>
    <m/>
  </r>
  <r>
    <s v="605030011SMP"/>
    <x v="1"/>
    <x v="1"/>
    <m/>
    <x v="1"/>
    <x v="1"/>
    <m/>
    <x v="1"/>
    <x v="1"/>
    <m/>
    <x v="43"/>
    <x v="43"/>
    <m/>
    <x v="1301"/>
    <x v="161"/>
    <m/>
    <x v="2016"/>
    <x v="2314"/>
    <m/>
    <x v="3"/>
    <x v="3"/>
    <m/>
    <n v="-25.116377"/>
    <n v="44.310755"/>
    <m/>
    <m/>
  </r>
  <r>
    <s v="605030002SMP"/>
    <x v="1"/>
    <x v="1"/>
    <m/>
    <x v="1"/>
    <x v="1"/>
    <m/>
    <x v="1"/>
    <x v="1"/>
    <m/>
    <x v="43"/>
    <x v="43"/>
    <m/>
    <x v="1301"/>
    <x v="161"/>
    <m/>
    <x v="280"/>
    <x v="2315"/>
    <m/>
    <x v="3"/>
    <x v="3"/>
    <m/>
    <n v="-25.111816000000001"/>
    <n v="44.435823999999997"/>
    <m/>
    <m/>
  </r>
  <r>
    <s v="605030004SMP"/>
    <x v="1"/>
    <x v="1"/>
    <m/>
    <x v="1"/>
    <x v="1"/>
    <m/>
    <x v="1"/>
    <x v="1"/>
    <m/>
    <x v="43"/>
    <x v="43"/>
    <m/>
    <x v="1301"/>
    <x v="161"/>
    <m/>
    <x v="2017"/>
    <x v="2316"/>
    <m/>
    <x v="3"/>
    <x v="3"/>
    <m/>
    <n v="-25.101347000000001"/>
    <n v="44.302630000000001"/>
    <m/>
    <m/>
  </r>
  <r>
    <s v="605030024SMP"/>
    <x v="1"/>
    <x v="1"/>
    <m/>
    <x v="1"/>
    <x v="1"/>
    <m/>
    <x v="1"/>
    <x v="1"/>
    <m/>
    <x v="43"/>
    <x v="43"/>
    <m/>
    <x v="1301"/>
    <x v="161"/>
    <m/>
    <x v="2018"/>
    <x v="2317"/>
    <m/>
    <x v="3"/>
    <x v="3"/>
    <m/>
    <n v="-25.075105000000001"/>
    <n v="44.354148000000002"/>
    <m/>
    <m/>
  </r>
  <r>
    <s v="605030013SMP"/>
    <x v="1"/>
    <x v="1"/>
    <m/>
    <x v="1"/>
    <x v="1"/>
    <m/>
    <x v="1"/>
    <x v="1"/>
    <m/>
    <x v="43"/>
    <x v="43"/>
    <m/>
    <x v="1301"/>
    <x v="161"/>
    <m/>
    <x v="2019"/>
    <x v="2318"/>
    <m/>
    <x v="3"/>
    <x v="3"/>
    <m/>
    <n v="-25.048774999999999"/>
    <n v="44.341119999999997"/>
    <m/>
    <m/>
  </r>
  <r>
    <s v="605030008SMP"/>
    <x v="1"/>
    <x v="1"/>
    <m/>
    <x v="1"/>
    <x v="1"/>
    <m/>
    <x v="1"/>
    <x v="1"/>
    <m/>
    <x v="43"/>
    <x v="43"/>
    <m/>
    <x v="1301"/>
    <x v="161"/>
    <m/>
    <x v="2020"/>
    <x v="2319"/>
    <m/>
    <x v="3"/>
    <x v="3"/>
    <m/>
    <n v="-25.045763000000001"/>
    <n v="44.323675000000001"/>
    <m/>
    <m/>
  </r>
  <r>
    <s v="605030012SMP"/>
    <x v="1"/>
    <x v="1"/>
    <m/>
    <x v="1"/>
    <x v="1"/>
    <m/>
    <x v="1"/>
    <x v="1"/>
    <m/>
    <x v="43"/>
    <x v="43"/>
    <m/>
    <x v="1301"/>
    <x v="161"/>
    <m/>
    <x v="2021"/>
    <x v="2320"/>
    <m/>
    <x v="3"/>
    <x v="3"/>
    <m/>
    <n v="-25.026088000000001"/>
    <n v="44.294494"/>
    <m/>
    <m/>
  </r>
  <r>
    <s v="605030015SMP"/>
    <x v="1"/>
    <x v="1"/>
    <m/>
    <x v="1"/>
    <x v="1"/>
    <m/>
    <x v="1"/>
    <x v="1"/>
    <m/>
    <x v="43"/>
    <x v="43"/>
    <m/>
    <x v="1301"/>
    <x v="161"/>
    <m/>
    <x v="2022"/>
    <x v="2321"/>
    <m/>
    <x v="3"/>
    <x v="3"/>
    <m/>
    <n v="-25.004892999999999"/>
    <n v="44.407110000000003"/>
    <m/>
    <m/>
  </r>
  <r>
    <s v="605030009SMP"/>
    <x v="1"/>
    <x v="1"/>
    <m/>
    <x v="1"/>
    <x v="1"/>
    <m/>
    <x v="1"/>
    <x v="1"/>
    <m/>
    <x v="43"/>
    <x v="43"/>
    <m/>
    <x v="1301"/>
    <x v="161"/>
    <m/>
    <x v="2023"/>
    <x v="2322"/>
    <m/>
    <x v="3"/>
    <x v="3"/>
    <m/>
    <n v="-25.002271"/>
    <n v="44.268273999999998"/>
    <m/>
    <m/>
  </r>
  <r>
    <s v="605020002SMP"/>
    <x v="1"/>
    <x v="1"/>
    <m/>
    <x v="1"/>
    <x v="1"/>
    <m/>
    <x v="1"/>
    <x v="1"/>
    <m/>
    <x v="84"/>
    <x v="42"/>
    <m/>
    <x v="1301"/>
    <x v="161"/>
    <m/>
    <x v="1980"/>
    <x v="2323"/>
    <m/>
    <x v="3"/>
    <x v="3"/>
    <m/>
    <n v="-25.001566"/>
    <n v="44.660659000000003"/>
    <m/>
    <m/>
  </r>
  <r>
    <s v="605030007SMP"/>
    <x v="1"/>
    <x v="1"/>
    <m/>
    <x v="1"/>
    <x v="1"/>
    <m/>
    <x v="1"/>
    <x v="1"/>
    <m/>
    <x v="43"/>
    <x v="43"/>
    <m/>
    <x v="1301"/>
    <x v="161"/>
    <m/>
    <x v="597"/>
    <x v="2324"/>
    <m/>
    <x v="3"/>
    <x v="3"/>
    <m/>
    <n v="-24.999482"/>
    <n v="44.091279"/>
    <m/>
    <m/>
  </r>
  <r>
    <s v="605030022SMP"/>
    <x v="1"/>
    <x v="1"/>
    <m/>
    <x v="1"/>
    <x v="1"/>
    <m/>
    <x v="1"/>
    <x v="1"/>
    <m/>
    <x v="43"/>
    <x v="43"/>
    <m/>
    <x v="1301"/>
    <x v="161"/>
    <m/>
    <x v="277"/>
    <x v="2325"/>
    <m/>
    <x v="3"/>
    <x v="3"/>
    <m/>
    <n v="-24.990193999999999"/>
    <n v="44.234935"/>
    <m/>
    <m/>
  </r>
  <r>
    <s v="605130007SMP"/>
    <x v="1"/>
    <x v="1"/>
    <m/>
    <x v="1"/>
    <x v="1"/>
    <m/>
    <x v="1"/>
    <x v="1"/>
    <m/>
    <x v="2"/>
    <x v="2"/>
    <m/>
    <x v="1301"/>
    <x v="161"/>
    <m/>
    <x v="2024"/>
    <x v="2326"/>
    <m/>
    <x v="3"/>
    <x v="3"/>
    <m/>
    <n v="-24.974730000000001"/>
    <n v="44.100278000000003"/>
    <m/>
    <m/>
  </r>
  <r>
    <s v="605030029SMP"/>
    <x v="1"/>
    <x v="1"/>
    <m/>
    <x v="1"/>
    <x v="1"/>
    <m/>
    <x v="1"/>
    <x v="1"/>
    <m/>
    <x v="43"/>
    <x v="43"/>
    <m/>
    <x v="1301"/>
    <x v="161"/>
    <m/>
    <x v="283"/>
    <x v="2327"/>
    <m/>
    <x v="3"/>
    <x v="3"/>
    <m/>
    <n v="-24.972035999999999"/>
    <n v="44.188155999999999"/>
    <m/>
    <m/>
  </r>
  <r>
    <s v="605030014SMP"/>
    <x v="1"/>
    <x v="1"/>
    <m/>
    <x v="1"/>
    <x v="1"/>
    <m/>
    <x v="1"/>
    <x v="1"/>
    <m/>
    <x v="43"/>
    <x v="43"/>
    <m/>
    <x v="1301"/>
    <x v="161"/>
    <m/>
    <x v="2025"/>
    <x v="2328"/>
    <m/>
    <x v="3"/>
    <x v="3"/>
    <m/>
    <n v="-24.966360999999999"/>
    <n v="44.312627999999997"/>
    <m/>
    <m/>
  </r>
  <r>
    <s v="605030026SMP"/>
    <x v="1"/>
    <x v="1"/>
    <m/>
    <x v="1"/>
    <x v="1"/>
    <m/>
    <x v="1"/>
    <x v="1"/>
    <m/>
    <x v="43"/>
    <x v="43"/>
    <m/>
    <x v="1301"/>
    <x v="161"/>
    <m/>
    <x v="603"/>
    <x v="2329"/>
    <m/>
    <x v="3"/>
    <x v="3"/>
    <m/>
    <n v="-24.964400000000001"/>
    <n v="44.150772000000003"/>
    <m/>
    <m/>
  </r>
  <r>
    <s v="605130017SMP"/>
    <x v="1"/>
    <x v="1"/>
    <m/>
    <x v="1"/>
    <x v="1"/>
    <m/>
    <x v="1"/>
    <x v="1"/>
    <m/>
    <x v="2"/>
    <x v="2"/>
    <m/>
    <x v="1301"/>
    <x v="161"/>
    <m/>
    <x v="593"/>
    <x v="2330"/>
    <m/>
    <x v="3"/>
    <x v="3"/>
    <m/>
    <n v="-24.954191000000002"/>
    <n v="44.118848"/>
    <m/>
    <m/>
  </r>
  <r>
    <s v="605130009SMP"/>
    <x v="1"/>
    <x v="1"/>
    <m/>
    <x v="1"/>
    <x v="1"/>
    <m/>
    <x v="1"/>
    <x v="1"/>
    <m/>
    <x v="2"/>
    <x v="2"/>
    <m/>
    <x v="1301"/>
    <x v="161"/>
    <m/>
    <x v="273"/>
    <x v="2331"/>
    <m/>
    <x v="3"/>
    <x v="3"/>
    <m/>
    <n v="-24.934816999999999"/>
    <n v="44.09919"/>
    <m/>
    <m/>
  </r>
  <r>
    <s v="605020007SMP"/>
    <x v="1"/>
    <x v="1"/>
    <m/>
    <x v="1"/>
    <x v="1"/>
    <m/>
    <x v="1"/>
    <x v="1"/>
    <m/>
    <x v="84"/>
    <x v="42"/>
    <m/>
    <x v="1301"/>
    <x v="161"/>
    <m/>
    <x v="511"/>
    <x v="2332"/>
    <m/>
    <x v="3"/>
    <x v="3"/>
    <m/>
    <n v="-24.932838"/>
    <n v="44.652943999999998"/>
    <m/>
    <m/>
  </r>
  <r>
    <s v="605130011SMP"/>
    <x v="1"/>
    <x v="1"/>
    <m/>
    <x v="1"/>
    <x v="1"/>
    <m/>
    <x v="1"/>
    <x v="1"/>
    <m/>
    <x v="2"/>
    <x v="2"/>
    <m/>
    <x v="1301"/>
    <x v="161"/>
    <m/>
    <x v="12"/>
    <x v="2333"/>
    <m/>
    <x v="3"/>
    <x v="3"/>
    <m/>
    <n v="-24.881461999999999"/>
    <n v="44.052030000000002"/>
    <m/>
    <m/>
  </r>
  <r>
    <s v="605020004SMP"/>
    <x v="1"/>
    <x v="1"/>
    <m/>
    <x v="1"/>
    <x v="1"/>
    <m/>
    <x v="1"/>
    <x v="1"/>
    <m/>
    <x v="84"/>
    <x v="42"/>
    <m/>
    <x v="1301"/>
    <x v="161"/>
    <m/>
    <x v="2026"/>
    <x v="2334"/>
    <m/>
    <x v="3"/>
    <x v="3"/>
    <m/>
    <n v="-24.869275999999999"/>
    <n v="44.588482999999997"/>
    <m/>
    <m/>
  </r>
  <r>
    <s v="605130014SMP"/>
    <x v="1"/>
    <x v="1"/>
    <m/>
    <x v="1"/>
    <x v="1"/>
    <m/>
    <x v="1"/>
    <x v="1"/>
    <m/>
    <x v="2"/>
    <x v="2"/>
    <m/>
    <x v="1301"/>
    <x v="161"/>
    <m/>
    <x v="88"/>
    <x v="2335"/>
    <m/>
    <x v="3"/>
    <x v="3"/>
    <m/>
    <n v="-24.855907999999999"/>
    <n v="44.022367000000003"/>
    <m/>
    <m/>
  </r>
  <r>
    <s v="605130019SMP"/>
    <x v="1"/>
    <x v="1"/>
    <m/>
    <x v="1"/>
    <x v="1"/>
    <m/>
    <x v="1"/>
    <x v="1"/>
    <m/>
    <x v="2"/>
    <x v="2"/>
    <m/>
    <x v="1301"/>
    <x v="161"/>
    <m/>
    <x v="2027"/>
    <x v="2336"/>
    <m/>
    <x v="3"/>
    <x v="3"/>
    <m/>
    <n v="-24.835754999999999"/>
    <n v="44.021532000000001"/>
    <m/>
    <m/>
  </r>
  <r>
    <s v="605020017SMP"/>
    <x v="1"/>
    <x v="1"/>
    <m/>
    <x v="1"/>
    <x v="1"/>
    <m/>
    <x v="1"/>
    <x v="1"/>
    <m/>
    <x v="84"/>
    <x v="42"/>
    <m/>
    <x v="1301"/>
    <x v="161"/>
    <m/>
    <x v="255"/>
    <x v="2337"/>
    <m/>
    <x v="3"/>
    <x v="3"/>
    <m/>
    <n v="-24.834831000000001"/>
    <n v="44.578192000000001"/>
    <m/>
    <m/>
  </r>
  <r>
    <s v="605010014SMP"/>
    <x v="1"/>
    <x v="1"/>
    <m/>
    <x v="1"/>
    <x v="1"/>
    <m/>
    <x v="1"/>
    <x v="1"/>
    <m/>
    <x v="81"/>
    <x v="81"/>
    <m/>
    <x v="1301"/>
    <x v="161"/>
    <m/>
    <x v="2028"/>
    <x v="2338"/>
    <m/>
    <x v="3"/>
    <x v="3"/>
    <m/>
    <n v="-24.832601"/>
    <n v="44.866945999999999"/>
    <m/>
    <m/>
  </r>
  <r>
    <s v="605020013SMP"/>
    <x v="1"/>
    <x v="1"/>
    <m/>
    <x v="1"/>
    <x v="1"/>
    <m/>
    <x v="1"/>
    <x v="1"/>
    <m/>
    <x v="84"/>
    <x v="42"/>
    <m/>
    <x v="1301"/>
    <x v="161"/>
    <m/>
    <x v="509"/>
    <x v="2339"/>
    <m/>
    <x v="3"/>
    <x v="3"/>
    <m/>
    <n v="-24.814333000000001"/>
    <n v="44.649670999999998"/>
    <m/>
    <m/>
  </r>
  <r>
    <s v="605020026SMP"/>
    <x v="1"/>
    <x v="1"/>
    <m/>
    <x v="1"/>
    <x v="1"/>
    <m/>
    <x v="1"/>
    <x v="1"/>
    <m/>
    <x v="84"/>
    <x v="42"/>
    <m/>
    <x v="1301"/>
    <x v="161"/>
    <m/>
    <x v="2029"/>
    <x v="2340"/>
    <m/>
    <x v="3"/>
    <x v="3"/>
    <m/>
    <n v="-24.812854999999999"/>
    <n v="44.581122000000001"/>
    <m/>
    <m/>
  </r>
  <r>
    <s v="605020014SMP"/>
    <x v="1"/>
    <x v="1"/>
    <m/>
    <x v="1"/>
    <x v="1"/>
    <m/>
    <x v="1"/>
    <x v="1"/>
    <m/>
    <x v="84"/>
    <x v="42"/>
    <m/>
    <x v="1301"/>
    <x v="161"/>
    <m/>
    <x v="508"/>
    <x v="2341"/>
    <m/>
    <x v="3"/>
    <x v="3"/>
    <m/>
    <n v="-24.811805"/>
    <n v="44.510381000000002"/>
    <m/>
    <m/>
  </r>
  <r>
    <s v="605130008SMP"/>
    <x v="1"/>
    <x v="1"/>
    <m/>
    <x v="1"/>
    <x v="1"/>
    <m/>
    <x v="1"/>
    <x v="1"/>
    <m/>
    <x v="12"/>
    <x v="12"/>
    <m/>
    <x v="1301"/>
    <x v="161"/>
    <m/>
    <x v="97"/>
    <x v="2342"/>
    <m/>
    <x v="3"/>
    <x v="3"/>
    <m/>
    <n v="-24.804136"/>
    <n v="43.979667999999997"/>
    <m/>
    <m/>
  </r>
  <r>
    <s v="605130016SMP"/>
    <x v="1"/>
    <x v="1"/>
    <m/>
    <x v="1"/>
    <x v="1"/>
    <m/>
    <x v="1"/>
    <x v="1"/>
    <m/>
    <x v="12"/>
    <x v="12"/>
    <m/>
    <x v="1301"/>
    <x v="161"/>
    <m/>
    <x v="2030"/>
    <x v="2343"/>
    <m/>
    <x v="3"/>
    <x v="3"/>
    <m/>
    <n v="-24.786985999999999"/>
    <n v="43.960455000000003"/>
    <m/>
    <m/>
  </r>
  <r>
    <s v="605020022SMP"/>
    <x v="1"/>
    <x v="1"/>
    <m/>
    <x v="1"/>
    <x v="1"/>
    <m/>
    <x v="1"/>
    <x v="1"/>
    <m/>
    <x v="84"/>
    <x v="42"/>
    <m/>
    <x v="1301"/>
    <x v="161"/>
    <m/>
    <x v="2031"/>
    <x v="2344"/>
    <m/>
    <x v="3"/>
    <x v="3"/>
    <m/>
    <n v="-24.781645999999999"/>
    <n v="44.508560000000003"/>
    <m/>
    <m/>
  </r>
  <r>
    <s v="605010006SMP"/>
    <x v="1"/>
    <x v="1"/>
    <m/>
    <x v="1"/>
    <x v="1"/>
    <m/>
    <x v="1"/>
    <x v="1"/>
    <m/>
    <x v="81"/>
    <x v="81"/>
    <m/>
    <x v="1301"/>
    <x v="161"/>
    <m/>
    <x v="2032"/>
    <x v="2345"/>
    <m/>
    <x v="3"/>
    <x v="3"/>
    <m/>
    <n v="-24.780792999999999"/>
    <n v="44.916846999999997"/>
    <m/>
    <m/>
  </r>
  <r>
    <s v="605130023SMP"/>
    <x v="1"/>
    <x v="1"/>
    <m/>
    <x v="1"/>
    <x v="1"/>
    <m/>
    <x v="1"/>
    <x v="1"/>
    <m/>
    <x v="12"/>
    <x v="12"/>
    <m/>
    <x v="1301"/>
    <x v="161"/>
    <m/>
    <x v="96"/>
    <x v="2346"/>
    <m/>
    <x v="3"/>
    <x v="3"/>
    <m/>
    <n v="-24.759974"/>
    <n v="43.961387000000002"/>
    <m/>
    <m/>
  </r>
  <r>
    <s v="605160004SMP"/>
    <x v="1"/>
    <x v="1"/>
    <m/>
    <x v="1"/>
    <x v="1"/>
    <m/>
    <x v="1"/>
    <x v="1"/>
    <m/>
    <x v="102"/>
    <x v="102"/>
    <m/>
    <x v="1301"/>
    <x v="161"/>
    <m/>
    <x v="2033"/>
    <x v="2347"/>
    <m/>
    <x v="3"/>
    <x v="3"/>
    <m/>
    <n v="-24.742032999999999"/>
    <n v="44.701695000000001"/>
    <m/>
    <m/>
  </r>
  <r>
    <s v="605160012SMP"/>
    <x v="1"/>
    <x v="1"/>
    <m/>
    <x v="1"/>
    <x v="1"/>
    <m/>
    <x v="1"/>
    <x v="1"/>
    <m/>
    <x v="102"/>
    <x v="102"/>
    <m/>
    <x v="1301"/>
    <x v="161"/>
    <m/>
    <x v="677"/>
    <x v="2348"/>
    <m/>
    <x v="3"/>
    <x v="3"/>
    <m/>
    <n v="-24.739187000000001"/>
    <n v="44.731589"/>
    <m/>
    <m/>
  </r>
  <r>
    <s v="605020016SMP"/>
    <x v="1"/>
    <x v="1"/>
    <m/>
    <x v="1"/>
    <x v="1"/>
    <m/>
    <x v="1"/>
    <x v="1"/>
    <m/>
    <x v="84"/>
    <x v="42"/>
    <m/>
    <x v="1301"/>
    <x v="161"/>
    <m/>
    <x v="2034"/>
    <x v="2349"/>
    <m/>
    <x v="3"/>
    <x v="3"/>
    <m/>
    <n v="-24.717592"/>
    <n v="44.788910999999999"/>
    <m/>
    <m/>
  </r>
  <r>
    <s v="605020005SMP"/>
    <x v="1"/>
    <x v="1"/>
    <m/>
    <x v="1"/>
    <x v="1"/>
    <m/>
    <x v="1"/>
    <x v="1"/>
    <m/>
    <x v="84"/>
    <x v="42"/>
    <m/>
    <x v="1301"/>
    <x v="161"/>
    <m/>
    <x v="516"/>
    <x v="2350"/>
    <m/>
    <x v="3"/>
    <x v="3"/>
    <m/>
    <n v="-24.70298"/>
    <n v="44.744135"/>
    <m/>
    <m/>
  </r>
  <r>
    <s v="605020003SMP"/>
    <x v="1"/>
    <x v="1"/>
    <m/>
    <x v="1"/>
    <x v="1"/>
    <m/>
    <x v="1"/>
    <x v="1"/>
    <m/>
    <x v="84"/>
    <x v="42"/>
    <m/>
    <x v="1301"/>
    <x v="161"/>
    <m/>
    <x v="264"/>
    <x v="2351"/>
    <m/>
    <x v="3"/>
    <x v="3"/>
    <m/>
    <n v="-24.702328999999999"/>
    <n v="44.853783999999997"/>
    <m/>
    <m/>
  </r>
  <r>
    <s v="605020010SMP"/>
    <x v="1"/>
    <x v="1"/>
    <m/>
    <x v="1"/>
    <x v="1"/>
    <m/>
    <x v="1"/>
    <x v="1"/>
    <m/>
    <x v="84"/>
    <x v="42"/>
    <m/>
    <x v="1301"/>
    <x v="161"/>
    <m/>
    <x v="499"/>
    <x v="2352"/>
    <m/>
    <x v="3"/>
    <x v="3"/>
    <m/>
    <n v="-24.696522999999999"/>
    <n v="44.748213999999997"/>
    <m/>
    <m/>
  </r>
  <r>
    <s v="605020011SMP"/>
    <x v="1"/>
    <x v="1"/>
    <m/>
    <x v="1"/>
    <x v="1"/>
    <m/>
    <x v="1"/>
    <x v="1"/>
    <m/>
    <x v="84"/>
    <x v="42"/>
    <m/>
    <x v="1301"/>
    <x v="161"/>
    <m/>
    <x v="260"/>
    <x v="2353"/>
    <m/>
    <x v="3"/>
    <x v="3"/>
    <m/>
    <n v="-24.693622999999999"/>
    <n v="44.744807000000002"/>
    <m/>
    <m/>
  </r>
  <r>
    <s v="605020012SMP"/>
    <x v="1"/>
    <x v="1"/>
    <m/>
    <x v="1"/>
    <x v="1"/>
    <m/>
    <x v="1"/>
    <x v="1"/>
    <m/>
    <x v="84"/>
    <x v="42"/>
    <m/>
    <x v="1301"/>
    <x v="161"/>
    <m/>
    <x v="1293"/>
    <x v="2354"/>
    <m/>
    <x v="3"/>
    <x v="3"/>
    <m/>
    <n v="-24.689671000000001"/>
    <n v="44.739655999999997"/>
    <m/>
    <m/>
  </r>
  <r>
    <s v="605130018SMP"/>
    <x v="1"/>
    <x v="1"/>
    <m/>
    <x v="1"/>
    <x v="1"/>
    <m/>
    <x v="1"/>
    <x v="1"/>
    <m/>
    <x v="12"/>
    <x v="12"/>
    <m/>
    <x v="1301"/>
    <x v="161"/>
    <m/>
    <x v="2035"/>
    <x v="2355"/>
    <m/>
    <x v="3"/>
    <x v="3"/>
    <m/>
    <n v="-24.689620000000001"/>
    <n v="43.944367"/>
    <m/>
    <m/>
  </r>
  <r>
    <s v="605020006SMP"/>
    <x v="1"/>
    <x v="1"/>
    <m/>
    <x v="1"/>
    <x v="1"/>
    <m/>
    <x v="1"/>
    <x v="1"/>
    <m/>
    <x v="84"/>
    <x v="42"/>
    <m/>
    <x v="1301"/>
    <x v="161"/>
    <m/>
    <x v="502"/>
    <x v="2356"/>
    <m/>
    <x v="3"/>
    <x v="3"/>
    <m/>
    <n v="-24.687951999999999"/>
    <n v="44.788500999999997"/>
    <m/>
    <m/>
  </r>
  <r>
    <s v="605130020SMP"/>
    <x v="1"/>
    <x v="1"/>
    <m/>
    <x v="1"/>
    <x v="1"/>
    <m/>
    <x v="1"/>
    <x v="1"/>
    <m/>
    <x v="12"/>
    <x v="12"/>
    <m/>
    <x v="1301"/>
    <x v="161"/>
    <m/>
    <x v="2036"/>
    <x v="2357"/>
    <m/>
    <x v="3"/>
    <x v="3"/>
    <m/>
    <n v="-24.68375"/>
    <n v="43.945590000000003"/>
    <m/>
    <m/>
  </r>
  <r>
    <s v="605160007SMP"/>
    <x v="1"/>
    <x v="1"/>
    <m/>
    <x v="1"/>
    <x v="1"/>
    <m/>
    <x v="1"/>
    <x v="1"/>
    <m/>
    <x v="102"/>
    <x v="102"/>
    <m/>
    <x v="1301"/>
    <x v="161"/>
    <m/>
    <x v="678"/>
    <x v="2358"/>
    <m/>
    <x v="3"/>
    <x v="3"/>
    <m/>
    <n v="-24.682372999999998"/>
    <n v="44.726049000000003"/>
    <m/>
    <m/>
  </r>
  <r>
    <s v="605160008SMP"/>
    <x v="1"/>
    <x v="1"/>
    <m/>
    <x v="1"/>
    <x v="1"/>
    <m/>
    <x v="1"/>
    <x v="1"/>
    <m/>
    <x v="102"/>
    <x v="102"/>
    <m/>
    <x v="1301"/>
    <x v="161"/>
    <m/>
    <x v="667"/>
    <x v="2359"/>
    <m/>
    <x v="3"/>
    <x v="3"/>
    <m/>
    <n v="-24.659776000000001"/>
    <n v="44.769227000000001"/>
    <m/>
    <m/>
  </r>
  <r>
    <s v="605160001SMP"/>
    <x v="1"/>
    <x v="1"/>
    <m/>
    <x v="1"/>
    <x v="1"/>
    <m/>
    <x v="1"/>
    <x v="1"/>
    <m/>
    <x v="102"/>
    <x v="102"/>
    <m/>
    <x v="1301"/>
    <x v="161"/>
    <m/>
    <x v="2037"/>
    <x v="2360"/>
    <m/>
    <x v="3"/>
    <x v="3"/>
    <m/>
    <n v="-24.652276000000001"/>
    <n v="44.826661000000001"/>
    <m/>
    <m/>
  </r>
  <r>
    <s v="605020023SMP"/>
    <x v="1"/>
    <x v="1"/>
    <m/>
    <x v="1"/>
    <x v="1"/>
    <m/>
    <x v="1"/>
    <x v="1"/>
    <m/>
    <x v="84"/>
    <x v="42"/>
    <m/>
    <x v="1301"/>
    <x v="161"/>
    <m/>
    <x v="2038"/>
    <x v="2361"/>
    <m/>
    <x v="3"/>
    <x v="3"/>
    <m/>
    <n v="-24.645454000000001"/>
    <n v="44.866656999999996"/>
    <m/>
    <m/>
  </r>
  <r>
    <s v="605160002SMP"/>
    <x v="1"/>
    <x v="1"/>
    <m/>
    <x v="1"/>
    <x v="1"/>
    <m/>
    <x v="1"/>
    <x v="1"/>
    <m/>
    <x v="102"/>
    <x v="102"/>
    <m/>
    <x v="1301"/>
    <x v="161"/>
    <m/>
    <x v="2039"/>
    <x v="2362"/>
    <m/>
    <x v="3"/>
    <x v="3"/>
    <m/>
    <n v="-24.622772999999999"/>
    <n v="44.686169999999997"/>
    <m/>
    <m/>
  </r>
  <r>
    <s v="605160006SMP"/>
    <x v="1"/>
    <x v="1"/>
    <m/>
    <x v="1"/>
    <x v="1"/>
    <m/>
    <x v="1"/>
    <x v="1"/>
    <m/>
    <x v="102"/>
    <x v="102"/>
    <m/>
    <x v="1301"/>
    <x v="161"/>
    <m/>
    <x v="673"/>
    <x v="2363"/>
    <m/>
    <x v="3"/>
    <x v="3"/>
    <m/>
    <n v="-24.616952000000001"/>
    <n v="44.746653999999999"/>
    <m/>
    <m/>
  </r>
  <r>
    <s v="605160014SMP"/>
    <x v="1"/>
    <x v="1"/>
    <m/>
    <x v="1"/>
    <x v="1"/>
    <m/>
    <x v="1"/>
    <x v="1"/>
    <m/>
    <x v="102"/>
    <x v="102"/>
    <m/>
    <x v="1301"/>
    <x v="161"/>
    <m/>
    <x v="2040"/>
    <x v="2364"/>
    <m/>
    <x v="3"/>
    <x v="3"/>
    <m/>
    <n v="-24.606971000000001"/>
    <n v="44.770553999999997"/>
    <m/>
    <m/>
  </r>
  <r>
    <s v="605010002SMP"/>
    <x v="1"/>
    <x v="1"/>
    <m/>
    <x v="1"/>
    <x v="1"/>
    <m/>
    <x v="1"/>
    <x v="1"/>
    <m/>
    <x v="81"/>
    <x v="81"/>
    <m/>
    <x v="1301"/>
    <x v="161"/>
    <m/>
    <x v="284"/>
    <x v="2365"/>
    <m/>
    <x v="3"/>
    <x v="3"/>
    <m/>
    <n v="-24.601599"/>
    <n v="45.046126000000001"/>
    <m/>
    <m/>
  </r>
  <r>
    <s v="605010003SMP"/>
    <x v="1"/>
    <x v="1"/>
    <m/>
    <x v="1"/>
    <x v="1"/>
    <m/>
    <x v="1"/>
    <x v="1"/>
    <m/>
    <x v="81"/>
    <x v="81"/>
    <m/>
    <x v="1301"/>
    <x v="161"/>
    <m/>
    <x v="423"/>
    <x v="2366"/>
    <m/>
    <x v="3"/>
    <x v="3"/>
    <m/>
    <n v="-24.601599"/>
    <n v="45.046126000000001"/>
    <m/>
    <m/>
  </r>
  <r>
    <s v="605130006SMP"/>
    <x v="1"/>
    <x v="1"/>
    <m/>
    <x v="1"/>
    <x v="1"/>
    <m/>
    <x v="1"/>
    <x v="1"/>
    <m/>
    <x v="12"/>
    <x v="12"/>
    <m/>
    <x v="1301"/>
    <x v="161"/>
    <m/>
    <x v="2041"/>
    <x v="2367"/>
    <m/>
    <x v="3"/>
    <x v="3"/>
    <m/>
    <n v="-24.600183999999999"/>
    <n v="43.927160000000001"/>
    <m/>
    <m/>
  </r>
  <r>
    <s v="605140006SMP"/>
    <x v="1"/>
    <x v="1"/>
    <m/>
    <x v="1"/>
    <x v="1"/>
    <m/>
    <x v="1"/>
    <x v="1"/>
    <m/>
    <x v="182"/>
    <x v="182"/>
    <m/>
    <x v="1301"/>
    <x v="161"/>
    <m/>
    <x v="1164"/>
    <x v="2368"/>
    <m/>
    <x v="3"/>
    <x v="3"/>
    <m/>
    <n v="-24.591989999999999"/>
    <n v="44.883181999999998"/>
    <m/>
    <m/>
  </r>
  <r>
    <s v="605160003SMP"/>
    <x v="1"/>
    <x v="1"/>
    <m/>
    <x v="1"/>
    <x v="1"/>
    <m/>
    <x v="1"/>
    <x v="1"/>
    <m/>
    <x v="102"/>
    <x v="102"/>
    <m/>
    <x v="1301"/>
    <x v="161"/>
    <m/>
    <x v="848"/>
    <x v="2369"/>
    <m/>
    <x v="3"/>
    <x v="3"/>
    <m/>
    <n v="-24.590413000000002"/>
    <n v="44.80912"/>
    <m/>
    <m/>
  </r>
  <r>
    <s v="605130010SMP"/>
    <x v="1"/>
    <x v="1"/>
    <m/>
    <x v="1"/>
    <x v="1"/>
    <m/>
    <x v="1"/>
    <x v="1"/>
    <m/>
    <x v="44"/>
    <x v="44"/>
    <m/>
    <x v="1301"/>
    <x v="161"/>
    <m/>
    <x v="95"/>
    <x v="2370"/>
    <m/>
    <x v="3"/>
    <x v="3"/>
    <m/>
    <n v="-24.586542999999999"/>
    <n v="44.333460000000002"/>
    <m/>
    <m/>
  </r>
  <r>
    <s v="605050011SMP"/>
    <x v="1"/>
    <x v="1"/>
    <m/>
    <x v="1"/>
    <x v="1"/>
    <m/>
    <x v="1"/>
    <x v="1"/>
    <m/>
    <x v="105"/>
    <x v="105"/>
    <m/>
    <x v="1301"/>
    <x v="161"/>
    <m/>
    <x v="701"/>
    <x v="2371"/>
    <m/>
    <x v="3"/>
    <x v="3"/>
    <m/>
    <n v="-24.585683"/>
    <n v="44.623654000000002"/>
    <m/>
    <m/>
  </r>
  <r>
    <s v="605050006SMP"/>
    <x v="1"/>
    <x v="1"/>
    <m/>
    <x v="1"/>
    <x v="1"/>
    <m/>
    <x v="1"/>
    <x v="1"/>
    <m/>
    <x v="105"/>
    <x v="105"/>
    <m/>
    <x v="1301"/>
    <x v="161"/>
    <m/>
    <x v="113"/>
    <x v="2372"/>
    <m/>
    <x v="3"/>
    <x v="3"/>
    <m/>
    <n v="-24.585609999999999"/>
    <n v="44.665824999999998"/>
    <m/>
    <m/>
  </r>
  <r>
    <s v="605140002SMP"/>
    <x v="1"/>
    <x v="1"/>
    <m/>
    <x v="1"/>
    <x v="1"/>
    <m/>
    <x v="1"/>
    <x v="1"/>
    <m/>
    <x v="182"/>
    <x v="182"/>
    <m/>
    <x v="1301"/>
    <x v="161"/>
    <m/>
    <x v="2042"/>
    <x v="2373"/>
    <m/>
    <x v="3"/>
    <x v="3"/>
    <m/>
    <n v="-24.585487000000001"/>
    <n v="44.839838"/>
    <m/>
    <m/>
  </r>
  <r>
    <s v="605140007SMP"/>
    <x v="1"/>
    <x v="1"/>
    <m/>
    <x v="1"/>
    <x v="1"/>
    <m/>
    <x v="1"/>
    <x v="1"/>
    <m/>
    <x v="182"/>
    <x v="182"/>
    <m/>
    <x v="1301"/>
    <x v="161"/>
    <m/>
    <x v="1174"/>
    <x v="2374"/>
    <m/>
    <x v="3"/>
    <x v="3"/>
    <m/>
    <n v="-24.584807000000001"/>
    <n v="44.867083999999998"/>
    <m/>
    <m/>
  </r>
  <r>
    <s v="605140004SMP"/>
    <x v="1"/>
    <x v="1"/>
    <m/>
    <x v="1"/>
    <x v="1"/>
    <m/>
    <x v="1"/>
    <x v="1"/>
    <m/>
    <x v="182"/>
    <x v="182"/>
    <m/>
    <x v="1301"/>
    <x v="161"/>
    <m/>
    <x v="2043"/>
    <x v="2375"/>
    <m/>
    <x v="3"/>
    <x v="3"/>
    <m/>
    <n v="-24.577584000000002"/>
    <n v="44.888052000000002"/>
    <m/>
    <m/>
  </r>
  <r>
    <s v="605050003SMP"/>
    <x v="1"/>
    <x v="1"/>
    <m/>
    <x v="1"/>
    <x v="1"/>
    <m/>
    <x v="1"/>
    <x v="1"/>
    <m/>
    <x v="105"/>
    <x v="105"/>
    <m/>
    <x v="1301"/>
    <x v="161"/>
    <m/>
    <x v="713"/>
    <x v="2376"/>
    <m/>
    <x v="3"/>
    <x v="3"/>
    <m/>
    <n v="-24.573031"/>
    <n v="44.783234999999998"/>
    <m/>
    <m/>
  </r>
  <r>
    <s v="605010004SMP"/>
    <x v="1"/>
    <x v="1"/>
    <m/>
    <x v="1"/>
    <x v="1"/>
    <m/>
    <x v="1"/>
    <x v="1"/>
    <m/>
    <x v="81"/>
    <x v="81"/>
    <m/>
    <x v="1301"/>
    <x v="161"/>
    <m/>
    <x v="2044"/>
    <x v="2377"/>
    <m/>
    <x v="3"/>
    <x v="3"/>
    <m/>
    <n v="-24.568504000000001"/>
    <n v="44.980111000000001"/>
    <m/>
    <m/>
  </r>
  <r>
    <s v="605010005SMP"/>
    <x v="1"/>
    <x v="1"/>
    <m/>
    <x v="1"/>
    <x v="1"/>
    <m/>
    <x v="1"/>
    <x v="1"/>
    <m/>
    <x v="81"/>
    <x v="81"/>
    <m/>
    <x v="1301"/>
    <x v="161"/>
    <m/>
    <x v="2045"/>
    <x v="2378"/>
    <m/>
    <x v="3"/>
    <x v="3"/>
    <m/>
    <n v="-24.568504000000001"/>
    <n v="44.980111000000001"/>
    <m/>
    <m/>
  </r>
  <r>
    <s v="605050008SMP"/>
    <x v="1"/>
    <x v="1"/>
    <m/>
    <x v="1"/>
    <x v="1"/>
    <m/>
    <x v="1"/>
    <x v="1"/>
    <m/>
    <x v="105"/>
    <x v="105"/>
    <m/>
    <x v="1301"/>
    <x v="161"/>
    <m/>
    <x v="825"/>
    <x v="2379"/>
    <m/>
    <x v="3"/>
    <x v="3"/>
    <m/>
    <n v="-24.562068"/>
    <n v="44.621561"/>
    <m/>
    <m/>
  </r>
  <r>
    <s v="605010008SMP"/>
    <x v="1"/>
    <x v="1"/>
    <m/>
    <x v="1"/>
    <x v="1"/>
    <m/>
    <x v="1"/>
    <x v="1"/>
    <m/>
    <x v="81"/>
    <x v="81"/>
    <m/>
    <x v="1301"/>
    <x v="161"/>
    <m/>
    <x v="2046"/>
    <x v="2380"/>
    <m/>
    <x v="3"/>
    <x v="3"/>
    <m/>
    <n v="-24.553560999999998"/>
    <n v="44.952722999999999"/>
    <m/>
    <m/>
  </r>
  <r>
    <s v="605100009SMP"/>
    <x v="1"/>
    <x v="1"/>
    <m/>
    <x v="1"/>
    <x v="1"/>
    <m/>
    <x v="1"/>
    <x v="1"/>
    <m/>
    <x v="44"/>
    <x v="44"/>
    <m/>
    <x v="1301"/>
    <x v="161"/>
    <m/>
    <x v="2047"/>
    <x v="2381"/>
    <m/>
    <x v="3"/>
    <x v="3"/>
    <m/>
    <n v="-24.545038000000002"/>
    <n v="44.406300999999999"/>
    <m/>
    <m/>
  </r>
  <r>
    <s v="605140001SMP"/>
    <x v="1"/>
    <x v="1"/>
    <m/>
    <x v="1"/>
    <x v="1"/>
    <m/>
    <x v="1"/>
    <x v="1"/>
    <m/>
    <x v="182"/>
    <x v="182"/>
    <m/>
    <x v="1301"/>
    <x v="161"/>
    <m/>
    <x v="1172"/>
    <x v="2382"/>
    <m/>
    <x v="3"/>
    <x v="3"/>
    <m/>
    <n v="-24.543292000000001"/>
    <n v="44.838985000000001"/>
    <m/>
    <m/>
  </r>
  <r>
    <s v="605130028SMP"/>
    <x v="1"/>
    <x v="1"/>
    <m/>
    <x v="1"/>
    <x v="1"/>
    <m/>
    <x v="1"/>
    <x v="1"/>
    <m/>
    <x v="12"/>
    <x v="12"/>
    <m/>
    <x v="1301"/>
    <x v="161"/>
    <m/>
    <x v="1138"/>
    <x v="2383"/>
    <m/>
    <x v="3"/>
    <x v="3"/>
    <m/>
    <n v="-24.542670999999999"/>
    <n v="43.898023000000002"/>
    <m/>
    <m/>
  </r>
  <r>
    <s v="605040003SMP"/>
    <x v="1"/>
    <x v="1"/>
    <m/>
    <x v="1"/>
    <x v="1"/>
    <m/>
    <x v="1"/>
    <x v="1"/>
    <m/>
    <x v="104"/>
    <x v="104"/>
    <m/>
    <x v="1301"/>
    <x v="161"/>
    <m/>
    <x v="2048"/>
    <x v="2384"/>
    <m/>
    <x v="3"/>
    <x v="3"/>
    <m/>
    <n v="-24.539287999999999"/>
    <n v="44.971196999999997"/>
    <m/>
    <m/>
  </r>
  <r>
    <s v="605050005SMP"/>
    <x v="1"/>
    <x v="1"/>
    <m/>
    <x v="1"/>
    <x v="1"/>
    <m/>
    <x v="1"/>
    <x v="1"/>
    <m/>
    <x v="105"/>
    <x v="105"/>
    <m/>
    <x v="1301"/>
    <x v="161"/>
    <m/>
    <x v="2049"/>
    <x v="2385"/>
    <m/>
    <x v="3"/>
    <x v="3"/>
    <m/>
    <n v="-24.535511"/>
    <n v="44.673698000000002"/>
    <m/>
    <m/>
  </r>
  <r>
    <s v="605100022SMP"/>
    <x v="1"/>
    <x v="1"/>
    <m/>
    <x v="1"/>
    <x v="1"/>
    <m/>
    <x v="1"/>
    <x v="1"/>
    <m/>
    <x v="44"/>
    <x v="44"/>
    <m/>
    <x v="1301"/>
    <x v="161"/>
    <m/>
    <x v="295"/>
    <x v="2386"/>
    <m/>
    <x v="3"/>
    <x v="3"/>
    <m/>
    <n v="-24.519442000000002"/>
    <n v="44.620679000000003"/>
    <m/>
    <m/>
  </r>
  <r>
    <s v="605040014SMP"/>
    <x v="1"/>
    <x v="1"/>
    <m/>
    <x v="1"/>
    <x v="1"/>
    <m/>
    <x v="1"/>
    <x v="1"/>
    <m/>
    <x v="104"/>
    <x v="104"/>
    <m/>
    <x v="1301"/>
    <x v="161"/>
    <m/>
    <x v="2050"/>
    <x v="2387"/>
    <m/>
    <x v="3"/>
    <x v="3"/>
    <m/>
    <n v="-24.511019000000001"/>
    <n v="45.004441999999997"/>
    <m/>
    <m/>
  </r>
  <r>
    <s v="605050001SMP"/>
    <x v="1"/>
    <x v="1"/>
    <m/>
    <x v="1"/>
    <x v="1"/>
    <m/>
    <x v="1"/>
    <x v="1"/>
    <m/>
    <x v="105"/>
    <x v="105"/>
    <m/>
    <x v="1301"/>
    <x v="161"/>
    <m/>
    <x v="2051"/>
    <x v="2388"/>
    <m/>
    <x v="3"/>
    <x v="3"/>
    <m/>
    <n v="-24.506740000000001"/>
    <n v="44.684598999999999"/>
    <m/>
    <m/>
  </r>
  <r>
    <s v="605130002SMP"/>
    <x v="1"/>
    <x v="1"/>
    <m/>
    <x v="1"/>
    <x v="1"/>
    <m/>
    <x v="1"/>
    <x v="1"/>
    <m/>
    <x v="12"/>
    <x v="12"/>
    <m/>
    <x v="1301"/>
    <x v="161"/>
    <m/>
    <x v="89"/>
    <x v="2389"/>
    <m/>
    <x v="3"/>
    <x v="3"/>
    <m/>
    <n v="-24.500637000000001"/>
    <n v="43.852525999999997"/>
    <m/>
    <m/>
  </r>
  <r>
    <s v="605010001SMP"/>
    <x v="1"/>
    <x v="1"/>
    <m/>
    <x v="1"/>
    <x v="1"/>
    <m/>
    <x v="1"/>
    <x v="1"/>
    <m/>
    <x v="81"/>
    <x v="81"/>
    <m/>
    <x v="1301"/>
    <x v="161"/>
    <m/>
    <x v="2052"/>
    <x v="2390"/>
    <m/>
    <x v="3"/>
    <x v="3"/>
    <m/>
    <n v="-24.500236000000001"/>
    <n v="45.073084999999999"/>
    <m/>
    <m/>
  </r>
  <r>
    <s v="605140009SMP"/>
    <x v="1"/>
    <x v="1"/>
    <m/>
    <x v="1"/>
    <x v="1"/>
    <m/>
    <x v="1"/>
    <x v="1"/>
    <m/>
    <x v="182"/>
    <x v="182"/>
    <m/>
    <x v="1301"/>
    <x v="161"/>
    <m/>
    <x v="1166"/>
    <x v="2391"/>
    <m/>
    <x v="3"/>
    <x v="3"/>
    <m/>
    <n v="-24.500160000000001"/>
    <n v="44.816890000000001"/>
    <m/>
    <m/>
  </r>
  <r>
    <s v="605100016SMP"/>
    <x v="1"/>
    <x v="1"/>
    <m/>
    <x v="1"/>
    <x v="1"/>
    <m/>
    <x v="1"/>
    <x v="1"/>
    <m/>
    <x v="44"/>
    <x v="44"/>
    <m/>
    <x v="1301"/>
    <x v="161"/>
    <m/>
    <x v="742"/>
    <x v="2392"/>
    <m/>
    <x v="3"/>
    <x v="3"/>
    <m/>
    <n v="-24.498805999999998"/>
    <n v="44.451802000000001"/>
    <m/>
    <m/>
  </r>
  <r>
    <s v="605140008SMP"/>
    <x v="1"/>
    <x v="1"/>
    <m/>
    <x v="1"/>
    <x v="1"/>
    <m/>
    <x v="1"/>
    <x v="1"/>
    <m/>
    <x v="182"/>
    <x v="182"/>
    <m/>
    <x v="1301"/>
    <x v="161"/>
    <m/>
    <x v="1169"/>
    <x v="2393"/>
    <m/>
    <x v="3"/>
    <x v="3"/>
    <m/>
    <n v="-24.494859999999999"/>
    <n v="44.922364999999999"/>
    <m/>
    <m/>
  </r>
  <r>
    <s v="605140005SMP"/>
    <x v="1"/>
    <x v="1"/>
    <m/>
    <x v="1"/>
    <x v="1"/>
    <m/>
    <x v="1"/>
    <x v="1"/>
    <m/>
    <x v="182"/>
    <x v="182"/>
    <m/>
    <x v="1301"/>
    <x v="161"/>
    <m/>
    <x v="2053"/>
    <x v="2394"/>
    <m/>
    <x v="3"/>
    <x v="3"/>
    <m/>
    <n v="-24.485755999999999"/>
    <n v="44.844479999999997"/>
    <m/>
    <m/>
  </r>
  <r>
    <s v="605040006SMP"/>
    <x v="1"/>
    <x v="1"/>
    <m/>
    <x v="1"/>
    <x v="1"/>
    <m/>
    <x v="1"/>
    <x v="1"/>
    <m/>
    <x v="104"/>
    <x v="104"/>
    <m/>
    <x v="1301"/>
    <x v="161"/>
    <m/>
    <x v="694"/>
    <x v="2395"/>
    <m/>
    <x v="3"/>
    <x v="3"/>
    <m/>
    <n v="-24.482206000000001"/>
    <n v="45.004254000000003"/>
    <m/>
    <m/>
  </r>
  <r>
    <s v="605050002SMP"/>
    <x v="1"/>
    <x v="1"/>
    <m/>
    <x v="1"/>
    <x v="1"/>
    <m/>
    <x v="1"/>
    <x v="1"/>
    <m/>
    <x v="105"/>
    <x v="105"/>
    <m/>
    <x v="1301"/>
    <x v="161"/>
    <m/>
    <x v="2054"/>
    <x v="2396"/>
    <m/>
    <x v="3"/>
    <x v="3"/>
    <m/>
    <n v="-24.482111"/>
    <n v="44.776922999999996"/>
    <m/>
    <m/>
  </r>
  <r>
    <s v="605130015SMP"/>
    <x v="1"/>
    <x v="1"/>
    <m/>
    <x v="1"/>
    <x v="1"/>
    <m/>
    <x v="1"/>
    <x v="1"/>
    <m/>
    <x v="12"/>
    <x v="12"/>
    <m/>
    <x v="1301"/>
    <x v="161"/>
    <m/>
    <x v="2055"/>
    <x v="2397"/>
    <m/>
    <x v="3"/>
    <x v="3"/>
    <m/>
    <n v="-24.473082000000002"/>
    <n v="43.839480999999999"/>
    <m/>
    <m/>
  </r>
  <r>
    <s v="605040008SMP"/>
    <x v="1"/>
    <x v="1"/>
    <m/>
    <x v="1"/>
    <x v="1"/>
    <m/>
    <x v="1"/>
    <x v="1"/>
    <m/>
    <x v="104"/>
    <x v="104"/>
    <m/>
    <x v="1301"/>
    <x v="161"/>
    <m/>
    <x v="687"/>
    <x v="2398"/>
    <m/>
    <x v="3"/>
    <x v="3"/>
    <m/>
    <n v="-24.468436000000001"/>
    <n v="44.973911000000001"/>
    <m/>
    <m/>
  </r>
  <r>
    <s v="605120004SMP"/>
    <x v="1"/>
    <x v="1"/>
    <m/>
    <x v="1"/>
    <x v="1"/>
    <m/>
    <x v="1"/>
    <x v="1"/>
    <m/>
    <x v="149"/>
    <x v="149"/>
    <m/>
    <x v="1301"/>
    <x v="161"/>
    <m/>
    <x v="2056"/>
    <x v="2399"/>
    <m/>
    <x v="3"/>
    <x v="3"/>
    <m/>
    <n v="-24.463684000000001"/>
    <n v="44.694440999999998"/>
    <m/>
    <m/>
  </r>
  <r>
    <s v="605100036SMP"/>
    <x v="1"/>
    <x v="1"/>
    <m/>
    <x v="1"/>
    <x v="1"/>
    <m/>
    <x v="1"/>
    <x v="1"/>
    <m/>
    <x v="44"/>
    <x v="44"/>
    <m/>
    <x v="1301"/>
    <x v="161"/>
    <m/>
    <x v="292"/>
    <x v="2400"/>
    <m/>
    <x v="3"/>
    <x v="3"/>
    <m/>
    <n v="-24.461424999999998"/>
    <n v="44.59196"/>
    <m/>
    <m/>
  </r>
  <r>
    <s v="605050013SMP"/>
    <x v="1"/>
    <x v="1"/>
    <m/>
    <x v="1"/>
    <x v="1"/>
    <m/>
    <x v="1"/>
    <x v="1"/>
    <m/>
    <x v="105"/>
    <x v="105"/>
    <m/>
    <x v="1301"/>
    <x v="161"/>
    <m/>
    <x v="2057"/>
    <x v="2401"/>
    <m/>
    <x v="3"/>
    <x v="3"/>
    <m/>
    <n v="-24.451954000000001"/>
    <n v="44.828828999999999"/>
    <m/>
    <m/>
  </r>
  <r>
    <s v="605130005SMP"/>
    <x v="1"/>
    <x v="1"/>
    <m/>
    <x v="1"/>
    <x v="1"/>
    <m/>
    <x v="1"/>
    <x v="1"/>
    <m/>
    <x v="12"/>
    <x v="12"/>
    <m/>
    <x v="1301"/>
    <x v="161"/>
    <m/>
    <x v="2058"/>
    <x v="2402"/>
    <m/>
    <x v="3"/>
    <x v="3"/>
    <m/>
    <n v="-24.450613000000001"/>
    <n v="43.797179"/>
    <m/>
    <m/>
  </r>
  <r>
    <s v="605070016SMP"/>
    <x v="1"/>
    <x v="1"/>
    <m/>
    <x v="1"/>
    <x v="1"/>
    <m/>
    <x v="1"/>
    <x v="1"/>
    <m/>
    <x v="260"/>
    <x v="258"/>
    <m/>
    <x v="1301"/>
    <x v="161"/>
    <m/>
    <x v="2059"/>
    <x v="2403"/>
    <m/>
    <x v="3"/>
    <x v="3"/>
    <m/>
    <n v="-24.443846000000001"/>
    <n v="44.904035999999998"/>
    <m/>
    <m/>
  </r>
  <r>
    <s v="605070007SMP"/>
    <x v="1"/>
    <x v="1"/>
    <m/>
    <x v="1"/>
    <x v="1"/>
    <m/>
    <x v="1"/>
    <x v="1"/>
    <m/>
    <x v="260"/>
    <x v="258"/>
    <m/>
    <x v="1301"/>
    <x v="161"/>
    <m/>
    <x v="2060"/>
    <x v="2404"/>
    <m/>
    <x v="3"/>
    <x v="3"/>
    <m/>
    <n v="-24.434443000000002"/>
    <n v="44.911408999999999"/>
    <m/>
    <m/>
  </r>
  <r>
    <s v="605100041SMP"/>
    <x v="1"/>
    <x v="1"/>
    <m/>
    <x v="1"/>
    <x v="1"/>
    <m/>
    <x v="1"/>
    <x v="1"/>
    <m/>
    <x v="44"/>
    <x v="44"/>
    <m/>
    <x v="1301"/>
    <x v="161"/>
    <m/>
    <x v="213"/>
    <x v="2405"/>
    <m/>
    <x v="3"/>
    <x v="3"/>
    <m/>
    <n v="-24.429296999999998"/>
    <n v="44.447327000000001"/>
    <m/>
    <m/>
  </r>
  <r>
    <s v="605100013SMP"/>
    <x v="1"/>
    <x v="1"/>
    <m/>
    <x v="1"/>
    <x v="1"/>
    <m/>
    <x v="1"/>
    <x v="1"/>
    <m/>
    <x v="44"/>
    <x v="44"/>
    <m/>
    <x v="1301"/>
    <x v="161"/>
    <m/>
    <x v="2061"/>
    <x v="2406"/>
    <m/>
    <x v="3"/>
    <x v="3"/>
    <m/>
    <n v="-24.422895"/>
    <n v="44.508249999999997"/>
    <m/>
    <m/>
  </r>
  <r>
    <s v="605070001SMP"/>
    <x v="1"/>
    <x v="1"/>
    <m/>
    <x v="1"/>
    <x v="1"/>
    <m/>
    <x v="1"/>
    <x v="1"/>
    <m/>
    <x v="260"/>
    <x v="258"/>
    <m/>
    <x v="1301"/>
    <x v="161"/>
    <m/>
    <x v="2062"/>
    <x v="2407"/>
    <m/>
    <x v="3"/>
    <x v="3"/>
    <m/>
    <n v="-24.420210999999998"/>
    <n v="44.887822"/>
    <m/>
    <m/>
  </r>
  <r>
    <s v="605040002SMP"/>
    <x v="1"/>
    <x v="1"/>
    <m/>
    <x v="1"/>
    <x v="1"/>
    <m/>
    <x v="1"/>
    <x v="1"/>
    <m/>
    <x v="104"/>
    <x v="104"/>
    <m/>
    <x v="1301"/>
    <x v="161"/>
    <m/>
    <x v="2063"/>
    <x v="2408"/>
    <m/>
    <x v="3"/>
    <x v="3"/>
    <m/>
    <n v="-24.418813"/>
    <n v="44.979525000000002"/>
    <m/>
    <m/>
  </r>
  <r>
    <s v="605130024SMP"/>
    <x v="1"/>
    <x v="1"/>
    <m/>
    <x v="1"/>
    <x v="1"/>
    <m/>
    <x v="1"/>
    <x v="1"/>
    <m/>
    <x v="12"/>
    <x v="12"/>
    <m/>
    <x v="1301"/>
    <x v="161"/>
    <m/>
    <x v="91"/>
    <x v="2409"/>
    <m/>
    <x v="3"/>
    <x v="3"/>
    <m/>
    <n v="-24.415019999999998"/>
    <n v="43.808762999999999"/>
    <m/>
    <m/>
  </r>
  <r>
    <s v="605070011SMP"/>
    <x v="1"/>
    <x v="1"/>
    <m/>
    <x v="1"/>
    <x v="1"/>
    <m/>
    <x v="1"/>
    <x v="1"/>
    <m/>
    <x v="261"/>
    <x v="259"/>
    <m/>
    <x v="1301"/>
    <x v="161"/>
    <m/>
    <x v="924"/>
    <x v="2410"/>
    <m/>
    <x v="3"/>
    <x v="3"/>
    <m/>
    <n v="-24.41309"/>
    <n v="44.752105999999998"/>
    <m/>
    <m/>
  </r>
  <r>
    <s v="605080005SMP"/>
    <x v="1"/>
    <x v="1"/>
    <m/>
    <x v="1"/>
    <x v="1"/>
    <m/>
    <x v="1"/>
    <x v="1"/>
    <m/>
    <x v="123"/>
    <x v="123"/>
    <m/>
    <x v="1301"/>
    <x v="161"/>
    <m/>
    <x v="2064"/>
    <x v="2411"/>
    <m/>
    <x v="3"/>
    <x v="3"/>
    <m/>
    <n v="-24.412065999999999"/>
    <n v="44.695445999999997"/>
    <m/>
    <m/>
  </r>
  <r>
    <s v="605100027SMP"/>
    <x v="1"/>
    <x v="1"/>
    <m/>
    <x v="1"/>
    <x v="1"/>
    <m/>
    <x v="1"/>
    <x v="1"/>
    <m/>
    <x v="44"/>
    <x v="44"/>
    <m/>
    <x v="1301"/>
    <x v="161"/>
    <m/>
    <x v="2065"/>
    <x v="2412"/>
    <m/>
    <x v="3"/>
    <x v="3"/>
    <m/>
    <n v="-24.404442"/>
    <n v="44.498890000000003"/>
    <m/>
    <m/>
  </r>
  <r>
    <s v="605070010SMP"/>
    <x v="1"/>
    <x v="1"/>
    <m/>
    <x v="1"/>
    <x v="1"/>
    <m/>
    <x v="1"/>
    <x v="1"/>
    <m/>
    <x v="260"/>
    <x v="258"/>
    <m/>
    <x v="1301"/>
    <x v="161"/>
    <m/>
    <x v="213"/>
    <x v="2413"/>
    <m/>
    <x v="3"/>
    <x v="3"/>
    <m/>
    <n v="-24.402543000000001"/>
    <n v="44.889107000000003"/>
    <m/>
    <m/>
  </r>
  <r>
    <s v="605070008SMP"/>
    <x v="1"/>
    <x v="1"/>
    <m/>
    <x v="1"/>
    <x v="1"/>
    <m/>
    <x v="1"/>
    <x v="1"/>
    <m/>
    <x v="260"/>
    <x v="258"/>
    <m/>
    <x v="1301"/>
    <x v="161"/>
    <m/>
    <x v="1392"/>
    <x v="2414"/>
    <m/>
    <x v="3"/>
    <x v="3"/>
    <m/>
    <n v="-24.401917000000001"/>
    <n v="44.937674999999999"/>
    <m/>
    <m/>
  </r>
  <r>
    <s v="605080001SMP"/>
    <x v="1"/>
    <x v="1"/>
    <m/>
    <x v="1"/>
    <x v="1"/>
    <m/>
    <x v="1"/>
    <x v="1"/>
    <m/>
    <x v="123"/>
    <x v="123"/>
    <m/>
    <x v="1301"/>
    <x v="161"/>
    <m/>
    <x v="2066"/>
    <x v="2415"/>
    <m/>
    <x v="3"/>
    <x v="3"/>
    <m/>
    <n v="-24.390581999999998"/>
    <n v="44.807662999999998"/>
    <m/>
    <m/>
  </r>
  <r>
    <s v="605070026SMP"/>
    <x v="1"/>
    <x v="1"/>
    <m/>
    <x v="1"/>
    <x v="1"/>
    <m/>
    <x v="1"/>
    <x v="1"/>
    <m/>
    <x v="260"/>
    <x v="258"/>
    <m/>
    <x v="1301"/>
    <x v="161"/>
    <m/>
    <x v="2067"/>
    <x v="2416"/>
    <m/>
    <x v="3"/>
    <x v="3"/>
    <m/>
    <n v="-24.390581999999998"/>
    <n v="44.807662999999998"/>
    <m/>
    <m/>
  </r>
  <r>
    <s v="605131004SMP"/>
    <x v="1"/>
    <x v="1"/>
    <m/>
    <x v="1"/>
    <x v="1"/>
    <m/>
    <x v="1"/>
    <x v="1"/>
    <m/>
    <x v="12"/>
    <x v="12"/>
    <m/>
    <x v="1301"/>
    <x v="161"/>
    <m/>
    <x v="2068"/>
    <x v="2417"/>
    <m/>
    <x v="3"/>
    <x v="3"/>
    <m/>
    <n v="-24.384444999999999"/>
    <n v="43.739559999999997"/>
    <m/>
    <m/>
  </r>
  <r>
    <s v="605070014SMP"/>
    <x v="1"/>
    <x v="1"/>
    <m/>
    <x v="1"/>
    <x v="1"/>
    <m/>
    <x v="1"/>
    <x v="1"/>
    <m/>
    <x v="260"/>
    <x v="258"/>
    <m/>
    <x v="1301"/>
    <x v="161"/>
    <m/>
    <x v="2069"/>
    <x v="2418"/>
    <m/>
    <x v="3"/>
    <x v="3"/>
    <m/>
    <n v="-24.362928"/>
    <n v="45.011215999999997"/>
    <m/>
    <m/>
  </r>
  <r>
    <s v="605100006SMP"/>
    <x v="1"/>
    <x v="1"/>
    <m/>
    <x v="1"/>
    <x v="1"/>
    <m/>
    <x v="1"/>
    <x v="1"/>
    <m/>
    <x v="44"/>
    <x v="44"/>
    <m/>
    <x v="1301"/>
    <x v="161"/>
    <m/>
    <x v="2070"/>
    <x v="2419"/>
    <m/>
    <x v="3"/>
    <x v="3"/>
    <m/>
    <n v="-24.36215"/>
    <n v="44.535114"/>
    <m/>
    <m/>
  </r>
  <r>
    <s v="605100028SMP"/>
    <x v="1"/>
    <x v="1"/>
    <m/>
    <x v="1"/>
    <x v="1"/>
    <m/>
    <x v="1"/>
    <x v="1"/>
    <m/>
    <x v="44"/>
    <x v="44"/>
    <m/>
    <x v="1301"/>
    <x v="161"/>
    <m/>
    <x v="185"/>
    <x v="2420"/>
    <m/>
    <x v="3"/>
    <x v="3"/>
    <m/>
    <n v="-24.359611999999998"/>
    <n v="44.515565000000002"/>
    <m/>
    <m/>
  </r>
  <r>
    <s v="605100031SMP"/>
    <x v="1"/>
    <x v="1"/>
    <m/>
    <x v="1"/>
    <x v="1"/>
    <m/>
    <x v="1"/>
    <x v="1"/>
    <m/>
    <x v="44"/>
    <x v="44"/>
    <m/>
    <x v="1301"/>
    <x v="161"/>
    <m/>
    <x v="2071"/>
    <x v="2421"/>
    <m/>
    <x v="3"/>
    <x v="3"/>
    <m/>
    <n v="-24.348934"/>
    <n v="44.449463999999999"/>
    <m/>
    <m/>
  </r>
  <r>
    <s v="605100020SMP"/>
    <x v="1"/>
    <x v="1"/>
    <m/>
    <x v="1"/>
    <x v="1"/>
    <m/>
    <x v="1"/>
    <x v="1"/>
    <m/>
    <x v="44"/>
    <x v="44"/>
    <m/>
    <x v="1301"/>
    <x v="161"/>
    <m/>
    <x v="2072"/>
    <x v="2422"/>
    <m/>
    <x v="3"/>
    <x v="3"/>
    <m/>
    <n v="-24.346664000000001"/>
    <n v="44.514125"/>
    <m/>
    <m/>
  </r>
  <r>
    <s v="605070009SMP"/>
    <x v="1"/>
    <x v="1"/>
    <m/>
    <x v="1"/>
    <x v="1"/>
    <m/>
    <x v="1"/>
    <x v="1"/>
    <m/>
    <x v="260"/>
    <x v="258"/>
    <m/>
    <x v="1301"/>
    <x v="161"/>
    <m/>
    <x v="1366"/>
    <x v="2423"/>
    <m/>
    <x v="3"/>
    <x v="3"/>
    <m/>
    <n v="-24.344830999999999"/>
    <n v="44.922851000000001"/>
    <m/>
    <m/>
  </r>
  <r>
    <s v="605100019SMP"/>
    <x v="1"/>
    <x v="1"/>
    <m/>
    <x v="1"/>
    <x v="1"/>
    <m/>
    <x v="1"/>
    <x v="1"/>
    <m/>
    <x v="44"/>
    <x v="44"/>
    <m/>
    <x v="1301"/>
    <x v="161"/>
    <m/>
    <x v="2073"/>
    <x v="2424"/>
    <m/>
    <x v="3"/>
    <x v="3"/>
    <m/>
    <n v="-24.340716"/>
    <n v="44.512343000000001"/>
    <m/>
    <m/>
  </r>
  <r>
    <s v="605070013SMP"/>
    <x v="1"/>
    <x v="1"/>
    <m/>
    <x v="1"/>
    <x v="1"/>
    <m/>
    <x v="1"/>
    <x v="1"/>
    <m/>
    <x v="260"/>
    <x v="258"/>
    <m/>
    <x v="1301"/>
    <x v="161"/>
    <m/>
    <x v="2074"/>
    <x v="2425"/>
    <m/>
    <x v="3"/>
    <x v="3"/>
    <m/>
    <n v="-24.327002"/>
    <n v="44.876362999999998"/>
    <m/>
    <m/>
  </r>
  <r>
    <s v="605070012SMP"/>
    <x v="1"/>
    <x v="1"/>
    <m/>
    <x v="1"/>
    <x v="1"/>
    <m/>
    <x v="1"/>
    <x v="1"/>
    <m/>
    <x v="261"/>
    <x v="259"/>
    <m/>
    <x v="1301"/>
    <x v="161"/>
    <m/>
    <x v="2075"/>
    <x v="2426"/>
    <m/>
    <x v="3"/>
    <x v="3"/>
    <m/>
    <n v="-24.325246"/>
    <n v="44.786186000000001"/>
    <m/>
    <m/>
  </r>
  <r>
    <s v="605070003SMP"/>
    <x v="1"/>
    <x v="1"/>
    <m/>
    <x v="1"/>
    <x v="1"/>
    <m/>
    <x v="1"/>
    <x v="1"/>
    <m/>
    <x v="260"/>
    <x v="258"/>
    <m/>
    <x v="1301"/>
    <x v="161"/>
    <m/>
    <x v="2075"/>
    <x v="2427"/>
    <m/>
    <x v="3"/>
    <x v="3"/>
    <m/>
    <n v="-24.323947"/>
    <n v="44.795613000000003"/>
    <m/>
    <m/>
  </r>
  <r>
    <s v="605070023SMP"/>
    <x v="1"/>
    <x v="1"/>
    <m/>
    <x v="1"/>
    <x v="1"/>
    <m/>
    <x v="1"/>
    <x v="1"/>
    <m/>
    <x v="260"/>
    <x v="258"/>
    <m/>
    <x v="1301"/>
    <x v="161"/>
    <m/>
    <x v="605"/>
    <x v="2428"/>
    <m/>
    <x v="3"/>
    <x v="3"/>
    <m/>
    <n v="-24.318353999999999"/>
    <n v="44.987209999999997"/>
    <m/>
    <m/>
  </r>
  <r>
    <s v="605100011SMP"/>
    <x v="1"/>
    <x v="1"/>
    <m/>
    <x v="1"/>
    <x v="1"/>
    <m/>
    <x v="1"/>
    <x v="1"/>
    <m/>
    <x v="44"/>
    <x v="44"/>
    <m/>
    <x v="1301"/>
    <x v="161"/>
    <m/>
    <x v="936"/>
    <x v="2429"/>
    <m/>
    <x v="3"/>
    <x v="3"/>
    <m/>
    <n v="-24.309588000000002"/>
    <n v="44.342545000000001"/>
    <m/>
    <m/>
  </r>
  <r>
    <s v="605131003SMP"/>
    <x v="1"/>
    <x v="1"/>
    <m/>
    <x v="1"/>
    <x v="1"/>
    <m/>
    <x v="1"/>
    <x v="1"/>
    <m/>
    <x v="12"/>
    <x v="12"/>
    <m/>
    <x v="1301"/>
    <x v="161"/>
    <m/>
    <x v="2076"/>
    <x v="2430"/>
    <m/>
    <x v="3"/>
    <x v="3"/>
    <m/>
    <n v="-24.307196000000001"/>
    <n v="43.7117"/>
    <m/>
    <m/>
  </r>
  <r>
    <s v="605120005SMP"/>
    <x v="1"/>
    <x v="1"/>
    <m/>
    <x v="1"/>
    <x v="1"/>
    <m/>
    <x v="1"/>
    <x v="1"/>
    <m/>
    <x v="149"/>
    <x v="149"/>
    <m/>
    <x v="1301"/>
    <x v="161"/>
    <m/>
    <x v="1709"/>
    <x v="2431"/>
    <m/>
    <x v="3"/>
    <x v="3"/>
    <m/>
    <n v="-24.301033"/>
    <n v="44.880707000000001"/>
    <m/>
    <m/>
  </r>
  <r>
    <s v="605080011SMP"/>
    <x v="1"/>
    <x v="1"/>
    <m/>
    <x v="1"/>
    <x v="1"/>
    <m/>
    <x v="1"/>
    <x v="1"/>
    <m/>
    <x v="123"/>
    <x v="123"/>
    <m/>
    <x v="1301"/>
    <x v="161"/>
    <m/>
    <x v="988"/>
    <x v="2432"/>
    <m/>
    <x v="3"/>
    <x v="3"/>
    <m/>
    <n v="-24.298342000000002"/>
    <n v="44.677048999999997"/>
    <m/>
    <m/>
  </r>
  <r>
    <s v="605080029SMP"/>
    <x v="1"/>
    <x v="1"/>
    <m/>
    <x v="1"/>
    <x v="1"/>
    <m/>
    <x v="1"/>
    <x v="1"/>
    <m/>
    <x v="123"/>
    <x v="123"/>
    <m/>
    <x v="1301"/>
    <x v="161"/>
    <m/>
    <x v="2077"/>
    <x v="2433"/>
    <m/>
    <x v="3"/>
    <x v="3"/>
    <m/>
    <n v="-24.296436"/>
    <n v="44.630769999999998"/>
    <m/>
    <m/>
  </r>
  <r>
    <s v="605100024SMP"/>
    <x v="1"/>
    <x v="1"/>
    <m/>
    <x v="1"/>
    <x v="1"/>
    <m/>
    <x v="1"/>
    <x v="1"/>
    <m/>
    <x v="44"/>
    <x v="44"/>
    <m/>
    <x v="1301"/>
    <x v="161"/>
    <m/>
    <x v="133"/>
    <x v="2434"/>
    <m/>
    <x v="3"/>
    <x v="3"/>
    <m/>
    <n v="-24.293688"/>
    <n v="44.524154000000003"/>
    <m/>
    <m/>
  </r>
  <r>
    <s v="605070004SMP"/>
    <x v="1"/>
    <x v="1"/>
    <m/>
    <x v="1"/>
    <x v="1"/>
    <m/>
    <x v="1"/>
    <x v="1"/>
    <m/>
    <x v="260"/>
    <x v="258"/>
    <m/>
    <x v="1301"/>
    <x v="161"/>
    <m/>
    <x v="925"/>
    <x v="2435"/>
    <m/>
    <x v="3"/>
    <x v="3"/>
    <m/>
    <n v="-24.293368000000001"/>
    <n v="44.958993999999997"/>
    <m/>
    <m/>
  </r>
  <r>
    <s v="605120006SMP"/>
    <x v="1"/>
    <x v="1"/>
    <m/>
    <x v="1"/>
    <x v="1"/>
    <m/>
    <x v="1"/>
    <x v="1"/>
    <m/>
    <x v="149"/>
    <x v="149"/>
    <m/>
    <x v="1301"/>
    <x v="161"/>
    <m/>
    <x v="987"/>
    <x v="2436"/>
    <m/>
    <x v="3"/>
    <x v="3"/>
    <m/>
    <n v="-24.289000000000001"/>
    <n v="44.700074999999998"/>
    <m/>
    <m/>
  </r>
  <r>
    <s v="605100012SMP"/>
    <x v="1"/>
    <x v="1"/>
    <m/>
    <x v="1"/>
    <x v="1"/>
    <m/>
    <x v="1"/>
    <x v="1"/>
    <m/>
    <x v="44"/>
    <x v="44"/>
    <m/>
    <x v="1301"/>
    <x v="161"/>
    <m/>
    <x v="285"/>
    <x v="2437"/>
    <m/>
    <x v="3"/>
    <x v="3"/>
    <m/>
    <n v="-24.286242999999999"/>
    <n v="44.423214999999999"/>
    <m/>
    <m/>
  </r>
  <r>
    <s v="605040007SMP"/>
    <x v="1"/>
    <x v="1"/>
    <m/>
    <x v="1"/>
    <x v="1"/>
    <m/>
    <x v="1"/>
    <x v="1"/>
    <m/>
    <x v="104"/>
    <x v="104"/>
    <m/>
    <x v="1301"/>
    <x v="161"/>
    <m/>
    <x v="1176"/>
    <x v="2438"/>
    <m/>
    <x v="3"/>
    <x v="3"/>
    <m/>
    <n v="-24.282281000000001"/>
    <n v="45.034052000000003"/>
    <m/>
    <m/>
  </r>
  <r>
    <s v="605100035SMP"/>
    <x v="1"/>
    <x v="1"/>
    <m/>
    <x v="1"/>
    <x v="1"/>
    <m/>
    <x v="1"/>
    <x v="1"/>
    <m/>
    <x v="44"/>
    <x v="44"/>
    <m/>
    <x v="1301"/>
    <x v="161"/>
    <m/>
    <x v="2078"/>
    <x v="2439"/>
    <m/>
    <x v="3"/>
    <x v="3"/>
    <m/>
    <n v="-24.271094999999999"/>
    <n v="44.423836000000001"/>
    <m/>
    <m/>
  </r>
  <r>
    <s v="605100023SMP"/>
    <x v="1"/>
    <x v="1"/>
    <m/>
    <x v="1"/>
    <x v="1"/>
    <m/>
    <x v="1"/>
    <x v="1"/>
    <m/>
    <x v="44"/>
    <x v="44"/>
    <m/>
    <x v="1301"/>
    <x v="161"/>
    <m/>
    <x v="288"/>
    <x v="2440"/>
    <m/>
    <x v="3"/>
    <x v="3"/>
    <m/>
    <n v="-24.268872000000002"/>
    <n v="44.504539000000001"/>
    <m/>
    <m/>
  </r>
  <r>
    <s v="605070019SMP"/>
    <x v="1"/>
    <x v="1"/>
    <m/>
    <x v="1"/>
    <x v="1"/>
    <m/>
    <x v="1"/>
    <x v="1"/>
    <m/>
    <x v="260"/>
    <x v="258"/>
    <m/>
    <x v="1301"/>
    <x v="161"/>
    <m/>
    <x v="2079"/>
    <x v="2441"/>
    <m/>
    <x v="3"/>
    <x v="3"/>
    <m/>
    <n v="-24.265367000000001"/>
    <n v="44.733288999999999"/>
    <m/>
    <m/>
  </r>
  <r>
    <s v="605120003SMP"/>
    <x v="1"/>
    <x v="1"/>
    <m/>
    <x v="1"/>
    <x v="1"/>
    <m/>
    <x v="1"/>
    <x v="1"/>
    <m/>
    <x v="149"/>
    <x v="149"/>
    <m/>
    <x v="1301"/>
    <x v="161"/>
    <m/>
    <x v="2080"/>
    <x v="2442"/>
    <m/>
    <x v="3"/>
    <x v="3"/>
    <m/>
    <n v="-24.265367000000001"/>
    <n v="44.733288999999999"/>
    <m/>
    <m/>
  </r>
  <r>
    <s v="605080007SMP"/>
    <x v="1"/>
    <x v="1"/>
    <m/>
    <x v="1"/>
    <x v="1"/>
    <m/>
    <x v="1"/>
    <x v="1"/>
    <m/>
    <x v="123"/>
    <x v="123"/>
    <m/>
    <x v="1301"/>
    <x v="161"/>
    <m/>
    <x v="810"/>
    <x v="2443"/>
    <m/>
    <x v="3"/>
    <x v="3"/>
    <m/>
    <n v="-24.263005"/>
    <n v="44.646692000000002"/>
    <m/>
    <m/>
  </r>
  <r>
    <s v="605120016SMP"/>
    <x v="1"/>
    <x v="1"/>
    <m/>
    <x v="1"/>
    <x v="1"/>
    <m/>
    <x v="1"/>
    <x v="1"/>
    <m/>
    <x v="149"/>
    <x v="149"/>
    <m/>
    <x v="1301"/>
    <x v="161"/>
    <m/>
    <x v="2081"/>
    <x v="2444"/>
    <m/>
    <x v="3"/>
    <x v="3"/>
    <m/>
    <n v="-24.263002"/>
    <n v="44.884659999999997"/>
    <m/>
    <m/>
  </r>
  <r>
    <s v="605100017SMP"/>
    <x v="1"/>
    <x v="1"/>
    <m/>
    <x v="1"/>
    <x v="1"/>
    <m/>
    <x v="1"/>
    <x v="1"/>
    <m/>
    <x v="44"/>
    <x v="44"/>
    <m/>
    <x v="1301"/>
    <x v="161"/>
    <m/>
    <x v="293"/>
    <x v="2445"/>
    <m/>
    <x v="3"/>
    <x v="3"/>
    <m/>
    <n v="-24.262273"/>
    <n v="44.540982999999997"/>
    <m/>
    <m/>
  </r>
  <r>
    <s v="605120007SMP"/>
    <x v="1"/>
    <x v="1"/>
    <m/>
    <x v="1"/>
    <x v="1"/>
    <m/>
    <x v="1"/>
    <x v="1"/>
    <m/>
    <x v="149"/>
    <x v="149"/>
    <m/>
    <x v="1301"/>
    <x v="161"/>
    <m/>
    <x v="1143"/>
    <x v="2446"/>
    <m/>
    <x v="3"/>
    <x v="3"/>
    <m/>
    <n v="-24.260154"/>
    <n v="44.832886999999999"/>
    <m/>
    <m/>
  </r>
  <r>
    <s v="605080006SMP"/>
    <x v="1"/>
    <x v="1"/>
    <m/>
    <x v="1"/>
    <x v="1"/>
    <m/>
    <x v="1"/>
    <x v="1"/>
    <m/>
    <x v="123"/>
    <x v="123"/>
    <m/>
    <x v="1301"/>
    <x v="161"/>
    <m/>
    <x v="803"/>
    <x v="2447"/>
    <m/>
    <x v="3"/>
    <x v="3"/>
    <m/>
    <n v="-24.254639999999998"/>
    <n v="44.592188999999998"/>
    <m/>
    <m/>
  </r>
  <r>
    <s v="605170010SMP"/>
    <x v="1"/>
    <x v="1"/>
    <m/>
    <x v="1"/>
    <x v="1"/>
    <m/>
    <x v="1"/>
    <x v="1"/>
    <m/>
    <x v="262"/>
    <x v="260"/>
    <m/>
    <x v="1301"/>
    <x v="161"/>
    <m/>
    <x v="2082"/>
    <x v="2448"/>
    <m/>
    <x v="3"/>
    <x v="3"/>
    <m/>
    <n v="-24.251428000000001"/>
    <n v="44.432015"/>
    <m/>
    <m/>
  </r>
  <r>
    <s v="605100004SMP"/>
    <x v="1"/>
    <x v="1"/>
    <m/>
    <x v="1"/>
    <x v="1"/>
    <m/>
    <x v="1"/>
    <x v="1"/>
    <m/>
    <x v="44"/>
    <x v="44"/>
    <m/>
    <x v="1301"/>
    <x v="161"/>
    <m/>
    <x v="2083"/>
    <x v="2449"/>
    <m/>
    <x v="3"/>
    <x v="3"/>
    <m/>
    <n v="-24.248104999999999"/>
    <n v="44.494667"/>
    <m/>
    <m/>
  </r>
  <r>
    <s v="605170021SMP"/>
    <x v="1"/>
    <x v="1"/>
    <m/>
    <x v="1"/>
    <x v="1"/>
    <m/>
    <x v="1"/>
    <x v="1"/>
    <m/>
    <x v="262"/>
    <x v="260"/>
    <m/>
    <x v="1301"/>
    <x v="161"/>
    <m/>
    <x v="2084"/>
    <x v="2450"/>
    <m/>
    <x v="3"/>
    <x v="3"/>
    <m/>
    <n v="-24.239125000000001"/>
    <n v="44.424368999999999"/>
    <m/>
    <m/>
  </r>
  <r>
    <s v="605170004SMP"/>
    <x v="1"/>
    <x v="1"/>
    <m/>
    <x v="1"/>
    <x v="1"/>
    <m/>
    <x v="1"/>
    <x v="1"/>
    <m/>
    <x v="262"/>
    <x v="260"/>
    <m/>
    <x v="1301"/>
    <x v="161"/>
    <m/>
    <x v="2085"/>
    <x v="2451"/>
    <m/>
    <x v="3"/>
    <x v="3"/>
    <m/>
    <n v="-24.234424000000001"/>
    <n v="44.483302000000002"/>
    <m/>
    <m/>
  </r>
  <r>
    <s v="605171003SMP"/>
    <x v="1"/>
    <x v="1"/>
    <m/>
    <x v="1"/>
    <x v="1"/>
    <m/>
    <x v="1"/>
    <x v="1"/>
    <m/>
    <x v="262"/>
    <x v="260"/>
    <m/>
    <x v="1301"/>
    <x v="161"/>
    <m/>
    <x v="2086"/>
    <x v="2452"/>
    <m/>
    <x v="3"/>
    <x v="3"/>
    <m/>
    <n v="-24.229588"/>
    <n v="44.245277000000002"/>
    <m/>
    <m/>
  </r>
  <r>
    <s v="605070017SMP"/>
    <x v="1"/>
    <x v="1"/>
    <m/>
    <x v="1"/>
    <x v="1"/>
    <m/>
    <x v="1"/>
    <x v="1"/>
    <m/>
    <x v="149"/>
    <x v="149"/>
    <m/>
    <x v="1301"/>
    <x v="161"/>
    <m/>
    <x v="2087"/>
    <x v="2453"/>
    <m/>
    <x v="3"/>
    <x v="3"/>
    <m/>
    <n v="-24.228914"/>
    <n v="44.906782"/>
    <m/>
    <m/>
  </r>
  <r>
    <s v="605120008SMP"/>
    <x v="1"/>
    <x v="1"/>
    <m/>
    <x v="1"/>
    <x v="1"/>
    <m/>
    <x v="1"/>
    <x v="1"/>
    <m/>
    <x v="149"/>
    <x v="149"/>
    <m/>
    <x v="1301"/>
    <x v="161"/>
    <m/>
    <x v="2088"/>
    <x v="2454"/>
    <m/>
    <x v="3"/>
    <x v="3"/>
    <m/>
    <n v="-24.225213"/>
    <n v="44.847017999999998"/>
    <m/>
    <m/>
  </r>
  <r>
    <s v="605080025SMP"/>
    <x v="1"/>
    <x v="1"/>
    <m/>
    <x v="1"/>
    <x v="1"/>
    <m/>
    <x v="1"/>
    <x v="1"/>
    <m/>
    <x v="123"/>
    <x v="123"/>
    <m/>
    <x v="1301"/>
    <x v="161"/>
    <m/>
    <x v="809"/>
    <x v="2455"/>
    <m/>
    <x v="3"/>
    <x v="3"/>
    <m/>
    <n v="-24.224374999999998"/>
    <n v="44.680459999999997"/>
    <m/>
    <m/>
  </r>
  <r>
    <s v="605110051SMP"/>
    <x v="1"/>
    <x v="1"/>
    <m/>
    <x v="1"/>
    <x v="1"/>
    <m/>
    <x v="1"/>
    <x v="1"/>
    <m/>
    <x v="10"/>
    <x v="10"/>
    <m/>
    <x v="1301"/>
    <x v="161"/>
    <m/>
    <x v="2089"/>
    <x v="2456"/>
    <m/>
    <x v="3"/>
    <x v="3"/>
    <m/>
    <n v="-24.221121"/>
    <n v="44.899732999999998"/>
    <m/>
    <m/>
  </r>
  <r>
    <s v="605110012SMP"/>
    <x v="1"/>
    <x v="1"/>
    <m/>
    <x v="1"/>
    <x v="1"/>
    <m/>
    <x v="1"/>
    <x v="1"/>
    <m/>
    <x v="10"/>
    <x v="10"/>
    <m/>
    <x v="1301"/>
    <x v="161"/>
    <m/>
    <x v="2090"/>
    <x v="2457"/>
    <m/>
    <x v="3"/>
    <x v="3"/>
    <m/>
    <n v="-24.220476999999999"/>
    <n v="44.953572999999999"/>
    <m/>
    <m/>
  </r>
  <r>
    <s v="605170024SMP"/>
    <x v="1"/>
    <x v="1"/>
    <m/>
    <x v="1"/>
    <x v="1"/>
    <m/>
    <x v="1"/>
    <x v="1"/>
    <m/>
    <x v="262"/>
    <x v="260"/>
    <m/>
    <x v="1301"/>
    <x v="161"/>
    <m/>
    <x v="2091"/>
    <x v="2458"/>
    <m/>
    <x v="3"/>
    <x v="3"/>
    <m/>
    <n v="-24.216138999999998"/>
    <n v="44.432302"/>
    <m/>
    <m/>
  </r>
  <r>
    <s v="605100015SMP"/>
    <x v="1"/>
    <x v="1"/>
    <m/>
    <x v="1"/>
    <x v="1"/>
    <m/>
    <x v="1"/>
    <x v="1"/>
    <m/>
    <x v="44"/>
    <x v="44"/>
    <m/>
    <x v="1301"/>
    <x v="161"/>
    <m/>
    <x v="2092"/>
    <x v="2459"/>
    <m/>
    <x v="3"/>
    <x v="3"/>
    <m/>
    <n v="-24.212284"/>
    <n v="44.550139000000001"/>
    <m/>
    <m/>
  </r>
  <r>
    <s v="605170019SMP"/>
    <x v="1"/>
    <x v="1"/>
    <m/>
    <x v="1"/>
    <x v="1"/>
    <m/>
    <x v="1"/>
    <x v="1"/>
    <m/>
    <x v="262"/>
    <x v="260"/>
    <m/>
    <x v="1301"/>
    <x v="161"/>
    <m/>
    <x v="2093"/>
    <x v="2460"/>
    <m/>
    <x v="3"/>
    <x v="3"/>
    <m/>
    <n v="-24.212071999999999"/>
    <n v="44.476018000000003"/>
    <m/>
    <m/>
  </r>
  <r>
    <s v="605080002SMP"/>
    <x v="1"/>
    <x v="1"/>
    <m/>
    <x v="1"/>
    <x v="1"/>
    <m/>
    <x v="1"/>
    <x v="1"/>
    <m/>
    <x v="123"/>
    <x v="123"/>
    <m/>
    <x v="1301"/>
    <x v="161"/>
    <m/>
    <x v="2094"/>
    <x v="2461"/>
    <m/>
    <x v="3"/>
    <x v="3"/>
    <m/>
    <n v="-24.205411000000002"/>
    <n v="44.594059999999999"/>
    <m/>
    <m/>
  </r>
  <r>
    <s v="605170007SMP"/>
    <x v="1"/>
    <x v="1"/>
    <m/>
    <x v="1"/>
    <x v="1"/>
    <m/>
    <x v="1"/>
    <x v="1"/>
    <m/>
    <x v="262"/>
    <x v="260"/>
    <m/>
    <x v="1301"/>
    <x v="161"/>
    <m/>
    <x v="2095"/>
    <x v="2462"/>
    <m/>
    <x v="3"/>
    <x v="3"/>
    <m/>
    <n v="-24.205079999999999"/>
    <n v="44.454667999999998"/>
    <m/>
    <m/>
  </r>
  <r>
    <s v="605110001SMP"/>
    <x v="1"/>
    <x v="1"/>
    <m/>
    <x v="1"/>
    <x v="1"/>
    <m/>
    <x v="1"/>
    <x v="1"/>
    <m/>
    <x v="10"/>
    <x v="10"/>
    <m/>
    <x v="1301"/>
    <x v="161"/>
    <m/>
    <x v="70"/>
    <x v="2463"/>
    <m/>
    <x v="3"/>
    <x v="3"/>
    <m/>
    <n v="-24.196843999999999"/>
    <n v="45.02704"/>
    <m/>
    <m/>
  </r>
  <r>
    <s v="605150004SMP"/>
    <x v="1"/>
    <x v="1"/>
    <m/>
    <x v="1"/>
    <x v="1"/>
    <m/>
    <x v="1"/>
    <x v="1"/>
    <m/>
    <x v="231"/>
    <x v="230"/>
    <m/>
    <x v="1301"/>
    <x v="161"/>
    <m/>
    <x v="2096"/>
    <x v="2464"/>
    <m/>
    <x v="3"/>
    <x v="3"/>
    <m/>
    <n v="-24.190731"/>
    <n v="44.763705999999999"/>
    <m/>
    <m/>
  </r>
  <r>
    <s v="605120011SMP"/>
    <x v="1"/>
    <x v="1"/>
    <m/>
    <x v="1"/>
    <x v="1"/>
    <m/>
    <x v="1"/>
    <x v="1"/>
    <m/>
    <x v="149"/>
    <x v="149"/>
    <m/>
    <x v="1301"/>
    <x v="161"/>
    <m/>
    <x v="2097"/>
    <x v="2465"/>
    <m/>
    <x v="3"/>
    <x v="3"/>
    <m/>
    <n v="-24.188756000000001"/>
    <n v="44.808926999999997"/>
    <m/>
    <m/>
  </r>
  <r>
    <s v="605120009SMP"/>
    <x v="1"/>
    <x v="1"/>
    <m/>
    <x v="1"/>
    <x v="1"/>
    <m/>
    <x v="1"/>
    <x v="1"/>
    <m/>
    <x v="149"/>
    <x v="149"/>
    <m/>
    <x v="1301"/>
    <x v="161"/>
    <m/>
    <x v="2098"/>
    <x v="2466"/>
    <m/>
    <x v="3"/>
    <x v="3"/>
    <m/>
    <n v="-24.188756000000001"/>
    <n v="44.808926999999997"/>
    <m/>
    <m/>
  </r>
  <r>
    <s v="605110019SMP"/>
    <x v="1"/>
    <x v="1"/>
    <m/>
    <x v="1"/>
    <x v="1"/>
    <m/>
    <x v="1"/>
    <x v="1"/>
    <m/>
    <x v="10"/>
    <x v="10"/>
    <m/>
    <x v="1301"/>
    <x v="161"/>
    <m/>
    <x v="81"/>
    <x v="2467"/>
    <m/>
    <x v="3"/>
    <x v="3"/>
    <m/>
    <n v="-24.186467"/>
    <n v="44.916476000000003"/>
    <m/>
    <m/>
  </r>
  <r>
    <s v="605170008SMP"/>
    <x v="1"/>
    <x v="1"/>
    <m/>
    <x v="1"/>
    <x v="1"/>
    <m/>
    <x v="1"/>
    <x v="1"/>
    <m/>
    <x v="262"/>
    <x v="260"/>
    <m/>
    <x v="1301"/>
    <x v="161"/>
    <m/>
    <x v="2099"/>
    <x v="2468"/>
    <m/>
    <x v="3"/>
    <x v="3"/>
    <m/>
    <n v="-24.183115999999998"/>
    <n v="44.301586999999998"/>
    <m/>
    <m/>
  </r>
  <r>
    <s v="605080003SMP"/>
    <x v="1"/>
    <x v="1"/>
    <m/>
    <x v="1"/>
    <x v="1"/>
    <m/>
    <x v="1"/>
    <x v="1"/>
    <m/>
    <x v="123"/>
    <x v="123"/>
    <m/>
    <x v="1301"/>
    <x v="161"/>
    <m/>
    <x v="814"/>
    <x v="2469"/>
    <m/>
    <x v="3"/>
    <x v="3"/>
    <m/>
    <n v="-24.176642000000001"/>
    <n v="44.647762"/>
    <m/>
    <m/>
  </r>
  <r>
    <s v="605110018SMP"/>
    <x v="1"/>
    <x v="1"/>
    <m/>
    <x v="1"/>
    <x v="1"/>
    <m/>
    <x v="1"/>
    <x v="1"/>
    <m/>
    <x v="10"/>
    <x v="10"/>
    <m/>
    <x v="1301"/>
    <x v="161"/>
    <m/>
    <x v="2100"/>
    <x v="2470"/>
    <m/>
    <x v="3"/>
    <x v="3"/>
    <m/>
    <n v="-24.170438000000001"/>
    <n v="45.127290000000002"/>
    <m/>
    <m/>
  </r>
  <r>
    <s v="605110013SMP"/>
    <x v="1"/>
    <x v="1"/>
    <m/>
    <x v="1"/>
    <x v="1"/>
    <m/>
    <x v="1"/>
    <x v="1"/>
    <m/>
    <x v="10"/>
    <x v="10"/>
    <m/>
    <x v="1301"/>
    <x v="161"/>
    <m/>
    <x v="975"/>
    <x v="2471"/>
    <m/>
    <x v="3"/>
    <x v="3"/>
    <m/>
    <n v="-24.169529000000001"/>
    <n v="44.964126999999998"/>
    <m/>
    <m/>
  </r>
  <r>
    <s v="605110004SMP"/>
    <x v="1"/>
    <x v="1"/>
    <m/>
    <x v="1"/>
    <x v="1"/>
    <m/>
    <x v="1"/>
    <x v="1"/>
    <m/>
    <x v="10"/>
    <x v="10"/>
    <m/>
    <x v="1301"/>
    <x v="161"/>
    <m/>
    <x v="2101"/>
    <x v="2472"/>
    <m/>
    <x v="3"/>
    <x v="3"/>
    <m/>
    <n v="-24.162461"/>
    <n v="44.920662999999998"/>
    <m/>
    <m/>
  </r>
  <r>
    <s v="605170014SMP"/>
    <x v="1"/>
    <x v="1"/>
    <m/>
    <x v="1"/>
    <x v="1"/>
    <m/>
    <x v="1"/>
    <x v="1"/>
    <m/>
    <x v="262"/>
    <x v="260"/>
    <m/>
    <x v="1301"/>
    <x v="161"/>
    <m/>
    <x v="2102"/>
    <x v="2473"/>
    <m/>
    <x v="3"/>
    <x v="3"/>
    <m/>
    <n v="-24.161460000000002"/>
    <n v="44.563274999999997"/>
    <m/>
    <m/>
  </r>
  <r>
    <s v="605110016SMP"/>
    <x v="1"/>
    <x v="1"/>
    <m/>
    <x v="1"/>
    <x v="1"/>
    <m/>
    <x v="1"/>
    <x v="1"/>
    <m/>
    <x v="10"/>
    <x v="10"/>
    <m/>
    <x v="1301"/>
    <x v="161"/>
    <m/>
    <x v="2103"/>
    <x v="2474"/>
    <m/>
    <x v="3"/>
    <x v="3"/>
    <m/>
    <n v="-24.144058999999999"/>
    <n v="45.132747999999999"/>
    <m/>
    <m/>
  </r>
  <r>
    <s v="605170005SMP"/>
    <x v="1"/>
    <x v="1"/>
    <m/>
    <x v="1"/>
    <x v="1"/>
    <m/>
    <x v="1"/>
    <x v="1"/>
    <m/>
    <x v="262"/>
    <x v="260"/>
    <m/>
    <x v="1301"/>
    <x v="161"/>
    <m/>
    <x v="2104"/>
    <x v="2475"/>
    <m/>
    <x v="3"/>
    <x v="3"/>
    <m/>
    <n v="-24.144051999999999"/>
    <n v="44.411228999999999"/>
    <m/>
    <m/>
  </r>
  <r>
    <s v="605150016SMP"/>
    <x v="1"/>
    <x v="1"/>
    <m/>
    <x v="1"/>
    <x v="1"/>
    <m/>
    <x v="1"/>
    <x v="1"/>
    <m/>
    <x v="231"/>
    <x v="230"/>
    <m/>
    <x v="1301"/>
    <x v="161"/>
    <m/>
    <x v="2105"/>
    <x v="2476"/>
    <m/>
    <x v="3"/>
    <x v="3"/>
    <m/>
    <n v="-24.140519000000001"/>
    <n v="44.796787999999999"/>
    <m/>
    <m/>
  </r>
  <r>
    <s v="605110038SMP"/>
    <x v="1"/>
    <x v="1"/>
    <m/>
    <x v="1"/>
    <x v="1"/>
    <m/>
    <x v="1"/>
    <x v="1"/>
    <m/>
    <x v="10"/>
    <x v="10"/>
    <m/>
    <x v="1301"/>
    <x v="161"/>
    <m/>
    <x v="2106"/>
    <x v="2477"/>
    <m/>
    <x v="3"/>
    <x v="3"/>
    <m/>
    <n v="-24.139417999999999"/>
    <n v="44.890292000000002"/>
    <m/>
    <m/>
  </r>
  <r>
    <s v="605170003SMP"/>
    <x v="1"/>
    <x v="1"/>
    <m/>
    <x v="1"/>
    <x v="1"/>
    <m/>
    <x v="1"/>
    <x v="1"/>
    <m/>
    <x v="262"/>
    <x v="260"/>
    <m/>
    <x v="1301"/>
    <x v="161"/>
    <m/>
    <x v="2107"/>
    <x v="2478"/>
    <m/>
    <x v="3"/>
    <x v="3"/>
    <m/>
    <n v="-24.135717"/>
    <n v="44.593798999999997"/>
    <m/>
    <m/>
  </r>
  <r>
    <s v="605110020SMP"/>
    <x v="1"/>
    <x v="1"/>
    <m/>
    <x v="1"/>
    <x v="1"/>
    <m/>
    <x v="1"/>
    <x v="1"/>
    <m/>
    <x v="10"/>
    <x v="10"/>
    <m/>
    <x v="1301"/>
    <x v="161"/>
    <m/>
    <x v="2108"/>
    <x v="2479"/>
    <m/>
    <x v="3"/>
    <x v="3"/>
    <m/>
    <n v="-24.134831999999999"/>
    <n v="45.097090000000001"/>
    <m/>
    <m/>
  </r>
  <r>
    <s v="605110005SMP"/>
    <x v="1"/>
    <x v="1"/>
    <m/>
    <x v="1"/>
    <x v="1"/>
    <m/>
    <x v="1"/>
    <x v="1"/>
    <m/>
    <x v="10"/>
    <x v="10"/>
    <m/>
    <x v="1301"/>
    <x v="161"/>
    <m/>
    <x v="62"/>
    <x v="2480"/>
    <m/>
    <x v="3"/>
    <x v="3"/>
    <m/>
    <n v="-24.1327"/>
    <n v="44.887005000000002"/>
    <m/>
    <m/>
  </r>
  <r>
    <s v="605170017SMP"/>
    <x v="1"/>
    <x v="1"/>
    <m/>
    <x v="1"/>
    <x v="1"/>
    <m/>
    <x v="1"/>
    <x v="1"/>
    <m/>
    <x v="262"/>
    <x v="260"/>
    <m/>
    <x v="1301"/>
    <x v="161"/>
    <m/>
    <x v="2109"/>
    <x v="2481"/>
    <m/>
    <x v="3"/>
    <x v="3"/>
    <m/>
    <n v="-24.125343000000001"/>
    <n v="44.388559000000001"/>
    <m/>
    <m/>
  </r>
  <r>
    <s v="605150009SMP"/>
    <x v="1"/>
    <x v="1"/>
    <m/>
    <x v="1"/>
    <x v="1"/>
    <m/>
    <x v="1"/>
    <x v="1"/>
    <m/>
    <x v="231"/>
    <x v="230"/>
    <m/>
    <x v="1301"/>
    <x v="161"/>
    <m/>
    <x v="2110"/>
    <x v="2482"/>
    <m/>
    <x v="3"/>
    <x v="3"/>
    <m/>
    <n v="-24.120308000000001"/>
    <n v="44.794683999999997"/>
    <m/>
    <m/>
  </r>
  <r>
    <s v="605110032SMP"/>
    <x v="1"/>
    <x v="1"/>
    <m/>
    <x v="1"/>
    <x v="1"/>
    <m/>
    <x v="1"/>
    <x v="1"/>
    <m/>
    <x v="10"/>
    <x v="10"/>
    <m/>
    <x v="1301"/>
    <x v="161"/>
    <m/>
    <x v="296"/>
    <x v="2483"/>
    <m/>
    <x v="3"/>
    <x v="3"/>
    <m/>
    <n v="-24.117163999999999"/>
    <n v="44.849777000000003"/>
    <m/>
    <m/>
  </r>
  <r>
    <s v="605110029SMP"/>
    <x v="1"/>
    <x v="1"/>
    <m/>
    <x v="1"/>
    <x v="1"/>
    <m/>
    <x v="1"/>
    <x v="1"/>
    <m/>
    <x v="10"/>
    <x v="10"/>
    <m/>
    <x v="1301"/>
    <x v="161"/>
    <m/>
    <x v="67"/>
    <x v="2484"/>
    <m/>
    <x v="3"/>
    <x v="3"/>
    <m/>
    <n v="-24.113665000000001"/>
    <n v="45.023744000000001"/>
    <m/>
    <m/>
  </r>
  <r>
    <s v="605100005SMP"/>
    <x v="1"/>
    <x v="1"/>
    <m/>
    <x v="1"/>
    <x v="1"/>
    <m/>
    <x v="1"/>
    <x v="1"/>
    <m/>
    <x v="44"/>
    <x v="44"/>
    <m/>
    <x v="1301"/>
    <x v="161"/>
    <m/>
    <x v="2111"/>
    <x v="2485"/>
    <m/>
    <x v="3"/>
    <x v="3"/>
    <m/>
    <n v="-24.112404999999999"/>
    <n v="44.564014"/>
    <m/>
    <m/>
  </r>
  <r>
    <s v="605170013SMP"/>
    <x v="1"/>
    <x v="1"/>
    <m/>
    <x v="1"/>
    <x v="1"/>
    <m/>
    <x v="1"/>
    <x v="1"/>
    <m/>
    <x v="262"/>
    <x v="260"/>
    <m/>
    <x v="1301"/>
    <x v="161"/>
    <m/>
    <x v="1067"/>
    <x v="2486"/>
    <m/>
    <x v="3"/>
    <x v="3"/>
    <m/>
    <n v="-24.112043"/>
    <n v="44.468280999999998"/>
    <m/>
    <m/>
  </r>
  <r>
    <s v="605150021SMP"/>
    <x v="1"/>
    <x v="1"/>
    <m/>
    <x v="1"/>
    <x v="1"/>
    <m/>
    <x v="1"/>
    <x v="1"/>
    <m/>
    <x v="231"/>
    <x v="230"/>
    <m/>
    <x v="1301"/>
    <x v="161"/>
    <m/>
    <x v="1490"/>
    <x v="2487"/>
    <m/>
    <x v="3"/>
    <x v="3"/>
    <m/>
    <n v="-24.106016"/>
    <n v="44.729885000000003"/>
    <m/>
    <m/>
  </r>
  <r>
    <s v="605110037SMP"/>
    <x v="1"/>
    <x v="1"/>
    <m/>
    <x v="1"/>
    <x v="1"/>
    <m/>
    <x v="1"/>
    <x v="1"/>
    <m/>
    <x v="10"/>
    <x v="10"/>
    <m/>
    <x v="1301"/>
    <x v="161"/>
    <m/>
    <x v="2112"/>
    <x v="2488"/>
    <m/>
    <x v="3"/>
    <x v="3"/>
    <m/>
    <n v="-24.103013000000001"/>
    <n v="44.945354999999999"/>
    <m/>
    <m/>
  </r>
  <r>
    <s v="605110030SMP"/>
    <x v="1"/>
    <x v="1"/>
    <m/>
    <x v="1"/>
    <x v="1"/>
    <m/>
    <x v="1"/>
    <x v="1"/>
    <m/>
    <x v="10"/>
    <x v="10"/>
    <m/>
    <x v="1301"/>
    <x v="161"/>
    <m/>
    <x v="2113"/>
    <x v="2489"/>
    <m/>
    <x v="3"/>
    <x v="3"/>
    <m/>
    <n v="-24.102713999999999"/>
    <n v="45.037536000000003"/>
    <m/>
    <m/>
  </r>
  <r>
    <s v="605150002SMP"/>
    <x v="1"/>
    <x v="1"/>
    <m/>
    <x v="1"/>
    <x v="1"/>
    <m/>
    <x v="1"/>
    <x v="1"/>
    <m/>
    <x v="231"/>
    <x v="230"/>
    <m/>
    <x v="1301"/>
    <x v="161"/>
    <m/>
    <x v="2114"/>
    <x v="2490"/>
    <m/>
    <x v="3"/>
    <x v="3"/>
    <m/>
    <n v="-24.101621000000002"/>
    <n v="44.619081000000001"/>
    <m/>
    <m/>
  </r>
  <r>
    <s v="605110002SMP"/>
    <x v="1"/>
    <x v="1"/>
    <m/>
    <x v="1"/>
    <x v="1"/>
    <m/>
    <x v="1"/>
    <x v="1"/>
    <m/>
    <x v="10"/>
    <x v="10"/>
    <m/>
    <x v="1301"/>
    <x v="161"/>
    <m/>
    <x v="515"/>
    <x v="2491"/>
    <m/>
    <x v="3"/>
    <x v="3"/>
    <m/>
    <n v="-24.096260000000001"/>
    <n v="45.111269"/>
    <m/>
    <m/>
  </r>
  <r>
    <s v="605100008SMP"/>
    <x v="1"/>
    <x v="1"/>
    <m/>
    <x v="1"/>
    <x v="1"/>
    <m/>
    <x v="1"/>
    <x v="1"/>
    <m/>
    <x v="44"/>
    <x v="44"/>
    <m/>
    <x v="1301"/>
    <x v="161"/>
    <m/>
    <x v="928"/>
    <x v="2492"/>
    <m/>
    <x v="3"/>
    <x v="3"/>
    <m/>
    <n v="-24.095782"/>
    <n v="44.547947999999998"/>
    <m/>
    <m/>
  </r>
  <r>
    <s v="605110042SMP"/>
    <x v="1"/>
    <x v="1"/>
    <m/>
    <x v="1"/>
    <x v="1"/>
    <m/>
    <x v="1"/>
    <x v="1"/>
    <m/>
    <x v="10"/>
    <x v="10"/>
    <m/>
    <x v="1301"/>
    <x v="161"/>
    <m/>
    <x v="2115"/>
    <x v="2493"/>
    <m/>
    <x v="3"/>
    <x v="3"/>
    <m/>
    <n v="-24.093668999999998"/>
    <n v="44.877178000000001"/>
    <m/>
    <m/>
  </r>
  <r>
    <s v="605100002SMP"/>
    <x v="1"/>
    <x v="1"/>
    <m/>
    <x v="1"/>
    <x v="1"/>
    <m/>
    <x v="1"/>
    <x v="1"/>
    <m/>
    <x v="44"/>
    <x v="44"/>
    <m/>
    <x v="1301"/>
    <x v="161"/>
    <m/>
    <x v="2116"/>
    <x v="2494"/>
    <m/>
    <x v="3"/>
    <x v="3"/>
    <m/>
    <n v="-24.092976"/>
    <n v="44.564348000000003"/>
    <m/>
    <m/>
  </r>
  <r>
    <s v="605170011SMP"/>
    <x v="1"/>
    <x v="1"/>
    <m/>
    <x v="1"/>
    <x v="1"/>
    <m/>
    <x v="1"/>
    <x v="1"/>
    <m/>
    <x v="262"/>
    <x v="260"/>
    <m/>
    <x v="1301"/>
    <x v="161"/>
    <m/>
    <x v="2117"/>
    <x v="2495"/>
    <m/>
    <x v="3"/>
    <x v="3"/>
    <m/>
    <n v="-24.086808999999999"/>
    <n v="44.414005000000003"/>
    <m/>
    <m/>
  </r>
  <r>
    <s v="605110006SMP"/>
    <x v="1"/>
    <x v="1"/>
    <m/>
    <x v="1"/>
    <x v="1"/>
    <m/>
    <x v="1"/>
    <x v="1"/>
    <m/>
    <x v="10"/>
    <x v="10"/>
    <m/>
    <x v="1301"/>
    <x v="161"/>
    <m/>
    <x v="2118"/>
    <x v="2496"/>
    <m/>
    <x v="3"/>
    <x v="3"/>
    <m/>
    <n v="-24.084174999999998"/>
    <n v="45.037714999999999"/>
    <m/>
    <m/>
  </r>
  <r>
    <s v="605170018SMP"/>
    <x v="1"/>
    <x v="1"/>
    <m/>
    <x v="1"/>
    <x v="1"/>
    <m/>
    <x v="1"/>
    <x v="1"/>
    <m/>
    <x v="262"/>
    <x v="260"/>
    <m/>
    <x v="1301"/>
    <x v="161"/>
    <m/>
    <x v="2119"/>
    <x v="2497"/>
    <m/>
    <x v="3"/>
    <x v="3"/>
    <m/>
    <n v="-24.076540999999999"/>
    <n v="44.346054000000002"/>
    <m/>
    <m/>
  </r>
  <r>
    <s v="605150013SMP"/>
    <x v="1"/>
    <x v="1"/>
    <m/>
    <x v="1"/>
    <x v="1"/>
    <m/>
    <x v="1"/>
    <x v="1"/>
    <m/>
    <x v="231"/>
    <x v="230"/>
    <m/>
    <x v="1301"/>
    <x v="161"/>
    <m/>
    <x v="2120"/>
    <x v="2498"/>
    <m/>
    <x v="3"/>
    <x v="3"/>
    <m/>
    <n v="-24.072115"/>
    <n v="44.799757"/>
    <m/>
    <m/>
  </r>
  <r>
    <s v="605110025SMP"/>
    <x v="1"/>
    <x v="1"/>
    <m/>
    <x v="1"/>
    <x v="1"/>
    <m/>
    <x v="1"/>
    <x v="1"/>
    <m/>
    <x v="10"/>
    <x v="10"/>
    <m/>
    <x v="1301"/>
    <x v="161"/>
    <m/>
    <x v="2121"/>
    <x v="2499"/>
    <m/>
    <x v="3"/>
    <x v="3"/>
    <m/>
    <n v="-24.068860000000001"/>
    <n v="44.948183"/>
    <m/>
    <m/>
  </r>
  <r>
    <s v="605110027SMP"/>
    <x v="1"/>
    <x v="1"/>
    <m/>
    <x v="1"/>
    <x v="1"/>
    <m/>
    <x v="1"/>
    <x v="1"/>
    <m/>
    <x v="10"/>
    <x v="10"/>
    <m/>
    <x v="1301"/>
    <x v="161"/>
    <m/>
    <x v="2122"/>
    <x v="2500"/>
    <m/>
    <x v="3"/>
    <x v="3"/>
    <m/>
    <n v="-24.063693000000001"/>
    <n v="45.128478000000001"/>
    <m/>
    <m/>
  </r>
  <r>
    <s v="605110028SMP"/>
    <x v="1"/>
    <x v="1"/>
    <m/>
    <x v="1"/>
    <x v="1"/>
    <m/>
    <x v="1"/>
    <x v="1"/>
    <m/>
    <x v="10"/>
    <x v="10"/>
    <m/>
    <x v="1301"/>
    <x v="161"/>
    <m/>
    <x v="2123"/>
    <x v="2501"/>
    <m/>
    <x v="3"/>
    <x v="3"/>
    <m/>
    <n v="-24.053926000000001"/>
    <n v="45.018875000000001"/>
    <m/>
    <m/>
  </r>
  <r>
    <s v="605170002SMP"/>
    <x v="1"/>
    <x v="1"/>
    <m/>
    <x v="1"/>
    <x v="1"/>
    <m/>
    <x v="1"/>
    <x v="1"/>
    <m/>
    <x v="262"/>
    <x v="260"/>
    <m/>
    <x v="1301"/>
    <x v="161"/>
    <m/>
    <x v="2124"/>
    <x v="2502"/>
    <m/>
    <x v="3"/>
    <x v="3"/>
    <m/>
    <n v="-24.047530999999999"/>
    <n v="44.376798999999998"/>
    <m/>
    <m/>
  </r>
  <r>
    <s v="605090015SMP"/>
    <x v="1"/>
    <x v="1"/>
    <m/>
    <x v="1"/>
    <x v="1"/>
    <m/>
    <x v="1"/>
    <x v="1"/>
    <m/>
    <x v="131"/>
    <x v="131"/>
    <m/>
    <x v="1301"/>
    <x v="161"/>
    <m/>
    <x v="2125"/>
    <x v="2503"/>
    <m/>
    <x v="3"/>
    <x v="3"/>
    <m/>
    <n v="-24.046548999999999"/>
    <n v="44.811836999999997"/>
    <m/>
    <m/>
  </r>
  <r>
    <s v="605100014SMP"/>
    <x v="1"/>
    <x v="1"/>
    <m/>
    <x v="1"/>
    <x v="1"/>
    <m/>
    <x v="1"/>
    <x v="1"/>
    <m/>
    <x v="44"/>
    <x v="44"/>
    <m/>
    <x v="1301"/>
    <x v="161"/>
    <m/>
    <x v="2126"/>
    <x v="2504"/>
    <m/>
    <x v="3"/>
    <x v="3"/>
    <m/>
    <n v="-24.044824999999999"/>
    <n v="44.575536999999997"/>
    <m/>
    <m/>
  </r>
  <r>
    <s v="605110010SMP"/>
    <x v="1"/>
    <x v="1"/>
    <m/>
    <x v="1"/>
    <x v="1"/>
    <m/>
    <x v="1"/>
    <x v="1"/>
    <m/>
    <x v="1"/>
    <x v="1"/>
    <m/>
    <x v="1301"/>
    <x v="161"/>
    <m/>
    <x v="185"/>
    <x v="2505"/>
    <m/>
    <x v="3"/>
    <x v="3"/>
    <m/>
    <n v="-24.040861"/>
    <n v="44.916142000000001"/>
    <m/>
    <m/>
  </r>
  <r>
    <s v="605090001SMP"/>
    <x v="1"/>
    <x v="1"/>
    <m/>
    <x v="1"/>
    <x v="1"/>
    <m/>
    <x v="1"/>
    <x v="1"/>
    <m/>
    <x v="131"/>
    <x v="131"/>
    <m/>
    <x v="1301"/>
    <x v="161"/>
    <m/>
    <x v="2127"/>
    <x v="2506"/>
    <m/>
    <x v="3"/>
    <x v="3"/>
    <m/>
    <n v="-24.035678000000001"/>
    <n v="44.650813999999997"/>
    <m/>
    <m/>
  </r>
  <r>
    <s v="605110023SMP"/>
    <x v="1"/>
    <x v="1"/>
    <m/>
    <x v="1"/>
    <x v="1"/>
    <m/>
    <x v="1"/>
    <x v="1"/>
    <m/>
    <x v="10"/>
    <x v="10"/>
    <m/>
    <x v="1301"/>
    <x v="161"/>
    <m/>
    <x v="2128"/>
    <x v="2507"/>
    <m/>
    <x v="3"/>
    <x v="3"/>
    <m/>
    <n v="-24.027766"/>
    <n v="44.975012999999997"/>
    <m/>
    <m/>
  </r>
  <r>
    <s v="605090002SMP"/>
    <x v="1"/>
    <x v="1"/>
    <m/>
    <x v="1"/>
    <x v="1"/>
    <m/>
    <x v="1"/>
    <x v="1"/>
    <m/>
    <x v="131"/>
    <x v="131"/>
    <m/>
    <x v="1301"/>
    <x v="161"/>
    <m/>
    <x v="2129"/>
    <x v="2508"/>
    <m/>
    <x v="3"/>
    <x v="3"/>
    <m/>
    <n v="-24.022516"/>
    <n v="44.839709999999997"/>
    <m/>
    <m/>
  </r>
  <r>
    <s v="605110009SMP"/>
    <x v="1"/>
    <x v="1"/>
    <m/>
    <x v="1"/>
    <x v="1"/>
    <m/>
    <x v="1"/>
    <x v="1"/>
    <m/>
    <x v="10"/>
    <x v="10"/>
    <m/>
    <x v="1301"/>
    <x v="161"/>
    <m/>
    <x v="2130"/>
    <x v="2509"/>
    <m/>
    <x v="3"/>
    <x v="3"/>
    <m/>
    <n v="-24.013818000000001"/>
    <n v="45.131265999999997"/>
    <m/>
    <m/>
  </r>
  <r>
    <s v="605090004SMP"/>
    <x v="1"/>
    <x v="1"/>
    <m/>
    <x v="1"/>
    <x v="1"/>
    <m/>
    <x v="1"/>
    <x v="1"/>
    <m/>
    <x v="131"/>
    <x v="131"/>
    <m/>
    <x v="1301"/>
    <x v="161"/>
    <m/>
    <x v="2131"/>
    <x v="2510"/>
    <m/>
    <x v="3"/>
    <x v="3"/>
    <m/>
    <n v="-24.004535000000001"/>
    <n v="44.666964"/>
    <m/>
    <m/>
  </r>
  <r>
    <s v="605090003SMP"/>
    <x v="1"/>
    <x v="1"/>
    <m/>
    <x v="1"/>
    <x v="1"/>
    <m/>
    <x v="1"/>
    <x v="1"/>
    <m/>
    <x v="131"/>
    <x v="131"/>
    <m/>
    <x v="1301"/>
    <x v="161"/>
    <m/>
    <x v="2132"/>
    <x v="2511"/>
    <m/>
    <x v="3"/>
    <x v="3"/>
    <m/>
    <n v="-23.999542000000002"/>
    <n v="44.619543999999998"/>
    <m/>
    <m/>
  </r>
  <r>
    <s v="605110017SMP"/>
    <x v="1"/>
    <x v="1"/>
    <m/>
    <x v="1"/>
    <x v="1"/>
    <m/>
    <x v="1"/>
    <x v="1"/>
    <m/>
    <x v="1"/>
    <x v="1"/>
    <m/>
    <x v="1301"/>
    <x v="161"/>
    <m/>
    <x v="2133"/>
    <x v="2512"/>
    <m/>
    <x v="3"/>
    <x v="3"/>
    <m/>
    <n v="-23.997941000000001"/>
    <n v="44.918711000000002"/>
    <m/>
    <m/>
  </r>
  <r>
    <s v="605090009SMP"/>
    <x v="1"/>
    <x v="1"/>
    <m/>
    <x v="1"/>
    <x v="1"/>
    <m/>
    <x v="1"/>
    <x v="1"/>
    <m/>
    <x v="131"/>
    <x v="131"/>
    <m/>
    <x v="1301"/>
    <x v="161"/>
    <m/>
    <x v="2134"/>
    <x v="2513"/>
    <m/>
    <x v="3"/>
    <x v="3"/>
    <m/>
    <n v="-23.993901999999999"/>
    <n v="44.668469999999999"/>
    <m/>
    <m/>
  </r>
  <r>
    <s v="605110022SMP"/>
    <x v="1"/>
    <x v="1"/>
    <m/>
    <x v="1"/>
    <x v="1"/>
    <m/>
    <x v="1"/>
    <x v="1"/>
    <m/>
    <x v="10"/>
    <x v="10"/>
    <m/>
    <x v="1301"/>
    <x v="161"/>
    <m/>
    <x v="2135"/>
    <x v="2514"/>
    <m/>
    <x v="3"/>
    <x v="3"/>
    <m/>
    <n v="-23.979098"/>
    <n v="45.125016000000002"/>
    <m/>
    <m/>
  </r>
  <r>
    <s v="605170012SMP"/>
    <x v="1"/>
    <x v="1"/>
    <m/>
    <x v="1"/>
    <x v="1"/>
    <m/>
    <x v="1"/>
    <x v="1"/>
    <m/>
    <x v="262"/>
    <x v="260"/>
    <m/>
    <x v="1301"/>
    <x v="161"/>
    <m/>
    <x v="2136"/>
    <x v="2515"/>
    <m/>
    <x v="3"/>
    <x v="3"/>
    <m/>
    <n v="-24.076229999999999"/>
    <n v="44.347070000000002"/>
    <m/>
    <m/>
  </r>
  <r>
    <s v="605030005SMP"/>
    <x v="1"/>
    <x v="1"/>
    <m/>
    <x v="1"/>
    <x v="1"/>
    <m/>
    <x v="1"/>
    <x v="1"/>
    <m/>
    <x v="43"/>
    <x v="43"/>
    <m/>
    <x v="1301"/>
    <x v="161"/>
    <m/>
    <x v="598"/>
    <x v="2516"/>
    <m/>
    <x v="3"/>
    <x v="3"/>
    <m/>
    <n v="-25.177150000000001"/>
    <n v="44.425800000000002"/>
    <m/>
    <m/>
  </r>
  <r>
    <s v="605130013SMP"/>
    <x v="1"/>
    <x v="1"/>
    <m/>
    <x v="1"/>
    <x v="1"/>
    <m/>
    <x v="1"/>
    <x v="1"/>
    <m/>
    <x v="12"/>
    <x v="12"/>
    <m/>
    <x v="1301"/>
    <x v="161"/>
    <m/>
    <x v="2137"/>
    <x v="2517"/>
    <m/>
    <x v="3"/>
    <x v="3"/>
    <m/>
    <n v="-24.504899999999999"/>
    <n v="43.845280000000002"/>
    <m/>
    <m/>
  </r>
  <r>
    <s v="605160010SMP"/>
    <x v="1"/>
    <x v="1"/>
    <m/>
    <x v="1"/>
    <x v="1"/>
    <m/>
    <x v="1"/>
    <x v="1"/>
    <m/>
    <x v="102"/>
    <x v="102"/>
    <m/>
    <x v="1301"/>
    <x v="161"/>
    <m/>
    <x v="2138"/>
    <x v="2518"/>
    <m/>
    <x v="3"/>
    <x v="3"/>
    <m/>
    <n v="-24.693899999999999"/>
    <n v="44.578830000000004"/>
    <m/>
    <m/>
  </r>
  <r>
    <s v="605170009SMP"/>
    <x v="1"/>
    <x v="1"/>
    <m/>
    <x v="1"/>
    <x v="1"/>
    <m/>
    <x v="1"/>
    <x v="1"/>
    <m/>
    <x v="262"/>
    <x v="260"/>
    <m/>
    <x v="1301"/>
    <x v="161"/>
    <m/>
    <x v="2139"/>
    <x v="2519"/>
    <m/>
    <x v="3"/>
    <x v="3"/>
    <m/>
    <n v="-24.076229999999999"/>
    <n v="44.347070000000002"/>
    <m/>
    <m/>
  </r>
  <r>
    <s v="317080016SMP"/>
    <x v="0"/>
    <x v="0"/>
    <m/>
    <x v="0"/>
    <x v="0"/>
    <m/>
    <x v="5"/>
    <x v="5"/>
    <m/>
    <x v="263"/>
    <x v="261"/>
    <m/>
    <x v="1301"/>
    <x v="161"/>
    <m/>
    <x v="2140"/>
    <x v="2520"/>
    <m/>
    <x v="3"/>
    <x v="3"/>
    <m/>
    <n v="-21.403420000000001"/>
    <n v="47.983020000000003"/>
    <m/>
    <m/>
  </r>
  <r>
    <s v="306240011SMP"/>
    <x v="6"/>
    <x v="6"/>
    <m/>
    <x v="6"/>
    <x v="6"/>
    <m/>
    <x v="22"/>
    <x v="21"/>
    <m/>
    <x v="264"/>
    <x v="262"/>
    <m/>
    <x v="1301"/>
    <x v="161"/>
    <m/>
    <x v="2141"/>
    <x v="2521"/>
    <m/>
    <x v="3"/>
    <x v="3"/>
    <m/>
    <n v="-20.553940999999998"/>
    <n v="47.243250000000003"/>
    <m/>
    <m/>
  </r>
  <r>
    <s v="306240008SMP"/>
    <x v="6"/>
    <x v="6"/>
    <m/>
    <x v="6"/>
    <x v="6"/>
    <m/>
    <x v="22"/>
    <x v="21"/>
    <m/>
    <x v="264"/>
    <x v="262"/>
    <m/>
    <x v="1301"/>
    <x v="161"/>
    <m/>
    <x v="2142"/>
    <x v="2522"/>
    <m/>
    <x v="3"/>
    <x v="3"/>
    <m/>
    <n v="-20.528438999999999"/>
    <n v="47.229604999999999"/>
    <m/>
    <m/>
  </r>
  <r>
    <s v="306240013SMP"/>
    <x v="6"/>
    <x v="6"/>
    <m/>
    <x v="6"/>
    <x v="6"/>
    <m/>
    <x v="22"/>
    <x v="21"/>
    <m/>
    <x v="264"/>
    <x v="262"/>
    <m/>
    <x v="1301"/>
    <x v="161"/>
    <m/>
    <x v="2143"/>
    <x v="2523"/>
    <m/>
    <x v="3"/>
    <x v="3"/>
    <m/>
    <n v="-20.517517000000002"/>
    <n v="47.251218000000001"/>
    <m/>
    <m/>
  </r>
  <r>
    <s v="306240006SMP"/>
    <x v="6"/>
    <x v="6"/>
    <m/>
    <x v="6"/>
    <x v="6"/>
    <m/>
    <x v="22"/>
    <x v="21"/>
    <m/>
    <x v="265"/>
    <x v="263"/>
    <m/>
    <x v="1301"/>
    <x v="161"/>
    <m/>
    <x v="2144"/>
    <x v="2524"/>
    <m/>
    <x v="3"/>
    <x v="3"/>
    <m/>
    <n v="-20.539570000000001"/>
    <n v="47.245815999999998"/>
    <m/>
    <m/>
  </r>
  <r>
    <s v="306080008SMP"/>
    <x v="6"/>
    <x v="6"/>
    <m/>
    <x v="6"/>
    <x v="6"/>
    <m/>
    <x v="22"/>
    <x v="21"/>
    <m/>
    <x v="266"/>
    <x v="264"/>
    <m/>
    <x v="1301"/>
    <x v="161"/>
    <m/>
    <x v="2145"/>
    <x v="2525"/>
    <m/>
    <x v="3"/>
    <x v="3"/>
    <m/>
    <n v="-20.532751000000001"/>
    <n v="47.150728000000001"/>
    <m/>
    <m/>
  </r>
  <r>
    <s v="306080006SMP"/>
    <x v="6"/>
    <x v="6"/>
    <m/>
    <x v="6"/>
    <x v="6"/>
    <m/>
    <x v="22"/>
    <x v="21"/>
    <m/>
    <x v="266"/>
    <x v="264"/>
    <m/>
    <x v="1301"/>
    <x v="161"/>
    <m/>
    <x v="2146"/>
    <x v="2526"/>
    <m/>
    <x v="3"/>
    <x v="3"/>
    <m/>
    <n v="-20.527899999999999"/>
    <n v="47.121671999999997"/>
    <m/>
    <m/>
  </r>
  <r>
    <s v="306080016SMP"/>
    <x v="6"/>
    <x v="6"/>
    <m/>
    <x v="6"/>
    <x v="6"/>
    <m/>
    <x v="22"/>
    <x v="21"/>
    <m/>
    <x v="266"/>
    <x v="264"/>
    <m/>
    <x v="1301"/>
    <x v="161"/>
    <m/>
    <x v="2147"/>
    <x v="2527"/>
    <m/>
    <x v="3"/>
    <x v="3"/>
    <m/>
    <n v="-20.5032"/>
    <n v="47.160189000000003"/>
    <m/>
    <m/>
  </r>
  <r>
    <s v="306080007SMP"/>
    <x v="6"/>
    <x v="6"/>
    <m/>
    <x v="6"/>
    <x v="6"/>
    <m/>
    <x v="22"/>
    <x v="21"/>
    <m/>
    <x v="266"/>
    <x v="264"/>
    <m/>
    <x v="1301"/>
    <x v="161"/>
    <m/>
    <x v="2148"/>
    <x v="2528"/>
    <m/>
    <x v="3"/>
    <x v="3"/>
    <m/>
    <n v="-20.32292"/>
    <n v="47.103394999999999"/>
    <m/>
    <m/>
  </r>
  <r>
    <s v="306080017SMP"/>
    <x v="6"/>
    <x v="6"/>
    <m/>
    <x v="6"/>
    <x v="6"/>
    <m/>
    <x v="22"/>
    <x v="21"/>
    <m/>
    <x v="266"/>
    <x v="264"/>
    <m/>
    <x v="1301"/>
    <x v="161"/>
    <m/>
    <x v="2149"/>
    <x v="2529"/>
    <m/>
    <x v="3"/>
    <x v="3"/>
    <m/>
    <n v="-20.5017"/>
    <n v="47.192680000000003"/>
    <m/>
    <m/>
  </r>
  <r>
    <s v="306090002SMP"/>
    <x v="6"/>
    <x v="6"/>
    <m/>
    <x v="6"/>
    <x v="6"/>
    <m/>
    <x v="22"/>
    <x v="21"/>
    <m/>
    <x v="267"/>
    <x v="265"/>
    <m/>
    <x v="1301"/>
    <x v="161"/>
    <m/>
    <x v="2150"/>
    <x v="2530"/>
    <m/>
    <x v="3"/>
    <x v="3"/>
    <m/>
    <n v="-20.572735000000002"/>
    <n v="47.232653999999997"/>
    <m/>
    <m/>
  </r>
  <r>
    <s v="306110001SMP"/>
    <x v="6"/>
    <x v="6"/>
    <m/>
    <x v="6"/>
    <x v="6"/>
    <m/>
    <x v="22"/>
    <x v="21"/>
    <m/>
    <x v="268"/>
    <x v="266"/>
    <m/>
    <x v="1301"/>
    <x v="161"/>
    <m/>
    <x v="2151"/>
    <x v="2531"/>
    <m/>
    <x v="3"/>
    <x v="3"/>
    <m/>
    <n v="-20.517793999999999"/>
    <n v="47.337347999999999"/>
    <m/>
    <m/>
  </r>
  <r>
    <s v="306110007SMP"/>
    <x v="6"/>
    <x v="6"/>
    <m/>
    <x v="6"/>
    <x v="6"/>
    <m/>
    <x v="22"/>
    <x v="21"/>
    <m/>
    <x v="268"/>
    <x v="266"/>
    <m/>
    <x v="1301"/>
    <x v="161"/>
    <m/>
    <x v="2152"/>
    <x v="2532"/>
    <m/>
    <x v="3"/>
    <x v="3"/>
    <m/>
    <n v="-20.506779000000002"/>
    <n v="47.309784999999998"/>
    <m/>
    <m/>
  </r>
  <r>
    <s v="306110002SMP"/>
    <x v="6"/>
    <x v="6"/>
    <m/>
    <x v="6"/>
    <x v="6"/>
    <m/>
    <x v="22"/>
    <x v="21"/>
    <m/>
    <x v="268"/>
    <x v="266"/>
    <m/>
    <x v="1301"/>
    <x v="161"/>
    <m/>
    <x v="2153"/>
    <x v="2533"/>
    <m/>
    <x v="3"/>
    <x v="3"/>
    <m/>
    <n v="-20.500475000000002"/>
    <n v="47.320165000000003"/>
    <m/>
    <m/>
  </r>
  <r>
    <s v="306110003SMP"/>
    <x v="6"/>
    <x v="6"/>
    <m/>
    <x v="6"/>
    <x v="6"/>
    <m/>
    <x v="22"/>
    <x v="21"/>
    <m/>
    <x v="268"/>
    <x v="266"/>
    <m/>
    <x v="1301"/>
    <x v="161"/>
    <m/>
    <x v="2154"/>
    <x v="2534"/>
    <m/>
    <x v="3"/>
    <x v="3"/>
    <m/>
    <n v="-20.303903999999999"/>
    <n v="47.198146000000001"/>
    <m/>
    <m/>
  </r>
  <r>
    <s v="306110004SMP"/>
    <x v="6"/>
    <x v="6"/>
    <m/>
    <x v="6"/>
    <x v="6"/>
    <m/>
    <x v="22"/>
    <x v="21"/>
    <m/>
    <x v="268"/>
    <x v="266"/>
    <m/>
    <x v="1301"/>
    <x v="161"/>
    <m/>
    <x v="2155"/>
    <x v="2535"/>
    <m/>
    <x v="3"/>
    <x v="3"/>
    <m/>
    <n v="-20.303758999999999"/>
    <n v="47.205222999999997"/>
    <m/>
    <m/>
  </r>
  <r>
    <s v="306110006SMP"/>
    <x v="6"/>
    <x v="6"/>
    <m/>
    <x v="6"/>
    <x v="6"/>
    <m/>
    <x v="22"/>
    <x v="21"/>
    <m/>
    <x v="268"/>
    <x v="266"/>
    <m/>
    <x v="1301"/>
    <x v="161"/>
    <m/>
    <x v="2156"/>
    <x v="2536"/>
    <m/>
    <x v="3"/>
    <x v="3"/>
    <m/>
    <n v="-20.295915999999998"/>
    <n v="47.203462000000002"/>
    <m/>
    <m/>
  </r>
  <r>
    <s v="306150009SMP"/>
    <x v="6"/>
    <x v="6"/>
    <m/>
    <x v="6"/>
    <x v="6"/>
    <m/>
    <x v="22"/>
    <x v="21"/>
    <m/>
    <x v="57"/>
    <x v="267"/>
    <m/>
    <x v="1301"/>
    <x v="161"/>
    <m/>
    <x v="2157"/>
    <x v="2537"/>
    <m/>
    <x v="3"/>
    <x v="3"/>
    <m/>
    <n v="-20.627189999999999"/>
    <n v="47.200589999999998"/>
    <m/>
    <m/>
  </r>
  <r>
    <s v="306150015SMP"/>
    <x v="6"/>
    <x v="6"/>
    <m/>
    <x v="6"/>
    <x v="6"/>
    <m/>
    <x v="22"/>
    <x v="21"/>
    <m/>
    <x v="57"/>
    <x v="267"/>
    <m/>
    <x v="1301"/>
    <x v="161"/>
    <m/>
    <x v="2158"/>
    <x v="2538"/>
    <m/>
    <x v="3"/>
    <x v="3"/>
    <m/>
    <n v="-20.595174"/>
    <n v="47.218862000000001"/>
    <m/>
    <m/>
  </r>
  <r>
    <s v="306160004SMP"/>
    <x v="6"/>
    <x v="6"/>
    <m/>
    <x v="6"/>
    <x v="6"/>
    <m/>
    <x v="22"/>
    <x v="21"/>
    <m/>
    <x v="269"/>
    <x v="268"/>
    <m/>
    <x v="1301"/>
    <x v="161"/>
    <m/>
    <x v="2159"/>
    <x v="2539"/>
    <m/>
    <x v="3"/>
    <x v="3"/>
    <m/>
    <n v="-20.561015000000001"/>
    <n v="47.203912000000003"/>
    <m/>
    <m/>
  </r>
  <r>
    <s v="306160005SMP"/>
    <x v="6"/>
    <x v="6"/>
    <m/>
    <x v="6"/>
    <x v="6"/>
    <m/>
    <x v="22"/>
    <x v="21"/>
    <m/>
    <x v="269"/>
    <x v="268"/>
    <m/>
    <x v="1301"/>
    <x v="161"/>
    <m/>
    <x v="2160"/>
    <x v="2540"/>
    <m/>
    <x v="3"/>
    <x v="3"/>
    <m/>
    <n v="-20.547709999999999"/>
    <n v="47.201391999999998"/>
    <m/>
    <m/>
  </r>
  <r>
    <s v="323100005SMP"/>
    <x v="6"/>
    <x v="6"/>
    <m/>
    <x v="6"/>
    <x v="6"/>
    <m/>
    <x v="23"/>
    <x v="22"/>
    <m/>
    <x v="270"/>
    <x v="269"/>
    <m/>
    <x v="1301"/>
    <x v="161"/>
    <m/>
    <x v="2161"/>
    <x v="2541"/>
    <m/>
    <x v="3"/>
    <x v="3"/>
    <m/>
    <n v="-20.630485"/>
    <n v="47.066823999999997"/>
    <m/>
    <m/>
  </r>
  <r>
    <s v="323100003SMP"/>
    <x v="6"/>
    <x v="6"/>
    <m/>
    <x v="6"/>
    <x v="6"/>
    <m/>
    <x v="23"/>
    <x v="22"/>
    <m/>
    <x v="270"/>
    <x v="269"/>
    <m/>
    <x v="1301"/>
    <x v="161"/>
    <m/>
    <x v="2162"/>
    <x v="2542"/>
    <m/>
    <x v="3"/>
    <x v="3"/>
    <m/>
    <n v="-20.61365"/>
    <n v="47.060805999999999"/>
    <m/>
    <m/>
  </r>
  <r>
    <s v="309080007SMP"/>
    <x v="0"/>
    <x v="0"/>
    <m/>
    <x v="4"/>
    <x v="4"/>
    <m/>
    <x v="11"/>
    <x v="11"/>
    <m/>
    <x v="62"/>
    <x v="62"/>
    <m/>
    <x v="1301"/>
    <x v="161"/>
    <m/>
    <x v="2163"/>
    <x v="2543"/>
    <m/>
    <x v="3"/>
    <x v="3"/>
    <m/>
    <n v="-22.65343"/>
    <n v="47.568080000000002"/>
    <m/>
    <m/>
  </r>
  <r>
    <s v="309260015SMP"/>
    <x v="0"/>
    <x v="0"/>
    <m/>
    <x v="4"/>
    <x v="4"/>
    <m/>
    <x v="11"/>
    <x v="11"/>
    <m/>
    <x v="62"/>
    <x v="62"/>
    <m/>
    <x v="1301"/>
    <x v="161"/>
    <m/>
    <x v="2164"/>
    <x v="2544"/>
    <m/>
    <x v="3"/>
    <x v="3"/>
    <m/>
    <n v="-22.658770000000001"/>
    <n v="47.474229999999999"/>
    <m/>
    <m/>
  </r>
  <r>
    <s v="112150002SMP"/>
    <x v="6"/>
    <x v="6"/>
    <m/>
    <x v="7"/>
    <x v="7"/>
    <m/>
    <x v="24"/>
    <x v="23"/>
    <m/>
    <x v="271"/>
    <x v="270"/>
    <m/>
    <x v="1301"/>
    <x v="161"/>
    <m/>
    <x v="2165"/>
    <x v="2545"/>
    <m/>
    <x v="3"/>
    <x v="3"/>
    <m/>
    <n v="-19.33305"/>
    <n v="47.169750000000001"/>
    <m/>
    <m/>
  </r>
  <r>
    <s v="603190002SMP"/>
    <x v="5"/>
    <x v="5"/>
    <m/>
    <x v="3"/>
    <x v="3"/>
    <m/>
    <x v="25"/>
    <x v="4"/>
    <m/>
    <x v="167"/>
    <x v="168"/>
    <m/>
    <x v="1301"/>
    <x v="161"/>
    <m/>
    <x v="2166"/>
    <x v="2546"/>
    <m/>
    <x v="3"/>
    <x v="3"/>
    <m/>
    <n v="-24.591830000000002"/>
    <n v="46.287849999999999"/>
    <m/>
    <m/>
  </r>
  <r>
    <s v="603060005SMP"/>
    <x v="5"/>
    <x v="5"/>
    <m/>
    <x v="3"/>
    <x v="3"/>
    <m/>
    <x v="25"/>
    <x v="4"/>
    <m/>
    <x v="167"/>
    <x v="168"/>
    <m/>
    <x v="1301"/>
    <x v="161"/>
    <m/>
    <x v="2167"/>
    <x v="2547"/>
    <m/>
    <x v="3"/>
    <x v="3"/>
    <m/>
    <n v="-24.590399999999999"/>
    <n v="46.217120000000001"/>
    <m/>
    <m/>
  </r>
  <r>
    <s v="603060004SMP"/>
    <x v="5"/>
    <x v="5"/>
    <m/>
    <x v="3"/>
    <x v="3"/>
    <m/>
    <x v="25"/>
    <x v="4"/>
    <m/>
    <x v="167"/>
    <x v="168"/>
    <m/>
    <x v="1301"/>
    <x v="161"/>
    <m/>
    <x v="2168"/>
    <x v="2548"/>
    <m/>
    <x v="3"/>
    <x v="3"/>
    <m/>
    <n v="-24.666450000000001"/>
    <n v="46.250529999999998"/>
    <m/>
    <m/>
  </r>
  <r>
    <s v="603190008SMP"/>
    <x v="5"/>
    <x v="5"/>
    <m/>
    <x v="3"/>
    <x v="3"/>
    <m/>
    <x v="25"/>
    <x v="4"/>
    <m/>
    <x v="167"/>
    <x v="168"/>
    <m/>
    <x v="1301"/>
    <x v="161"/>
    <m/>
    <x v="87"/>
    <x v="2549"/>
    <m/>
    <x v="3"/>
    <x v="3"/>
    <m/>
    <n v="-24.615919999999999"/>
    <n v="46.239649999999997"/>
    <m/>
    <m/>
  </r>
  <r>
    <s v="603190004SMP"/>
    <x v="5"/>
    <x v="5"/>
    <m/>
    <x v="3"/>
    <x v="3"/>
    <m/>
    <x v="25"/>
    <x v="4"/>
    <m/>
    <x v="167"/>
    <x v="168"/>
    <m/>
    <x v="1301"/>
    <x v="161"/>
    <m/>
    <x v="2169"/>
    <x v="2550"/>
    <m/>
    <x v="3"/>
    <x v="3"/>
    <m/>
    <n v="-24.573920000000001"/>
    <n v="46.188630000000003"/>
    <m/>
    <m/>
  </r>
  <r>
    <s v="603060019SMP"/>
    <x v="5"/>
    <x v="5"/>
    <m/>
    <x v="3"/>
    <x v="3"/>
    <m/>
    <x v="25"/>
    <x v="4"/>
    <m/>
    <x v="167"/>
    <x v="168"/>
    <m/>
    <x v="1301"/>
    <x v="161"/>
    <m/>
    <x v="2170"/>
    <x v="2551"/>
    <m/>
    <x v="3"/>
    <x v="3"/>
    <m/>
    <n v="-24.56672"/>
    <n v="46.219749999999998"/>
    <m/>
    <m/>
  </r>
  <r>
    <s v="603060015SMP"/>
    <x v="5"/>
    <x v="5"/>
    <m/>
    <x v="3"/>
    <x v="3"/>
    <m/>
    <x v="25"/>
    <x v="4"/>
    <m/>
    <x v="167"/>
    <x v="168"/>
    <m/>
    <x v="1301"/>
    <x v="161"/>
    <m/>
    <x v="1449"/>
    <x v="2552"/>
    <m/>
    <x v="3"/>
    <x v="3"/>
    <m/>
    <n v="-24.600370000000002"/>
    <n v="46.259430000000002"/>
    <m/>
    <m/>
  </r>
  <r>
    <s v="603190006SMP"/>
    <x v="5"/>
    <x v="5"/>
    <m/>
    <x v="3"/>
    <x v="3"/>
    <m/>
    <x v="25"/>
    <x v="4"/>
    <m/>
    <x v="167"/>
    <x v="168"/>
    <m/>
    <x v="1301"/>
    <x v="161"/>
    <m/>
    <x v="2171"/>
    <x v="2553"/>
    <m/>
    <x v="3"/>
    <x v="3"/>
    <m/>
    <n v="-24.713850000000001"/>
    <n v="46.220730000000003"/>
    <m/>
    <m/>
  </r>
  <r>
    <s v="320170009SMP"/>
    <x v="0"/>
    <x v="0"/>
    <m/>
    <x v="4"/>
    <x v="4"/>
    <m/>
    <x v="10"/>
    <x v="10"/>
    <m/>
    <x v="194"/>
    <x v="194"/>
    <m/>
    <x v="1301"/>
    <x v="161"/>
    <m/>
    <x v="884"/>
    <x v="2554"/>
    <m/>
    <x v="3"/>
    <x v="3"/>
    <m/>
    <n v="-23.591149999999999"/>
    <n v="47.572670000000002"/>
    <m/>
    <m/>
  </r>
  <r>
    <s v="117010024SMP"/>
    <x v="6"/>
    <x v="6"/>
    <m/>
    <x v="7"/>
    <x v="7"/>
    <m/>
    <x v="26"/>
    <x v="24"/>
    <m/>
    <x v="272"/>
    <x v="271"/>
    <m/>
    <x v="1301"/>
    <x v="161"/>
    <m/>
    <x v="2172"/>
    <x v="2555"/>
    <m/>
    <x v="3"/>
    <x v="3"/>
    <m/>
    <n v="-18.850064"/>
    <n v="46.852873000000002"/>
    <m/>
    <m/>
  </r>
  <r>
    <s v="117010004SMP"/>
    <x v="6"/>
    <x v="6"/>
    <m/>
    <x v="7"/>
    <x v="7"/>
    <m/>
    <x v="26"/>
    <x v="24"/>
    <m/>
    <x v="272"/>
    <x v="271"/>
    <m/>
    <x v="1301"/>
    <x v="161"/>
    <m/>
    <x v="2173"/>
    <x v="2556"/>
    <m/>
    <x v="3"/>
    <x v="3"/>
    <m/>
    <n v="-18.720420000000001"/>
    <n v="46.756270000000001"/>
    <m/>
    <m/>
  </r>
  <r>
    <s v="112220016SMP"/>
    <x v="6"/>
    <x v="6"/>
    <m/>
    <x v="7"/>
    <x v="7"/>
    <m/>
    <x v="24"/>
    <x v="23"/>
    <m/>
    <x v="273"/>
    <x v="272"/>
    <m/>
    <x v="1301"/>
    <x v="161"/>
    <m/>
    <x v="2174"/>
    <x v="2557"/>
    <m/>
    <x v="3"/>
    <x v="3"/>
    <m/>
    <n v="-19.222329999999999"/>
    <n v="47.278280000000002"/>
    <m/>
    <m/>
  </r>
  <r>
    <s v="112220004SMP"/>
    <x v="6"/>
    <x v="6"/>
    <m/>
    <x v="7"/>
    <x v="7"/>
    <m/>
    <x v="24"/>
    <x v="23"/>
    <m/>
    <x v="273"/>
    <x v="272"/>
    <m/>
    <x v="1301"/>
    <x v="161"/>
    <m/>
    <x v="2175"/>
    <x v="2558"/>
    <m/>
    <x v="3"/>
    <x v="3"/>
    <m/>
    <n v="-19.222329999999999"/>
    <n v="47.278280000000002"/>
    <m/>
    <m/>
  </r>
  <r>
    <s v="117080011SMP"/>
    <x v="6"/>
    <x v="6"/>
    <m/>
    <x v="7"/>
    <x v="7"/>
    <m/>
    <x v="26"/>
    <x v="24"/>
    <m/>
    <x v="274"/>
    <x v="273"/>
    <m/>
    <x v="1301"/>
    <x v="161"/>
    <m/>
    <x v="2176"/>
    <x v="2559"/>
    <m/>
    <x v="3"/>
    <x v="3"/>
    <m/>
    <n v="-18.94314"/>
    <n v="46.842427999999998"/>
    <m/>
    <m/>
  </r>
  <r>
    <s v="117080002SMP"/>
    <x v="6"/>
    <x v="6"/>
    <m/>
    <x v="7"/>
    <x v="7"/>
    <m/>
    <x v="26"/>
    <x v="24"/>
    <m/>
    <x v="274"/>
    <x v="273"/>
    <m/>
    <x v="1301"/>
    <x v="161"/>
    <m/>
    <x v="2177"/>
    <x v="2560"/>
    <m/>
    <x v="3"/>
    <x v="3"/>
    <m/>
    <n v="-18.946899999999999"/>
    <n v="46.869169999999997"/>
    <m/>
    <m/>
  </r>
  <r>
    <s v="117080021SMP"/>
    <x v="6"/>
    <x v="6"/>
    <m/>
    <x v="7"/>
    <x v="7"/>
    <m/>
    <x v="26"/>
    <x v="24"/>
    <m/>
    <x v="274"/>
    <x v="273"/>
    <m/>
    <x v="1301"/>
    <x v="161"/>
    <m/>
    <x v="2178"/>
    <x v="2561"/>
    <m/>
    <x v="3"/>
    <x v="3"/>
    <m/>
    <n v="-18.946899999999999"/>
    <n v="46.869169999999997"/>
    <m/>
    <m/>
  </r>
  <r>
    <s v="117080006SMP"/>
    <x v="6"/>
    <x v="6"/>
    <m/>
    <x v="7"/>
    <x v="7"/>
    <m/>
    <x v="26"/>
    <x v="24"/>
    <m/>
    <x v="274"/>
    <x v="273"/>
    <m/>
    <x v="1301"/>
    <x v="161"/>
    <m/>
    <x v="2179"/>
    <x v="2562"/>
    <m/>
    <x v="3"/>
    <x v="3"/>
    <m/>
    <n v="-18.946899999999999"/>
    <n v="46.869169999999997"/>
    <m/>
    <m/>
  </r>
  <r>
    <s v="117080009SMP"/>
    <x v="6"/>
    <x v="6"/>
    <m/>
    <x v="7"/>
    <x v="7"/>
    <m/>
    <x v="26"/>
    <x v="24"/>
    <m/>
    <x v="274"/>
    <x v="273"/>
    <m/>
    <x v="1301"/>
    <x v="161"/>
    <m/>
    <x v="2180"/>
    <x v="2563"/>
    <m/>
    <x v="3"/>
    <x v="3"/>
    <m/>
    <n v="-18.946899999999999"/>
    <n v="46.869169999999997"/>
    <m/>
    <m/>
  </r>
  <r>
    <s v="117080012SMP"/>
    <x v="6"/>
    <x v="6"/>
    <m/>
    <x v="7"/>
    <x v="7"/>
    <m/>
    <x v="26"/>
    <x v="24"/>
    <m/>
    <x v="274"/>
    <x v="273"/>
    <m/>
    <x v="1301"/>
    <x v="161"/>
    <m/>
    <x v="2181"/>
    <x v="2564"/>
    <m/>
    <x v="3"/>
    <x v="3"/>
    <m/>
    <n v="-18.946899999999999"/>
    <n v="46.869169999999997"/>
    <m/>
    <m/>
  </r>
  <r>
    <s v="117080014SMP"/>
    <x v="6"/>
    <x v="6"/>
    <m/>
    <x v="7"/>
    <x v="7"/>
    <m/>
    <x v="26"/>
    <x v="24"/>
    <m/>
    <x v="274"/>
    <x v="273"/>
    <m/>
    <x v="1301"/>
    <x v="161"/>
    <m/>
    <x v="2182"/>
    <x v="2565"/>
    <m/>
    <x v="3"/>
    <x v="3"/>
    <m/>
    <n v="-18.946899999999999"/>
    <n v="46.869169999999997"/>
    <m/>
    <m/>
  </r>
  <r>
    <s v="117100013SMP"/>
    <x v="6"/>
    <x v="6"/>
    <m/>
    <x v="7"/>
    <x v="7"/>
    <m/>
    <x v="26"/>
    <x v="24"/>
    <m/>
    <x v="275"/>
    <x v="274"/>
    <m/>
    <x v="1301"/>
    <x v="161"/>
    <m/>
    <x v="2183"/>
    <x v="2566"/>
    <m/>
    <x v="3"/>
    <x v="3"/>
    <m/>
    <n v="-18.850066999999999"/>
    <n v="46.852871999999998"/>
    <m/>
    <m/>
  </r>
  <r>
    <s v="112020018SMP"/>
    <x v="6"/>
    <x v="6"/>
    <m/>
    <x v="7"/>
    <x v="7"/>
    <m/>
    <x v="24"/>
    <x v="23"/>
    <m/>
    <x v="276"/>
    <x v="275"/>
    <m/>
    <x v="1301"/>
    <x v="161"/>
    <m/>
    <x v="2184"/>
    <x v="2567"/>
    <m/>
    <x v="3"/>
    <x v="3"/>
    <m/>
    <n v="-18.804729999999999"/>
    <n v="47.148980000000002"/>
    <m/>
    <m/>
  </r>
  <r>
    <s v="111190009SMP"/>
    <x v="6"/>
    <x v="6"/>
    <m/>
    <x v="8"/>
    <x v="8"/>
    <m/>
    <x v="27"/>
    <x v="25"/>
    <m/>
    <x v="277"/>
    <x v="276"/>
    <m/>
    <x v="1301"/>
    <x v="161"/>
    <m/>
    <x v="2185"/>
    <x v="2568"/>
    <m/>
    <x v="3"/>
    <x v="3"/>
    <m/>
    <n v="-19.970379999999999"/>
    <n v="47.308407000000003"/>
    <m/>
    <m/>
  </r>
  <r>
    <s v="111190001SMP"/>
    <x v="6"/>
    <x v="6"/>
    <m/>
    <x v="8"/>
    <x v="8"/>
    <m/>
    <x v="27"/>
    <x v="25"/>
    <m/>
    <x v="277"/>
    <x v="276"/>
    <m/>
    <x v="1301"/>
    <x v="161"/>
    <m/>
    <x v="2151"/>
    <x v="2569"/>
    <m/>
    <x v="3"/>
    <x v="3"/>
    <m/>
    <n v="-20.047730000000001"/>
    <n v="47.263979999999997"/>
    <m/>
    <m/>
  </r>
  <r>
    <s v="0SMP"/>
    <x v="6"/>
    <x v="6"/>
    <m/>
    <x v="8"/>
    <x v="8"/>
    <m/>
    <x v="27"/>
    <x v="25"/>
    <m/>
    <x v="277"/>
    <x v="276"/>
    <m/>
    <x v="1301"/>
    <x v="161"/>
    <m/>
    <x v="2186"/>
    <x v="2570"/>
    <m/>
    <x v="3"/>
    <x v="3"/>
    <m/>
    <n v="-19.987220000000001"/>
    <n v="47.263599999999997"/>
    <m/>
    <m/>
  </r>
  <r>
    <s v="111010003SMP"/>
    <x v="6"/>
    <x v="6"/>
    <m/>
    <x v="8"/>
    <x v="9"/>
    <m/>
    <x v="27"/>
    <x v="25"/>
    <m/>
    <x v="278"/>
    <x v="277"/>
    <m/>
    <x v="1301"/>
    <x v="161"/>
    <m/>
    <x v="2187"/>
    <x v="2571"/>
    <m/>
    <x v="3"/>
    <x v="3"/>
    <m/>
    <n v="-20.110253"/>
    <n v="47.164270000000002"/>
    <m/>
    <m/>
  </r>
  <r>
    <s v="111050005SMP"/>
    <x v="6"/>
    <x v="6"/>
    <m/>
    <x v="8"/>
    <x v="9"/>
    <m/>
    <x v="27"/>
    <x v="25"/>
    <m/>
    <x v="279"/>
    <x v="278"/>
    <m/>
    <x v="1301"/>
    <x v="161"/>
    <m/>
    <x v="2188"/>
    <x v="2572"/>
    <m/>
    <x v="3"/>
    <x v="3"/>
    <m/>
    <n v="-19.616845999999999"/>
    <n v="47.140737000000001"/>
    <m/>
    <m/>
  </r>
  <r>
    <s v="111050003SMP"/>
    <x v="6"/>
    <x v="6"/>
    <m/>
    <x v="8"/>
    <x v="9"/>
    <m/>
    <x v="27"/>
    <x v="25"/>
    <m/>
    <x v="279"/>
    <x v="278"/>
    <m/>
    <x v="1301"/>
    <x v="161"/>
    <m/>
    <x v="2189"/>
    <x v="2573"/>
    <m/>
    <x v="3"/>
    <x v="3"/>
    <m/>
    <n v="-19.51342"/>
    <n v="47.087800000000001"/>
    <m/>
    <m/>
  </r>
  <r>
    <s v="111050007SMP"/>
    <x v="6"/>
    <x v="6"/>
    <m/>
    <x v="8"/>
    <x v="9"/>
    <m/>
    <x v="27"/>
    <x v="25"/>
    <m/>
    <x v="279"/>
    <x v="278"/>
    <m/>
    <x v="1301"/>
    <x v="161"/>
    <m/>
    <x v="2190"/>
    <x v="2574"/>
    <m/>
    <x v="3"/>
    <x v="3"/>
    <m/>
    <n v="-19.51342"/>
    <n v="47.087800000000001"/>
    <m/>
    <m/>
  </r>
  <r>
    <s v="111050009SMP"/>
    <x v="6"/>
    <x v="6"/>
    <m/>
    <x v="8"/>
    <x v="9"/>
    <m/>
    <x v="27"/>
    <x v="25"/>
    <m/>
    <x v="279"/>
    <x v="278"/>
    <m/>
    <x v="1301"/>
    <x v="161"/>
    <m/>
    <x v="2191"/>
    <x v="2575"/>
    <m/>
    <x v="3"/>
    <x v="3"/>
    <m/>
    <n v="-19.51342"/>
    <n v="47.087800000000001"/>
    <m/>
    <m/>
  </r>
  <r>
    <s v="111050012SMP"/>
    <x v="6"/>
    <x v="6"/>
    <m/>
    <x v="8"/>
    <x v="9"/>
    <m/>
    <x v="27"/>
    <x v="25"/>
    <m/>
    <x v="279"/>
    <x v="278"/>
    <m/>
    <x v="1301"/>
    <x v="161"/>
    <m/>
    <x v="718"/>
    <x v="2576"/>
    <m/>
    <x v="3"/>
    <x v="3"/>
    <m/>
    <n v="-19.51342"/>
    <n v="47.087800000000001"/>
    <m/>
    <m/>
  </r>
  <r>
    <s v="111050015SMP"/>
    <x v="6"/>
    <x v="6"/>
    <m/>
    <x v="8"/>
    <x v="9"/>
    <m/>
    <x v="27"/>
    <x v="25"/>
    <m/>
    <x v="279"/>
    <x v="278"/>
    <m/>
    <x v="1301"/>
    <x v="161"/>
    <m/>
    <x v="2192"/>
    <x v="2577"/>
    <m/>
    <x v="3"/>
    <x v="3"/>
    <m/>
    <n v="-19.51342"/>
    <n v="47.087800000000001"/>
    <m/>
    <m/>
  </r>
  <r>
    <s v="111050016SMP"/>
    <x v="6"/>
    <x v="6"/>
    <m/>
    <x v="8"/>
    <x v="9"/>
    <m/>
    <x v="27"/>
    <x v="25"/>
    <m/>
    <x v="279"/>
    <x v="278"/>
    <m/>
    <x v="1301"/>
    <x v="161"/>
    <m/>
    <x v="2193"/>
    <x v="2578"/>
    <m/>
    <x v="3"/>
    <x v="3"/>
    <m/>
    <n v="-19.51342"/>
    <n v="47.087800000000001"/>
    <m/>
    <m/>
  </r>
  <r>
    <s v="111050018SMP"/>
    <x v="6"/>
    <x v="6"/>
    <m/>
    <x v="8"/>
    <x v="9"/>
    <m/>
    <x v="27"/>
    <x v="25"/>
    <m/>
    <x v="279"/>
    <x v="278"/>
    <m/>
    <x v="1301"/>
    <x v="161"/>
    <m/>
    <x v="1289"/>
    <x v="2579"/>
    <m/>
    <x v="3"/>
    <x v="3"/>
    <m/>
    <n v="-19.51342"/>
    <n v="47.087800000000001"/>
    <m/>
    <m/>
  </r>
  <r>
    <s v="111050022SMP"/>
    <x v="6"/>
    <x v="6"/>
    <m/>
    <x v="8"/>
    <x v="9"/>
    <m/>
    <x v="27"/>
    <x v="25"/>
    <m/>
    <x v="279"/>
    <x v="278"/>
    <m/>
    <x v="1301"/>
    <x v="161"/>
    <m/>
    <x v="2194"/>
    <x v="2580"/>
    <m/>
    <x v="3"/>
    <x v="3"/>
    <m/>
    <n v="-19.51342"/>
    <n v="47.087800000000001"/>
    <m/>
    <m/>
  </r>
  <r>
    <s v="111100011SMP"/>
    <x v="6"/>
    <x v="6"/>
    <m/>
    <x v="8"/>
    <x v="9"/>
    <m/>
    <x v="27"/>
    <x v="25"/>
    <m/>
    <x v="280"/>
    <x v="279"/>
    <m/>
    <x v="1301"/>
    <x v="161"/>
    <m/>
    <x v="2195"/>
    <x v="2581"/>
    <m/>
    <x v="3"/>
    <x v="3"/>
    <m/>
    <n v="-19.970886"/>
    <n v="47.308419999999998"/>
    <m/>
    <m/>
  </r>
  <r>
    <s v="111100002SMP"/>
    <x v="6"/>
    <x v="6"/>
    <m/>
    <x v="8"/>
    <x v="9"/>
    <m/>
    <x v="27"/>
    <x v="25"/>
    <m/>
    <x v="280"/>
    <x v="279"/>
    <m/>
    <x v="1301"/>
    <x v="161"/>
    <m/>
    <x v="2196"/>
    <x v="2582"/>
    <m/>
    <x v="3"/>
    <x v="3"/>
    <m/>
    <n v="-20.001650000000001"/>
    <n v="47.373750000000001"/>
    <m/>
    <m/>
  </r>
  <r>
    <s v="111100028SMP"/>
    <x v="6"/>
    <x v="6"/>
    <m/>
    <x v="8"/>
    <x v="9"/>
    <m/>
    <x v="27"/>
    <x v="25"/>
    <m/>
    <x v="280"/>
    <x v="279"/>
    <m/>
    <x v="1301"/>
    <x v="161"/>
    <m/>
    <x v="2197"/>
    <x v="2583"/>
    <m/>
    <x v="3"/>
    <x v="3"/>
    <m/>
    <n v="-20.001650000000001"/>
    <n v="47.373750000000001"/>
    <m/>
    <m/>
  </r>
  <r>
    <s v="111100015SMP"/>
    <x v="6"/>
    <x v="6"/>
    <m/>
    <x v="8"/>
    <x v="9"/>
    <m/>
    <x v="27"/>
    <x v="25"/>
    <m/>
    <x v="280"/>
    <x v="279"/>
    <m/>
    <x v="1301"/>
    <x v="161"/>
    <m/>
    <x v="2198"/>
    <x v="2584"/>
    <m/>
    <x v="3"/>
    <x v="3"/>
    <m/>
    <n v="-20.001650000000001"/>
    <n v="47.373750000000001"/>
    <m/>
    <m/>
  </r>
  <r>
    <s v="111150010SMP"/>
    <x v="6"/>
    <x v="6"/>
    <m/>
    <x v="8"/>
    <x v="9"/>
    <m/>
    <x v="27"/>
    <x v="25"/>
    <m/>
    <x v="281"/>
    <x v="280"/>
    <m/>
    <x v="1301"/>
    <x v="161"/>
    <m/>
    <x v="2199"/>
    <x v="2585"/>
    <m/>
    <x v="3"/>
    <x v="3"/>
    <m/>
    <n v="-19.293564"/>
    <n v="47.101526"/>
    <m/>
    <m/>
  </r>
  <r>
    <s v="111150012SMP"/>
    <x v="6"/>
    <x v="6"/>
    <m/>
    <x v="8"/>
    <x v="9"/>
    <m/>
    <x v="27"/>
    <x v="25"/>
    <m/>
    <x v="281"/>
    <x v="280"/>
    <m/>
    <x v="1301"/>
    <x v="161"/>
    <m/>
    <x v="2200"/>
    <x v="2586"/>
    <m/>
    <x v="3"/>
    <x v="3"/>
    <m/>
    <n v="-19.593879999999999"/>
    <n v="47.184730000000002"/>
    <m/>
    <m/>
  </r>
  <r>
    <s v="309190007SMP"/>
    <x v="0"/>
    <x v="0"/>
    <m/>
    <x v="4"/>
    <x v="4"/>
    <m/>
    <x v="11"/>
    <x v="11"/>
    <m/>
    <x v="168"/>
    <x v="169"/>
    <m/>
    <x v="1301"/>
    <x v="161"/>
    <m/>
    <x v="2201"/>
    <x v="2587"/>
    <m/>
    <x v="3"/>
    <x v="3"/>
    <m/>
    <n v="-23.186195000000001"/>
    <n v="47.681635"/>
    <m/>
    <m/>
  </r>
  <r>
    <s v="309190006SMP"/>
    <x v="0"/>
    <x v="0"/>
    <m/>
    <x v="4"/>
    <x v="4"/>
    <m/>
    <x v="11"/>
    <x v="11"/>
    <m/>
    <x v="168"/>
    <x v="169"/>
    <m/>
    <x v="1301"/>
    <x v="161"/>
    <m/>
    <x v="2202"/>
    <x v="2588"/>
    <m/>
    <x v="3"/>
    <x v="3"/>
    <m/>
    <n v="-23.150392"/>
    <n v="47.702601000000001"/>
    <m/>
    <m/>
  </r>
  <r>
    <s v="309190005SMP"/>
    <x v="0"/>
    <x v="0"/>
    <m/>
    <x v="4"/>
    <x v="4"/>
    <m/>
    <x v="11"/>
    <x v="11"/>
    <m/>
    <x v="168"/>
    <x v="169"/>
    <m/>
    <x v="1301"/>
    <x v="161"/>
    <m/>
    <x v="2203"/>
    <x v="2589"/>
    <m/>
    <x v="3"/>
    <x v="3"/>
    <m/>
    <n v="-23.123218999999999"/>
    <n v="47.707331000000003"/>
    <m/>
    <m/>
  </r>
  <r>
    <s v="309230005SMP"/>
    <x v="0"/>
    <x v="0"/>
    <m/>
    <x v="4"/>
    <x v="4"/>
    <m/>
    <x v="11"/>
    <x v="11"/>
    <m/>
    <x v="178"/>
    <x v="178"/>
    <m/>
    <x v="1301"/>
    <x v="161"/>
    <m/>
    <x v="2204"/>
    <x v="2590"/>
    <m/>
    <x v="3"/>
    <x v="3"/>
    <m/>
    <n v="-22.972256000000002"/>
    <n v="47.753045999999998"/>
    <m/>
    <m/>
  </r>
  <r>
    <s v="309230002SMP"/>
    <x v="0"/>
    <x v="0"/>
    <m/>
    <x v="4"/>
    <x v="4"/>
    <m/>
    <x v="11"/>
    <x v="11"/>
    <m/>
    <x v="178"/>
    <x v="178"/>
    <m/>
    <x v="1301"/>
    <x v="161"/>
    <m/>
    <x v="2205"/>
    <x v="2591"/>
    <m/>
    <x v="3"/>
    <x v="3"/>
    <m/>
    <n v="-22.883572000000001"/>
    <n v="47.798729999999999"/>
    <m/>
    <m/>
  </r>
  <r>
    <s v="309300006SMP"/>
    <x v="0"/>
    <x v="0"/>
    <m/>
    <x v="4"/>
    <x v="4"/>
    <m/>
    <x v="11"/>
    <x v="11"/>
    <m/>
    <x v="232"/>
    <x v="231"/>
    <m/>
    <x v="1301"/>
    <x v="161"/>
    <m/>
    <x v="1430"/>
    <x v="2592"/>
    <m/>
    <x v="3"/>
    <x v="3"/>
    <m/>
    <n v="-22.868925000000001"/>
    <n v="47.780023"/>
    <m/>
    <m/>
  </r>
  <r>
    <s v="309300004SMP"/>
    <x v="0"/>
    <x v="0"/>
    <m/>
    <x v="4"/>
    <x v="4"/>
    <m/>
    <x v="11"/>
    <x v="11"/>
    <m/>
    <x v="232"/>
    <x v="231"/>
    <m/>
    <x v="1301"/>
    <x v="161"/>
    <m/>
    <x v="1495"/>
    <x v="2593"/>
    <m/>
    <x v="3"/>
    <x v="3"/>
    <m/>
    <n v="-22.858975000000001"/>
    <n v="47.787345999999999"/>
    <m/>
    <m/>
  </r>
  <r>
    <s v="309300005SMP"/>
    <x v="0"/>
    <x v="0"/>
    <m/>
    <x v="4"/>
    <x v="4"/>
    <m/>
    <x v="11"/>
    <x v="11"/>
    <m/>
    <x v="232"/>
    <x v="231"/>
    <m/>
    <x v="1301"/>
    <x v="161"/>
    <m/>
    <x v="2206"/>
    <x v="2594"/>
    <m/>
    <x v="3"/>
    <x v="3"/>
    <m/>
    <n v="-22.837531999999999"/>
    <n v="47.809137"/>
    <m/>
    <m/>
  </r>
  <r>
    <s v="309290007SMP"/>
    <x v="0"/>
    <x v="0"/>
    <m/>
    <x v="4"/>
    <x v="4"/>
    <m/>
    <x v="11"/>
    <x v="11"/>
    <m/>
    <x v="229"/>
    <x v="228"/>
    <m/>
    <x v="1301"/>
    <x v="161"/>
    <m/>
    <x v="2207"/>
    <x v="2595"/>
    <m/>
    <x v="3"/>
    <x v="3"/>
    <m/>
    <n v="-22.822375999999998"/>
    <n v="47.737797"/>
    <m/>
    <m/>
  </r>
  <r>
    <s v="309230003SMP"/>
    <x v="0"/>
    <x v="0"/>
    <m/>
    <x v="4"/>
    <x v="4"/>
    <m/>
    <x v="11"/>
    <x v="11"/>
    <m/>
    <x v="178"/>
    <x v="178"/>
    <m/>
    <x v="1301"/>
    <x v="161"/>
    <m/>
    <x v="2208"/>
    <x v="2596"/>
    <m/>
    <x v="3"/>
    <x v="3"/>
    <m/>
    <n v="-22.822106999999999"/>
    <n v="47.834619000000004"/>
    <m/>
    <m/>
  </r>
  <r>
    <s v="309290008SMP"/>
    <x v="0"/>
    <x v="0"/>
    <m/>
    <x v="4"/>
    <x v="4"/>
    <m/>
    <x v="11"/>
    <x v="11"/>
    <m/>
    <x v="229"/>
    <x v="228"/>
    <m/>
    <x v="1301"/>
    <x v="161"/>
    <m/>
    <x v="2209"/>
    <x v="2597"/>
    <m/>
    <x v="3"/>
    <x v="3"/>
    <m/>
    <n v="-22.809833000000001"/>
    <n v="47.769308000000002"/>
    <m/>
    <m/>
  </r>
  <r>
    <s v="309290005SMP"/>
    <x v="0"/>
    <x v="0"/>
    <m/>
    <x v="4"/>
    <x v="4"/>
    <m/>
    <x v="11"/>
    <x v="11"/>
    <m/>
    <x v="229"/>
    <x v="228"/>
    <m/>
    <x v="1301"/>
    <x v="161"/>
    <m/>
    <x v="326"/>
    <x v="2598"/>
    <m/>
    <x v="3"/>
    <x v="3"/>
    <m/>
    <n v="-22.807200999999999"/>
    <n v="47.706783000000001"/>
    <m/>
    <m/>
  </r>
  <r>
    <s v="309070007SMP"/>
    <x v="0"/>
    <x v="0"/>
    <m/>
    <x v="4"/>
    <x v="4"/>
    <m/>
    <x v="11"/>
    <x v="11"/>
    <m/>
    <x v="106"/>
    <x v="106"/>
    <m/>
    <x v="1301"/>
    <x v="161"/>
    <m/>
    <x v="2210"/>
    <x v="2599"/>
    <m/>
    <x v="3"/>
    <x v="3"/>
    <m/>
    <n v="-22.778089999999999"/>
    <n v="47.812702999999999"/>
    <m/>
    <m/>
  </r>
  <r>
    <s v="309070002SMP"/>
    <x v="0"/>
    <x v="0"/>
    <m/>
    <x v="4"/>
    <x v="4"/>
    <m/>
    <x v="11"/>
    <x v="11"/>
    <m/>
    <x v="106"/>
    <x v="106"/>
    <m/>
    <x v="1301"/>
    <x v="161"/>
    <m/>
    <x v="2211"/>
    <x v="2600"/>
    <m/>
    <x v="3"/>
    <x v="3"/>
    <m/>
    <n v="-22.76857"/>
    <n v="47.789386999999998"/>
    <m/>
    <m/>
  </r>
  <r>
    <s v="309080013SMP"/>
    <x v="0"/>
    <x v="0"/>
    <m/>
    <x v="4"/>
    <x v="4"/>
    <m/>
    <x v="11"/>
    <x v="11"/>
    <m/>
    <x v="107"/>
    <x v="107"/>
    <m/>
    <x v="1301"/>
    <x v="161"/>
    <m/>
    <x v="2212"/>
    <x v="2601"/>
    <m/>
    <x v="3"/>
    <x v="3"/>
    <m/>
    <n v="-22.739491000000001"/>
    <n v="47.791383000000003"/>
    <m/>
    <m/>
  </r>
  <r>
    <s v="309080014SMP"/>
    <x v="0"/>
    <x v="0"/>
    <m/>
    <x v="4"/>
    <x v="4"/>
    <m/>
    <x v="11"/>
    <x v="11"/>
    <m/>
    <x v="107"/>
    <x v="107"/>
    <m/>
    <x v="1301"/>
    <x v="161"/>
    <m/>
    <x v="2213"/>
    <x v="2602"/>
    <m/>
    <x v="3"/>
    <x v="3"/>
    <m/>
    <n v="-22.725954999999999"/>
    <n v="47.797711"/>
    <m/>
    <m/>
  </r>
  <r>
    <s v="309050004SMP"/>
    <x v="0"/>
    <x v="0"/>
    <m/>
    <x v="4"/>
    <x v="4"/>
    <m/>
    <x v="11"/>
    <x v="11"/>
    <m/>
    <x v="87"/>
    <x v="87"/>
    <m/>
    <x v="1301"/>
    <x v="161"/>
    <m/>
    <x v="529"/>
    <x v="2603"/>
    <m/>
    <x v="3"/>
    <x v="3"/>
    <m/>
    <n v="-22.608796999999999"/>
    <n v="47.797137999999997"/>
    <m/>
    <m/>
  </r>
  <r>
    <s v="309050011SMP"/>
    <x v="0"/>
    <x v="0"/>
    <m/>
    <x v="4"/>
    <x v="4"/>
    <m/>
    <x v="11"/>
    <x v="11"/>
    <m/>
    <x v="87"/>
    <x v="87"/>
    <m/>
    <x v="1301"/>
    <x v="161"/>
    <m/>
    <x v="2214"/>
    <x v="2604"/>
    <m/>
    <x v="3"/>
    <x v="3"/>
    <m/>
    <n v="-22.580127999999998"/>
    <n v="47.797047999999997"/>
    <m/>
    <m/>
  </r>
  <r>
    <s v="309050002SMP"/>
    <x v="0"/>
    <x v="0"/>
    <m/>
    <x v="4"/>
    <x v="4"/>
    <m/>
    <x v="11"/>
    <x v="11"/>
    <m/>
    <x v="87"/>
    <x v="87"/>
    <m/>
    <x v="1301"/>
    <x v="161"/>
    <m/>
    <x v="2215"/>
    <x v="2605"/>
    <m/>
    <x v="3"/>
    <x v="3"/>
    <m/>
    <n v="-22.523014"/>
    <n v="47.794623000000001"/>
    <m/>
    <m/>
  </r>
  <r>
    <s v="309050006SMP"/>
    <x v="0"/>
    <x v="0"/>
    <m/>
    <x v="4"/>
    <x v="4"/>
    <m/>
    <x v="11"/>
    <x v="11"/>
    <m/>
    <x v="87"/>
    <x v="87"/>
    <m/>
    <x v="1301"/>
    <x v="161"/>
    <m/>
    <x v="528"/>
    <x v="2606"/>
    <m/>
    <x v="3"/>
    <x v="3"/>
    <m/>
    <n v="-22.489433999999999"/>
    <n v="47.791266"/>
    <m/>
    <m/>
  </r>
  <r>
    <s v="309050007SMP"/>
    <x v="0"/>
    <x v="0"/>
    <m/>
    <x v="4"/>
    <x v="4"/>
    <m/>
    <x v="11"/>
    <x v="11"/>
    <m/>
    <x v="87"/>
    <x v="87"/>
    <m/>
    <x v="1301"/>
    <x v="161"/>
    <m/>
    <x v="2216"/>
    <x v="2607"/>
    <m/>
    <x v="3"/>
    <x v="3"/>
    <m/>
    <n v="-22.454122999999999"/>
    <n v="47.800392000000002"/>
    <m/>
    <m/>
  </r>
  <r>
    <s v="309330001SMP"/>
    <x v="0"/>
    <x v="0"/>
    <m/>
    <x v="4"/>
    <x v="4"/>
    <m/>
    <x v="11"/>
    <x v="11"/>
    <m/>
    <x v="198"/>
    <x v="198"/>
    <m/>
    <x v="1301"/>
    <x v="161"/>
    <m/>
    <x v="1041"/>
    <x v="2608"/>
    <m/>
    <x v="3"/>
    <x v="3"/>
    <m/>
    <n v="-22.638719999999999"/>
    <n v="47.646120000000003"/>
    <m/>
    <m/>
  </r>
  <r>
    <s v="309280006SMP"/>
    <x v="0"/>
    <x v="0"/>
    <m/>
    <x v="4"/>
    <x v="4"/>
    <m/>
    <x v="11"/>
    <x v="11"/>
    <m/>
    <x v="225"/>
    <x v="224"/>
    <m/>
    <x v="1301"/>
    <x v="161"/>
    <m/>
    <x v="2217"/>
    <x v="2609"/>
    <m/>
    <x v="3"/>
    <x v="3"/>
    <m/>
    <n v="-22.547270000000001"/>
    <n v="47.724679999999999"/>
    <m/>
    <m/>
  </r>
  <r>
    <s v="309080005SMP"/>
    <x v="0"/>
    <x v="0"/>
    <m/>
    <x v="4"/>
    <x v="4"/>
    <m/>
    <x v="11"/>
    <x v="11"/>
    <m/>
    <x v="107"/>
    <x v="107"/>
    <m/>
    <x v="1301"/>
    <x v="161"/>
    <m/>
    <x v="2218"/>
    <x v="2610"/>
    <m/>
    <x v="3"/>
    <x v="3"/>
    <m/>
    <n v="-22.720079999999999"/>
    <n v="47.854469999999999"/>
    <m/>
    <m/>
  </r>
  <r>
    <s v="309020022SMP"/>
    <x v="0"/>
    <x v="0"/>
    <m/>
    <x v="4"/>
    <x v="4"/>
    <m/>
    <x v="11"/>
    <x v="11"/>
    <m/>
    <x v="62"/>
    <x v="62"/>
    <m/>
    <x v="1301"/>
    <x v="161"/>
    <m/>
    <x v="2219"/>
    <x v="2611"/>
    <m/>
    <x v="3"/>
    <x v="3"/>
    <m/>
    <n v="-22.658770000000001"/>
    <n v="47.474229999999999"/>
    <m/>
    <m/>
  </r>
  <r>
    <s v="309330009SMP"/>
    <x v="0"/>
    <x v="0"/>
    <m/>
    <x v="4"/>
    <x v="4"/>
    <m/>
    <x v="11"/>
    <x v="11"/>
    <m/>
    <x v="198"/>
    <x v="198"/>
    <m/>
    <x v="1301"/>
    <x v="161"/>
    <m/>
    <x v="1128"/>
    <x v="2612"/>
    <m/>
    <x v="3"/>
    <x v="3"/>
    <m/>
    <n v="-22.638719999999999"/>
    <n v="47.646120000000003"/>
    <m/>
    <m/>
  </r>
  <r>
    <s v="309190004SMP"/>
    <x v="0"/>
    <x v="0"/>
    <m/>
    <x v="4"/>
    <x v="4"/>
    <m/>
    <x v="11"/>
    <x v="11"/>
    <m/>
    <x v="168"/>
    <x v="169"/>
    <m/>
    <x v="1301"/>
    <x v="161"/>
    <m/>
    <x v="2220"/>
    <x v="2613"/>
    <m/>
    <x v="3"/>
    <x v="3"/>
    <m/>
    <n v="-23.150300000000001"/>
    <n v="47.724530000000001"/>
    <m/>
    <m/>
  </r>
  <r>
    <s v="309010016SMP"/>
    <x v="0"/>
    <x v="0"/>
    <m/>
    <x v="4"/>
    <x v="4"/>
    <m/>
    <x v="11"/>
    <x v="11"/>
    <m/>
    <x v="60"/>
    <x v="60"/>
    <m/>
    <x v="1301"/>
    <x v="161"/>
    <m/>
    <x v="2221"/>
    <x v="2614"/>
    <m/>
    <x v="3"/>
    <x v="3"/>
    <m/>
    <n v="-22.597480000000001"/>
    <n v="47.605829999999997"/>
    <m/>
    <m/>
  </r>
  <r>
    <s v="309030010SMP"/>
    <x v="0"/>
    <x v="0"/>
    <m/>
    <x v="4"/>
    <x v="4"/>
    <m/>
    <x v="11"/>
    <x v="11"/>
    <m/>
    <x v="72"/>
    <x v="72"/>
    <m/>
    <x v="1301"/>
    <x v="161"/>
    <m/>
    <x v="2222"/>
    <x v="2615"/>
    <m/>
    <x v="3"/>
    <x v="3"/>
    <m/>
    <n v="-22.782350000000001"/>
    <n v="47.542149999999999"/>
    <m/>
    <m/>
  </r>
  <r>
    <s v="309100012SMP"/>
    <x v="0"/>
    <x v="0"/>
    <m/>
    <x v="4"/>
    <x v="4"/>
    <m/>
    <x v="11"/>
    <x v="11"/>
    <m/>
    <x v="130"/>
    <x v="130"/>
    <m/>
    <x v="1301"/>
    <x v="161"/>
    <m/>
    <x v="2222"/>
    <x v="2616"/>
    <m/>
    <x v="3"/>
    <x v="3"/>
    <m/>
    <n v="-22.718350000000001"/>
    <n v="47.6126"/>
    <m/>
    <m/>
  </r>
  <r>
    <s v="309120017SMP"/>
    <x v="0"/>
    <x v="0"/>
    <m/>
    <x v="4"/>
    <x v="4"/>
    <m/>
    <x v="11"/>
    <x v="11"/>
    <m/>
    <x v="143"/>
    <x v="143"/>
    <m/>
    <x v="1301"/>
    <x v="161"/>
    <m/>
    <x v="2223"/>
    <x v="2617"/>
    <m/>
    <x v="3"/>
    <x v="3"/>
    <m/>
    <n v="-22.8858"/>
    <n v="47.605229999999999"/>
    <m/>
    <m/>
  </r>
  <r>
    <s v="309100019SMP"/>
    <x v="0"/>
    <x v="0"/>
    <m/>
    <x v="4"/>
    <x v="4"/>
    <m/>
    <x v="11"/>
    <x v="11"/>
    <m/>
    <x v="130"/>
    <x v="130"/>
    <m/>
    <x v="1301"/>
    <x v="161"/>
    <m/>
    <x v="2224"/>
    <x v="2618"/>
    <m/>
    <x v="3"/>
    <x v="3"/>
    <m/>
    <n v="-22.718350000000001"/>
    <n v="47.6126"/>
    <m/>
    <m/>
  </r>
  <r>
    <s v="309010021SMP"/>
    <x v="0"/>
    <x v="0"/>
    <m/>
    <x v="4"/>
    <x v="4"/>
    <m/>
    <x v="11"/>
    <x v="11"/>
    <m/>
    <x v="60"/>
    <x v="60"/>
    <m/>
    <x v="1301"/>
    <x v="161"/>
    <m/>
    <x v="326"/>
    <x v="2619"/>
    <m/>
    <x v="3"/>
    <x v="3"/>
    <m/>
    <n v="-22.597480000000001"/>
    <n v="47.605829999999997"/>
    <m/>
    <m/>
  </r>
  <r>
    <s v="317290001SMP"/>
    <x v="0"/>
    <x v="0"/>
    <m/>
    <x v="0"/>
    <x v="0"/>
    <m/>
    <x v="28"/>
    <x v="26"/>
    <m/>
    <x v="282"/>
    <x v="281"/>
    <m/>
    <x v="1301"/>
    <x v="161"/>
    <m/>
    <x v="2225"/>
    <x v="2620"/>
    <m/>
    <x v="3"/>
    <x v="3"/>
    <m/>
    <n v="-21.465800000000002"/>
    <n v="47.803100000000001"/>
    <m/>
    <m/>
  </r>
  <r>
    <s v="316280006SMP"/>
    <x v="0"/>
    <x v="0"/>
    <m/>
    <x v="0"/>
    <x v="0"/>
    <m/>
    <x v="0"/>
    <x v="0"/>
    <m/>
    <x v="283"/>
    <x v="282"/>
    <m/>
    <x v="1301"/>
    <x v="161"/>
    <m/>
    <x v="2226"/>
    <x v="2621"/>
    <m/>
    <x v="3"/>
    <x v="3"/>
    <m/>
    <n v="-21.962278000000001"/>
    <n v="47.909405999999997"/>
    <m/>
    <m/>
  </r>
  <r>
    <s v="316050012SMP"/>
    <x v="0"/>
    <x v="0"/>
    <m/>
    <x v="0"/>
    <x v="0"/>
    <m/>
    <x v="0"/>
    <x v="0"/>
    <m/>
    <x v="0"/>
    <x v="0"/>
    <m/>
    <x v="1301"/>
    <x v="161"/>
    <m/>
    <x v="2"/>
    <x v="2622"/>
    <m/>
    <x v="3"/>
    <x v="3"/>
    <m/>
    <n v="-21.936368999999999"/>
    <n v="47.968691999999997"/>
    <m/>
    <m/>
  </r>
  <r>
    <s v="316280007SMP"/>
    <x v="0"/>
    <x v="0"/>
    <m/>
    <x v="0"/>
    <x v="0"/>
    <m/>
    <x v="0"/>
    <x v="0"/>
    <m/>
    <x v="283"/>
    <x v="282"/>
    <m/>
    <x v="1301"/>
    <x v="161"/>
    <m/>
    <x v="1397"/>
    <x v="2623"/>
    <m/>
    <x v="3"/>
    <x v="3"/>
    <m/>
    <n v="-21.929926999999999"/>
    <n v="47.897908999999999"/>
    <m/>
    <m/>
  </r>
  <r>
    <s v="316130002SMP"/>
    <x v="0"/>
    <x v="0"/>
    <m/>
    <x v="0"/>
    <x v="0"/>
    <m/>
    <x v="0"/>
    <x v="0"/>
    <m/>
    <x v="284"/>
    <x v="283"/>
    <m/>
    <x v="1301"/>
    <x v="161"/>
    <m/>
    <x v="2227"/>
    <x v="2624"/>
    <m/>
    <x v="3"/>
    <x v="3"/>
    <m/>
    <n v="-21.929656000000001"/>
    <n v="47.897922000000001"/>
    <m/>
    <m/>
  </r>
  <r>
    <s v="316280005SMP"/>
    <x v="0"/>
    <x v="0"/>
    <m/>
    <x v="0"/>
    <x v="0"/>
    <m/>
    <x v="0"/>
    <x v="0"/>
    <m/>
    <x v="283"/>
    <x v="282"/>
    <m/>
    <x v="1301"/>
    <x v="161"/>
    <m/>
    <x v="2228"/>
    <x v="2625"/>
    <m/>
    <x v="3"/>
    <x v="3"/>
    <m/>
    <n v="-21.913861000000001"/>
    <n v="47.912588999999997"/>
    <m/>
    <m/>
  </r>
  <r>
    <s v="316050022SMP"/>
    <x v="0"/>
    <x v="0"/>
    <m/>
    <x v="0"/>
    <x v="0"/>
    <m/>
    <x v="0"/>
    <x v="0"/>
    <m/>
    <x v="0"/>
    <x v="0"/>
    <m/>
    <x v="1301"/>
    <x v="161"/>
    <m/>
    <x v="2229"/>
    <x v="2626"/>
    <m/>
    <x v="3"/>
    <x v="3"/>
    <m/>
    <n v="-21.698793999999999"/>
    <n v="47.963113999999997"/>
    <m/>
    <m/>
  </r>
  <r>
    <s v="117020008SMP"/>
    <x v="0"/>
    <x v="0"/>
    <m/>
    <x v="0"/>
    <x v="0"/>
    <m/>
    <x v="0"/>
    <x v="0"/>
    <m/>
    <x v="284"/>
    <x v="283"/>
    <m/>
    <x v="1301"/>
    <x v="161"/>
    <m/>
    <x v="2230"/>
    <x v="2627"/>
    <m/>
    <x v="3"/>
    <x v="3"/>
    <m/>
    <n v="-21.716504"/>
    <n v="47.940666"/>
    <m/>
    <m/>
  </r>
  <r>
    <s v="117020020SMP"/>
    <x v="0"/>
    <x v="0"/>
    <m/>
    <x v="0"/>
    <x v="0"/>
    <m/>
    <x v="0"/>
    <x v="0"/>
    <m/>
    <x v="284"/>
    <x v="283"/>
    <m/>
    <x v="1301"/>
    <x v="161"/>
    <m/>
    <x v="2231"/>
    <x v="2628"/>
    <m/>
    <x v="3"/>
    <x v="3"/>
    <m/>
    <n v="-21.716504"/>
    <n v="47.940666"/>
    <m/>
    <m/>
  </r>
  <r>
    <s v="316180002SMP"/>
    <x v="0"/>
    <x v="0"/>
    <m/>
    <x v="0"/>
    <x v="0"/>
    <m/>
    <x v="0"/>
    <x v="0"/>
    <m/>
    <x v="285"/>
    <x v="284"/>
    <m/>
    <x v="1301"/>
    <x v="161"/>
    <m/>
    <x v="135"/>
    <x v="2629"/>
    <m/>
    <x v="3"/>
    <x v="3"/>
    <m/>
    <n v="-21.792580000000001"/>
    <n v="47.756149999999998"/>
    <m/>
    <m/>
  </r>
  <r>
    <s v="316080004SMP"/>
    <x v="0"/>
    <x v="0"/>
    <m/>
    <x v="0"/>
    <x v="0"/>
    <m/>
    <x v="0"/>
    <x v="0"/>
    <m/>
    <x v="286"/>
    <x v="285"/>
    <m/>
    <x v="1301"/>
    <x v="161"/>
    <m/>
    <x v="2232"/>
    <x v="2630"/>
    <m/>
    <x v="3"/>
    <x v="3"/>
    <m/>
    <n v="-21.917570000000001"/>
    <n v="47.77373"/>
    <m/>
    <m/>
  </r>
  <r>
    <s v="316060006SMP"/>
    <x v="0"/>
    <x v="0"/>
    <m/>
    <x v="0"/>
    <x v="0"/>
    <m/>
    <x v="0"/>
    <x v="0"/>
    <m/>
    <x v="287"/>
    <x v="286"/>
    <m/>
    <x v="1301"/>
    <x v="161"/>
    <m/>
    <x v="2233"/>
    <x v="2631"/>
    <m/>
    <x v="3"/>
    <x v="3"/>
    <m/>
    <n v="-21.965769999999999"/>
    <n v="47.831699999999998"/>
    <m/>
    <m/>
  </r>
  <r>
    <s v="316270003SMP"/>
    <x v="0"/>
    <x v="0"/>
    <m/>
    <x v="0"/>
    <x v="0"/>
    <m/>
    <x v="0"/>
    <x v="0"/>
    <m/>
    <x v="288"/>
    <x v="287"/>
    <m/>
    <x v="1301"/>
    <x v="161"/>
    <m/>
    <x v="2234"/>
    <x v="2632"/>
    <m/>
    <x v="3"/>
    <x v="3"/>
    <m/>
    <n v="-21.712969999999999"/>
    <n v="47.995869999999996"/>
    <m/>
    <m/>
  </r>
  <r>
    <s v="316140004SMP"/>
    <x v="0"/>
    <x v="0"/>
    <m/>
    <x v="0"/>
    <x v="0"/>
    <m/>
    <x v="0"/>
    <x v="0"/>
    <m/>
    <x v="289"/>
    <x v="288"/>
    <m/>
    <x v="1301"/>
    <x v="161"/>
    <m/>
    <x v="352"/>
    <x v="2633"/>
    <m/>
    <x v="3"/>
    <x v="3"/>
    <m/>
    <n v="-22.044329999999999"/>
    <n v="47.761749999999999"/>
    <m/>
    <m/>
  </r>
  <r>
    <s v="316060010SMP"/>
    <x v="0"/>
    <x v="0"/>
    <m/>
    <x v="0"/>
    <x v="0"/>
    <m/>
    <x v="0"/>
    <x v="0"/>
    <m/>
    <x v="287"/>
    <x v="286"/>
    <m/>
    <x v="1301"/>
    <x v="161"/>
    <m/>
    <x v="35"/>
    <x v="2634"/>
    <m/>
    <x v="3"/>
    <x v="3"/>
    <m/>
    <n v="-21.965769999999999"/>
    <n v="47.831699999999998"/>
    <m/>
    <m/>
  </r>
  <r>
    <s v="316270005SMP"/>
    <x v="0"/>
    <x v="0"/>
    <m/>
    <x v="0"/>
    <x v="0"/>
    <m/>
    <x v="0"/>
    <x v="0"/>
    <m/>
    <x v="288"/>
    <x v="287"/>
    <m/>
    <x v="1301"/>
    <x v="161"/>
    <m/>
    <x v="2235"/>
    <x v="2635"/>
    <m/>
    <x v="3"/>
    <x v="3"/>
    <m/>
    <n v="-21.712969999999999"/>
    <n v="47.995869999999996"/>
    <m/>
    <m/>
  </r>
  <r>
    <s v="117020012SMP"/>
    <x v="0"/>
    <x v="0"/>
    <m/>
    <x v="0"/>
    <x v="0"/>
    <m/>
    <x v="0"/>
    <x v="0"/>
    <m/>
    <x v="284"/>
    <x v="283"/>
    <m/>
    <x v="1301"/>
    <x v="161"/>
    <m/>
    <x v="2236"/>
    <x v="2636"/>
    <m/>
    <x v="3"/>
    <x v="3"/>
    <m/>
    <n v="-21.713000000000001"/>
    <n v="47.960850000000001"/>
    <m/>
    <m/>
  </r>
  <r>
    <s v="117020014SMP"/>
    <x v="0"/>
    <x v="0"/>
    <m/>
    <x v="0"/>
    <x v="0"/>
    <m/>
    <x v="0"/>
    <x v="0"/>
    <m/>
    <x v="284"/>
    <x v="283"/>
    <m/>
    <x v="1301"/>
    <x v="161"/>
    <m/>
    <x v="2227"/>
    <x v="2637"/>
    <m/>
    <x v="3"/>
    <x v="3"/>
    <m/>
    <n v="-21.713000000000001"/>
    <n v="47.960850000000001"/>
    <m/>
    <m/>
  </r>
  <r>
    <s v="117020015SMP"/>
    <x v="0"/>
    <x v="0"/>
    <m/>
    <x v="0"/>
    <x v="0"/>
    <m/>
    <x v="0"/>
    <x v="0"/>
    <m/>
    <x v="284"/>
    <x v="283"/>
    <m/>
    <x v="1301"/>
    <x v="161"/>
    <m/>
    <x v="2237"/>
    <x v="2638"/>
    <m/>
    <x v="3"/>
    <x v="3"/>
    <m/>
    <n v="-21.713000000000001"/>
    <n v="47.960850000000001"/>
    <m/>
    <m/>
  </r>
  <r>
    <s v="316060016SMP"/>
    <x v="0"/>
    <x v="0"/>
    <m/>
    <x v="0"/>
    <x v="0"/>
    <m/>
    <x v="0"/>
    <x v="0"/>
    <m/>
    <x v="287"/>
    <x v="286"/>
    <m/>
    <x v="1301"/>
    <x v="161"/>
    <m/>
    <x v="2238"/>
    <x v="2639"/>
    <m/>
    <x v="3"/>
    <x v="3"/>
    <m/>
    <n v="-21.965769999999999"/>
    <n v="47.831699999999998"/>
    <m/>
    <m/>
  </r>
  <r>
    <s v="317070011SMP"/>
    <x v="0"/>
    <x v="0"/>
    <m/>
    <x v="0"/>
    <x v="0"/>
    <m/>
    <x v="5"/>
    <x v="5"/>
    <m/>
    <x v="290"/>
    <x v="289"/>
    <m/>
    <x v="1301"/>
    <x v="161"/>
    <m/>
    <x v="2239"/>
    <x v="2640"/>
    <m/>
    <x v="3"/>
    <x v="3"/>
    <m/>
    <n v="-21.513604999999998"/>
    <n v="47.976300999999999"/>
    <m/>
    <m/>
  </r>
  <r>
    <s v="317080004SMP"/>
    <x v="0"/>
    <x v="0"/>
    <m/>
    <x v="0"/>
    <x v="0"/>
    <m/>
    <x v="5"/>
    <x v="5"/>
    <m/>
    <x v="263"/>
    <x v="261"/>
    <m/>
    <x v="1301"/>
    <x v="161"/>
    <m/>
    <x v="2240"/>
    <x v="2641"/>
    <m/>
    <x v="3"/>
    <x v="3"/>
    <m/>
    <n v="-21.391935"/>
    <n v="48.030673999999998"/>
    <m/>
    <m/>
  </r>
  <r>
    <s v="317080013SMP"/>
    <x v="0"/>
    <x v="0"/>
    <m/>
    <x v="0"/>
    <x v="0"/>
    <m/>
    <x v="5"/>
    <x v="5"/>
    <m/>
    <x v="263"/>
    <x v="261"/>
    <m/>
    <x v="1301"/>
    <x v="161"/>
    <m/>
    <x v="2241"/>
    <x v="2642"/>
    <m/>
    <x v="3"/>
    <x v="3"/>
    <m/>
    <n v="-21.391908000000001"/>
    <n v="48.047899999999998"/>
    <m/>
    <m/>
  </r>
  <r>
    <s v="317090004SMP"/>
    <x v="0"/>
    <x v="0"/>
    <m/>
    <x v="0"/>
    <x v="0"/>
    <m/>
    <x v="5"/>
    <x v="5"/>
    <m/>
    <x v="291"/>
    <x v="290"/>
    <m/>
    <x v="1301"/>
    <x v="161"/>
    <m/>
    <x v="2242"/>
    <x v="2643"/>
    <m/>
    <x v="3"/>
    <x v="3"/>
    <m/>
    <n v="-21.382348"/>
    <n v="47.890143000000002"/>
    <m/>
    <m/>
  </r>
  <r>
    <s v="317090005SMP"/>
    <x v="0"/>
    <x v="0"/>
    <m/>
    <x v="0"/>
    <x v="0"/>
    <m/>
    <x v="5"/>
    <x v="5"/>
    <m/>
    <x v="291"/>
    <x v="290"/>
    <m/>
    <x v="1301"/>
    <x v="161"/>
    <m/>
    <x v="2243"/>
    <x v="2644"/>
    <m/>
    <x v="3"/>
    <x v="3"/>
    <m/>
    <n v="-21.381160000000001"/>
    <n v="47.885033"/>
    <m/>
    <m/>
  </r>
  <r>
    <s v="317090010SMP"/>
    <x v="0"/>
    <x v="0"/>
    <m/>
    <x v="0"/>
    <x v="0"/>
    <m/>
    <x v="5"/>
    <x v="5"/>
    <m/>
    <x v="291"/>
    <x v="290"/>
    <m/>
    <x v="1301"/>
    <x v="161"/>
    <m/>
    <x v="2244"/>
    <x v="2645"/>
    <m/>
    <x v="3"/>
    <x v="3"/>
    <m/>
    <n v="-21.380503000000001"/>
    <n v="47.867294999999999"/>
    <m/>
    <m/>
  </r>
  <r>
    <s v="317090009SMP"/>
    <x v="0"/>
    <x v="0"/>
    <m/>
    <x v="0"/>
    <x v="0"/>
    <m/>
    <x v="5"/>
    <x v="5"/>
    <m/>
    <x v="291"/>
    <x v="290"/>
    <m/>
    <x v="1301"/>
    <x v="161"/>
    <m/>
    <x v="2245"/>
    <x v="2646"/>
    <m/>
    <x v="3"/>
    <x v="3"/>
    <m/>
    <n v="-21.370775999999999"/>
    <n v="47.842388999999997"/>
    <m/>
    <m/>
  </r>
  <r>
    <s v="317080008SMP"/>
    <x v="0"/>
    <x v="0"/>
    <m/>
    <x v="0"/>
    <x v="0"/>
    <m/>
    <x v="5"/>
    <x v="5"/>
    <m/>
    <x v="263"/>
    <x v="261"/>
    <m/>
    <x v="1301"/>
    <x v="161"/>
    <m/>
    <x v="2246"/>
    <x v="2647"/>
    <m/>
    <x v="3"/>
    <x v="3"/>
    <m/>
    <n v="-21.337857"/>
    <n v="48.119489999999999"/>
    <m/>
    <m/>
  </r>
  <r>
    <s v="317080012SMP"/>
    <x v="0"/>
    <x v="0"/>
    <m/>
    <x v="0"/>
    <x v="0"/>
    <m/>
    <x v="5"/>
    <x v="5"/>
    <m/>
    <x v="263"/>
    <x v="261"/>
    <m/>
    <x v="1301"/>
    <x v="161"/>
    <m/>
    <x v="2247"/>
    <x v="2648"/>
    <m/>
    <x v="3"/>
    <x v="3"/>
    <m/>
    <n v="-21.328637000000001"/>
    <n v="48.151685000000001"/>
    <m/>
    <m/>
  </r>
  <r>
    <s v="317230011SMP"/>
    <x v="0"/>
    <x v="0"/>
    <m/>
    <x v="0"/>
    <x v="0"/>
    <m/>
    <x v="5"/>
    <x v="5"/>
    <m/>
    <x v="21"/>
    <x v="21"/>
    <m/>
    <x v="1301"/>
    <x v="161"/>
    <m/>
    <x v="2248"/>
    <x v="2649"/>
    <m/>
    <x v="3"/>
    <x v="3"/>
    <m/>
    <n v="-21.282686000000002"/>
    <n v="48.168236999999998"/>
    <m/>
    <m/>
  </r>
  <r>
    <s v="317230021SMP"/>
    <x v="0"/>
    <x v="0"/>
    <m/>
    <x v="0"/>
    <x v="0"/>
    <m/>
    <x v="5"/>
    <x v="5"/>
    <m/>
    <x v="21"/>
    <x v="21"/>
    <m/>
    <x v="1301"/>
    <x v="161"/>
    <m/>
    <x v="2249"/>
    <x v="2650"/>
    <m/>
    <x v="3"/>
    <x v="3"/>
    <m/>
    <n v="-21.282674"/>
    <n v="48.168202000000001"/>
    <m/>
    <m/>
  </r>
  <r>
    <s v="317220008SMP"/>
    <x v="0"/>
    <x v="0"/>
    <m/>
    <x v="0"/>
    <x v="0"/>
    <m/>
    <x v="5"/>
    <x v="5"/>
    <m/>
    <x v="20"/>
    <x v="20"/>
    <m/>
    <x v="1301"/>
    <x v="161"/>
    <m/>
    <x v="130"/>
    <x v="2651"/>
    <m/>
    <x v="3"/>
    <x v="3"/>
    <m/>
    <n v="-21.246625000000002"/>
    <n v="48.299635000000002"/>
    <m/>
    <m/>
  </r>
  <r>
    <s v="317230010SMP"/>
    <x v="0"/>
    <x v="0"/>
    <m/>
    <x v="0"/>
    <x v="0"/>
    <m/>
    <x v="5"/>
    <x v="5"/>
    <m/>
    <x v="21"/>
    <x v="21"/>
    <m/>
    <x v="1301"/>
    <x v="161"/>
    <m/>
    <x v="1694"/>
    <x v="2652"/>
    <m/>
    <x v="3"/>
    <x v="3"/>
    <m/>
    <n v="-21.243594000000002"/>
    <n v="48.195304999999998"/>
    <m/>
    <m/>
  </r>
  <r>
    <s v="317230004SMP"/>
    <x v="0"/>
    <x v="0"/>
    <m/>
    <x v="0"/>
    <x v="0"/>
    <m/>
    <x v="5"/>
    <x v="5"/>
    <m/>
    <x v="21"/>
    <x v="21"/>
    <m/>
    <x v="1301"/>
    <x v="161"/>
    <m/>
    <x v="2250"/>
    <x v="2653"/>
    <m/>
    <x v="3"/>
    <x v="3"/>
    <m/>
    <n v="-21.239007999999998"/>
    <n v="48.235267"/>
    <m/>
    <m/>
  </r>
  <r>
    <s v="317230006SMP"/>
    <x v="0"/>
    <x v="0"/>
    <m/>
    <x v="0"/>
    <x v="0"/>
    <m/>
    <x v="5"/>
    <x v="5"/>
    <m/>
    <x v="21"/>
    <x v="21"/>
    <m/>
    <x v="1301"/>
    <x v="161"/>
    <m/>
    <x v="2251"/>
    <x v="2654"/>
    <m/>
    <x v="3"/>
    <x v="3"/>
    <m/>
    <n v="-21.237295"/>
    <n v="48.240065000000001"/>
    <m/>
    <m/>
  </r>
  <r>
    <s v="317220003SMP"/>
    <x v="0"/>
    <x v="0"/>
    <m/>
    <x v="0"/>
    <x v="0"/>
    <m/>
    <x v="5"/>
    <x v="5"/>
    <m/>
    <x v="20"/>
    <x v="20"/>
    <m/>
    <x v="1301"/>
    <x v="161"/>
    <m/>
    <x v="131"/>
    <x v="2655"/>
    <m/>
    <x v="3"/>
    <x v="3"/>
    <m/>
    <n v="-21.230537000000002"/>
    <n v="48.271737999999999"/>
    <m/>
    <m/>
  </r>
  <r>
    <s v="317230007SMP"/>
    <x v="0"/>
    <x v="0"/>
    <m/>
    <x v="0"/>
    <x v="0"/>
    <m/>
    <x v="5"/>
    <x v="5"/>
    <m/>
    <x v="21"/>
    <x v="21"/>
    <m/>
    <x v="1301"/>
    <x v="161"/>
    <m/>
    <x v="2252"/>
    <x v="2656"/>
    <m/>
    <x v="3"/>
    <x v="3"/>
    <m/>
    <n v="-21.230011999999999"/>
    <n v="48.206119000000001"/>
    <m/>
    <m/>
  </r>
  <r>
    <s v="317170010SMP"/>
    <x v="0"/>
    <x v="0"/>
    <m/>
    <x v="0"/>
    <x v="0"/>
    <m/>
    <x v="5"/>
    <x v="5"/>
    <m/>
    <x v="14"/>
    <x v="14"/>
    <m/>
    <x v="1301"/>
    <x v="161"/>
    <m/>
    <x v="107"/>
    <x v="2657"/>
    <m/>
    <x v="3"/>
    <x v="3"/>
    <m/>
    <n v="-21.221489999999999"/>
    <n v="48.139583000000002"/>
    <m/>
    <m/>
  </r>
  <r>
    <s v="317230018SMP"/>
    <x v="0"/>
    <x v="0"/>
    <m/>
    <x v="0"/>
    <x v="0"/>
    <m/>
    <x v="5"/>
    <x v="5"/>
    <m/>
    <x v="21"/>
    <x v="21"/>
    <m/>
    <x v="1301"/>
    <x v="161"/>
    <m/>
    <x v="2253"/>
    <x v="2658"/>
    <m/>
    <x v="3"/>
    <x v="3"/>
    <m/>
    <n v="-21.205287999999999"/>
    <n v="48.242786000000002"/>
    <m/>
    <m/>
  </r>
  <r>
    <s v="317230016SMP"/>
    <x v="0"/>
    <x v="0"/>
    <m/>
    <x v="0"/>
    <x v="0"/>
    <m/>
    <x v="5"/>
    <x v="5"/>
    <m/>
    <x v="21"/>
    <x v="21"/>
    <m/>
    <x v="1301"/>
    <x v="161"/>
    <m/>
    <x v="2254"/>
    <x v="2659"/>
    <m/>
    <x v="3"/>
    <x v="3"/>
    <m/>
    <n v="-21.205145999999999"/>
    <n v="48.243017999999999"/>
    <m/>
    <m/>
  </r>
  <r>
    <s v="317170013SMP"/>
    <x v="0"/>
    <x v="0"/>
    <m/>
    <x v="0"/>
    <x v="0"/>
    <m/>
    <x v="5"/>
    <x v="5"/>
    <m/>
    <x v="21"/>
    <x v="21"/>
    <m/>
    <x v="1301"/>
    <x v="161"/>
    <m/>
    <x v="2255"/>
    <x v="2660"/>
    <m/>
    <x v="3"/>
    <x v="3"/>
    <m/>
    <n v="-21.189637999999999"/>
    <n v="48.189034999999997"/>
    <m/>
    <m/>
  </r>
  <r>
    <s v="317100014SMP"/>
    <x v="0"/>
    <x v="0"/>
    <m/>
    <x v="0"/>
    <x v="0"/>
    <m/>
    <x v="5"/>
    <x v="5"/>
    <m/>
    <x v="13"/>
    <x v="13"/>
    <m/>
    <x v="1301"/>
    <x v="161"/>
    <m/>
    <x v="2256"/>
    <x v="2661"/>
    <m/>
    <x v="3"/>
    <x v="3"/>
    <m/>
    <n v="-21.177562000000002"/>
    <n v="48.297313000000003"/>
    <m/>
    <m/>
  </r>
  <r>
    <s v="317230008SMP"/>
    <x v="0"/>
    <x v="0"/>
    <m/>
    <x v="0"/>
    <x v="0"/>
    <m/>
    <x v="5"/>
    <x v="5"/>
    <m/>
    <x v="21"/>
    <x v="21"/>
    <m/>
    <x v="1301"/>
    <x v="161"/>
    <m/>
    <x v="2257"/>
    <x v="2662"/>
    <m/>
    <x v="3"/>
    <x v="3"/>
    <m/>
    <n v="-21.176532999999999"/>
    <n v="48.076042999999999"/>
    <m/>
    <m/>
  </r>
  <r>
    <s v="317230023SMP"/>
    <x v="0"/>
    <x v="0"/>
    <m/>
    <x v="0"/>
    <x v="0"/>
    <m/>
    <x v="5"/>
    <x v="5"/>
    <m/>
    <x v="21"/>
    <x v="21"/>
    <m/>
    <x v="1301"/>
    <x v="161"/>
    <m/>
    <x v="132"/>
    <x v="2663"/>
    <m/>
    <x v="3"/>
    <x v="3"/>
    <m/>
    <n v="-21.165161999999999"/>
    <n v="48.126125000000002"/>
    <m/>
    <m/>
  </r>
  <r>
    <s v="317230002SMP"/>
    <x v="0"/>
    <x v="0"/>
    <m/>
    <x v="0"/>
    <x v="0"/>
    <m/>
    <x v="5"/>
    <x v="5"/>
    <m/>
    <x v="21"/>
    <x v="21"/>
    <m/>
    <x v="1301"/>
    <x v="161"/>
    <m/>
    <x v="2258"/>
    <x v="2664"/>
    <m/>
    <x v="3"/>
    <x v="3"/>
    <m/>
    <n v="-21.161256999999999"/>
    <n v="48.104802999999997"/>
    <m/>
    <m/>
  </r>
  <r>
    <s v="317170003SMP"/>
    <x v="0"/>
    <x v="0"/>
    <m/>
    <x v="0"/>
    <x v="0"/>
    <m/>
    <x v="5"/>
    <x v="5"/>
    <m/>
    <x v="21"/>
    <x v="21"/>
    <m/>
    <x v="1301"/>
    <x v="161"/>
    <m/>
    <x v="108"/>
    <x v="2665"/>
    <m/>
    <x v="3"/>
    <x v="3"/>
    <m/>
    <n v="-21.101741000000001"/>
    <n v="48.231794000000001"/>
    <m/>
    <m/>
  </r>
  <r>
    <s v="317250009SMP"/>
    <x v="0"/>
    <x v="0"/>
    <m/>
    <x v="0"/>
    <x v="0"/>
    <m/>
    <x v="5"/>
    <x v="5"/>
    <m/>
    <x v="224"/>
    <x v="291"/>
    <m/>
    <x v="1301"/>
    <x v="161"/>
    <m/>
    <x v="2259"/>
    <x v="2666"/>
    <m/>
    <x v="3"/>
    <x v="3"/>
    <m/>
    <n v="-21.09507"/>
    <n v="48.031080000000003"/>
    <m/>
    <m/>
  </r>
  <r>
    <s v="317180002SMP"/>
    <x v="0"/>
    <x v="0"/>
    <m/>
    <x v="0"/>
    <x v="0"/>
    <m/>
    <x v="5"/>
    <x v="5"/>
    <m/>
    <x v="59"/>
    <x v="59"/>
    <m/>
    <x v="1301"/>
    <x v="161"/>
    <m/>
    <x v="2260"/>
    <x v="2667"/>
    <m/>
    <x v="3"/>
    <x v="3"/>
    <m/>
    <n v="-20.967269999999999"/>
    <n v="48.2301"/>
    <m/>
    <m/>
  </r>
  <r>
    <s v="317070004SMP"/>
    <x v="0"/>
    <x v="0"/>
    <m/>
    <x v="0"/>
    <x v="0"/>
    <m/>
    <x v="5"/>
    <x v="5"/>
    <m/>
    <x v="290"/>
    <x v="289"/>
    <m/>
    <x v="1301"/>
    <x v="161"/>
    <m/>
    <x v="2261"/>
    <x v="2668"/>
    <m/>
    <x v="3"/>
    <x v="3"/>
    <m/>
    <n v="-21.509270000000001"/>
    <n v="48.003219999999999"/>
    <m/>
    <m/>
  </r>
  <r>
    <s v="317170006SMP"/>
    <x v="0"/>
    <x v="0"/>
    <m/>
    <x v="0"/>
    <x v="0"/>
    <m/>
    <x v="5"/>
    <x v="5"/>
    <m/>
    <x v="14"/>
    <x v="14"/>
    <m/>
    <x v="1301"/>
    <x v="161"/>
    <m/>
    <x v="2262"/>
    <x v="2669"/>
    <m/>
    <x v="3"/>
    <x v="3"/>
    <m/>
    <n v="-21.23452"/>
    <n v="48.137630000000001"/>
    <m/>
    <m/>
  </r>
  <r>
    <s v="317020012SMP"/>
    <x v="0"/>
    <x v="0"/>
    <m/>
    <x v="0"/>
    <x v="0"/>
    <m/>
    <x v="5"/>
    <x v="5"/>
    <m/>
    <x v="292"/>
    <x v="292"/>
    <m/>
    <x v="1301"/>
    <x v="161"/>
    <m/>
    <x v="2263"/>
    <x v="2670"/>
    <m/>
    <x v="3"/>
    <x v="3"/>
    <m/>
    <n v="-20.931429999999999"/>
    <n v="47.81955"/>
    <m/>
    <m/>
  </r>
  <r>
    <s v="317150002SMP"/>
    <x v="0"/>
    <x v="0"/>
    <m/>
    <x v="0"/>
    <x v="0"/>
    <m/>
    <x v="5"/>
    <x v="5"/>
    <m/>
    <x v="293"/>
    <x v="293"/>
    <m/>
    <x v="1301"/>
    <x v="161"/>
    <m/>
    <x v="2264"/>
    <x v="2671"/>
    <m/>
    <x v="3"/>
    <x v="3"/>
    <m/>
    <n v="-21.19877"/>
    <n v="48.33802"/>
    <m/>
    <m/>
  </r>
  <r>
    <s v="317150003SMP"/>
    <x v="0"/>
    <x v="0"/>
    <m/>
    <x v="0"/>
    <x v="0"/>
    <m/>
    <x v="5"/>
    <x v="5"/>
    <m/>
    <x v="293"/>
    <x v="293"/>
    <m/>
    <x v="1301"/>
    <x v="161"/>
    <m/>
    <x v="2265"/>
    <x v="2672"/>
    <m/>
    <x v="3"/>
    <x v="3"/>
    <m/>
    <n v="-21.19877"/>
    <n v="48.33802"/>
    <m/>
    <m/>
  </r>
  <r>
    <s v="317080015SMP"/>
    <x v="0"/>
    <x v="0"/>
    <m/>
    <x v="0"/>
    <x v="0"/>
    <m/>
    <x v="5"/>
    <x v="5"/>
    <m/>
    <x v="263"/>
    <x v="261"/>
    <m/>
    <x v="1301"/>
    <x v="161"/>
    <m/>
    <x v="1397"/>
    <x v="2673"/>
    <m/>
    <x v="3"/>
    <x v="3"/>
    <m/>
    <n v="-21.34187"/>
    <n v="48.060029999999998"/>
    <m/>
    <m/>
  </r>
  <r>
    <s v="317020015SMP"/>
    <x v="0"/>
    <x v="0"/>
    <m/>
    <x v="0"/>
    <x v="0"/>
    <m/>
    <x v="5"/>
    <x v="5"/>
    <m/>
    <x v="292"/>
    <x v="292"/>
    <m/>
    <x v="1301"/>
    <x v="161"/>
    <m/>
    <x v="2266"/>
    <x v="2674"/>
    <m/>
    <x v="3"/>
    <x v="3"/>
    <m/>
    <n v="-20.931429999999999"/>
    <n v="47.81955"/>
    <m/>
    <m/>
  </r>
  <r>
    <s v="317070013SMP"/>
    <x v="0"/>
    <x v="0"/>
    <m/>
    <x v="0"/>
    <x v="0"/>
    <m/>
    <x v="5"/>
    <x v="5"/>
    <m/>
    <x v="290"/>
    <x v="289"/>
    <m/>
    <x v="1301"/>
    <x v="161"/>
    <m/>
    <x v="1495"/>
    <x v="2675"/>
    <m/>
    <x v="3"/>
    <x v="3"/>
    <m/>
    <n v="-21.509270000000001"/>
    <n v="48.003219999999999"/>
    <m/>
    <m/>
  </r>
  <r>
    <s v="317180009SMP"/>
    <x v="0"/>
    <x v="0"/>
    <m/>
    <x v="0"/>
    <x v="0"/>
    <m/>
    <x v="5"/>
    <x v="5"/>
    <m/>
    <x v="59"/>
    <x v="59"/>
    <m/>
    <x v="1301"/>
    <x v="161"/>
    <m/>
    <x v="2267"/>
    <x v="2676"/>
    <m/>
    <x v="3"/>
    <x v="3"/>
    <m/>
    <n v="-20.967269999999999"/>
    <n v="48.2301"/>
    <m/>
    <m/>
  </r>
  <r>
    <s v="317150004SMP"/>
    <x v="0"/>
    <x v="0"/>
    <m/>
    <x v="0"/>
    <x v="0"/>
    <m/>
    <x v="5"/>
    <x v="5"/>
    <m/>
    <x v="293"/>
    <x v="293"/>
    <m/>
    <x v="1301"/>
    <x v="161"/>
    <m/>
    <x v="2268"/>
    <x v="2677"/>
    <m/>
    <x v="3"/>
    <x v="3"/>
    <m/>
    <n v="-21.19877"/>
    <n v="48.33802"/>
    <m/>
    <m/>
  </r>
  <r>
    <s v="317220004SMP"/>
    <x v="0"/>
    <x v="0"/>
    <m/>
    <x v="0"/>
    <x v="0"/>
    <m/>
    <x v="5"/>
    <x v="5"/>
    <m/>
    <x v="20"/>
    <x v="20"/>
    <m/>
    <x v="1301"/>
    <x v="161"/>
    <m/>
    <x v="2269"/>
    <x v="2678"/>
    <m/>
    <x v="3"/>
    <x v="3"/>
    <m/>
    <n v="-21.237480000000001"/>
    <n v="48.299779999999998"/>
    <m/>
    <m/>
  </r>
  <r>
    <s v="317260005SMP"/>
    <x v="0"/>
    <x v="0"/>
    <m/>
    <x v="0"/>
    <x v="0"/>
    <m/>
    <x v="5"/>
    <x v="5"/>
    <m/>
    <x v="20"/>
    <x v="20"/>
    <m/>
    <x v="1301"/>
    <x v="161"/>
    <m/>
    <x v="2270"/>
    <x v="2679"/>
    <m/>
    <x v="3"/>
    <x v="3"/>
    <m/>
    <n v="-21.237480000000001"/>
    <n v="48.299779999999998"/>
    <m/>
    <m/>
  </r>
  <r>
    <s v="317220005SMP"/>
    <x v="0"/>
    <x v="0"/>
    <m/>
    <x v="0"/>
    <x v="0"/>
    <m/>
    <x v="5"/>
    <x v="5"/>
    <m/>
    <x v="20"/>
    <x v="20"/>
    <m/>
    <x v="1301"/>
    <x v="161"/>
    <m/>
    <x v="2271"/>
    <x v="2680"/>
    <m/>
    <x v="3"/>
    <x v="3"/>
    <m/>
    <n v="-21.237480000000001"/>
    <n v="48.299779999999998"/>
    <m/>
    <m/>
  </r>
  <r>
    <s v="317220007SMP"/>
    <x v="0"/>
    <x v="0"/>
    <m/>
    <x v="0"/>
    <x v="0"/>
    <m/>
    <x v="5"/>
    <x v="5"/>
    <m/>
    <x v="20"/>
    <x v="20"/>
    <m/>
    <x v="1301"/>
    <x v="161"/>
    <m/>
    <x v="2272"/>
    <x v="2681"/>
    <m/>
    <x v="3"/>
    <x v="3"/>
    <m/>
    <n v="-21.237480000000001"/>
    <n v="48.299779999999998"/>
    <m/>
    <m/>
  </r>
  <r>
    <s v="317240009SMP"/>
    <x v="0"/>
    <x v="0"/>
    <m/>
    <x v="0"/>
    <x v="0"/>
    <m/>
    <x v="5"/>
    <x v="5"/>
    <m/>
    <x v="294"/>
    <x v="294"/>
    <m/>
    <x v="1301"/>
    <x v="161"/>
    <m/>
    <x v="2273"/>
    <x v="2682"/>
    <m/>
    <x v="3"/>
    <x v="3"/>
    <m/>
    <n v="-21.55237"/>
    <n v="47.846179999999997"/>
    <m/>
    <m/>
  </r>
  <r>
    <s v="317070019SMP"/>
    <x v="0"/>
    <x v="0"/>
    <m/>
    <x v="0"/>
    <x v="0"/>
    <m/>
    <x v="5"/>
    <x v="5"/>
    <m/>
    <x v="290"/>
    <x v="289"/>
    <m/>
    <x v="1301"/>
    <x v="161"/>
    <m/>
    <x v="2274"/>
    <x v="2683"/>
    <m/>
    <x v="3"/>
    <x v="3"/>
    <m/>
    <n v="-21.509270000000001"/>
    <n v="48.003219999999999"/>
    <m/>
    <m/>
  </r>
  <r>
    <s v="320240020SMP"/>
    <x v="0"/>
    <x v="0"/>
    <m/>
    <x v="4"/>
    <x v="4"/>
    <m/>
    <x v="10"/>
    <x v="10"/>
    <m/>
    <x v="221"/>
    <x v="220"/>
    <m/>
    <x v="1301"/>
    <x v="161"/>
    <m/>
    <x v="2275"/>
    <x v="2684"/>
    <m/>
    <x v="3"/>
    <x v="3"/>
    <m/>
    <n v="-23.408282"/>
    <n v="47.644401000000002"/>
    <m/>
    <m/>
  </r>
  <r>
    <s v="320050008SMP"/>
    <x v="0"/>
    <x v="0"/>
    <m/>
    <x v="4"/>
    <x v="4"/>
    <m/>
    <x v="10"/>
    <x v="10"/>
    <m/>
    <x v="86"/>
    <x v="86"/>
    <m/>
    <x v="1301"/>
    <x v="161"/>
    <m/>
    <x v="2276"/>
    <x v="2685"/>
    <m/>
    <x v="3"/>
    <x v="3"/>
    <m/>
    <n v="-23.365559999999999"/>
    <n v="47.506574999999998"/>
    <m/>
    <m/>
  </r>
  <r>
    <s v="320070002SMP"/>
    <x v="0"/>
    <x v="0"/>
    <m/>
    <x v="4"/>
    <x v="4"/>
    <m/>
    <x v="10"/>
    <x v="10"/>
    <m/>
    <x v="119"/>
    <x v="119"/>
    <m/>
    <x v="1301"/>
    <x v="161"/>
    <m/>
    <x v="1080"/>
    <x v="2686"/>
    <m/>
    <x v="3"/>
    <x v="3"/>
    <m/>
    <n v="-23.363513000000001"/>
    <n v="47.615537000000003"/>
    <m/>
    <m/>
  </r>
  <r>
    <s v="320240011SMP"/>
    <x v="0"/>
    <x v="0"/>
    <m/>
    <x v="4"/>
    <x v="4"/>
    <m/>
    <x v="10"/>
    <x v="10"/>
    <m/>
    <x v="221"/>
    <x v="220"/>
    <m/>
    <x v="1301"/>
    <x v="161"/>
    <m/>
    <x v="1460"/>
    <x v="2687"/>
    <m/>
    <x v="3"/>
    <x v="3"/>
    <m/>
    <n v="-23.361108000000002"/>
    <n v="47.620860999999998"/>
    <m/>
    <m/>
  </r>
  <r>
    <s v="320040005SMP"/>
    <x v="0"/>
    <x v="0"/>
    <m/>
    <x v="4"/>
    <x v="4"/>
    <m/>
    <x v="10"/>
    <x v="10"/>
    <m/>
    <x v="85"/>
    <x v="85"/>
    <m/>
    <x v="1301"/>
    <x v="161"/>
    <m/>
    <x v="2277"/>
    <x v="2688"/>
    <m/>
    <x v="3"/>
    <x v="3"/>
    <m/>
    <n v="-23.351811000000001"/>
    <n v="47.591825999999998"/>
    <m/>
    <m/>
  </r>
  <r>
    <s v="320230002SMP"/>
    <x v="0"/>
    <x v="0"/>
    <m/>
    <x v="4"/>
    <x v="4"/>
    <m/>
    <x v="10"/>
    <x v="10"/>
    <m/>
    <x v="54"/>
    <x v="54"/>
    <m/>
    <x v="1301"/>
    <x v="161"/>
    <m/>
    <x v="325"/>
    <x v="2689"/>
    <m/>
    <x v="3"/>
    <x v="3"/>
    <m/>
    <n v="-23.339378"/>
    <n v="47.663916999999998"/>
    <m/>
    <m/>
  </r>
  <r>
    <s v="320210005SMP"/>
    <x v="0"/>
    <x v="0"/>
    <m/>
    <x v="4"/>
    <x v="4"/>
    <m/>
    <x v="10"/>
    <x v="10"/>
    <m/>
    <x v="206"/>
    <x v="206"/>
    <m/>
    <x v="1301"/>
    <x v="161"/>
    <m/>
    <x v="2278"/>
    <x v="2690"/>
    <m/>
    <x v="3"/>
    <x v="3"/>
    <m/>
    <n v="-23.330991999999998"/>
    <n v="47.608578999999999"/>
    <m/>
    <m/>
  </r>
  <r>
    <s v="320210003SMP"/>
    <x v="0"/>
    <x v="0"/>
    <m/>
    <x v="4"/>
    <x v="4"/>
    <m/>
    <x v="10"/>
    <x v="10"/>
    <m/>
    <x v="206"/>
    <x v="206"/>
    <m/>
    <x v="1301"/>
    <x v="161"/>
    <m/>
    <x v="2279"/>
    <x v="2691"/>
    <m/>
    <x v="3"/>
    <x v="3"/>
    <m/>
    <n v="-23.319254000000001"/>
    <n v="47.551614000000001"/>
    <m/>
    <m/>
  </r>
  <r>
    <s v="320140010SMP"/>
    <x v="0"/>
    <x v="0"/>
    <m/>
    <x v="4"/>
    <x v="4"/>
    <m/>
    <x v="10"/>
    <x v="10"/>
    <m/>
    <x v="166"/>
    <x v="166"/>
    <m/>
    <x v="1301"/>
    <x v="161"/>
    <m/>
    <x v="2280"/>
    <x v="2692"/>
    <m/>
    <x v="3"/>
    <x v="3"/>
    <m/>
    <n v="-23.302510999999999"/>
    <n v="47.601989000000003"/>
    <m/>
    <m/>
  </r>
  <r>
    <s v="320230009SMP"/>
    <x v="0"/>
    <x v="0"/>
    <m/>
    <x v="4"/>
    <x v="4"/>
    <m/>
    <x v="10"/>
    <x v="10"/>
    <m/>
    <x v="54"/>
    <x v="54"/>
    <m/>
    <x v="1301"/>
    <x v="161"/>
    <m/>
    <x v="2281"/>
    <x v="2693"/>
    <m/>
    <x v="3"/>
    <x v="3"/>
    <m/>
    <n v="-23.299125"/>
    <n v="47.631901999999997"/>
    <m/>
    <m/>
  </r>
  <r>
    <s v="320050012SMP"/>
    <x v="0"/>
    <x v="0"/>
    <m/>
    <x v="4"/>
    <x v="4"/>
    <m/>
    <x v="10"/>
    <x v="10"/>
    <m/>
    <x v="86"/>
    <x v="86"/>
    <m/>
    <x v="1301"/>
    <x v="161"/>
    <m/>
    <x v="1093"/>
    <x v="2694"/>
    <m/>
    <x v="3"/>
    <x v="3"/>
    <m/>
    <n v="-23.295480999999999"/>
    <n v="47.450425000000003"/>
    <m/>
    <m/>
  </r>
  <r>
    <s v="320230007SMP"/>
    <x v="0"/>
    <x v="0"/>
    <m/>
    <x v="4"/>
    <x v="4"/>
    <m/>
    <x v="10"/>
    <x v="10"/>
    <m/>
    <x v="54"/>
    <x v="54"/>
    <m/>
    <x v="1301"/>
    <x v="161"/>
    <m/>
    <x v="326"/>
    <x v="2695"/>
    <m/>
    <x v="3"/>
    <x v="3"/>
    <m/>
    <n v="-23.287168999999999"/>
    <n v="47.688485"/>
    <m/>
    <m/>
  </r>
  <r>
    <s v="320280009SMP"/>
    <x v="0"/>
    <x v="0"/>
    <m/>
    <x v="4"/>
    <x v="4"/>
    <m/>
    <x v="10"/>
    <x v="10"/>
    <m/>
    <x v="52"/>
    <x v="52"/>
    <m/>
    <x v="1301"/>
    <x v="161"/>
    <m/>
    <x v="971"/>
    <x v="2696"/>
    <m/>
    <x v="3"/>
    <x v="3"/>
    <m/>
    <n v="-23.257353999999999"/>
    <n v="47.650173000000002"/>
    <m/>
    <m/>
  </r>
  <r>
    <s v="320140005SMP"/>
    <x v="0"/>
    <x v="0"/>
    <m/>
    <x v="4"/>
    <x v="4"/>
    <m/>
    <x v="10"/>
    <x v="10"/>
    <m/>
    <x v="166"/>
    <x v="166"/>
    <m/>
    <x v="1301"/>
    <x v="161"/>
    <m/>
    <x v="2282"/>
    <x v="2697"/>
    <m/>
    <x v="3"/>
    <x v="3"/>
    <m/>
    <n v="-23.221170999999998"/>
    <n v="47.677155999999997"/>
    <m/>
    <m/>
  </r>
  <r>
    <s v="320040009SMP"/>
    <x v="0"/>
    <x v="0"/>
    <m/>
    <x v="4"/>
    <x v="4"/>
    <m/>
    <x v="10"/>
    <x v="10"/>
    <m/>
    <x v="85"/>
    <x v="85"/>
    <m/>
    <x v="1301"/>
    <x v="161"/>
    <m/>
    <x v="2283"/>
    <x v="2698"/>
    <m/>
    <x v="3"/>
    <x v="3"/>
    <m/>
    <n v="-23.374770000000002"/>
    <n v="47.589329999999997"/>
    <m/>
    <m/>
  </r>
  <r>
    <s v="320110003SMP"/>
    <x v="0"/>
    <x v="0"/>
    <m/>
    <x v="4"/>
    <x v="4"/>
    <m/>
    <x v="10"/>
    <x v="10"/>
    <m/>
    <x v="295"/>
    <x v="295"/>
    <m/>
    <x v="1301"/>
    <x v="161"/>
    <m/>
    <x v="2284"/>
    <x v="2699"/>
    <m/>
    <x v="3"/>
    <x v="3"/>
    <m/>
    <n v="-23.744800000000001"/>
    <n v="47.391480000000001"/>
    <m/>
    <m/>
  </r>
  <r>
    <s v="320040007SMP"/>
    <x v="0"/>
    <x v="0"/>
    <m/>
    <x v="4"/>
    <x v="4"/>
    <m/>
    <x v="10"/>
    <x v="10"/>
    <m/>
    <x v="85"/>
    <x v="85"/>
    <m/>
    <x v="1301"/>
    <x v="161"/>
    <m/>
    <x v="755"/>
    <x v="2700"/>
    <m/>
    <x v="3"/>
    <x v="3"/>
    <m/>
    <n v="-23.374770000000002"/>
    <n v="47.589329999999997"/>
    <m/>
    <m/>
  </r>
  <r>
    <s v="320050003SMP"/>
    <x v="0"/>
    <x v="0"/>
    <m/>
    <x v="4"/>
    <x v="4"/>
    <m/>
    <x v="10"/>
    <x v="10"/>
    <m/>
    <x v="86"/>
    <x v="86"/>
    <m/>
    <x v="1301"/>
    <x v="161"/>
    <m/>
    <x v="1125"/>
    <x v="2701"/>
    <m/>
    <x v="3"/>
    <x v="3"/>
    <m/>
    <n v="-23.381799999999998"/>
    <n v="47.414729999999999"/>
    <m/>
    <m/>
  </r>
  <r>
    <s v="320140003SMP"/>
    <x v="0"/>
    <x v="0"/>
    <m/>
    <x v="4"/>
    <x v="4"/>
    <m/>
    <x v="10"/>
    <x v="10"/>
    <m/>
    <x v="166"/>
    <x v="166"/>
    <m/>
    <x v="1301"/>
    <x v="161"/>
    <m/>
    <x v="2285"/>
    <x v="2702"/>
    <m/>
    <x v="3"/>
    <x v="3"/>
    <m/>
    <n v="-23.262329999999999"/>
    <n v="47.6798"/>
    <m/>
    <m/>
  </r>
  <r>
    <s v="320110005SMP"/>
    <x v="0"/>
    <x v="0"/>
    <m/>
    <x v="4"/>
    <x v="4"/>
    <m/>
    <x v="10"/>
    <x v="10"/>
    <m/>
    <x v="295"/>
    <x v="295"/>
    <m/>
    <x v="1301"/>
    <x v="161"/>
    <m/>
    <x v="2286"/>
    <x v="2703"/>
    <m/>
    <x v="3"/>
    <x v="3"/>
    <m/>
    <n v="-23.744800000000001"/>
    <n v="47.391480000000001"/>
    <m/>
    <m/>
  </r>
  <r>
    <s v="320280005SMP"/>
    <x v="0"/>
    <x v="0"/>
    <m/>
    <x v="4"/>
    <x v="4"/>
    <m/>
    <x v="10"/>
    <x v="10"/>
    <m/>
    <x v="55"/>
    <x v="55"/>
    <m/>
    <x v="1301"/>
    <x v="161"/>
    <m/>
    <x v="35"/>
    <x v="2704"/>
    <m/>
    <x v="3"/>
    <x v="3"/>
    <m/>
    <n v="-23.2166"/>
    <n v="47.544319999999999"/>
    <m/>
    <m/>
  </r>
  <r>
    <s v="320140013SMP"/>
    <x v="0"/>
    <x v="0"/>
    <m/>
    <x v="4"/>
    <x v="4"/>
    <m/>
    <x v="10"/>
    <x v="10"/>
    <m/>
    <x v="166"/>
    <x v="166"/>
    <m/>
    <x v="1301"/>
    <x v="161"/>
    <m/>
    <x v="1453"/>
    <x v="2705"/>
    <m/>
    <x v="3"/>
    <x v="3"/>
    <m/>
    <n v="-23.262329999999999"/>
    <n v="47.6798"/>
    <m/>
    <m/>
  </r>
  <r>
    <s v="320280007SMP"/>
    <x v="0"/>
    <x v="0"/>
    <m/>
    <x v="4"/>
    <x v="4"/>
    <m/>
    <x v="10"/>
    <x v="10"/>
    <m/>
    <x v="52"/>
    <x v="52"/>
    <m/>
    <x v="1301"/>
    <x v="161"/>
    <m/>
    <x v="2287"/>
    <x v="2706"/>
    <m/>
    <x v="3"/>
    <x v="3"/>
    <m/>
    <n v="-23.31898"/>
    <n v="47.559750000000001"/>
    <m/>
    <m/>
  </r>
  <r>
    <s v="320190017SMP"/>
    <x v="0"/>
    <x v="0"/>
    <m/>
    <x v="4"/>
    <x v="4"/>
    <m/>
    <x v="10"/>
    <x v="10"/>
    <m/>
    <x v="201"/>
    <x v="201"/>
    <m/>
    <x v="1301"/>
    <x v="161"/>
    <m/>
    <x v="1317"/>
    <x v="2707"/>
    <m/>
    <x v="3"/>
    <x v="3"/>
    <m/>
    <n v="-23.540220000000001"/>
    <n v="47.320270000000001"/>
    <m/>
    <m/>
  </r>
  <r>
    <s v="320110010SMP"/>
    <x v="0"/>
    <x v="0"/>
    <m/>
    <x v="4"/>
    <x v="4"/>
    <m/>
    <x v="10"/>
    <x v="10"/>
    <m/>
    <x v="295"/>
    <x v="295"/>
    <m/>
    <x v="1301"/>
    <x v="161"/>
    <m/>
    <x v="2288"/>
    <x v="2708"/>
    <m/>
    <x v="3"/>
    <x v="3"/>
    <m/>
    <n v="-23.744800000000001"/>
    <n v="47.391480000000001"/>
    <m/>
    <m/>
  </r>
  <r>
    <s v="320040012SMP"/>
    <x v="0"/>
    <x v="0"/>
    <m/>
    <x v="4"/>
    <x v="4"/>
    <m/>
    <x v="10"/>
    <x v="10"/>
    <m/>
    <x v="85"/>
    <x v="85"/>
    <m/>
    <x v="1301"/>
    <x v="161"/>
    <m/>
    <x v="2289"/>
    <x v="2709"/>
    <m/>
    <x v="3"/>
    <x v="3"/>
    <m/>
    <n v="-23.374770000000002"/>
    <n v="47.589329999999997"/>
    <m/>
    <m/>
  </r>
  <r>
    <s v="320280012SMP"/>
    <x v="0"/>
    <x v="0"/>
    <m/>
    <x v="4"/>
    <x v="4"/>
    <m/>
    <x v="10"/>
    <x v="10"/>
    <m/>
    <x v="52"/>
    <x v="52"/>
    <m/>
    <x v="1301"/>
    <x v="161"/>
    <m/>
    <x v="2290"/>
    <x v="2710"/>
    <m/>
    <x v="3"/>
    <x v="3"/>
    <m/>
    <n v="-23.31898"/>
    <n v="47.559750000000001"/>
    <m/>
    <m/>
  </r>
  <r>
    <s v="612030002SMP"/>
    <x v="3"/>
    <x v="3"/>
    <m/>
    <x v="1"/>
    <x v="1"/>
    <m/>
    <x v="3"/>
    <x v="3"/>
    <m/>
    <x v="115"/>
    <x v="115"/>
    <m/>
    <x v="1301"/>
    <x v="161"/>
    <m/>
    <x v="748"/>
    <x v="2711"/>
    <m/>
    <x v="3"/>
    <x v="3"/>
    <m/>
    <n v="-23.792884999999998"/>
    <n v="44.313512000000003"/>
    <m/>
    <m/>
  </r>
  <r>
    <s v="621050010SMP"/>
    <x v="3"/>
    <x v="3"/>
    <m/>
    <x v="1"/>
    <x v="1"/>
    <m/>
    <x v="3"/>
    <x v="3"/>
    <m/>
    <x v="296"/>
    <x v="296"/>
    <m/>
    <x v="1301"/>
    <x v="161"/>
    <m/>
    <x v="2291"/>
    <x v="2712"/>
    <m/>
    <x v="3"/>
    <x v="3"/>
    <m/>
    <n v="-23.393000000000001"/>
    <n v="44.711260000000003"/>
    <m/>
    <m/>
  </r>
  <r>
    <s v="621050027SMP"/>
    <x v="3"/>
    <x v="3"/>
    <m/>
    <x v="1"/>
    <x v="1"/>
    <m/>
    <x v="3"/>
    <x v="3"/>
    <m/>
    <x v="296"/>
    <x v="296"/>
    <m/>
    <x v="1301"/>
    <x v="161"/>
    <m/>
    <x v="2292"/>
    <x v="2713"/>
    <m/>
    <x v="3"/>
    <x v="3"/>
    <m/>
    <n v="-23.359694999999999"/>
    <n v="44.732135999999997"/>
    <m/>
    <m/>
  </r>
  <r>
    <s v="612020006SMP"/>
    <x v="3"/>
    <x v="3"/>
    <m/>
    <x v="1"/>
    <x v="1"/>
    <m/>
    <x v="3"/>
    <x v="3"/>
    <m/>
    <x v="297"/>
    <x v="297"/>
    <m/>
    <x v="1301"/>
    <x v="161"/>
    <m/>
    <x v="2293"/>
    <x v="2714"/>
    <m/>
    <x v="3"/>
    <x v="3"/>
    <m/>
    <n v="-23.593209999999999"/>
    <n v="44.445445999999997"/>
    <m/>
    <m/>
  </r>
  <r>
    <s v="621050046SMP"/>
    <x v="3"/>
    <x v="3"/>
    <m/>
    <x v="1"/>
    <x v="1"/>
    <m/>
    <x v="3"/>
    <x v="3"/>
    <m/>
    <x v="296"/>
    <x v="296"/>
    <m/>
    <x v="1301"/>
    <x v="161"/>
    <m/>
    <x v="2294"/>
    <x v="2715"/>
    <m/>
    <x v="3"/>
    <x v="3"/>
    <m/>
    <n v="-23.298698000000002"/>
    <n v="44.721350999999999"/>
    <m/>
    <m/>
  </r>
  <r>
    <s v="621050031SMP"/>
    <x v="3"/>
    <x v="3"/>
    <m/>
    <x v="1"/>
    <x v="1"/>
    <m/>
    <x v="3"/>
    <x v="3"/>
    <m/>
    <x v="296"/>
    <x v="296"/>
    <m/>
    <x v="1301"/>
    <x v="161"/>
    <m/>
    <x v="2295"/>
    <x v="2716"/>
    <m/>
    <x v="3"/>
    <x v="3"/>
    <m/>
    <n v="-23.289529999999999"/>
    <n v="44.624021999999997"/>
    <m/>
    <m/>
  </r>
  <r>
    <s v="614210009SMP"/>
    <x v="3"/>
    <x v="3"/>
    <m/>
    <x v="1"/>
    <x v="1"/>
    <m/>
    <x v="3"/>
    <x v="3"/>
    <m/>
    <x v="296"/>
    <x v="296"/>
    <m/>
    <x v="1301"/>
    <x v="161"/>
    <m/>
    <x v="2296"/>
    <x v="2717"/>
    <m/>
    <x v="3"/>
    <x v="3"/>
    <m/>
    <n v="-23.312667999999999"/>
    <n v="44.673501000000002"/>
    <m/>
    <m/>
  </r>
  <r>
    <s v="614210006SMP"/>
    <x v="3"/>
    <x v="3"/>
    <m/>
    <x v="1"/>
    <x v="1"/>
    <m/>
    <x v="3"/>
    <x v="3"/>
    <m/>
    <x v="296"/>
    <x v="296"/>
    <m/>
    <x v="1301"/>
    <x v="161"/>
    <m/>
    <x v="847"/>
    <x v="2718"/>
    <m/>
    <x v="3"/>
    <x v="3"/>
    <m/>
    <n v="-23.302636"/>
    <n v="44.666328999999998"/>
    <m/>
    <m/>
  </r>
  <r>
    <s v="621050004SMP"/>
    <x v="3"/>
    <x v="3"/>
    <m/>
    <x v="1"/>
    <x v="1"/>
    <m/>
    <x v="3"/>
    <x v="3"/>
    <m/>
    <x v="296"/>
    <x v="296"/>
    <m/>
    <x v="1301"/>
    <x v="161"/>
    <m/>
    <x v="2297"/>
    <x v="2719"/>
    <m/>
    <x v="3"/>
    <x v="3"/>
    <m/>
    <n v="-23.241226000000001"/>
    <n v="44.627986999999997"/>
    <m/>
    <m/>
  </r>
  <r>
    <s v="612230010SMP"/>
    <x v="3"/>
    <x v="3"/>
    <m/>
    <x v="1"/>
    <x v="1"/>
    <m/>
    <x v="3"/>
    <x v="3"/>
    <m/>
    <x v="47"/>
    <x v="47"/>
    <m/>
    <x v="1301"/>
    <x v="161"/>
    <m/>
    <x v="308"/>
    <x v="2720"/>
    <m/>
    <x v="3"/>
    <x v="3"/>
    <m/>
    <n v="-23.970607999999999"/>
    <n v="44.206828999999999"/>
    <m/>
    <m/>
  </r>
  <r>
    <s v="612100016SMP"/>
    <x v="3"/>
    <x v="3"/>
    <m/>
    <x v="1"/>
    <x v="1"/>
    <m/>
    <x v="3"/>
    <x v="3"/>
    <m/>
    <x v="15"/>
    <x v="15"/>
    <m/>
    <x v="1301"/>
    <x v="161"/>
    <m/>
    <x v="63"/>
    <x v="2721"/>
    <m/>
    <x v="3"/>
    <x v="3"/>
    <m/>
    <n v="-23.961006999999999"/>
    <n v="44.389507999999999"/>
    <m/>
    <m/>
  </r>
  <r>
    <s v="612130015SMP"/>
    <x v="3"/>
    <x v="3"/>
    <m/>
    <x v="1"/>
    <x v="1"/>
    <m/>
    <x v="3"/>
    <x v="3"/>
    <m/>
    <x v="49"/>
    <x v="49"/>
    <m/>
    <x v="1301"/>
    <x v="161"/>
    <m/>
    <x v="2298"/>
    <x v="2722"/>
    <m/>
    <x v="3"/>
    <x v="3"/>
    <m/>
    <n v="-23.933187"/>
    <n v="44.710824000000002"/>
    <m/>
    <m/>
  </r>
  <r>
    <s v="612130018SMP"/>
    <x v="3"/>
    <x v="3"/>
    <m/>
    <x v="1"/>
    <x v="1"/>
    <m/>
    <x v="3"/>
    <x v="3"/>
    <m/>
    <x v="49"/>
    <x v="49"/>
    <m/>
    <x v="1301"/>
    <x v="161"/>
    <m/>
    <x v="2299"/>
    <x v="2723"/>
    <m/>
    <x v="3"/>
    <x v="3"/>
    <m/>
    <n v="-23.915320000000001"/>
    <n v="44.717722000000002"/>
    <m/>
    <m/>
  </r>
  <r>
    <s v="612080007SMP"/>
    <x v="3"/>
    <x v="3"/>
    <m/>
    <x v="1"/>
    <x v="1"/>
    <m/>
    <x v="3"/>
    <x v="3"/>
    <m/>
    <x v="46"/>
    <x v="46"/>
    <m/>
    <x v="1301"/>
    <x v="161"/>
    <m/>
    <x v="303"/>
    <x v="2724"/>
    <m/>
    <x v="3"/>
    <x v="3"/>
    <m/>
    <n v="-23.899798000000001"/>
    <n v="44.963062999999998"/>
    <m/>
    <m/>
  </r>
  <r>
    <s v="612140001SMP"/>
    <x v="3"/>
    <x v="3"/>
    <m/>
    <x v="1"/>
    <x v="1"/>
    <m/>
    <x v="3"/>
    <x v="3"/>
    <m/>
    <x v="298"/>
    <x v="298"/>
    <m/>
    <x v="1301"/>
    <x v="161"/>
    <m/>
    <x v="2300"/>
    <x v="2725"/>
    <m/>
    <x v="3"/>
    <x v="3"/>
    <m/>
    <n v="-23.882856"/>
    <n v="44.907043000000002"/>
    <m/>
    <m/>
  </r>
  <r>
    <s v="612280002SMP"/>
    <x v="3"/>
    <x v="3"/>
    <m/>
    <x v="1"/>
    <x v="1"/>
    <m/>
    <x v="3"/>
    <x v="3"/>
    <m/>
    <x v="298"/>
    <x v="298"/>
    <m/>
    <x v="1301"/>
    <x v="161"/>
    <m/>
    <x v="2301"/>
    <x v="2726"/>
    <m/>
    <x v="3"/>
    <x v="3"/>
    <m/>
    <n v="-23.874001"/>
    <n v="44.871239000000003"/>
    <m/>
    <m/>
  </r>
  <r>
    <s v="612130016SMP"/>
    <x v="3"/>
    <x v="3"/>
    <m/>
    <x v="1"/>
    <x v="1"/>
    <m/>
    <x v="3"/>
    <x v="3"/>
    <m/>
    <x v="49"/>
    <x v="49"/>
    <m/>
    <x v="1301"/>
    <x v="161"/>
    <m/>
    <x v="2302"/>
    <x v="2727"/>
    <m/>
    <x v="3"/>
    <x v="3"/>
    <m/>
    <n v="-23.873118999999999"/>
    <n v="44.791345999999997"/>
    <m/>
    <m/>
  </r>
  <r>
    <s v="612030008SMP"/>
    <x v="3"/>
    <x v="3"/>
    <m/>
    <x v="1"/>
    <x v="1"/>
    <m/>
    <x v="3"/>
    <x v="3"/>
    <m/>
    <x v="115"/>
    <x v="115"/>
    <m/>
    <x v="1301"/>
    <x v="161"/>
    <m/>
    <x v="749"/>
    <x v="2728"/>
    <m/>
    <x v="3"/>
    <x v="3"/>
    <m/>
    <n v="-23.861256000000001"/>
    <n v="44.368507999999999"/>
    <m/>
    <m/>
  </r>
  <r>
    <s v="612250004SMP"/>
    <x v="3"/>
    <x v="3"/>
    <m/>
    <x v="1"/>
    <x v="1"/>
    <m/>
    <x v="3"/>
    <x v="3"/>
    <m/>
    <x v="68"/>
    <x v="68"/>
    <m/>
    <x v="1301"/>
    <x v="161"/>
    <m/>
    <x v="366"/>
    <x v="2729"/>
    <m/>
    <x v="3"/>
    <x v="3"/>
    <m/>
    <n v="-23.830210999999998"/>
    <n v="44.435912000000002"/>
    <m/>
    <m/>
  </r>
  <r>
    <s v="612030001SMP"/>
    <x v="3"/>
    <x v="3"/>
    <m/>
    <x v="1"/>
    <x v="1"/>
    <m/>
    <x v="3"/>
    <x v="3"/>
    <m/>
    <x v="115"/>
    <x v="115"/>
    <m/>
    <x v="1301"/>
    <x v="161"/>
    <m/>
    <x v="755"/>
    <x v="2730"/>
    <m/>
    <x v="3"/>
    <x v="3"/>
    <m/>
    <n v="-23.814112000000002"/>
    <n v="44.352350000000001"/>
    <m/>
    <m/>
  </r>
  <r>
    <s v="612230005SMP"/>
    <x v="3"/>
    <x v="3"/>
    <m/>
    <x v="1"/>
    <x v="1"/>
    <m/>
    <x v="3"/>
    <x v="3"/>
    <m/>
    <x v="47"/>
    <x v="47"/>
    <m/>
    <x v="1301"/>
    <x v="161"/>
    <m/>
    <x v="1221"/>
    <x v="2731"/>
    <m/>
    <x v="3"/>
    <x v="3"/>
    <m/>
    <n v="-23.797329000000001"/>
    <n v="44.095244999999998"/>
    <m/>
    <m/>
  </r>
  <r>
    <s v="612030009SMP"/>
    <x v="3"/>
    <x v="3"/>
    <m/>
    <x v="1"/>
    <x v="1"/>
    <m/>
    <x v="3"/>
    <x v="3"/>
    <m/>
    <x v="115"/>
    <x v="115"/>
    <m/>
    <x v="1301"/>
    <x v="161"/>
    <m/>
    <x v="754"/>
    <x v="2732"/>
    <m/>
    <x v="3"/>
    <x v="3"/>
    <m/>
    <n v="-23.788806000000001"/>
    <n v="44.406616"/>
    <m/>
    <m/>
  </r>
  <r>
    <s v="612230009SMP"/>
    <x v="3"/>
    <x v="3"/>
    <m/>
    <x v="1"/>
    <x v="1"/>
    <m/>
    <x v="3"/>
    <x v="3"/>
    <m/>
    <x v="47"/>
    <x v="47"/>
    <m/>
    <x v="1301"/>
    <x v="161"/>
    <m/>
    <x v="2303"/>
    <x v="2733"/>
    <m/>
    <x v="3"/>
    <x v="3"/>
    <m/>
    <n v="-23.776199999999999"/>
    <n v="44.110565000000001"/>
    <m/>
    <m/>
  </r>
  <r>
    <s v="612030006SMP"/>
    <x v="3"/>
    <x v="3"/>
    <m/>
    <x v="1"/>
    <x v="1"/>
    <m/>
    <x v="3"/>
    <x v="3"/>
    <m/>
    <x v="115"/>
    <x v="115"/>
    <m/>
    <x v="1301"/>
    <x v="161"/>
    <m/>
    <x v="746"/>
    <x v="2734"/>
    <m/>
    <x v="3"/>
    <x v="3"/>
    <m/>
    <n v="-23.759371000000002"/>
    <n v="44.303890000000003"/>
    <m/>
    <m/>
  </r>
  <r>
    <s v="612050018SMP"/>
    <x v="3"/>
    <x v="3"/>
    <m/>
    <x v="1"/>
    <x v="1"/>
    <m/>
    <x v="3"/>
    <x v="3"/>
    <m/>
    <x v="132"/>
    <x v="132"/>
    <m/>
    <x v="1301"/>
    <x v="161"/>
    <m/>
    <x v="2304"/>
    <x v="2735"/>
    <m/>
    <x v="3"/>
    <x v="3"/>
    <m/>
    <n v="-23.740917"/>
    <n v="44.389094999999998"/>
    <m/>
    <m/>
  </r>
  <r>
    <s v="612050002SMP"/>
    <x v="3"/>
    <x v="3"/>
    <m/>
    <x v="1"/>
    <x v="1"/>
    <m/>
    <x v="3"/>
    <x v="3"/>
    <m/>
    <x v="132"/>
    <x v="132"/>
    <m/>
    <x v="1301"/>
    <x v="161"/>
    <m/>
    <x v="886"/>
    <x v="2736"/>
    <m/>
    <x v="3"/>
    <x v="3"/>
    <m/>
    <n v="-23.739877"/>
    <n v="44.289290000000001"/>
    <m/>
    <m/>
  </r>
  <r>
    <s v="612210001SMP"/>
    <x v="3"/>
    <x v="3"/>
    <m/>
    <x v="1"/>
    <x v="1"/>
    <m/>
    <x v="3"/>
    <x v="3"/>
    <m/>
    <x v="45"/>
    <x v="45"/>
    <m/>
    <x v="1301"/>
    <x v="161"/>
    <m/>
    <x v="648"/>
    <x v="2737"/>
    <m/>
    <x v="3"/>
    <x v="3"/>
    <m/>
    <n v="-23.723755000000001"/>
    <n v="44.098345999999999"/>
    <m/>
    <m/>
  </r>
  <r>
    <s v="612190012SMP"/>
    <x v="3"/>
    <x v="3"/>
    <m/>
    <x v="1"/>
    <x v="1"/>
    <m/>
    <x v="3"/>
    <x v="3"/>
    <m/>
    <x v="4"/>
    <x v="4"/>
    <m/>
    <x v="1301"/>
    <x v="161"/>
    <m/>
    <x v="2305"/>
    <x v="2738"/>
    <m/>
    <x v="3"/>
    <x v="3"/>
    <m/>
    <n v="-23.716183999999998"/>
    <n v="44.385725000000001"/>
    <m/>
    <m/>
  </r>
  <r>
    <s v="612190022SMP"/>
    <x v="3"/>
    <x v="3"/>
    <m/>
    <x v="1"/>
    <x v="1"/>
    <m/>
    <x v="3"/>
    <x v="3"/>
    <m/>
    <x v="4"/>
    <x v="4"/>
    <m/>
    <x v="1301"/>
    <x v="161"/>
    <m/>
    <x v="2306"/>
    <x v="2739"/>
    <m/>
    <x v="3"/>
    <x v="3"/>
    <m/>
    <n v="-23.698808"/>
    <n v="44.433871000000003"/>
    <m/>
    <m/>
  </r>
  <r>
    <s v="612190005SMP"/>
    <x v="3"/>
    <x v="3"/>
    <m/>
    <x v="1"/>
    <x v="1"/>
    <m/>
    <x v="3"/>
    <x v="3"/>
    <m/>
    <x v="4"/>
    <x v="4"/>
    <m/>
    <x v="1301"/>
    <x v="161"/>
    <m/>
    <x v="2307"/>
    <x v="2740"/>
    <m/>
    <x v="3"/>
    <x v="3"/>
    <m/>
    <n v="-23.697794999999999"/>
    <n v="44.386744999999998"/>
    <m/>
    <m/>
  </r>
  <r>
    <s v="612050013SMP"/>
    <x v="3"/>
    <x v="3"/>
    <m/>
    <x v="1"/>
    <x v="1"/>
    <m/>
    <x v="3"/>
    <x v="3"/>
    <m/>
    <x v="132"/>
    <x v="132"/>
    <m/>
    <x v="1301"/>
    <x v="161"/>
    <m/>
    <x v="2308"/>
    <x v="2741"/>
    <m/>
    <x v="3"/>
    <x v="3"/>
    <m/>
    <n v="-23.692737999999999"/>
    <n v="44.384788"/>
    <m/>
    <m/>
  </r>
  <r>
    <s v="612210003SMP"/>
    <x v="3"/>
    <x v="3"/>
    <m/>
    <x v="1"/>
    <x v="1"/>
    <m/>
    <x v="3"/>
    <x v="3"/>
    <m/>
    <x v="45"/>
    <x v="45"/>
    <m/>
    <x v="1301"/>
    <x v="161"/>
    <m/>
    <x v="1067"/>
    <x v="2742"/>
    <m/>
    <x v="3"/>
    <x v="3"/>
    <m/>
    <n v="-23.692184000000001"/>
    <n v="44.180295999999998"/>
    <m/>
    <m/>
  </r>
  <r>
    <s v="612190006SMP"/>
    <x v="3"/>
    <x v="3"/>
    <m/>
    <x v="1"/>
    <x v="1"/>
    <m/>
    <x v="3"/>
    <x v="3"/>
    <m/>
    <x v="4"/>
    <x v="4"/>
    <m/>
    <x v="1301"/>
    <x v="161"/>
    <m/>
    <x v="2309"/>
    <x v="2743"/>
    <m/>
    <x v="3"/>
    <x v="3"/>
    <m/>
    <n v="-23.690456000000001"/>
    <n v="44.384334000000003"/>
    <m/>
    <m/>
  </r>
  <r>
    <s v="612150001SMP"/>
    <x v="3"/>
    <x v="3"/>
    <m/>
    <x v="1"/>
    <x v="1"/>
    <m/>
    <x v="3"/>
    <x v="3"/>
    <m/>
    <x v="50"/>
    <x v="50"/>
    <m/>
    <x v="1301"/>
    <x v="161"/>
    <m/>
    <x v="319"/>
    <x v="2744"/>
    <m/>
    <x v="3"/>
    <x v="3"/>
    <m/>
    <n v="-23.662405"/>
    <n v="44.349114"/>
    <m/>
    <m/>
  </r>
  <r>
    <s v="612210002SMP"/>
    <x v="3"/>
    <x v="3"/>
    <m/>
    <x v="1"/>
    <x v="1"/>
    <m/>
    <x v="3"/>
    <x v="3"/>
    <m/>
    <x v="45"/>
    <x v="45"/>
    <m/>
    <x v="1301"/>
    <x v="161"/>
    <m/>
    <x v="301"/>
    <x v="2745"/>
    <m/>
    <x v="3"/>
    <x v="3"/>
    <m/>
    <n v="-23.653338999999999"/>
    <n v="44.137548000000002"/>
    <m/>
    <m/>
  </r>
  <r>
    <s v="612210004SMP"/>
    <x v="3"/>
    <x v="3"/>
    <m/>
    <x v="1"/>
    <x v="1"/>
    <m/>
    <x v="3"/>
    <x v="3"/>
    <m/>
    <x v="45"/>
    <x v="45"/>
    <m/>
    <x v="1301"/>
    <x v="161"/>
    <m/>
    <x v="640"/>
    <x v="2746"/>
    <m/>
    <x v="3"/>
    <x v="3"/>
    <m/>
    <n v="-23.616637999999998"/>
    <n v="44.093434999999999"/>
    <m/>
    <m/>
  </r>
  <r>
    <s v="612150011SMP"/>
    <x v="3"/>
    <x v="3"/>
    <m/>
    <x v="1"/>
    <x v="1"/>
    <m/>
    <x v="3"/>
    <x v="3"/>
    <m/>
    <x v="50"/>
    <x v="50"/>
    <m/>
    <x v="1301"/>
    <x v="161"/>
    <m/>
    <x v="303"/>
    <x v="2747"/>
    <m/>
    <x v="3"/>
    <x v="3"/>
    <m/>
    <n v="-23.603849"/>
    <n v="44.297584000000001"/>
    <m/>
    <m/>
  </r>
  <r>
    <s v="612070007SMP"/>
    <x v="3"/>
    <x v="3"/>
    <m/>
    <x v="1"/>
    <x v="1"/>
    <m/>
    <x v="3"/>
    <x v="3"/>
    <m/>
    <x v="147"/>
    <x v="147"/>
    <m/>
    <x v="1301"/>
    <x v="161"/>
    <m/>
    <x v="2310"/>
    <x v="2748"/>
    <m/>
    <x v="3"/>
    <x v="3"/>
    <m/>
    <n v="-23.584551000000001"/>
    <n v="44.625568999999999"/>
    <m/>
    <m/>
  </r>
  <r>
    <s v="612150005SMP"/>
    <x v="3"/>
    <x v="3"/>
    <m/>
    <x v="1"/>
    <x v="1"/>
    <m/>
    <x v="3"/>
    <x v="3"/>
    <m/>
    <x v="50"/>
    <x v="50"/>
    <m/>
    <x v="1301"/>
    <x v="161"/>
    <m/>
    <x v="1376"/>
    <x v="2749"/>
    <m/>
    <x v="3"/>
    <x v="3"/>
    <m/>
    <n v="-23.583696"/>
    <n v="44.263429000000002"/>
    <m/>
    <m/>
  </r>
  <r>
    <s v="612150013SMP"/>
    <x v="3"/>
    <x v="3"/>
    <m/>
    <x v="1"/>
    <x v="1"/>
    <m/>
    <x v="3"/>
    <x v="3"/>
    <m/>
    <x v="50"/>
    <x v="50"/>
    <m/>
    <x v="1301"/>
    <x v="161"/>
    <m/>
    <x v="2311"/>
    <x v="2750"/>
    <m/>
    <x v="3"/>
    <x v="3"/>
    <m/>
    <n v="-23.578983000000001"/>
    <n v="44.277298999999999"/>
    <m/>
    <m/>
  </r>
  <r>
    <s v="612150007SMP"/>
    <x v="3"/>
    <x v="3"/>
    <m/>
    <x v="1"/>
    <x v="1"/>
    <m/>
    <x v="3"/>
    <x v="3"/>
    <m/>
    <x v="50"/>
    <x v="50"/>
    <m/>
    <x v="1301"/>
    <x v="161"/>
    <m/>
    <x v="2312"/>
    <x v="2751"/>
    <m/>
    <x v="3"/>
    <x v="3"/>
    <m/>
    <n v="-23.577893"/>
    <n v="44.239336999999999"/>
    <m/>
    <m/>
  </r>
  <r>
    <s v="612150004SMP"/>
    <x v="3"/>
    <x v="3"/>
    <m/>
    <x v="1"/>
    <x v="1"/>
    <m/>
    <x v="3"/>
    <x v="3"/>
    <m/>
    <x v="50"/>
    <x v="50"/>
    <m/>
    <x v="1301"/>
    <x v="161"/>
    <m/>
    <x v="1375"/>
    <x v="2752"/>
    <m/>
    <x v="3"/>
    <x v="3"/>
    <m/>
    <n v="-23.572410999999999"/>
    <n v="44.291007999999998"/>
    <m/>
    <m/>
  </r>
  <r>
    <s v="612020007SMP"/>
    <x v="3"/>
    <x v="3"/>
    <m/>
    <x v="1"/>
    <x v="1"/>
    <m/>
    <x v="3"/>
    <x v="3"/>
    <m/>
    <x v="297"/>
    <x v="297"/>
    <m/>
    <x v="1301"/>
    <x v="161"/>
    <m/>
    <x v="2313"/>
    <x v="2753"/>
    <m/>
    <x v="3"/>
    <x v="3"/>
    <m/>
    <n v="-23.567091999999999"/>
    <n v="44.434389000000003"/>
    <m/>
    <m/>
  </r>
  <r>
    <s v="612020015SMP"/>
    <x v="3"/>
    <x v="3"/>
    <m/>
    <x v="1"/>
    <x v="1"/>
    <m/>
    <x v="3"/>
    <x v="3"/>
    <m/>
    <x v="297"/>
    <x v="297"/>
    <m/>
    <x v="1301"/>
    <x v="161"/>
    <m/>
    <x v="825"/>
    <x v="2754"/>
    <m/>
    <x v="3"/>
    <x v="3"/>
    <m/>
    <n v="-23.566177"/>
    <n v="44.414507"/>
    <m/>
    <m/>
  </r>
  <r>
    <s v="612020012SMP"/>
    <x v="3"/>
    <x v="3"/>
    <m/>
    <x v="1"/>
    <x v="1"/>
    <m/>
    <x v="3"/>
    <x v="3"/>
    <m/>
    <x v="297"/>
    <x v="297"/>
    <m/>
    <x v="1301"/>
    <x v="161"/>
    <m/>
    <x v="2314"/>
    <x v="2755"/>
    <m/>
    <x v="3"/>
    <x v="3"/>
    <m/>
    <n v="-23.563224000000002"/>
    <n v="44.478560000000002"/>
    <m/>
    <m/>
  </r>
  <r>
    <s v="612150008SMP"/>
    <x v="3"/>
    <x v="3"/>
    <m/>
    <x v="1"/>
    <x v="1"/>
    <m/>
    <x v="3"/>
    <x v="3"/>
    <m/>
    <x v="50"/>
    <x v="50"/>
    <m/>
    <x v="1301"/>
    <x v="161"/>
    <m/>
    <x v="2315"/>
    <x v="2756"/>
    <m/>
    <x v="3"/>
    <x v="3"/>
    <m/>
    <n v="-23.560431999999999"/>
    <n v="44.319329000000003"/>
    <m/>
    <m/>
  </r>
  <r>
    <s v="612020016SMP"/>
    <x v="3"/>
    <x v="3"/>
    <m/>
    <x v="1"/>
    <x v="1"/>
    <m/>
    <x v="3"/>
    <x v="3"/>
    <m/>
    <x v="297"/>
    <x v="297"/>
    <m/>
    <x v="1301"/>
    <x v="161"/>
    <m/>
    <x v="2167"/>
    <x v="2757"/>
    <m/>
    <x v="3"/>
    <x v="3"/>
    <m/>
    <n v="-23.559449999999998"/>
    <n v="44.483525999999998"/>
    <m/>
    <m/>
  </r>
  <r>
    <s v="612020008SMP"/>
    <x v="3"/>
    <x v="3"/>
    <m/>
    <x v="1"/>
    <x v="1"/>
    <m/>
    <x v="3"/>
    <x v="3"/>
    <m/>
    <x v="297"/>
    <x v="297"/>
    <m/>
    <x v="1301"/>
    <x v="161"/>
    <m/>
    <x v="2316"/>
    <x v="2758"/>
    <m/>
    <x v="3"/>
    <x v="3"/>
    <m/>
    <n v="-23.554538999999998"/>
    <n v="44.49248"/>
    <m/>
    <m/>
  </r>
  <r>
    <s v="612070001SMP"/>
    <x v="3"/>
    <x v="3"/>
    <m/>
    <x v="1"/>
    <x v="1"/>
    <m/>
    <x v="3"/>
    <x v="3"/>
    <m/>
    <x v="147"/>
    <x v="147"/>
    <m/>
    <x v="1301"/>
    <x v="161"/>
    <m/>
    <x v="2317"/>
    <x v="2759"/>
    <m/>
    <x v="3"/>
    <x v="3"/>
    <m/>
    <n v="-23.55199"/>
    <n v="44.665278999999998"/>
    <m/>
    <m/>
  </r>
  <r>
    <s v="612150009SMP"/>
    <x v="3"/>
    <x v="3"/>
    <m/>
    <x v="1"/>
    <x v="1"/>
    <m/>
    <x v="3"/>
    <x v="3"/>
    <m/>
    <x v="50"/>
    <x v="50"/>
    <m/>
    <x v="1301"/>
    <x v="161"/>
    <m/>
    <x v="318"/>
    <x v="2760"/>
    <m/>
    <x v="3"/>
    <x v="3"/>
    <m/>
    <n v="-23.546163"/>
    <n v="44.301343000000003"/>
    <m/>
    <m/>
  </r>
  <r>
    <s v="612070005SMP"/>
    <x v="3"/>
    <x v="3"/>
    <m/>
    <x v="1"/>
    <x v="1"/>
    <m/>
    <x v="3"/>
    <x v="3"/>
    <m/>
    <x v="147"/>
    <x v="147"/>
    <m/>
    <x v="1301"/>
    <x v="161"/>
    <m/>
    <x v="968"/>
    <x v="2761"/>
    <m/>
    <x v="3"/>
    <x v="3"/>
    <m/>
    <n v="-23.543970999999999"/>
    <n v="44.679178999999998"/>
    <m/>
    <m/>
  </r>
  <r>
    <s v="612040003SMP"/>
    <x v="3"/>
    <x v="3"/>
    <m/>
    <x v="1"/>
    <x v="1"/>
    <m/>
    <x v="3"/>
    <x v="3"/>
    <m/>
    <x v="299"/>
    <x v="299"/>
    <m/>
    <x v="1301"/>
    <x v="161"/>
    <m/>
    <x v="2318"/>
    <x v="2762"/>
    <m/>
    <x v="3"/>
    <x v="3"/>
    <m/>
    <n v="-23.540505"/>
    <n v="44.807679999999998"/>
    <m/>
    <m/>
  </r>
  <r>
    <s v="612060017SMP"/>
    <x v="3"/>
    <x v="3"/>
    <m/>
    <x v="1"/>
    <x v="1"/>
    <m/>
    <x v="3"/>
    <x v="3"/>
    <m/>
    <x v="136"/>
    <x v="136"/>
    <m/>
    <x v="1301"/>
    <x v="161"/>
    <m/>
    <x v="2319"/>
    <x v="2763"/>
    <m/>
    <x v="3"/>
    <x v="3"/>
    <m/>
    <n v="-23.537953999999999"/>
    <n v="44.581335000000003"/>
    <m/>
    <m/>
  </r>
  <r>
    <s v="612150016SMP"/>
    <x v="3"/>
    <x v="3"/>
    <m/>
    <x v="1"/>
    <x v="1"/>
    <m/>
    <x v="3"/>
    <x v="3"/>
    <m/>
    <x v="50"/>
    <x v="50"/>
    <m/>
    <x v="1301"/>
    <x v="161"/>
    <m/>
    <x v="2320"/>
    <x v="2764"/>
    <m/>
    <x v="3"/>
    <x v="3"/>
    <m/>
    <n v="-23.535558000000002"/>
    <n v="44.320298999999999"/>
    <m/>
    <m/>
  </r>
  <r>
    <s v="612170013SMP"/>
    <x v="3"/>
    <x v="3"/>
    <m/>
    <x v="1"/>
    <x v="1"/>
    <m/>
    <x v="3"/>
    <x v="3"/>
    <m/>
    <x v="212"/>
    <x v="212"/>
    <m/>
    <x v="1301"/>
    <x v="161"/>
    <m/>
    <x v="1391"/>
    <x v="2765"/>
    <m/>
    <x v="3"/>
    <x v="3"/>
    <m/>
    <n v="-23.533100000000001"/>
    <n v="44.325592999999998"/>
    <m/>
    <m/>
  </r>
  <r>
    <s v="612170023SMP"/>
    <x v="3"/>
    <x v="3"/>
    <m/>
    <x v="1"/>
    <x v="1"/>
    <m/>
    <x v="3"/>
    <x v="3"/>
    <m/>
    <x v="212"/>
    <x v="212"/>
    <m/>
    <x v="1301"/>
    <x v="161"/>
    <m/>
    <x v="516"/>
    <x v="2766"/>
    <m/>
    <x v="3"/>
    <x v="3"/>
    <m/>
    <n v="-23.530867000000001"/>
    <n v="44.282572999999999"/>
    <m/>
    <m/>
  </r>
  <r>
    <s v="612120005SMP"/>
    <x v="3"/>
    <x v="3"/>
    <m/>
    <x v="1"/>
    <x v="1"/>
    <m/>
    <x v="3"/>
    <x v="3"/>
    <m/>
    <x v="48"/>
    <x v="48"/>
    <m/>
    <x v="1301"/>
    <x v="161"/>
    <m/>
    <x v="311"/>
    <x v="2767"/>
    <m/>
    <x v="3"/>
    <x v="3"/>
    <m/>
    <n v="-23.525956000000001"/>
    <n v="44.698546999999998"/>
    <m/>
    <m/>
  </r>
  <r>
    <s v="612170003SMP"/>
    <x v="3"/>
    <x v="3"/>
    <m/>
    <x v="1"/>
    <x v="1"/>
    <m/>
    <x v="3"/>
    <x v="3"/>
    <m/>
    <x v="212"/>
    <x v="212"/>
    <m/>
    <x v="1301"/>
    <x v="161"/>
    <m/>
    <x v="2321"/>
    <x v="2768"/>
    <m/>
    <x v="3"/>
    <x v="3"/>
    <m/>
    <n v="-23.518644999999999"/>
    <n v="44.294007999999998"/>
    <m/>
    <m/>
  </r>
  <r>
    <s v="612060002SMP"/>
    <x v="3"/>
    <x v="3"/>
    <m/>
    <x v="1"/>
    <x v="1"/>
    <m/>
    <x v="3"/>
    <x v="3"/>
    <m/>
    <x v="136"/>
    <x v="136"/>
    <m/>
    <x v="1301"/>
    <x v="161"/>
    <m/>
    <x v="2322"/>
    <x v="2769"/>
    <m/>
    <x v="3"/>
    <x v="3"/>
    <m/>
    <n v="-23.514209999999999"/>
    <n v="44.417551000000003"/>
    <m/>
    <m/>
  </r>
  <r>
    <s v="612070006SMP"/>
    <x v="3"/>
    <x v="3"/>
    <m/>
    <x v="1"/>
    <x v="1"/>
    <m/>
    <x v="3"/>
    <x v="3"/>
    <m/>
    <x v="147"/>
    <x v="147"/>
    <m/>
    <x v="1301"/>
    <x v="161"/>
    <m/>
    <x v="2323"/>
    <x v="2770"/>
    <m/>
    <x v="3"/>
    <x v="3"/>
    <m/>
    <n v="-23.511196999999999"/>
    <n v="44.684527000000003"/>
    <m/>
    <m/>
  </r>
  <r>
    <s v="612060006SMP"/>
    <x v="3"/>
    <x v="3"/>
    <m/>
    <x v="1"/>
    <x v="1"/>
    <m/>
    <x v="3"/>
    <x v="3"/>
    <m/>
    <x v="136"/>
    <x v="136"/>
    <m/>
    <x v="1301"/>
    <x v="161"/>
    <m/>
    <x v="1433"/>
    <x v="2771"/>
    <m/>
    <x v="3"/>
    <x v="3"/>
    <m/>
    <n v="-23.511078000000001"/>
    <n v="44.504157999999997"/>
    <m/>
    <m/>
  </r>
  <r>
    <s v="612060015SMP"/>
    <x v="3"/>
    <x v="3"/>
    <m/>
    <x v="1"/>
    <x v="1"/>
    <m/>
    <x v="3"/>
    <x v="3"/>
    <m/>
    <x v="136"/>
    <x v="136"/>
    <m/>
    <x v="1301"/>
    <x v="161"/>
    <m/>
    <x v="2324"/>
    <x v="2772"/>
    <m/>
    <x v="3"/>
    <x v="3"/>
    <m/>
    <n v="-23.500271000000001"/>
    <n v="44.532817000000001"/>
    <m/>
    <m/>
  </r>
  <r>
    <s v="612060003SMP"/>
    <x v="3"/>
    <x v="3"/>
    <m/>
    <x v="1"/>
    <x v="1"/>
    <m/>
    <x v="3"/>
    <x v="3"/>
    <m/>
    <x v="136"/>
    <x v="136"/>
    <m/>
    <x v="1301"/>
    <x v="161"/>
    <m/>
    <x v="755"/>
    <x v="2773"/>
    <m/>
    <x v="3"/>
    <x v="3"/>
    <m/>
    <n v="-23.499130999999998"/>
    <n v="44.498035999999999"/>
    <m/>
    <m/>
  </r>
  <r>
    <s v="612120002SMP"/>
    <x v="3"/>
    <x v="3"/>
    <m/>
    <x v="1"/>
    <x v="1"/>
    <m/>
    <x v="3"/>
    <x v="3"/>
    <m/>
    <x v="48"/>
    <x v="48"/>
    <m/>
    <x v="1301"/>
    <x v="161"/>
    <m/>
    <x v="2325"/>
    <x v="2774"/>
    <m/>
    <x v="3"/>
    <x v="3"/>
    <m/>
    <n v="-23.485976000000001"/>
    <n v="44.714255999999999"/>
    <m/>
    <m/>
  </r>
  <r>
    <s v="612060020SMP"/>
    <x v="3"/>
    <x v="3"/>
    <m/>
    <x v="1"/>
    <x v="1"/>
    <m/>
    <x v="3"/>
    <x v="3"/>
    <m/>
    <x v="136"/>
    <x v="136"/>
    <m/>
    <x v="1301"/>
    <x v="161"/>
    <m/>
    <x v="2326"/>
    <x v="2775"/>
    <m/>
    <x v="3"/>
    <x v="3"/>
    <m/>
    <n v="-23.477368999999999"/>
    <n v="44.481335999999999"/>
    <m/>
    <m/>
  </r>
  <r>
    <s v="612060009SMP"/>
    <x v="3"/>
    <x v="3"/>
    <m/>
    <x v="1"/>
    <x v="1"/>
    <m/>
    <x v="3"/>
    <x v="3"/>
    <m/>
    <x v="136"/>
    <x v="136"/>
    <m/>
    <x v="1301"/>
    <x v="161"/>
    <m/>
    <x v="62"/>
    <x v="2776"/>
    <m/>
    <x v="3"/>
    <x v="3"/>
    <m/>
    <n v="-23.453697999999999"/>
    <n v="44.487870999999998"/>
    <m/>
    <m/>
  </r>
  <r>
    <s v="612170007SMP"/>
    <x v="3"/>
    <x v="3"/>
    <m/>
    <x v="1"/>
    <x v="1"/>
    <m/>
    <x v="3"/>
    <x v="3"/>
    <m/>
    <x v="212"/>
    <x v="212"/>
    <m/>
    <x v="1301"/>
    <x v="161"/>
    <m/>
    <x v="584"/>
    <x v="2777"/>
    <m/>
    <x v="3"/>
    <x v="3"/>
    <m/>
    <n v="-23.421689000000001"/>
    <n v="44.328895000000003"/>
    <m/>
    <m/>
  </r>
  <r>
    <s v="612260004SMP"/>
    <x v="3"/>
    <x v="3"/>
    <m/>
    <x v="1"/>
    <x v="1"/>
    <m/>
    <x v="3"/>
    <x v="3"/>
    <m/>
    <x v="300"/>
    <x v="300"/>
    <m/>
    <x v="1301"/>
    <x v="161"/>
    <m/>
    <x v="23"/>
    <x v="2778"/>
    <m/>
    <x v="3"/>
    <x v="3"/>
    <m/>
    <n v="-23.380737"/>
    <n v="44.407130000000002"/>
    <m/>
    <m/>
  </r>
  <r>
    <s v="612010002SMP"/>
    <x v="3"/>
    <x v="3"/>
    <m/>
    <x v="1"/>
    <x v="1"/>
    <m/>
    <x v="3"/>
    <x v="3"/>
    <m/>
    <x v="95"/>
    <x v="96"/>
    <m/>
    <x v="1301"/>
    <x v="161"/>
    <m/>
    <x v="578"/>
    <x v="2779"/>
    <m/>
    <x v="3"/>
    <x v="3"/>
    <m/>
    <n v="-23.378087000000001"/>
    <n v="44.527365000000003"/>
    <m/>
    <m/>
  </r>
  <r>
    <s v="612260015SMP"/>
    <x v="3"/>
    <x v="3"/>
    <m/>
    <x v="1"/>
    <x v="1"/>
    <m/>
    <x v="3"/>
    <x v="3"/>
    <m/>
    <x v="300"/>
    <x v="300"/>
    <m/>
    <x v="1301"/>
    <x v="161"/>
    <m/>
    <x v="587"/>
    <x v="2780"/>
    <m/>
    <x v="3"/>
    <x v="3"/>
    <m/>
    <n v="-23.282062"/>
    <n v="44.410229999999999"/>
    <m/>
    <m/>
  </r>
  <r>
    <s v="612070003SMP"/>
    <x v="3"/>
    <x v="3"/>
    <m/>
    <x v="1"/>
    <x v="1"/>
    <m/>
    <x v="3"/>
    <x v="3"/>
    <m/>
    <x v="147"/>
    <x v="147"/>
    <m/>
    <x v="1301"/>
    <x v="161"/>
    <m/>
    <x v="2327"/>
    <x v="2781"/>
    <m/>
    <x v="3"/>
    <x v="3"/>
    <m/>
    <n v="-23.585999999999999"/>
    <n v="44.650469999999999"/>
    <m/>
    <m/>
  </r>
  <r>
    <s v="612060014SMP"/>
    <x v="3"/>
    <x v="3"/>
    <m/>
    <x v="1"/>
    <x v="1"/>
    <m/>
    <x v="3"/>
    <x v="3"/>
    <m/>
    <x v="136"/>
    <x v="136"/>
    <m/>
    <x v="1301"/>
    <x v="161"/>
    <m/>
    <x v="2328"/>
    <x v="2782"/>
    <m/>
    <x v="3"/>
    <x v="3"/>
    <m/>
    <n v="-23.507349999999999"/>
    <n v="44.400599999999997"/>
    <m/>
    <m/>
  </r>
  <r>
    <s v="618020010SMP"/>
    <x v="3"/>
    <x v="3"/>
    <m/>
    <x v="1"/>
    <x v="1"/>
    <m/>
    <x v="29"/>
    <x v="27"/>
    <m/>
    <x v="301"/>
    <x v="301"/>
    <m/>
    <x v="1301"/>
    <x v="161"/>
    <m/>
    <x v="2329"/>
    <x v="2783"/>
    <m/>
    <x v="3"/>
    <x v="3"/>
    <m/>
    <n v="-22.297539"/>
    <n v="43.752557000000003"/>
    <m/>
    <m/>
  </r>
  <r>
    <s v="618020007SMP"/>
    <x v="3"/>
    <x v="3"/>
    <m/>
    <x v="1"/>
    <x v="1"/>
    <m/>
    <x v="29"/>
    <x v="27"/>
    <m/>
    <x v="301"/>
    <x v="301"/>
    <m/>
    <x v="1301"/>
    <x v="161"/>
    <m/>
    <x v="2330"/>
    <x v="2784"/>
    <m/>
    <x v="3"/>
    <x v="3"/>
    <m/>
    <n v="-22.245718"/>
    <n v="43.772818999999998"/>
    <m/>
    <m/>
  </r>
  <r>
    <s v="618020009SMP"/>
    <x v="3"/>
    <x v="3"/>
    <m/>
    <x v="1"/>
    <x v="1"/>
    <m/>
    <x v="29"/>
    <x v="27"/>
    <m/>
    <x v="301"/>
    <x v="301"/>
    <m/>
    <x v="1301"/>
    <x v="161"/>
    <m/>
    <x v="2331"/>
    <x v="2785"/>
    <m/>
    <x v="3"/>
    <x v="3"/>
    <m/>
    <n v="-22.230478000000002"/>
    <n v="43.815499000000003"/>
    <m/>
    <m/>
  </r>
  <r>
    <s v="618090014SMP"/>
    <x v="3"/>
    <x v="3"/>
    <m/>
    <x v="1"/>
    <x v="1"/>
    <m/>
    <x v="29"/>
    <x v="27"/>
    <m/>
    <x v="302"/>
    <x v="302"/>
    <m/>
    <x v="1301"/>
    <x v="161"/>
    <m/>
    <x v="2332"/>
    <x v="2786"/>
    <m/>
    <x v="3"/>
    <x v="3"/>
    <m/>
    <n v="-22.209474"/>
    <n v="43.316322"/>
    <m/>
    <m/>
  </r>
  <r>
    <s v="618040006SMP"/>
    <x v="3"/>
    <x v="3"/>
    <m/>
    <x v="1"/>
    <x v="1"/>
    <m/>
    <x v="29"/>
    <x v="27"/>
    <m/>
    <x v="303"/>
    <x v="303"/>
    <m/>
    <x v="1301"/>
    <x v="161"/>
    <m/>
    <x v="2333"/>
    <x v="2787"/>
    <m/>
    <x v="3"/>
    <x v="3"/>
    <m/>
    <n v="-22.186903000000001"/>
    <n v="43.724342"/>
    <m/>
    <m/>
  </r>
  <r>
    <s v="618040007SMP"/>
    <x v="3"/>
    <x v="3"/>
    <m/>
    <x v="1"/>
    <x v="1"/>
    <m/>
    <x v="29"/>
    <x v="27"/>
    <m/>
    <x v="303"/>
    <x v="303"/>
    <m/>
    <x v="1301"/>
    <x v="161"/>
    <m/>
    <x v="2334"/>
    <x v="2788"/>
    <m/>
    <x v="3"/>
    <x v="3"/>
    <m/>
    <n v="-22.186900000000001"/>
    <n v="43.724313000000002"/>
    <m/>
    <m/>
  </r>
  <r>
    <s v="618090003SMP"/>
    <x v="3"/>
    <x v="3"/>
    <m/>
    <x v="1"/>
    <x v="1"/>
    <m/>
    <x v="29"/>
    <x v="27"/>
    <m/>
    <x v="302"/>
    <x v="302"/>
    <m/>
    <x v="1301"/>
    <x v="161"/>
    <m/>
    <x v="2335"/>
    <x v="2789"/>
    <m/>
    <x v="3"/>
    <x v="3"/>
    <m/>
    <n v="-22.147459000000001"/>
    <n v="43.304934000000003"/>
    <m/>
    <m/>
  </r>
  <r>
    <s v="618050006SMP"/>
    <x v="3"/>
    <x v="3"/>
    <m/>
    <x v="1"/>
    <x v="1"/>
    <m/>
    <x v="29"/>
    <x v="27"/>
    <m/>
    <x v="304"/>
    <x v="304"/>
    <m/>
    <x v="1301"/>
    <x v="161"/>
    <m/>
    <x v="2336"/>
    <x v="2790"/>
    <m/>
    <x v="3"/>
    <x v="3"/>
    <m/>
    <n v="-22.132746999999998"/>
    <n v="43.820397999999997"/>
    <m/>
    <m/>
  </r>
  <r>
    <s v="618090018SMP"/>
    <x v="3"/>
    <x v="3"/>
    <m/>
    <x v="1"/>
    <x v="1"/>
    <m/>
    <x v="29"/>
    <x v="27"/>
    <m/>
    <x v="302"/>
    <x v="302"/>
    <m/>
    <x v="1301"/>
    <x v="161"/>
    <m/>
    <x v="2337"/>
    <x v="2791"/>
    <m/>
    <x v="3"/>
    <x v="3"/>
    <m/>
    <n v="-22.113541999999999"/>
    <n v="43.282055"/>
    <m/>
    <m/>
  </r>
  <r>
    <s v="618090009SMP"/>
    <x v="3"/>
    <x v="3"/>
    <m/>
    <x v="1"/>
    <x v="1"/>
    <m/>
    <x v="29"/>
    <x v="27"/>
    <m/>
    <x v="302"/>
    <x v="302"/>
    <m/>
    <x v="1301"/>
    <x v="161"/>
    <m/>
    <x v="2338"/>
    <x v="2792"/>
    <m/>
    <x v="3"/>
    <x v="3"/>
    <m/>
    <n v="-22.073723999999999"/>
    <n v="43.280172999999998"/>
    <m/>
    <m/>
  </r>
  <r>
    <s v="618080015SMP"/>
    <x v="3"/>
    <x v="3"/>
    <m/>
    <x v="1"/>
    <x v="1"/>
    <m/>
    <x v="29"/>
    <x v="27"/>
    <m/>
    <x v="305"/>
    <x v="305"/>
    <m/>
    <x v="1301"/>
    <x v="161"/>
    <m/>
    <x v="2339"/>
    <x v="2793"/>
    <m/>
    <x v="3"/>
    <x v="3"/>
    <m/>
    <n v="-21.973825000000001"/>
    <n v="43.895359999999997"/>
    <m/>
    <m/>
  </r>
  <r>
    <s v="618060003SMP"/>
    <x v="3"/>
    <x v="3"/>
    <m/>
    <x v="1"/>
    <x v="1"/>
    <m/>
    <x v="29"/>
    <x v="27"/>
    <m/>
    <x v="306"/>
    <x v="306"/>
    <m/>
    <x v="1301"/>
    <x v="161"/>
    <m/>
    <x v="2340"/>
    <x v="2794"/>
    <m/>
    <x v="3"/>
    <x v="3"/>
    <m/>
    <n v="-21.804455000000001"/>
    <n v="43.463619999999999"/>
    <m/>
    <m/>
  </r>
  <r>
    <s v="618010020SMP"/>
    <x v="3"/>
    <x v="3"/>
    <m/>
    <x v="1"/>
    <x v="1"/>
    <m/>
    <x v="29"/>
    <x v="27"/>
    <m/>
    <x v="307"/>
    <x v="307"/>
    <m/>
    <x v="1301"/>
    <x v="161"/>
    <m/>
    <x v="2341"/>
    <x v="2795"/>
    <m/>
    <x v="3"/>
    <x v="3"/>
    <m/>
    <n v="-21.721074999999999"/>
    <n v="43.754714"/>
    <m/>
    <m/>
  </r>
  <r>
    <s v="618010019SMP"/>
    <x v="3"/>
    <x v="3"/>
    <m/>
    <x v="1"/>
    <x v="1"/>
    <m/>
    <x v="29"/>
    <x v="27"/>
    <m/>
    <x v="307"/>
    <x v="307"/>
    <m/>
    <x v="1301"/>
    <x v="161"/>
    <m/>
    <x v="2342"/>
    <x v="2796"/>
    <m/>
    <x v="3"/>
    <x v="3"/>
    <m/>
    <n v="-21.704825"/>
    <n v="43.746661000000003"/>
    <m/>
    <m/>
  </r>
  <r>
    <s v="618060004SMP"/>
    <x v="3"/>
    <x v="3"/>
    <m/>
    <x v="1"/>
    <x v="1"/>
    <m/>
    <x v="29"/>
    <x v="27"/>
    <m/>
    <x v="306"/>
    <x v="306"/>
    <m/>
    <x v="1301"/>
    <x v="161"/>
    <m/>
    <x v="2343"/>
    <x v="2797"/>
    <m/>
    <x v="3"/>
    <x v="3"/>
    <m/>
    <n v="-21.681664999999999"/>
    <n v="43.518206999999997"/>
    <m/>
    <m/>
  </r>
  <r>
    <s v="618060002SMP"/>
    <x v="3"/>
    <x v="3"/>
    <m/>
    <x v="1"/>
    <x v="1"/>
    <m/>
    <x v="29"/>
    <x v="27"/>
    <m/>
    <x v="306"/>
    <x v="306"/>
    <m/>
    <x v="1301"/>
    <x v="161"/>
    <m/>
    <x v="1251"/>
    <x v="2798"/>
    <m/>
    <x v="3"/>
    <x v="3"/>
    <m/>
    <n v="-21.672967"/>
    <n v="43.531404999999999"/>
    <m/>
    <m/>
  </r>
  <r>
    <s v="618010006SMP"/>
    <x v="3"/>
    <x v="3"/>
    <m/>
    <x v="1"/>
    <x v="1"/>
    <m/>
    <x v="29"/>
    <x v="27"/>
    <m/>
    <x v="307"/>
    <x v="307"/>
    <m/>
    <x v="1301"/>
    <x v="161"/>
    <m/>
    <x v="2344"/>
    <x v="2799"/>
    <m/>
    <x v="3"/>
    <x v="3"/>
    <m/>
    <n v="-21.668392000000001"/>
    <n v="43.715325"/>
    <m/>
    <m/>
  </r>
  <r>
    <s v="618010007SMP"/>
    <x v="3"/>
    <x v="3"/>
    <m/>
    <x v="1"/>
    <x v="1"/>
    <m/>
    <x v="29"/>
    <x v="27"/>
    <m/>
    <x v="307"/>
    <x v="307"/>
    <m/>
    <x v="1301"/>
    <x v="161"/>
    <m/>
    <x v="2345"/>
    <x v="2800"/>
    <m/>
    <x v="3"/>
    <x v="3"/>
    <m/>
    <n v="-21.665386000000002"/>
    <n v="43.731515000000002"/>
    <m/>
    <m/>
  </r>
  <r>
    <s v="618010005SMP"/>
    <x v="3"/>
    <x v="3"/>
    <m/>
    <x v="1"/>
    <x v="1"/>
    <m/>
    <x v="29"/>
    <x v="27"/>
    <m/>
    <x v="308"/>
    <x v="308"/>
    <m/>
    <x v="1301"/>
    <x v="161"/>
    <m/>
    <x v="2346"/>
    <x v="2801"/>
    <m/>
    <x v="3"/>
    <x v="3"/>
    <m/>
    <n v="-21.633261999999998"/>
    <n v="43.691087000000003"/>
    <m/>
    <m/>
  </r>
  <r>
    <s v="618010014SMP"/>
    <x v="3"/>
    <x v="3"/>
    <m/>
    <x v="1"/>
    <x v="1"/>
    <m/>
    <x v="29"/>
    <x v="27"/>
    <m/>
    <x v="308"/>
    <x v="308"/>
    <m/>
    <x v="1301"/>
    <x v="161"/>
    <m/>
    <x v="2347"/>
    <x v="2802"/>
    <m/>
    <x v="3"/>
    <x v="3"/>
    <m/>
    <n v="-21.620321000000001"/>
    <n v="43.616371000000001"/>
    <m/>
    <m/>
  </r>
  <r>
    <s v="618080011SMP"/>
    <x v="3"/>
    <x v="3"/>
    <m/>
    <x v="1"/>
    <x v="1"/>
    <m/>
    <x v="29"/>
    <x v="27"/>
    <m/>
    <x v="305"/>
    <x v="305"/>
    <m/>
    <x v="1301"/>
    <x v="161"/>
    <m/>
    <x v="2348"/>
    <x v="2803"/>
    <m/>
    <x v="3"/>
    <x v="3"/>
    <m/>
    <n v="-21.88"/>
    <n v="43.884520000000002"/>
    <m/>
    <m/>
  </r>
  <r>
    <s v="618100033SMP"/>
    <x v="3"/>
    <x v="3"/>
    <m/>
    <x v="1"/>
    <x v="1"/>
    <m/>
    <x v="29"/>
    <x v="27"/>
    <m/>
    <x v="307"/>
    <x v="307"/>
    <m/>
    <x v="1301"/>
    <x v="161"/>
    <m/>
    <x v="2349"/>
    <x v="2804"/>
    <m/>
    <x v="3"/>
    <x v="3"/>
    <m/>
    <n v="-21.689900000000002"/>
    <n v="43.738320000000002"/>
    <m/>
    <m/>
  </r>
  <r>
    <s v="618010025SMP"/>
    <x v="3"/>
    <x v="3"/>
    <m/>
    <x v="1"/>
    <x v="1"/>
    <m/>
    <x v="29"/>
    <x v="27"/>
    <m/>
    <x v="308"/>
    <x v="308"/>
    <m/>
    <x v="1301"/>
    <x v="161"/>
    <m/>
    <x v="2350"/>
    <x v="2805"/>
    <m/>
    <x v="3"/>
    <x v="3"/>
    <m/>
    <n v="-21.541630000000001"/>
    <n v="43.632779999999997"/>
    <m/>
    <m/>
  </r>
  <r>
    <s v="618040010SMP"/>
    <x v="3"/>
    <x v="3"/>
    <m/>
    <x v="1"/>
    <x v="1"/>
    <m/>
    <x v="29"/>
    <x v="27"/>
    <m/>
    <x v="303"/>
    <x v="303"/>
    <m/>
    <x v="1301"/>
    <x v="161"/>
    <m/>
    <x v="2351"/>
    <x v="2806"/>
    <m/>
    <x v="3"/>
    <x v="3"/>
    <m/>
    <n v="-22.26623"/>
    <n v="43.698149999999998"/>
    <m/>
    <m/>
  </r>
  <r>
    <s v="618101115SMP"/>
    <x v="3"/>
    <x v="3"/>
    <m/>
    <x v="1"/>
    <x v="1"/>
    <m/>
    <x v="29"/>
    <x v="27"/>
    <m/>
    <x v="307"/>
    <x v="307"/>
    <m/>
    <x v="1301"/>
    <x v="161"/>
    <m/>
    <x v="2352"/>
    <x v="2807"/>
    <m/>
    <x v="3"/>
    <x v="3"/>
    <m/>
    <n v="-21.689900000000002"/>
    <n v="43.738320000000002"/>
    <m/>
    <m/>
  </r>
  <r>
    <s v="620100008SMP"/>
    <x v="3"/>
    <x v="3"/>
    <m/>
    <x v="1"/>
    <x v="1"/>
    <m/>
    <x v="30"/>
    <x v="28"/>
    <m/>
    <x v="309"/>
    <x v="309"/>
    <m/>
    <x v="1301"/>
    <x v="161"/>
    <m/>
    <x v="2353"/>
    <x v="2808"/>
    <m/>
    <x v="3"/>
    <x v="3"/>
    <m/>
    <n v="-22.915475000000001"/>
    <n v="44.523766999999999"/>
    <m/>
    <m/>
  </r>
  <r>
    <s v="620010008SMP"/>
    <x v="3"/>
    <x v="3"/>
    <m/>
    <x v="1"/>
    <x v="1"/>
    <m/>
    <x v="30"/>
    <x v="28"/>
    <m/>
    <x v="310"/>
    <x v="310"/>
    <m/>
    <x v="1301"/>
    <x v="161"/>
    <m/>
    <x v="1867"/>
    <x v="2809"/>
    <m/>
    <x v="3"/>
    <x v="3"/>
    <m/>
    <n v="-22.726671"/>
    <n v="44.781094000000003"/>
    <m/>
    <m/>
  </r>
  <r>
    <s v="620130014SMP"/>
    <x v="3"/>
    <x v="3"/>
    <m/>
    <x v="1"/>
    <x v="1"/>
    <m/>
    <x v="30"/>
    <x v="28"/>
    <m/>
    <x v="311"/>
    <x v="311"/>
    <m/>
    <x v="1301"/>
    <x v="161"/>
    <m/>
    <x v="2354"/>
    <x v="2810"/>
    <m/>
    <x v="3"/>
    <x v="3"/>
    <m/>
    <n v="-23.073015999999999"/>
    <n v="44.240295000000003"/>
    <m/>
    <m/>
  </r>
  <r>
    <s v="620130012SMP"/>
    <x v="3"/>
    <x v="3"/>
    <m/>
    <x v="1"/>
    <x v="1"/>
    <m/>
    <x v="30"/>
    <x v="28"/>
    <m/>
    <x v="311"/>
    <x v="311"/>
    <m/>
    <x v="1301"/>
    <x v="161"/>
    <m/>
    <x v="2355"/>
    <x v="2811"/>
    <m/>
    <x v="3"/>
    <x v="3"/>
    <m/>
    <n v="-23.036604000000001"/>
    <n v="44.277552999999997"/>
    <m/>
    <m/>
  </r>
  <r>
    <s v="620130004SMP"/>
    <x v="3"/>
    <x v="3"/>
    <m/>
    <x v="1"/>
    <x v="1"/>
    <m/>
    <x v="30"/>
    <x v="28"/>
    <m/>
    <x v="311"/>
    <x v="311"/>
    <m/>
    <x v="1301"/>
    <x v="161"/>
    <m/>
    <x v="2356"/>
    <x v="2812"/>
    <m/>
    <x v="3"/>
    <x v="3"/>
    <m/>
    <n v="-23.030045999999999"/>
    <n v="44.270395000000001"/>
    <m/>
    <m/>
  </r>
  <r>
    <s v="620130003SMP"/>
    <x v="3"/>
    <x v="3"/>
    <m/>
    <x v="1"/>
    <x v="1"/>
    <m/>
    <x v="30"/>
    <x v="28"/>
    <m/>
    <x v="311"/>
    <x v="311"/>
    <m/>
    <x v="1301"/>
    <x v="161"/>
    <m/>
    <x v="2357"/>
    <x v="2813"/>
    <m/>
    <x v="3"/>
    <x v="3"/>
    <m/>
    <n v="-22.982099999999999"/>
    <n v="44.318725999999998"/>
    <m/>
    <m/>
  </r>
  <r>
    <s v="601010014SMP"/>
    <x v="3"/>
    <x v="3"/>
    <m/>
    <x v="1"/>
    <x v="1"/>
    <m/>
    <x v="20"/>
    <x v="19"/>
    <m/>
    <x v="210"/>
    <x v="210"/>
    <m/>
    <x v="1301"/>
    <x v="161"/>
    <m/>
    <x v="2358"/>
    <x v="2814"/>
    <m/>
    <x v="3"/>
    <x v="3"/>
    <m/>
    <n v="-23.361924999999999"/>
    <n v="43.674253999999998"/>
    <m/>
    <m/>
  </r>
  <r>
    <s v="601010007SMP"/>
    <x v="3"/>
    <x v="3"/>
    <m/>
    <x v="1"/>
    <x v="1"/>
    <m/>
    <x v="20"/>
    <x v="19"/>
    <m/>
    <x v="210"/>
    <x v="210"/>
    <m/>
    <x v="1301"/>
    <x v="161"/>
    <m/>
    <x v="2359"/>
    <x v="2815"/>
    <m/>
    <x v="3"/>
    <x v="3"/>
    <m/>
    <n v="-23.339721999999998"/>
    <n v="43.665819999999997"/>
    <m/>
    <m/>
  </r>
  <r>
    <s v="601010023SMP"/>
    <x v="3"/>
    <x v="3"/>
    <m/>
    <x v="1"/>
    <x v="1"/>
    <m/>
    <x v="20"/>
    <x v="19"/>
    <m/>
    <x v="210"/>
    <x v="210"/>
    <m/>
    <x v="1301"/>
    <x v="161"/>
    <m/>
    <x v="2360"/>
    <x v="2816"/>
    <m/>
    <x v="3"/>
    <x v="3"/>
    <m/>
    <n v="-23.336521000000001"/>
    <n v="43.660632"/>
    <m/>
    <m/>
  </r>
  <r>
    <s v="601010033SMP"/>
    <x v="3"/>
    <x v="3"/>
    <m/>
    <x v="1"/>
    <x v="1"/>
    <m/>
    <x v="20"/>
    <x v="19"/>
    <m/>
    <x v="210"/>
    <x v="210"/>
    <m/>
    <x v="1301"/>
    <x v="161"/>
    <m/>
    <x v="2361"/>
    <x v="2817"/>
    <m/>
    <x v="3"/>
    <x v="3"/>
    <m/>
    <n v="-23.319735000000001"/>
    <n v="43.657133000000002"/>
    <m/>
    <m/>
  </r>
  <r>
    <s v="601010016SMP"/>
    <x v="3"/>
    <x v="3"/>
    <m/>
    <x v="1"/>
    <x v="1"/>
    <m/>
    <x v="20"/>
    <x v="19"/>
    <m/>
    <x v="210"/>
    <x v="210"/>
    <m/>
    <x v="1301"/>
    <x v="161"/>
    <m/>
    <x v="2362"/>
    <x v="2818"/>
    <m/>
    <x v="3"/>
    <x v="3"/>
    <m/>
    <n v="-23.299085000000002"/>
    <n v="43.658329999999999"/>
    <m/>
    <m/>
  </r>
  <r>
    <s v="601010000SMP"/>
    <x v="3"/>
    <x v="3"/>
    <m/>
    <x v="1"/>
    <x v="1"/>
    <m/>
    <x v="20"/>
    <x v="19"/>
    <m/>
    <x v="210"/>
    <x v="210"/>
    <m/>
    <x v="1301"/>
    <x v="161"/>
    <m/>
    <x v="2363"/>
    <x v="2819"/>
    <m/>
    <x v="3"/>
    <x v="3"/>
    <m/>
    <n v="-23.364249999999998"/>
    <n v="43.674230000000001"/>
    <m/>
    <m/>
  </r>
  <r>
    <s v="602091001SMP"/>
    <x v="3"/>
    <x v="3"/>
    <m/>
    <x v="1"/>
    <x v="1"/>
    <m/>
    <x v="17"/>
    <x v="17"/>
    <m/>
    <x v="138"/>
    <x v="138"/>
    <m/>
    <x v="1301"/>
    <x v="161"/>
    <m/>
    <x v="2364"/>
    <x v="2820"/>
    <m/>
    <x v="3"/>
    <x v="3"/>
    <m/>
    <n v="-24.073135000000001"/>
    <n v="43.678179"/>
    <m/>
    <m/>
  </r>
  <r>
    <s v="602091009SMP"/>
    <x v="3"/>
    <x v="3"/>
    <m/>
    <x v="1"/>
    <x v="1"/>
    <m/>
    <x v="17"/>
    <x v="17"/>
    <m/>
    <x v="118"/>
    <x v="118"/>
    <m/>
    <x v="1301"/>
    <x v="161"/>
    <m/>
    <x v="2365"/>
    <x v="2821"/>
    <m/>
    <x v="3"/>
    <x v="3"/>
    <m/>
    <n v="-23.910363"/>
    <n v="43.674334000000002"/>
    <m/>
    <m/>
  </r>
  <r>
    <s v="602090005SMP"/>
    <x v="3"/>
    <x v="3"/>
    <m/>
    <x v="1"/>
    <x v="1"/>
    <m/>
    <x v="17"/>
    <x v="17"/>
    <m/>
    <x v="118"/>
    <x v="118"/>
    <m/>
    <x v="1301"/>
    <x v="161"/>
    <m/>
    <x v="2366"/>
    <x v="2822"/>
    <m/>
    <x v="3"/>
    <x v="3"/>
    <m/>
    <n v="-23.867694"/>
    <n v="44.087546000000003"/>
    <m/>
    <m/>
  </r>
  <r>
    <s v="602090009SMP"/>
    <x v="3"/>
    <x v="3"/>
    <m/>
    <x v="1"/>
    <x v="1"/>
    <m/>
    <x v="17"/>
    <x v="17"/>
    <m/>
    <x v="118"/>
    <x v="118"/>
    <m/>
    <x v="1301"/>
    <x v="161"/>
    <m/>
    <x v="696"/>
    <x v="2823"/>
    <m/>
    <x v="3"/>
    <x v="3"/>
    <m/>
    <n v="-23.842745000000001"/>
    <n v="43.674461999999998"/>
    <m/>
    <m/>
  </r>
  <r>
    <s v="602230003SMP"/>
    <x v="3"/>
    <x v="3"/>
    <m/>
    <x v="1"/>
    <x v="1"/>
    <m/>
    <x v="17"/>
    <x v="17"/>
    <m/>
    <x v="312"/>
    <x v="312"/>
    <m/>
    <x v="1301"/>
    <x v="161"/>
    <m/>
    <x v="1339"/>
    <x v="2824"/>
    <m/>
    <x v="3"/>
    <x v="3"/>
    <m/>
    <n v="-23.830075000000001"/>
    <n v="43.662281"/>
    <m/>
    <m/>
  </r>
  <r>
    <s v="602230004SMP"/>
    <x v="3"/>
    <x v="3"/>
    <m/>
    <x v="1"/>
    <x v="1"/>
    <m/>
    <x v="17"/>
    <x v="17"/>
    <m/>
    <x v="312"/>
    <x v="312"/>
    <m/>
    <x v="1301"/>
    <x v="161"/>
    <m/>
    <x v="2367"/>
    <x v="2825"/>
    <m/>
    <x v="3"/>
    <x v="3"/>
    <m/>
    <n v="-23.804116"/>
    <n v="43.661569999999998"/>
    <m/>
    <m/>
  </r>
  <r>
    <s v="602091003SMP"/>
    <x v="3"/>
    <x v="3"/>
    <m/>
    <x v="1"/>
    <x v="1"/>
    <m/>
    <x v="17"/>
    <x v="17"/>
    <m/>
    <x v="118"/>
    <x v="118"/>
    <m/>
    <x v="1301"/>
    <x v="161"/>
    <m/>
    <x v="2368"/>
    <x v="2826"/>
    <m/>
    <x v="3"/>
    <x v="3"/>
    <m/>
    <n v="-23.803882000000002"/>
    <n v="43.683988999999997"/>
    <m/>
    <m/>
  </r>
  <r>
    <s v="602171003SMP"/>
    <x v="3"/>
    <x v="3"/>
    <m/>
    <x v="1"/>
    <x v="1"/>
    <m/>
    <x v="17"/>
    <x v="17"/>
    <m/>
    <x v="313"/>
    <x v="313"/>
    <m/>
    <x v="1301"/>
    <x v="161"/>
    <m/>
    <x v="2369"/>
    <x v="2827"/>
    <m/>
    <x v="3"/>
    <x v="3"/>
    <m/>
    <n v="-23.776306000000002"/>
    <n v="43.686833999999998"/>
    <m/>
    <m/>
  </r>
  <r>
    <s v="602170004SMP"/>
    <x v="3"/>
    <x v="3"/>
    <m/>
    <x v="1"/>
    <x v="1"/>
    <m/>
    <x v="17"/>
    <x v="17"/>
    <m/>
    <x v="313"/>
    <x v="313"/>
    <m/>
    <x v="1301"/>
    <x v="161"/>
    <m/>
    <x v="2370"/>
    <x v="2828"/>
    <m/>
    <x v="3"/>
    <x v="3"/>
    <m/>
    <n v="-23.595233"/>
    <n v="43.717782"/>
    <m/>
    <m/>
  </r>
  <r>
    <s v="602110009SMP"/>
    <x v="3"/>
    <x v="3"/>
    <m/>
    <x v="1"/>
    <x v="1"/>
    <m/>
    <x v="17"/>
    <x v="17"/>
    <m/>
    <x v="314"/>
    <x v="314"/>
    <m/>
    <x v="1301"/>
    <x v="161"/>
    <m/>
    <x v="2371"/>
    <x v="2829"/>
    <m/>
    <x v="3"/>
    <x v="3"/>
    <m/>
    <n v="-23.551501999999999"/>
    <n v="43.762737999999999"/>
    <m/>
    <m/>
  </r>
  <r>
    <s v="602110004SMP"/>
    <x v="3"/>
    <x v="3"/>
    <m/>
    <x v="1"/>
    <x v="1"/>
    <m/>
    <x v="17"/>
    <x v="17"/>
    <m/>
    <x v="314"/>
    <x v="314"/>
    <m/>
    <x v="1301"/>
    <x v="161"/>
    <m/>
    <x v="2372"/>
    <x v="2830"/>
    <m/>
    <x v="3"/>
    <x v="3"/>
    <m/>
    <n v="-23.533138000000001"/>
    <n v="43.821379"/>
    <m/>
    <m/>
  </r>
  <r>
    <s v="602110008SMP"/>
    <x v="3"/>
    <x v="3"/>
    <m/>
    <x v="1"/>
    <x v="1"/>
    <m/>
    <x v="17"/>
    <x v="17"/>
    <m/>
    <x v="314"/>
    <x v="314"/>
    <m/>
    <x v="1301"/>
    <x v="161"/>
    <m/>
    <x v="2373"/>
    <x v="2831"/>
    <m/>
    <x v="3"/>
    <x v="3"/>
    <m/>
    <n v="-23.533138000000001"/>
    <n v="43.821379"/>
    <m/>
    <m/>
  </r>
  <r>
    <s v="602130003SMP"/>
    <x v="3"/>
    <x v="3"/>
    <m/>
    <x v="1"/>
    <x v="1"/>
    <m/>
    <x v="17"/>
    <x v="17"/>
    <m/>
    <x v="315"/>
    <x v="315"/>
    <m/>
    <x v="1301"/>
    <x v="161"/>
    <m/>
    <x v="2374"/>
    <x v="2832"/>
    <m/>
    <x v="3"/>
    <x v="3"/>
    <m/>
    <n v="-23.515595000000001"/>
    <n v="43.954172"/>
    <m/>
    <m/>
  </r>
  <r>
    <s v="602110010SMP"/>
    <x v="3"/>
    <x v="3"/>
    <m/>
    <x v="1"/>
    <x v="1"/>
    <m/>
    <x v="17"/>
    <x v="17"/>
    <m/>
    <x v="314"/>
    <x v="314"/>
    <m/>
    <x v="1301"/>
    <x v="161"/>
    <m/>
    <x v="139"/>
    <x v="2833"/>
    <m/>
    <x v="3"/>
    <x v="3"/>
    <m/>
    <n v="-23.510605000000002"/>
    <n v="43.734343000000003"/>
    <m/>
    <m/>
  </r>
  <r>
    <s v="602010009SMP"/>
    <x v="3"/>
    <x v="3"/>
    <m/>
    <x v="1"/>
    <x v="1"/>
    <m/>
    <x v="17"/>
    <x v="17"/>
    <m/>
    <x v="316"/>
    <x v="316"/>
    <m/>
    <x v="1301"/>
    <x v="161"/>
    <m/>
    <x v="2375"/>
    <x v="2834"/>
    <m/>
    <x v="3"/>
    <x v="3"/>
    <m/>
    <n v="-23.484127000000001"/>
    <n v="43.973075999999999"/>
    <m/>
    <m/>
  </r>
  <r>
    <s v="602010002SMP"/>
    <x v="3"/>
    <x v="3"/>
    <m/>
    <x v="1"/>
    <x v="1"/>
    <m/>
    <x v="17"/>
    <x v="17"/>
    <m/>
    <x v="316"/>
    <x v="316"/>
    <m/>
    <x v="1301"/>
    <x v="161"/>
    <m/>
    <x v="2376"/>
    <x v="2835"/>
    <m/>
    <x v="3"/>
    <x v="3"/>
    <m/>
    <n v="-23.445571999999999"/>
    <n v="43.909086000000002"/>
    <m/>
    <m/>
  </r>
  <r>
    <s v="602010003SMP"/>
    <x v="3"/>
    <x v="3"/>
    <m/>
    <x v="1"/>
    <x v="1"/>
    <m/>
    <x v="17"/>
    <x v="17"/>
    <m/>
    <x v="316"/>
    <x v="316"/>
    <m/>
    <x v="1301"/>
    <x v="161"/>
    <m/>
    <x v="2377"/>
    <x v="2836"/>
    <m/>
    <x v="3"/>
    <x v="3"/>
    <m/>
    <n v="-23.442872000000001"/>
    <n v="43.897213000000001"/>
    <m/>
    <m/>
  </r>
  <r>
    <s v="602010007SMP"/>
    <x v="3"/>
    <x v="3"/>
    <m/>
    <x v="1"/>
    <x v="1"/>
    <m/>
    <x v="17"/>
    <x v="17"/>
    <m/>
    <x v="316"/>
    <x v="316"/>
    <m/>
    <x v="1301"/>
    <x v="161"/>
    <m/>
    <x v="2378"/>
    <x v="2837"/>
    <m/>
    <x v="3"/>
    <x v="3"/>
    <m/>
    <n v="-23.436910000000001"/>
    <n v="43.846938999999999"/>
    <m/>
    <m/>
  </r>
  <r>
    <s v="602110005SMP"/>
    <x v="3"/>
    <x v="3"/>
    <m/>
    <x v="1"/>
    <x v="1"/>
    <m/>
    <x v="17"/>
    <x v="17"/>
    <m/>
    <x v="314"/>
    <x v="314"/>
    <m/>
    <x v="1301"/>
    <x v="161"/>
    <m/>
    <x v="2009"/>
    <x v="2838"/>
    <m/>
    <x v="3"/>
    <x v="3"/>
    <m/>
    <n v="-23.427668000000001"/>
    <n v="43.740957000000002"/>
    <m/>
    <m/>
  </r>
  <r>
    <s v="602220002SMP"/>
    <x v="3"/>
    <x v="3"/>
    <m/>
    <x v="1"/>
    <x v="1"/>
    <m/>
    <x v="17"/>
    <x v="17"/>
    <m/>
    <x v="317"/>
    <x v="317"/>
    <m/>
    <x v="1301"/>
    <x v="161"/>
    <m/>
    <x v="2379"/>
    <x v="2839"/>
    <m/>
    <x v="3"/>
    <x v="3"/>
    <m/>
    <n v="-23.372838000000002"/>
    <n v="43.714722000000002"/>
    <m/>
    <m/>
  </r>
  <r>
    <s v="602220006SMP"/>
    <x v="3"/>
    <x v="3"/>
    <m/>
    <x v="1"/>
    <x v="1"/>
    <m/>
    <x v="17"/>
    <x v="17"/>
    <m/>
    <x v="317"/>
    <x v="317"/>
    <m/>
    <x v="1301"/>
    <x v="161"/>
    <m/>
    <x v="2046"/>
    <x v="2840"/>
    <m/>
    <x v="3"/>
    <x v="3"/>
    <m/>
    <n v="-23.372647000000001"/>
    <n v="43.702488000000002"/>
    <m/>
    <m/>
  </r>
  <r>
    <s v="602210004SMP"/>
    <x v="3"/>
    <x v="3"/>
    <m/>
    <x v="1"/>
    <x v="1"/>
    <m/>
    <x v="17"/>
    <x v="17"/>
    <m/>
    <x v="318"/>
    <x v="318"/>
    <m/>
    <x v="1301"/>
    <x v="161"/>
    <m/>
    <x v="2380"/>
    <x v="2841"/>
    <m/>
    <x v="3"/>
    <x v="3"/>
    <m/>
    <n v="-23.332775000000002"/>
    <n v="43.685324999999999"/>
    <m/>
    <m/>
  </r>
  <r>
    <s v="602210006SMP"/>
    <x v="3"/>
    <x v="3"/>
    <m/>
    <x v="1"/>
    <x v="1"/>
    <m/>
    <x v="17"/>
    <x v="17"/>
    <m/>
    <x v="318"/>
    <x v="318"/>
    <m/>
    <x v="1301"/>
    <x v="161"/>
    <m/>
    <x v="2381"/>
    <x v="2842"/>
    <m/>
    <x v="3"/>
    <x v="3"/>
    <m/>
    <n v="-23.325521999999999"/>
    <n v="43.677768"/>
    <m/>
    <m/>
  </r>
  <r>
    <s v="602100015SMP"/>
    <x v="3"/>
    <x v="3"/>
    <m/>
    <x v="1"/>
    <x v="1"/>
    <m/>
    <x v="17"/>
    <x v="17"/>
    <m/>
    <x v="319"/>
    <x v="319"/>
    <m/>
    <x v="1301"/>
    <x v="161"/>
    <m/>
    <x v="2382"/>
    <x v="2843"/>
    <m/>
    <x v="3"/>
    <x v="3"/>
    <m/>
    <n v="-23.304417000000001"/>
    <n v="43.670603999999997"/>
    <m/>
    <m/>
  </r>
  <r>
    <s v="602100006SMP"/>
    <x v="3"/>
    <x v="3"/>
    <m/>
    <x v="1"/>
    <x v="1"/>
    <m/>
    <x v="17"/>
    <x v="17"/>
    <m/>
    <x v="319"/>
    <x v="319"/>
    <m/>
    <x v="1301"/>
    <x v="161"/>
    <m/>
    <x v="2383"/>
    <x v="2844"/>
    <m/>
    <x v="3"/>
    <x v="3"/>
    <m/>
    <n v="-23.300536000000001"/>
    <n v="43.681024999999998"/>
    <m/>
    <m/>
  </r>
  <r>
    <s v="602100007SMP"/>
    <x v="3"/>
    <x v="3"/>
    <m/>
    <x v="1"/>
    <x v="1"/>
    <m/>
    <x v="17"/>
    <x v="17"/>
    <m/>
    <x v="319"/>
    <x v="319"/>
    <m/>
    <x v="1301"/>
    <x v="161"/>
    <m/>
    <x v="2384"/>
    <x v="2845"/>
    <m/>
    <x v="3"/>
    <x v="3"/>
    <m/>
    <n v="-23.300357000000002"/>
    <n v="43.645609999999998"/>
    <m/>
    <m/>
  </r>
  <r>
    <s v="602240002SMP"/>
    <x v="3"/>
    <x v="3"/>
    <m/>
    <x v="1"/>
    <x v="1"/>
    <m/>
    <x v="17"/>
    <x v="17"/>
    <m/>
    <x v="320"/>
    <x v="320"/>
    <m/>
    <x v="1301"/>
    <x v="161"/>
    <m/>
    <x v="2385"/>
    <x v="2846"/>
    <m/>
    <x v="3"/>
    <x v="3"/>
    <m/>
    <n v="-23.292701999999998"/>
    <n v="43.820107"/>
    <m/>
    <m/>
  </r>
  <r>
    <s v="602150014SMP"/>
    <x v="3"/>
    <x v="3"/>
    <m/>
    <x v="1"/>
    <x v="1"/>
    <m/>
    <x v="17"/>
    <x v="17"/>
    <m/>
    <x v="187"/>
    <x v="321"/>
    <m/>
    <x v="1301"/>
    <x v="161"/>
    <m/>
    <x v="2386"/>
    <x v="2847"/>
    <m/>
    <x v="3"/>
    <x v="3"/>
    <m/>
    <n v="-23.284981999999999"/>
    <n v="43.708230999999998"/>
    <m/>
    <m/>
  </r>
  <r>
    <s v="602200002SMP"/>
    <x v="3"/>
    <x v="3"/>
    <m/>
    <x v="1"/>
    <x v="1"/>
    <m/>
    <x v="17"/>
    <x v="17"/>
    <m/>
    <x v="321"/>
    <x v="322"/>
    <m/>
    <x v="1301"/>
    <x v="161"/>
    <m/>
    <x v="2387"/>
    <x v="2848"/>
    <m/>
    <x v="3"/>
    <x v="3"/>
    <m/>
    <n v="-23.279330999999999"/>
    <n v="43.976143999999998"/>
    <m/>
    <m/>
  </r>
  <r>
    <s v="602150008SMP"/>
    <x v="3"/>
    <x v="3"/>
    <m/>
    <x v="1"/>
    <x v="1"/>
    <m/>
    <x v="17"/>
    <x v="17"/>
    <m/>
    <x v="187"/>
    <x v="321"/>
    <m/>
    <x v="1301"/>
    <x v="161"/>
    <m/>
    <x v="2388"/>
    <x v="2849"/>
    <m/>
    <x v="3"/>
    <x v="3"/>
    <m/>
    <n v="-23.278794999999999"/>
    <n v="43.711480000000002"/>
    <m/>
    <m/>
  </r>
  <r>
    <s v="602200006SMP"/>
    <x v="3"/>
    <x v="3"/>
    <m/>
    <x v="1"/>
    <x v="1"/>
    <m/>
    <x v="17"/>
    <x v="17"/>
    <m/>
    <x v="321"/>
    <x v="322"/>
    <m/>
    <x v="1301"/>
    <x v="161"/>
    <m/>
    <x v="2389"/>
    <x v="2850"/>
    <m/>
    <x v="3"/>
    <x v="3"/>
    <m/>
    <n v="-23.268424"/>
    <n v="44.003441000000002"/>
    <m/>
    <m/>
  </r>
  <r>
    <s v="602240008SMP"/>
    <x v="3"/>
    <x v="3"/>
    <m/>
    <x v="1"/>
    <x v="1"/>
    <m/>
    <x v="17"/>
    <x v="17"/>
    <m/>
    <x v="320"/>
    <x v="320"/>
    <m/>
    <x v="1301"/>
    <x v="161"/>
    <m/>
    <x v="2390"/>
    <x v="2851"/>
    <m/>
    <x v="3"/>
    <x v="3"/>
    <m/>
    <n v="-23.249648000000001"/>
    <n v="43.855747000000001"/>
    <m/>
    <m/>
  </r>
  <r>
    <s v="602100005SMP"/>
    <x v="3"/>
    <x v="3"/>
    <m/>
    <x v="1"/>
    <x v="1"/>
    <m/>
    <x v="17"/>
    <x v="17"/>
    <m/>
    <x v="319"/>
    <x v="319"/>
    <m/>
    <x v="1301"/>
    <x v="161"/>
    <m/>
    <x v="2391"/>
    <x v="2852"/>
    <m/>
    <x v="3"/>
    <x v="3"/>
    <m/>
    <n v="-23.239985000000001"/>
    <n v="43.624079000000002"/>
    <m/>
    <m/>
  </r>
  <r>
    <s v="602120017SMP"/>
    <x v="3"/>
    <x v="3"/>
    <m/>
    <x v="1"/>
    <x v="1"/>
    <m/>
    <x v="17"/>
    <x v="17"/>
    <m/>
    <x v="322"/>
    <x v="323"/>
    <m/>
    <x v="1301"/>
    <x v="161"/>
    <m/>
    <x v="2392"/>
    <x v="2853"/>
    <m/>
    <x v="3"/>
    <x v="3"/>
    <m/>
    <n v="-22.974954"/>
    <n v="43.474128"/>
    <m/>
    <m/>
  </r>
  <r>
    <s v="602120009SMP"/>
    <x v="3"/>
    <x v="3"/>
    <m/>
    <x v="1"/>
    <x v="1"/>
    <m/>
    <x v="17"/>
    <x v="17"/>
    <m/>
    <x v="322"/>
    <x v="323"/>
    <m/>
    <x v="1301"/>
    <x v="161"/>
    <m/>
    <x v="2393"/>
    <x v="2854"/>
    <m/>
    <x v="3"/>
    <x v="3"/>
    <m/>
    <n v="-22.953870999999999"/>
    <n v="43.474179999999997"/>
    <m/>
    <m/>
  </r>
  <r>
    <s v="602120010SMP"/>
    <x v="3"/>
    <x v="3"/>
    <m/>
    <x v="1"/>
    <x v="1"/>
    <m/>
    <x v="17"/>
    <x v="17"/>
    <m/>
    <x v="322"/>
    <x v="323"/>
    <m/>
    <x v="1301"/>
    <x v="161"/>
    <m/>
    <x v="2394"/>
    <x v="2855"/>
    <m/>
    <x v="3"/>
    <x v="3"/>
    <m/>
    <n v="-22.952207999999999"/>
    <n v="43.470452999999999"/>
    <m/>
    <m/>
  </r>
  <r>
    <s v="602070010SMP"/>
    <x v="3"/>
    <x v="3"/>
    <m/>
    <x v="1"/>
    <x v="1"/>
    <m/>
    <x v="17"/>
    <x v="17"/>
    <m/>
    <x v="323"/>
    <x v="324"/>
    <m/>
    <x v="1301"/>
    <x v="161"/>
    <m/>
    <x v="2395"/>
    <x v="2856"/>
    <m/>
    <x v="3"/>
    <x v="3"/>
    <m/>
    <n v="-22.866890999999999"/>
    <n v="43.578685999999998"/>
    <m/>
    <m/>
  </r>
  <r>
    <s v="602070007SMP"/>
    <x v="3"/>
    <x v="3"/>
    <m/>
    <x v="1"/>
    <x v="1"/>
    <m/>
    <x v="17"/>
    <x v="17"/>
    <m/>
    <x v="323"/>
    <x v="324"/>
    <m/>
    <x v="1301"/>
    <x v="161"/>
    <m/>
    <x v="2396"/>
    <x v="2857"/>
    <m/>
    <x v="3"/>
    <x v="3"/>
    <m/>
    <n v="-22.8431"/>
    <n v="43.613368999999999"/>
    <m/>
    <m/>
  </r>
  <r>
    <s v="602070011SMP"/>
    <x v="3"/>
    <x v="3"/>
    <m/>
    <x v="1"/>
    <x v="1"/>
    <m/>
    <x v="17"/>
    <x v="17"/>
    <m/>
    <x v="323"/>
    <x v="324"/>
    <m/>
    <x v="1301"/>
    <x v="161"/>
    <m/>
    <x v="2397"/>
    <x v="2858"/>
    <m/>
    <x v="3"/>
    <x v="3"/>
    <m/>
    <n v="-22.838949"/>
    <n v="43.585756000000003"/>
    <m/>
    <m/>
  </r>
  <r>
    <s v="602070003SMP"/>
    <x v="3"/>
    <x v="3"/>
    <m/>
    <x v="1"/>
    <x v="1"/>
    <m/>
    <x v="17"/>
    <x v="17"/>
    <m/>
    <x v="323"/>
    <x v="324"/>
    <m/>
    <x v="1301"/>
    <x v="161"/>
    <m/>
    <x v="2398"/>
    <x v="2859"/>
    <m/>
    <x v="3"/>
    <x v="3"/>
    <m/>
    <n v="-22.813708999999999"/>
    <n v="43.603060999999997"/>
    <m/>
    <m/>
  </r>
  <r>
    <s v="602070008SMP"/>
    <x v="3"/>
    <x v="3"/>
    <m/>
    <x v="1"/>
    <x v="1"/>
    <m/>
    <x v="17"/>
    <x v="17"/>
    <m/>
    <x v="323"/>
    <x v="324"/>
    <m/>
    <x v="1301"/>
    <x v="161"/>
    <m/>
    <x v="2399"/>
    <x v="2860"/>
    <m/>
    <x v="3"/>
    <x v="3"/>
    <m/>
    <n v="-22.802175999999999"/>
    <n v="43.633108"/>
    <m/>
    <m/>
  </r>
  <r>
    <s v="602070006SMP"/>
    <x v="3"/>
    <x v="3"/>
    <m/>
    <x v="1"/>
    <x v="1"/>
    <m/>
    <x v="17"/>
    <x v="17"/>
    <m/>
    <x v="323"/>
    <x v="324"/>
    <m/>
    <x v="1301"/>
    <x v="161"/>
    <m/>
    <x v="2400"/>
    <x v="2861"/>
    <m/>
    <x v="3"/>
    <x v="3"/>
    <m/>
    <n v="-22.794841999999999"/>
    <n v="43.616644000000001"/>
    <m/>
    <m/>
  </r>
  <r>
    <s v="602070005SMP"/>
    <x v="3"/>
    <x v="3"/>
    <m/>
    <x v="1"/>
    <x v="1"/>
    <m/>
    <x v="17"/>
    <x v="17"/>
    <m/>
    <x v="323"/>
    <x v="324"/>
    <m/>
    <x v="1301"/>
    <x v="161"/>
    <m/>
    <x v="2401"/>
    <x v="2862"/>
    <m/>
    <x v="3"/>
    <x v="3"/>
    <m/>
    <n v="-22.780284000000002"/>
    <n v="43.640275000000003"/>
    <m/>
    <m/>
  </r>
  <r>
    <s v="602050005SMP"/>
    <x v="3"/>
    <x v="3"/>
    <m/>
    <x v="1"/>
    <x v="1"/>
    <m/>
    <x v="17"/>
    <x v="17"/>
    <m/>
    <x v="324"/>
    <x v="325"/>
    <m/>
    <x v="1301"/>
    <x v="161"/>
    <m/>
    <x v="2402"/>
    <x v="2863"/>
    <m/>
    <x v="3"/>
    <x v="3"/>
    <m/>
    <n v="-22.750152"/>
    <n v="43.676403999999998"/>
    <m/>
    <m/>
  </r>
  <r>
    <s v="602050020SMP"/>
    <x v="3"/>
    <x v="3"/>
    <m/>
    <x v="1"/>
    <x v="1"/>
    <m/>
    <x v="17"/>
    <x v="17"/>
    <m/>
    <x v="324"/>
    <x v="325"/>
    <m/>
    <x v="1301"/>
    <x v="161"/>
    <m/>
    <x v="2403"/>
    <x v="2864"/>
    <m/>
    <x v="3"/>
    <x v="3"/>
    <m/>
    <n v="-22.630143"/>
    <n v="43.631368999999999"/>
    <m/>
    <m/>
  </r>
  <r>
    <s v="602050019SMP"/>
    <x v="3"/>
    <x v="3"/>
    <m/>
    <x v="1"/>
    <x v="1"/>
    <m/>
    <x v="17"/>
    <x v="17"/>
    <m/>
    <x v="324"/>
    <x v="325"/>
    <m/>
    <x v="1301"/>
    <x v="161"/>
    <m/>
    <x v="2404"/>
    <x v="2865"/>
    <m/>
    <x v="3"/>
    <x v="3"/>
    <m/>
    <n v="-22.606677999999999"/>
    <n v="43.650987000000001"/>
    <m/>
    <m/>
  </r>
  <r>
    <s v="602030005SMP"/>
    <x v="3"/>
    <x v="3"/>
    <m/>
    <x v="1"/>
    <x v="1"/>
    <m/>
    <x v="17"/>
    <x v="17"/>
    <m/>
    <x v="325"/>
    <x v="326"/>
    <m/>
    <x v="1301"/>
    <x v="161"/>
    <m/>
    <x v="2405"/>
    <x v="2866"/>
    <m/>
    <x v="3"/>
    <x v="3"/>
    <m/>
    <n v="-22.531869"/>
    <n v="43.635272999999998"/>
    <m/>
    <m/>
  </r>
  <r>
    <s v="602030014SMP"/>
    <x v="3"/>
    <x v="3"/>
    <m/>
    <x v="1"/>
    <x v="1"/>
    <m/>
    <x v="17"/>
    <x v="17"/>
    <m/>
    <x v="326"/>
    <x v="327"/>
    <m/>
    <x v="1301"/>
    <x v="161"/>
    <m/>
    <x v="2406"/>
    <x v="2867"/>
    <m/>
    <x v="3"/>
    <x v="3"/>
    <m/>
    <n v="-22.456187"/>
    <n v="43.723162000000002"/>
    <m/>
    <m/>
  </r>
  <r>
    <s v="602030012SMP"/>
    <x v="3"/>
    <x v="3"/>
    <m/>
    <x v="1"/>
    <x v="1"/>
    <m/>
    <x v="17"/>
    <x v="17"/>
    <m/>
    <x v="326"/>
    <x v="327"/>
    <m/>
    <x v="1301"/>
    <x v="161"/>
    <m/>
    <x v="2407"/>
    <x v="2868"/>
    <m/>
    <x v="3"/>
    <x v="3"/>
    <m/>
    <n v="-22.450339"/>
    <n v="43.699598999999999"/>
    <m/>
    <m/>
  </r>
  <r>
    <s v="602050006SMP"/>
    <x v="3"/>
    <x v="3"/>
    <m/>
    <x v="1"/>
    <x v="1"/>
    <m/>
    <x v="17"/>
    <x v="17"/>
    <m/>
    <x v="324"/>
    <x v="325"/>
    <m/>
    <x v="1301"/>
    <x v="161"/>
    <m/>
    <x v="235"/>
    <x v="2869"/>
    <m/>
    <x v="3"/>
    <x v="3"/>
    <m/>
    <n v="-22.114879999999999"/>
    <n v="44.089438000000001"/>
    <m/>
    <m/>
  </r>
  <r>
    <s v="602170005SMP"/>
    <x v="3"/>
    <x v="3"/>
    <m/>
    <x v="1"/>
    <x v="1"/>
    <m/>
    <x v="17"/>
    <x v="17"/>
    <m/>
    <x v="313"/>
    <x v="313"/>
    <m/>
    <x v="1301"/>
    <x v="161"/>
    <m/>
    <x v="2408"/>
    <x v="2870"/>
    <m/>
    <x v="3"/>
    <x v="3"/>
    <m/>
    <n v="-23.61063"/>
    <n v="43.661879999999996"/>
    <m/>
    <m/>
  </r>
  <r>
    <s v="602110006SMP"/>
    <x v="3"/>
    <x v="3"/>
    <m/>
    <x v="1"/>
    <x v="1"/>
    <m/>
    <x v="17"/>
    <x v="17"/>
    <m/>
    <x v="314"/>
    <x v="314"/>
    <m/>
    <x v="1301"/>
    <x v="161"/>
    <m/>
    <x v="2409"/>
    <x v="2871"/>
    <m/>
    <x v="3"/>
    <x v="3"/>
    <m/>
    <n v="-23.532620000000001"/>
    <n v="43.74147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AC7C31-90A9-4C55-B409-FB646F7759E1}" name="PivotTable1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3:C2875" firstHeaderRow="1" firstDataRow="1" firstDataCol="3"/>
  <pivotFields count="2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2410">
        <item x="1047"/>
        <item x="2364"/>
        <item x="2369"/>
        <item x="2076"/>
        <item x="2368"/>
        <item x="2365"/>
        <item x="2068"/>
        <item x="1123"/>
        <item x="1999"/>
        <item x="1782"/>
        <item x="1686"/>
        <item x="538"/>
        <item x="1417"/>
        <item x="2306"/>
        <item x="1824"/>
        <item x="441"/>
        <item x="1422"/>
        <item x="1787"/>
        <item x="1616"/>
        <item x="208"/>
        <item x="455"/>
        <item x="2028"/>
        <item x="436"/>
        <item x="684"/>
        <item x="695"/>
        <item x="2119"/>
        <item x="2109"/>
        <item x="671"/>
        <item x="1412"/>
        <item x="158"/>
        <item x="1346"/>
        <item x="1089"/>
        <item x="237"/>
        <item x="1769"/>
        <item x="1265"/>
        <item x="557"/>
        <item x="180"/>
        <item x="1133"/>
        <item x="772"/>
        <item x="427"/>
        <item x="1741"/>
        <item x="338"/>
        <item x="214"/>
        <item x="2177"/>
        <item x="1172"/>
        <item x="1336"/>
        <item x="2259"/>
        <item x="97"/>
        <item x="389"/>
        <item x="108"/>
        <item x="594"/>
        <item x="1031"/>
        <item x="885"/>
        <item x="2283"/>
        <item x="2242"/>
        <item x="552"/>
        <item x="2260"/>
        <item x="1873"/>
        <item x="1234"/>
        <item x="596"/>
        <item x="1719"/>
        <item x="2250"/>
        <item x="856"/>
        <item x="50"/>
        <item x="2284"/>
        <item x="61"/>
        <item x="340"/>
        <item x="354"/>
        <item x="344"/>
        <item x="499"/>
        <item x="273"/>
        <item x="13"/>
        <item x="588"/>
        <item x="501"/>
        <item x="2038"/>
        <item x="345"/>
        <item x="1030"/>
        <item x="909"/>
        <item x="2211"/>
        <item x="1980"/>
        <item x="1078"/>
        <item x="196"/>
        <item x="955"/>
        <item x="1872"/>
        <item x="1555"/>
        <item x="1257"/>
        <item x="2168"/>
        <item x="169"/>
        <item x="348"/>
        <item x="1518"/>
        <item x="1154"/>
        <item x="400"/>
        <item x="651"/>
        <item x="570"/>
        <item x="2357"/>
        <item x="426"/>
        <item x="1326"/>
        <item x="1295"/>
        <item x="582"/>
        <item x="151"/>
        <item x="192"/>
        <item x="1201"/>
        <item x="1967"/>
        <item x="1678"/>
        <item x="1984"/>
        <item x="1852"/>
        <item x="728"/>
        <item x="207"/>
        <item x="1972"/>
        <item x="821"/>
        <item x="1519"/>
        <item x="1520"/>
        <item x="1685"/>
        <item x="2090"/>
        <item x="1673"/>
        <item x="16"/>
        <item x="1486"/>
        <item x="309"/>
        <item x="2114"/>
        <item x="1098"/>
        <item x="1224"/>
        <item x="2261"/>
        <item x="2116"/>
        <item x="2105"/>
        <item x="917"/>
        <item x="294"/>
        <item x="1279"/>
        <item x="522"/>
        <item x="692"/>
        <item x="1041"/>
        <item x="355"/>
        <item x="2398"/>
        <item x="1366"/>
        <item x="2079"/>
        <item x="1699"/>
        <item x="212"/>
        <item x="315"/>
        <item x="1736"/>
        <item x="2189"/>
        <item x="740"/>
        <item x="356"/>
        <item x="777"/>
        <item x="1021"/>
        <item x="428"/>
        <item x="2297"/>
        <item x="1831"/>
        <item x="547"/>
        <item x="129"/>
        <item x="790"/>
        <item x="2150"/>
        <item x="1385"/>
        <item x="1008"/>
        <item x="2125"/>
        <item x="1090"/>
        <item x="702"/>
        <item x="966"/>
        <item x="1737"/>
        <item x="363"/>
        <item x="2252"/>
        <item x="241"/>
        <item x="297"/>
        <item x="2092"/>
        <item x="802"/>
        <item x="918"/>
        <item x="2066"/>
        <item x="834"/>
        <item x="370"/>
        <item x="368"/>
        <item x="365"/>
        <item x="371"/>
        <item x="375"/>
        <item x="1551"/>
        <item x="1425"/>
        <item x="469"/>
        <item x="443"/>
        <item x="1259"/>
        <item x="2376"/>
        <item x="3"/>
        <item x="70"/>
        <item x="567"/>
        <item x="1874"/>
        <item x="1875"/>
        <item x="1164"/>
        <item x="636"/>
        <item x="1658"/>
        <item x="1325"/>
        <item x="919"/>
        <item x="660"/>
        <item x="1615"/>
        <item x="1618"/>
        <item x="694"/>
        <item x="106"/>
        <item x="2262"/>
        <item x="1042"/>
        <item x="165"/>
        <item x="965"/>
        <item x="853"/>
        <item x="1521"/>
        <item x="1593"/>
        <item x="468"/>
        <item x="1876"/>
        <item x="2277"/>
        <item x="2402"/>
        <item x="2240"/>
        <item x="2243"/>
        <item x="407"/>
        <item x="405"/>
        <item x="2246"/>
        <item x="1363"/>
        <item x="986"/>
        <item x="2188"/>
        <item x="2230"/>
        <item x="602"/>
        <item x="391"/>
        <item x="1767"/>
        <item x="335"/>
        <item x="1034"/>
        <item x="504"/>
        <item x="2377"/>
        <item x="1155"/>
        <item x="399"/>
        <item x="1294"/>
        <item x="402"/>
        <item x="1131"/>
        <item x="2190"/>
        <item x="135"/>
        <item x="332"/>
        <item x="1029"/>
        <item x="1398"/>
        <item x="1147"/>
        <item x="1245"/>
        <item x="1081"/>
        <item x="1965"/>
        <item x="1722"/>
        <item x="2151"/>
        <item x="828"/>
        <item x="1565"/>
        <item x="912"/>
        <item x="280"/>
        <item x="11"/>
        <item x="1772"/>
        <item x="2217"/>
        <item x="478"/>
        <item x="275"/>
        <item x="1522"/>
        <item x="1523"/>
        <item x="729"/>
        <item x="252"/>
        <item x="412"/>
        <item x="235"/>
        <item x="1576"/>
        <item x="418"/>
        <item x="2056"/>
        <item x="156"/>
        <item x="188"/>
        <item x="556"/>
        <item x="65"/>
        <item x="977"/>
        <item x="420"/>
        <item x="1011"/>
        <item x="2127"/>
        <item x="2191"/>
        <item x="1136"/>
        <item x="1757"/>
        <item x="1709"/>
        <item x="617"/>
        <item x="479"/>
        <item x="1774"/>
        <item x="1636"/>
        <item x="173"/>
        <item x="377"/>
        <item x="284"/>
        <item x="2232"/>
        <item x="425"/>
        <item x="434"/>
        <item x="1227"/>
        <item x="1086"/>
        <item x="1562"/>
        <item x="954"/>
        <item x="1877"/>
        <item x="1949"/>
        <item x="1347"/>
        <item x="1976"/>
        <item x="1978"/>
        <item x="2037"/>
        <item x="1487"/>
        <item x="1310"/>
        <item x="529"/>
        <item x="670"/>
        <item x="558"/>
        <item x="2153"/>
        <item x="1552"/>
        <item x="886"/>
        <item x="1878"/>
        <item x="803"/>
        <item x="497"/>
        <item x="1160"/>
        <item x="1161"/>
        <item x="1608"/>
        <item x="2051"/>
        <item x="759"/>
        <item x="822"/>
        <item x="1659"/>
        <item x="2218"/>
        <item x="1050"/>
        <item x="1196"/>
        <item x="2129"/>
        <item x="854"/>
        <item x="662"/>
        <item x="260"/>
        <item x="1660"/>
        <item x="852"/>
        <item x="210"/>
        <item x="877"/>
        <item x="339"/>
        <item x="2236"/>
        <item x="1556"/>
        <item x="2405"/>
        <item x="2322"/>
        <item x="408"/>
        <item x="889"/>
        <item x="131"/>
        <item x="1502"/>
        <item x="2146"/>
        <item x="755"/>
        <item x="524"/>
        <item x="2228"/>
        <item x="1879"/>
        <item x="1870"/>
        <item x="1880"/>
        <item x="1125"/>
        <item x="525"/>
        <item x="577"/>
        <item x="353"/>
        <item x="2067"/>
        <item x="141"/>
        <item x="1760"/>
        <item x="385"/>
        <item x="1881"/>
        <item x="461"/>
        <item x="1402"/>
        <item x="1096"/>
        <item x="1046"/>
        <item x="1675"/>
        <item x="414"/>
        <item x="216"/>
        <item x="95"/>
        <item x="2148"/>
        <item x="2321"/>
        <item x="528"/>
        <item x="1235"/>
        <item x="54"/>
        <item x="1661"/>
        <item x="2348"/>
        <item x="549"/>
        <item x="360"/>
        <item x="1836"/>
        <item x="1973"/>
        <item x="716"/>
        <item x="2216"/>
        <item x="975"/>
        <item x="47"/>
        <item x="659"/>
        <item x="546"/>
        <item x="10"/>
        <item x="1360"/>
        <item x="1997"/>
        <item x="1345"/>
        <item x="1348"/>
        <item x="1768"/>
        <item x="1708"/>
        <item x="248"/>
        <item x="1809"/>
        <item x="2303"/>
        <item x="1225"/>
        <item x="1715"/>
        <item x="1624"/>
        <item x="2263"/>
        <item x="532"/>
        <item x="1837"/>
        <item x="697"/>
        <item x="703"/>
        <item x="2054"/>
        <item x="2057"/>
        <item x="1882"/>
        <item x="915"/>
        <item x="2226"/>
        <item x="1883"/>
        <item x="2103"/>
        <item x="1853"/>
        <item x="1851"/>
        <item x="1496"/>
        <item x="411"/>
        <item x="569"/>
        <item x="195"/>
        <item x="2227"/>
        <item x="153"/>
        <item x="87"/>
        <item x="1023"/>
        <item x="994"/>
        <item x="2285"/>
        <item x="1432"/>
        <item x="987"/>
        <item x="1099"/>
        <item x="1680"/>
        <item x="1968"/>
        <item x="1765"/>
        <item x="2219"/>
        <item x="867"/>
        <item x="1379"/>
        <item x="325"/>
        <item x="1464"/>
        <item x="1508"/>
        <item x="633"/>
        <item x="357"/>
        <item x="231"/>
        <item x="71"/>
        <item x="1703"/>
        <item x="1308"/>
        <item x="901"/>
        <item x="793"/>
        <item x="2133"/>
        <item x="545"/>
        <item x="7"/>
        <item x="548"/>
        <item x="1648"/>
        <item x="1971"/>
        <item x="201"/>
        <item x="551"/>
        <item x="211"/>
        <item x="554"/>
        <item x="788"/>
        <item x="189"/>
        <item x="160"/>
        <item x="559"/>
        <item x="560"/>
        <item x="495"/>
        <item x="1524"/>
        <item x="268"/>
        <item x="2401"/>
        <item x="1613"/>
        <item x="1408"/>
        <item x="780"/>
        <item x="253"/>
        <item x="1696"/>
        <item x="672"/>
        <item x="898"/>
        <item x="1062"/>
        <item x="1570"/>
        <item x="1884"/>
        <item x="736"/>
        <item x="44"/>
        <item x="762"/>
        <item x="462"/>
        <item x="52"/>
        <item x="1963"/>
        <item x="1955"/>
        <item x="1951"/>
        <item x="563"/>
        <item x="1049"/>
        <item x="2145"/>
        <item x="460"/>
        <item x="364"/>
        <item x="1612"/>
        <item x="219"/>
        <item x="1323"/>
        <item x="2175"/>
        <item x="319"/>
        <item x="1625"/>
        <item x="1885"/>
        <item x="1777"/>
        <item x="463"/>
        <item x="1236"/>
        <item x="2264"/>
        <item x="1064"/>
        <item x="573"/>
        <item x="643"/>
        <item x="1886"/>
        <item x="1394"/>
        <item x="568"/>
        <item x="726"/>
        <item x="690"/>
        <item x="1863"/>
        <item x="1887"/>
        <item x="1591"/>
        <item x="1349"/>
        <item x="1117"/>
        <item x="247"/>
        <item x="1803"/>
        <item x="1653"/>
        <item x="250"/>
        <item x="1952"/>
        <item x="1223"/>
        <item x="1866"/>
        <item x="2205"/>
        <item x="2339"/>
        <item x="1855"/>
        <item x="1525"/>
        <item x="1795"/>
        <item x="1801"/>
        <item x="1403"/>
        <item x="1826"/>
        <item x="2387"/>
        <item x="366"/>
        <item x="191"/>
        <item x="155"/>
        <item x="576"/>
        <item x="825"/>
        <item x="699"/>
        <item x="721"/>
        <item x="1804"/>
        <item x="2353"/>
        <item x="963"/>
        <item x="457"/>
        <item x="1293"/>
        <item x="520"/>
        <item x="578"/>
        <item x="2167"/>
        <item x="1725"/>
        <item x="632"/>
        <item x="92"/>
        <item x="2291"/>
        <item x="2100"/>
        <item x="58"/>
        <item x="336"/>
        <item x="306"/>
        <item x="1693"/>
        <item x="1694"/>
        <item x="920"/>
        <item x="2379"/>
        <item x="1114"/>
        <item x="1681"/>
        <item x="299"/>
        <item x="64"/>
        <item x="1488"/>
        <item x="2248"/>
        <item x="1298"/>
        <item x="1258"/>
        <item x="1244"/>
        <item x="111"/>
        <item x="1273"/>
        <item x="367"/>
        <item x="760"/>
        <item x="81"/>
        <item x="395"/>
        <item x="513"/>
        <item x="89"/>
        <item x="704"/>
        <item x="1940"/>
        <item x="2286"/>
        <item x="1764"/>
        <item x="1418"/>
        <item x="1998"/>
        <item x="2356"/>
        <item x="464"/>
        <item x="1858"/>
        <item x="739"/>
        <item x="1232"/>
        <item x="308"/>
        <item x="1230"/>
        <item x="1229"/>
        <item x="1228"/>
        <item x="41"/>
        <item x="1888"/>
        <item x="445"/>
        <item x="634"/>
        <item x="2144"/>
        <item x="1889"/>
        <item x="218"/>
        <item x="2"/>
        <item x="1890"/>
        <item x="1891"/>
        <item x="1856"/>
        <item x="1597"/>
        <item x="12"/>
        <item x="272"/>
        <item x="1056"/>
        <item x="261"/>
        <item x="600"/>
        <item x="276"/>
        <item x="1526"/>
        <item x="1044"/>
        <item x="409"/>
        <item x="1662"/>
        <item x="1892"/>
        <item x="2320"/>
        <item x="1668"/>
        <item x="572"/>
        <item x="157"/>
        <item x="190"/>
        <item x="115"/>
        <item x="394"/>
        <item x="1893"/>
        <item x="1416"/>
        <item x="829"/>
        <item x="604"/>
        <item x="1981"/>
        <item x="133"/>
        <item x="1671"/>
        <item x="72"/>
        <item x="69"/>
        <item x="606"/>
        <item x="20"/>
        <item x="916"/>
        <item x="2108"/>
        <item x="1128"/>
        <item x="1714"/>
        <item x="1139"/>
        <item x="101"/>
        <item x="1953"/>
        <item x="1100"/>
        <item x="1527"/>
        <item x="480"/>
        <item x="203"/>
        <item x="1085"/>
        <item x="163"/>
        <item x="539"/>
        <item x="1592"/>
        <item x="1176"/>
        <item x="748"/>
        <item x="1275"/>
        <item x="1276"/>
        <item x="1785"/>
        <item x="673"/>
        <item x="2078"/>
        <item x="1957"/>
        <item x="1990"/>
        <item x="1779"/>
        <item x="609"/>
        <item x="1746"/>
        <item x="1778"/>
        <item x="1097"/>
        <item x="903"/>
        <item x="1947"/>
        <item x="1770"/>
        <item x="1439"/>
        <item x="1452"/>
        <item x="1087"/>
        <item x="705"/>
        <item x="1864"/>
        <item x="1614"/>
        <item x="1626"/>
        <item x="1610"/>
        <item x="174"/>
        <item x="616"/>
        <item x="698"/>
        <item x="727"/>
        <item x="618"/>
        <item x="1894"/>
        <item x="776"/>
        <item x="1499"/>
        <item x="458"/>
        <item x="170"/>
        <item x="1202"/>
        <item x="1663"/>
        <item x="1571"/>
        <item x="1766"/>
        <item x="1278"/>
        <item x="591"/>
        <item x="592"/>
        <item x="388"/>
        <item x="1734"/>
        <item x="648"/>
        <item x="481"/>
        <item x="1619"/>
        <item x="53"/>
        <item x="1177"/>
        <item x="1175"/>
        <item x="1528"/>
        <item x="1529"/>
        <item x="2000"/>
        <item x="477"/>
        <item x="628"/>
        <item x="638"/>
        <item x="1720"/>
        <item x="202"/>
        <item x="1649"/>
        <item x="410"/>
        <item x="2408"/>
        <item x="2124"/>
        <item x="2400"/>
        <item x="768"/>
        <item x="527"/>
        <item x="225"/>
        <item x="1895"/>
        <item x="1896"/>
        <item x="999"/>
        <item x="134"/>
        <item x="1530"/>
        <item x="1009"/>
        <item x="2233"/>
        <item x="1958"/>
        <item x="1627"/>
        <item x="9"/>
        <item x="270"/>
        <item x="544"/>
        <item x="1018"/>
        <item x="1282"/>
        <item x="706"/>
        <item x="610"/>
        <item x="650"/>
        <item x="1138"/>
        <item x="1557"/>
        <item x="451"/>
        <item x="1400"/>
        <item x="2178"/>
        <item x="1865"/>
        <item x="1897"/>
        <item x="1784"/>
        <item x="1898"/>
        <item x="1341"/>
        <item x="301"/>
        <item x="639"/>
        <item x="649"/>
        <item x="2163"/>
        <item x="286"/>
        <item x="742"/>
        <item x="222"/>
        <item x="2247"/>
        <item x="664"/>
        <item x="2017"/>
        <item x="1112"/>
        <item x="619"/>
        <item x="1679"/>
        <item x="2372"/>
        <item x="2359"/>
        <item x="891"/>
        <item x="422"/>
        <item x="1814"/>
        <item x="722"/>
        <item x="482"/>
        <item x="1189"/>
        <item x="1507"/>
        <item x="2117"/>
        <item x="449"/>
        <item x="483"/>
        <item x="1657"/>
        <item x="782"/>
        <item x="1350"/>
        <item x="607"/>
        <item x="620"/>
        <item x="1628"/>
        <item x="1351"/>
        <item x="396"/>
        <item x="2031"/>
        <item x="1426"/>
        <item x="1427"/>
        <item x="678"/>
        <item x="1596"/>
        <item x="1352"/>
        <item x="424"/>
        <item x="349"/>
        <item x="595"/>
        <item x="1818"/>
        <item x="781"/>
        <item x="747"/>
        <item x="2009"/>
        <item x="249"/>
        <item x="1337"/>
        <item x="1802"/>
        <item x="98"/>
        <item x="281"/>
        <item x="774"/>
        <item x="868"/>
        <item x="1664"/>
        <item x="2089"/>
        <item x="1589"/>
        <item x="177"/>
        <item x="753"/>
        <item x="1985"/>
        <item x="2349"/>
        <item x="484"/>
        <item x="1178"/>
        <item x="2345"/>
        <item x="1500"/>
        <item x="515"/>
        <item x="1840"/>
        <item x="1838"/>
        <item x="2096"/>
        <item x="1334"/>
        <item x="1489"/>
        <item x="1599"/>
        <item x="1017"/>
        <item x="1511"/>
        <item x="432"/>
        <item x="435"/>
        <item x="685"/>
        <item x="350"/>
        <item x="1580"/>
        <item x="680"/>
        <item x="1005"/>
        <item x="1143"/>
        <item x="228"/>
        <item x="794"/>
        <item x="892"/>
        <item x="983"/>
        <item x="1651"/>
        <item x="893"/>
        <item x="1650"/>
        <item x="921"/>
        <item x="1306"/>
        <item x="1226"/>
        <item x="1168"/>
        <item x="1783"/>
        <item x="1656"/>
        <item x="1451"/>
        <item x="2317"/>
        <item x="1335"/>
        <item x="84"/>
        <item x="771"/>
        <item x="687"/>
        <item x="2088"/>
        <item x="1839"/>
        <item x="1414"/>
        <item x="1141"/>
        <item x="801"/>
        <item x="102"/>
        <item x="1977"/>
        <item x="498"/>
        <item x="242"/>
        <item x="1822"/>
        <item x="847"/>
        <item x="880"/>
        <item x="2294"/>
        <item x="305"/>
        <item x="1799"/>
        <item x="707"/>
        <item x="1124"/>
        <item x="137"/>
        <item x="59"/>
        <item x="2332"/>
        <item x="823"/>
        <item x="805"/>
        <item x="1590"/>
        <item x="764"/>
        <item x="26"/>
        <item x="28"/>
        <item x="29"/>
        <item x="30"/>
        <item x="1510"/>
        <item x="433"/>
        <item x="103"/>
        <item x="387"/>
        <item x="1353"/>
        <item x="198"/>
        <item x="2237"/>
        <item x="448"/>
        <item x="159"/>
        <item x="2154"/>
        <item x="1441"/>
        <item x="1982"/>
        <item x="1642"/>
        <item x="1582"/>
        <item x="1256"/>
        <item x="1190"/>
        <item x="550"/>
        <item x="751"/>
        <item x="1899"/>
        <item x="199"/>
        <item x="1088"/>
        <item x="293"/>
        <item x="922"/>
        <item x="746"/>
        <item x="2173"/>
        <item x="667"/>
        <item x="720"/>
        <item x="2209"/>
        <item x="2239"/>
        <item x="718"/>
        <item x="2155"/>
        <item x="1943"/>
        <item x="1716"/>
        <item x="200"/>
        <item x="1900"/>
        <item x="213"/>
        <item x="265"/>
        <item x="1118"/>
        <item x="114"/>
        <item x="1330"/>
        <item x="1979"/>
        <item x="2062"/>
        <item x="1969"/>
        <item x="27"/>
        <item x="1705"/>
        <item x="1300"/>
        <item x="1606"/>
        <item x="1962"/>
        <item x="378"/>
        <item x="1052"/>
        <item x="393"/>
        <item x="485"/>
        <item x="503"/>
        <item x="440"/>
        <item x="621"/>
        <item x="2179"/>
        <item x="42"/>
        <item x="2404"/>
        <item x="264"/>
        <item x="221"/>
        <item x="2032"/>
        <item x="605"/>
        <item x="2396"/>
        <item x="1763"/>
        <item x="1812"/>
        <item x="2330"/>
        <item x="1550"/>
        <item x="148"/>
        <item x="725"/>
        <item x="873"/>
        <item x="1440"/>
        <item x="112"/>
        <item x="1280"/>
        <item x="731"/>
        <item x="1970"/>
        <item x="1000"/>
        <item x="1284"/>
        <item x="1037"/>
        <item x="1956"/>
        <item x="1032"/>
        <item x="738"/>
        <item x="1130"/>
        <item x="1961"/>
        <item x="1048"/>
        <item x="1575"/>
        <item x="1396"/>
        <item x="1497"/>
        <item x="734"/>
        <item x="2142"/>
        <item x="978"/>
        <item x="737"/>
        <item x="2196"/>
        <item x="756"/>
        <item x="741"/>
        <item x="2231"/>
        <item x="2354"/>
        <item x="2399"/>
        <item x="1609"/>
        <item x="1793"/>
        <item x="2026"/>
        <item x="2180"/>
        <item x="598"/>
        <item x="1707"/>
        <item x="1583"/>
        <item x="1231"/>
        <item x="223"/>
        <item x="743"/>
        <item x="890"/>
        <item x="197"/>
        <item x="1697"/>
        <item x="1806"/>
        <item x="1810"/>
        <item x="2308"/>
        <item x="1442"/>
        <item x="1996"/>
        <item x="2192"/>
        <item x="506"/>
        <item x="2137"/>
        <item x="899"/>
        <item x="474"/>
        <item x="2169"/>
        <item x="1586"/>
        <item x="1735"/>
        <item x="859"/>
        <item x="49"/>
        <item x="2241"/>
        <item x="744"/>
        <item x="1101"/>
        <item x="2403"/>
        <item x="2070"/>
        <item x="943"/>
        <item x="1825"/>
        <item x="723"/>
        <item x="1531"/>
        <item x="1026"/>
        <item x="229"/>
        <item x="1404"/>
        <item x="1588"/>
        <item x="1203"/>
        <item x="1204"/>
        <item x="1145"/>
        <item x="227"/>
        <item x="881"/>
        <item x="1559"/>
        <item x="1989"/>
        <item x="1386"/>
        <item x="128"/>
        <item x="1007"/>
        <item x="17"/>
        <item x="1433"/>
        <item x="2374"/>
        <item x="1410"/>
        <item x="1091"/>
        <item x="1960"/>
        <item x="1595"/>
        <item x="1106"/>
        <item x="48"/>
        <item x="804"/>
        <item x="988"/>
        <item x="806"/>
        <item x="807"/>
        <item x="800"/>
        <item x="176"/>
        <item x="2136"/>
        <item x="298"/>
        <item x="73"/>
        <item x="337"/>
        <item x="973"/>
        <item x="2101"/>
        <item x="0"/>
        <item x="622"/>
        <item x="623"/>
        <item x="1901"/>
        <item x="1629"/>
        <item x="1672"/>
        <item x="486"/>
        <item x="850"/>
        <item x="1566"/>
        <item x="752"/>
        <item x="924"/>
        <item x="291"/>
        <item x="2075"/>
        <item x="22"/>
        <item x="1074"/>
        <item x="1992"/>
        <item x="278"/>
        <item x="653"/>
        <item x="74"/>
        <item x="1490"/>
        <item x="1532"/>
        <item x="419"/>
        <item x="1832"/>
        <item x="1533"/>
        <item x="925"/>
        <item x="1296"/>
        <item x="749"/>
        <item x="43"/>
        <item x="761"/>
        <item x="1409"/>
        <item x="708"/>
        <item x="688"/>
        <item x="2039"/>
        <item x="902"/>
        <item x="2335"/>
        <item x="1297"/>
        <item x="779"/>
        <item x="2170"/>
        <item x="1339"/>
        <item x="985"/>
        <item x="1075"/>
        <item x="1862"/>
        <item x="724"/>
        <item x="1516"/>
        <item x="88"/>
        <item x="1066"/>
        <item x="757"/>
        <item x="580"/>
        <item x="1174"/>
        <item x="244"/>
        <item x="1194"/>
        <item x="470"/>
        <item x="430"/>
        <item x="431"/>
        <item x="1315"/>
        <item x="487"/>
        <item x="39"/>
        <item x="765"/>
        <item x="763"/>
        <item x="277"/>
        <item x="767"/>
        <item x="289"/>
        <item x="926"/>
        <item x="927"/>
        <item x="668"/>
        <item x="2138"/>
        <item x="928"/>
        <item x="2314"/>
        <item x="770"/>
        <item x="773"/>
        <item x="1652"/>
        <item x="2350"/>
        <item x="929"/>
        <item x="2086"/>
        <item x="2390"/>
        <item x="1819"/>
        <item x="732"/>
        <item x="1179"/>
        <item x="658"/>
        <item x="709"/>
        <item x="710"/>
        <item x="711"/>
        <item x="2049"/>
        <item x="2208"/>
        <item x="1080"/>
        <item x="775"/>
        <item x="456"/>
        <item x="930"/>
        <item x="808"/>
        <item x="1274"/>
        <item x="233"/>
        <item x="1728"/>
        <item x="1729"/>
        <item x="2042"/>
        <item x="2073"/>
        <item x="1004"/>
        <item x="83"/>
        <item x="1022"/>
        <item x="68"/>
        <item x="1683"/>
        <item x="1292"/>
        <item x="786"/>
        <item x="612"/>
        <item x="989"/>
        <item x="1655"/>
        <item x="1654"/>
        <item x="787"/>
        <item x="2311"/>
        <item x="809"/>
        <item x="810"/>
        <item x="795"/>
        <item x="2384"/>
        <item x="423"/>
        <item x="1332"/>
        <item x="597"/>
        <item x="990"/>
        <item x="1191"/>
        <item x="442"/>
        <item x="2074"/>
        <item x="2093"/>
        <item x="2085"/>
        <item x="2395"/>
        <item x="1513"/>
        <item x="1558"/>
        <item x="516"/>
        <item x="2006"/>
        <item x="1205"/>
        <item x="1206"/>
        <item x="140"/>
        <item x="769"/>
        <item x="274"/>
        <item x="1354"/>
        <item x="1692"/>
        <item x="1598"/>
        <item x="824"/>
        <item x="75"/>
        <item x="2128"/>
        <item x="1450"/>
        <item x="384"/>
        <item x="1251"/>
        <item x="1207"/>
        <item x="1622"/>
        <item x="2132"/>
        <item x="874"/>
        <item x="1788"/>
        <item x="796"/>
        <item x="1491"/>
        <item x="2094"/>
        <item x="833"/>
        <item x="215"/>
        <item x="1665"/>
        <item x="2055"/>
        <item x="950"/>
        <item x="997"/>
        <item x="246"/>
        <item x="1688"/>
        <item x="437"/>
        <item x="454"/>
        <item x="2334"/>
        <item x="1375"/>
        <item x="2010"/>
        <item x="835"/>
        <item x="842"/>
        <item x="1946"/>
        <item x="1065"/>
        <item x="446"/>
        <item x="851"/>
        <item x="220"/>
        <item x="976"/>
        <item x="837"/>
        <item x="535"/>
        <item x="46"/>
        <item x="844"/>
        <item x="860"/>
        <item x="855"/>
        <item x="1060"/>
        <item x="861"/>
        <item x="1503"/>
        <item x="766"/>
        <item x="1964"/>
        <item x="5"/>
        <item x="342"/>
        <item x="843"/>
        <item x="1364"/>
        <item x="1859"/>
        <item x="439"/>
        <item x="2005"/>
        <item x="467"/>
        <item x="1902"/>
        <item x="865"/>
        <item x="866"/>
        <item x="2134"/>
        <item x="2131"/>
        <item x="2327"/>
        <item x="1329"/>
        <item x="2282"/>
        <item x="62"/>
        <item x="1644"/>
        <item x="57"/>
        <item x="878"/>
        <item x="858"/>
        <item x="931"/>
        <item x="374"/>
        <item x="521"/>
        <item x="373"/>
        <item x="952"/>
        <item x="1305"/>
        <item x="1367"/>
        <item x="1167"/>
        <item x="2069"/>
        <item x="1477"/>
        <item x="608"/>
        <item x="872"/>
        <item x="2030"/>
        <item x="754"/>
        <item x="496"/>
        <item x="581"/>
        <item x="2058"/>
        <item x="884"/>
        <item x="24"/>
        <item x="450"/>
        <item x="23"/>
        <item x="590"/>
        <item x="104"/>
        <item x="1068"/>
        <item x="15"/>
        <item x="2027"/>
        <item x="876"/>
        <item x="60"/>
        <item x="848"/>
        <item x="1266"/>
        <item x="1267"/>
        <item x="679"/>
        <item x="1053"/>
        <item x="1420"/>
        <item x="1944"/>
        <item x="1255"/>
        <item x="2361"/>
        <item x="661"/>
        <item x="304"/>
        <item x="2254"/>
        <item x="2234"/>
        <item x="1372"/>
        <item x="1389"/>
        <item x="206"/>
        <item x="76"/>
        <item x="2121"/>
        <item x="882"/>
        <item x="226"/>
        <item x="66"/>
        <item x="1762"/>
        <item x="2040"/>
        <item x="888"/>
        <item x="514"/>
        <item x="152"/>
        <item x="194"/>
        <item x="2097"/>
        <item x="1180"/>
        <item x="1181"/>
        <item x="593"/>
        <item x="1165"/>
        <item x="262"/>
        <item x="507"/>
        <item x="178"/>
        <item x="1192"/>
        <item x="2118"/>
        <item x="2407"/>
        <item x="2406"/>
        <item x="1666"/>
        <item x="894"/>
        <item x="1002"/>
        <item x="1012"/>
        <item x="1485"/>
        <item x="2120"/>
        <item x="1067"/>
        <item x="1505"/>
        <item x="2003"/>
        <item x="646"/>
        <item x="80"/>
        <item x="2122"/>
        <item x="2011"/>
        <item x="1959"/>
        <item x="979"/>
        <item x="895"/>
        <item x="1607"/>
        <item x="217"/>
        <item x="1738"/>
        <item x="840"/>
        <item x="1443"/>
        <item x="1841"/>
        <item x="1867"/>
        <item x="1373"/>
        <item x="2071"/>
        <item x="932"/>
        <item x="933"/>
        <item x="517"/>
        <item x="1676"/>
        <item x="896"/>
        <item x="282"/>
        <item x="1534"/>
        <item x="700"/>
        <item x="1283"/>
        <item x="1954"/>
        <item x="1677"/>
        <item x="1643"/>
        <item x="138"/>
        <item x="1515"/>
        <item x="904"/>
        <item x="906"/>
        <item x="907"/>
        <item x="905"/>
        <item x="657"/>
        <item x="1820"/>
        <item x="1169"/>
        <item x="811"/>
        <item x="2174"/>
        <item x="2165"/>
        <item x="613"/>
        <item x="1903"/>
        <item x="166"/>
        <item x="1975"/>
        <item x="162"/>
        <item x="1860"/>
        <item x="1376"/>
        <item x="2238"/>
        <item x="1718"/>
        <item x="1833"/>
        <item x="1930"/>
        <item x="1687"/>
        <item x="1747"/>
        <item x="1702"/>
        <item x="1800"/>
        <item x="1706"/>
        <item x="1698"/>
        <item x="1748"/>
        <item x="2052"/>
        <item x="1669"/>
        <item x="1689"/>
        <item x="2115"/>
        <item x="2275"/>
        <item x="2015"/>
        <item x="2112"/>
        <item x="1749"/>
        <item x="2107"/>
        <item x="2110"/>
        <item x="2083"/>
        <item x="1701"/>
        <item x="1780"/>
        <item x="1834"/>
        <item x="1750"/>
        <item x="1751"/>
        <item x="1835"/>
        <item x="1640"/>
        <item x="2111"/>
        <item x="1791"/>
        <item x="1811"/>
        <item x="1682"/>
        <item x="1674"/>
        <item x="1733"/>
        <item x="1931"/>
        <item x="1700"/>
        <item x="1730"/>
        <item x="1752"/>
        <item x="2047"/>
        <item x="1711"/>
        <item x="1932"/>
        <item x="1713"/>
        <item x="2084"/>
        <item x="1670"/>
        <item x="1933"/>
        <item x="1753"/>
        <item x="2043"/>
        <item x="1548"/>
        <item x="2012"/>
        <item x="1723"/>
        <item x="1754"/>
        <item x="1844"/>
        <item x="2016"/>
        <item x="1845"/>
        <item x="2014"/>
        <item x="2225"/>
        <item x="1704"/>
        <item x="1934"/>
        <item x="1731"/>
        <item x="2183"/>
        <item x="1935"/>
        <item x="1936"/>
        <item x="1937"/>
        <item x="1846"/>
        <item x="2033"/>
        <item x="2053"/>
        <item x="1847"/>
        <item x="1848"/>
        <item x="2091"/>
        <item x="1755"/>
        <item x="2139"/>
        <item x="1635"/>
        <item x="1691"/>
        <item x="2172"/>
        <item x="1690"/>
        <item x="2130"/>
        <item x="2080"/>
        <item x="1756"/>
        <item x="1849"/>
        <item x="1684"/>
        <item x="1630"/>
        <item x="555"/>
        <item x="910"/>
        <item x="911"/>
        <item x="1173"/>
        <item x="2210"/>
        <item x="184"/>
        <item x="122"/>
        <item x="2072"/>
        <item x="290"/>
        <item x="934"/>
        <item x="674"/>
        <item x="488"/>
        <item x="2041"/>
        <item x="951"/>
        <item x="1904"/>
        <item x="1905"/>
        <item x="701"/>
        <item x="675"/>
        <item x="2020"/>
        <item x="1301"/>
        <item x="1906"/>
        <item x="1907"/>
        <item x="1908"/>
        <item x="175"/>
        <item x="935"/>
        <item x="2338"/>
        <item x="2251"/>
        <item x="2257"/>
        <item x="2385"/>
        <item x="2391"/>
        <item x="2346"/>
        <item x="2341"/>
        <item x="2337"/>
        <item x="2333"/>
        <item x="2307"/>
        <item x="2383"/>
        <item x="2309"/>
        <item x="2229"/>
        <item x="2034"/>
        <item x="2347"/>
        <item x="2352"/>
        <item x="2343"/>
        <item x="2305"/>
        <item x="2342"/>
        <item x="1745"/>
        <item x="1744"/>
        <item x="956"/>
        <item x="181"/>
        <item x="1193"/>
        <item x="1187"/>
        <item x="179"/>
        <item x="1517"/>
        <item x="750"/>
        <item x="631"/>
        <item x="2292"/>
        <item x="362"/>
        <item x="1740"/>
        <item x="1869"/>
        <item x="489"/>
        <item x="936"/>
        <item x="958"/>
        <item x="1909"/>
        <item x="669"/>
        <item x="509"/>
        <item x="937"/>
        <item x="508"/>
        <item x="254"/>
        <item x="959"/>
        <item x="2044"/>
        <item x="351"/>
        <item x="1578"/>
        <item x="168"/>
        <item x="2023"/>
        <item x="961"/>
        <item x="257"/>
        <item x="512"/>
        <item x="938"/>
        <item x="2102"/>
        <item x="1535"/>
        <item x="2363"/>
        <item x="36"/>
        <item x="2265"/>
        <item x="2166"/>
        <item x="1910"/>
        <item x="285"/>
        <item x="2193"/>
        <item x="143"/>
        <item x="1941"/>
        <item x="86"/>
        <item x="1020"/>
        <item x="2328"/>
        <item x="968"/>
        <item x="584"/>
        <item x="1397"/>
        <item x="875"/>
        <item x="56"/>
        <item x="459"/>
        <item x="969"/>
        <item x="523"/>
        <item x="1003"/>
        <item x="1316"/>
        <item x="1395"/>
        <item x="1082"/>
        <item x="2266"/>
        <item x="717"/>
        <item x="256"/>
        <item x="1249"/>
        <item x="2392"/>
        <item x="323"/>
        <item x="2123"/>
        <item x="77"/>
        <item x="980"/>
        <item x="981"/>
        <item x="2245"/>
        <item x="2098"/>
        <item x="984"/>
        <item x="263"/>
        <item x="953"/>
        <item x="1561"/>
        <item x="2095"/>
        <item x="812"/>
        <item x="38"/>
        <item x="1536"/>
        <item x="1911"/>
        <item x="993"/>
        <item x="1115"/>
        <item x="1724"/>
        <item x="1495"/>
        <item x="536"/>
        <item x="1108"/>
        <item x="403"/>
        <item x="145"/>
        <item x="2279"/>
        <item x="995"/>
        <item x="998"/>
        <item x="1344"/>
        <item x="1006"/>
        <item x="383"/>
        <item x="1126"/>
        <item x="1482"/>
        <item x="2267"/>
        <item x="1016"/>
        <item x="51"/>
        <item x="857"/>
        <item x="540"/>
        <item x="1019"/>
        <item x="82"/>
        <item x="85"/>
        <item x="1024"/>
        <item x="2176"/>
        <item x="1015"/>
        <item x="1370"/>
        <item x="1371"/>
        <item x="733"/>
        <item x="1028"/>
        <item x="1393"/>
        <item x="193"/>
        <item x="376"/>
        <item x="1549"/>
        <item x="142"/>
        <item x="1045"/>
        <item x="251"/>
        <item x="1631"/>
        <item x="2197"/>
        <item x="2195"/>
        <item x="1051"/>
        <item x="1842"/>
        <item x="2140"/>
        <item x="1938"/>
        <item x="1987"/>
        <item x="1055"/>
        <item x="1054"/>
        <item x="1912"/>
        <item x="2036"/>
        <item x="1076"/>
        <item x="99"/>
        <item x="1070"/>
        <item x="1913"/>
        <item x="2366"/>
        <item x="791"/>
        <item x="1077"/>
        <item x="330"/>
        <item x="2157"/>
        <item x="838"/>
        <item x="2159"/>
        <item x="1645"/>
        <item x="1830"/>
        <item x="2268"/>
        <item x="2021"/>
        <item x="1092"/>
        <item x="1470"/>
        <item x="1095"/>
        <item x="1094"/>
        <item x="2220"/>
        <item x="864"/>
        <item x="1942"/>
        <item x="1311"/>
        <item x="1816"/>
        <item x="2199"/>
        <item x="2244"/>
        <item x="2162"/>
        <item x="2019"/>
        <item x="2018"/>
        <item x="2022"/>
        <item x="2025"/>
        <item x="1492"/>
        <item x="1794"/>
        <item x="1829"/>
        <item x="1102"/>
        <item x="240"/>
        <item x="2104"/>
        <item x="502"/>
        <item x="1914"/>
        <item x="1646"/>
        <item x="1318"/>
        <item x="813"/>
        <item x="1569"/>
        <item x="1553"/>
        <item x="415"/>
        <item x="316"/>
        <item x="1537"/>
        <item x="404"/>
        <item x="1058"/>
        <item x="1632"/>
        <item x="490"/>
        <item x="1423"/>
        <item x="511"/>
        <item x="1083"/>
        <item x="2409"/>
        <item x="303"/>
        <item x="2312"/>
        <item x="386"/>
        <item x="970"/>
        <item x="1103"/>
        <item x="2203"/>
        <item x="1915"/>
        <item x="1146"/>
        <item x="1"/>
        <item x="392"/>
        <item x="1237"/>
        <item x="1105"/>
        <item x="1538"/>
        <item x="2202"/>
        <item x="2371"/>
        <item x="1148"/>
        <item x="2325"/>
        <item x="1104"/>
        <item x="1449"/>
        <item x="2206"/>
        <item x="2201"/>
        <item x="1116"/>
        <item x="579"/>
        <item x="1109"/>
        <item x="372"/>
        <item x="1113"/>
        <item x="2187"/>
        <item x="2280"/>
        <item x="1119"/>
        <item x="964"/>
        <item x="1579"/>
        <item x="1121"/>
        <item x="164"/>
        <item x="421"/>
        <item x="352"/>
        <item x="1157"/>
        <item x="1327"/>
        <item x="1014"/>
        <item x="879"/>
        <item x="1476"/>
        <item x="397"/>
        <item x="1633"/>
        <item x="2013"/>
        <item x="279"/>
        <item x="105"/>
        <item x="331"/>
        <item x="2256"/>
        <item x="329"/>
        <item x="1127"/>
        <item x="1286"/>
        <item x="654"/>
        <item x="2358"/>
        <item x="35"/>
        <item x="1151"/>
        <item x="1129"/>
        <item x="1208"/>
        <item x="333"/>
        <item x="2323"/>
        <item x="21"/>
        <item x="1079"/>
        <item x="417"/>
        <item x="652"/>
        <item x="962"/>
        <item x="1122"/>
        <item x="1132"/>
        <item x="2276"/>
        <item x="1444"/>
        <item x="1817"/>
        <item x="1815"/>
        <item x="1134"/>
        <item x="1789"/>
        <item x="2215"/>
        <item x="1140"/>
        <item x="914"/>
        <item x="2160"/>
        <item x="1995"/>
        <item x="93"/>
        <item x="2340"/>
        <item x="2253"/>
        <item x="292"/>
        <item x="939"/>
        <item x="940"/>
        <item x="295"/>
        <item x="1739"/>
        <item x="1137"/>
        <item x="1142"/>
        <item x="1149"/>
        <item x="1153"/>
        <item x="1916"/>
        <item x="1539"/>
        <item x="2181"/>
        <item x="789"/>
        <item x="585"/>
        <item x="25"/>
        <item x="656"/>
        <item x="1458"/>
        <item x="1156"/>
        <item x="150"/>
        <item x="543"/>
        <item x="8"/>
        <item x="267"/>
        <item x="361"/>
        <item x="1107"/>
        <item x="1468"/>
        <item x="2351"/>
        <item x="204"/>
        <item x="2324"/>
        <item x="1939"/>
        <item x="941"/>
        <item x="942"/>
        <item x="119"/>
        <item x="1289"/>
        <item x="1917"/>
        <item x="4"/>
        <item x="601"/>
        <item x="1110"/>
        <item x="1158"/>
        <item x="1159"/>
        <item x="1871"/>
        <item x="1036"/>
        <item x="1918"/>
        <item x="1338"/>
        <item x="118"/>
        <item x="792"/>
        <item x="314"/>
        <item x="1166"/>
        <item x="1919"/>
        <item x="55"/>
        <item x="862"/>
        <item x="1342"/>
        <item x="2331"/>
        <item x="629"/>
        <item x="2393"/>
        <item x="2394"/>
        <item x="1238"/>
        <item x="533"/>
        <item x="2373"/>
        <item x="712"/>
        <item x="1253"/>
        <item x="1361"/>
        <item x="444"/>
        <item x="453"/>
        <item x="1268"/>
        <item x="1209"/>
        <item x="571"/>
        <item x="321"/>
        <item x="1966"/>
        <item x="624"/>
        <item x="1540"/>
        <item x="1312"/>
        <item x="452"/>
        <item x="1854"/>
        <item x="1210"/>
        <item x="1197"/>
        <item x="1211"/>
        <item x="2378"/>
        <item x="1465"/>
        <item x="1162"/>
        <item x="1163"/>
        <item x="1221"/>
        <item x="307"/>
        <item x="1222"/>
        <item x="243"/>
        <item x="1808"/>
        <item x="1807"/>
        <item x="1945"/>
        <item x="1212"/>
        <item x="473"/>
        <item x="236"/>
        <item x="553"/>
        <item x="2269"/>
        <item x="2002"/>
        <item x="2099"/>
        <item x="2298"/>
        <item x="346"/>
        <item x="1611"/>
        <item x="625"/>
        <item x="109"/>
        <item x="1986"/>
        <item x="245"/>
        <item x="758"/>
        <item x="1281"/>
        <item x="1974"/>
        <item x="1445"/>
        <item x="1438"/>
        <item x="2270"/>
        <item x="1617"/>
        <item x="2063"/>
        <item x="681"/>
        <item x="682"/>
        <item x="107"/>
        <item x="1233"/>
        <item x="531"/>
        <item x="413"/>
        <item x="100"/>
        <item x="1241"/>
        <item x="1069"/>
        <item x="1384"/>
        <item x="127"/>
        <item x="1573"/>
        <item x="475"/>
        <item x="1813"/>
        <item x="1243"/>
        <item x="1541"/>
        <item x="2367"/>
        <item x="37"/>
        <item x="1542"/>
        <item x="2388"/>
        <item x="913"/>
        <item x="1152"/>
        <item x="1462"/>
        <item x="2271"/>
        <item x="2204"/>
        <item x="1200"/>
        <item x="1600"/>
        <item x="1198"/>
        <item x="1199"/>
        <item x="534"/>
        <item x="1150"/>
        <item x="2278"/>
        <item x="334"/>
        <item x="2301"/>
        <item x="530"/>
        <item x="574"/>
        <item x="1988"/>
        <item x="863"/>
        <item x="1247"/>
        <item x="288"/>
        <item x="713"/>
        <item x="783"/>
        <item x="615"/>
        <item x="784"/>
        <item x="1057"/>
        <item x="1248"/>
        <item x="1250"/>
        <item x="1638"/>
        <item x="1262"/>
        <item x="1263"/>
        <item x="1920"/>
        <item x="2296"/>
        <item x="1743"/>
        <item x="1269"/>
        <item x="1271"/>
        <item x="1758"/>
        <item x="1456"/>
        <item x="147"/>
        <item x="1290"/>
        <item x="1084"/>
        <item x="2212"/>
        <item x="1543"/>
        <item x="110"/>
        <item x="1272"/>
        <item x="2048"/>
        <item x="2389"/>
        <item x="2045"/>
        <item x="1498"/>
        <item x="1411"/>
        <item x="564"/>
        <item x="1288"/>
        <item x="1320"/>
        <item x="2061"/>
        <item x="2221"/>
        <item x="1453"/>
        <item x="2287"/>
        <item x="785"/>
        <item x="144"/>
        <item x="1634"/>
        <item x="1261"/>
        <item x="566"/>
        <item x="1581"/>
        <item x="302"/>
        <item x="778"/>
        <item x="1695"/>
        <item x="2235"/>
        <item x="40"/>
        <item x="2318"/>
        <item x="814"/>
        <item x="230"/>
        <item x="19"/>
        <item x="611"/>
        <item x="745"/>
        <item x="472"/>
        <item x="2397"/>
        <item x="2329"/>
        <item x="655"/>
        <item x="641"/>
        <item x="944"/>
        <item x="1710"/>
        <item x="908"/>
        <item x="1264"/>
        <item x="1563"/>
        <item x="735"/>
        <item x="1585"/>
        <item x="234"/>
        <item x="2380"/>
        <item x="1732"/>
        <item x="2386"/>
        <item x="846"/>
        <item x="359"/>
        <item x="586"/>
        <item x="869"/>
        <item x="287"/>
        <item x="2065"/>
        <item x="614"/>
        <item x="1568"/>
        <item x="1798"/>
        <item x="429"/>
        <item x="1355"/>
        <item x="518"/>
        <item x="327"/>
        <item x="186"/>
        <item x="2135"/>
        <item x="1721"/>
        <item x="121"/>
        <item x="239"/>
        <item x="136"/>
        <item x="381"/>
        <item x="642"/>
        <item x="839"/>
        <item x="1843"/>
        <item x="2182"/>
        <item x="1299"/>
        <item x="2046"/>
        <item x="1639"/>
        <item x="1260"/>
        <item x="1781"/>
        <item x="1850"/>
        <item x="815"/>
        <item x="816"/>
        <item x="817"/>
        <item x="2164"/>
        <item x="2222"/>
        <item x="1302"/>
        <item x="1307"/>
        <item x="149"/>
        <item x="2295"/>
        <item x="1378"/>
        <item x="1303"/>
        <item x="541"/>
        <item x="494"/>
        <item x="1466"/>
        <item x="1415"/>
        <item x="1786"/>
        <item x="271"/>
        <item x="1567"/>
        <item x="957"/>
        <item x="1868"/>
        <item x="1287"/>
        <item x="1291"/>
        <item x="1474"/>
        <item x="1254"/>
        <item x="1285"/>
        <item x="1035"/>
        <item x="883"/>
        <item x="1182"/>
        <item x="2059"/>
        <item x="2060"/>
        <item x="1188"/>
        <item x="167"/>
        <item x="2304"/>
        <item x="1509"/>
        <item x="2315"/>
        <item x="1317"/>
        <item x="887"/>
        <item x="818"/>
        <item x="1857"/>
        <item x="841"/>
        <item x="1322"/>
        <item x="1480"/>
        <item x="676"/>
        <item x="1183"/>
        <item x="677"/>
        <item x="500"/>
        <item x="2050"/>
        <item x="1184"/>
        <item x="1407"/>
        <item x="347"/>
        <item x="1111"/>
        <item x="1504"/>
        <item x="1405"/>
        <item x="945"/>
        <item x="465"/>
        <item x="1457"/>
        <item x="2213"/>
        <item x="1043"/>
        <item x="2258"/>
        <item x="406"/>
        <item x="1038"/>
        <item x="971"/>
        <item x="1033"/>
        <item x="2362"/>
        <item x="1324"/>
        <item x="2319"/>
        <item x="113"/>
        <item x="310"/>
        <item x="714"/>
        <item x="715"/>
        <item x="1331"/>
        <item x="1436"/>
        <item x="1381"/>
        <item x="224"/>
        <item x="1071"/>
        <item x="1246"/>
        <item x="587"/>
        <item x="2106"/>
        <item x="1270"/>
        <item x="1333"/>
        <item x="311"/>
        <item x="2194"/>
        <item x="836"/>
        <item x="537"/>
        <item x="830"/>
        <item x="117"/>
        <item x="2255"/>
        <item x="1340"/>
        <item x="603"/>
        <item x="1759"/>
        <item x="1473"/>
        <item x="390"/>
        <item x="2223"/>
        <item x="1380"/>
        <item x="139"/>
        <item x="1063"/>
        <item x="686"/>
        <item x="1797"/>
        <item x="974"/>
        <item x="2087"/>
        <item x="2081"/>
        <item x="1554"/>
        <item x="1213"/>
        <item x="1356"/>
        <item x="398"/>
        <item x="1421"/>
        <item x="2008"/>
        <item x="300"/>
        <item x="67"/>
        <item x="982"/>
        <item x="2113"/>
        <item x="946"/>
        <item x="476"/>
        <item x="171"/>
        <item x="831"/>
        <item x="827"/>
        <item x="2004"/>
        <item x="1823"/>
        <item x="2336"/>
        <item x="1796"/>
        <item x="255"/>
        <item x="2029"/>
        <item x="1359"/>
        <item x="258"/>
        <item x="123"/>
        <item x="343"/>
        <item x="1362"/>
        <item x="1478"/>
        <item x="2370"/>
        <item x="2161"/>
        <item x="1621"/>
        <item x="2186"/>
        <item x="2156"/>
        <item x="1424"/>
        <item x="2302"/>
        <item x="313"/>
        <item x="1365"/>
        <item x="1493"/>
        <item x="2310"/>
        <item x="1374"/>
        <item x="1623"/>
        <item x="2198"/>
        <item x="1921"/>
        <item x="2152"/>
        <item x="266"/>
        <item x="1544"/>
        <item x="1742"/>
        <item x="2300"/>
        <item x="1214"/>
        <item x="1602"/>
        <item x="1604"/>
        <item x="1215"/>
        <item x="1216"/>
        <item x="1217"/>
        <item x="2288"/>
        <item x="1922"/>
        <item x="2185"/>
        <item x="967"/>
        <item x="78"/>
        <item x="1252"/>
        <item x="1093"/>
        <item x="1545"/>
        <item x="382"/>
        <item x="1667"/>
        <item x="232"/>
        <item x="630"/>
        <item x="380"/>
        <item x="1577"/>
        <item x="730"/>
        <item x="491"/>
        <item x="2184"/>
        <item x="2082"/>
        <item x="1717"/>
        <item x="2224"/>
        <item x="318"/>
        <item x="2001"/>
        <item x="1313"/>
        <item x="1309"/>
        <item x="1950"/>
        <item x="693"/>
        <item x="320"/>
        <item x="1603"/>
        <item x="317"/>
        <item x="1218"/>
        <item x="583"/>
        <item x="526"/>
        <item x="2272"/>
        <item x="1319"/>
        <item x="1195"/>
        <item x="1726"/>
        <item x="1454"/>
        <item x="34"/>
        <item x="1061"/>
        <item x="1382"/>
        <item x="1314"/>
        <item x="185"/>
        <item x="125"/>
        <item x="269"/>
        <item x="6"/>
        <item x="542"/>
        <item x="2375"/>
        <item x="1620"/>
        <item x="2381"/>
        <item x="1242"/>
        <item x="1010"/>
        <item x="1775"/>
        <item x="2326"/>
        <item x="2344"/>
        <item x="947"/>
        <item x="1240"/>
        <item x="1304"/>
        <item x="1923"/>
        <item x="2147"/>
        <item x="923"/>
        <item x="63"/>
        <item x="447"/>
        <item x="820"/>
        <item x="1277"/>
        <item x="845"/>
        <item x="31"/>
        <item x="2141"/>
        <item x="1387"/>
        <item x="1460"/>
        <item x="90"/>
        <item x="819"/>
        <item x="991"/>
        <item x="124"/>
        <item x="183"/>
        <item x="1506"/>
        <item x="1546"/>
        <item x="33"/>
        <item x="1547"/>
        <item x="1605"/>
        <item x="1924"/>
        <item x="665"/>
        <item x="182"/>
        <item x="120"/>
        <item x="510"/>
        <item x="259"/>
        <item x="826"/>
        <item x="172"/>
        <item x="1587"/>
        <item x="79"/>
        <item x="644"/>
        <item x="505"/>
        <item x="1388"/>
        <item x="1390"/>
        <item x="45"/>
        <item x="626"/>
        <item x="2007"/>
        <item x="1584"/>
        <item x="96"/>
        <item x="1072"/>
        <item x="2293"/>
        <item x="1391"/>
        <item x="1925"/>
        <item x="1399"/>
        <item x="1761"/>
        <item x="492"/>
        <item x="1514"/>
        <item x="2126"/>
        <item x="1827"/>
        <item x="1419"/>
        <item x="1776"/>
        <item x="2077"/>
        <item x="2064"/>
        <item x="1983"/>
        <item x="2158"/>
        <item x="2313"/>
        <item x="972"/>
        <item x="832"/>
        <item x="1926"/>
        <item x="2249"/>
        <item x="2200"/>
        <item x="1025"/>
        <item x="326"/>
        <item x="1431"/>
        <item x="1483"/>
        <item x="401"/>
        <item x="1039"/>
        <item x="130"/>
        <item x="1512"/>
        <item x="797"/>
        <item x="1601"/>
        <item x="205"/>
        <item x="1647"/>
        <item x="1357"/>
        <item x="683"/>
        <item x="14"/>
        <item x="2024"/>
        <item x="1712"/>
        <item x="1429"/>
        <item x="1994"/>
        <item x="1170"/>
        <item x="324"/>
        <item x="1861"/>
        <item x="132"/>
        <item x="1328"/>
        <item x="1560"/>
        <item x="379"/>
        <item x="1927"/>
        <item x="1991"/>
        <item x="1993"/>
        <item x="1434"/>
        <item x="1435"/>
        <item x="666"/>
        <item x="296"/>
        <item x="1448"/>
        <item x="870"/>
        <item x="871"/>
        <item x="1401"/>
        <item x="369"/>
        <item x="1343"/>
        <item x="599"/>
        <item x="416"/>
        <item x="575"/>
        <item x="992"/>
        <item x="1773"/>
        <item x="1771"/>
        <item x="1572"/>
        <item x="1641"/>
        <item x="2171"/>
        <item x="948"/>
        <item x="2316"/>
        <item x="1928"/>
        <item x="519"/>
        <item x="627"/>
        <item x="1413"/>
        <item x="1805"/>
        <item x="1446"/>
        <item x="1574"/>
        <item x="2382"/>
        <item x="897"/>
        <item x="589"/>
        <item x="1073"/>
        <item x="1459"/>
        <item x="1219"/>
        <item x="238"/>
        <item x="471"/>
        <item x="2214"/>
        <item x="1637"/>
        <item x="1948"/>
        <item x="2281"/>
        <item x="1447"/>
        <item x="1455"/>
        <item x="146"/>
        <item x="949"/>
        <item x="2360"/>
        <item x="438"/>
        <item x="1828"/>
        <item x="1501"/>
        <item x="1594"/>
        <item x="1186"/>
        <item x="116"/>
        <item x="1461"/>
        <item x="493"/>
        <item x="2289"/>
        <item x="1792"/>
        <item x="900"/>
        <item x="2273"/>
        <item x="696"/>
        <item x="2143"/>
        <item x="1428"/>
        <item x="719"/>
        <item x="1564"/>
        <item x="2290"/>
        <item x="1929"/>
        <item x="798"/>
        <item x="799"/>
        <item x="2355"/>
        <item x="1383"/>
        <item x="126"/>
        <item x="32"/>
        <item x="1392"/>
        <item x="996"/>
        <item x="2274"/>
        <item x="1377"/>
        <item x="1406"/>
        <item x="1027"/>
        <item x="1463"/>
        <item x="1171"/>
        <item x="1430"/>
        <item x="1469"/>
        <item x="1471"/>
        <item x="1472"/>
        <item x="1479"/>
        <item x="1475"/>
        <item x="663"/>
        <item x="960"/>
        <item x="635"/>
        <item x="637"/>
        <item x="2207"/>
        <item x="1220"/>
        <item x="689"/>
        <item x="691"/>
        <item x="1484"/>
        <item x="561"/>
        <item x="1727"/>
        <item x="466"/>
        <item x="312"/>
        <item x="1368"/>
        <item x="1369"/>
        <item x="2299"/>
        <item x="18"/>
        <item x="1013"/>
        <item x="849"/>
        <item x="2149"/>
        <item x="328"/>
        <item x="358"/>
        <item x="322"/>
        <item x="1321"/>
        <item x="341"/>
        <item x="187"/>
        <item x="1144"/>
        <item x="1494"/>
        <item x="1120"/>
        <item x="562"/>
        <item x="161"/>
        <item x="1059"/>
        <item x="1481"/>
        <item x="154"/>
        <item x="1040"/>
        <item x="565"/>
        <item x="1467"/>
        <item x="647"/>
        <item x="91"/>
        <item x="1821"/>
        <item x="645"/>
        <item x="1185"/>
        <item x="94"/>
        <item x="1001"/>
        <item x="640"/>
        <item x="1437"/>
        <item x="283"/>
        <item x="1790"/>
        <item x="1239"/>
        <item x="1358"/>
        <item x="1135"/>
        <item x="209"/>
        <item x="203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2872">
        <item x="2570"/>
        <item x="2571"/>
        <item x="2573"/>
        <item x="2572"/>
        <item x="2574"/>
        <item x="2575"/>
        <item x="2576"/>
        <item x="2577"/>
        <item x="2578"/>
        <item x="2579"/>
        <item x="2580"/>
        <item x="2582"/>
        <item x="2581"/>
        <item x="2584"/>
        <item x="2583"/>
        <item x="2585"/>
        <item x="2586"/>
        <item x="2569"/>
        <item x="2568"/>
        <item x="2567"/>
        <item x="2545"/>
        <item x="2558"/>
        <item x="2557"/>
        <item x="2556"/>
        <item x="2555"/>
        <item x="2627"/>
        <item x="2636"/>
        <item x="2637"/>
        <item x="2638"/>
        <item x="2628"/>
        <item x="2560"/>
        <item x="2562"/>
        <item x="2563"/>
        <item x="2559"/>
        <item x="2564"/>
        <item x="2565"/>
        <item x="2561"/>
        <item x="2566"/>
        <item x="2526"/>
        <item x="2528"/>
        <item x="2525"/>
        <item x="2527"/>
        <item x="2529"/>
        <item x="2530"/>
        <item x="2531"/>
        <item x="2533"/>
        <item x="2534"/>
        <item x="2535"/>
        <item x="2536"/>
        <item x="2532"/>
        <item x="2537"/>
        <item x="2538"/>
        <item x="2539"/>
        <item x="2540"/>
        <item x="2524"/>
        <item x="2522"/>
        <item x="2521"/>
        <item x="2523"/>
        <item x="2614"/>
        <item x="2619"/>
        <item x="2611"/>
        <item x="2615"/>
        <item x="2605"/>
        <item x="2603"/>
        <item x="2606"/>
        <item x="2607"/>
        <item x="2604"/>
        <item x="2600"/>
        <item x="2599"/>
        <item x="2610"/>
        <item x="2543"/>
        <item x="2601"/>
        <item x="2602"/>
        <item x="2616"/>
        <item x="2618"/>
        <item x="2617"/>
        <item x="2613"/>
        <item x="2589"/>
        <item x="2588"/>
        <item x="2587"/>
        <item x="2591"/>
        <item x="2596"/>
        <item x="2590"/>
        <item x="2544"/>
        <item x="2609"/>
        <item x="2598"/>
        <item x="2595"/>
        <item x="2597"/>
        <item x="2593"/>
        <item x="2594"/>
        <item x="2592"/>
        <item x="2608"/>
        <item x="2612"/>
        <item x="2622"/>
        <item x="2626"/>
        <item x="2631"/>
        <item x="2634"/>
        <item x="2639"/>
        <item x="2630"/>
        <item x="2624"/>
        <item x="2633"/>
        <item x="2629"/>
        <item x="2632"/>
        <item x="2635"/>
        <item x="2625"/>
        <item x="2621"/>
        <item x="2623"/>
        <item x="2670"/>
        <item x="2674"/>
        <item x="2668"/>
        <item x="2640"/>
        <item x="2675"/>
        <item x="2683"/>
        <item x="2641"/>
        <item x="2647"/>
        <item x="2648"/>
        <item x="2642"/>
        <item x="2673"/>
        <item x="2520"/>
        <item x="2643"/>
        <item x="2644"/>
        <item x="2646"/>
        <item x="2645"/>
        <item x="2661"/>
        <item x="2671"/>
        <item x="2672"/>
        <item x="2677"/>
        <item x="2665"/>
        <item x="2669"/>
        <item x="2657"/>
        <item x="2660"/>
        <item x="2667"/>
        <item x="2676"/>
        <item x="2655"/>
        <item x="2678"/>
        <item x="2680"/>
        <item x="2681"/>
        <item x="2651"/>
        <item x="2664"/>
        <item x="2653"/>
        <item x="2654"/>
        <item x="2656"/>
        <item x="2662"/>
        <item x="2652"/>
        <item x="2649"/>
        <item x="2659"/>
        <item x="2658"/>
        <item x="2650"/>
        <item x="2663"/>
        <item x="2682"/>
        <item x="2666"/>
        <item x="2679"/>
        <item x="2620"/>
        <item x="2688"/>
        <item x="2700"/>
        <item x="2698"/>
        <item x="2709"/>
        <item x="2701"/>
        <item x="2685"/>
        <item x="2694"/>
        <item x="2686"/>
        <item x="2699"/>
        <item x="2703"/>
        <item x="2708"/>
        <item x="2702"/>
        <item x="2697"/>
        <item x="2692"/>
        <item x="2705"/>
        <item x="2554"/>
        <item x="2707"/>
        <item x="2691"/>
        <item x="2690"/>
        <item x="2689"/>
        <item x="2695"/>
        <item x="2693"/>
        <item x="2687"/>
        <item x="2684"/>
        <item x="2704"/>
        <item x="2706"/>
        <item x="2696"/>
        <item x="2710"/>
        <item x="2542"/>
        <item x="2541"/>
        <item x="2819"/>
        <item x="2815"/>
        <item x="2814"/>
        <item x="2818"/>
        <item x="1961"/>
        <item x="1960"/>
        <item x="2816"/>
        <item x="2817"/>
        <item x="2835"/>
        <item x="2836"/>
        <item x="2837"/>
        <item x="2834"/>
        <item x="2866"/>
        <item x="2868"/>
        <item x="2867"/>
        <item x="2863"/>
        <item x="2869"/>
        <item x="2865"/>
        <item x="2864"/>
        <item x="2859"/>
        <item x="2862"/>
        <item x="2861"/>
        <item x="2857"/>
        <item x="2860"/>
        <item x="2856"/>
        <item x="2858"/>
        <item x="2822"/>
        <item x="2823"/>
        <item x="2820"/>
        <item x="2826"/>
        <item x="2821"/>
        <item x="2852"/>
        <item x="2844"/>
        <item x="2845"/>
        <item x="2843"/>
        <item x="2830"/>
        <item x="2838"/>
        <item x="2871"/>
        <item x="2831"/>
        <item x="2829"/>
        <item x="2833"/>
        <item x="2854"/>
        <item x="2855"/>
        <item x="2853"/>
        <item x="2832"/>
        <item x="2849"/>
        <item x="2847"/>
        <item x="2828"/>
        <item x="2870"/>
        <item x="2827"/>
        <item x="2848"/>
        <item x="2850"/>
        <item x="2841"/>
        <item x="2842"/>
        <item x="2839"/>
        <item x="2840"/>
        <item x="2824"/>
        <item x="2825"/>
        <item x="2846"/>
        <item x="2851"/>
        <item x="1603"/>
        <item x="1602"/>
        <item x="1646"/>
        <item x="1598"/>
        <item x="1653"/>
        <item x="1655"/>
        <item x="1599"/>
        <item x="1663"/>
        <item x="1665"/>
        <item x="1601"/>
        <item x="1600"/>
        <item x="1662"/>
        <item x="1635"/>
        <item x="1664"/>
        <item x="1636"/>
        <item x="1605"/>
        <item x="1644"/>
        <item x="1647"/>
        <item x="1651"/>
        <item x="1652"/>
        <item x="1659"/>
        <item x="1661"/>
        <item x="1604"/>
        <item x="1642"/>
        <item x="1660"/>
        <item x="1637"/>
        <item x="1667"/>
        <item x="1668"/>
        <item x="1622"/>
        <item x="2548"/>
        <item x="2547"/>
        <item x="1606"/>
        <item x="1645"/>
        <item x="1613"/>
        <item x="1609"/>
        <item x="1614"/>
        <item x="1611"/>
        <item x="1612"/>
        <item x="2552"/>
        <item x="1608"/>
        <item x="2551"/>
        <item x="1610"/>
        <item x="1633"/>
        <item x="1639"/>
        <item x="1654"/>
        <item x="1643"/>
        <item x="1629"/>
        <item x="1607"/>
        <item x="1620"/>
        <item x="1619"/>
        <item x="1621"/>
        <item x="1594"/>
        <item x="1650"/>
        <item x="1657"/>
        <item x="1595"/>
        <item x="1597"/>
        <item x="1626"/>
        <item x="1596"/>
        <item x="1634"/>
        <item x="1630"/>
        <item x="1658"/>
        <item x="1640"/>
        <item x="1617"/>
        <item x="1616"/>
        <item x="1615"/>
        <item x="1641"/>
        <item x="1623"/>
        <item x="1648"/>
        <item x="1624"/>
        <item x="1625"/>
        <item x="1618"/>
        <item x="1638"/>
        <item x="1656"/>
        <item x="1666"/>
        <item x="1632"/>
        <item x="1649"/>
        <item x="1628"/>
        <item x="1627"/>
        <item x="1631"/>
        <item x="2546"/>
        <item x="2550"/>
        <item x="2553"/>
        <item x="2549"/>
        <item x="1714"/>
        <item x="1746"/>
        <item x="1710"/>
        <item x="1758"/>
        <item x="1733"/>
        <item x="1709"/>
        <item x="1783"/>
        <item x="1754"/>
        <item x="1721"/>
        <item x="1674"/>
        <item x="1671"/>
        <item x="1673"/>
        <item x="1670"/>
        <item x="1684"/>
        <item x="1669"/>
        <item x="1677"/>
        <item x="1672"/>
        <item x="1786"/>
        <item x="1774"/>
        <item x="1791"/>
        <item x="2092"/>
        <item x="1761"/>
        <item x="1797"/>
        <item x="1760"/>
        <item x="1716"/>
        <item x="1755"/>
        <item x="1763"/>
        <item x="1768"/>
        <item x="1781"/>
        <item x="1766"/>
        <item x="1771"/>
        <item x="1792"/>
        <item x="1789"/>
        <item x="1689"/>
        <item x="1704"/>
        <item x="1693"/>
        <item x="1703"/>
        <item x="1697"/>
        <item x="1793"/>
        <item x="1679"/>
        <item x="1707"/>
        <item x="1699"/>
        <item x="1681"/>
        <item x="1683"/>
        <item x="1695"/>
        <item x="1675"/>
        <item x="1694"/>
        <item x="1701"/>
        <item x="1688"/>
        <item x="1682"/>
        <item x="1795"/>
        <item x="1676"/>
        <item x="1787"/>
        <item x="1722"/>
        <item x="1736"/>
        <item x="1747"/>
        <item x="1720"/>
        <item x="1706"/>
        <item x="1749"/>
        <item x="1727"/>
        <item x="1764"/>
        <item x="1702"/>
        <item x="1713"/>
        <item x="1726"/>
        <item x="1723"/>
        <item x="1708"/>
        <item x="1740"/>
        <item x="1756"/>
        <item x="1744"/>
        <item x="1796"/>
        <item x="1690"/>
        <item x="1705"/>
        <item x="1765"/>
        <item x="1728"/>
        <item x="1833"/>
        <item x="1832"/>
        <item x="1839"/>
        <item x="1842"/>
        <item x="1844"/>
        <item x="1822"/>
        <item x="1825"/>
        <item x="1826"/>
        <item x="1823"/>
        <item x="1828"/>
        <item x="1827"/>
        <item x="1846"/>
        <item x="1837"/>
        <item x="1775"/>
        <item x="1769"/>
        <item x="1773"/>
        <item x="1767"/>
        <item x="1772"/>
        <item x="1770"/>
        <item x="1778"/>
        <item x="1790"/>
        <item x="1794"/>
        <item x="1799"/>
        <item x="1816"/>
        <item x="1840"/>
        <item x="1830"/>
        <item x="1829"/>
        <item x="1817"/>
        <item x="1811"/>
        <item x="1824"/>
        <item x="1831"/>
        <item x="1847"/>
        <item x="1841"/>
        <item x="1836"/>
        <item x="1678"/>
        <item x="1686"/>
        <item x="1691"/>
        <item x="1785"/>
        <item x="1680"/>
        <item x="1687"/>
        <item x="1692"/>
        <item x="1685"/>
        <item x="1843"/>
        <item x="1818"/>
        <item x="1820"/>
        <item x="1819"/>
        <item x="1808"/>
        <item x="1806"/>
        <item x="1810"/>
        <item x="1812"/>
        <item x="1815"/>
        <item x="1834"/>
        <item x="1807"/>
        <item x="1821"/>
        <item x="1814"/>
        <item x="1805"/>
        <item x="1813"/>
        <item x="1809"/>
        <item x="1838"/>
        <item x="1835"/>
        <item x="1751"/>
        <item x="1718"/>
        <item x="1762"/>
        <item x="1715"/>
        <item x="1743"/>
        <item x="1742"/>
        <item x="1717"/>
        <item x="1731"/>
        <item x="1741"/>
        <item x="1729"/>
        <item x="1752"/>
        <item x="1737"/>
        <item x="1759"/>
        <item x="1735"/>
        <item x="1757"/>
        <item x="1730"/>
        <item x="1753"/>
        <item x="1801"/>
        <item x="1803"/>
        <item x="1804"/>
        <item x="1802"/>
        <item x="1732"/>
        <item x="1788"/>
        <item x="1734"/>
        <item x="1700"/>
        <item x="1784"/>
        <item x="1745"/>
        <item x="1750"/>
        <item x="1724"/>
        <item x="1738"/>
        <item x="1798"/>
        <item x="1719"/>
        <item x="1748"/>
        <item x="1698"/>
        <item x="1711"/>
        <item x="1725"/>
        <item x="1800"/>
        <item x="1780"/>
        <item x="1696"/>
        <item x="1776"/>
        <item x="1779"/>
        <item x="1712"/>
        <item x="1777"/>
        <item x="1782"/>
        <item x="1739"/>
        <item x="2089"/>
        <item x="2093"/>
        <item x="2091"/>
        <item x="2090"/>
        <item x="1845"/>
        <item x="2390"/>
        <item x="2365"/>
        <item x="2366"/>
        <item x="2377"/>
        <item x="2378"/>
        <item x="2345"/>
        <item x="2380"/>
        <item x="2338"/>
        <item x="2323"/>
        <item x="2351"/>
        <item x="2334"/>
        <item x="2350"/>
        <item x="2356"/>
        <item x="2332"/>
        <item x="2352"/>
        <item x="2353"/>
        <item x="2354"/>
        <item x="2339"/>
        <item x="2341"/>
        <item x="2349"/>
        <item x="2337"/>
        <item x="2344"/>
        <item x="2361"/>
        <item x="2340"/>
        <item x="2315"/>
        <item x="2312"/>
        <item x="2316"/>
        <item x="2516"/>
        <item x="2324"/>
        <item x="2319"/>
        <item x="2322"/>
        <item x="2308"/>
        <item x="2314"/>
        <item x="2320"/>
        <item x="2318"/>
        <item x="2328"/>
        <item x="2321"/>
        <item x="2311"/>
        <item x="2313"/>
        <item x="2325"/>
        <item x="2310"/>
        <item x="2317"/>
        <item x="2309"/>
        <item x="2329"/>
        <item x="2327"/>
        <item x="2408"/>
        <item x="2384"/>
        <item x="2395"/>
        <item x="2438"/>
        <item x="2398"/>
        <item x="2387"/>
        <item x="2388"/>
        <item x="2396"/>
        <item x="2376"/>
        <item x="2385"/>
        <item x="2372"/>
        <item x="2379"/>
        <item x="2371"/>
        <item x="2401"/>
        <item x="2407"/>
        <item x="2427"/>
        <item x="2435"/>
        <item x="2404"/>
        <item x="2414"/>
        <item x="2423"/>
        <item x="2413"/>
        <item x="2410"/>
        <item x="2426"/>
        <item x="2425"/>
        <item x="2418"/>
        <item x="2403"/>
        <item x="2453"/>
        <item x="2441"/>
        <item x="2428"/>
        <item x="2416"/>
        <item x="2415"/>
        <item x="2461"/>
        <item x="2469"/>
        <item x="2411"/>
        <item x="2447"/>
        <item x="2443"/>
        <item x="2432"/>
        <item x="2455"/>
        <item x="2433"/>
        <item x="2506"/>
        <item x="2508"/>
        <item x="2511"/>
        <item x="2510"/>
        <item x="2513"/>
        <item x="2503"/>
        <item x="2494"/>
        <item x="2449"/>
        <item x="2485"/>
        <item x="2419"/>
        <item x="2492"/>
        <item x="2381"/>
        <item x="2429"/>
        <item x="2437"/>
        <item x="2406"/>
        <item x="2504"/>
        <item x="2459"/>
        <item x="2392"/>
        <item x="2445"/>
        <item x="2424"/>
        <item x="2422"/>
        <item x="2386"/>
        <item x="2440"/>
        <item x="2434"/>
        <item x="2412"/>
        <item x="2420"/>
        <item x="2421"/>
        <item x="2439"/>
        <item x="2400"/>
        <item x="2405"/>
        <item x="2463"/>
        <item x="2491"/>
        <item x="2472"/>
        <item x="2480"/>
        <item x="2496"/>
        <item x="2509"/>
        <item x="2505"/>
        <item x="2457"/>
        <item x="2471"/>
        <item x="2474"/>
        <item x="2512"/>
        <item x="2470"/>
        <item x="2467"/>
        <item x="2479"/>
        <item x="2514"/>
        <item x="2507"/>
        <item x="2499"/>
        <item x="2500"/>
        <item x="2501"/>
        <item x="2484"/>
        <item x="2489"/>
        <item x="2483"/>
        <item x="2488"/>
        <item x="2477"/>
        <item x="2493"/>
        <item x="2456"/>
        <item x="2442"/>
        <item x="2399"/>
        <item x="2431"/>
        <item x="2436"/>
        <item x="2446"/>
        <item x="2454"/>
        <item x="2466"/>
        <item x="2465"/>
        <item x="2444"/>
        <item x="2389"/>
        <item x="2402"/>
        <item x="2367"/>
        <item x="2326"/>
        <item x="2342"/>
        <item x="2331"/>
        <item x="2370"/>
        <item x="2333"/>
        <item x="2517"/>
        <item x="2335"/>
        <item x="2397"/>
        <item x="2343"/>
        <item x="2330"/>
        <item x="2355"/>
        <item x="2336"/>
        <item x="2357"/>
        <item x="2346"/>
        <item x="2409"/>
        <item x="2383"/>
        <item x="2430"/>
        <item x="2417"/>
        <item x="2382"/>
        <item x="2373"/>
        <item x="2375"/>
        <item x="2394"/>
        <item x="2368"/>
        <item x="2374"/>
        <item x="2393"/>
        <item x="2391"/>
        <item x="2490"/>
        <item x="2464"/>
        <item x="2482"/>
        <item x="2498"/>
        <item x="2476"/>
        <item x="2487"/>
        <item x="2360"/>
        <item x="2362"/>
        <item x="2369"/>
        <item x="2347"/>
        <item x="2363"/>
        <item x="2358"/>
        <item x="2359"/>
        <item x="2518"/>
        <item x="2348"/>
        <item x="2364"/>
        <item x="2502"/>
        <item x="2478"/>
        <item x="2451"/>
        <item x="2475"/>
        <item x="2462"/>
        <item x="2468"/>
        <item x="2519"/>
        <item x="2448"/>
        <item x="2495"/>
        <item x="2515"/>
        <item x="2486"/>
        <item x="2473"/>
        <item x="2481"/>
        <item x="2497"/>
        <item x="2460"/>
        <item x="2450"/>
        <item x="2458"/>
        <item x="2452"/>
        <item x="1949"/>
        <item x="1951"/>
        <item x="1958"/>
        <item x="1957"/>
        <item x="1956"/>
        <item x="1945"/>
        <item x="1935"/>
        <item x="1952"/>
        <item x="1934"/>
        <item x="1970"/>
        <item x="1968"/>
        <item x="1954"/>
        <item x="1950"/>
        <item x="1948"/>
        <item x="1955"/>
        <item x="1971"/>
        <item x="1962"/>
        <item x="1897"/>
        <item x="1904"/>
        <item x="1907"/>
        <item x="1900"/>
        <item x="1925"/>
        <item x="1931"/>
        <item x="1918"/>
        <item x="1920"/>
        <item x="1910"/>
        <item x="1909"/>
        <item x="1912"/>
        <item x="1858"/>
        <item x="1851"/>
        <item x="1881"/>
        <item x="1856"/>
        <item x="1873"/>
        <item x="1884"/>
        <item x="1853"/>
        <item x="1859"/>
        <item x="1850"/>
        <item x="1877"/>
        <item x="1865"/>
        <item x="1870"/>
        <item x="1879"/>
        <item x="1866"/>
        <item x="1864"/>
        <item x="1867"/>
        <item x="1862"/>
        <item x="1869"/>
        <item x="1860"/>
        <item x="1871"/>
        <item x="1861"/>
        <item x="1883"/>
        <item x="1874"/>
        <item x="1872"/>
        <item x="1868"/>
        <item x="1887"/>
        <item x="1876"/>
        <item x="1878"/>
        <item x="1875"/>
        <item x="1889"/>
        <item x="1882"/>
        <item x="1947"/>
        <item x="1944"/>
        <item x="1923"/>
        <item x="1946"/>
        <item x="1885"/>
        <item x="1886"/>
        <item x="1880"/>
        <item x="1857"/>
        <item x="1849"/>
        <item x="1852"/>
        <item x="1855"/>
        <item x="1848"/>
        <item x="1863"/>
        <item x="1854"/>
        <item x="1893"/>
        <item x="1895"/>
        <item x="1908"/>
        <item x="1967"/>
        <item x="1892"/>
        <item x="1891"/>
        <item x="1901"/>
        <item x="1911"/>
        <item x="1898"/>
        <item x="1890"/>
        <item x="1899"/>
        <item x="1903"/>
        <item x="1905"/>
        <item x="1964"/>
        <item x="1966"/>
        <item x="1959"/>
        <item x="1914"/>
        <item x="1913"/>
        <item x="1938"/>
        <item x="1939"/>
        <item x="1936"/>
        <item x="1937"/>
        <item x="1940"/>
        <item x="1917"/>
        <item x="1916"/>
        <item x="1922"/>
        <item x="1930"/>
        <item x="1906"/>
        <item x="1921"/>
        <item x="1915"/>
        <item x="1919"/>
        <item x="1888"/>
        <item x="1902"/>
        <item x="1963"/>
        <item x="1894"/>
        <item x="1896"/>
        <item x="1943"/>
        <item x="1973"/>
        <item x="1942"/>
        <item x="1932"/>
        <item x="1953"/>
        <item x="1972"/>
        <item x="1969"/>
        <item x="1965"/>
        <item x="1927"/>
        <item x="1928"/>
        <item x="1929"/>
        <item x="1941"/>
        <item x="1926"/>
        <item x="1933"/>
        <item x="1924"/>
        <item x="2039"/>
        <item x="2022"/>
        <item x="2042"/>
        <item x="2061"/>
        <item x="2012"/>
        <item x="2000"/>
        <item x="2003"/>
        <item x="2014"/>
        <item x="2041"/>
        <item x="2025"/>
        <item x="2085"/>
        <item x="2019"/>
        <item x="2026"/>
        <item x="2059"/>
        <item x="2035"/>
        <item x="2010"/>
        <item x="2063"/>
        <item x="2021"/>
        <item x="2016"/>
        <item x="2055"/>
        <item x="2005"/>
        <item x="2051"/>
        <item x="2027"/>
        <item x="1988"/>
        <item x="2002"/>
        <item x="1993"/>
        <item x="2011"/>
        <item x="1990"/>
        <item x="2029"/>
        <item x="2004"/>
        <item x="2036"/>
        <item x="1985"/>
        <item x="2009"/>
        <item x="1999"/>
        <item x="2024"/>
        <item x="2032"/>
        <item x="1996"/>
        <item x="1995"/>
        <item x="2037"/>
        <item x="2006"/>
        <item x="1992"/>
        <item x="1994"/>
        <item x="2030"/>
        <item x="2017"/>
        <item x="2001"/>
        <item x="2007"/>
        <item x="2033"/>
        <item x="2015"/>
        <item x="2045"/>
        <item x="2031"/>
        <item x="2028"/>
        <item x="2034"/>
        <item x="2023"/>
        <item x="2013"/>
        <item x="2038"/>
        <item x="2087"/>
        <item x="2088"/>
        <item x="2054"/>
        <item x="2050"/>
        <item x="2046"/>
        <item x="2062"/>
        <item x="2081"/>
        <item x="2074"/>
        <item x="2082"/>
        <item x="2068"/>
        <item x="2067"/>
        <item x="2077"/>
        <item x="2060"/>
        <item x="2064"/>
        <item x="2073"/>
        <item x="2083"/>
        <item x="2069"/>
        <item x="2053"/>
        <item x="2072"/>
        <item x="2078"/>
        <item x="2080"/>
        <item x="2079"/>
        <item x="2076"/>
        <item x="2058"/>
        <item x="2057"/>
        <item x="2070"/>
        <item x="1989"/>
        <item x="2020"/>
        <item x="1982"/>
        <item x="1975"/>
        <item x="1974"/>
        <item x="2018"/>
        <item x="1991"/>
        <item x="1998"/>
        <item x="1983"/>
        <item x="1979"/>
        <item x="1987"/>
        <item x="1997"/>
        <item x="2084"/>
        <item x="1984"/>
        <item x="1981"/>
        <item x="1977"/>
        <item x="1986"/>
        <item x="1976"/>
        <item x="1978"/>
        <item x="2008"/>
        <item x="2086"/>
        <item x="1980"/>
        <item x="2049"/>
        <item x="2047"/>
        <item x="2056"/>
        <item x="2048"/>
        <item x="2071"/>
        <item x="2065"/>
        <item x="2066"/>
        <item x="2043"/>
        <item x="2044"/>
        <item x="2052"/>
        <item x="2040"/>
        <item x="2075"/>
        <item x="2779"/>
        <item x="2714"/>
        <item x="2753"/>
        <item x="2758"/>
        <item x="2755"/>
        <item x="2754"/>
        <item x="2757"/>
        <item x="2730"/>
        <item x="2711"/>
        <item x="2734"/>
        <item x="2728"/>
        <item x="2732"/>
        <item x="2762"/>
        <item x="2736"/>
        <item x="2741"/>
        <item x="2735"/>
        <item x="2769"/>
        <item x="2773"/>
        <item x="2771"/>
        <item x="2776"/>
        <item x="2782"/>
        <item x="2772"/>
        <item x="2763"/>
        <item x="2775"/>
        <item x="2759"/>
        <item x="2781"/>
        <item x="2761"/>
        <item x="2770"/>
        <item x="2748"/>
        <item x="2724"/>
        <item x="2721"/>
        <item x="2774"/>
        <item x="2767"/>
        <item x="2722"/>
        <item x="2727"/>
        <item x="2723"/>
        <item x="2725"/>
        <item x="2744"/>
        <item x="2752"/>
        <item x="2749"/>
        <item x="2751"/>
        <item x="2756"/>
        <item x="2760"/>
        <item x="2747"/>
        <item x="2750"/>
        <item x="2764"/>
        <item x="2768"/>
        <item x="2777"/>
        <item x="2765"/>
        <item x="2766"/>
        <item x="2740"/>
        <item x="2743"/>
        <item x="2738"/>
        <item x="2739"/>
        <item x="2737"/>
        <item x="2745"/>
        <item x="2742"/>
        <item x="2746"/>
        <item x="2731"/>
        <item x="2733"/>
        <item x="2720"/>
        <item x="2729"/>
        <item x="2778"/>
        <item x="2780"/>
        <item x="2726"/>
        <item x="2096"/>
        <item x="2101"/>
        <item x="2103"/>
        <item x="2102"/>
        <item x="2094"/>
        <item x="2098"/>
        <item x="2100"/>
        <item x="2099"/>
        <item x="2097"/>
        <item x="2168"/>
        <item x="2193"/>
        <item x="2200"/>
        <item x="2196"/>
        <item x="2138"/>
        <item x="2130"/>
        <item x="2143"/>
        <item x="2158"/>
        <item x="2135"/>
        <item x="2182"/>
        <item x="2205"/>
        <item x="2201"/>
        <item x="2186"/>
        <item x="2206"/>
        <item x="2204"/>
        <item x="2129"/>
        <item x="2127"/>
        <item x="2174"/>
        <item x="2128"/>
        <item x="2156"/>
        <item x="2141"/>
        <item x="2106"/>
        <item x="2107"/>
        <item x="2108"/>
        <item x="2105"/>
        <item x="2163"/>
        <item x="2151"/>
        <item x="2153"/>
        <item x="2104"/>
        <item x="2137"/>
        <item x="2145"/>
        <item x="2109"/>
        <item x="2161"/>
        <item x="2167"/>
        <item x="2144"/>
        <item x="2208"/>
        <item x="2162"/>
        <item x="2173"/>
        <item x="2207"/>
        <item x="2111"/>
        <item x="2117"/>
        <item x="2119"/>
        <item x="2115"/>
        <item x="2187"/>
        <item x="2116"/>
        <item x="2195"/>
        <item x="2118"/>
        <item x="2142"/>
        <item x="2146"/>
        <item x="2177"/>
        <item x="2209"/>
        <item x="2148"/>
        <item x="2154"/>
        <item x="2171"/>
        <item x="2175"/>
        <item x="2176"/>
        <item x="2183"/>
        <item x="2197"/>
        <item x="2198"/>
        <item x="2165"/>
        <item x="2184"/>
        <item x="2164"/>
        <item x="2125"/>
        <item x="2126"/>
        <item x="2157"/>
        <item x="2210"/>
        <item x="2179"/>
        <item x="2185"/>
        <item x="2194"/>
        <item x="2172"/>
        <item x="2110"/>
        <item x="2113"/>
        <item x="2122"/>
        <item x="2160"/>
        <item x="2718"/>
        <item x="2717"/>
        <item x="2170"/>
        <item x="2112"/>
        <item x="2189"/>
        <item x="2140"/>
        <item x="2188"/>
        <item x="2121"/>
        <item x="2166"/>
        <item x="2203"/>
        <item x="2134"/>
        <item x="2155"/>
        <item x="2178"/>
        <item x="2139"/>
        <item x="2120"/>
        <item x="2123"/>
        <item x="2180"/>
        <item x="2190"/>
        <item x="2181"/>
        <item x="2132"/>
        <item x="2133"/>
        <item x="2136"/>
        <item x="2147"/>
        <item x="2169"/>
        <item x="2192"/>
        <item x="2131"/>
        <item x="2199"/>
        <item x="2159"/>
        <item x="2114"/>
        <item x="2149"/>
        <item x="2124"/>
        <item x="2150"/>
        <item x="2191"/>
        <item x="2095"/>
        <item x="2152"/>
        <item x="2202"/>
        <item x="2801"/>
        <item x="2799"/>
        <item x="2800"/>
        <item x="2802"/>
        <item x="2796"/>
        <item x="2795"/>
        <item x="2805"/>
        <item x="2784"/>
        <item x="2785"/>
        <item x="2783"/>
        <item x="2787"/>
        <item x="2788"/>
        <item x="2806"/>
        <item x="2790"/>
        <item x="2798"/>
        <item x="2794"/>
        <item x="2797"/>
        <item x="2803"/>
        <item x="2793"/>
        <item x="2789"/>
        <item x="2792"/>
        <item x="2786"/>
        <item x="2791"/>
        <item x="2804"/>
        <item x="2807"/>
        <item x="2809"/>
        <item x="2808"/>
        <item x="2813"/>
        <item x="2812"/>
        <item x="2811"/>
        <item x="2810"/>
        <item x="2248"/>
        <item x="2266"/>
        <item x="2281"/>
        <item x="2269"/>
        <item x="2255"/>
        <item x="2262"/>
        <item x="2249"/>
        <item x="2243"/>
        <item x="2251"/>
        <item x="2260"/>
        <item x="2275"/>
        <item x="2291"/>
        <item x="2305"/>
        <item x="2289"/>
        <item x="2273"/>
        <item x="2292"/>
        <item x="2278"/>
        <item x="2286"/>
        <item x="2303"/>
        <item x="2285"/>
        <item x="2300"/>
        <item x="2306"/>
        <item x="2290"/>
        <item x="2288"/>
        <item x="2298"/>
        <item x="2235"/>
        <item x="2211"/>
        <item x="2230"/>
        <item x="2265"/>
        <item x="2217"/>
        <item x="2215"/>
        <item x="2239"/>
        <item x="2238"/>
        <item x="2213"/>
        <item x="2223"/>
        <item x="2214"/>
        <item x="2232"/>
        <item x="2228"/>
        <item x="2294"/>
        <item x="2270"/>
        <item x="2719"/>
        <item x="2264"/>
        <item x="2293"/>
        <item x="2712"/>
        <item x="2272"/>
        <item x="2297"/>
        <item x="2276"/>
        <item x="2263"/>
        <item x="2268"/>
        <item x="2283"/>
        <item x="2302"/>
        <item x="2301"/>
        <item x="2299"/>
        <item x="2713"/>
        <item x="2261"/>
        <item x="2271"/>
        <item x="2279"/>
        <item x="2716"/>
        <item x="2287"/>
        <item x="2274"/>
        <item x="2284"/>
        <item x="2282"/>
        <item x="2715"/>
        <item x="2295"/>
        <item x="2280"/>
        <item x="2245"/>
        <item x="2233"/>
        <item x="2227"/>
        <item x="2236"/>
        <item x="2237"/>
        <item x="2226"/>
        <item x="2241"/>
        <item x="2224"/>
        <item x="2229"/>
        <item x="2225"/>
        <item x="2221"/>
        <item x="2216"/>
        <item x="2234"/>
        <item x="2220"/>
        <item x="2212"/>
        <item x="2218"/>
        <item x="2222"/>
        <item x="2219"/>
        <item x="2231"/>
        <item x="2259"/>
        <item x="2240"/>
        <item x="2267"/>
        <item x="2252"/>
        <item x="2256"/>
        <item x="2257"/>
        <item x="2246"/>
        <item x="2254"/>
        <item x="2242"/>
        <item x="2247"/>
        <item x="2250"/>
        <item x="2244"/>
        <item x="2307"/>
        <item x="2277"/>
        <item x="2296"/>
        <item x="2258"/>
        <item x="2304"/>
        <item x="2253"/>
        <item x="130"/>
        <item x="1324"/>
        <item x="362"/>
        <item x="105"/>
        <item x="363"/>
        <item x="132"/>
        <item x="364"/>
        <item x="365"/>
        <item x="366"/>
        <item x="107"/>
        <item x="108"/>
        <item x="109"/>
        <item x="368"/>
        <item x="369"/>
        <item x="440"/>
        <item x="367"/>
        <item x="387"/>
        <item x="3"/>
        <item x="2"/>
        <item x="1"/>
        <item x="4"/>
        <item x="0"/>
        <item x="5"/>
        <item x="1200"/>
        <item x="1098"/>
        <item x="1520"/>
        <item x="1216"/>
        <item x="35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442"/>
        <item x="443"/>
        <item x="444"/>
        <item x="445"/>
        <item x="388"/>
        <item x="1319"/>
        <item x="1320"/>
        <item x="1226"/>
        <item x="1465"/>
        <item x="1192"/>
        <item x="608"/>
        <item x="441"/>
        <item x="785"/>
        <item x="786"/>
        <item x="360"/>
        <item x="1096"/>
        <item x="1110"/>
        <item x="683"/>
        <item x="595"/>
        <item x="1027"/>
        <item x="16"/>
        <item x="787"/>
        <item x="1072"/>
        <item x="1121"/>
        <item x="1030"/>
        <item x="1031"/>
        <item x="1032"/>
        <item x="1574"/>
        <item x="1575"/>
        <item x="1559"/>
        <item x="767"/>
        <item x="768"/>
        <item x="1560"/>
        <item x="1561"/>
        <item x="769"/>
        <item x="770"/>
        <item x="771"/>
        <item x="772"/>
        <item x="1588"/>
        <item x="1146"/>
        <item x="1147"/>
        <item x="1148"/>
        <item x="1201"/>
        <item x="1190"/>
        <item x="1191"/>
        <item x="1186"/>
        <item x="1187"/>
        <item x="571"/>
        <item x="572"/>
        <item x="1060"/>
        <item x="1061"/>
        <item x="1111"/>
        <item x="1380"/>
        <item x="1366"/>
        <item x="1475"/>
        <item x="920"/>
        <item x="427"/>
        <item x="428"/>
        <item x="1206"/>
        <item x="438"/>
        <item x="439"/>
        <item x="679"/>
        <item x="680"/>
        <item x="681"/>
        <item x="682"/>
        <item x="1028"/>
        <item x="1029"/>
        <item x="1026"/>
        <item x="807"/>
        <item x="378"/>
        <item x="968"/>
        <item x="1470"/>
        <item x="969"/>
        <item x="1486"/>
        <item x="1487"/>
        <item x="374"/>
        <item x="375"/>
        <item x="1175"/>
        <item x="1097"/>
        <item x="376"/>
        <item x="377"/>
        <item x="1562"/>
        <item x="1322"/>
        <item x="1323"/>
        <item x="1549"/>
        <item x="1550"/>
        <item x="1551"/>
        <item x="1552"/>
        <item x="566"/>
        <item x="567"/>
        <item x="1518"/>
        <item x="829"/>
        <item x="354"/>
        <item x="1521"/>
        <item x="355"/>
        <item x="1522"/>
        <item x="356"/>
        <item x="1460"/>
        <item x="1222"/>
        <item x="1223"/>
        <item x="1224"/>
        <item x="1176"/>
        <item x="1587"/>
        <item x="357"/>
        <item x="352"/>
        <item x="1038"/>
        <item x="1039"/>
        <item x="358"/>
        <item x="653"/>
        <item x="1564"/>
        <item x="1174"/>
        <item x="568"/>
        <item x="569"/>
        <item x="1364"/>
        <item x="1365"/>
        <item x="1360"/>
        <item x="1361"/>
        <item x="942"/>
        <item x="1362"/>
        <item x="1576"/>
        <item x="1225"/>
        <item x="1112"/>
        <item x="921"/>
        <item x="1396"/>
        <item x="1397"/>
        <item x="503"/>
        <item x="1398"/>
        <item x="1399"/>
        <item x="1400"/>
        <item x="456"/>
        <item x="1084"/>
        <item x="953"/>
        <item x="1166"/>
        <item x="1221"/>
        <item x="1033"/>
        <item x="1034"/>
        <item x="1565"/>
        <item x="1566"/>
        <item x="1420"/>
        <item x="1036"/>
        <item x="1421"/>
        <item x="1037"/>
        <item x="1367"/>
        <item x="1368"/>
        <item x="1466"/>
        <item x="714"/>
        <item x="715"/>
        <item x="1422"/>
        <item x="716"/>
        <item x="621"/>
        <item x="622"/>
        <item x="702"/>
        <item x="1207"/>
        <item x="1153"/>
        <item x="1154"/>
        <item x="1448"/>
        <item x="1449"/>
        <item x="1590"/>
        <item x="1591"/>
        <item x="1592"/>
        <item x="1217"/>
        <item x="1218"/>
        <item x="1219"/>
        <item x="1220"/>
        <item x="583"/>
        <item x="425"/>
        <item x="609"/>
        <item x="1197"/>
        <item x="1198"/>
        <item x="610"/>
        <item x="426"/>
        <item x="1199"/>
        <item x="359"/>
        <item x="1203"/>
        <item x="1204"/>
        <item x="1205"/>
        <item x="1062"/>
        <item x="1063"/>
        <item x="1572"/>
        <item x="1573"/>
        <item x="789"/>
        <item x="790"/>
        <item x="435"/>
        <item x="436"/>
        <item x="437"/>
        <item x="1163"/>
        <item x="1164"/>
        <item x="1165"/>
        <item x="1228"/>
        <item x="1229"/>
        <item x="1150"/>
        <item x="1151"/>
        <item x="1202"/>
        <item x="1377"/>
        <item x="1378"/>
        <item x="1379"/>
        <item x="1555"/>
        <item x="1556"/>
        <item x="1557"/>
        <item x="1558"/>
        <item x="808"/>
        <item x="791"/>
        <item x="792"/>
        <item x="1347"/>
        <item x="788"/>
        <item x="796"/>
        <item x="821"/>
        <item x="1401"/>
        <item x="1120"/>
        <item x="822"/>
        <item x="840"/>
        <item x="6"/>
        <item x="585"/>
        <item x="795"/>
        <item x="1236"/>
        <item x="1152"/>
        <item x="573"/>
        <item x="131"/>
        <item x="1227"/>
        <item x="390"/>
        <item x="1193"/>
        <item x="133"/>
        <item x="389"/>
        <item x="1563"/>
        <item x="126"/>
        <item x="1471"/>
        <item x="654"/>
        <item x="1334"/>
        <item x="943"/>
        <item x="134"/>
        <item x="135"/>
        <item x="1113"/>
        <item x="918"/>
        <item x="1369"/>
        <item x="875"/>
        <item x="1402"/>
        <item x="596"/>
        <item x="1370"/>
        <item x="611"/>
        <item x="138"/>
        <item x="458"/>
        <item x="1237"/>
        <item x="1467"/>
        <item x="1423"/>
        <item x="1325"/>
        <item x="52"/>
        <item x="1593"/>
        <item x="1577"/>
        <item x="909"/>
        <item x="1363"/>
        <item x="1476"/>
        <item x="1461"/>
        <item x="535"/>
        <item x="896"/>
        <item x="89"/>
        <item x="1477"/>
        <item x="1478"/>
        <item x="776"/>
        <item x="1383"/>
        <item x="379"/>
        <item x="1326"/>
        <item x="1523"/>
        <item x="703"/>
        <item x="21"/>
        <item x="1017"/>
        <item x="944"/>
        <item x="945"/>
        <item x="946"/>
        <item x="947"/>
        <item x="948"/>
        <item x="949"/>
        <item x="950"/>
        <item x="951"/>
        <item x="1407"/>
        <item x="459"/>
        <item x="338"/>
        <item x="904"/>
        <item x="313"/>
        <item x="1408"/>
        <item x="114"/>
        <item x="905"/>
        <item x="906"/>
        <item x="907"/>
        <item x="331"/>
        <item x="908"/>
        <item x="337"/>
        <item x="1409"/>
        <item x="1410"/>
        <item x="401"/>
        <item x="402"/>
        <item x="403"/>
        <item x="404"/>
        <item x="405"/>
        <item x="395"/>
        <item x="406"/>
        <item x="407"/>
        <item x="408"/>
        <item x="409"/>
        <item x="326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335"/>
        <item x="1297"/>
        <item x="1298"/>
        <item x="1299"/>
        <item x="1295"/>
        <item x="1296"/>
        <item x="1300"/>
        <item x="1301"/>
        <item x="1302"/>
        <item x="336"/>
        <item x="1303"/>
        <item x="1304"/>
        <item x="797"/>
        <item x="798"/>
        <item x="799"/>
        <item x="800"/>
        <item x="801"/>
        <item x="802"/>
        <item x="803"/>
        <item x="804"/>
        <item x="805"/>
        <item x="1348"/>
        <item x="110"/>
        <item x="1350"/>
        <item x="410"/>
        <item x="1351"/>
        <item x="1352"/>
        <item x="1353"/>
        <item x="1349"/>
        <item x="111"/>
        <item x="1354"/>
        <item x="1355"/>
        <item x="536"/>
        <item x="1356"/>
        <item x="112"/>
        <item x="1357"/>
        <item x="347"/>
        <item x="1462"/>
        <item x="346"/>
        <item x="1463"/>
        <item x="701"/>
        <item x="348"/>
        <item x="1073"/>
        <item x="345"/>
        <item x="1464"/>
        <item x="1480"/>
        <item x="1481"/>
        <item x="1482"/>
        <item x="1483"/>
        <item x="328"/>
        <item x="22"/>
        <item x="704"/>
        <item x="705"/>
        <item x="706"/>
        <item x="25"/>
        <item x="707"/>
        <item x="708"/>
        <item x="709"/>
        <item x="710"/>
        <item x="711"/>
        <item x="712"/>
        <item x="1305"/>
        <item x="327"/>
        <item x="23"/>
        <item x="806"/>
        <item x="713"/>
        <item x="1553"/>
        <item x="1554"/>
        <item x="24"/>
        <item x="962"/>
        <item x="963"/>
        <item x="964"/>
        <item x="965"/>
        <item x="966"/>
        <item x="537"/>
        <item x="1214"/>
        <item x="1215"/>
        <item x="623"/>
        <item x="624"/>
        <item x="625"/>
        <item x="626"/>
        <item x="627"/>
        <item x="1371"/>
        <item x="628"/>
        <item x="629"/>
        <item x="630"/>
        <item x="631"/>
        <item x="1450"/>
        <item x="1451"/>
        <item x="1452"/>
        <item x="632"/>
        <item x="340"/>
        <item x="1453"/>
        <item x="342"/>
        <item x="344"/>
        <item x="341"/>
        <item x="1454"/>
        <item x="1455"/>
        <item x="1456"/>
        <item x="1457"/>
        <item x="910"/>
        <item x="343"/>
        <item x="1458"/>
        <item x="339"/>
        <item x="1413"/>
        <item x="1414"/>
        <item x="349"/>
        <item x="350"/>
        <item x="932"/>
        <item x="56"/>
        <item x="333"/>
        <item x="332"/>
        <item x="168"/>
        <item x="270"/>
        <item x="538"/>
        <item x="539"/>
        <item x="540"/>
        <item x="541"/>
        <item x="542"/>
        <item x="543"/>
        <item x="544"/>
        <item x="273"/>
        <item x="545"/>
        <item x="546"/>
        <item x="272"/>
        <item x="547"/>
        <item x="264"/>
        <item x="548"/>
        <item x="549"/>
        <item x="265"/>
        <item x="550"/>
        <item x="269"/>
        <item x="551"/>
        <item x="268"/>
        <item x="552"/>
        <item x="553"/>
        <item x="263"/>
        <item x="267"/>
        <item x="554"/>
        <item x="266"/>
        <item x="555"/>
        <item x="556"/>
        <item x="276"/>
        <item x="271"/>
        <item x="274"/>
        <item x="460"/>
        <item x="1122"/>
        <item x="1498"/>
        <item x="717"/>
        <item x="718"/>
        <item x="719"/>
        <item x="720"/>
        <item x="461"/>
        <item x="462"/>
        <item x="463"/>
        <item x="464"/>
        <item x="465"/>
        <item x="466"/>
        <item x="467"/>
        <item x="468"/>
        <item x="471"/>
        <item x="469"/>
        <item x="470"/>
        <item x="472"/>
        <item x="491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748"/>
        <item x="721"/>
        <item x="749"/>
        <item x="1411"/>
        <item x="113"/>
        <item x="750"/>
        <item x="734"/>
        <item x="735"/>
        <item x="736"/>
        <item x="737"/>
        <item x="722"/>
        <item x="723"/>
        <item x="724"/>
        <item x="725"/>
        <item x="726"/>
        <item x="727"/>
        <item x="728"/>
        <item x="1238"/>
        <item x="1239"/>
        <item x="1240"/>
        <item x="1241"/>
        <item x="1242"/>
        <item x="1243"/>
        <item x="1244"/>
        <item x="1245"/>
        <item x="1246"/>
        <item x="1247"/>
        <item x="1306"/>
        <item x="738"/>
        <item x="1248"/>
        <item x="739"/>
        <item x="732"/>
        <item x="733"/>
        <item x="740"/>
        <item x="741"/>
        <item x="742"/>
        <item x="743"/>
        <item x="744"/>
        <item x="745"/>
        <item x="305"/>
        <item x="309"/>
        <item x="304"/>
        <item x="312"/>
        <item x="308"/>
        <item x="303"/>
        <item x="300"/>
        <item x="306"/>
        <item x="302"/>
        <item x="975"/>
        <item x="307"/>
        <item x="301"/>
        <item x="793"/>
        <item x="310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492"/>
        <item x="847"/>
        <item x="848"/>
        <item x="849"/>
        <item x="850"/>
        <item x="851"/>
        <item x="852"/>
        <item x="853"/>
        <item x="746"/>
        <item x="557"/>
        <item x="1050"/>
        <item x="854"/>
        <item x="1051"/>
        <item x="1052"/>
        <item x="1053"/>
        <item x="1054"/>
        <item x="1055"/>
        <item x="1056"/>
        <item x="1057"/>
        <item x="1058"/>
        <item x="1059"/>
        <item x="291"/>
        <item x="643"/>
        <item x="292"/>
        <item x="644"/>
        <item x="645"/>
        <item x="646"/>
        <item x="647"/>
        <item x="648"/>
        <item x="649"/>
        <item x="650"/>
        <item x="295"/>
        <item x="293"/>
        <item x="294"/>
        <item x="298"/>
        <item x="299"/>
        <item x="651"/>
        <item x="652"/>
        <item x="1578"/>
        <item x="1579"/>
        <item x="1085"/>
        <item x="314"/>
        <item x="493"/>
        <item x="1580"/>
        <item x="1581"/>
        <item x="1582"/>
        <item x="1583"/>
        <item x="1584"/>
        <item x="1585"/>
        <item x="1586"/>
        <item x="922"/>
        <item x="296"/>
        <item x="923"/>
        <item x="924"/>
        <item x="925"/>
        <item x="926"/>
        <item x="927"/>
        <item x="928"/>
        <item x="277"/>
        <item x="929"/>
        <item x="930"/>
        <item x="931"/>
        <item x="319"/>
        <item x="1040"/>
        <item x="586"/>
        <item x="587"/>
        <item x="588"/>
        <item x="62"/>
        <item x="282"/>
        <item x="589"/>
        <item x="281"/>
        <item x="7"/>
        <item x="64"/>
        <item x="315"/>
        <item x="280"/>
        <item x="278"/>
        <item x="8"/>
        <item x="65"/>
        <item x="316"/>
        <item x="66"/>
        <item x="318"/>
        <item x="67"/>
        <item x="311"/>
        <item x="1041"/>
        <item x="1042"/>
        <item x="317"/>
        <item x="68"/>
        <item x="1043"/>
        <item x="69"/>
        <item x="70"/>
        <item x="279"/>
        <item x="590"/>
        <item x="320"/>
        <item x="71"/>
        <item x="9"/>
        <item x="323"/>
        <item x="324"/>
        <item x="325"/>
        <item x="1044"/>
        <item x="63"/>
        <item x="61"/>
        <item x="591"/>
        <item x="72"/>
        <item x="1045"/>
        <item x="73"/>
        <item x="74"/>
        <item x="75"/>
        <item x="76"/>
        <item x="1046"/>
        <item x="77"/>
        <item x="1047"/>
        <item x="1048"/>
        <item x="1049"/>
        <item x="78"/>
        <item x="79"/>
        <item x="90"/>
        <item x="855"/>
        <item x="91"/>
        <item x="92"/>
        <item x="1136"/>
        <item x="93"/>
        <item x="94"/>
        <item x="95"/>
        <item x="96"/>
        <item x="97"/>
        <item x="284"/>
        <item x="1137"/>
        <item x="1135"/>
        <item x="88"/>
        <item x="285"/>
        <item x="636"/>
        <item x="287"/>
        <item x="13"/>
        <item x="633"/>
        <item x="637"/>
        <item x="638"/>
        <item x="639"/>
        <item x="640"/>
        <item x="286"/>
        <item x="14"/>
        <item x="634"/>
        <item x="641"/>
        <item x="288"/>
        <item x="15"/>
        <item x="635"/>
        <item x="12"/>
        <item x="856"/>
        <item x="290"/>
        <item x="857"/>
        <item x="858"/>
        <item x="859"/>
        <item x="860"/>
        <item x="861"/>
        <item x="862"/>
        <item x="863"/>
        <item x="864"/>
        <item x="865"/>
        <item x="1138"/>
        <item x="98"/>
        <item x="866"/>
        <item x="867"/>
        <item x="868"/>
        <item x="869"/>
        <item x="870"/>
        <item x="871"/>
        <item x="872"/>
        <item x="873"/>
        <item x="874"/>
        <item x="1139"/>
        <item x="99"/>
        <item x="1140"/>
        <item x="1141"/>
        <item x="1142"/>
        <item x="11"/>
        <item x="642"/>
        <item x="289"/>
        <item x="100"/>
        <item x="101"/>
        <item x="102"/>
        <item x="103"/>
        <item x="1143"/>
        <item x="1144"/>
        <item x="104"/>
        <item x="1145"/>
        <item x="1064"/>
        <item x="1412"/>
        <item x="1589"/>
        <item x="897"/>
        <item x="1358"/>
        <item x="1393"/>
        <item x="1394"/>
        <item x="380"/>
        <item x="558"/>
        <item x="809"/>
        <item x="824"/>
        <item x="825"/>
        <item x="826"/>
        <item x="747"/>
        <item x="827"/>
        <item x="828"/>
        <item x="970"/>
        <item x="971"/>
        <item x="972"/>
        <item x="973"/>
        <item x="898"/>
        <item x="899"/>
        <item x="900"/>
        <item x="901"/>
        <item x="902"/>
        <item x="1149"/>
        <item x="731"/>
        <item x="1018"/>
        <item x="974"/>
        <item x="256"/>
        <item x="257"/>
        <item x="1188"/>
        <item x="881"/>
        <item x="1189"/>
        <item x="882"/>
        <item x="883"/>
        <item x="884"/>
        <item x="885"/>
        <item x="886"/>
        <item x="887"/>
        <item x="888"/>
        <item x="1499"/>
        <item x="1500"/>
        <item x="1501"/>
        <item x="1502"/>
        <item x="1503"/>
        <item x="1504"/>
        <item x="1505"/>
        <item x="1506"/>
        <item x="830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492"/>
        <item x="1493"/>
        <item x="1494"/>
        <item x="1167"/>
        <item x="1168"/>
        <item x="1169"/>
        <item x="1170"/>
        <item x="777"/>
        <item x="1208"/>
        <item x="1171"/>
        <item x="1308"/>
        <item x="1309"/>
        <item x="1310"/>
        <item x="1311"/>
        <item x="1312"/>
        <item x="1313"/>
        <item x="1314"/>
        <item x="1495"/>
        <item x="1496"/>
        <item x="249"/>
        <item x="399"/>
        <item x="250"/>
        <item x="251"/>
        <item x="429"/>
        <item x="1497"/>
        <item x="810"/>
        <item x="400"/>
        <item x="1359"/>
        <item x="253"/>
        <item x="1268"/>
        <item x="252"/>
        <item x="811"/>
        <item x="254"/>
        <item x="255"/>
        <item x="812"/>
        <item x="813"/>
        <item x="814"/>
        <item x="1524"/>
        <item x="1525"/>
        <item x="1526"/>
        <item x="1527"/>
        <item x="1528"/>
        <item x="321"/>
        <item x="80"/>
        <item x="1529"/>
        <item x="1530"/>
        <item x="1531"/>
        <item x="1532"/>
        <item x="1533"/>
        <item x="1534"/>
        <item x="1535"/>
        <item x="1536"/>
        <item x="1537"/>
        <item x="1538"/>
        <item x="1384"/>
        <item x="1385"/>
        <item x="1386"/>
        <item x="1387"/>
        <item x="1388"/>
        <item x="1389"/>
        <item x="1390"/>
        <item x="1391"/>
        <item x="1392"/>
        <item x="889"/>
        <item x="574"/>
        <item x="1327"/>
        <item x="1172"/>
        <item x="411"/>
        <item x="1328"/>
        <item x="1329"/>
        <item x="1330"/>
        <item x="1331"/>
        <item x="1332"/>
        <item x="1333"/>
        <item x="1173"/>
        <item x="778"/>
        <item x="779"/>
        <item x="780"/>
        <item x="781"/>
        <item x="782"/>
        <item x="783"/>
        <item x="784"/>
        <item x="260"/>
        <item x="258"/>
        <item x="262"/>
        <item x="261"/>
        <item x="259"/>
        <item x="353"/>
        <item x="504"/>
        <item x="505"/>
        <item x="506"/>
        <item x="507"/>
        <item x="661"/>
        <item x="508"/>
        <item x="509"/>
        <item x="510"/>
        <item x="511"/>
        <item x="512"/>
        <item x="662"/>
        <item x="663"/>
        <item x="1020"/>
        <item x="1249"/>
        <item x="559"/>
        <item x="1021"/>
        <item x="1022"/>
        <item x="1023"/>
        <item x="1024"/>
        <item x="1250"/>
        <item x="1251"/>
        <item x="1252"/>
        <item x="1253"/>
        <item x="1254"/>
        <item x="1255"/>
        <item x="1256"/>
        <item x="1257"/>
        <item x="1258"/>
        <item x="560"/>
        <item x="561"/>
        <item x="562"/>
        <item x="178"/>
        <item x="391"/>
        <item x="174"/>
        <item x="903"/>
        <item x="175"/>
        <item x="664"/>
        <item x="176"/>
        <item x="179"/>
        <item x="177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171"/>
        <item x="381"/>
        <item x="172"/>
        <item x="382"/>
        <item x="173"/>
        <item x="170"/>
        <item x="383"/>
        <item x="384"/>
        <item x="385"/>
        <item x="386"/>
        <item x="297"/>
        <item x="430"/>
        <item x="431"/>
        <item x="432"/>
        <item x="433"/>
        <item x="434"/>
        <item x="446"/>
        <item x="447"/>
        <item x="530"/>
        <item x="448"/>
        <item x="449"/>
        <item x="450"/>
        <item x="451"/>
        <item x="452"/>
        <item x="116"/>
        <item x="181"/>
        <item x="180"/>
        <item x="1259"/>
        <item x="1260"/>
        <item x="1261"/>
        <item x="1262"/>
        <item x="182"/>
        <item x="183"/>
        <item x="1263"/>
        <item x="1264"/>
        <item x="1265"/>
        <item x="1266"/>
        <item x="1267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453"/>
        <item x="911"/>
        <item x="454"/>
        <item x="412"/>
        <item x="413"/>
        <item x="414"/>
        <item x="415"/>
        <item x="184"/>
        <item x="1424"/>
        <item x="120"/>
        <item x="1427"/>
        <item x="121"/>
        <item x="187"/>
        <item x="122"/>
        <item x="1428"/>
        <item x="1429"/>
        <item x="1430"/>
        <item x="185"/>
        <item x="123"/>
        <item x="186"/>
        <item x="124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25"/>
        <item x="1442"/>
        <item x="1443"/>
        <item x="1444"/>
        <item x="188"/>
        <item x="189"/>
        <item x="1445"/>
        <item x="1425"/>
        <item x="1426"/>
        <item x="1335"/>
        <item x="1336"/>
        <item x="1337"/>
        <item x="1338"/>
        <item x="1339"/>
        <item x="197"/>
        <item x="148"/>
        <item x="203"/>
        <item x="154"/>
        <item x="153"/>
        <item x="202"/>
        <item x="201"/>
        <item x="199"/>
        <item x="200"/>
        <item x="150"/>
        <item x="198"/>
        <item x="151"/>
        <item x="204"/>
        <item x="612"/>
        <item x="613"/>
        <item x="773"/>
        <item x="152"/>
        <item x="149"/>
        <item x="774"/>
        <item x="775"/>
        <item x="614"/>
        <item x="615"/>
        <item x="192"/>
        <item x="160"/>
        <item x="597"/>
        <item x="598"/>
        <item x="194"/>
        <item x="159"/>
        <item x="599"/>
        <item x="494"/>
        <item x="600"/>
        <item x="190"/>
        <item x="161"/>
        <item x="191"/>
        <item x="156"/>
        <item x="193"/>
        <item x="157"/>
        <item x="195"/>
        <item x="155"/>
        <item x="351"/>
        <item x="601"/>
        <item x="196"/>
        <item x="158"/>
        <item x="531"/>
        <item x="532"/>
        <item x="533"/>
        <item x="534"/>
        <item x="211"/>
        <item x="214"/>
        <item x="1155"/>
        <item x="210"/>
        <item x="212"/>
        <item x="215"/>
        <item x="209"/>
        <item x="207"/>
        <item x="205"/>
        <item x="1156"/>
        <item x="213"/>
        <item x="1157"/>
        <item x="1158"/>
        <item x="616"/>
        <item x="206"/>
        <item x="208"/>
        <item x="1159"/>
        <item x="216"/>
        <item x="217"/>
        <item x="218"/>
        <item x="1160"/>
        <item x="1161"/>
        <item x="617"/>
        <item x="618"/>
        <item x="619"/>
        <item x="1162"/>
        <item x="620"/>
        <item x="1114"/>
        <item x="1115"/>
        <item x="1116"/>
        <item x="1117"/>
        <item x="242"/>
        <item x="243"/>
        <item x="1372"/>
        <item x="1373"/>
        <item x="241"/>
        <item x="1374"/>
        <item x="244"/>
        <item x="1375"/>
        <item x="245"/>
        <item x="239"/>
        <item x="240"/>
        <item x="684"/>
        <item x="685"/>
        <item x="392"/>
        <item x="237"/>
        <item x="686"/>
        <item x="687"/>
        <item x="688"/>
        <item x="238"/>
        <item x="689"/>
        <item x="370"/>
        <item x="60"/>
        <item x="933"/>
        <item x="58"/>
        <item x="59"/>
        <item x="57"/>
        <item x="934"/>
        <item x="935"/>
        <item x="936"/>
        <item x="371"/>
        <item x="657"/>
        <item x="658"/>
        <item x="659"/>
        <item x="660"/>
        <item x="232"/>
        <item x="230"/>
        <item x="231"/>
        <item x="229"/>
        <item x="794"/>
        <item x="396"/>
        <item x="495"/>
        <item x="247"/>
        <item x="248"/>
        <item x="1544"/>
        <item x="1545"/>
        <item x="1546"/>
        <item x="246"/>
        <item x="1539"/>
        <item x="1540"/>
        <item x="1541"/>
        <item x="1542"/>
        <item x="1543"/>
        <item x="1209"/>
        <item x="1210"/>
        <item x="1211"/>
        <item x="1212"/>
        <item x="1213"/>
        <item x="223"/>
        <item x="220"/>
        <item x="222"/>
        <item x="225"/>
        <item x="226"/>
        <item x="221"/>
        <item x="219"/>
        <item x="224"/>
        <item x="372"/>
        <item x="373"/>
        <item x="227"/>
        <item x="1340"/>
        <item x="823"/>
        <item x="575"/>
        <item x="1459"/>
        <item x="1341"/>
        <item x="1342"/>
        <item x="1343"/>
        <item x="1344"/>
        <item x="1345"/>
        <item x="1346"/>
        <item x="228"/>
        <item x="876"/>
        <item x="334"/>
        <item x="322"/>
        <item x="235"/>
        <item x="937"/>
        <item x="234"/>
        <item x="938"/>
        <item x="236"/>
        <item x="233"/>
        <item x="939"/>
        <item x="940"/>
        <item x="941"/>
        <item x="1468"/>
        <item x="1469"/>
        <item x="831"/>
        <item x="832"/>
        <item x="833"/>
        <item x="834"/>
        <item x="835"/>
        <item x="836"/>
        <item x="837"/>
        <item x="838"/>
        <item x="839"/>
        <item x="46"/>
        <item x="50"/>
        <item x="912"/>
        <item x="1086"/>
        <item x="914"/>
        <item x="49"/>
        <item x="48"/>
        <item x="915"/>
        <item x="51"/>
        <item x="913"/>
        <item x="45"/>
        <item x="916"/>
        <item x="917"/>
        <item x="602"/>
        <item x="603"/>
        <item x="604"/>
        <item x="605"/>
        <item x="606"/>
        <item x="607"/>
        <item x="47"/>
        <item x="592"/>
        <item x="10"/>
        <item x="593"/>
        <item x="594"/>
        <item x="1567"/>
        <item x="1568"/>
        <item x="1569"/>
        <item x="1570"/>
        <item x="1571"/>
        <item x="954"/>
        <item x="955"/>
        <item x="956"/>
        <item x="957"/>
        <item x="958"/>
        <item x="959"/>
        <item x="20"/>
        <item x="655"/>
        <item x="17"/>
        <item x="18"/>
        <item x="19"/>
        <item x="656"/>
        <item x="361"/>
        <item x="106"/>
        <item x="1446"/>
        <item x="570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1484"/>
        <item x="416"/>
        <item x="1118"/>
        <item x="1119"/>
        <item x="1035"/>
        <item x="1307"/>
        <item x="890"/>
        <item x="576"/>
        <item x="577"/>
        <item x="578"/>
        <item x="579"/>
        <item x="580"/>
        <item x="1065"/>
        <item x="1066"/>
        <item x="275"/>
        <item x="1067"/>
        <item x="1068"/>
        <item x="1069"/>
        <item x="1070"/>
        <item x="891"/>
        <item x="892"/>
        <item x="893"/>
        <item x="894"/>
        <item x="895"/>
        <item x="581"/>
        <item x="584"/>
        <item x="582"/>
        <item x="1177"/>
        <item x="1178"/>
        <item x="1179"/>
        <item x="1180"/>
        <item x="1181"/>
        <item x="1182"/>
        <item x="841"/>
        <item x="842"/>
        <item x="843"/>
        <item x="844"/>
        <item x="845"/>
        <item x="846"/>
        <item x="1183"/>
        <item x="283"/>
        <item x="1123"/>
        <item x="1124"/>
        <item x="1125"/>
        <item x="1126"/>
        <item x="1127"/>
        <item x="1128"/>
        <item x="1129"/>
        <item x="329"/>
        <item x="1130"/>
        <item x="330"/>
        <item x="1131"/>
        <item x="1132"/>
        <item x="1133"/>
        <item x="1134"/>
        <item x="1381"/>
        <item x="1316"/>
        <item x="1382"/>
        <item x="1074"/>
        <item x="1075"/>
        <item x="1076"/>
        <item x="1077"/>
        <item x="1078"/>
        <item x="1079"/>
        <item x="1080"/>
        <item x="1081"/>
        <item x="1082"/>
        <item x="1083"/>
        <item x="457"/>
        <item x="1403"/>
        <item x="1404"/>
        <item x="1405"/>
        <item x="393"/>
        <item x="394"/>
        <item x="417"/>
        <item x="418"/>
        <item x="419"/>
        <item x="420"/>
        <item x="1447"/>
        <item x="421"/>
        <item x="422"/>
        <item x="423"/>
        <item x="424"/>
        <item x="34"/>
        <item x="41"/>
        <item x="42"/>
        <item x="817"/>
        <item x="818"/>
        <item x="819"/>
        <item x="33"/>
        <item x="43"/>
        <item x="815"/>
        <item x="36"/>
        <item x="37"/>
        <item x="30"/>
        <item x="44"/>
        <item x="816"/>
        <item x="32"/>
        <item x="820"/>
        <item x="38"/>
        <item x="39"/>
        <item x="29"/>
        <item x="27"/>
        <item x="26"/>
        <item x="31"/>
        <item x="28"/>
        <item x="53"/>
        <item x="55"/>
        <item x="919"/>
        <item x="54"/>
        <item x="877"/>
        <item x="1474"/>
        <item x="128"/>
        <item x="455"/>
        <item x="127"/>
        <item x="1472"/>
        <item x="129"/>
        <item x="1473"/>
        <item x="878"/>
        <item x="879"/>
        <item x="880"/>
        <item x="1415"/>
        <item x="1416"/>
        <item x="1417"/>
        <item x="117"/>
        <item x="1418"/>
        <item x="1419"/>
        <item x="115"/>
        <item x="118"/>
        <item x="119"/>
        <item x="165"/>
        <item x="85"/>
        <item x="1087"/>
        <item x="1089"/>
        <item x="1184"/>
        <item x="163"/>
        <item x="1090"/>
        <item x="86"/>
        <item x="1088"/>
        <item x="87"/>
        <item x="1091"/>
        <item x="1092"/>
        <item x="82"/>
        <item x="1093"/>
        <item x="164"/>
        <item x="1094"/>
        <item x="84"/>
        <item x="83"/>
        <item x="1095"/>
        <item x="1488"/>
        <item x="1489"/>
        <item x="1490"/>
        <item x="1491"/>
        <item x="1317"/>
        <item x="1318"/>
        <item x="397"/>
        <item x="398"/>
        <item x="40"/>
        <item x="1019"/>
        <item x="1025"/>
        <item x="166"/>
        <item x="1194"/>
        <item x="1195"/>
        <item x="167"/>
        <item x="1196"/>
        <item x="1230"/>
        <item x="1231"/>
        <item x="1232"/>
        <item x="1233"/>
        <item x="1234"/>
        <item x="1235"/>
        <item x="146"/>
        <item x="1547"/>
        <item x="139"/>
        <item x="141"/>
        <item x="142"/>
        <item x="147"/>
        <item x="1548"/>
        <item x="143"/>
        <item x="144"/>
        <item x="145"/>
        <item x="136"/>
        <item x="140"/>
        <item x="137"/>
        <item x="496"/>
        <item x="1321"/>
        <item x="497"/>
        <item x="498"/>
        <item x="499"/>
        <item x="500"/>
        <item x="501"/>
        <item x="502"/>
        <item x="1479"/>
        <item x="162"/>
        <item x="967"/>
        <item x="169"/>
        <item x="1395"/>
        <item x="1376"/>
        <item x="1485"/>
        <item x="729"/>
        <item x="730"/>
        <item x="960"/>
        <item x="961"/>
        <item x="751"/>
        <item x="1406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563"/>
        <item x="564"/>
        <item x="565"/>
        <item x="1315"/>
        <item x="81"/>
        <item x="952"/>
        <item x="1185"/>
        <item x="1071"/>
        <item x="151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m="1" x="4"/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6"/>
    <field x="17"/>
    <field x="19"/>
  </rowFields>
  <rowItems count="2872">
    <i>
      <x/>
      <x v="2477"/>
      <x v="3"/>
    </i>
    <i>
      <x v="1"/>
      <x v="211"/>
      <x v="4"/>
    </i>
    <i>
      <x v="2"/>
      <x v="232"/>
      <x v="4"/>
    </i>
    <i>
      <x v="3"/>
      <x v="678"/>
      <x v="4"/>
    </i>
    <i>
      <x v="4"/>
      <x v="212"/>
      <x v="4"/>
    </i>
    <i>
      <x v="5"/>
      <x v="213"/>
      <x v="4"/>
    </i>
    <i>
      <x v="6"/>
      <x v="679"/>
      <x v="4"/>
    </i>
    <i>
      <x v="7"/>
      <x v="2805"/>
      <x v="3"/>
    </i>
    <i>
      <x v="8"/>
      <x v="1214"/>
      <x v="4"/>
    </i>
    <i>
      <x v="9"/>
      <x v="872"/>
      <x v="4"/>
    </i>
    <i>
      <x v="10"/>
      <x v="774"/>
      <x v="4"/>
    </i>
    <i>
      <x v="11"/>
      <x v="2667"/>
      <x v="3"/>
    </i>
    <i>
      <x v="12"/>
      <x v="2136"/>
      <x v="3"/>
    </i>
    <i>
      <x v="13"/>
      <x v="1014"/>
      <x v="4"/>
    </i>
    <i>
      <x v="14"/>
      <x v="926"/>
      <x v="4"/>
    </i>
    <i>
      <x v="15"/>
      <x v="1796"/>
      <x v="3"/>
    </i>
    <i>
      <x v="16"/>
      <x v="2142"/>
      <x v="3"/>
    </i>
    <i>
      <x v="17"/>
      <x v="889"/>
      <x v="4"/>
    </i>
    <i>
      <x v="18"/>
      <x v="502"/>
      <x v="4"/>
    </i>
    <i>
      <x v="19"/>
      <x v="2466"/>
      <x v="2"/>
    </i>
    <i>
      <x v="20"/>
      <x v="1791"/>
      <x v="3"/>
    </i>
    <i>
      <x v="21"/>
      <x v="517"/>
      <x v="4"/>
    </i>
    <i>
      <x v="22"/>
      <x v="1790"/>
      <x v="3"/>
    </i>
    <i>
      <x v="23"/>
      <x v="1817"/>
      <x v="3"/>
    </i>
    <i>
      <x v="24"/>
      <x v="1912"/>
      <x v="3"/>
    </i>
    <i>
      <x v="25"/>
      <x v="717"/>
      <x v="4"/>
    </i>
    <i>
      <x v="26"/>
      <x v="716"/>
      <x v="4"/>
    </i>
    <i>
      <x v="27"/>
      <x v="1820"/>
      <x v="3"/>
    </i>
    <i>
      <x v="28"/>
      <x v="2131"/>
      <x v="3"/>
    </i>
    <i>
      <x v="29"/>
      <x v="2443"/>
      <x v="1"/>
    </i>
    <i>
      <x v="30"/>
      <x v="2371"/>
      <x v="3"/>
    </i>
    <i>
      <x v="31"/>
      <x v="2468"/>
      <x v="3"/>
    </i>
    <i>
      <x v="32"/>
      <x v="2525"/>
      <x v="2"/>
    </i>
    <i>
      <x v="33"/>
      <x v="886"/>
      <x v="4"/>
    </i>
    <i>
      <x v="34"/>
      <x v="2551"/>
      <x v="3"/>
    </i>
    <i>
      <x v="35"/>
      <x v="2594"/>
      <x v="3"/>
    </i>
    <i>
      <x v="36"/>
      <x v="2322"/>
      <x v="2"/>
    </i>
    <i>
      <x v="37"/>
      <x v="1492"/>
      <x v="3"/>
    </i>
    <i>
      <x v="38"/>
      <x v="2100"/>
      <x v="3"/>
    </i>
    <i>
      <x v="39"/>
      <x v="1781"/>
      <x v="3"/>
    </i>
    <i>
      <x v="40"/>
      <x v="726"/>
      <x v="4"/>
    </i>
    <i>
      <x v="41"/>
      <x v="2544"/>
      <x v="3"/>
    </i>
    <i>
      <x v="42"/>
      <x v="2536"/>
      <x v="2"/>
    </i>
    <i>
      <x v="43"/>
      <x v="30"/>
      <x v="4"/>
    </i>
    <i>
      <x v="44"/>
      <x v="680"/>
      <x v="4"/>
    </i>
    <i r="1">
      <x v="1833"/>
      <x v="3"/>
    </i>
    <i>
      <x v="45"/>
      <x v="2766"/>
      <x v="3"/>
    </i>
    <i>
      <x v="46"/>
      <x v="150"/>
      <x v="4"/>
    </i>
    <i>
      <x v="47"/>
      <x v="663"/>
      <x v="4"/>
    </i>
    <i r="1">
      <x v="2028"/>
      <x v="1"/>
    </i>
    <i>
      <x v="48"/>
      <x v="1482"/>
      <x v="3"/>
    </i>
    <i>
      <x v="49"/>
      <x v="127"/>
      <x v="4"/>
    </i>
    <i r="1">
      <x v="1288"/>
      <x v="1"/>
    </i>
    <i>
      <x v="50"/>
      <x v="2041"/>
      <x v="3"/>
    </i>
    <i>
      <x v="51"/>
      <x v="1307"/>
      <x v="3"/>
    </i>
    <i>
      <x v="52"/>
      <x v="1545"/>
      <x v="3"/>
    </i>
    <i>
      <x v="53"/>
      <x v="155"/>
      <x v="4"/>
    </i>
    <i>
      <x v="54"/>
      <x v="119"/>
      <x v="4"/>
    </i>
    <i>
      <x v="55"/>
      <x v="1553"/>
      <x v="3"/>
    </i>
    <i>
      <x v="56"/>
      <x v="131"/>
      <x v="4"/>
    </i>
    <i>
      <x v="57"/>
      <x v="1040"/>
      <x v="4"/>
    </i>
    <i>
      <x v="58"/>
      <x v="2159"/>
      <x v="3"/>
    </i>
    <i>
      <x v="59"/>
      <x v="2078"/>
      <x v="3"/>
    </i>
    <i>
      <x v="60"/>
      <x v="819"/>
      <x v="4"/>
    </i>
    <i r="1">
      <x v="930"/>
      <x v="4"/>
    </i>
    <i>
      <x v="61"/>
      <x v="139"/>
      <x v="4"/>
    </i>
    <i>
      <x v="62"/>
      <x v="2583"/>
      <x v="3"/>
    </i>
    <i>
      <x v="63"/>
      <x v="2582"/>
      <x v="1"/>
    </i>
    <i>
      <x v="64"/>
      <x v="161"/>
      <x v="4"/>
    </i>
    <i>
      <x v="65"/>
      <x v="2004"/>
      <x v="1"/>
    </i>
    <i>
      <x v="66"/>
      <x v="1392"/>
      <x v="3"/>
    </i>
    <i>
      <x v="67"/>
      <x v="1539"/>
      <x v="3"/>
    </i>
    <i>
      <x v="68"/>
      <x v="1386"/>
      <x v="3"/>
    </i>
    <i>
      <x v="69"/>
      <x v="524"/>
      <x v="4"/>
    </i>
    <i r="1">
      <x v="1659"/>
      <x v="3"/>
    </i>
    <i>
      <x v="70"/>
      <x v="664"/>
      <x v="4"/>
    </i>
    <i r="1">
      <x v="2035"/>
      <x v="2"/>
    </i>
    <i>
      <x v="71"/>
      <x v="2036"/>
      <x v="1"/>
    </i>
    <i>
      <x v="72"/>
      <x v="2037"/>
      <x v="3"/>
    </i>
    <i>
      <x v="73"/>
      <x v="1743"/>
      <x v="3"/>
    </i>
    <i>
      <x v="74"/>
      <x v="532"/>
      <x v="4"/>
    </i>
    <i>
      <x v="75"/>
      <x v="1576"/>
      <x v="3"/>
    </i>
    <i>
      <x v="76"/>
      <x v="1306"/>
      <x v="3"/>
    </i>
    <i>
      <x v="77"/>
      <x v="1387"/>
      <x v="3"/>
    </i>
    <i>
      <x v="78"/>
      <x v="67"/>
      <x v="4"/>
    </i>
    <i>
      <x v="79"/>
      <x v="518"/>
      <x v="4"/>
    </i>
    <i r="1">
      <x v="1215"/>
      <x v="4"/>
    </i>
    <i>
      <x v="80"/>
      <x v="1357"/>
      <x v="3"/>
    </i>
    <i>
      <x v="81"/>
      <x v="2456"/>
      <x v="2"/>
    </i>
    <i>
      <x v="82"/>
      <x v="2253"/>
      <x v="3"/>
    </i>
    <i>
      <x v="83"/>
      <x v="1050"/>
      <x v="4"/>
    </i>
    <i>
      <x v="84"/>
      <x v="434"/>
      <x v="4"/>
    </i>
    <i>
      <x v="85"/>
      <x v="1201"/>
      <x v="4"/>
    </i>
    <i r="1">
      <x v="2221"/>
      <x v="3"/>
    </i>
    <i>
      <x v="86"/>
      <x v="272"/>
      <x v="4"/>
    </i>
    <i>
      <x v="87"/>
      <x v="326"/>
      <x v="4"/>
    </i>
    <i r="1">
      <x v="2291"/>
      <x v="2"/>
    </i>
    <i>
      <x v="88"/>
      <x v="2297"/>
      <x v="3"/>
    </i>
    <i>
      <x v="89"/>
      <x v="299"/>
      <x v="4"/>
    </i>
    <i>
      <x v="90"/>
      <x v="1324"/>
      <x v="3"/>
    </i>
    <i>
      <x v="91"/>
      <x v="1500"/>
      <x v="3"/>
    </i>
    <i>
      <x v="92"/>
      <x v="1468"/>
      <x v="3"/>
    </i>
    <i>
      <x v="93"/>
      <x v="2422"/>
      <x v="3"/>
    </i>
    <i>
      <x v="94"/>
      <x v="1172"/>
      <x v="4"/>
    </i>
    <i>
      <x v="95"/>
      <x v="1780"/>
      <x v="3"/>
    </i>
    <i>
      <x v="96"/>
      <x v="2714"/>
      <x v="3"/>
    </i>
    <i>
      <x v="97"/>
      <x v="2482"/>
      <x v="3"/>
    </i>
    <i>
      <x v="98"/>
      <x v="1105"/>
      <x v="4"/>
    </i>
    <i r="1">
      <x v="1708"/>
      <x v="3"/>
    </i>
    <i>
      <x v="99"/>
      <x v="1279"/>
      <x v="3"/>
    </i>
    <i r="1">
      <x v="2412"/>
      <x v="1"/>
    </i>
    <i>
      <x v="100"/>
      <x v="2411"/>
      <x v="2"/>
    </i>
    <i>
      <x v="101"/>
      <x v="2335"/>
      <x v="3"/>
    </i>
    <i>
      <x v="102"/>
      <x v="1184"/>
      <x v="4"/>
    </i>
    <i>
      <x v="103"/>
      <x v="750"/>
      <x v="4"/>
    </i>
    <i>
      <x v="104"/>
      <x v="1186"/>
      <x v="4"/>
    </i>
    <i>
      <x v="105"/>
      <x v="1056"/>
      <x v="4"/>
    </i>
    <i>
      <x v="106"/>
      <x v="2225"/>
      <x v="3"/>
    </i>
    <i>
      <x v="107"/>
      <x v="2465"/>
      <x v="2"/>
    </i>
    <i>
      <x v="108"/>
      <x v="1260"/>
      <x v="4"/>
    </i>
    <i>
      <x v="109"/>
      <x v="342"/>
      <x v="4"/>
    </i>
    <i r="1">
      <x v="1261"/>
      <x v="4"/>
    </i>
    <i r="1">
      <x v="2753"/>
      <x v="3"/>
    </i>
    <i>
      <x v="110"/>
      <x v="320"/>
      <x v="4"/>
    </i>
    <i>
      <x v="111"/>
      <x v="319"/>
      <x v="4"/>
    </i>
    <i>
      <x v="112"/>
      <x v="765"/>
      <x v="4"/>
    </i>
    <i>
      <x v="113"/>
      <x v="631"/>
      <x v="4"/>
    </i>
    <i>
      <x v="114"/>
      <x v="751"/>
      <x v="4"/>
    </i>
    <i>
      <x v="115"/>
      <x v="1337"/>
      <x v="1"/>
    </i>
    <i>
      <x v="116"/>
      <x v="1943"/>
      <x v="3"/>
    </i>
    <i>
      <x v="117"/>
      <x v="1602"/>
      <x v="2"/>
    </i>
    <i>
      <x v="118"/>
      <x v="688"/>
      <x v="4"/>
    </i>
    <i>
      <x v="119"/>
      <x v="2154"/>
      <x v="3"/>
    </i>
    <i>
      <x v="120"/>
      <x v="1629"/>
      <x v="3"/>
    </i>
    <i>
      <x v="121"/>
      <x v="109"/>
      <x v="4"/>
    </i>
    <i>
      <x v="122"/>
      <x v="600"/>
      <x v="4"/>
    </i>
    <i>
      <x v="123"/>
      <x v="692"/>
      <x v="4"/>
    </i>
    <i>
      <x v="124"/>
      <x v="1864"/>
      <x v="3"/>
    </i>
    <i>
      <x v="125"/>
      <x v="1850"/>
      <x v="2"/>
    </i>
    <i>
      <x v="126"/>
      <x v="1658"/>
      <x v="3"/>
    </i>
    <i>
      <x v="127"/>
      <x v="2865"/>
      <x v="3"/>
    </i>
    <i>
      <x v="128"/>
      <x v="1846"/>
      <x v="3"/>
    </i>
    <i>
      <x v="129"/>
      <x v="91"/>
      <x v="4"/>
    </i>
    <i r="1">
      <x v="1333"/>
      <x v="3"/>
    </i>
    <i>
      <x v="130"/>
      <x v="1536"/>
      <x v="3"/>
    </i>
    <i>
      <x v="131"/>
      <x v="202"/>
      <x v="4"/>
    </i>
    <i>
      <x v="132"/>
      <x v="289"/>
      <x v="4"/>
    </i>
    <i r="1">
      <x v="574"/>
      <x v="4"/>
    </i>
    <i r="1">
      <x v="1716"/>
      <x v="3"/>
    </i>
    <i>
      <x v="133"/>
      <x v="582"/>
      <x v="4"/>
    </i>
    <i>
      <x v="134"/>
      <x v="755"/>
      <x v="4"/>
    </i>
    <i>
      <x v="135"/>
      <x v="2541"/>
      <x v="2"/>
    </i>
    <i>
      <x v="136"/>
      <x v="1721"/>
      <x v="2"/>
    </i>
    <i>
      <x v="137"/>
      <x v="722"/>
      <x v="4"/>
    </i>
    <i>
      <x v="138"/>
      <x v="2"/>
      <x v="4"/>
    </i>
    <i>
      <x v="139"/>
      <x v="1518"/>
      <x v="3"/>
    </i>
    <i>
      <x v="140"/>
      <x v="2269"/>
      <x v="3"/>
    </i>
    <i>
      <x v="141"/>
      <x v="2572"/>
      <x v="3"/>
    </i>
    <i>
      <x v="142"/>
      <x v="2776"/>
      <x v="3"/>
    </i>
    <i>
      <x v="143"/>
      <x v="1782"/>
      <x v="3"/>
    </i>
    <i>
      <x v="144"/>
      <x v="1216"/>
      <x v="4"/>
    </i>
    <i>
      <x v="145"/>
      <x v="939"/>
      <x v="4"/>
    </i>
    <i>
      <x v="146"/>
      <x v="1995"/>
      <x v="3"/>
    </i>
    <i>
      <x v="147"/>
      <x v="2759"/>
      <x v="1"/>
    </i>
    <i>
      <x v="148"/>
      <x v="2679"/>
      <x v="3"/>
    </i>
    <i>
      <x v="149"/>
      <x v="43"/>
      <x v="4"/>
    </i>
    <i>
      <x v="150"/>
      <x v="2760"/>
      <x v="3"/>
    </i>
    <i>
      <x v="151"/>
      <x v="2703"/>
      <x v="3"/>
    </i>
    <i>
      <x v="152"/>
      <x v="599"/>
      <x v="4"/>
    </i>
    <i>
      <x v="153"/>
      <x v="451"/>
      <x v="4"/>
    </i>
    <i r="1">
      <x v="2469"/>
      <x v="3"/>
    </i>
    <i>
      <x v="154"/>
      <x v="2849"/>
      <x v="3"/>
    </i>
    <i>
      <x v="155"/>
      <x v="1451"/>
      <x v="3"/>
    </i>
    <i>
      <x v="156"/>
      <x v="734"/>
      <x v="4"/>
    </i>
    <i>
      <x v="157"/>
      <x v="2799"/>
      <x v="3"/>
    </i>
    <i>
      <x v="158"/>
      <x v="141"/>
      <x v="4"/>
    </i>
    <i>
      <x v="159"/>
      <x v="908"/>
      <x v="4"/>
    </i>
    <i r="1">
      <x v="2170"/>
      <x v="2"/>
    </i>
    <i>
      <x v="160"/>
      <x v="1564"/>
      <x v="3"/>
    </i>
    <i r="1">
      <x v="1852"/>
      <x v="2"/>
    </i>
    <i>
      <x v="161"/>
      <x v="610"/>
      <x v="4"/>
    </i>
    <i>
      <x v="162"/>
      <x v="2050"/>
      <x v="3"/>
    </i>
    <i>
      <x v="163"/>
      <x v="1865"/>
      <x v="3"/>
    </i>
    <i>
      <x v="164"/>
      <x v="585"/>
      <x v="4"/>
    </i>
    <i>
      <x v="165"/>
      <x v="2649"/>
      <x v="3"/>
    </i>
    <i>
      <x v="166"/>
      <x v="1611"/>
      <x v="3"/>
    </i>
    <i>
      <x v="167"/>
      <x v="1608"/>
      <x v="3"/>
    </i>
    <i>
      <x v="168"/>
      <x v="1605"/>
      <x v="3"/>
    </i>
    <i>
      <x v="169"/>
      <x v="1612"/>
      <x v="3"/>
    </i>
    <i>
      <x v="170"/>
      <x v="335"/>
      <x v="4"/>
    </i>
    <i r="1">
      <x v="2216"/>
      <x v="3"/>
    </i>
    <i>
      <x v="171"/>
      <x v="336"/>
      <x v="4"/>
    </i>
    <i>
      <x v="172"/>
      <x v="2145"/>
      <x v="3"/>
    </i>
    <i>
      <x v="173"/>
      <x v="378"/>
      <x v="4"/>
    </i>
    <i r="1">
      <x v="2238"/>
      <x v="3"/>
    </i>
    <i>
      <x v="174"/>
      <x v="1798"/>
      <x v="3"/>
    </i>
    <i>
      <x v="175"/>
      <x v="1544"/>
      <x v="3"/>
    </i>
    <i>
      <x v="176"/>
      <x v="191"/>
      <x v="4"/>
    </i>
    <i>
      <x v="177"/>
      <x v="1295"/>
      <x v="1"/>
    </i>
    <i>
      <x v="178"/>
      <x v="624"/>
      <x v="4"/>
    </i>
    <i r="1">
      <x v="1993"/>
      <x v="1"/>
    </i>
    <i>
      <x v="179"/>
      <x v="2414"/>
      <x v="3"/>
    </i>
    <i>
      <x v="180"/>
      <x v="1134"/>
      <x v="4"/>
    </i>
    <i>
      <x v="181"/>
      <x v="1128"/>
      <x v="4"/>
    </i>
    <i>
      <x v="182"/>
      <x v="684"/>
      <x v="4"/>
    </i>
    <i r="1">
      <x v="1531"/>
      <x v="3"/>
    </i>
    <i>
      <x v="183"/>
      <x v="2495"/>
      <x v="3"/>
    </i>
    <i>
      <x v="184"/>
      <x v="430"/>
      <x v="4"/>
    </i>
    <i>
      <x v="185"/>
      <x v="2713"/>
      <x v="3"/>
    </i>
    <i>
      <x v="186"/>
      <x v="1866"/>
      <x v="3"/>
    </i>
    <i>
      <x v="187"/>
      <x v="1686"/>
      <x v="3"/>
    </i>
    <i>
      <x v="188"/>
      <x v="499"/>
      <x v="4"/>
    </i>
    <i>
      <x v="189"/>
      <x v="500"/>
      <x v="4"/>
    </i>
    <i>
      <x v="190"/>
      <x v="557"/>
      <x v="4"/>
    </i>
    <i r="1">
      <x v="1848"/>
      <x v="3"/>
    </i>
    <i>
      <x v="191"/>
      <x v="1129"/>
      <x v="4"/>
    </i>
    <i r="1">
      <x v="2622"/>
      <x v="2"/>
    </i>
    <i r="1">
      <x v="2623"/>
      <x v="1"/>
    </i>
    <i>
      <x v="192"/>
      <x v="128"/>
      <x v="4"/>
    </i>
    <i>
      <x v="193"/>
      <x v="1368"/>
      <x v="3"/>
    </i>
    <i>
      <x v="194"/>
      <x v="1537"/>
      <x v="3"/>
    </i>
    <i r="1">
      <x v="2806"/>
      <x v="2"/>
    </i>
    <i>
      <x v="195"/>
      <x v="1343"/>
      <x v="3"/>
    </i>
    <i>
      <x v="196"/>
      <x v="1565"/>
      <x v="3"/>
    </i>
    <i>
      <x v="197"/>
      <x v="302"/>
      <x v="4"/>
    </i>
    <i>
      <x v="198"/>
      <x v="468"/>
      <x v="4"/>
    </i>
    <i>
      <x v="199"/>
      <x v="379"/>
      <x v="4"/>
    </i>
    <i r="1">
      <x v="2237"/>
      <x v="3"/>
    </i>
    <i>
      <x v="200"/>
      <x v="1119"/>
      <x v="4"/>
    </i>
    <i>
      <x v="201"/>
      <x v="153"/>
      <x v="4"/>
    </i>
    <i>
      <x v="202"/>
      <x v="198"/>
      <x v="4"/>
    </i>
    <i>
      <x v="203"/>
      <x v="113"/>
      <x v="4"/>
    </i>
    <i>
      <x v="204"/>
      <x v="120"/>
      <x v="4"/>
    </i>
    <i>
      <x v="205"/>
      <x v="1318"/>
      <x v="3"/>
    </i>
    <i>
      <x v="206"/>
      <x v="1328"/>
      <x v="3"/>
    </i>
    <i>
      <x v="207"/>
      <x v="114"/>
      <x v="4"/>
    </i>
    <i>
      <x v="208"/>
      <x v="1473"/>
      <x v="3"/>
    </i>
    <i>
      <x v="209"/>
      <x v="1918"/>
      <x v="3"/>
    </i>
    <i>
      <x v="210"/>
      <x v="3"/>
      <x v="4"/>
    </i>
    <i>
      <x v="211"/>
      <x v="25"/>
      <x v="4"/>
    </i>
    <i>
      <x v="212"/>
      <x v="1934"/>
      <x v="3"/>
    </i>
    <i>
      <x v="213"/>
      <x v="1373"/>
      <x v="3"/>
    </i>
    <i>
      <x v="214"/>
      <x v="873"/>
      <x v="4"/>
    </i>
    <i>
      <x v="215"/>
      <x v="1291"/>
      <x v="2"/>
    </i>
    <i>
      <x v="216"/>
      <x v="1310"/>
      <x v="3"/>
    </i>
    <i>
      <x v="217"/>
      <x v="1746"/>
      <x v="3"/>
    </i>
    <i>
      <x v="218"/>
      <x v="192"/>
      <x v="4"/>
    </i>
    <i>
      <x v="219"/>
      <x v="1535"/>
      <x v="3"/>
    </i>
    <i>
      <x v="220"/>
      <x v="1499"/>
      <x v="3"/>
    </i>
    <i>
      <x v="221"/>
      <x v="2481"/>
      <x v="3"/>
    </i>
    <i>
      <x v="222"/>
      <x v="1376"/>
      <x v="3"/>
    </i>
    <i>
      <x v="223"/>
      <x v="1490"/>
      <x v="3"/>
    </i>
    <i>
      <x v="224"/>
      <x v="4"/>
      <x v="4"/>
    </i>
    <i>
      <x v="225"/>
      <x v="101"/>
      <x v="4"/>
    </i>
    <i r="1">
      <x v="1547"/>
      <x v="1"/>
    </i>
    <i>
      <x v="226"/>
      <x v="1285"/>
      <x v="2"/>
    </i>
    <i>
      <x v="227"/>
      <x v="1302"/>
      <x v="3"/>
    </i>
    <i>
      <x v="228"/>
      <x v="1391"/>
      <x v="3"/>
    </i>
    <i>
      <x v="229"/>
      <x v="1479"/>
      <x v="3"/>
    </i>
    <i>
      <x v="230"/>
      <x v="1322"/>
      <x v="3"/>
    </i>
    <i>
      <x v="231"/>
      <x v="1507"/>
      <x v="3"/>
    </i>
    <i>
      <x v="232"/>
      <x v="1176"/>
      <x v="4"/>
    </i>
    <i>
      <x v="233"/>
      <x v="820"/>
      <x v="4"/>
    </i>
    <i>
      <x v="234"/>
      <x v="17"/>
      <x v="4"/>
    </i>
    <i r="1">
      <x v="44"/>
      <x v="4"/>
    </i>
    <i>
      <x v="235"/>
      <x v="850"/>
      <x v="4"/>
    </i>
    <i r="1">
      <x v="2124"/>
      <x v="3"/>
    </i>
    <i>
      <x v="236"/>
      <x v="359"/>
      <x v="4"/>
    </i>
    <i>
      <x v="237"/>
      <x v="2105"/>
      <x v="3"/>
    </i>
    <i>
      <x v="238"/>
      <x v="534"/>
      <x v="4"/>
    </i>
    <i r="1">
      <x v="1935"/>
      <x v="2"/>
    </i>
    <i>
      <x v="239"/>
      <x v="2077"/>
      <x v="1"/>
    </i>
    <i>
      <x v="240"/>
      <x v="882"/>
      <x v="4"/>
    </i>
    <i>
      <x v="241"/>
      <x v="84"/>
      <x v="4"/>
    </i>
    <i>
      <x v="242"/>
      <x v="380"/>
      <x v="4"/>
    </i>
    <i r="1">
      <x v="2627"/>
      <x v="3"/>
    </i>
    <i>
      <x v="243"/>
      <x v="2051"/>
      <x v="2"/>
    </i>
    <i>
      <x v="244"/>
      <x v="321"/>
      <x v="4"/>
    </i>
    <i>
      <x v="245"/>
      <x v="317"/>
      <x v="4"/>
    </i>
    <i>
      <x v="246"/>
      <x v="360"/>
      <x v="4"/>
    </i>
    <i r="1">
      <x v="2226"/>
      <x v="3"/>
    </i>
    <i>
      <x v="247"/>
      <x v="2234"/>
      <x v="2"/>
    </i>
    <i>
      <x v="248"/>
      <x v="2310"/>
      <x v="3"/>
    </i>
    <i>
      <x v="249"/>
      <x v="199"/>
      <x v="4"/>
    </i>
    <i r="1">
      <x v="812"/>
      <x v="4"/>
    </i>
    <i r="1">
      <x v="2097"/>
      <x v="3"/>
    </i>
    <i r="1">
      <x v="2485"/>
      <x v="2"/>
    </i>
    <i>
      <x v="250"/>
      <x v="366"/>
      <x v="4"/>
    </i>
    <i>
      <x v="251"/>
      <x v="2357"/>
      <x v="3"/>
    </i>
    <i>
      <x v="252"/>
      <x v="651"/>
      <x v="4"/>
    </i>
    <i>
      <x v="253"/>
      <x v="405"/>
      <x v="4"/>
    </i>
    <i r="1">
      <x v="2435"/>
      <x v="1"/>
    </i>
    <i r="1">
      <x v="2585"/>
      <x v="3"/>
    </i>
    <i>
      <x v="254"/>
      <x v="2434"/>
      <x v="2"/>
    </i>
    <i>
      <x v="255"/>
      <x v="2441"/>
      <x v="3"/>
    </i>
    <i>
      <x v="256"/>
      <x v="1981"/>
      <x v="1"/>
    </i>
    <i>
      <x v="257"/>
      <x v="2002"/>
      <x v="3"/>
    </i>
    <i>
      <x v="258"/>
      <x v="1446"/>
      <x v="3"/>
    </i>
    <i>
      <x v="259"/>
      <x v="2706"/>
      <x v="3"/>
    </i>
    <i>
      <x v="260"/>
      <x v="594"/>
      <x v="4"/>
    </i>
    <i>
      <x v="261"/>
      <x v="5"/>
      <x v="4"/>
    </i>
    <i>
      <x v="262"/>
      <x v="2157"/>
      <x v="3"/>
    </i>
    <i>
      <x v="263"/>
      <x v="931"/>
      <x v="4"/>
    </i>
    <i>
      <x v="264"/>
      <x v="652"/>
      <x v="4"/>
    </i>
    <i r="1">
      <x v="803"/>
      <x v="4"/>
    </i>
    <i>
      <x v="265"/>
      <x v="2278"/>
      <x v="3"/>
    </i>
    <i>
      <x v="266"/>
      <x v="2628"/>
      <x v="3"/>
    </i>
    <i>
      <x v="267"/>
      <x v="851"/>
      <x v="4"/>
    </i>
    <i>
      <x v="268"/>
      <x v="477"/>
      <x v="4"/>
    </i>
    <i>
      <x v="269"/>
      <x v="2272"/>
      <x v="2"/>
    </i>
    <i r="1">
      <x v="2279"/>
      <x v="3"/>
    </i>
    <i>
      <x v="270"/>
      <x v="2359"/>
      <x v="3"/>
    </i>
    <i>
      <x v="271"/>
      <x v="511"/>
      <x v="4"/>
    </i>
    <i r="1">
      <x v="1939"/>
      <x v="2"/>
    </i>
    <i>
      <x v="272"/>
      <x v="98"/>
      <x v="4"/>
    </i>
    <i>
      <x v="273"/>
      <x v="1779"/>
      <x v="3"/>
    </i>
    <i>
      <x v="274"/>
      <x v="1789"/>
      <x v="3"/>
    </i>
    <i>
      <x v="275"/>
      <x v="1249"/>
      <x v="4"/>
    </i>
    <i r="1">
      <x v="1634"/>
      <x v="3"/>
    </i>
    <i>
      <x v="276"/>
      <x v="2457"/>
      <x v="3"/>
    </i>
    <i>
      <x v="277"/>
      <x v="435"/>
      <x v="4"/>
    </i>
    <i>
      <x v="278"/>
      <x v="2252"/>
      <x v="3"/>
    </i>
    <i>
      <x v="279"/>
      <x v="1043"/>
      <x v="4"/>
    </i>
    <i>
      <x v="280"/>
      <x v="1250"/>
      <x v="4"/>
    </i>
    <i>
      <x v="281"/>
      <x v="285"/>
      <x v="4"/>
    </i>
    <i r="1">
      <x v="932"/>
      <x v="4"/>
    </i>
    <i r="1">
      <x v="2376"/>
      <x v="3"/>
    </i>
    <i>
      <x v="282"/>
      <x v="1217"/>
      <x v="4"/>
    </i>
    <i>
      <x v="283"/>
      <x v="1262"/>
      <x v="4"/>
    </i>
    <i>
      <x v="284"/>
      <x v="694"/>
      <x v="4"/>
    </i>
    <i>
      <x v="285"/>
      <x v="1947"/>
      <x v="3"/>
    </i>
    <i>
      <x v="286"/>
      <x v="2207"/>
      <x v="3"/>
    </i>
    <i>
      <x v="287"/>
      <x v="63"/>
      <x v="4"/>
    </i>
    <i r="1">
      <x v="1365"/>
      <x v="3"/>
    </i>
    <i>
      <x v="288"/>
      <x v="1811"/>
      <x v="3"/>
    </i>
    <i>
      <x v="289"/>
      <x v="2595"/>
      <x v="3"/>
    </i>
    <i>
      <x v="290"/>
      <x v="45"/>
      <x v="4"/>
    </i>
    <i>
      <x v="291"/>
      <x v="337"/>
      <x v="4"/>
    </i>
    <i>
      <x v="292"/>
      <x v="974"/>
      <x v="4"/>
    </i>
    <i r="1">
      <x v="1582"/>
      <x v="3"/>
    </i>
    <i>
      <x v="293"/>
      <x v="1130"/>
      <x v="4"/>
    </i>
    <i>
      <x v="294"/>
      <x v="589"/>
      <x v="4"/>
    </i>
    <i r="1">
      <x v="2052"/>
      <x v="3"/>
    </i>
    <i>
      <x v="295"/>
      <x v="400"/>
      <x v="4"/>
    </i>
    <i r="1">
      <x v="2446"/>
      <x v="3"/>
    </i>
    <i>
      <x v="296"/>
      <x v="2810"/>
      <x v="3"/>
    </i>
    <i>
      <x v="297"/>
      <x v="2811"/>
      <x v="3"/>
    </i>
    <i>
      <x v="298"/>
      <x v="355"/>
      <x v="4"/>
    </i>
    <i>
      <x v="299"/>
      <x v="561"/>
      <x v="4"/>
    </i>
    <i>
      <x v="300"/>
      <x v="2183"/>
      <x v="3"/>
    </i>
    <i>
      <x v="301"/>
      <x v="775"/>
      <x v="4"/>
    </i>
    <i r="1">
      <x v="2761"/>
      <x v="3"/>
    </i>
    <i>
      <x v="302"/>
      <x v="401"/>
      <x v="4"/>
    </i>
    <i>
      <x v="303"/>
      <x v="69"/>
      <x v="4"/>
    </i>
    <i>
      <x v="304"/>
      <x v="2646"/>
      <x v="3"/>
    </i>
    <i>
      <x v="305"/>
      <x v="2330"/>
      <x v="3"/>
    </i>
    <i>
      <x v="306"/>
      <x v="595"/>
      <x v="4"/>
    </i>
    <i>
      <x v="307"/>
      <x v="1727"/>
      <x v="3"/>
    </i>
    <i>
      <x v="308"/>
      <x v="1692"/>
      <x v="3"/>
    </i>
    <i>
      <x v="309"/>
      <x v="525"/>
      <x v="4"/>
    </i>
    <i r="1">
      <x v="1740"/>
      <x v="2"/>
    </i>
    <i r="1">
      <x v="1741"/>
      <x v="3"/>
    </i>
    <i>
      <x v="310"/>
      <x v="459"/>
      <x v="4"/>
    </i>
    <i>
      <x v="311"/>
      <x v="1601"/>
      <x v="3"/>
    </i>
    <i>
      <x v="312"/>
      <x v="727"/>
      <x v="4"/>
    </i>
    <i r="1">
      <x v="2542"/>
      <x v="2"/>
    </i>
    <i>
      <x v="313"/>
      <x v="844"/>
      <x v="4"/>
    </i>
    <i r="1">
      <x v="2505"/>
      <x v="3"/>
    </i>
    <i>
      <x v="314"/>
      <x v="2545"/>
      <x v="3"/>
    </i>
    <i>
      <x v="315"/>
      <x v="26"/>
      <x v="4"/>
    </i>
    <i>
      <x v="316"/>
      <x v="365"/>
      <x v="4"/>
    </i>
    <i>
      <x v="317"/>
      <x v="195"/>
      <x v="4"/>
    </i>
    <i>
      <x v="318"/>
      <x v="977"/>
      <x v="4"/>
    </i>
    <i>
      <x v="319"/>
      <x v="1319"/>
      <x v="3"/>
    </i>
    <i>
      <x v="320"/>
      <x v="1585"/>
      <x v="3"/>
    </i>
    <i>
      <x v="321"/>
      <x v="133"/>
      <x v="4"/>
    </i>
    <i r="1">
      <x v="1534"/>
      <x v="1"/>
    </i>
    <i>
      <x v="322"/>
      <x v="300"/>
      <x v="4"/>
    </i>
    <i>
      <x v="323"/>
      <x v="38"/>
      <x v="4"/>
    </i>
    <i>
      <x v="324"/>
      <x v="154"/>
      <x v="4"/>
    </i>
    <i r="1">
      <x v="968"/>
      <x v="4"/>
    </i>
    <i r="1">
      <x v="978"/>
      <x v="4"/>
    </i>
    <i r="1">
      <x v="1064"/>
      <x v="4"/>
    </i>
    <i r="1">
      <x v="1691"/>
      <x v="3"/>
    </i>
    <i>
      <x v="325"/>
      <x v="1406"/>
      <x v="3"/>
    </i>
    <i>
      <x v="326"/>
      <x v="104"/>
      <x v="4"/>
    </i>
    <i>
      <x v="327"/>
      <x v="1039"/>
      <x v="4"/>
    </i>
    <i>
      <x v="328"/>
      <x v="1051"/>
      <x v="4"/>
    </i>
    <i>
      <x v="329"/>
      <x v="1122"/>
      <x v="4"/>
    </i>
    <i>
      <x v="330"/>
      <x v="157"/>
      <x v="4"/>
    </i>
    <i r="1">
      <x v="1484"/>
      <x v="3"/>
    </i>
    <i>
      <x v="331"/>
      <x v="1428"/>
      <x v="3"/>
    </i>
    <i>
      <x v="332"/>
      <x v="1467"/>
      <x v="3"/>
    </i>
    <i>
      <x v="333"/>
      <x v="1321"/>
      <x v="3"/>
    </i>
    <i>
      <x v="334"/>
      <x v="584"/>
      <x v="4"/>
    </i>
    <i>
      <x v="335"/>
      <x v="2817"/>
      <x v="1"/>
    </i>
    <i>
      <x v="336"/>
      <x v="941"/>
      <x v="4"/>
    </i>
    <i>
      <x v="337"/>
      <x v="2722"/>
      <x v="3"/>
    </i>
    <i>
      <x v="338"/>
      <x v="1114"/>
      <x v="4"/>
    </i>
    <i>
      <x v="339"/>
      <x v="2829"/>
      <x v="3"/>
    </i>
    <i>
      <x v="340"/>
      <x v="305"/>
      <x v="4"/>
    </i>
    <i r="1">
      <x v="2795"/>
      <x v="3"/>
    </i>
    <i>
      <x v="341"/>
      <x v="796"/>
      <x v="4"/>
    </i>
    <i r="1">
      <x v="884"/>
      <x v="4"/>
    </i>
    <i r="1">
      <x v="2152"/>
      <x v="3"/>
    </i>
    <i>
      <x v="342"/>
      <x v="2476"/>
      <x v="3"/>
    </i>
    <i>
      <x v="343"/>
      <x v="756"/>
      <x v="4"/>
    </i>
    <i>
      <x v="344"/>
      <x v="2312"/>
      <x v="3"/>
    </i>
    <i>
      <x v="345"/>
      <x v="2539"/>
      <x v="2"/>
    </i>
    <i>
      <x v="346"/>
      <x v="665"/>
      <x v="4"/>
    </i>
    <i r="1">
      <x v="2026"/>
      <x v="1"/>
    </i>
    <i>
      <x v="347"/>
      <x v="39"/>
      <x v="4"/>
    </i>
    <i>
      <x v="348"/>
      <x v="1007"/>
      <x v="4"/>
    </i>
    <i>
      <x v="349"/>
      <x v="64"/>
      <x v="4"/>
    </i>
    <i r="1">
      <x v="1364"/>
      <x v="3"/>
    </i>
    <i>
      <x v="350"/>
      <x v="892"/>
      <x v="4"/>
    </i>
    <i r="1">
      <x v="2160"/>
      <x v="3"/>
    </i>
    <i>
      <x v="351"/>
      <x v="301"/>
      <x v="4"/>
    </i>
    <i r="1">
      <x v="909"/>
      <x v="4"/>
    </i>
    <i r="1">
      <x v="2752"/>
      <x v="1"/>
    </i>
    <i>
      <x v="352"/>
      <x v="433"/>
      <x v="4"/>
    </i>
    <i>
      <x v="353"/>
      <x v="1162"/>
      <x v="4"/>
    </i>
    <i>
      <x v="354"/>
      <x v="2601"/>
      <x v="3"/>
    </i>
    <i>
      <x v="355"/>
      <x v="735"/>
      <x v="4"/>
    </i>
    <i r="1">
      <x v="1610"/>
      <x v="3"/>
    </i>
    <i>
      <x v="356"/>
      <x v="505"/>
      <x v="4"/>
    </i>
    <i>
      <x v="357"/>
      <x v="1185"/>
      <x v="4"/>
    </i>
    <i>
      <x v="358"/>
      <x v="1347"/>
      <x v="3"/>
    </i>
    <i>
      <x v="359"/>
      <x v="65"/>
      <x v="4"/>
    </i>
    <i>
      <x v="360"/>
      <x v="632"/>
      <x v="4"/>
    </i>
    <i r="1">
      <x v="1988"/>
      <x v="3"/>
    </i>
    <i>
      <x v="361"/>
      <x v="2600"/>
      <x v="1"/>
    </i>
    <i>
      <x v="362"/>
      <x v="1685"/>
      <x v="3"/>
    </i>
    <i>
      <x v="363"/>
      <x v="1973"/>
      <x v="3"/>
    </i>
    <i>
      <x v="364"/>
      <x v="1972"/>
      <x v="2"/>
    </i>
    <i r="1">
      <x v="2602"/>
      <x v="1"/>
    </i>
    <i>
      <x v="365"/>
      <x v="2624"/>
      <x v="3"/>
    </i>
    <i>
      <x v="366"/>
      <x v="1198"/>
      <x v="4"/>
    </i>
    <i>
      <x v="367"/>
      <x v="481"/>
      <x v="4"/>
    </i>
    <i r="1">
      <x v="2370"/>
      <x v="3"/>
    </i>
    <i>
      <x v="368"/>
      <x v="2377"/>
      <x v="3"/>
    </i>
    <i>
      <x v="369"/>
      <x v="933"/>
      <x v="4"/>
    </i>
    <i>
      <x v="370"/>
      <x v="739"/>
      <x v="4"/>
    </i>
    <i>
      <x v="371"/>
      <x v="847"/>
      <x v="4"/>
    </i>
    <i r="1">
      <x v="2118"/>
      <x v="2"/>
    </i>
    <i>
      <x v="372"/>
      <x v="949"/>
      <x v="4"/>
    </i>
    <i>
      <x v="373"/>
      <x v="1020"/>
      <x v="4"/>
    </i>
    <i>
      <x v="374"/>
      <x v="1630"/>
      <x v="3"/>
    </i>
    <i>
      <x v="375"/>
      <x v="797"/>
      <x v="4"/>
    </i>
    <i>
      <x v="376"/>
      <x v="482"/>
      <x v="4"/>
    </i>
    <i>
      <x v="377"/>
      <x v="107"/>
      <x v="4"/>
    </i>
    <i>
      <x v="378"/>
      <x v="2549"/>
      <x v="3"/>
    </i>
    <i>
      <x v="379"/>
      <x v="508"/>
      <x v="4"/>
    </i>
    <i>
      <x v="380"/>
      <x v="1810"/>
      <x v="3"/>
    </i>
    <i>
      <x v="381"/>
      <x v="2850"/>
      <x v="3"/>
    </i>
    <i>
      <x v="382"/>
      <x v="562"/>
      <x v="4"/>
    </i>
    <i>
      <x v="383"/>
      <x v="568"/>
      <x v="4"/>
    </i>
    <i>
      <x v="384"/>
      <x v="1055"/>
      <x v="4"/>
    </i>
    <i>
      <x v="385"/>
      <x v="2116"/>
      <x v="3"/>
    </i>
    <i>
      <x v="386"/>
      <x v="105"/>
      <x v="4"/>
    </i>
    <i>
      <x v="387"/>
      <x v="1082"/>
      <x v="4"/>
    </i>
    <i>
      <x v="388"/>
      <x v="633"/>
      <x v="4"/>
    </i>
    <i>
      <x v="389"/>
      <x v="1057"/>
      <x v="4"/>
    </i>
    <i>
      <x v="390"/>
      <x v="1059"/>
      <x v="4"/>
    </i>
    <i>
      <x v="391"/>
      <x v="1474"/>
      <x v="3"/>
    </i>
    <i>
      <x v="392"/>
      <x v="2308"/>
      <x v="3"/>
    </i>
    <i>
      <x v="393"/>
      <x v="2421"/>
      <x v="3"/>
    </i>
    <i>
      <x v="394"/>
      <x v="2406"/>
      <x v="2"/>
    </i>
    <i>
      <x v="395"/>
      <x v="27"/>
      <x v="4"/>
    </i>
    <i r="1">
      <x v="99"/>
      <x v="4"/>
    </i>
    <i>
      <x v="396"/>
      <x v="2405"/>
      <x v="1"/>
    </i>
    <i>
      <x v="397"/>
      <x v="284"/>
      <x v="4"/>
    </i>
    <i r="1">
      <x v="325"/>
      <x v="4"/>
    </i>
    <i r="1">
      <x v="960"/>
      <x v="4"/>
    </i>
    <i r="1">
      <x v="2782"/>
      <x v="1"/>
    </i>
    <i>
      <x v="398"/>
      <x v="2783"/>
      <x v="3"/>
    </i>
    <i>
      <x v="399"/>
      <x v="1367"/>
      <x v="3"/>
    </i>
    <i>
      <x v="400"/>
      <x v="164"/>
      <x v="4"/>
    </i>
    <i>
      <x v="401"/>
      <x v="1412"/>
      <x v="3"/>
    </i>
    <i>
      <x v="402"/>
      <x v="653"/>
      <x v="4"/>
    </i>
    <i r="1">
      <x v="1919"/>
      <x v="3"/>
    </i>
    <i>
      <x v="403"/>
      <x v="2155"/>
      <x v="3"/>
    </i>
    <i>
      <x v="404"/>
      <x v="768"/>
      <x v="4"/>
    </i>
    <i>
      <x v="405"/>
      <x v="1263"/>
      <x v="4"/>
    </i>
    <i>
      <x v="406"/>
      <x v="869"/>
      <x v="4"/>
    </i>
    <i>
      <x v="407"/>
      <x v="60"/>
      <x v="4"/>
    </i>
    <i>
      <x v="408"/>
      <x v="1957"/>
      <x v="3"/>
    </i>
    <i>
      <x v="409"/>
      <x v="1559"/>
      <x v="3"/>
    </i>
    <i>
      <x v="410"/>
      <x v="172"/>
      <x v="4"/>
    </i>
    <i r="1">
      <x v="1411"/>
      <x v="2"/>
    </i>
    <i>
      <x v="411"/>
      <x v="1514"/>
      <x v="3"/>
    </i>
    <i>
      <x v="412"/>
      <x v="243"/>
      <x v="4"/>
    </i>
    <i>
      <x v="413"/>
      <x v="743"/>
      <x v="4"/>
    </i>
    <i r="1">
      <x v="2490"/>
      <x v="3"/>
    </i>
    <i>
      <x v="414"/>
      <x v="2492"/>
      <x v="3"/>
    </i>
    <i>
      <x v="415"/>
      <x v="2489"/>
      <x v="2"/>
    </i>
    <i>
      <x v="416"/>
      <x v="1996"/>
      <x v="2"/>
    </i>
    <i r="1">
      <x v="1997"/>
      <x v="1"/>
    </i>
    <i>
      <x v="417"/>
      <x v="804"/>
      <x v="4"/>
    </i>
    <i>
      <x v="418"/>
      <x v="2205"/>
      <x v="3"/>
    </i>
    <i>
      <x v="419"/>
      <x v="2615"/>
      <x v="3"/>
    </i>
    <i>
      <x v="420"/>
      <x v="1905"/>
      <x v="3"/>
    </i>
    <i>
      <x v="421"/>
      <x v="634"/>
      <x v="4"/>
    </i>
    <i>
      <x v="422"/>
      <x v="1970"/>
      <x v="3"/>
    </i>
    <i>
      <x v="423"/>
      <x v="1974"/>
      <x v="2"/>
    </i>
    <i r="1">
      <x v="1975"/>
      <x v="1"/>
    </i>
    <i>
      <x v="424"/>
      <x v="2005"/>
      <x v="3"/>
    </i>
    <i>
      <x v="425"/>
      <x v="423"/>
      <x v="4"/>
    </i>
    <i>
      <x v="426"/>
      <x v="1264"/>
      <x v="4"/>
    </i>
    <i>
      <x v="427"/>
      <x v="887"/>
      <x v="4"/>
    </i>
    <i r="1">
      <x v="2451"/>
      <x v="2"/>
    </i>
    <i>
      <x v="428"/>
      <x v="1335"/>
      <x v="3"/>
    </i>
    <i>
      <x v="429"/>
      <x v="2053"/>
      <x v="3"/>
    </i>
    <i r="1">
      <x v="2537"/>
      <x v="2"/>
    </i>
    <i>
      <x v="430"/>
      <x v="2426"/>
      <x v="3"/>
    </i>
    <i>
      <x v="431"/>
      <x v="2677"/>
      <x v="3"/>
    </i>
    <i>
      <x v="432"/>
      <x v="406"/>
      <x v="4"/>
    </i>
    <i r="1">
      <x v="2423"/>
      <x v="2"/>
    </i>
    <i>
      <x v="433"/>
      <x v="2424"/>
      <x v="1"/>
    </i>
    <i>
      <x v="434"/>
      <x v="2596"/>
      <x v="3"/>
    </i>
    <i>
      <x v="435"/>
      <x v="2597"/>
      <x v="3"/>
    </i>
    <i>
      <x v="436"/>
      <x v="2444"/>
      <x v="3"/>
    </i>
    <i>
      <x v="437"/>
      <x v="255"/>
      <x v="4"/>
    </i>
    <i>
      <x v="438"/>
      <x v="1994"/>
      <x v="2"/>
    </i>
    <i r="1">
      <x v="2603"/>
      <x v="3"/>
    </i>
    <i>
      <x v="439"/>
      <x v="203"/>
      <x v="4"/>
    </i>
    <i>
      <x v="440"/>
      <x v="344"/>
      <x v="4"/>
    </i>
    <i>
      <x v="441"/>
      <x v="910"/>
      <x v="4"/>
    </i>
    <i r="1">
      <x v="2173"/>
      <x v="3"/>
    </i>
    <i>
      <x v="442"/>
      <x v="2575"/>
      <x v="3"/>
    </i>
    <i>
      <x v="443"/>
      <x v="2233"/>
      <x v="2"/>
    </i>
    <i>
      <x v="444"/>
      <x v="787"/>
      <x v="4"/>
    </i>
    <i>
      <x v="445"/>
      <x v="1821"/>
      <x v="3"/>
    </i>
    <i>
      <x v="446"/>
      <x v="794"/>
      <x v="4"/>
    </i>
    <i r="1">
      <x v="2612"/>
      <x v="3"/>
    </i>
    <i>
      <x v="447"/>
      <x v="2694"/>
      <x v="3"/>
    </i>
    <i>
      <x v="448"/>
      <x v="367"/>
      <x v="4"/>
    </i>
    <i>
      <x v="449"/>
      <x v="1041"/>
      <x v="4"/>
    </i>
    <i>
      <x v="450"/>
      <x v="1338"/>
      <x v="3"/>
    </i>
    <i>
      <x v="451"/>
      <x v="257"/>
      <x v="4"/>
    </i>
    <i r="1">
      <x v="2738"/>
      <x v="1"/>
    </i>
    <i>
      <x v="452"/>
      <x v="2739"/>
      <x v="3"/>
    </i>
    <i>
      <x v="453"/>
      <x v="2830"/>
      <x v="3"/>
    </i>
    <i>
      <x v="454"/>
      <x v="1562"/>
      <x v="1"/>
    </i>
    <i>
      <x v="455"/>
      <x v="1241"/>
      <x v="4"/>
    </i>
    <i>
      <x v="456"/>
      <x v="1242"/>
      <x v="4"/>
    </i>
    <i>
      <x v="457"/>
      <x v="1243"/>
      <x v="4"/>
    </i>
    <i>
      <x v="458"/>
      <x v="1327"/>
      <x v="3"/>
    </i>
    <i>
      <x v="459"/>
      <x v="1069"/>
      <x v="4"/>
    </i>
    <i r="1">
      <x v="2645"/>
      <x v="3"/>
    </i>
    <i>
      <x v="460"/>
      <x v="40"/>
      <x v="4"/>
    </i>
    <i>
      <x v="461"/>
      <x v="2827"/>
      <x v="3"/>
    </i>
    <i>
      <x v="462"/>
      <x v="911"/>
      <x v="4"/>
    </i>
    <i r="1">
      <x v="2175"/>
      <x v="3"/>
    </i>
    <i>
      <x v="463"/>
      <x v="356"/>
      <x v="4"/>
    </i>
    <i>
      <x v="464"/>
      <x v="723"/>
      <x v="4"/>
    </i>
    <i r="1">
      <x v="1030"/>
      <x v="4"/>
    </i>
    <i r="1">
      <x v="1065"/>
      <x v="4"/>
    </i>
    <i r="1">
      <x v="1867"/>
      <x v="3"/>
    </i>
    <i r="1">
      <x v="2557"/>
      <x v="2"/>
    </i>
    <i>
      <x v="465"/>
      <x v="1552"/>
      <x v="3"/>
    </i>
    <i>
      <x v="466"/>
      <x v="21"/>
      <x v="4"/>
    </i>
    <i>
      <x v="467"/>
      <x v="998"/>
      <x v="4"/>
    </i>
    <i r="1">
      <x v="1668"/>
      <x v="2"/>
    </i>
    <i>
      <x v="468"/>
      <x v="358"/>
      <x v="4"/>
    </i>
    <i>
      <x v="469"/>
      <x v="1083"/>
      <x v="4"/>
    </i>
    <i>
      <x v="470"/>
      <x v="852"/>
      <x v="4"/>
    </i>
    <i>
      <x v="471"/>
      <x v="866"/>
      <x v="4"/>
    </i>
    <i r="1">
      <x v="1218"/>
      <x v="4"/>
    </i>
    <i r="1">
      <x v="2831"/>
      <x v="3"/>
    </i>
    <i>
      <x v="472"/>
      <x v="2161"/>
      <x v="3"/>
    </i>
    <i>
      <x v="473"/>
      <x v="124"/>
      <x v="4"/>
    </i>
    <i>
      <x v="474"/>
      <x v="2696"/>
      <x v="3"/>
    </i>
    <i>
      <x v="475"/>
      <x v="2471"/>
      <x v="3"/>
    </i>
    <i>
      <x v="476"/>
      <x v="1620"/>
      <x v="3"/>
    </i>
    <i>
      <x v="477"/>
      <x v="1131"/>
      <x v="4"/>
    </i>
    <i>
      <x v="478"/>
      <x v="1675"/>
      <x v="3"/>
    </i>
    <i>
      <x v="479"/>
      <x v="2415"/>
      <x v="3"/>
    </i>
    <i>
      <x v="480"/>
      <x v="2156"/>
      <x v="3"/>
    </i>
    <i>
      <x v="481"/>
      <x v="1844"/>
      <x v="3"/>
    </i>
    <i>
      <x v="482"/>
      <x v="1123"/>
      <x v="4"/>
    </i>
    <i>
      <x v="483"/>
      <x v="1086"/>
      <x v="4"/>
    </i>
    <i>
      <x v="484"/>
      <x v="483"/>
      <x v="4"/>
    </i>
    <i>
      <x v="485"/>
      <x v="2378"/>
      <x v="3"/>
    </i>
    <i>
      <x v="486"/>
      <x v="2119"/>
      <x v="3"/>
    </i>
    <i>
      <x v="487"/>
      <x v="2117"/>
      <x v="2"/>
    </i>
    <i>
      <x v="488"/>
      <x v="848"/>
      <x v="4"/>
    </i>
    <i>
      <x v="489"/>
      <x v="407"/>
      <x v="4"/>
    </i>
    <i>
      <x v="490"/>
      <x v="2235"/>
      <x v="2"/>
    </i>
    <i>
      <x v="491"/>
      <x v="1213"/>
      <x v="4"/>
    </i>
    <i>
      <x v="492"/>
      <x v="1628"/>
      <x v="3"/>
    </i>
    <i>
      <x v="493"/>
      <x v="1124"/>
      <x v="4"/>
    </i>
    <i>
      <x v="494"/>
      <x v="80"/>
      <x v="4"/>
    </i>
    <i>
      <x v="495"/>
      <x v="1163"/>
      <x v="4"/>
    </i>
    <i>
      <x v="496"/>
      <x v="1066"/>
      <x v="4"/>
    </i>
    <i>
      <x v="497"/>
      <x v="268"/>
      <x v="4"/>
    </i>
    <i>
      <x v="498"/>
      <x v="874"/>
      <x v="4"/>
    </i>
    <i>
      <x v="499"/>
      <x v="846"/>
      <x v="4"/>
    </i>
    <i>
      <x v="500"/>
      <x v="2149"/>
      <x v="3"/>
    </i>
    <i>
      <x v="501"/>
      <x v="912"/>
      <x v="4"/>
    </i>
    <i>
      <x v="502"/>
      <x v="233"/>
      <x v="4"/>
    </i>
    <i>
      <x v="503"/>
      <x v="1022"/>
      <x v="4"/>
    </i>
    <i r="1">
      <x v="1606"/>
      <x v="3"/>
    </i>
    <i>
      <x v="504"/>
      <x v="2438"/>
      <x v="2"/>
    </i>
    <i>
      <x v="505"/>
      <x v="2439"/>
      <x v="1"/>
    </i>
    <i>
      <x v="506"/>
      <x v="1466"/>
      <x v="3"/>
    </i>
    <i>
      <x v="507"/>
      <x v="566"/>
      <x v="4"/>
    </i>
    <i r="1">
      <x v="966"/>
      <x v="4"/>
    </i>
    <i r="1">
      <x v="2120"/>
      <x v="3"/>
    </i>
    <i>
      <x v="508"/>
      <x v="1815"/>
      <x v="3"/>
    </i>
    <i>
      <x v="509"/>
      <x v="1354"/>
      <x v="3"/>
    </i>
    <i>
      <x v="510"/>
      <x v="956"/>
      <x v="4"/>
    </i>
    <i>
      <x v="511"/>
      <x v="1171"/>
      <x v="4"/>
    </i>
    <i>
      <x v="512"/>
      <x v="1341"/>
      <x v="3"/>
    </i>
    <i>
      <x v="513"/>
      <x v="1946"/>
      <x v="3"/>
    </i>
    <i>
      <x v="514"/>
      <x v="526"/>
      <x v="4"/>
    </i>
    <i r="1">
      <x v="1554"/>
      <x v="3"/>
    </i>
    <i>
      <x v="515"/>
      <x v="2863"/>
      <x v="3"/>
    </i>
    <i>
      <x v="516"/>
      <x v="961"/>
      <x v="4"/>
    </i>
    <i r="1">
      <x v="1704"/>
      <x v="3"/>
    </i>
    <i>
      <x v="517"/>
      <x v="273"/>
      <x v="4"/>
    </i>
    <i r="1">
      <x v="967"/>
      <x v="4"/>
    </i>
    <i>
      <x v="518"/>
      <x v="744"/>
      <x v="4"/>
    </i>
    <i>
      <x v="519"/>
      <x v="1334"/>
      <x v="3"/>
    </i>
    <i>
      <x v="520"/>
      <x v="2022"/>
      <x v="1"/>
    </i>
    <i>
      <x v="521"/>
      <x v="1219"/>
      <x v="4"/>
    </i>
    <i>
      <x v="522"/>
      <x v="635"/>
      <x v="4"/>
    </i>
    <i>
      <x v="523"/>
      <x v="839"/>
      <x v="4"/>
    </i>
    <i r="1">
      <x v="2502"/>
      <x v="1"/>
    </i>
    <i>
      <x v="524"/>
      <x v="842"/>
      <x v="4"/>
    </i>
    <i r="1">
      <x v="2499"/>
      <x v="3"/>
    </i>
    <i>
      <x v="525"/>
      <x v="1551"/>
      <x v="3"/>
    </i>
    <i r="1">
      <x v="2559"/>
      <x v="2"/>
    </i>
    <i>
      <x v="526"/>
      <x v="776"/>
      <x v="4"/>
    </i>
    <i>
      <x v="527"/>
      <x v="143"/>
      <x v="4"/>
    </i>
    <i r="1">
      <x v="777"/>
      <x v="4"/>
    </i>
    <i>
      <x v="528"/>
      <x v="1868"/>
      <x v="3"/>
    </i>
    <i>
      <x v="529"/>
      <x v="237"/>
      <x v="4"/>
    </i>
    <i>
      <x v="530"/>
      <x v="2869"/>
      <x v="3"/>
    </i>
    <i>
      <x v="531"/>
      <x v="770"/>
      <x v="4"/>
    </i>
    <i>
      <x v="532"/>
      <x v="1945"/>
      <x v="2"/>
    </i>
    <i r="1">
      <x v="2001"/>
      <x v="2"/>
    </i>
    <i>
      <x v="533"/>
      <x v="1976"/>
      <x v="1"/>
    </i>
    <i>
      <x v="534"/>
      <x v="1948"/>
      <x v="3"/>
    </i>
    <i>
      <x v="535"/>
      <x v="144"/>
      <x v="4"/>
    </i>
    <i>
      <x v="536"/>
      <x v="2840"/>
      <x v="3"/>
    </i>
    <i>
      <x v="537"/>
      <x v="2222"/>
      <x v="3"/>
    </i>
    <i>
      <x v="538"/>
      <x v="2797"/>
      <x v="3"/>
    </i>
    <i>
      <x v="539"/>
      <x v="1656"/>
      <x v="1"/>
    </i>
    <i>
      <x v="540"/>
      <x v="1655"/>
      <x v="3"/>
    </i>
    <i>
      <x v="541"/>
      <x v="1607"/>
      <x v="3"/>
    </i>
    <i>
      <x v="542"/>
      <x v="2184"/>
      <x v="3"/>
    </i>
    <i>
      <x v="543"/>
      <x v="636"/>
      <x v="4"/>
    </i>
    <i r="1">
      <x v="2000"/>
      <x v="2"/>
    </i>
    <i r="1">
      <x v="2867"/>
      <x v="1"/>
    </i>
    <i>
      <x v="544"/>
      <x v="2303"/>
      <x v="3"/>
    </i>
    <i>
      <x v="545"/>
      <x v="1768"/>
      <x v="3"/>
    </i>
    <i>
      <x v="546"/>
      <x v="659"/>
      <x v="4"/>
    </i>
    <i r="1">
      <x v="1571"/>
      <x v="1"/>
    </i>
    <i>
      <x v="547"/>
      <x v="2851"/>
      <x v="3"/>
    </i>
    <i>
      <x v="548"/>
      <x v="1202"/>
      <x v="4"/>
    </i>
    <i>
      <x v="549"/>
      <x v="162"/>
      <x v="4"/>
    </i>
    <i>
      <x v="550"/>
      <x v="943"/>
      <x v="4"/>
    </i>
    <i>
      <x v="551"/>
      <x v="2138"/>
      <x v="3"/>
    </i>
    <i>
      <x v="552"/>
      <x v="1187"/>
      <x v="4"/>
    </i>
    <i>
      <x v="553"/>
      <x v="1173"/>
      <x v="4"/>
    </i>
    <i>
      <x v="554"/>
      <x v="2832"/>
      <x v="3"/>
    </i>
    <i>
      <x v="555"/>
      <x v="1106"/>
      <x v="4"/>
    </i>
    <i>
      <x v="556"/>
      <x v="1498"/>
      <x v="3"/>
    </i>
    <i>
      <x v="557"/>
      <x v="1837"/>
      <x v="3"/>
    </i>
    <i>
      <x v="558"/>
      <x v="1021"/>
      <x v="4"/>
    </i>
    <i r="1">
      <x v="1636"/>
      <x v="2"/>
    </i>
    <i>
      <x v="559"/>
      <x v="1638"/>
      <x v="3"/>
    </i>
    <i>
      <x v="560"/>
      <x v="1637"/>
      <x v="3"/>
    </i>
    <i>
      <x v="561"/>
      <x v="1635"/>
      <x v="3"/>
    </i>
    <i>
      <x v="562"/>
      <x v="2727"/>
      <x v="1"/>
    </i>
    <i>
      <x v="563"/>
      <x v="1138"/>
      <x v="4"/>
    </i>
    <i>
      <x v="564"/>
      <x v="1800"/>
      <x v="3"/>
    </i>
    <i>
      <x v="565"/>
      <x v="2491"/>
      <x v="3"/>
    </i>
    <i>
      <x v="566"/>
      <x v="54"/>
      <x v="4"/>
    </i>
    <i>
      <x v="567"/>
      <x v="1140"/>
      <x v="4"/>
    </i>
    <i>
      <x v="568"/>
      <x v="2546"/>
      <x v="2"/>
    </i>
    <i r="1">
      <x v="2547"/>
      <x v="3"/>
    </i>
    <i>
      <x v="569"/>
      <x v="93"/>
      <x v="4"/>
    </i>
    <i r="1">
      <x v="1296"/>
      <x v="1"/>
    </i>
    <i>
      <x v="570"/>
      <x v="1061"/>
      <x v="4"/>
    </i>
    <i>
      <x v="571"/>
      <x v="1143"/>
      <x v="4"/>
    </i>
    <i>
      <x v="572"/>
      <x v="1074"/>
      <x v="4"/>
    </i>
    <i>
      <x v="573"/>
      <x v="327"/>
      <x v="4"/>
    </i>
    <i r="1">
      <x v="412"/>
      <x v="4"/>
    </i>
    <i>
      <x v="574"/>
      <x v="666"/>
      <x v="4"/>
    </i>
    <i r="1">
      <x v="2049"/>
      <x v="1"/>
    </i>
    <i>
      <x v="575"/>
      <x v="2033"/>
      <x v="2"/>
    </i>
    <i r="1">
      <x v="2034"/>
      <x v="3"/>
    </i>
    <i>
      <x v="576"/>
      <x v="2686"/>
      <x v="3"/>
    </i>
    <i>
      <x v="577"/>
      <x v="1770"/>
      <x v="2"/>
    </i>
    <i>
      <x v="578"/>
      <x v="1932"/>
      <x v="3"/>
    </i>
    <i>
      <x v="579"/>
      <x v="1925"/>
      <x v="2"/>
    </i>
    <i r="1">
      <x v="1926"/>
      <x v="3"/>
    </i>
    <i>
      <x v="580"/>
      <x v="314"/>
      <x v="4"/>
    </i>
    <i>
      <x v="581"/>
      <x v="1548"/>
      <x v="3"/>
    </i>
    <i>
      <x v="582"/>
      <x v="1320"/>
      <x v="3"/>
    </i>
    <i>
      <x v="583"/>
      <x v="458"/>
      <x v="4"/>
    </i>
    <i>
      <x v="584"/>
      <x v="1062"/>
      <x v="4"/>
    </i>
    <i>
      <x v="585"/>
      <x v="1006"/>
      <x v="4"/>
    </i>
    <i>
      <x v="586"/>
      <x v="509"/>
      <x v="4"/>
    </i>
    <i r="1">
      <x v="1177"/>
      <x v="4"/>
    </i>
    <i>
      <x v="587"/>
      <x v="2470"/>
      <x v="3"/>
    </i>
    <i>
      <x v="588"/>
      <x v="2431"/>
      <x v="3"/>
    </i>
    <i r="1">
      <x v="2437"/>
      <x v="1"/>
    </i>
    <i>
      <x v="589"/>
      <x v="2436"/>
      <x v="2"/>
    </i>
    <i>
      <x v="590"/>
      <x v="2770"/>
      <x v="1"/>
    </i>
    <i>
      <x v="591"/>
      <x v="2302"/>
      <x v="3"/>
    </i>
    <i>
      <x v="592"/>
      <x v="1087"/>
      <x v="4"/>
    </i>
    <i r="1">
      <x v="1120"/>
      <x v="4"/>
    </i>
    <i>
      <x v="593"/>
      <x v="2135"/>
      <x v="3"/>
    </i>
    <i>
      <x v="594"/>
      <x v="2125"/>
      <x v="3"/>
    </i>
    <i>
      <x v="595"/>
      <x v="1425"/>
      <x v="3"/>
    </i>
    <i>
      <x v="596"/>
      <x v="1220"/>
      <x v="4"/>
    </i>
    <i>
      <x v="597"/>
      <x v="617"/>
      <x v="4"/>
    </i>
    <i r="1">
      <x v="788"/>
      <x v="4"/>
    </i>
    <i r="1">
      <x v="1284"/>
      <x v="2"/>
    </i>
    <i r="1">
      <x v="1538"/>
      <x v="1"/>
    </i>
    <i r="1">
      <x v="2442"/>
      <x v="2"/>
    </i>
    <i>
      <x v="598"/>
      <x v="789"/>
      <x v="4"/>
    </i>
    <i>
      <x v="599"/>
      <x v="2006"/>
      <x v="1"/>
    </i>
    <i>
      <x v="600"/>
      <x v="1992"/>
      <x v="1"/>
    </i>
    <i>
      <x v="601"/>
      <x v="738"/>
      <x v="4"/>
    </i>
    <i r="1">
      <x v="2617"/>
      <x v="3"/>
    </i>
    <i>
      <x v="602"/>
      <x v="2616"/>
      <x v="1"/>
    </i>
    <i>
      <x v="603"/>
      <x v="1863"/>
      <x v="3"/>
    </i>
    <i>
      <x v="604"/>
      <x v="637"/>
      <x v="4"/>
    </i>
    <i>
      <x v="605"/>
      <x v="92"/>
      <x v="4"/>
    </i>
    <i r="1">
      <x v="1301"/>
      <x v="3"/>
    </i>
    <i>
      <x v="606"/>
      <x v="741"/>
      <x v="4"/>
    </i>
    <i>
      <x v="607"/>
      <x v="2533"/>
      <x v="3"/>
    </i>
    <i>
      <x v="608"/>
      <x v="2081"/>
      <x v="1"/>
    </i>
    <i>
      <x v="609"/>
      <x v="1203"/>
      <x v="4"/>
    </i>
    <i>
      <x v="610"/>
      <x v="2158"/>
      <x v="3"/>
    </i>
    <i>
      <x v="611"/>
      <x v="286"/>
      <x v="4"/>
    </i>
    <i>
      <x v="612"/>
      <x v="2629"/>
      <x v="3"/>
    </i>
    <i>
      <x v="613"/>
      <x v="2452"/>
      <x v="2"/>
    </i>
    <i>
      <x v="614"/>
      <x v="2450"/>
      <x v="3"/>
    </i>
    <i>
      <x v="615"/>
      <x v="274"/>
      <x v="4"/>
    </i>
    <i r="1">
      <x v="2787"/>
      <x v="2"/>
    </i>
    <i r="1">
      <x v="2788"/>
      <x v="3"/>
    </i>
    <i>
      <x v="616"/>
      <x v="2669"/>
      <x v="3"/>
    </i>
    <i>
      <x v="617"/>
      <x v="504"/>
      <x v="4"/>
    </i>
    <i>
      <x v="618"/>
      <x v="558"/>
      <x v="4"/>
    </i>
    <i r="1">
      <x v="1839"/>
      <x v="3"/>
    </i>
    <i>
      <x v="619"/>
      <x v="969"/>
      <x v="4"/>
    </i>
    <i r="1">
      <x v="1641"/>
      <x v="3"/>
    </i>
    <i>
      <x v="620"/>
      <x v="1652"/>
      <x v="3"/>
    </i>
    <i>
      <x v="621"/>
      <x v="1653"/>
      <x v="3"/>
    </i>
    <i>
      <x v="622"/>
      <x v="893"/>
      <x v="4"/>
    </i>
    <i>
      <x v="623"/>
      <x v="698"/>
      <x v="4"/>
    </i>
    <i r="1">
      <x v="1822"/>
      <x v="3"/>
    </i>
    <i>
      <x v="624"/>
      <x v="621"/>
      <x v="4"/>
    </i>
    <i>
      <x v="625"/>
      <x v="1244"/>
      <x v="4"/>
    </i>
    <i>
      <x v="626"/>
      <x v="1178"/>
      <x v="4"/>
    </i>
    <i>
      <x v="627"/>
      <x v="891"/>
      <x v="4"/>
    </i>
    <i>
      <x v="628"/>
      <x v="2510"/>
      <x v="3"/>
    </i>
    <i>
      <x v="629"/>
      <x v="828"/>
      <x v="4"/>
    </i>
    <i>
      <x v="630"/>
      <x v="875"/>
      <x v="4"/>
    </i>
    <i>
      <x v="631"/>
      <x v="2153"/>
      <x v="3"/>
    </i>
    <i>
      <x v="632"/>
      <x v="2845"/>
      <x v="3"/>
    </i>
    <i>
      <x v="633"/>
      <x v="1251"/>
      <x v="4"/>
    </i>
    <i>
      <x v="634"/>
      <x v="871"/>
      <x v="4"/>
    </i>
    <i>
      <x v="635"/>
      <x v="2194"/>
      <x v="3"/>
    </i>
    <i>
      <x v="636"/>
      <x v="2530"/>
      <x v="3"/>
    </i>
    <i>
      <x v="637"/>
      <x v="2460"/>
      <x v="3"/>
    </i>
    <i>
      <x v="638"/>
      <x v="2852"/>
      <x v="3"/>
    </i>
    <i>
      <x v="639"/>
      <x v="1116"/>
      <x v="4"/>
    </i>
    <i>
      <x v="640"/>
      <x v="413"/>
      <x v="4"/>
    </i>
    <i>
      <x v="641"/>
      <x v="420"/>
      <x v="4"/>
    </i>
    <i>
      <x v="642"/>
      <x v="414"/>
      <x v="4"/>
    </i>
    <i>
      <x v="643"/>
      <x v="415"/>
      <x v="4"/>
    </i>
    <i r="1">
      <x v="2274"/>
      <x v="2"/>
    </i>
    <i>
      <x v="644"/>
      <x v="2277"/>
      <x v="3"/>
    </i>
    <i>
      <x v="645"/>
      <x v="1812"/>
      <x v="3"/>
    </i>
    <i>
      <x v="646"/>
      <x v="1179"/>
      <x v="4"/>
    </i>
    <i r="1">
      <x v="2224"/>
      <x v="3"/>
    </i>
    <i>
      <x v="647"/>
      <x v="2280"/>
      <x v="3"/>
    </i>
    <i>
      <x v="648"/>
      <x v="1054"/>
      <x v="4"/>
    </i>
    <i>
      <x v="649"/>
      <x v="2137"/>
      <x v="3"/>
    </i>
    <i>
      <x v="650"/>
      <x v="1563"/>
      <x v="3"/>
    </i>
    <i>
      <x v="651"/>
      <x v="2430"/>
      <x v="3"/>
    </i>
    <i>
      <x v="652"/>
      <x v="333"/>
      <x v="4"/>
    </i>
    <i r="1">
      <x v="2293"/>
      <x v="2"/>
    </i>
    <i r="1">
      <x v="2294"/>
      <x v="3"/>
    </i>
    <i>
      <x v="653"/>
      <x v="2336"/>
      <x v="3"/>
    </i>
    <i>
      <x v="654"/>
      <x v="402"/>
      <x v="4"/>
    </i>
    <i>
      <x v="655"/>
      <x v="484"/>
      <x v="4"/>
    </i>
    <i>
      <x v="656"/>
      <x v="927"/>
      <x v="4"/>
    </i>
    <i>
      <x v="657"/>
      <x v="1657"/>
      <x v="3"/>
    </i>
    <i>
      <x v="658"/>
      <x v="2038"/>
      <x v="3"/>
    </i>
    <i>
      <x v="659"/>
      <x v="2039"/>
      <x v="3"/>
    </i>
    <i>
      <x v="660"/>
      <x v="2725"/>
      <x v="3"/>
    </i>
    <i>
      <x v="661"/>
      <x v="784"/>
      <x v="4"/>
    </i>
    <i>
      <x v="662"/>
      <x v="1015"/>
      <x v="4"/>
    </i>
    <i r="1">
      <x v="1625"/>
      <x v="3"/>
    </i>
    <i>
      <x v="663"/>
      <x v="2630"/>
      <x v="3"/>
    </i>
    <i>
      <x v="664"/>
      <x v="497"/>
      <x v="4"/>
    </i>
    <i>
      <x v="665"/>
      <x v="2749"/>
      <x v="1"/>
    </i>
    <i>
      <x v="666"/>
      <x v="436"/>
      <x v="4"/>
    </i>
    <i r="1">
      <x v="2250"/>
      <x v="3"/>
    </i>
    <i>
      <x v="667"/>
      <x v="1836"/>
      <x v="3"/>
    </i>
    <i>
      <x v="668"/>
      <x v="304"/>
      <x v="4"/>
    </i>
    <i>
      <x v="669"/>
      <x v="308"/>
      <x v="4"/>
    </i>
    <i>
      <x v="670"/>
      <x v="1239"/>
      <x v="4"/>
    </i>
    <i>
      <x v="671"/>
      <x v="351"/>
      <x v="4"/>
    </i>
    <i r="1">
      <x v="381"/>
      <x v="4"/>
    </i>
    <i r="1">
      <x v="1075"/>
      <x v="4"/>
    </i>
    <i r="1">
      <x v="2626"/>
      <x v="3"/>
    </i>
    <i>
      <x v="672"/>
      <x v="1378"/>
      <x v="3"/>
    </i>
    <i>
      <x v="673"/>
      <x v="2498"/>
      <x v="3"/>
    </i>
    <i>
      <x v="674"/>
      <x v="746"/>
      <x v="4"/>
    </i>
    <i>
      <x v="675"/>
      <x v="453"/>
      <x v="4"/>
    </i>
    <i r="1">
      <x v="2448"/>
      <x v="2"/>
    </i>
    <i>
      <x v="676"/>
      <x v="443"/>
      <x v="4"/>
    </i>
    <i>
      <x v="677"/>
      <x v="1221"/>
      <x v="4"/>
    </i>
    <i r="1">
      <x v="2307"/>
      <x v="3"/>
    </i>
    <i>
      <x v="678"/>
      <x v="231"/>
      <x v="4"/>
    </i>
    <i>
      <x v="679"/>
      <x v="704"/>
      <x v="4"/>
    </i>
    <i>
      <x v="680"/>
      <x v="204"/>
      <x v="4"/>
    </i>
    <i>
      <x v="681"/>
      <x v="1526"/>
      <x v="3"/>
    </i>
    <i>
      <x v="682"/>
      <x v="1099"/>
      <x v="4"/>
    </i>
    <i r="1">
      <x v="2625"/>
      <x v="3"/>
    </i>
    <i>
      <x v="683"/>
      <x v="2563"/>
      <x v="2"/>
    </i>
    <i r="1">
      <x v="2564"/>
      <x v="3"/>
    </i>
    <i>
      <x v="684"/>
      <x v="1042"/>
      <x v="4"/>
    </i>
    <i>
      <x v="685"/>
      <x v="1136"/>
      <x v="4"/>
    </i>
    <i>
      <x v="686"/>
      <x v="2656"/>
      <x v="3"/>
    </i>
    <i>
      <x v="687"/>
      <x v="1286"/>
      <x v="2"/>
    </i>
    <i r="1">
      <x v="1546"/>
      <x v="1"/>
    </i>
    <i>
      <x v="688"/>
      <x v="266"/>
      <x v="4"/>
    </i>
    <i>
      <x v="689"/>
      <x v="2704"/>
      <x v="3"/>
    </i>
    <i>
      <x v="690"/>
      <x v="95"/>
      <x v="4"/>
    </i>
    <i>
      <x v="691"/>
      <x v="1245"/>
      <x v="4"/>
    </i>
    <i>
      <x v="692"/>
      <x v="345"/>
      <x v="4"/>
    </i>
    <i>
      <x v="693"/>
      <x v="1998"/>
      <x v="1"/>
    </i>
    <i>
      <x v="694"/>
      <x v="2683"/>
      <x v="2"/>
    </i>
    <i>
      <x v="695"/>
      <x v="1969"/>
      <x v="3"/>
    </i>
    <i>
      <x v="696"/>
      <x v="2584"/>
      <x v="3"/>
    </i>
    <i>
      <x v="697"/>
      <x v="2092"/>
      <x v="3"/>
    </i>
    <i>
      <x v="698"/>
      <x v="2853"/>
      <x v="3"/>
    </i>
    <i>
      <x v="699"/>
      <x v="2511"/>
      <x v="3"/>
    </i>
    <i>
      <x v="700"/>
      <x v="1667"/>
      <x v="3"/>
    </i>
    <i>
      <x v="701"/>
      <x v="398"/>
      <x v="4"/>
    </i>
    <i r="1">
      <x v="677"/>
      <x v="4"/>
    </i>
    <i r="1">
      <x v="2532"/>
      <x v="3"/>
    </i>
    <i>
      <x v="702"/>
      <x v="368"/>
      <x v="4"/>
    </i>
    <i>
      <x v="703"/>
      <x v="1806"/>
      <x v="3"/>
    </i>
    <i>
      <x v="704"/>
      <x v="2793"/>
      <x v="3"/>
    </i>
    <i>
      <x v="705"/>
      <x v="36"/>
      <x v="4"/>
    </i>
    <i>
      <x v="706"/>
      <x v="1107"/>
      <x v="4"/>
    </i>
    <i>
      <x v="707"/>
      <x v="1108"/>
      <x v="4"/>
    </i>
    <i>
      <x v="708"/>
      <x v="853"/>
      <x v="4"/>
    </i>
    <i>
      <x v="709"/>
      <x v="1067"/>
      <x v="4"/>
    </i>
    <i>
      <x v="710"/>
      <x v="485"/>
      <x v="4"/>
    </i>
    <i r="1">
      <x v="1464"/>
      <x v="3"/>
    </i>
    <i>
      <x v="711"/>
      <x v="1016"/>
      <x v="4"/>
    </i>
    <i r="1">
      <x v="1615"/>
      <x v="2"/>
    </i>
    <i>
      <x v="712"/>
      <x v="1616"/>
      <x v="3"/>
    </i>
    <i>
      <x v="713"/>
      <x v="1626"/>
      <x v="3"/>
    </i>
    <i>
      <x v="714"/>
      <x v="70"/>
      <x v="4"/>
    </i>
    <i>
      <x v="715"/>
      <x v="1860"/>
      <x v="2"/>
    </i>
    <i>
      <x v="716"/>
      <x v="288"/>
      <x v="4"/>
    </i>
    <i r="1">
      <x v="611"/>
      <x v="4"/>
    </i>
    <i r="1">
      <x v="1861"/>
      <x v="3"/>
    </i>
    <i>
      <x v="717"/>
      <x v="2515"/>
      <x v="2"/>
    </i>
    <i>
      <x v="718"/>
      <x v="115"/>
      <x v="4"/>
    </i>
    <i>
      <x v="719"/>
      <x v="1463"/>
      <x v="3"/>
    </i>
    <i>
      <x v="720"/>
      <x v="536"/>
      <x v="4"/>
    </i>
    <i>
      <x v="721"/>
      <x v="2682"/>
      <x v="3"/>
    </i>
    <i>
      <x v="722"/>
      <x v="2281"/>
      <x v="3"/>
    </i>
    <i>
      <x v="723"/>
      <x v="757"/>
      <x v="4"/>
    </i>
    <i>
      <x v="724"/>
      <x v="218"/>
      <x v="4"/>
    </i>
    <i>
      <x v="725"/>
      <x v="184"/>
      <x v="4"/>
    </i>
    <i>
      <x v="726"/>
      <x v="1587"/>
      <x v="3"/>
    </i>
    <i>
      <x v="727"/>
      <x v="1557"/>
      <x v="3"/>
    </i>
    <i>
      <x v="728"/>
      <x v="903"/>
      <x v="4"/>
    </i>
    <i>
      <x v="729"/>
      <x v="2416"/>
      <x v="3"/>
    </i>
    <i>
      <x v="730"/>
      <x v="2631"/>
      <x v="3"/>
    </i>
    <i>
      <x v="731"/>
      <x v="2324"/>
      <x v="3"/>
    </i>
    <i>
      <x v="732"/>
      <x v="244"/>
      <x v="4"/>
    </i>
    <i>
      <x v="733"/>
      <x v="712"/>
      <x v="4"/>
    </i>
    <i>
      <x v="734"/>
      <x v="1804"/>
      <x v="3"/>
    </i>
    <i>
      <x v="735"/>
      <x v="2632"/>
      <x v="3"/>
    </i>
    <i>
      <x v="736"/>
      <x v="425"/>
      <x v="4"/>
    </i>
    <i>
      <x v="737"/>
      <x v="2577"/>
      <x v="3"/>
    </i>
    <i>
      <x v="738"/>
      <x v="2379"/>
      <x v="3"/>
    </i>
    <i>
      <x v="739"/>
      <x v="2621"/>
      <x v="3"/>
    </i>
    <i>
      <x v="740"/>
      <x v="2282"/>
      <x v="3"/>
    </i>
    <i>
      <x v="741"/>
      <x v="357"/>
      <x v="4"/>
    </i>
    <i>
      <x v="742"/>
      <x v="2380"/>
      <x v="3"/>
    </i>
    <i>
      <x v="743"/>
      <x v="2304"/>
      <x v="3"/>
    </i>
    <i>
      <x v="744"/>
      <x v="531"/>
      <x v="4"/>
    </i>
    <i>
      <x v="745"/>
      <x v="2146"/>
      <x v="3"/>
    </i>
    <i>
      <x v="746"/>
      <x v="2147"/>
      <x v="3"/>
    </i>
    <i>
      <x v="747"/>
      <x v="699"/>
      <x v="4"/>
    </i>
    <i r="1">
      <x v="2842"/>
      <x v="3"/>
    </i>
    <i>
      <x v="748"/>
      <x v="486"/>
      <x v="4"/>
    </i>
    <i>
      <x v="749"/>
      <x v="2381"/>
      <x v="3"/>
    </i>
    <i>
      <x v="750"/>
      <x v="1772"/>
      <x v="3"/>
    </i>
    <i>
      <x v="751"/>
      <x v="2298"/>
      <x v="3"/>
    </i>
    <i>
      <x v="752"/>
      <x v="2045"/>
      <x v="3"/>
    </i>
    <i>
      <x v="753"/>
      <x v="913"/>
      <x v="4"/>
    </i>
    <i>
      <x v="754"/>
      <x v="2576"/>
      <x v="3"/>
    </i>
    <i>
      <x v="755"/>
      <x v="1640"/>
      <x v="3"/>
    </i>
    <i>
      <x v="756"/>
      <x v="219"/>
      <x v="4"/>
    </i>
    <i r="1">
      <x v="1188"/>
      <x v="4"/>
    </i>
    <i>
      <x v="757"/>
      <x v="2232"/>
      <x v="2"/>
    </i>
    <i>
      <x v="758"/>
      <x v="2768"/>
      <x v="3"/>
    </i>
    <i>
      <x v="759"/>
      <x v="854"/>
      <x v="4"/>
    </i>
    <i>
      <x v="760"/>
      <x v="2062"/>
      <x v="1"/>
    </i>
    <i>
      <x v="761"/>
      <x v="1955"/>
      <x v="2"/>
    </i>
    <i>
      <x v="762"/>
      <x v="2103"/>
      <x v="3"/>
    </i>
    <i>
      <x v="763"/>
      <x v="1958"/>
      <x v="3"/>
    </i>
    <i>
      <x v="764"/>
      <x v="424"/>
      <x v="4"/>
    </i>
    <i>
      <x v="765"/>
      <x v="649"/>
      <x v="4"/>
    </i>
    <i>
      <x v="766"/>
      <x v="467"/>
      <x v="4"/>
    </i>
    <i>
      <x v="767"/>
      <x v="416"/>
      <x v="4"/>
    </i>
    <i r="1">
      <x v="2275"/>
      <x v="2"/>
    </i>
    <i r="1">
      <x v="2283"/>
      <x v="3"/>
    </i>
    <i>
      <x v="768"/>
      <x v="1646"/>
      <x v="3"/>
    </i>
    <i>
      <x v="769"/>
      <x v="1222"/>
      <x v="4"/>
    </i>
    <i>
      <x v="770"/>
      <x v="1168"/>
      <x v="4"/>
    </i>
    <i>
      <x v="771"/>
      <x v="382"/>
      <x v="4"/>
    </i>
    <i r="1">
      <x v="2633"/>
      <x v="3"/>
    </i>
    <i>
      <x v="772"/>
      <x v="2256"/>
      <x v="3"/>
    </i>
    <i>
      <x v="773"/>
      <x v="1147"/>
      <x v="4"/>
    </i>
    <i>
      <x v="774"/>
      <x v="294"/>
      <x v="4"/>
    </i>
    <i>
      <x v="775"/>
      <x v="456"/>
      <x v="4"/>
    </i>
    <i r="1">
      <x v="625"/>
      <x v="4"/>
    </i>
    <i r="1">
      <x v="894"/>
      <x v="4"/>
    </i>
    <i r="1">
      <x v="1189"/>
      <x v="4"/>
    </i>
    <i r="1">
      <x v="2096"/>
      <x v="3"/>
    </i>
    <i>
      <x v="776"/>
      <x v="506"/>
      <x v="4"/>
    </i>
    <i>
      <x v="777"/>
      <x v="507"/>
      <x v="4"/>
    </i>
    <i>
      <x v="778"/>
      <x v="689"/>
      <x v="4"/>
    </i>
    <i>
      <x v="779"/>
      <x v="298"/>
      <x v="4"/>
    </i>
    <i r="1">
      <x v="2764"/>
      <x v="3"/>
    </i>
    <i>
      <x v="780"/>
      <x v="1949"/>
      <x v="3"/>
    </i>
    <i>
      <x v="781"/>
      <x v="460"/>
      <x v="4"/>
    </i>
    <i>
      <x v="782"/>
      <x v="1944"/>
      <x v="3"/>
    </i>
    <i>
      <x v="783"/>
      <x v="290"/>
      <x v="4"/>
    </i>
    <i>
      <x v="784"/>
      <x v="1786"/>
      <x v="3"/>
    </i>
    <i>
      <x v="785"/>
      <x v="1787"/>
      <x v="3"/>
    </i>
    <i>
      <x v="786"/>
      <x v="1818"/>
      <x v="3"/>
    </i>
    <i>
      <x v="787"/>
      <x v="2299"/>
      <x v="3"/>
    </i>
    <i>
      <x v="788"/>
      <x v="463"/>
      <x v="4"/>
    </i>
    <i>
      <x v="789"/>
      <x v="2114"/>
      <x v="3"/>
    </i>
    <i>
      <x v="790"/>
      <x v="1669"/>
      <x v="3"/>
    </i>
    <i>
      <x v="791"/>
      <x v="654"/>
      <x v="4"/>
    </i>
    <i r="1">
      <x v="1703"/>
      <x v="3"/>
    </i>
    <i>
      <x v="792"/>
      <x v="2493"/>
      <x v="2"/>
    </i>
    <i>
      <x v="793"/>
      <x v="1906"/>
      <x v="3"/>
    </i>
    <i>
      <x v="794"/>
      <x v="1588"/>
      <x v="3"/>
    </i>
    <i>
      <x v="795"/>
      <x v="1914"/>
      <x v="3"/>
    </i>
    <i>
      <x v="796"/>
      <x v="444"/>
      <x v="4"/>
    </i>
    <i>
      <x v="797"/>
      <x v="1589"/>
      <x v="3"/>
    </i>
    <i>
      <x v="798"/>
      <x v="445"/>
      <x v="4"/>
    </i>
    <i r="1">
      <x v="868"/>
      <x v="4"/>
    </i>
    <i r="1">
      <x v="1071"/>
      <x v="4"/>
    </i>
    <i>
      <x v="799"/>
      <x v="1869"/>
      <x v="3"/>
    </i>
    <i>
      <x v="800"/>
      <x v="1265"/>
      <x v="4"/>
    </i>
    <i r="1">
      <x v="2203"/>
      <x v="3"/>
    </i>
    <i>
      <x v="801"/>
      <x v="1633"/>
      <x v="3"/>
    </i>
    <i>
      <x v="802"/>
      <x v="923"/>
      <x v="4"/>
    </i>
    <i r="1">
      <x v="1829"/>
      <x v="3"/>
    </i>
    <i>
      <x v="803"/>
      <x v="899"/>
      <x v="4"/>
    </i>
    <i>
      <x v="804"/>
      <x v="426"/>
      <x v="4"/>
    </i>
    <i>
      <x v="805"/>
      <x v="2529"/>
      <x v="3"/>
    </i>
    <i>
      <x v="806"/>
      <x v="985"/>
      <x v="4"/>
    </i>
    <i>
      <x v="807"/>
      <x v="2765"/>
      <x v="3"/>
    </i>
    <i>
      <x v="808"/>
      <x v="2789"/>
      <x v="1"/>
    </i>
    <i>
      <x v="809"/>
      <x v="2099"/>
      <x v="3"/>
    </i>
    <i>
      <x v="810"/>
      <x v="559"/>
      <x v="4"/>
    </i>
    <i r="1">
      <x v="1838"/>
      <x v="3"/>
    </i>
    <i>
      <x v="811"/>
      <x v="655"/>
      <x v="4"/>
    </i>
    <i>
      <x v="812"/>
      <x v="346"/>
      <x v="4"/>
    </i>
    <i>
      <x v="813"/>
      <x v="2133"/>
      <x v="3"/>
    </i>
    <i>
      <x v="814"/>
      <x v="2535"/>
      <x v="3"/>
    </i>
    <i>
      <x v="815"/>
      <x v="309"/>
      <x v="4"/>
    </i>
    <i r="1">
      <x v="2020"/>
      <x v="3"/>
    </i>
    <i>
      <x v="816"/>
      <x v="2082"/>
      <x v="1"/>
    </i>
    <i>
      <x v="817"/>
      <x v="1204"/>
      <x v="4"/>
    </i>
    <i>
      <x v="818"/>
      <x v="1266"/>
      <x v="4"/>
    </i>
    <i r="1">
      <x v="1569"/>
      <x v="3"/>
    </i>
    <i>
      <x v="819"/>
      <x v="2171"/>
      <x v="2"/>
    </i>
    <i>
      <x v="820"/>
      <x v="914"/>
      <x v="4"/>
    </i>
    <i>
      <x v="821"/>
      <x v="1109"/>
      <x v="4"/>
    </i>
    <i r="1">
      <x v="2271"/>
      <x v="3"/>
    </i>
    <i>
      <x v="822"/>
      <x v="786"/>
      <x v="4"/>
    </i>
    <i r="1">
      <x v="2562"/>
      <x v="3"/>
    </i>
    <i>
      <x v="823"/>
      <x v="1238"/>
      <x v="4"/>
    </i>
    <i>
      <x v="824"/>
      <x v="1737"/>
      <x v="2"/>
    </i>
    <i>
      <x v="825"/>
      <x v="876"/>
      <x v="4"/>
    </i>
    <i>
      <x v="826"/>
      <x v="2854"/>
      <x v="3"/>
    </i>
    <i>
      <x v="827"/>
      <x v="771"/>
      <x v="4"/>
    </i>
    <i r="1">
      <x v="2807"/>
      <x v="3"/>
    </i>
    <i>
      <x v="828"/>
      <x v="2826"/>
      <x v="1"/>
    </i>
    <i>
      <x v="829"/>
      <x v="2503"/>
      <x v="1"/>
    </i>
    <i>
      <x v="830"/>
      <x v="1166"/>
      <x v="4"/>
    </i>
    <i>
      <x v="831"/>
      <x v="772"/>
      <x v="4"/>
    </i>
    <i r="1">
      <x v="2762"/>
      <x v="3"/>
    </i>
    <i>
      <x v="832"/>
      <x v="2055"/>
      <x v="3"/>
    </i>
    <i>
      <x v="833"/>
      <x v="330"/>
      <x v="4"/>
    </i>
    <i>
      <x v="834"/>
      <x v="2730"/>
      <x v="3"/>
    </i>
    <i>
      <x v="835"/>
      <x v="2746"/>
      <x v="1"/>
    </i>
    <i>
      <x v="836"/>
      <x v="2748"/>
      <x v="1"/>
    </i>
    <i>
      <x v="837"/>
      <x v="2744"/>
      <x v="1"/>
    </i>
    <i>
      <x v="838"/>
      <x v="2737"/>
      <x v="1"/>
    </i>
    <i>
      <x v="839"/>
      <x v="258"/>
      <x v="4"/>
    </i>
    <i>
      <x v="840"/>
      <x v="1788"/>
      <x v="3"/>
    </i>
    <i>
      <x v="841"/>
      <x v="2083"/>
      <x v="1"/>
    </i>
    <i>
      <x v="842"/>
      <x v="2724"/>
      <x v="3"/>
    </i>
    <i>
      <x v="843"/>
      <x v="2382"/>
      <x v="3"/>
    </i>
    <i>
      <x v="844"/>
      <x v="2455"/>
      <x v="2"/>
    </i>
    <i>
      <x v="845"/>
      <x v="28"/>
      <x v="4"/>
    </i>
    <i>
      <x v="846"/>
      <x v="1803"/>
      <x v="3"/>
    </i>
    <i>
      <x v="847"/>
      <x v="2427"/>
      <x v="2"/>
    </i>
    <i r="1">
      <x v="2428"/>
      <x v="1"/>
    </i>
    <i>
      <x v="848"/>
      <x v="46"/>
      <x v="4"/>
    </i>
    <i>
      <x v="849"/>
      <x v="1223"/>
      <x v="4"/>
    </i>
    <i r="1">
      <x v="2196"/>
      <x v="3"/>
    </i>
    <i>
      <x v="850"/>
      <x v="1190"/>
      <x v="4"/>
    </i>
    <i>
      <x v="851"/>
      <x v="446"/>
      <x v="4"/>
    </i>
    <i>
      <x v="852"/>
      <x v="461"/>
      <x v="4"/>
    </i>
    <i>
      <x v="853"/>
      <x v="2220"/>
      <x v="3"/>
    </i>
    <i>
      <x v="854"/>
      <x v="2325"/>
      <x v="3"/>
    </i>
    <i>
      <x v="855"/>
      <x v="2604"/>
      <x v="3"/>
    </i>
    <i>
      <x v="856"/>
      <x v="1644"/>
      <x v="3"/>
    </i>
    <i>
      <x v="857"/>
      <x v="1060"/>
      <x v="4"/>
    </i>
    <i>
      <x v="858"/>
      <x v="2463"/>
      <x v="2"/>
    </i>
    <i>
      <x v="859"/>
      <x v="447"/>
      <x v="4"/>
    </i>
    <i r="1">
      <x v="2464"/>
      <x v="3"/>
    </i>
    <i>
      <x v="860"/>
      <x v="612"/>
      <x v="4"/>
    </i>
    <i r="1">
      <x v="1853"/>
      <x v="2"/>
    </i>
    <i>
      <x v="861"/>
      <x v="1870"/>
      <x v="3"/>
    </i>
    <i>
      <x v="862"/>
      <x v="970"/>
      <x v="4"/>
    </i>
    <i r="1">
      <x v="1639"/>
      <x v="3"/>
    </i>
    <i>
      <x v="863"/>
      <x v="23"/>
      <x v="4"/>
    </i>
    <i>
      <x v="864"/>
      <x v="700"/>
      <x v="4"/>
    </i>
    <i r="1">
      <x v="1776"/>
      <x v="3"/>
    </i>
    <i>
      <x v="865"/>
      <x v="1353"/>
      <x v="3"/>
    </i>
    <i>
      <x v="866"/>
      <x v="87"/>
      <x v="4"/>
    </i>
    <i>
      <x v="867"/>
      <x v="110"/>
      <x v="4"/>
    </i>
    <i>
      <x v="868"/>
      <x v="6"/>
      <x v="4"/>
    </i>
    <i r="1">
      <x v="1351"/>
      <x v="3"/>
    </i>
    <i>
      <x v="869"/>
      <x v="47"/>
      <x v="4"/>
    </i>
    <i>
      <x v="870"/>
      <x v="1252"/>
      <x v="4"/>
    </i>
    <i>
      <x v="871"/>
      <x v="747"/>
      <x v="4"/>
    </i>
    <i>
      <x v="872"/>
      <x v="2447"/>
      <x v="3"/>
    </i>
    <i r="1">
      <x v="2454"/>
      <x v="2"/>
    </i>
    <i>
      <x v="873"/>
      <x v="1096"/>
      <x v="4"/>
    </i>
    <i>
      <x v="874"/>
      <x v="575"/>
      <x v="4"/>
    </i>
    <i r="1">
      <x v="623"/>
      <x v="4"/>
    </i>
    <i r="1">
      <x v="1858"/>
      <x v="3"/>
    </i>
    <i r="1">
      <x v="2538"/>
      <x v="2"/>
    </i>
    <i>
      <x v="875"/>
      <x v="1769"/>
      <x v="2"/>
    </i>
    <i>
      <x v="876"/>
      <x v="2121"/>
      <x v="3"/>
    </i>
    <i>
      <x v="877"/>
      <x v="1596"/>
      <x v="1"/>
    </i>
    <i>
      <x v="878"/>
      <x v="1604"/>
      <x v="3"/>
    </i>
    <i>
      <x v="879"/>
      <x v="1224"/>
      <x v="4"/>
    </i>
    <i>
      <x v="880"/>
      <x v="569"/>
      <x v="4"/>
    </i>
    <i>
      <x v="881"/>
      <x v="1267"/>
      <x v="4"/>
    </i>
    <i>
      <x v="882"/>
      <x v="2745"/>
      <x v="1"/>
    </i>
    <i>
      <x v="883"/>
      <x v="799"/>
      <x v="4"/>
    </i>
    <i>
      <x v="884"/>
      <x v="392"/>
      <x v="4"/>
    </i>
    <i r="1">
      <x v="1511"/>
      <x v="3"/>
    </i>
    <i>
      <x v="885"/>
      <x v="352"/>
      <x v="4"/>
    </i>
    <i>
      <x v="886"/>
      <x v="1268"/>
      <x v="4"/>
    </i>
    <i>
      <x v="887"/>
      <x v="2360"/>
      <x v="3"/>
    </i>
    <i>
      <x v="888"/>
      <x v="1340"/>
      <x v="3"/>
    </i>
    <i>
      <x v="889"/>
      <x v="2172"/>
      <x v="3"/>
    </i>
    <i>
      <x v="890"/>
      <x v="2634"/>
      <x v="3"/>
    </i>
    <i>
      <x v="891"/>
      <x v="1745"/>
      <x v="3"/>
    </i>
    <i>
      <x v="892"/>
      <x v="1795"/>
      <x v="3"/>
    </i>
    <i>
      <x v="893"/>
      <x v="2284"/>
      <x v="3"/>
    </i>
    <i>
      <x v="894"/>
      <x v="31"/>
      <x v="4"/>
    </i>
    <i>
      <x v="895"/>
      <x v="2728"/>
      <x v="1"/>
    </i>
    <i>
      <x v="896"/>
      <x v="200"/>
      <x v="4"/>
    </i>
    <i>
      <x v="897"/>
      <x v="519"/>
      <x v="4"/>
    </i>
    <i r="1">
      <x v="2657"/>
      <x v="2"/>
    </i>
    <i r="1">
      <x v="2870"/>
      <x v="3"/>
    </i>
    <i>
      <x v="898"/>
      <x v="748"/>
      <x v="4"/>
    </i>
    <i r="1">
      <x v="2514"/>
      <x v="2"/>
    </i>
    <i>
      <x v="899"/>
      <x v="515"/>
      <x v="4"/>
    </i>
    <i>
      <x v="900"/>
      <x v="583"/>
      <x v="4"/>
    </i>
    <i r="1">
      <x v="1543"/>
      <x v="3"/>
    </i>
    <i>
      <x v="901"/>
      <x v="205"/>
      <x v="4"/>
    </i>
    <i>
      <x v="902"/>
      <x v="940"/>
      <x v="4"/>
    </i>
    <i>
      <x v="903"/>
      <x v="958"/>
      <x v="4"/>
    </i>
    <i>
      <x v="904"/>
      <x v="1152"/>
      <x v="4"/>
    </i>
    <i>
      <x v="905"/>
      <x v="338"/>
      <x v="4"/>
    </i>
    <i>
      <x v="906"/>
      <x v="427"/>
      <x v="4"/>
    </i>
    <i r="1">
      <x v="2401"/>
      <x v="2"/>
    </i>
    <i r="1">
      <x v="2402"/>
      <x v="1"/>
    </i>
    <i>
      <x v="907"/>
      <x v="1574"/>
      <x v="3"/>
    </i>
    <i>
      <x v="908"/>
      <x v="1964"/>
      <x v="3"/>
    </i>
    <i>
      <x v="909"/>
      <x v="2195"/>
      <x v="3"/>
    </i>
    <i>
      <x v="910"/>
      <x v="1661"/>
      <x v="1"/>
    </i>
    <i>
      <x v="911"/>
      <x v="1660"/>
      <x v="3"/>
    </i>
    <i>
      <x v="912"/>
      <x v="2228"/>
      <x v="3"/>
    </i>
    <i>
      <x v="913"/>
      <x v="1180"/>
      <x v="4"/>
    </i>
    <i>
      <x v="914"/>
      <x v="2658"/>
      <x v="3"/>
    </i>
    <i>
      <x v="915"/>
      <x v="1432"/>
      <x v="3"/>
    </i>
    <i>
      <x v="916"/>
      <x v="1313"/>
      <x v="3"/>
    </i>
    <i>
      <x v="917"/>
      <x v="1253"/>
      <x v="4"/>
    </i>
    <i>
      <x v="918"/>
      <x v="1308"/>
      <x v="3"/>
    </i>
    <i>
      <x v="919"/>
      <x v="1497"/>
      <x v="3"/>
    </i>
    <i>
      <x v="920"/>
      <x v="1509"/>
      <x v="3"/>
    </i>
    <i>
      <x v="921"/>
      <x v="1247"/>
      <x v="4"/>
    </i>
    <i>
      <x v="922"/>
      <x v="2478"/>
      <x v="3"/>
    </i>
    <i>
      <x v="923"/>
      <x v="383"/>
      <x v="4"/>
    </i>
    <i>
      <x v="924"/>
      <x v="2841"/>
      <x v="3"/>
    </i>
    <i>
      <x v="925"/>
      <x v="1475"/>
      <x v="3"/>
    </i>
    <i>
      <x v="926"/>
      <x v="1329"/>
      <x v="3"/>
    </i>
    <i>
      <x v="927"/>
      <x v="55"/>
      <x v="4"/>
    </i>
    <i>
      <x v="928"/>
      <x v="2007"/>
      <x v="3"/>
    </i>
    <i>
      <x v="929"/>
      <x v="1521"/>
      <x v="3"/>
    </i>
    <i>
      <x v="930"/>
      <x v="11"/>
      <x v="4"/>
    </i>
    <i>
      <x v="931"/>
      <x v="1385"/>
      <x v="3"/>
    </i>
    <i>
      <x v="932"/>
      <x v="1519"/>
      <x v="3"/>
    </i>
    <i>
      <x v="933"/>
      <x v="29"/>
      <x v="4"/>
    </i>
    <i>
      <x v="934"/>
      <x v="1175"/>
      <x v="4"/>
    </i>
    <i>
      <x v="935"/>
      <x v="206"/>
      <x v="4"/>
    </i>
    <i>
      <x v="936"/>
      <x v="353"/>
      <x v="4"/>
    </i>
    <i>
      <x v="937"/>
      <x v="855"/>
      <x v="4"/>
    </i>
    <i>
      <x v="938"/>
      <x v="520"/>
      <x v="4"/>
    </i>
    <i>
      <x v="939"/>
      <x v="32"/>
      <x v="4"/>
    </i>
    <i>
      <x v="940"/>
      <x v="537"/>
      <x v="4"/>
    </i>
    <i r="1">
      <x v="1930"/>
      <x v="3"/>
    </i>
    <i>
      <x v="941"/>
      <x v="829"/>
      <x v="4"/>
    </i>
    <i r="1">
      <x v="944"/>
      <x v="4"/>
    </i>
    <i>
      <x v="942"/>
      <x v="334"/>
      <x v="4"/>
    </i>
    <i>
      <x v="943"/>
      <x v="749"/>
      <x v="4"/>
    </i>
    <i r="1">
      <x v="1688"/>
      <x v="3"/>
    </i>
    <i>
      <x v="944"/>
      <x v="2513"/>
      <x v="2"/>
    </i>
    <i>
      <x v="945"/>
      <x v="2517"/>
      <x v="3"/>
    </i>
    <i>
      <x v="946"/>
      <x v="807"/>
      <x v="4"/>
    </i>
    <i r="1">
      <x v="1586"/>
      <x v="3"/>
    </i>
    <i>
      <x v="947"/>
      <x v="2462"/>
      <x v="2"/>
    </i>
    <i>
      <x v="948"/>
      <x v="752"/>
      <x v="4"/>
    </i>
    <i>
      <x v="949"/>
      <x v="905"/>
      <x v="4"/>
    </i>
    <i>
      <x v="950"/>
      <x v="904"/>
      <x v="4"/>
    </i>
    <i>
      <x v="951"/>
      <x v="975"/>
      <x v="4"/>
    </i>
    <i>
      <x v="952"/>
      <x v="955"/>
      <x v="4"/>
    </i>
    <i r="1">
      <x v="2197"/>
      <x v="3"/>
    </i>
    <i>
      <x v="953"/>
      <x v="1199"/>
      <x v="4"/>
    </i>
    <i>
      <x v="954"/>
      <x v="7"/>
      <x v="4"/>
    </i>
    <i>
      <x v="955"/>
      <x v="1750"/>
      <x v="3"/>
    </i>
    <i>
      <x v="956"/>
      <x v="667"/>
      <x v="4"/>
    </i>
    <i>
      <x v="957"/>
      <x v="2613"/>
      <x v="3"/>
    </i>
    <i>
      <x v="958"/>
      <x v="384"/>
      <x v="4"/>
    </i>
    <i r="1">
      <x v="2244"/>
      <x v="3"/>
    </i>
    <i>
      <x v="959"/>
      <x v="323"/>
      <x v="4"/>
    </i>
    <i>
      <x v="960"/>
      <x v="385"/>
      <x v="4"/>
    </i>
    <i>
      <x v="961"/>
      <x v="781"/>
      <x v="4"/>
    </i>
    <i>
      <x v="962"/>
      <x v="2592"/>
      <x v="3"/>
    </i>
    <i>
      <x v="963"/>
      <x v="2586"/>
      <x v="1"/>
    </i>
    <i>
      <x v="964"/>
      <x v="116"/>
      <x v="4"/>
    </i>
    <i>
      <x v="965"/>
      <x v="1530"/>
      <x v="3"/>
    </i>
    <i>
      <x v="966"/>
      <x v="885"/>
      <x v="4"/>
    </i>
    <i r="1">
      <x v="2215"/>
      <x v="3"/>
    </i>
    <i>
      <x v="967"/>
      <x v="201"/>
      <x v="4"/>
    </i>
    <i>
      <x v="968"/>
      <x v="603"/>
      <x v="4"/>
    </i>
    <i>
      <x v="969"/>
      <x v="1894"/>
      <x v="3"/>
    </i>
    <i>
      <x v="970"/>
      <x v="915"/>
      <x v="4"/>
    </i>
    <i>
      <x v="971"/>
      <x v="2419"/>
      <x v="3"/>
    </i>
    <i>
      <x v="972"/>
      <x v="259"/>
      <x v="4"/>
    </i>
    <i>
      <x v="973"/>
      <x v="2791"/>
      <x v="3"/>
    </i>
    <i>
      <x v="974"/>
      <x v="2497"/>
      <x v="2"/>
    </i>
    <i>
      <x v="975"/>
      <x v="924"/>
      <x v="4"/>
    </i>
    <i r="1">
      <x v="2150"/>
      <x v="3"/>
    </i>
    <i>
      <x v="976"/>
      <x v="469"/>
      <x v="4"/>
    </i>
    <i>
      <x v="977"/>
      <x v="2337"/>
      <x v="3"/>
    </i>
    <i>
      <x v="978"/>
      <x v="2338"/>
      <x v="3"/>
    </i>
    <i>
      <x v="979"/>
      <x v="1477"/>
      <x v="3"/>
    </i>
    <i>
      <x v="980"/>
      <x v="2565"/>
      <x v="2"/>
    </i>
    <i>
      <x v="981"/>
      <x v="2567"/>
      <x v="3"/>
    </i>
    <i>
      <x v="982"/>
      <x v="369"/>
      <x v="4"/>
    </i>
    <i>
      <x v="983"/>
      <x v="1240"/>
      <x v="4"/>
    </i>
    <i>
      <x v="984"/>
      <x v="2754"/>
      <x v="3"/>
    </i>
    <i>
      <x v="985"/>
      <x v="2755"/>
      <x v="1"/>
    </i>
    <i>
      <x v="986"/>
      <x v="2702"/>
      <x v="3"/>
    </i>
    <i>
      <x v="987"/>
      <x v="2618"/>
      <x v="1"/>
    </i>
    <i>
      <x v="988"/>
      <x v="979"/>
      <x v="4"/>
    </i>
    <i r="1">
      <x v="1578"/>
      <x v="3"/>
    </i>
    <i>
      <x v="989"/>
      <x v="227"/>
      <x v="4"/>
    </i>
    <i>
      <x v="990"/>
      <x v="934"/>
      <x v="4"/>
    </i>
    <i r="1">
      <x v="2129"/>
      <x v="3"/>
    </i>
    <i>
      <x v="991"/>
      <x v="2473"/>
      <x v="3"/>
    </i>
    <i>
      <x v="992"/>
      <x v="1207"/>
      <x v="4"/>
    </i>
    <i>
      <x v="993"/>
      <x v="394"/>
      <x v="4"/>
    </i>
    <i>
      <x v="994"/>
      <x v="2670"/>
      <x v="3"/>
    </i>
    <i>
      <x v="995"/>
      <x v="2587"/>
      <x v="1"/>
    </i>
    <i>
      <x v="996"/>
      <x v="2054"/>
      <x v="3"/>
    </i>
    <i>
      <x v="997"/>
      <x v="591"/>
      <x v="4"/>
    </i>
    <i r="1">
      <x v="1920"/>
      <x v="3"/>
    </i>
    <i>
      <x v="998"/>
      <x v="2056"/>
      <x v="3"/>
    </i>
    <i>
      <x v="999"/>
      <x v="2057"/>
      <x v="3"/>
    </i>
    <i>
      <x v="1000"/>
      <x v="1915"/>
      <x v="3"/>
    </i>
    <i>
      <x v="1001"/>
      <x v="2268"/>
      <x v="2"/>
    </i>
    <i>
      <x v="1002"/>
      <x v="713"/>
      <x v="4"/>
    </i>
    <i>
      <x v="1003"/>
      <x v="728"/>
      <x v="4"/>
    </i>
    <i r="1">
      <x v="1594"/>
      <x v="2"/>
    </i>
    <i r="1">
      <x v="1595"/>
      <x v="3"/>
    </i>
    <i>
      <x v="1004"/>
      <x v="2008"/>
      <x v="1"/>
    </i>
    <i>
      <x v="1005"/>
      <x v="2508"/>
      <x v="3"/>
    </i>
    <i>
      <x v="1006"/>
      <x v="1967"/>
      <x v="3"/>
    </i>
    <i>
      <x v="1007"/>
      <x v="626"/>
      <x v="4"/>
    </i>
    <i>
      <x v="1008"/>
      <x v="1299"/>
      <x v="1"/>
    </i>
    <i>
      <x v="1009"/>
      <x v="417"/>
      <x v="4"/>
    </i>
    <i r="1">
      <x v="2285"/>
      <x v="3"/>
    </i>
    <i>
      <x v="1010"/>
      <x v="2286"/>
      <x v="3"/>
    </i>
    <i>
      <x v="1011"/>
      <x v="1094"/>
      <x v="4"/>
    </i>
    <i>
      <x v="1012"/>
      <x v="364"/>
      <x v="4"/>
    </i>
    <i>
      <x v="1013"/>
      <x v="758"/>
      <x v="4"/>
    </i>
    <i>
      <x v="1014"/>
      <x v="2635"/>
      <x v="3"/>
    </i>
    <i>
      <x v="1015"/>
      <x v="1598"/>
      <x v="3"/>
    </i>
    <i>
      <x v="1016"/>
      <x v="396"/>
      <x v="4"/>
    </i>
    <i>
      <x v="1017"/>
      <x v="1645"/>
      <x v="3"/>
    </i>
    <i>
      <x v="1018"/>
      <x v="576"/>
      <x v="4"/>
    </i>
    <i r="1">
      <x v="1872"/>
      <x v="3"/>
    </i>
    <i>
      <x v="1019"/>
      <x v="1856"/>
      <x v="2"/>
    </i>
    <i>
      <x v="1020"/>
      <x v="570"/>
      <x v="4"/>
    </i>
    <i r="1">
      <x v="577"/>
      <x v="4"/>
    </i>
    <i>
      <x v="1021"/>
      <x v="1676"/>
      <x v="2"/>
    </i>
    <i r="1">
      <x v="1677"/>
      <x v="1"/>
    </i>
    <i>
      <x v="1022"/>
      <x v="2084"/>
      <x v="3"/>
    </i>
    <i>
      <x v="1023"/>
      <x v="1225"/>
      <x v="4"/>
    </i>
    <i>
      <x v="1024"/>
      <x v="548"/>
      <x v="4"/>
    </i>
    <i r="1">
      <x v="1936"/>
      <x v="2"/>
    </i>
    <i>
      <x v="1025"/>
      <x v="1678"/>
      <x v="3"/>
    </i>
    <i>
      <x v="1026"/>
      <x v="1999"/>
      <x v="2"/>
    </i>
    <i r="1">
      <x v="2009"/>
      <x v="1"/>
    </i>
    <i>
      <x v="1027"/>
      <x v="693"/>
      <x v="4"/>
    </i>
    <i r="1">
      <x v="1950"/>
      <x v="3"/>
    </i>
    <i>
      <x v="1028"/>
      <x v="275"/>
      <x v="4"/>
    </i>
    <i>
      <x v="1029"/>
      <x v="2756"/>
      <x v="3"/>
    </i>
    <i>
      <x v="1030"/>
      <x v="856"/>
      <x v="4"/>
    </i>
    <i>
      <x v="1031"/>
      <x v="245"/>
      <x v="4"/>
    </i>
    <i r="1">
      <x v="1117"/>
      <x v="4"/>
    </i>
    <i>
      <x v="1032"/>
      <x v="571"/>
      <x v="4"/>
    </i>
    <i r="1">
      <x v="1873"/>
      <x v="3"/>
    </i>
    <i>
      <x v="1033"/>
      <x v="824"/>
      <x v="4"/>
    </i>
    <i r="1">
      <x v="2484"/>
      <x v="3"/>
    </i>
    <i>
      <x v="1034"/>
      <x v="971"/>
      <x v="4"/>
    </i>
    <i r="1">
      <x v="1642"/>
      <x v="3"/>
    </i>
    <i>
      <x v="1035"/>
      <x v="2733"/>
      <x v="1"/>
    </i>
    <i>
      <x v="1036"/>
      <x v="260"/>
      <x v="4"/>
    </i>
    <i r="1">
      <x v="2734"/>
      <x v="3"/>
    </i>
    <i>
      <x v="1037"/>
      <x v="1774"/>
      <x v="3"/>
    </i>
    <i>
      <x v="1038"/>
      <x v="2855"/>
      <x v="3"/>
    </i>
    <i>
      <x v="1039"/>
      <x v="1840"/>
      <x v="3"/>
    </i>
    <i>
      <x v="1040"/>
      <x v="695"/>
      <x v="4"/>
    </i>
    <i>
      <x v="1041"/>
      <x v="793"/>
      <x v="4"/>
    </i>
    <i r="1">
      <x v="2844"/>
      <x v="3"/>
    </i>
    <i>
      <x v="1042"/>
      <x v="1164"/>
      <x v="4"/>
    </i>
    <i>
      <x v="1043"/>
      <x v="759"/>
      <x v="4"/>
    </i>
    <i r="1">
      <x v="2486"/>
      <x v="3"/>
    </i>
    <i>
      <x v="1044"/>
      <x v="2574"/>
      <x v="3"/>
    </i>
    <i>
      <x v="1045"/>
      <x v="283"/>
      <x v="4"/>
    </i>
    <i>
      <x v="1046"/>
      <x v="239"/>
      <x v="4"/>
    </i>
    <i r="1">
      <x v="1455"/>
      <x v="3"/>
    </i>
    <i>
      <x v="1047"/>
      <x v="1917"/>
      <x v="3"/>
    </i>
    <i>
      <x v="1048"/>
      <x v="2085"/>
      <x v="3"/>
    </i>
    <i>
      <x v="1049"/>
      <x v="1076"/>
      <x v="4"/>
    </i>
    <i>
      <x v="1050"/>
      <x v="2420"/>
      <x v="3"/>
    </i>
    <i>
      <x v="1051"/>
      <x v="291"/>
      <x v="4"/>
    </i>
    <i>
      <x v="1052"/>
      <x v="668"/>
      <x v="4"/>
    </i>
    <i r="1">
      <x v="2032"/>
      <x v="1"/>
    </i>
    <i>
      <x v="1053"/>
      <x v="2031"/>
      <x v="3"/>
    </i>
    <i>
      <x v="1054"/>
      <x v="1517"/>
      <x v="3"/>
    </i>
    <i>
      <x v="1055"/>
      <x v="1706"/>
      <x v="3"/>
    </i>
    <i>
      <x v="1056"/>
      <x v="685"/>
      <x v="4"/>
    </i>
    <i r="1">
      <x v="1835"/>
      <x v="3"/>
    </i>
    <i>
      <x v="1057"/>
      <x v="951"/>
      <x v="4"/>
    </i>
    <i r="1">
      <x v="1701"/>
      <x v="3"/>
    </i>
    <i r="1">
      <x v="1771"/>
      <x v="2"/>
    </i>
    <i r="1">
      <x v="2177"/>
      <x v="2"/>
    </i>
    <i>
      <x v="1058"/>
      <x v="470"/>
      <x v="4"/>
    </i>
    <i r="1">
      <x v="2178"/>
      <x v="3"/>
    </i>
    <i>
      <x v="1059"/>
      <x v="2239"/>
      <x v="3"/>
    </i>
    <i>
      <x v="1060"/>
      <x v="1784"/>
      <x v="3"/>
    </i>
    <i>
      <x v="1061"/>
      <x v="1785"/>
      <x v="3"/>
    </i>
    <i>
      <x v="1062"/>
      <x v="2094"/>
      <x v="3"/>
    </i>
    <i>
      <x v="1063"/>
      <x v="2636"/>
      <x v="3"/>
    </i>
    <i>
      <x v="1064"/>
      <x v="2743"/>
      <x v="1"/>
    </i>
    <i>
      <x v="1065"/>
      <x v="2731"/>
      <x v="3"/>
    </i>
    <i>
      <x v="1066"/>
      <x v="2729"/>
      <x v="3"/>
    </i>
    <i>
      <x v="1067"/>
      <x v="549"/>
      <x v="4"/>
    </i>
    <i r="1">
      <x v="1927"/>
      <x v="2"/>
    </i>
    <i r="1">
      <x v="1928"/>
      <x v="3"/>
    </i>
    <i>
      <x v="1068"/>
      <x v="1523"/>
      <x v="3"/>
    </i>
    <i>
      <x v="1069"/>
      <x v="1851"/>
      <x v="2"/>
    </i>
    <i>
      <x v="1070"/>
      <x v="1874"/>
      <x v="3"/>
    </i>
    <i>
      <x v="1071"/>
      <x v="1875"/>
      <x v="3"/>
    </i>
    <i>
      <x v="1072"/>
      <x v="1777"/>
      <x v="3"/>
    </i>
    <i>
      <x v="1073"/>
      <x v="701"/>
      <x v="4"/>
    </i>
    <i>
      <x v="1074"/>
      <x v="604"/>
      <x v="4"/>
    </i>
    <i r="1">
      <x v="1876"/>
      <x v="3"/>
    </i>
    <i>
      <x v="1075"/>
      <x v="965"/>
      <x v="4"/>
    </i>
    <i>
      <x v="1076"/>
      <x v="2098"/>
      <x v="3"/>
    </i>
    <i>
      <x v="1077"/>
      <x v="2102"/>
      <x v="3"/>
    </i>
    <i>
      <x v="1078"/>
      <x v="408"/>
      <x v="4"/>
    </i>
    <i>
      <x v="1079"/>
      <x v="1151"/>
      <x v="4"/>
    </i>
    <i>
      <x v="1080"/>
      <x v="1877"/>
      <x v="3"/>
    </i>
    <i>
      <x v="1081"/>
      <x v="721"/>
      <x v="4"/>
    </i>
    <i>
      <x v="1082"/>
      <x v="242"/>
      <x v="4"/>
    </i>
    <i>
      <x v="1083"/>
      <x v="849"/>
      <x v="4"/>
    </i>
    <i>
      <x v="1084"/>
      <x v="2229"/>
      <x v="3"/>
    </i>
    <i>
      <x v="1085"/>
      <x v="2257"/>
      <x v="3"/>
    </i>
    <i>
      <x v="1086"/>
      <x v="1684"/>
      <x v="3"/>
    </i>
    <i>
      <x v="1087"/>
      <x v="2856"/>
      <x v="3"/>
    </i>
    <i>
      <x v="1088"/>
      <x v="2857"/>
      <x v="3"/>
    </i>
    <i>
      <x v="1089"/>
      <x v="2858"/>
      <x v="3"/>
    </i>
    <i>
      <x v="1090"/>
      <x v="564"/>
      <x v="4"/>
    </i>
    <i>
      <x v="1091"/>
      <x v="81"/>
      <x v="4"/>
    </i>
    <i>
      <x v="1092"/>
      <x v="160"/>
      <x v="4"/>
    </i>
    <i r="1">
      <x v="2113"/>
      <x v="3"/>
    </i>
    <i>
      <x v="1093"/>
      <x v="1408"/>
      <x v="3"/>
    </i>
    <i>
      <x v="1094"/>
      <x v="1904"/>
      <x v="3"/>
    </i>
    <i>
      <x v="1095"/>
      <x v="1878"/>
      <x v="3"/>
    </i>
    <i>
      <x v="1096"/>
      <x v="2058"/>
      <x v="3"/>
    </i>
    <i>
      <x v="1097"/>
      <x v="1650"/>
      <x v="3"/>
    </i>
    <i>
      <x v="1098"/>
      <x v="2258"/>
      <x v="3"/>
    </i>
    <i r="1">
      <x v="2479"/>
      <x v="2"/>
    </i>
    <i>
      <x v="1099"/>
      <x v="815"/>
      <x v="4"/>
    </i>
    <i>
      <x v="1100"/>
      <x v="816"/>
      <x v="4"/>
    </i>
    <i>
      <x v="1101"/>
      <x v="681"/>
      <x v="4"/>
    </i>
    <i>
      <x v="1102"/>
      <x v="613"/>
      <x v="4"/>
    </i>
    <i>
      <x v="1103"/>
      <x v="1339"/>
      <x v="3"/>
    </i>
    <i>
      <x v="1104"/>
      <x v="2778"/>
      <x v="2"/>
    </i>
    <i r="1">
      <x v="2790"/>
      <x v="1"/>
    </i>
    <i>
      <x v="1105"/>
      <x v="2779"/>
      <x v="3"/>
    </i>
    <i>
      <x v="1106"/>
      <x v="1989"/>
      <x v="2"/>
    </i>
    <i r="1">
      <x v="1990"/>
      <x v="1"/>
    </i>
    <i>
      <x v="1107"/>
      <x v="760"/>
      <x v="4"/>
    </i>
    <i>
      <x v="1108"/>
      <x v="1460"/>
      <x v="3"/>
    </i>
    <i>
      <x v="1109"/>
      <x v="1527"/>
      <x v="3"/>
    </i>
    <i>
      <x v="1110"/>
      <x v="2241"/>
      <x v="3"/>
    </i>
    <i>
      <x v="1111"/>
      <x v="1921"/>
      <x v="3"/>
    </i>
    <i>
      <x v="1112"/>
      <x v="409"/>
      <x v="4"/>
    </i>
    <i>
      <x v="1113"/>
      <x v="410"/>
      <x v="4"/>
    </i>
    <i>
      <x v="1114"/>
      <x v="2676"/>
      <x v="3"/>
    </i>
    <i>
      <x v="1115"/>
      <x v="1005"/>
      <x v="4"/>
    </i>
    <i>
      <x v="1116"/>
      <x v="592"/>
      <x v="4"/>
    </i>
    <i r="1">
      <x v="2059"/>
      <x v="3"/>
    </i>
    <i>
      <x v="1117"/>
      <x v="590"/>
      <x v="4"/>
    </i>
    <i r="1">
      <x v="2060"/>
      <x v="3"/>
    </i>
    <i>
      <x v="1118"/>
      <x v="1907"/>
      <x v="3"/>
    </i>
    <i>
      <x v="1119"/>
      <x v="216"/>
      <x v="4"/>
    </i>
    <i>
      <x v="1120"/>
      <x v="361"/>
      <x v="4"/>
    </i>
    <i r="1">
      <x v="512"/>
      <x v="4"/>
    </i>
    <i r="1">
      <x v="1591"/>
      <x v="3"/>
    </i>
    <i>
      <x v="1121"/>
      <x v="2089"/>
      <x v="3"/>
    </i>
    <i>
      <x v="1122"/>
      <x v="462"/>
      <x v="4"/>
    </i>
    <i r="1">
      <x v="538"/>
      <x v="4"/>
    </i>
    <i r="1">
      <x v="1929"/>
      <x v="3"/>
    </i>
    <i>
      <x v="1123"/>
      <x v="1922"/>
      <x v="3"/>
    </i>
    <i>
      <x v="1124"/>
      <x v="2326"/>
      <x v="3"/>
    </i>
    <i>
      <x v="1125"/>
      <x v="1797"/>
      <x v="3"/>
    </i>
    <i>
      <x v="1126"/>
      <x v="578"/>
      <x v="4"/>
    </i>
    <i>
      <x v="1127"/>
      <x v="718"/>
      <x v="4"/>
    </i>
    <i>
      <x v="1128"/>
      <x v="706"/>
      <x v="4"/>
    </i>
    <i>
      <x v="1129"/>
      <x v="207"/>
      <x v="4"/>
    </i>
    <i>
      <x v="1130"/>
      <x v="276"/>
      <x v="4"/>
    </i>
    <i r="1">
      <x v="1068"/>
      <x v="4"/>
    </i>
    <i>
      <x v="1131"/>
      <x v="375"/>
      <x v="4"/>
    </i>
    <i>
      <x v="1132"/>
      <x v="521"/>
      <x v="4"/>
    </i>
    <i r="1">
      <x v="1010"/>
      <x v="4"/>
    </i>
    <i r="1">
      <x v="2251"/>
      <x v="3"/>
    </i>
    <i>
      <x v="1133"/>
      <x v="1226"/>
      <x v="4"/>
    </i>
    <i>
      <x v="1134"/>
      <x v="2339"/>
      <x v="3"/>
    </i>
    <i>
      <x v="1135"/>
      <x v="2340"/>
      <x v="3"/>
    </i>
    <i>
      <x v="1136"/>
      <x v="2825"/>
      <x v="1"/>
    </i>
    <i>
      <x v="1137"/>
      <x v="2548"/>
      <x v="3"/>
    </i>
    <i>
      <x v="1138"/>
      <x v="2079"/>
      <x v="2"/>
    </i>
    <i>
      <x v="1139"/>
      <x v="2383"/>
      <x v="3"/>
    </i>
    <i>
      <x v="1140"/>
      <x v="778"/>
      <x v="4"/>
    </i>
    <i>
      <x v="1141"/>
      <x v="487"/>
      <x v="4"/>
    </i>
    <i>
      <x v="1142"/>
      <x v="2763"/>
      <x v="3"/>
    </i>
    <i>
      <x v="1143"/>
      <x v="1977"/>
      <x v="2"/>
    </i>
    <i r="1">
      <x v="2010"/>
      <x v="1"/>
    </i>
    <i>
      <x v="1144"/>
      <x v="639"/>
      <x v="4"/>
    </i>
    <i>
      <x v="1145"/>
      <x v="2528"/>
      <x v="3"/>
    </i>
    <i>
      <x v="1146"/>
      <x v="2720"/>
      <x v="3"/>
    </i>
    <i>
      <x v="1147"/>
      <x v="1159"/>
      <x v="4"/>
    </i>
    <i r="1">
      <x v="1577"/>
      <x v="3"/>
    </i>
    <i>
      <x v="1148"/>
      <x v="2341"/>
      <x v="3"/>
    </i>
    <i>
      <x v="1149"/>
      <x v="437"/>
      <x v="4"/>
    </i>
    <i>
      <x v="1150"/>
      <x v="596"/>
      <x v="4"/>
    </i>
    <i>
      <x v="1151"/>
      <x v="1965"/>
      <x v="3"/>
    </i>
    <i>
      <x v="1152"/>
      <x v="857"/>
      <x v="4"/>
    </i>
    <i>
      <x v="1153"/>
      <x v="1908"/>
      <x v="3"/>
    </i>
    <i>
      <x v="1154"/>
      <x v="1951"/>
      <x v="3"/>
    </i>
    <i>
      <x v="1155"/>
      <x v="586"/>
      <x v="4"/>
    </i>
    <i>
      <x v="1156"/>
      <x v="2212"/>
      <x v="3"/>
    </i>
    <i>
      <x v="1157"/>
      <x v="2543"/>
      <x v="2"/>
    </i>
    <i>
      <x v="1158"/>
      <x v="432"/>
      <x v="4"/>
    </i>
    <i>
      <x v="1159"/>
      <x v="669"/>
      <x v="4"/>
    </i>
    <i>
      <x v="1160"/>
      <x v="1581"/>
      <x v="3"/>
    </i>
    <i>
      <x v="1161"/>
      <x v="2088"/>
      <x v="3"/>
    </i>
    <i>
      <x v="1162"/>
      <x v="959"/>
      <x v="4"/>
    </i>
    <i r="1">
      <x v="2182"/>
      <x v="2"/>
    </i>
    <i>
      <x v="1163"/>
      <x v="761"/>
      <x v="4"/>
    </i>
    <i>
      <x v="1164"/>
      <x v="1792"/>
      <x v="3"/>
    </i>
    <i>
      <x v="1165"/>
      <x v="1809"/>
      <x v="3"/>
    </i>
    <i>
      <x v="1166"/>
      <x v="1156"/>
      <x v="4"/>
    </i>
    <i>
      <x v="1167"/>
      <x v="999"/>
      <x v="4"/>
    </i>
    <i r="1">
      <x v="1568"/>
      <x v="3"/>
    </i>
    <i>
      <x v="1168"/>
      <x v="1197"/>
      <x v="4"/>
    </i>
    <i>
      <x v="1169"/>
      <x v="2662"/>
      <x v="3"/>
    </i>
    <i>
      <x v="1170"/>
      <x v="2108"/>
      <x v="3"/>
    </i>
    <i>
      <x v="1171"/>
      <x v="1254"/>
      <x v="4"/>
    </i>
    <i>
      <x v="1172"/>
      <x v="2697"/>
      <x v="3"/>
    </i>
    <i>
      <x v="1173"/>
      <x v="1801"/>
      <x v="3"/>
    </i>
    <i>
      <x v="1174"/>
      <x v="1599"/>
      <x v="3"/>
    </i>
    <i>
      <x v="1175"/>
      <x v="2516"/>
      <x v="2"/>
    </i>
    <i>
      <x v="1176"/>
      <x v="1991"/>
      <x v="3"/>
    </i>
    <i>
      <x v="1177"/>
      <x v="2664"/>
      <x v="3"/>
    </i>
    <i>
      <x v="1178"/>
      <x v="2652"/>
      <x v="3"/>
    </i>
    <i>
      <x v="1179"/>
      <x v="277"/>
      <x v="4"/>
    </i>
    <i r="1">
      <x v="783"/>
      <x v="4"/>
    </i>
    <i r="1">
      <x v="2581"/>
      <x v="1"/>
    </i>
    <i>
      <x v="1180"/>
      <x v="2110"/>
      <x v="3"/>
    </i>
    <i>
      <x v="1181"/>
      <x v="2593"/>
      <x v="3"/>
    </i>
    <i>
      <x v="1182"/>
      <x v="2356"/>
      <x v="3"/>
    </i>
    <i>
      <x v="1183"/>
      <x v="2690"/>
      <x v="3"/>
    </i>
    <i>
      <x v="1184"/>
      <x v="1549"/>
      <x v="3"/>
    </i>
    <i>
      <x v="1185"/>
      <x v="246"/>
      <x v="4"/>
    </i>
    <i>
      <x v="1186"/>
      <x v="2741"/>
      <x v="3"/>
    </i>
    <i>
      <x v="1187"/>
      <x v="1269"/>
      <x v="4"/>
    </i>
    <i>
      <x v="1188"/>
      <x v="1300"/>
      <x v="1"/>
    </i>
    <i>
      <x v="1189"/>
      <x v="1396"/>
      <x v="3"/>
    </i>
    <i>
      <x v="1190"/>
      <x v="2109"/>
      <x v="3"/>
    </i>
    <i>
      <x v="1191"/>
      <x v="1714"/>
      <x v="3"/>
    </i>
    <i>
      <x v="1192"/>
      <x v="1137"/>
      <x v="4"/>
    </i>
    <i>
      <x v="1193"/>
      <x v="1270"/>
      <x v="4"/>
    </i>
    <i r="1">
      <x v="1794"/>
      <x v="3"/>
    </i>
    <i>
      <x v="1194"/>
      <x v="1227"/>
      <x v="4"/>
    </i>
    <i>
      <x v="1195"/>
      <x v="1442"/>
      <x v="3"/>
    </i>
    <i>
      <x v="1196"/>
      <x v="1035"/>
      <x v="4"/>
    </i>
    <i>
      <x v="1197"/>
      <x v="1954"/>
      <x v="3"/>
    </i>
    <i>
      <x v="1198"/>
      <x v="1956"/>
      <x v="3"/>
    </i>
    <i>
      <x v="1199"/>
      <x v="598"/>
      <x v="4"/>
    </i>
    <i>
      <x v="1200"/>
      <x v="597"/>
      <x v="4"/>
    </i>
    <i>
      <x v="1201"/>
      <x v="986"/>
      <x v="4"/>
    </i>
    <i>
      <x v="1202"/>
      <x v="1603"/>
      <x v="3"/>
    </i>
    <i>
      <x v="1203"/>
      <x v="165"/>
      <x v="4"/>
    </i>
    <i>
      <x v="1204"/>
      <x v="293"/>
      <x v="4"/>
    </i>
    <i r="1">
      <x v="627"/>
      <x v="4"/>
    </i>
    <i r="1">
      <x v="843"/>
      <x v="4"/>
    </i>
    <i r="1">
      <x v="980"/>
      <x v="4"/>
    </i>
    <i r="1">
      <x v="1271"/>
      <x v="4"/>
    </i>
    <i r="1">
      <x v="1718"/>
      <x v="2"/>
    </i>
    <i r="1">
      <x v="1763"/>
      <x v="2"/>
    </i>
    <i r="1">
      <x v="1971"/>
      <x v="1"/>
    </i>
    <i>
      <x v="1205"/>
      <x v="448"/>
      <x v="4"/>
    </i>
    <i>
      <x v="1206"/>
      <x v="2504"/>
      <x v="1"/>
    </i>
    <i>
      <x v="1207"/>
      <x v="2506"/>
      <x v="3"/>
    </i>
    <i>
      <x v="1208"/>
      <x v="2588"/>
      <x v="3"/>
    </i>
    <i>
      <x v="1209"/>
      <x v="1879"/>
      <x v="3"/>
    </i>
    <i>
      <x v="1210"/>
      <x v="1651"/>
      <x v="3"/>
    </i>
    <i>
      <x v="1211"/>
      <x v="2864"/>
      <x v="3"/>
    </i>
    <i>
      <x v="1212"/>
      <x v="1614"/>
      <x v="3"/>
    </i>
    <i>
      <x v="1213"/>
      <x v="2801"/>
      <x v="3"/>
    </i>
    <i>
      <x v="1214"/>
      <x v="1575"/>
      <x v="3"/>
    </i>
    <i>
      <x v="1215"/>
      <x v="1719"/>
      <x v="3"/>
    </i>
    <i>
      <x v="1216"/>
      <x v="1828"/>
      <x v="3"/>
    </i>
    <i>
      <x v="1217"/>
      <x v="579"/>
      <x v="4"/>
    </i>
    <i>
      <x v="1218"/>
      <x v="2607"/>
      <x v="3"/>
    </i>
    <i>
      <x v="1219"/>
      <x v="2509"/>
      <x v="3"/>
    </i>
    <i>
      <x v="1220"/>
      <x v="1963"/>
      <x v="3"/>
    </i>
    <i>
      <x v="1221"/>
      <x v="670"/>
      <x v="4"/>
    </i>
    <i>
      <x v="1222"/>
      <x v="972"/>
      <x v="4"/>
    </i>
    <i r="1">
      <x v="1647"/>
      <x v="3"/>
    </i>
    <i>
      <x v="1223"/>
      <x v="403"/>
      <x v="4"/>
    </i>
    <i r="1">
      <x v="2445"/>
      <x v="3"/>
    </i>
    <i>
      <x v="1224"/>
      <x v="1707"/>
      <x v="3"/>
    </i>
    <i>
      <x v="1225"/>
      <x v="660"/>
      <x v="4"/>
    </i>
    <i>
      <x v="1226"/>
      <x v="168"/>
      <x v="4"/>
    </i>
    <i r="1">
      <x v="1434"/>
      <x v="3"/>
    </i>
    <i>
      <x v="1227"/>
      <x v="1695"/>
      <x v="1"/>
    </i>
    <i>
      <x v="1228"/>
      <x v="1805"/>
      <x v="3"/>
    </i>
    <i>
      <x v="1229"/>
      <x v="278"/>
      <x v="4"/>
    </i>
    <i r="1">
      <x v="1023"/>
      <x v="4"/>
    </i>
    <i r="1">
      <x v="1689"/>
      <x v="2"/>
    </i>
    <i r="1">
      <x v="1690"/>
      <x v="1"/>
    </i>
    <i>
      <x v="1230"/>
      <x v="2048"/>
      <x v="3"/>
    </i>
    <i>
      <x v="1231"/>
      <x v="2086"/>
      <x v="1"/>
    </i>
    <i>
      <x v="1232"/>
      <x v="2030"/>
      <x v="3"/>
    </i>
    <i>
      <x v="1233"/>
      <x v="2046"/>
      <x v="2"/>
    </i>
    <i r="1">
      <x v="2047"/>
      <x v="1"/>
    </i>
    <i>
      <x v="1234"/>
      <x v="673"/>
      <x v="4"/>
    </i>
    <i>
      <x v="1235"/>
      <x v="840"/>
      <x v="4"/>
    </i>
    <i r="1">
      <x v="2501"/>
      <x v="3"/>
    </i>
    <i>
      <x v="1236"/>
      <x v="2500"/>
      <x v="1"/>
    </i>
    <i>
      <x v="1237"/>
      <x v="696"/>
      <x v="4"/>
    </i>
    <i r="1">
      <x v="1593"/>
      <x v="3"/>
    </i>
    <i>
      <x v="1238"/>
      <x v="2552"/>
      <x v="3"/>
    </i>
    <i>
      <x v="1239"/>
      <x v="2553"/>
      <x v="3"/>
    </i>
    <i>
      <x v="1240"/>
      <x v="2843"/>
      <x v="3"/>
    </i>
    <i>
      <x v="1241"/>
      <x v="1773"/>
      <x v="3"/>
    </i>
    <i>
      <x v="1242"/>
      <x v="2140"/>
      <x v="3"/>
    </i>
    <i>
      <x v="1243"/>
      <x v="1205"/>
      <x v="4"/>
    </i>
    <i>
      <x v="1244"/>
      <x v="2219"/>
      <x v="3"/>
    </i>
    <i>
      <x v="1245"/>
      <x v="190"/>
      <x v="4"/>
    </i>
    <i>
      <x v="1246"/>
      <x v="1687"/>
      <x v="3"/>
    </i>
    <i>
      <x v="1247"/>
      <x v="1738"/>
      <x v="2"/>
    </i>
    <i>
      <x v="1248"/>
      <x v="145"/>
      <x v="4"/>
    </i>
    <i>
      <x v="1249"/>
      <x v="102"/>
      <x v="4"/>
    </i>
    <i>
      <x v="1250"/>
      <x v="1729"/>
      <x v="3"/>
    </i>
    <i>
      <x v="1251"/>
      <x v="1573"/>
      <x v="3"/>
    </i>
    <i>
      <x v="1252"/>
      <x v="2453"/>
      <x v="2"/>
    </i>
    <i>
      <x v="1253"/>
      <x v="2011"/>
      <x v="1"/>
    </i>
    <i>
      <x v="1254"/>
      <x v="640"/>
      <x v="4"/>
    </i>
    <i>
      <x v="1255"/>
      <x v="2568"/>
      <x v="3"/>
    </i>
    <i>
      <x v="1256"/>
      <x v="2561"/>
      <x v="2"/>
    </i>
    <i>
      <x v="1257"/>
      <x v="1982"/>
      <x v="2"/>
    </i>
    <i r="1">
      <x v="1983"/>
      <x v="1"/>
    </i>
    <i>
      <x v="1258"/>
      <x v="935"/>
      <x v="4"/>
    </i>
    <i>
      <x v="1259"/>
      <x v="703"/>
      <x v="4"/>
    </i>
    <i>
      <x v="1260"/>
      <x v="1584"/>
      <x v="3"/>
    </i>
    <i>
      <x v="1261"/>
      <x v="1913"/>
      <x v="3"/>
    </i>
    <i>
      <x v="1262"/>
      <x v="2417"/>
      <x v="1"/>
    </i>
    <i>
      <x v="1263"/>
      <x v="2407"/>
      <x v="2"/>
    </i>
    <i>
      <x v="1264"/>
      <x v="657"/>
      <x v="4"/>
    </i>
    <i>
      <x v="1265"/>
      <x v="2259"/>
      <x v="3"/>
    </i>
    <i>
      <x v="1266"/>
      <x v="2260"/>
      <x v="3"/>
    </i>
    <i>
      <x v="1267"/>
      <x v="671"/>
      <x v="4"/>
    </i>
    <i r="1">
      <x v="2040"/>
      <x v="3"/>
    </i>
    <i>
      <x v="1268"/>
      <x v="877"/>
      <x v="4"/>
    </i>
    <i r="1">
      <x v="1558"/>
      <x v="3"/>
    </i>
    <i>
      <x v="1269"/>
      <x v="1751"/>
      <x v="2"/>
    </i>
    <i>
      <x v="1270"/>
      <x v="1752"/>
      <x v="3"/>
    </i>
    <i>
      <x v="1271"/>
      <x v="2317"/>
      <x v="2"/>
    </i>
    <i r="1">
      <x v="2318"/>
      <x v="3"/>
    </i>
    <i>
      <x v="1272"/>
      <x v="2327"/>
      <x v="3"/>
    </i>
    <i>
      <x v="1273"/>
      <x v="628"/>
      <x v="4"/>
    </i>
    <i>
      <x v="1274"/>
      <x v="196"/>
      <x v="4"/>
    </i>
    <i>
      <x v="1275"/>
      <x v="197"/>
      <x v="4"/>
    </i>
    <i>
      <x v="1276"/>
      <x v="442"/>
      <x v="4"/>
    </i>
    <i>
      <x v="1277"/>
      <x v="2868"/>
      <x v="3"/>
    </i>
    <i>
      <x v="1278"/>
      <x v="2660"/>
      <x v="3"/>
    </i>
    <i>
      <x v="1279"/>
      <x v="2707"/>
      <x v="3"/>
    </i>
    <i>
      <x v="1280"/>
      <x v="310"/>
      <x v="4"/>
    </i>
    <i r="1">
      <x v="1942"/>
      <x v="3"/>
    </i>
    <i>
      <x v="1281"/>
      <x v="691"/>
      <x v="4"/>
    </i>
    <i>
      <x v="1282"/>
      <x v="714"/>
      <x v="4"/>
    </i>
    <i r="1">
      <x v="1017"/>
      <x v="4"/>
    </i>
    <i r="1">
      <x v="1206"/>
      <x v="4"/>
    </i>
    <i r="1">
      <x v="2023"/>
      <x v="3"/>
    </i>
    <i>
      <x v="1283"/>
      <x v="253"/>
      <x v="4"/>
    </i>
    <i>
      <x v="1284"/>
      <x v="1228"/>
      <x v="4"/>
    </i>
    <i>
      <x v="1285"/>
      <x v="1623"/>
      <x v="3"/>
    </i>
    <i>
      <x v="1286"/>
      <x v="2191"/>
      <x v="2"/>
    </i>
    <i r="1">
      <x v="2192"/>
      <x v="1"/>
    </i>
    <i>
      <x v="1287"/>
      <x v="641"/>
      <x v="4"/>
    </i>
    <i>
      <x v="1288"/>
      <x v="1272"/>
      <x v="4"/>
    </i>
    <i>
      <x v="1289"/>
      <x v="1208"/>
      <x v="4"/>
    </i>
    <i>
      <x v="1290"/>
      <x v="2012"/>
      <x v="3"/>
    </i>
    <i>
      <x v="1291"/>
      <x v="1448"/>
      <x v="3"/>
    </i>
    <i>
      <x v="1292"/>
      <x v="386"/>
      <x v="4"/>
    </i>
    <i>
      <x v="1293"/>
      <x v="2540"/>
      <x v="2"/>
    </i>
    <i>
      <x v="1294"/>
      <x v="729"/>
      <x v="4"/>
    </i>
    <i>
      <x v="1295"/>
      <x v="1570"/>
      <x v="3"/>
    </i>
    <i>
      <x v="1296"/>
      <x v="2198"/>
      <x v="3"/>
    </i>
    <i>
      <x v="1297"/>
      <x v="1142"/>
      <x v="4"/>
    </i>
    <i>
      <x v="1298"/>
      <x v="1139"/>
      <x v="4"/>
    </i>
    <i r="1">
      <x v="1170"/>
      <x v="4"/>
    </i>
    <i>
      <x v="1299"/>
      <x v="2550"/>
      <x v="3"/>
    </i>
    <i>
      <x v="1300"/>
      <x v="620"/>
      <x v="4"/>
    </i>
    <i>
      <x v="1301"/>
      <x v="1880"/>
      <x v="3"/>
    </i>
    <i>
      <x v="1302"/>
      <x v="1881"/>
      <x v="3"/>
    </i>
    <i>
      <x v="1303"/>
      <x v="2265"/>
      <x v="3"/>
    </i>
    <i>
      <x v="1304"/>
      <x v="791"/>
      <x v="4"/>
    </i>
    <i>
      <x v="1305"/>
      <x v="2610"/>
      <x v="3"/>
    </i>
    <i>
      <x v="1306"/>
      <x v="347"/>
      <x v="4"/>
    </i>
    <i r="1">
      <x v="550"/>
      <x v="4"/>
    </i>
    <i r="1">
      <x v="2301"/>
      <x v="2"/>
    </i>
    <i>
      <x v="1307"/>
      <x v="318"/>
      <x v="4"/>
    </i>
    <i>
      <x v="1308"/>
      <x v="2846"/>
      <x v="3"/>
    </i>
    <i>
      <x v="1309"/>
      <x v="2176"/>
      <x v="3"/>
    </i>
    <i>
      <x v="1310"/>
      <x v="1259"/>
      <x v="4"/>
    </i>
    <i>
      <x v="1311"/>
      <x v="753"/>
      <x v="4"/>
    </i>
    <i>
      <x v="1312"/>
      <x v="457"/>
      <x v="4"/>
    </i>
    <i>
      <x v="1313"/>
      <x v="1556"/>
      <x v="1"/>
    </i>
    <i>
      <x v="1314"/>
      <x v="306"/>
      <x v="4"/>
    </i>
    <i>
      <x v="1315"/>
      <x v="1696"/>
      <x v="3"/>
    </i>
    <i>
      <x v="1316"/>
      <x v="1698"/>
      <x v="3"/>
    </i>
    <i>
      <x v="1317"/>
      <x v="1699"/>
      <x v="3"/>
    </i>
    <i>
      <x v="1318"/>
      <x v="1697"/>
      <x v="3"/>
    </i>
    <i>
      <x v="1319"/>
      <x v="1683"/>
      <x v="3"/>
    </i>
    <i>
      <x v="1320"/>
      <x v="906"/>
      <x v="4"/>
    </i>
    <i>
      <x v="1321"/>
      <x v="686"/>
      <x v="4"/>
    </i>
    <i r="1">
      <x v="1830"/>
      <x v="3"/>
    </i>
    <i>
      <x v="1322"/>
      <x v="2063"/>
      <x v="3"/>
    </i>
    <i>
      <x v="1323"/>
      <x v="22"/>
      <x v="4"/>
    </i>
    <i>
      <x v="1324"/>
      <x v="20"/>
      <x v="4"/>
    </i>
    <i>
      <x v="1325"/>
      <x v="2247"/>
      <x v="3"/>
    </i>
    <i>
      <x v="1326"/>
      <x v="1132"/>
      <x v="4"/>
    </i>
    <i>
      <x v="1327"/>
      <x v="1739"/>
      <x v="2"/>
    </i>
    <i>
      <x v="1328"/>
      <x v="1181"/>
      <x v="4"/>
    </i>
    <i>
      <x v="1329"/>
      <x v="2836"/>
      <x v="2"/>
    </i>
    <i r="1">
      <x v="2837"/>
      <x v="3"/>
    </i>
    <i>
      <x v="1330"/>
      <x v="1077"/>
      <x v="4"/>
    </i>
    <i>
      <x v="1331"/>
      <x v="1000"/>
      <x v="4"/>
    </i>
    <i r="1">
      <x v="1666"/>
      <x v="3"/>
    </i>
    <i>
      <x v="1332"/>
      <x v="97"/>
      <x v="4"/>
    </i>
    <i>
      <x v="1333"/>
      <x v="811"/>
      <x v="4"/>
    </i>
    <i>
      <x v="1334"/>
      <x v="947"/>
      <x v="4"/>
    </i>
    <i>
      <x v="1335"/>
      <x v="1046"/>
      <x v="4"/>
    </i>
    <i>
      <x v="1336"/>
      <x v="767"/>
      <x v="4"/>
    </i>
    <i>
      <x v="1337"/>
      <x v="808"/>
      <x v="4"/>
    </i>
    <i>
      <x v="1338"/>
      <x v="779"/>
      <x v="4"/>
    </i>
    <i>
      <x v="1339"/>
      <x v="900"/>
      <x v="4"/>
    </i>
    <i>
      <x v="1340"/>
      <x v="795"/>
      <x v="4"/>
    </i>
    <i>
      <x v="1341"/>
      <x v="780"/>
      <x v="4"/>
    </i>
    <i>
      <x v="1342"/>
      <x v="838"/>
      <x v="4"/>
    </i>
    <i>
      <x v="1343"/>
      <x v="510"/>
      <x v="4"/>
    </i>
    <i>
      <x v="1344"/>
      <x v="411"/>
      <x v="4"/>
    </i>
    <i>
      <x v="1345"/>
      <x v="769"/>
      <x v="4"/>
    </i>
    <i>
      <x v="1346"/>
      <x v="648"/>
      <x v="4"/>
    </i>
    <i>
      <x v="1347"/>
      <x v="176"/>
      <x v="4"/>
    </i>
    <i>
      <x v="1348"/>
      <x v="535"/>
      <x v="4"/>
    </i>
    <i>
      <x v="1349"/>
      <x v="646"/>
      <x v="4"/>
    </i>
    <i>
      <x v="1350"/>
      <x v="809"/>
      <x v="4"/>
    </i>
    <i>
      <x v="1351"/>
      <x v="705"/>
      <x v="4"/>
    </i>
    <i>
      <x v="1352"/>
      <x v="690"/>
      <x v="4"/>
    </i>
    <i>
      <x v="1353"/>
      <x v="601"/>
      <x v="4"/>
    </i>
    <i>
      <x v="1354"/>
      <x v="826"/>
      <x v="4"/>
    </i>
    <i>
      <x v="1355"/>
      <x v="946"/>
      <x v="4"/>
    </i>
    <i>
      <x v="1356"/>
      <x v="901"/>
      <x v="4"/>
    </i>
    <i>
      <x v="1357"/>
      <x v="798"/>
      <x v="4"/>
    </i>
    <i>
      <x v="1358"/>
      <x v="732"/>
      <x v="4"/>
    </i>
    <i>
      <x v="1359"/>
      <x v="902"/>
      <x v="4"/>
    </i>
    <i>
      <x v="1360"/>
      <x v="455"/>
      <x v="4"/>
    </i>
    <i>
      <x v="1361"/>
      <x v="602"/>
      <x v="4"/>
    </i>
    <i>
      <x v="1362"/>
      <x v="898"/>
      <x v="4"/>
    </i>
    <i>
      <x v="1363"/>
      <x v="867"/>
      <x v="4"/>
    </i>
    <i>
      <x v="1364"/>
      <x v="766"/>
      <x v="4"/>
    </i>
    <i>
      <x v="1365"/>
      <x v="790"/>
      <x v="4"/>
    </i>
    <i>
      <x v="1366"/>
      <x v="782"/>
      <x v="4"/>
    </i>
    <i>
      <x v="1367"/>
      <x v="1144"/>
      <x v="4"/>
    </i>
    <i>
      <x v="1368"/>
      <x v="785"/>
      <x v="4"/>
    </i>
    <i>
      <x v="1369"/>
      <x v="813"/>
      <x v="4"/>
    </i>
    <i>
      <x v="1370"/>
      <x v="837"/>
      <x v="4"/>
    </i>
    <i>
      <x v="1371"/>
      <x v="605"/>
      <x v="4"/>
    </i>
    <i>
      <x v="1372"/>
      <x v="827"/>
      <x v="4"/>
    </i>
    <i>
      <x v="1373"/>
      <x v="1118"/>
      <x v="4"/>
    </i>
    <i>
      <x v="1374"/>
      <x v="740"/>
      <x v="4"/>
    </i>
    <i>
      <x v="1375"/>
      <x v="719"/>
      <x v="4"/>
    </i>
    <i>
      <x v="1376"/>
      <x v="792"/>
      <x v="4"/>
    </i>
    <i>
      <x v="1377"/>
      <x v="1049"/>
      <x v="4"/>
    </i>
    <i>
      <x v="1378"/>
      <x v="731"/>
      <x v="4"/>
    </i>
    <i>
      <x v="1379"/>
      <x v="682"/>
      <x v="4"/>
    </i>
    <i>
      <x v="1380"/>
      <x v="269"/>
      <x v="4"/>
    </i>
    <i>
      <x v="1381"/>
      <x v="541"/>
      <x v="4"/>
    </i>
    <i>
      <x v="1382"/>
      <x v="845"/>
      <x v="4"/>
    </i>
    <i>
      <x v="1383"/>
      <x v="737"/>
      <x v="4"/>
    </i>
    <i>
      <x v="1384"/>
      <x v="1031"/>
      <x v="4"/>
    </i>
    <i>
      <x v="1385"/>
      <x v="542"/>
      <x v="4"/>
    </i>
    <i>
      <x v="1386"/>
      <x v="1033"/>
      <x v="4"/>
    </i>
    <i>
      <x v="1387"/>
      <x v="547"/>
      <x v="4"/>
    </i>
    <i>
      <x v="1388"/>
      <x v="152"/>
      <x v="4"/>
    </i>
    <i>
      <x v="1389"/>
      <x v="800"/>
      <x v="4"/>
    </i>
    <i>
      <x v="1390"/>
      <x v="1045"/>
      <x v="4"/>
    </i>
    <i>
      <x v="1391"/>
      <x v="814"/>
      <x v="4"/>
    </i>
    <i>
      <x v="1392"/>
      <x v="37"/>
      <x v="4"/>
    </i>
    <i>
      <x v="1393"/>
      <x v="1048"/>
      <x v="4"/>
    </i>
    <i>
      <x v="1394"/>
      <x v="1073"/>
      <x v="4"/>
    </i>
    <i>
      <x v="1395"/>
      <x v="1070"/>
      <x v="4"/>
    </i>
    <i>
      <x v="1396"/>
      <x v="1032"/>
      <x v="4"/>
    </i>
    <i>
      <x v="1397"/>
      <x v="697"/>
      <x v="4"/>
    </i>
    <i>
      <x v="1398"/>
      <x v="683"/>
      <x v="4"/>
    </i>
    <i>
      <x v="1399"/>
      <x v="1027"/>
      <x v="4"/>
    </i>
    <i>
      <x v="1400"/>
      <x v="1029"/>
      <x v="4"/>
    </i>
    <i>
      <x v="1401"/>
      <x v="720"/>
      <x v="4"/>
    </i>
    <i>
      <x v="1402"/>
      <x v="836"/>
      <x v="4"/>
    </i>
    <i>
      <x v="1403"/>
      <x v="710"/>
      <x v="4"/>
    </i>
    <i>
      <x v="1404"/>
      <x v="496"/>
      <x v="4"/>
    </i>
    <i>
      <x v="1405"/>
      <x v="754"/>
      <x v="4"/>
    </i>
    <i>
      <x v="1406"/>
      <x v="24"/>
      <x v="4"/>
    </i>
    <i>
      <x v="1407"/>
      <x v="773"/>
      <x v="4"/>
    </i>
    <i>
      <x v="1408"/>
      <x v="629"/>
      <x v="4"/>
    </i>
    <i>
      <x v="1409"/>
      <x v="650"/>
      <x v="4"/>
    </i>
    <i>
      <x v="1410"/>
      <x v="832"/>
      <x v="4"/>
    </i>
    <i>
      <x v="1411"/>
      <x v="1028"/>
      <x v="4"/>
    </i>
    <i>
      <x v="1412"/>
      <x v="763"/>
      <x v="4"/>
    </i>
    <i>
      <x v="1413"/>
      <x v="421"/>
      <x v="4"/>
    </i>
    <i>
      <x v="1414"/>
      <x v="2429"/>
      <x v="3"/>
    </i>
    <i>
      <x v="1415"/>
      <x v="1389"/>
      <x v="3"/>
    </i>
    <i>
      <x v="1416"/>
      <x v="2104"/>
      <x v="3"/>
    </i>
    <i>
      <x v="1417"/>
      <x v="1834"/>
      <x v="3"/>
    </i>
    <i>
      <x v="1418"/>
      <x v="68"/>
      <x v="4"/>
    </i>
    <i>
      <x v="1419"/>
      <x v="2367"/>
      <x v="2"/>
    </i>
    <i r="1">
      <x v="2369"/>
      <x v="3"/>
    </i>
    <i>
      <x v="1420"/>
      <x v="2368"/>
      <x v="1"/>
    </i>
    <i>
      <x v="1421"/>
      <x v="614"/>
      <x v="4"/>
    </i>
    <i>
      <x v="1422"/>
      <x v="1849"/>
      <x v="2"/>
    </i>
    <i r="1">
      <x v="1882"/>
      <x v="3"/>
    </i>
    <i>
      <x v="1423"/>
      <x v="1883"/>
      <x v="3"/>
    </i>
    <i>
      <x v="1424"/>
      <x v="1823"/>
      <x v="3"/>
    </i>
    <i>
      <x v="1425"/>
      <x v="2637"/>
      <x v="3"/>
    </i>
    <i>
      <x v="1426"/>
      <x v="661"/>
      <x v="4"/>
    </i>
    <i>
      <x v="1427"/>
      <x v="2115"/>
      <x v="3"/>
    </i>
    <i>
      <x v="1428"/>
      <x v="1111"/>
      <x v="4"/>
    </i>
    <i>
      <x v="1429"/>
      <x v="1088"/>
      <x v="4"/>
    </i>
    <i>
      <x v="1430"/>
      <x v="567"/>
      <x v="4"/>
    </i>
    <i r="1">
      <x v="2848"/>
      <x v="3"/>
    </i>
    <i>
      <x v="1431"/>
      <x v="1824"/>
      <x v="3"/>
    </i>
    <i>
      <x v="1432"/>
      <x v="539"/>
      <x v="4"/>
    </i>
    <i>
      <x v="1433"/>
      <x v="1512"/>
      <x v="3"/>
    </i>
    <i>
      <x v="1434"/>
      <x v="1104"/>
      <x v="4"/>
    </i>
    <i>
      <x v="1435"/>
      <x v="1072"/>
      <x v="4"/>
    </i>
    <i>
      <x v="1436"/>
      <x v="1052"/>
      <x v="4"/>
    </i>
    <i>
      <x v="1437"/>
      <x v="2276"/>
      <x v="2"/>
    </i>
    <i>
      <x v="1438"/>
      <x v="1884"/>
      <x v="3"/>
    </i>
    <i>
      <x v="1439"/>
      <x v="1165"/>
      <x v="4"/>
    </i>
    <i>
      <x v="1440"/>
      <x v="140"/>
      <x v="4"/>
    </i>
    <i>
      <x v="1441"/>
      <x v="142"/>
      <x v="4"/>
    </i>
    <i>
      <x v="1442"/>
      <x v="241"/>
      <x v="4"/>
    </i>
    <i>
      <x v="1443"/>
      <x v="214"/>
      <x v="4"/>
    </i>
    <i>
      <x v="1444"/>
      <x v="1145"/>
      <x v="4"/>
    </i>
    <i>
      <x v="1445"/>
      <x v="1150"/>
      <x v="4"/>
    </i>
    <i>
      <x v="1446"/>
      <x v="1167"/>
      <x v="4"/>
    </i>
    <i>
      <x v="1447"/>
      <x v="1155"/>
      <x v="4"/>
    </i>
    <i>
      <x v="1448"/>
      <x v="1011"/>
      <x v="4"/>
    </i>
    <i>
      <x v="1449"/>
      <x v="215"/>
      <x v="4"/>
    </i>
    <i>
      <x v="1450"/>
      <x v="1012"/>
      <x v="4"/>
    </i>
    <i>
      <x v="1451"/>
      <x v="94"/>
      <x v="4"/>
    </i>
    <i>
      <x v="1452"/>
      <x v="529"/>
      <x v="4"/>
    </i>
    <i>
      <x v="1453"/>
      <x v="1148"/>
      <x v="4"/>
    </i>
    <i>
      <x v="1454"/>
      <x v="1169"/>
      <x v="4"/>
    </i>
    <i>
      <x v="1455"/>
      <x v="1161"/>
      <x v="4"/>
    </i>
    <i>
      <x v="1456"/>
      <x v="1013"/>
      <x v="4"/>
    </i>
    <i>
      <x v="1457"/>
      <x v="1149"/>
      <x v="4"/>
    </i>
    <i>
      <x v="1458"/>
      <x v="187"/>
      <x v="4"/>
    </i>
    <i>
      <x v="1459"/>
      <x v="188"/>
      <x v="4"/>
    </i>
    <i>
      <x v="1460"/>
      <x v="438"/>
      <x v="4"/>
    </i>
    <i r="1">
      <x v="2254"/>
      <x v="3"/>
    </i>
    <i>
      <x v="1461"/>
      <x v="2323"/>
      <x v="2"/>
    </i>
    <i>
      <x v="1462"/>
      <x v="466"/>
      <x v="4"/>
    </i>
    <i r="1">
      <x v="2328"/>
      <x v="3"/>
    </i>
    <i>
      <x v="1463"/>
      <x v="2320"/>
      <x v="3"/>
    </i>
    <i>
      <x v="1464"/>
      <x v="2316"/>
      <x v="2"/>
    </i>
    <i>
      <x v="1465"/>
      <x v="271"/>
      <x v="4"/>
    </i>
    <i>
      <x v="1466"/>
      <x v="1643"/>
      <x v="3"/>
    </i>
    <i>
      <x v="1467"/>
      <x v="1381"/>
      <x v="3"/>
    </i>
    <i>
      <x v="1468"/>
      <x v="1229"/>
      <x v="4"/>
    </i>
    <i>
      <x v="1469"/>
      <x v="2798"/>
      <x v="3"/>
    </i>
    <i>
      <x v="1470"/>
      <x v="733"/>
      <x v="4"/>
    </i>
    <i>
      <x v="1471"/>
      <x v="1098"/>
      <x v="4"/>
    </i>
    <i>
      <x v="1472"/>
      <x v="387"/>
      <x v="4"/>
    </i>
    <i r="1">
      <x v="2638"/>
      <x v="3"/>
    </i>
    <i>
      <x v="1473"/>
      <x v="606"/>
      <x v="4"/>
    </i>
    <i r="1">
      <x v="1885"/>
      <x v="3"/>
    </i>
    <i>
      <x v="1474"/>
      <x v="2802"/>
      <x v="3"/>
    </i>
    <i>
      <x v="1475"/>
      <x v="1089"/>
      <x v="4"/>
    </i>
    <i>
      <x v="1476"/>
      <x v="1778"/>
      <x v="3"/>
    </i>
    <i>
      <x v="1477"/>
      <x v="527"/>
      <x v="4"/>
    </i>
    <i r="1">
      <x v="1755"/>
      <x v="3"/>
    </i>
    <i>
      <x v="1478"/>
      <x v="1886"/>
      <x v="3"/>
    </i>
    <i>
      <x v="1479"/>
      <x v="528"/>
      <x v="4"/>
    </i>
    <i r="1">
      <x v="1754"/>
      <x v="3"/>
    </i>
    <i>
      <x v="1480"/>
      <x v="1753"/>
      <x v="2"/>
    </i>
    <i>
      <x v="1481"/>
      <x v="1384"/>
      <x v="3"/>
    </i>
    <i>
      <x v="1482"/>
      <x v="513"/>
      <x v="4"/>
    </i>
    <i>
      <x v="1483"/>
      <x v="2300"/>
      <x v="3"/>
    </i>
    <i>
      <x v="1484"/>
      <x v="331"/>
      <x v="4"/>
    </i>
    <i>
      <x v="1485"/>
      <x v="2296"/>
      <x v="2"/>
    </i>
    <i>
      <x v="1486"/>
      <x v="540"/>
      <x v="4"/>
    </i>
    <i>
      <x v="1487"/>
      <x v="1382"/>
      <x v="3"/>
    </i>
    <i>
      <x v="1488"/>
      <x v="1764"/>
      <x v="2"/>
    </i>
    <i r="1">
      <x v="2193"/>
      <x v="3"/>
    </i>
    <i>
      <x v="1489"/>
      <x v="1765"/>
      <x v="3"/>
    </i>
    <i>
      <x v="1490"/>
      <x v="1887"/>
      <x v="3"/>
    </i>
    <i>
      <x v="1491"/>
      <x v="715"/>
      <x v="4"/>
    </i>
    <i>
      <x v="1492"/>
      <x v="295"/>
      <x v="4"/>
    </i>
    <i>
      <x v="1493"/>
      <x v="183"/>
      <x v="4"/>
    </i>
    <i>
      <x v="1494"/>
      <x v="261"/>
      <x v="4"/>
    </i>
    <i r="1">
      <x v="2735"/>
      <x v="1"/>
    </i>
    <i>
      <x v="1495"/>
      <x v="125"/>
      <x v="4"/>
    </i>
    <i>
      <x v="1496"/>
      <x v="322"/>
      <x v="4"/>
    </i>
    <i>
      <x v="1497"/>
      <x v="1090"/>
      <x v="4"/>
    </i>
    <i>
      <x v="1498"/>
      <x v="607"/>
      <x v="4"/>
    </i>
    <i r="1">
      <x v="1855"/>
      <x v="2"/>
    </i>
    <i r="1">
      <x v="1888"/>
      <x v="3"/>
    </i>
    <i>
      <x v="1499"/>
      <x v="8"/>
      <x v="4"/>
    </i>
    <i>
      <x v="1500"/>
      <x v="2821"/>
      <x v="1"/>
    </i>
    <i>
      <x v="1501"/>
      <x v="1255"/>
      <x v="4"/>
    </i>
    <i>
      <x v="1502"/>
      <x v="279"/>
      <x v="4"/>
    </i>
    <i r="1">
      <x v="2780"/>
      <x v="1"/>
    </i>
    <i>
      <x v="1503"/>
      <x v="2781"/>
      <x v="3"/>
    </i>
    <i>
      <x v="1504"/>
      <x v="981"/>
      <x v="4"/>
    </i>
    <i>
      <x v="1505"/>
      <x v="987"/>
      <x v="4"/>
    </i>
    <i r="1">
      <x v="2647"/>
      <x v="3"/>
    </i>
    <i>
      <x v="1506"/>
      <x v="1008"/>
      <x v="4"/>
    </i>
    <i r="1">
      <x v="1711"/>
      <x v="3"/>
    </i>
    <i>
      <x v="1507"/>
      <x v="106"/>
      <x v="4"/>
    </i>
    <i r="1">
      <x v="117"/>
      <x v="4"/>
    </i>
    <i r="1">
      <x v="841"/>
      <x v="4"/>
    </i>
    <i r="1">
      <x v="1390"/>
      <x v="3"/>
    </i>
    <i>
      <x v="1508"/>
      <x v="1735"/>
      <x v="3"/>
    </i>
    <i>
      <x v="1509"/>
      <x v="1736"/>
      <x v="1"/>
    </i>
    <i>
      <x v="1510"/>
      <x v="2519"/>
      <x v="3"/>
    </i>
    <i>
      <x v="1511"/>
      <x v="1456"/>
      <x v="3"/>
    </i>
    <i>
      <x v="1512"/>
      <x v="1405"/>
      <x v="3"/>
    </i>
    <i>
      <x v="1513"/>
      <x v="2661"/>
      <x v="3"/>
    </i>
    <i>
      <x v="1514"/>
      <x v="2839"/>
      <x v="3"/>
    </i>
    <i>
      <x v="1515"/>
      <x v="2643"/>
      <x v="3"/>
    </i>
    <i>
      <x v="1516"/>
      <x v="1508"/>
      <x v="3"/>
    </i>
    <i>
      <x v="1517"/>
      <x v="108"/>
      <x v="4"/>
    </i>
    <i>
      <x v="1518"/>
      <x v="1348"/>
      <x v="3"/>
    </i>
    <i>
      <x v="1519"/>
      <x v="1766"/>
      <x v="2"/>
    </i>
    <i r="1">
      <x v="1767"/>
      <x v="3"/>
    </i>
    <i>
      <x v="1520"/>
      <x v="1400"/>
      <x v="3"/>
    </i>
    <i>
      <x v="1521"/>
      <x v="226"/>
      <x v="4"/>
    </i>
    <i>
      <x v="1522"/>
      <x v="1421"/>
      <x v="2"/>
    </i>
    <i>
      <x v="1523"/>
      <x v="642"/>
      <x v="4"/>
    </i>
    <i>
      <x v="1524"/>
      <x v="1966"/>
      <x v="2"/>
    </i>
    <i r="1">
      <x v="2013"/>
      <x v="1"/>
    </i>
    <i>
      <x v="1525"/>
      <x v="2014"/>
      <x v="3"/>
    </i>
    <i>
      <x v="1526"/>
      <x v="2015"/>
      <x v="3"/>
    </i>
    <i>
      <x v="1527"/>
      <x v="121"/>
      <x v="4"/>
    </i>
    <i>
      <x v="1528"/>
      <x v="656"/>
      <x v="4"/>
    </i>
    <i>
      <x v="1529"/>
      <x v="1916"/>
      <x v="3"/>
    </i>
    <i>
      <x v="1530"/>
      <x v="1748"/>
      <x v="2"/>
    </i>
    <i r="1">
      <x v="1749"/>
      <x v="3"/>
    </i>
    <i>
      <x v="1531"/>
      <x v="2249"/>
      <x v="3"/>
    </i>
    <i>
      <x v="1532"/>
      <x v="441"/>
      <x v="4"/>
    </i>
    <i>
      <x v="1533"/>
      <x v="708"/>
      <x v="4"/>
    </i>
    <i>
      <x v="1534"/>
      <x v="2064"/>
      <x v="3"/>
    </i>
    <i>
      <x v="1535"/>
      <x v="262"/>
      <x v="4"/>
    </i>
    <i r="1">
      <x v="2742"/>
      <x v="1"/>
    </i>
    <i>
      <x v="1536"/>
      <x v="247"/>
      <x v="4"/>
    </i>
    <i>
      <x v="1537"/>
      <x v="1084"/>
      <x v="4"/>
    </i>
    <i>
      <x v="1538"/>
      <x v="1366"/>
      <x v="3"/>
    </i>
    <i>
      <x v="1539"/>
      <x v="1362"/>
      <x v="3"/>
    </i>
    <i>
      <x v="1540"/>
      <x v="821"/>
      <x v="4"/>
    </i>
    <i>
      <x v="1541"/>
      <x v="88"/>
      <x v="4"/>
    </i>
    <i r="1">
      <x v="111"/>
      <x v="4"/>
    </i>
    <i r="1">
      <x v="764"/>
      <x v="4"/>
    </i>
    <i r="1">
      <x v="2090"/>
      <x v="3"/>
    </i>
    <i>
      <x v="1542"/>
      <x v="2653"/>
      <x v="3"/>
    </i>
    <i>
      <x v="1543"/>
      <x v="2672"/>
      <x v="3"/>
    </i>
    <i>
      <x v="1544"/>
      <x v="1377"/>
      <x v="3"/>
    </i>
    <i>
      <x v="1545"/>
      <x v="2823"/>
      <x v="1"/>
    </i>
    <i>
      <x v="1546"/>
      <x v="170"/>
      <x v="4"/>
    </i>
    <i>
      <x v="1547"/>
      <x v="1493"/>
      <x v="3"/>
    </i>
    <i>
      <x v="1548"/>
      <x v="2655"/>
      <x v="3"/>
    </i>
    <i>
      <x v="1549"/>
      <x v="488"/>
      <x v="4"/>
    </i>
    <i r="1">
      <x v="2365"/>
      <x v="3"/>
    </i>
    <i>
      <x v="1550"/>
      <x v="2701"/>
      <x v="3"/>
    </i>
    <i>
      <x v="1551"/>
      <x v="2719"/>
      <x v="3"/>
    </i>
    <i>
      <x v="1552"/>
      <x v="1485"/>
      <x v="3"/>
    </i>
    <i>
      <x v="1553"/>
      <x v="1344"/>
      <x v="3"/>
    </i>
    <i>
      <x v="1554"/>
      <x v="132"/>
      <x v="4"/>
    </i>
    <i>
      <x v="1555"/>
      <x v="1447"/>
      <x v="3"/>
    </i>
    <i>
      <x v="1556"/>
      <x v="2589"/>
      <x v="1"/>
    </i>
    <i>
      <x v="1557"/>
      <x v="2590"/>
      <x v="3"/>
    </i>
    <i>
      <x v="1558"/>
      <x v="1481"/>
      <x v="3"/>
    </i>
    <i>
      <x v="1559"/>
      <x v="2775"/>
      <x v="3"/>
    </i>
    <i>
      <x v="1560"/>
      <x v="2785"/>
      <x v="1"/>
    </i>
    <i>
      <x v="1561"/>
      <x v="280"/>
      <x v="4"/>
    </i>
    <i r="1">
      <x v="2773"/>
      <x v="2"/>
    </i>
    <i r="1">
      <x v="2774"/>
      <x v="1"/>
    </i>
    <i>
      <x v="1562"/>
      <x v="2784"/>
      <x v="3"/>
    </i>
    <i>
      <x v="1563"/>
      <x v="33"/>
      <x v="4"/>
    </i>
    <i>
      <x v="1564"/>
      <x v="2710"/>
      <x v="3"/>
    </i>
    <i>
      <x v="1565"/>
      <x v="1725"/>
      <x v="3"/>
    </i>
    <i>
      <x v="1566"/>
      <x v="1726"/>
      <x v="3"/>
    </i>
    <i>
      <x v="1567"/>
      <x v="2230"/>
      <x v="3"/>
    </i>
    <i>
      <x v="1568"/>
      <x v="1395"/>
      <x v="3"/>
    </i>
    <i>
      <x v="1569"/>
      <x v="1674"/>
      <x v="3"/>
    </i>
    <i>
      <x v="1570"/>
      <x v="2408"/>
      <x v="2"/>
    </i>
    <i>
      <x v="1571"/>
      <x v="2358"/>
      <x v="3"/>
    </i>
    <i>
      <x v="1572"/>
      <x v="340"/>
      <x v="4"/>
    </i>
    <i>
      <x v="1573"/>
      <x v="311"/>
      <x v="4"/>
    </i>
    <i r="1">
      <x v="2818"/>
      <x v="1"/>
    </i>
    <i>
      <x v="1574"/>
      <x v="2475"/>
      <x v="3"/>
    </i>
    <i>
      <x v="1575"/>
      <x v="1191"/>
      <x v="4"/>
    </i>
    <i r="1">
      <x v="2231"/>
      <x v="2"/>
    </i>
    <i>
      <x v="1576"/>
      <x v="376"/>
      <x v="4"/>
    </i>
    <i>
      <x v="1577"/>
      <x v="14"/>
      <x v="4"/>
    </i>
    <i>
      <x v="1578"/>
      <x v="12"/>
      <x v="4"/>
    </i>
    <i>
      <x v="1579"/>
      <x v="1525"/>
      <x v="3"/>
    </i>
    <i>
      <x v="1580"/>
      <x v="1026"/>
      <x v="4"/>
    </i>
    <i>
      <x v="1581"/>
      <x v="118"/>
      <x v="4"/>
    </i>
    <i>
      <x v="1582"/>
      <x v="1085"/>
      <x v="4"/>
    </i>
    <i>
      <x v="1583"/>
      <x v="1192"/>
      <x v="4"/>
    </i>
    <i>
      <x v="1584"/>
      <x v="2685"/>
      <x v="3"/>
    </i>
    <i>
      <x v="1585"/>
      <x v="2684"/>
      <x v="3"/>
    </i>
    <i>
      <x v="1586"/>
      <x v="1121"/>
      <x v="4"/>
    </i>
    <i>
      <x v="1587"/>
      <x v="674"/>
      <x v="4"/>
    </i>
    <i>
      <x v="1588"/>
      <x v="2087"/>
      <x v="3"/>
    </i>
    <i>
      <x v="1589"/>
      <x v="2073"/>
      <x v="1"/>
    </i>
    <i>
      <x v="1590"/>
      <x v="2072"/>
      <x v="3"/>
    </i>
    <i>
      <x v="1591"/>
      <x v="1101"/>
      <x v="4"/>
    </i>
    <i>
      <x v="1592"/>
      <x v="209"/>
      <x v="4"/>
    </i>
    <i>
      <x v="1593"/>
      <x v="2680"/>
      <x v="3"/>
    </i>
    <i>
      <x v="1594"/>
      <x v="1356"/>
      <x v="3"/>
    </i>
    <i>
      <x v="1595"/>
      <x v="1331"/>
      <x v="2"/>
    </i>
    <i r="1">
      <x v="1532"/>
      <x v="3"/>
    </i>
    <i>
      <x v="1596"/>
      <x v="50"/>
      <x v="4"/>
    </i>
    <i>
      <x v="1597"/>
      <x v="2665"/>
      <x v="3"/>
    </i>
    <i>
      <x v="1598"/>
      <x v="52"/>
      <x v="4"/>
    </i>
    <i>
      <x v="1599"/>
      <x v="449"/>
      <x v="4"/>
    </i>
    <i>
      <x v="1600"/>
      <x v="916"/>
      <x v="4"/>
    </i>
    <i>
      <x v="1601"/>
      <x v="126"/>
      <x v="4"/>
    </i>
    <i>
      <x v="1602"/>
      <x v="543"/>
      <x v="4"/>
    </i>
    <i>
      <x v="1603"/>
      <x v="1502"/>
      <x v="3"/>
    </i>
    <i>
      <x v="1604"/>
      <x v="1398"/>
      <x v="3"/>
    </i>
    <i>
      <x v="1605"/>
      <x v="1449"/>
      <x v="3"/>
    </i>
    <i>
      <x v="1606"/>
      <x v="1504"/>
      <x v="3"/>
    </i>
    <i>
      <x v="1607"/>
      <x v="76"/>
      <x v="4"/>
    </i>
    <i>
      <x v="1608"/>
      <x v="1439"/>
      <x v="3"/>
    </i>
    <i>
      <x v="1609"/>
      <x v="1209"/>
      <x v="4"/>
    </i>
    <i>
      <x v="1610"/>
      <x v="2208"/>
      <x v="3"/>
    </i>
    <i>
      <x v="1611"/>
      <x v="925"/>
      <x v="4"/>
    </i>
    <i>
      <x v="1612"/>
      <x v="15"/>
      <x v="4"/>
    </i>
    <i>
      <x v="1613"/>
      <x v="122"/>
      <x v="4"/>
    </i>
    <i>
      <x v="1614"/>
      <x v="181"/>
      <x v="4"/>
    </i>
    <i>
      <x v="1615"/>
      <x v="544"/>
      <x v="4"/>
    </i>
    <i>
      <x v="1616"/>
      <x v="551"/>
      <x v="4"/>
    </i>
    <i>
      <x v="1617"/>
      <x v="546"/>
      <x v="4"/>
    </i>
    <i>
      <x v="1618"/>
      <x v="545"/>
      <x v="4"/>
    </i>
    <i>
      <x v="1619"/>
      <x v="1952"/>
      <x v="3"/>
    </i>
    <i>
      <x v="1620"/>
      <x v="858"/>
      <x v="4"/>
    </i>
    <i>
      <x v="1621"/>
      <x v="907"/>
      <x v="4"/>
    </i>
    <i>
      <x v="1622"/>
      <x v="878"/>
      <x v="4"/>
    </i>
    <i r="1">
      <x v="2223"/>
      <x v="3"/>
    </i>
    <i>
      <x v="1623"/>
      <x v="917"/>
      <x v="4"/>
    </i>
    <i r="1">
      <x v="2168"/>
      <x v="2"/>
    </i>
    <i r="1">
      <x v="2169"/>
      <x v="3"/>
    </i>
    <i>
      <x v="1624"/>
      <x v="707"/>
      <x v="4"/>
    </i>
    <i>
      <x v="1625"/>
      <x v="522"/>
      <x v="4"/>
    </i>
    <i r="1">
      <x v="1744"/>
      <x v="3"/>
    </i>
    <i>
      <x v="1626"/>
      <x v="1125"/>
      <x v="4"/>
    </i>
    <i>
      <x v="1627"/>
      <x v="454"/>
      <x v="4"/>
    </i>
    <i>
      <x v="1628"/>
      <x v="1441"/>
      <x v="3"/>
    </i>
    <i>
      <x v="1629"/>
      <x v="2065"/>
      <x v="3"/>
    </i>
    <i>
      <x v="1630"/>
      <x v="370"/>
      <x v="4"/>
    </i>
    <i>
      <x v="1631"/>
      <x v="377"/>
      <x v="4"/>
    </i>
    <i>
      <x v="1632"/>
      <x v="371"/>
      <x v="4"/>
    </i>
    <i r="1">
      <x v="2313"/>
      <x v="3"/>
    </i>
    <i>
      <x v="1633"/>
      <x v="1670"/>
      <x v="2"/>
    </i>
    <i r="1">
      <x v="1671"/>
      <x v="3"/>
    </i>
    <i>
      <x v="1634"/>
      <x v="287"/>
      <x v="4"/>
    </i>
    <i>
      <x v="1635"/>
      <x v="1292"/>
      <x v="3"/>
    </i>
    <i>
      <x v="1636"/>
      <x v="2688"/>
      <x v="3"/>
    </i>
    <i>
      <x v="1637"/>
      <x v="395"/>
      <x v="4"/>
    </i>
    <i>
      <x v="1638"/>
      <x v="2639"/>
      <x v="3"/>
    </i>
    <i>
      <x v="1639"/>
      <x v="948"/>
      <x v="4"/>
    </i>
    <i r="1">
      <x v="2143"/>
      <x v="3"/>
    </i>
    <i>
      <x v="1640"/>
      <x v="523"/>
      <x v="4"/>
    </i>
    <i r="1">
      <x v="1762"/>
      <x v="3"/>
    </i>
    <i>
      <x v="1641"/>
      <x v="1470"/>
      <x v="3"/>
    </i>
    <i>
      <x v="1642"/>
      <x v="220"/>
      <x v="4"/>
    </i>
    <i>
      <x v="1643"/>
      <x v="990"/>
      <x v="4"/>
    </i>
    <i r="1">
      <x v="1004"/>
      <x v="4"/>
    </i>
    <i r="1">
      <x v="1600"/>
      <x v="2"/>
    </i>
    <i>
      <x v="1644"/>
      <x v="1001"/>
      <x v="4"/>
    </i>
    <i>
      <x v="1645"/>
      <x v="2723"/>
      <x v="3"/>
    </i>
    <i>
      <x v="1646"/>
      <x v="1458"/>
      <x v="3"/>
    </i>
    <i>
      <x v="1647"/>
      <x v="1427"/>
      <x v="3"/>
    </i>
    <i>
      <x v="1648"/>
      <x v="77"/>
      <x v="4"/>
    </i>
    <i>
      <x v="1649"/>
      <x v="1127"/>
      <x v="4"/>
    </i>
    <i>
      <x v="1650"/>
      <x v="1478"/>
      <x v="3"/>
    </i>
    <i>
      <x v="1651"/>
      <x v="1297"/>
      <x v="1"/>
    </i>
    <i>
      <x v="1652"/>
      <x v="1374"/>
      <x v="3"/>
    </i>
    <i>
      <x v="1653"/>
      <x v="2162"/>
      <x v="3"/>
    </i>
    <i>
      <x v="1654"/>
      <x v="1418"/>
      <x v="3"/>
    </i>
    <i>
      <x v="1655"/>
      <x v="248"/>
      <x v="4"/>
    </i>
    <i>
      <x v="1656"/>
      <x v="78"/>
      <x v="4"/>
    </i>
    <i>
      <x v="1657"/>
      <x v="222"/>
      <x v="4"/>
    </i>
    <i>
      <x v="1658"/>
      <x v="1480"/>
      <x v="3"/>
    </i>
    <i>
      <x v="1659"/>
      <x v="992"/>
      <x v="4"/>
    </i>
    <i>
      <x v="1660"/>
      <x v="1394"/>
      <x v="3"/>
    </i>
    <i>
      <x v="1661"/>
      <x v="281"/>
      <x v="4"/>
    </i>
    <i r="1">
      <x v="1044"/>
      <x v="4"/>
    </i>
    <i r="1">
      <x v="2527"/>
      <x v="3"/>
    </i>
    <i>
      <x v="1662"/>
      <x v="89"/>
      <x v="4"/>
    </i>
    <i>
      <x v="1663"/>
      <x v="79"/>
      <x v="4"/>
    </i>
    <i>
      <x v="1664"/>
      <x v="1363"/>
      <x v="3"/>
    </i>
    <i>
      <x v="1665"/>
      <x v="736"/>
      <x v="4"/>
    </i>
    <i r="1">
      <x v="1705"/>
      <x v="3"/>
    </i>
    <i>
      <x v="1666"/>
      <x v="2673"/>
      <x v="3"/>
    </i>
    <i>
      <x v="1667"/>
      <x v="1613"/>
      <x v="3"/>
    </i>
    <i>
      <x v="1668"/>
      <x v="2777"/>
      <x v="3"/>
    </i>
    <i>
      <x v="1669"/>
      <x v="1"/>
      <x v="4"/>
    </i>
    <i>
      <x v="1670"/>
      <x v="166"/>
      <x v="4"/>
    </i>
    <i>
      <x v="1671"/>
      <x v="1360"/>
      <x v="3"/>
    </i>
    <i>
      <x v="1672"/>
      <x v="1342"/>
      <x v="3"/>
    </i>
    <i>
      <x v="1673"/>
      <x v="328"/>
      <x v="4"/>
    </i>
    <i>
      <x v="1674"/>
      <x v="1326"/>
      <x v="3"/>
    </i>
    <i>
      <x v="1675"/>
      <x v="2803"/>
      <x v="2"/>
    </i>
    <i>
      <x v="1676"/>
      <x v="2711"/>
      <x v="3"/>
    </i>
    <i>
      <x v="1677"/>
      <x v="100"/>
      <x v="4"/>
    </i>
    <i r="1">
      <x v="822"/>
      <x v="4"/>
    </i>
    <i r="1">
      <x v="1294"/>
      <x v="3"/>
    </i>
    <i>
      <x v="1678"/>
      <x v="1506"/>
      <x v="3"/>
    </i>
    <i>
      <x v="1679"/>
      <x v="2847"/>
      <x v="3"/>
    </i>
    <i>
      <x v="1680"/>
      <x v="2709"/>
      <x v="3"/>
    </i>
    <i>
      <x v="1681"/>
      <x v="2507"/>
      <x v="3"/>
    </i>
    <i>
      <x v="1682"/>
      <x v="1091"/>
      <x v="4"/>
    </i>
    <i r="1">
      <x v="2606"/>
      <x v="3"/>
    </i>
    <i>
      <x v="1683"/>
      <x v="2305"/>
      <x v="3"/>
    </i>
    <i>
      <x v="1684"/>
      <x v="348"/>
      <x v="4"/>
    </i>
    <i>
      <x v="1685"/>
      <x v="552"/>
      <x v="4"/>
    </i>
    <i>
      <x v="1686"/>
      <x v="1937"/>
      <x v="2"/>
    </i>
    <i>
      <x v="1687"/>
      <x v="1281"/>
      <x v="1"/>
    </i>
    <i>
      <x v="1688"/>
      <x v="1280"/>
      <x v="2"/>
    </i>
    <i>
      <x v="1689"/>
      <x v="123"/>
      <x v="4"/>
    </i>
    <i>
      <x v="1690"/>
      <x v="1371"/>
      <x v="3"/>
    </i>
    <i r="1">
      <x v="1489"/>
      <x v="2"/>
    </i>
    <i>
      <x v="1691"/>
      <x v="1488"/>
      <x v="3"/>
    </i>
    <i>
      <x v="1692"/>
      <x v="1435"/>
      <x v="3"/>
    </i>
    <i>
      <x v="1693"/>
      <x v="1679"/>
      <x v="3"/>
    </i>
    <i>
      <x v="1694"/>
      <x v="185"/>
      <x v="4"/>
    </i>
    <i>
      <x v="1695"/>
      <x v="96"/>
      <x v="4"/>
    </i>
    <i r="1">
      <x v="177"/>
      <x v="4"/>
    </i>
    <i r="1">
      <x v="1305"/>
      <x v="1"/>
    </i>
    <i r="1">
      <x v="2236"/>
      <x v="2"/>
    </i>
    <i>
      <x v="1696"/>
      <x v="1416"/>
      <x v="3"/>
    </i>
    <i>
      <x v="1697"/>
      <x v="1359"/>
      <x v="3"/>
    </i>
    <i>
      <x v="1698"/>
      <x v="2342"/>
      <x v="3"/>
    </i>
    <i>
      <x v="1699"/>
      <x v="1293"/>
      <x v="2"/>
    </i>
    <i>
      <x v="1700"/>
      <x v="988"/>
      <x v="4"/>
    </i>
    <i>
      <x v="1701"/>
      <x v="1580"/>
      <x v="1"/>
    </i>
    <i r="1">
      <x v="2693"/>
      <x v="2"/>
    </i>
    <i>
      <x v="1702"/>
      <x v="1358"/>
      <x v="3"/>
    </i>
    <i>
      <x v="1703"/>
      <x v="2355"/>
      <x v="3"/>
    </i>
    <i>
      <x v="1704"/>
      <x v="1579"/>
      <x v="3"/>
    </i>
    <i>
      <x v="1705"/>
      <x v="1383"/>
      <x v="3"/>
    </i>
    <i>
      <x v="1706"/>
      <x v="2804"/>
      <x v="3"/>
    </i>
    <i>
      <x v="1707"/>
      <x v="1491"/>
      <x v="3"/>
    </i>
    <i>
      <x v="1708"/>
      <x v="158"/>
      <x v="4"/>
    </i>
    <i>
      <x v="1709"/>
      <x v="2199"/>
      <x v="3"/>
    </i>
    <i>
      <x v="1710"/>
      <x v="859"/>
      <x v="4"/>
    </i>
    <i>
      <x v="1711"/>
      <x v="865"/>
      <x v="4"/>
    </i>
    <i>
      <x v="1712"/>
      <x v="1375"/>
      <x v="3"/>
    </i>
    <i>
      <x v="1713"/>
      <x v="928"/>
      <x v="4"/>
    </i>
    <i>
      <x v="1714"/>
      <x v="62"/>
      <x v="4"/>
    </i>
    <i>
      <x v="1715"/>
      <x v="2534"/>
      <x v="3"/>
    </i>
    <i>
      <x v="1716"/>
      <x v="2107"/>
      <x v="3"/>
    </i>
    <i>
      <x v="1717"/>
      <x v="53"/>
      <x v="4"/>
    </i>
    <i>
      <x v="1718"/>
      <x v="1193"/>
      <x v="4"/>
    </i>
    <i>
      <x v="1719"/>
      <x v="2024"/>
      <x v="1"/>
    </i>
    <i>
      <x v="1720"/>
      <x v="1160"/>
      <x v="4"/>
    </i>
    <i>
      <x v="1721"/>
      <x v="146"/>
      <x v="4"/>
    </i>
    <i>
      <x v="1722"/>
      <x v="622"/>
      <x v="4"/>
    </i>
    <i r="1">
      <x v="1859"/>
      <x v="2"/>
    </i>
    <i>
      <x v="1723"/>
      <x v="1889"/>
      <x v="3"/>
    </i>
    <i>
      <x v="1724"/>
      <x v="1890"/>
      <x v="3"/>
    </i>
    <i>
      <x v="1725"/>
      <x v="615"/>
      <x v="4"/>
    </i>
    <i r="1">
      <x v="1862"/>
      <x v="2"/>
    </i>
    <i r="1">
      <x v="1891"/>
      <x v="3"/>
    </i>
    <i>
      <x v="1726"/>
      <x v="835"/>
      <x v="4"/>
    </i>
    <i>
      <x v="1727"/>
      <x v="805"/>
      <x v="4"/>
    </i>
    <i r="1">
      <x v="2531"/>
      <x v="3"/>
    </i>
    <i>
      <x v="1728"/>
      <x v="1702"/>
      <x v="3"/>
    </i>
    <i>
      <x v="1729"/>
      <x v="1450"/>
      <x v="3"/>
    </i>
    <i>
      <x v="1730"/>
      <x v="1437"/>
      <x v="3"/>
    </i>
    <i>
      <x v="1731"/>
      <x v="1095"/>
      <x v="4"/>
    </i>
    <i>
      <x v="1732"/>
      <x v="315"/>
      <x v="4"/>
    </i>
    <i>
      <x v="1733"/>
      <x v="34"/>
      <x v="4"/>
    </i>
    <i>
      <x v="1734"/>
      <x v="2678"/>
      <x v="3"/>
    </i>
    <i>
      <x v="1735"/>
      <x v="1712"/>
      <x v="3"/>
    </i>
    <i>
      <x v="1736"/>
      <x v="1681"/>
      <x v="1"/>
    </i>
    <i>
      <x v="1737"/>
      <x v="1682"/>
      <x v="3"/>
    </i>
    <i>
      <x v="1738"/>
      <x v="1402"/>
      <x v="3"/>
    </i>
    <i>
      <x v="1739"/>
      <x v="1505"/>
      <x v="3"/>
    </i>
    <i>
      <x v="1740"/>
      <x v="428"/>
      <x v="4"/>
    </i>
    <i r="1">
      <x v="2409"/>
      <x v="2"/>
    </i>
    <i r="1">
      <x v="2410"/>
      <x v="1"/>
    </i>
    <i>
      <x v="1741"/>
      <x v="1968"/>
      <x v="3"/>
    </i>
    <i>
      <x v="1742"/>
      <x v="1980"/>
      <x v="1"/>
    </i>
    <i>
      <x v="1743"/>
      <x v="1979"/>
      <x v="2"/>
    </i>
    <i>
      <x v="1744"/>
      <x v="2518"/>
      <x v="3"/>
    </i>
    <i>
      <x v="1745"/>
      <x v="2671"/>
      <x v="3"/>
    </i>
    <i>
      <x v="1746"/>
      <x v="1349"/>
      <x v="3"/>
    </i>
    <i>
      <x v="1747"/>
      <x v="1157"/>
      <x v="4"/>
    </i>
    <i>
      <x v="1748"/>
      <x v="2458"/>
      <x v="2"/>
    </i>
    <i r="1">
      <x v="2459"/>
      <x v="3"/>
    </i>
    <i>
      <x v="1749"/>
      <x v="982"/>
      <x v="4"/>
    </i>
    <i>
      <x v="1750"/>
      <x v="1100"/>
      <x v="4"/>
    </i>
    <i>
      <x v="1751"/>
      <x v="1892"/>
      <x v="3"/>
    </i>
    <i>
      <x v="1752"/>
      <x v="1893"/>
      <x v="3"/>
    </i>
    <i>
      <x v="1753"/>
      <x v="2772"/>
      <x v="1"/>
    </i>
    <i>
      <x v="1754"/>
      <x v="9"/>
      <x v="4"/>
    </i>
    <i r="1">
      <x v="1431"/>
      <x v="3"/>
    </i>
    <i>
      <x v="1755"/>
      <x v="1102"/>
      <x v="4"/>
    </i>
    <i>
      <x v="1756"/>
      <x v="1298"/>
      <x v="1"/>
    </i>
    <i>
      <x v="1757"/>
      <x v="1933"/>
      <x v="3"/>
    </i>
    <i>
      <x v="1758"/>
      <x v="2674"/>
      <x v="3"/>
    </i>
    <i>
      <x v="1759"/>
      <x v="2808"/>
      <x v="3"/>
    </i>
    <i>
      <x v="1760"/>
      <x v="2809"/>
      <x v="3"/>
    </i>
    <i>
      <x v="1761"/>
      <x v="1053"/>
      <x v="4"/>
    </i>
    <i>
      <x v="1762"/>
      <x v="1312"/>
      <x v="3"/>
    </i>
    <i>
      <x v="1763"/>
      <x v="1047"/>
      <x v="4"/>
    </i>
    <i>
      <x v="1764"/>
      <x v="296"/>
      <x v="4"/>
    </i>
    <i r="1">
      <x v="2769"/>
      <x v="3"/>
    </i>
    <i>
      <x v="1765"/>
      <x v="2771"/>
      <x v="1"/>
    </i>
    <i>
      <x v="1766"/>
      <x v="2681"/>
      <x v="3"/>
    </i>
    <i>
      <x v="1767"/>
      <x v="1728"/>
      <x v="2"/>
    </i>
    <i>
      <x v="1768"/>
      <x v="687"/>
      <x v="4"/>
    </i>
    <i r="1">
      <x v="1827"/>
      <x v="3"/>
    </i>
    <i>
      <x v="1769"/>
      <x v="1078"/>
      <x v="4"/>
    </i>
    <i>
      <x v="1770"/>
      <x v="2750"/>
      <x v="1"/>
    </i>
    <i>
      <x v="1771"/>
      <x v="2751"/>
      <x v="3"/>
    </i>
    <i>
      <x v="1772"/>
      <x v="1560"/>
      <x v="3"/>
    </i>
    <i>
      <x v="1773"/>
      <x v="1153"/>
      <x v="4"/>
    </i>
    <i>
      <x v="1774"/>
      <x v="895"/>
      <x v="4"/>
    </i>
    <i r="1">
      <x v="1379"/>
      <x v="3"/>
    </i>
    <i>
      <x v="1775"/>
      <x v="224"/>
      <x v="4"/>
    </i>
    <i>
      <x v="1776"/>
      <x v="225"/>
      <x v="4"/>
    </i>
    <i>
      <x v="1777"/>
      <x v="2163"/>
      <x v="3"/>
    </i>
    <i>
      <x v="1778"/>
      <x v="2650"/>
      <x v="3"/>
    </i>
    <i>
      <x v="1779"/>
      <x v="221"/>
      <x v="4"/>
    </i>
    <i>
      <x v="1780"/>
      <x v="2859"/>
      <x v="3"/>
    </i>
    <i>
      <x v="1781"/>
      <x v="2217"/>
      <x v="3"/>
    </i>
    <i>
      <x v="1782"/>
      <x v="489"/>
      <x v="4"/>
    </i>
    <i r="1">
      <x v="2721"/>
      <x v="3"/>
    </i>
    <i>
      <x v="1783"/>
      <x v="1799"/>
      <x v="3"/>
    </i>
    <i>
      <x v="1784"/>
      <x v="1808"/>
      <x v="3"/>
    </i>
    <i>
      <x v="1785"/>
      <x v="2554"/>
      <x v="3"/>
    </i>
    <i>
      <x v="1786"/>
      <x v="2343"/>
      <x v="3"/>
    </i>
    <i>
      <x v="1787"/>
      <x v="2461"/>
      <x v="3"/>
    </i>
    <i>
      <x v="1788"/>
      <x v="1734"/>
      <x v="2"/>
    </i>
    <i>
      <x v="1789"/>
      <x v="1182"/>
      <x v="4"/>
    </i>
    <i>
      <x v="1790"/>
      <x v="2287"/>
      <x v="3"/>
    </i>
    <i>
      <x v="1791"/>
      <x v="303"/>
      <x v="4"/>
    </i>
    <i>
      <x v="1792"/>
      <x v="2209"/>
      <x v="3"/>
    </i>
    <i>
      <x v="1793"/>
      <x v="1807"/>
      <x v="3"/>
    </i>
    <i>
      <x v="1794"/>
      <x v="1058"/>
      <x v="4"/>
    </i>
    <i>
      <x v="1795"/>
      <x v="2344"/>
      <x v="3"/>
    </i>
    <i>
      <x v="1796"/>
      <x v="471"/>
      <x v="4"/>
    </i>
    <i r="1">
      <x v="2331"/>
      <x v="3"/>
    </i>
    <i>
      <x v="1797"/>
      <x v="2345"/>
      <x v="3"/>
    </i>
    <i>
      <x v="1798"/>
      <x v="193"/>
      <x v="4"/>
    </i>
    <i>
      <x v="1799"/>
      <x v="1515"/>
      <x v="3"/>
    </i>
    <i>
      <x v="1800"/>
      <x v="2812"/>
      <x v="3"/>
    </i>
    <i>
      <x v="1801"/>
      <x v="2813"/>
      <x v="3"/>
    </i>
    <i>
      <x v="1802"/>
      <x v="1019"/>
      <x v="4"/>
    </i>
    <i r="1">
      <x v="1631"/>
      <x v="3"/>
    </i>
    <i>
      <x v="1803"/>
      <x v="1627"/>
      <x v="2"/>
    </i>
    <i>
      <x v="1804"/>
      <x v="1632"/>
      <x v="3"/>
    </i>
    <i>
      <x v="1805"/>
      <x v="2179"/>
      <x v="2"/>
    </i>
    <i r="1">
      <x v="2180"/>
      <x v="3"/>
    </i>
    <i>
      <x v="1806"/>
      <x v="952"/>
      <x v="4"/>
    </i>
    <i>
      <x v="1807"/>
      <x v="950"/>
      <x v="4"/>
    </i>
    <i>
      <x v="1808"/>
      <x v="1256"/>
      <x v="4"/>
    </i>
    <i>
      <x v="1809"/>
      <x v="2346"/>
      <x v="3"/>
    </i>
    <i>
      <x v="1810"/>
      <x v="2243"/>
      <x v="3"/>
    </i>
    <i>
      <x v="1811"/>
      <x v="1550"/>
      <x v="3"/>
    </i>
    <i r="1">
      <x v="2487"/>
      <x v="2"/>
    </i>
    <i>
      <x v="1812"/>
      <x v="2425"/>
      <x v="3"/>
    </i>
    <i>
      <x v="1813"/>
      <x v="134"/>
      <x v="4"/>
    </i>
    <i>
      <x v="1814"/>
      <x v="1200"/>
      <x v="4"/>
    </i>
    <i>
      <x v="1815"/>
      <x v="709"/>
      <x v="4"/>
    </i>
    <i>
      <x v="1816"/>
      <x v="994"/>
      <x v="4"/>
    </i>
    <i>
      <x v="1817"/>
      <x v="2095"/>
      <x v="3"/>
    </i>
    <i>
      <x v="1818"/>
      <x v="418"/>
      <x v="4"/>
    </i>
    <i>
      <x v="1819"/>
      <x v="2288"/>
      <x v="3"/>
    </i>
    <i>
      <x v="1820"/>
      <x v="1289"/>
      <x v="1"/>
    </i>
    <i>
      <x v="1821"/>
      <x v="1273"/>
      <x v="4"/>
    </i>
    <i>
      <x v="1822"/>
      <x v="2181"/>
      <x v="2"/>
    </i>
    <i>
      <x v="1823"/>
      <x v="953"/>
      <x v="4"/>
    </i>
    <i r="1">
      <x v="2174"/>
      <x v="3"/>
    </i>
    <i>
      <x v="1824"/>
      <x v="1662"/>
      <x v="3"/>
    </i>
    <i>
      <x v="1825"/>
      <x v="1230"/>
      <x v="4"/>
    </i>
    <i>
      <x v="1826"/>
      <x v="2200"/>
      <x v="3"/>
    </i>
    <i>
      <x v="1827"/>
      <x v="1231"/>
      <x v="4"/>
    </i>
    <i r="1">
      <x v="2190"/>
      <x v="3"/>
    </i>
    <i>
      <x v="1828"/>
      <x v="151"/>
      <x v="4"/>
    </i>
    <i>
      <x v="1829"/>
      <x v="419"/>
      <x v="4"/>
    </i>
    <i>
      <x v="1830"/>
      <x v="555"/>
      <x v="4"/>
    </i>
    <i>
      <x v="1831"/>
      <x v="1841"/>
      <x v="3"/>
    </i>
    <i>
      <x v="1832"/>
      <x v="1842"/>
      <x v="3"/>
    </i>
    <i>
      <x v="1833"/>
      <x v="129"/>
      <x v="4"/>
    </i>
    <i r="1">
      <x v="1287"/>
      <x v="1"/>
    </i>
    <i>
      <x v="1834"/>
      <x v="2648"/>
      <x v="3"/>
    </i>
    <i>
      <x v="1835"/>
      <x v="1212"/>
      <x v="4"/>
    </i>
    <i r="1">
      <x v="2213"/>
      <x v="3"/>
    </i>
    <i>
      <x v="1836"/>
      <x v="2311"/>
      <x v="3"/>
    </i>
    <i>
      <x v="1837"/>
      <x v="896"/>
      <x v="4"/>
    </i>
    <i r="1">
      <x v="2080"/>
      <x v="1"/>
    </i>
    <i>
      <x v="1838"/>
      <x v="2866"/>
      <x v="3"/>
    </i>
    <i>
      <x v="1839"/>
      <x v="2061"/>
      <x v="3"/>
    </i>
    <i>
      <x v="1840"/>
      <x v="2758"/>
      <x v="3"/>
    </i>
    <i>
      <x v="1841"/>
      <x v="2757"/>
      <x v="1"/>
    </i>
    <i>
      <x v="1842"/>
      <x v="362"/>
      <x v="4"/>
    </i>
    <i r="1">
      <x v="1115"/>
      <x v="4"/>
    </i>
    <i>
      <x v="1843"/>
      <x v="388"/>
      <x v="4"/>
    </i>
    <i r="1">
      <x v="2245"/>
      <x v="3"/>
    </i>
    <i>
      <x v="1844"/>
      <x v="918"/>
      <x v="4"/>
    </i>
    <i>
      <x v="1845"/>
      <x v="292"/>
      <x v="4"/>
    </i>
    <i r="1">
      <x v="2796"/>
      <x v="3"/>
    </i>
    <i>
      <x v="1846"/>
      <x v="263"/>
      <x v="4"/>
    </i>
    <i>
      <x v="1847"/>
      <x v="240"/>
      <x v="4"/>
    </i>
    <i>
      <x v="1848"/>
      <x v="2736"/>
      <x v="1"/>
    </i>
    <i>
      <x v="1849"/>
      <x v="267"/>
      <x v="4"/>
    </i>
    <i>
      <x v="1850"/>
      <x v="228"/>
      <x v="4"/>
    </i>
    <i>
      <x v="1851"/>
      <x v="2106"/>
      <x v="3"/>
    </i>
    <i>
      <x v="1852"/>
      <x v="1417"/>
      <x v="3"/>
    </i>
    <i>
      <x v="1853"/>
      <x v="1694"/>
      <x v="3"/>
    </i>
    <i>
      <x v="1854"/>
      <x v="135"/>
      <x v="4"/>
    </i>
    <i>
      <x v="1855"/>
      <x v="82"/>
      <x v="4"/>
    </i>
    <i>
      <x v="1856"/>
      <x v="2334"/>
      <x v="3"/>
    </i>
    <i>
      <x v="1857"/>
      <x v="476"/>
      <x v="4"/>
    </i>
    <i>
      <x v="1858"/>
      <x v="2332"/>
      <x v="3"/>
    </i>
    <i>
      <x v="1859"/>
      <x v="2333"/>
      <x v="3"/>
    </i>
    <i>
      <x v="1860"/>
      <x v="2651"/>
      <x v="3"/>
    </i>
    <i>
      <x v="1861"/>
      <x v="1415"/>
      <x v="3"/>
    </i>
    <i>
      <x v="1862"/>
      <x v="171"/>
      <x v="4"/>
    </i>
    <i>
      <x v="1863"/>
      <x v="1290"/>
      <x v="2"/>
    </i>
    <i>
      <x v="1864"/>
      <x v="1025"/>
      <x v="4"/>
    </i>
    <i>
      <x v="1865"/>
      <x v="1533"/>
      <x v="3"/>
    </i>
    <i>
      <x v="1866"/>
      <x v="2472"/>
      <x v="3"/>
    </i>
    <i>
      <x v="1867"/>
      <x v="1232"/>
      <x v="4"/>
    </i>
    <i>
      <x v="1868"/>
      <x v="1372"/>
      <x v="3"/>
    </i>
    <i>
      <x v="1869"/>
      <x v="2828"/>
      <x v="3"/>
    </i>
    <i>
      <x v="1870"/>
      <x v="616"/>
      <x v="4"/>
    </i>
    <i r="1">
      <x v="1854"/>
      <x v="2"/>
    </i>
    <i r="1">
      <x v="1895"/>
      <x v="3"/>
    </i>
    <i>
      <x v="1871"/>
      <x v="563"/>
      <x v="4"/>
    </i>
    <i r="1">
      <x v="2860"/>
      <x v="3"/>
    </i>
    <i>
      <x v="1872"/>
      <x v="2578"/>
      <x v="3"/>
    </i>
    <i>
      <x v="1873"/>
      <x v="2273"/>
      <x v="3"/>
    </i>
    <i>
      <x v="1874"/>
      <x v="2579"/>
      <x v="3"/>
    </i>
    <i>
      <x v="1875"/>
      <x v="2687"/>
      <x v="3"/>
    </i>
    <i>
      <x v="1876"/>
      <x v="1399"/>
      <x v="3"/>
    </i>
    <i>
      <x v="1877"/>
      <x v="1210"/>
      <x v="4"/>
    </i>
    <i r="1">
      <x v="1561"/>
      <x v="3"/>
    </i>
    <i>
      <x v="1878"/>
      <x v="478"/>
      <x v="4"/>
    </i>
    <i>
      <x v="1879"/>
      <x v="2398"/>
      <x v="3"/>
    </i>
    <i>
      <x v="1880"/>
      <x v="2399"/>
      <x v="3"/>
    </i>
    <i>
      <x v="1881"/>
      <x v="1113"/>
      <x v="4"/>
    </i>
    <i>
      <x v="1882"/>
      <x v="1110"/>
      <x v="4"/>
    </i>
    <i>
      <x v="1883"/>
      <x v="810"/>
      <x v="4"/>
    </i>
    <i>
      <x v="1884"/>
      <x v="2555"/>
      <x v="3"/>
    </i>
    <i>
      <x v="1885"/>
      <x v="1520"/>
      <x v="3"/>
    </i>
    <i>
      <x v="1886"/>
      <x v="942"/>
      <x v="4"/>
    </i>
    <i>
      <x v="1887"/>
      <x v="2820"/>
      <x v="3"/>
    </i>
    <i>
      <x v="1888"/>
      <x v="2819"/>
      <x v="1"/>
    </i>
    <i>
      <x v="1889"/>
      <x v="1370"/>
      <x v="3"/>
    </i>
    <i>
      <x v="1890"/>
      <x v="1471"/>
      <x v="3"/>
    </i>
    <i>
      <x v="1891"/>
      <x v="71"/>
      <x v="4"/>
    </i>
    <i>
      <x v="1892"/>
      <x v="264"/>
      <x v="4"/>
    </i>
    <i>
      <x v="1893"/>
      <x v="1649"/>
      <x v="1"/>
    </i>
    <i>
      <x v="1894"/>
      <x v="1648"/>
      <x v="3"/>
    </i>
    <i>
      <x v="1895"/>
      <x v="556"/>
      <x v="4"/>
    </i>
    <i>
      <x v="1896"/>
      <x v="234"/>
      <x v="4"/>
    </i>
    <i>
      <x v="1897"/>
      <x v="514"/>
      <x v="4"/>
    </i>
    <i>
      <x v="1898"/>
      <x v="1476"/>
      <x v="3"/>
    </i>
    <i>
      <x v="1899"/>
      <x v="2130"/>
      <x v="3"/>
    </i>
    <i>
      <x v="1900"/>
      <x v="1483"/>
      <x v="3"/>
    </i>
    <i>
      <x v="1901"/>
      <x v="1430"/>
      <x v="3"/>
    </i>
    <i>
      <x v="1902"/>
      <x v="1444"/>
      <x v="3"/>
    </i>
    <i>
      <x v="1903"/>
      <x v="608"/>
      <x v="4"/>
    </i>
    <i>
      <x v="1904"/>
      <x v="58"/>
      <x v="4"/>
    </i>
    <i>
      <x v="1905"/>
      <x v="167"/>
      <x v="4"/>
    </i>
    <i r="1">
      <x v="831"/>
      <x v="4"/>
    </i>
    <i r="1">
      <x v="2523"/>
      <x v="3"/>
    </i>
    <i>
      <x v="1906"/>
      <x v="178"/>
      <x v="4"/>
    </i>
    <i>
      <x v="1907"/>
      <x v="2580"/>
      <x v="3"/>
    </i>
    <i>
      <x v="1908"/>
      <x v="2822"/>
      <x v="1"/>
    </i>
    <i>
      <x v="1909"/>
      <x v="490"/>
      <x v="4"/>
    </i>
    <i>
      <x v="1910"/>
      <x v="2397"/>
      <x v="3"/>
    </i>
    <i>
      <x v="1911"/>
      <x v="1555"/>
      <x v="3"/>
    </i>
    <i>
      <x v="1912"/>
      <x v="350"/>
      <x v="4"/>
    </i>
    <i>
      <x v="1913"/>
      <x v="2691"/>
      <x v="2"/>
    </i>
    <i>
      <x v="1914"/>
      <x v="2573"/>
      <x v="3"/>
    </i>
    <i>
      <x v="1915"/>
      <x v="762"/>
      <x v="4"/>
    </i>
    <i>
      <x v="1916"/>
      <x v="103"/>
      <x v="4"/>
    </i>
    <i>
      <x v="1917"/>
      <x v="2800"/>
      <x v="1"/>
    </i>
    <i>
      <x v="1918"/>
      <x v="973"/>
      <x v="4"/>
    </i>
    <i>
      <x v="1919"/>
      <x v="587"/>
      <x v="4"/>
    </i>
    <i r="1">
      <x v="742"/>
      <x v="4"/>
    </i>
    <i r="1">
      <x v="2066"/>
      <x v="3"/>
    </i>
    <i>
      <x v="1920"/>
      <x v="2488"/>
      <x v="2"/>
    </i>
    <i>
      <x v="1921"/>
      <x v="2620"/>
      <x v="1"/>
    </i>
    <i>
      <x v="1922"/>
      <x v="2512"/>
      <x v="3"/>
    </i>
    <i>
      <x v="1923"/>
      <x v="1522"/>
      <x v="3"/>
    </i>
    <i>
      <x v="1924"/>
      <x v="2242"/>
      <x v="3"/>
    </i>
    <i>
      <x v="1925"/>
      <x v="208"/>
      <x v="4"/>
    </i>
    <i>
      <x v="1926"/>
      <x v="1154"/>
      <x v="4"/>
    </i>
    <i>
      <x v="1927"/>
      <x v="1680"/>
      <x v="3"/>
    </i>
    <i>
      <x v="1928"/>
      <x v="1618"/>
      <x v="3"/>
    </i>
    <i>
      <x v="1929"/>
      <x v="1896"/>
      <x v="3"/>
    </i>
    <i>
      <x v="1930"/>
      <x v="801"/>
      <x v="4"/>
    </i>
    <i>
      <x v="1931"/>
      <x v="1700"/>
      <x v="3"/>
    </i>
    <i>
      <x v="1932"/>
      <x v="2400"/>
      <x v="3"/>
    </i>
    <i>
      <x v="1933"/>
      <x v="439"/>
      <x v="4"/>
    </i>
    <i>
      <x v="1934"/>
      <x v="1330"/>
      <x v="3"/>
    </i>
    <i>
      <x v="1935"/>
      <x v="389"/>
      <x v="4"/>
    </i>
    <i>
      <x v="1936"/>
      <x v="817"/>
      <x v="4"/>
    </i>
    <i r="1">
      <x v="1709"/>
      <x v="3"/>
    </i>
    <i r="1">
      <x v="2480"/>
      <x v="2"/>
    </i>
    <i>
      <x v="1937"/>
      <x v="235"/>
      <x v="4"/>
    </i>
    <i>
      <x v="1938"/>
      <x v="833"/>
      <x v="4"/>
    </i>
    <i>
      <x v="1939"/>
      <x v="229"/>
      <x v="4"/>
    </i>
    <i>
      <x v="1940"/>
      <x v="2112"/>
      <x v="3"/>
    </i>
    <i>
      <x v="1941"/>
      <x v="2716"/>
      <x v="3"/>
    </i>
    <i>
      <x v="1942"/>
      <x v="1713"/>
      <x v="3"/>
    </i>
    <i>
      <x v="1943"/>
      <x v="1959"/>
      <x v="3"/>
    </i>
    <i>
      <x v="1944"/>
      <x v="1857"/>
      <x v="2"/>
    </i>
    <i r="1">
      <x v="1897"/>
      <x v="3"/>
    </i>
    <i>
      <x v="1945"/>
      <x v="618"/>
      <x v="4"/>
    </i>
    <i>
      <x v="1946"/>
      <x v="498"/>
      <x v="4"/>
    </i>
    <i r="1">
      <x v="2248"/>
      <x v="3"/>
    </i>
    <i>
      <x v="1947"/>
      <x v="372"/>
      <x v="4"/>
    </i>
    <i>
      <x v="1948"/>
      <x v="860"/>
      <x v="4"/>
    </i>
    <i>
      <x v="1949"/>
      <x v="1783"/>
      <x v="3"/>
    </i>
    <i>
      <x v="1950"/>
      <x v="2384"/>
      <x v="3"/>
    </i>
    <i>
      <x v="1951"/>
      <x v="2266"/>
      <x v="3"/>
    </i>
    <i>
      <x v="1952"/>
      <x v="1420"/>
      <x v="2"/>
    </i>
    <i>
      <x v="1953"/>
      <x v="491"/>
      <x v="4"/>
    </i>
    <i r="1">
      <x v="1258"/>
      <x v="4"/>
    </i>
    <i r="1">
      <x v="2385"/>
      <x v="3"/>
    </i>
    <i r="1">
      <x v="2392"/>
      <x v="2"/>
    </i>
    <i>
      <x v="1954"/>
      <x v="638"/>
      <x v="4"/>
    </i>
    <i>
      <x v="1955"/>
      <x v="823"/>
      <x v="4"/>
    </i>
    <i>
      <x v="1956"/>
      <x v="2366"/>
      <x v="1"/>
    </i>
    <i>
      <x v="1957"/>
      <x v="2521"/>
      <x v="2"/>
    </i>
    <i r="1">
      <x v="2522"/>
      <x v="3"/>
    </i>
    <i>
      <x v="1958"/>
      <x v="2824"/>
      <x v="1"/>
    </i>
    <i>
      <x v="1959"/>
      <x v="2717"/>
      <x v="3"/>
    </i>
    <i>
      <x v="1960"/>
      <x v="1619"/>
      <x v="3"/>
    </i>
    <i>
      <x v="1961"/>
      <x v="2666"/>
      <x v="3"/>
    </i>
    <i>
      <x v="1962"/>
      <x v="1034"/>
      <x v="4"/>
    </i>
    <i>
      <x v="1963"/>
      <x v="35"/>
      <x v="4"/>
    </i>
    <i>
      <x v="1964"/>
      <x v="1510"/>
      <x v="3"/>
    </i>
    <i>
      <x v="1965"/>
      <x v="238"/>
      <x v="4"/>
    </i>
    <i r="1">
      <x v="516"/>
      <x v="4"/>
    </i>
    <i>
      <x v="1966"/>
      <x v="479"/>
      <x v="4"/>
    </i>
    <i>
      <x v="1967"/>
      <x v="2396"/>
      <x v="3"/>
    </i>
    <i>
      <x v="1968"/>
      <x v="861"/>
      <x v="4"/>
    </i>
    <i>
      <x v="1969"/>
      <x v="1063"/>
      <x v="4"/>
    </i>
    <i>
      <x v="1970"/>
      <x v="2067"/>
      <x v="3"/>
    </i>
    <i>
      <x v="1971"/>
      <x v="2068"/>
      <x v="3"/>
    </i>
    <i>
      <x v="1972"/>
      <x v="2069"/>
      <x v="3"/>
    </i>
    <i>
      <x v="1973"/>
      <x v="83"/>
      <x v="4"/>
    </i>
    <i>
      <x v="1974"/>
      <x v="61"/>
      <x v="4"/>
    </i>
    <i r="1">
      <x v="73"/>
      <x v="4"/>
    </i>
    <i>
      <x v="1975"/>
      <x v="1369"/>
      <x v="3"/>
    </i>
    <i>
      <x v="1976"/>
      <x v="1277"/>
      <x v="4"/>
    </i>
    <i r="1">
      <x v="2204"/>
      <x v="3"/>
    </i>
    <i>
      <x v="1977"/>
      <x v="2413"/>
      <x v="2"/>
    </i>
    <i r="1">
      <x v="2418"/>
      <x v="1"/>
    </i>
    <i>
      <x v="1978"/>
      <x v="1233"/>
      <x v="4"/>
    </i>
    <i>
      <x v="1979"/>
      <x v="1461"/>
      <x v="3"/>
    </i>
    <i>
      <x v="1980"/>
      <x v="2698"/>
      <x v="3"/>
    </i>
    <i>
      <x v="1981"/>
      <x v="2668"/>
      <x v="3"/>
    </i>
    <i>
      <x v="1982"/>
      <x v="363"/>
      <x v="4"/>
    </i>
    <i r="1">
      <x v="2309"/>
      <x v="3"/>
    </i>
    <i>
      <x v="1983"/>
      <x v="1516"/>
      <x v="3"/>
    </i>
    <i>
      <x v="1984"/>
      <x v="2134"/>
      <x v="3"/>
    </i>
    <i>
      <x v="1985"/>
      <x v="864"/>
      <x v="4"/>
    </i>
    <i>
      <x v="1986"/>
      <x v="2029"/>
      <x v="2"/>
    </i>
    <i>
      <x v="1987"/>
      <x v="440"/>
      <x v="4"/>
    </i>
    <i>
      <x v="1988"/>
      <x v="2255"/>
      <x v="3"/>
    </i>
    <i>
      <x v="1989"/>
      <x v="1097"/>
      <x v="4"/>
    </i>
    <i>
      <x v="1990"/>
      <x v="1566"/>
      <x v="3"/>
    </i>
    <i>
      <x v="1991"/>
      <x v="1459"/>
      <x v="3"/>
    </i>
    <i>
      <x v="1992"/>
      <x v="1454"/>
      <x v="3"/>
    </i>
    <i>
      <x v="1993"/>
      <x v="2218"/>
      <x v="3"/>
    </i>
    <i>
      <x v="1994"/>
      <x v="1433"/>
      <x v="3"/>
    </i>
    <i>
      <x v="1995"/>
      <x v="1311"/>
      <x v="3"/>
    </i>
    <i>
      <x v="1996"/>
      <x v="2569"/>
      <x v="3"/>
    </i>
    <i>
      <x v="1997"/>
      <x v="2261"/>
      <x v="3"/>
    </i>
    <i>
      <x v="1998"/>
      <x v="580"/>
      <x v="4"/>
    </i>
    <i>
      <x v="1999"/>
      <x v="572"/>
      <x v="4"/>
    </i>
    <i>
      <x v="2000"/>
      <x v="465"/>
      <x v="4"/>
    </i>
    <i r="1">
      <x v="2321"/>
      <x v="3"/>
    </i>
    <i>
      <x v="2001"/>
      <x v="313"/>
      <x v="4"/>
    </i>
    <i r="1">
      <x v="2093"/>
      <x v="3"/>
    </i>
    <i r="1">
      <x v="2838"/>
      <x v="2"/>
    </i>
    <i>
      <x v="2002"/>
      <x v="976"/>
      <x v="4"/>
    </i>
    <i>
      <x v="2003"/>
      <x v="265"/>
      <x v="4"/>
    </i>
    <i r="1">
      <x v="270"/>
      <x v="4"/>
    </i>
    <i>
      <x v="2004"/>
      <x v="1002"/>
      <x v="4"/>
    </i>
    <i>
      <x v="2005"/>
      <x v="169"/>
      <x v="4"/>
    </i>
    <i r="1">
      <x v="1440"/>
      <x v="3"/>
    </i>
    <i>
      <x v="2006"/>
      <x v="1583"/>
      <x v="3"/>
    </i>
    <i>
      <x v="2007"/>
      <x v="2070"/>
      <x v="3"/>
    </i>
    <i>
      <x v="2008"/>
      <x v="1112"/>
      <x v="4"/>
    </i>
    <i>
      <x v="2009"/>
      <x v="2091"/>
      <x v="3"/>
    </i>
    <i>
      <x v="2010"/>
      <x v="1524"/>
      <x v="3"/>
    </i>
    <i>
      <x v="2011"/>
      <x v="1495"/>
      <x v="3"/>
    </i>
    <i>
      <x v="2012"/>
      <x v="1825"/>
      <x v="3"/>
    </i>
    <i>
      <x v="2013"/>
      <x v="2262"/>
      <x v="3"/>
    </i>
    <i>
      <x v="2014"/>
      <x v="702"/>
      <x v="4"/>
    </i>
    <i r="1">
      <x v="1826"/>
      <x v="3"/>
    </i>
    <i>
      <x v="2015"/>
      <x v="1742"/>
      <x v="3"/>
    </i>
    <i>
      <x v="2016"/>
      <x v="560"/>
      <x v="4"/>
    </i>
    <i>
      <x v="2017"/>
      <x v="2263"/>
      <x v="3"/>
    </i>
    <i>
      <x v="2018"/>
      <x v="919"/>
      <x v="4"/>
    </i>
    <i r="1">
      <x v="2167"/>
      <x v="3"/>
    </i>
    <i>
      <x v="2019"/>
      <x v="332"/>
      <x v="4"/>
    </i>
    <i r="1">
      <x v="2292"/>
      <x v="3"/>
    </i>
    <i>
      <x v="2020"/>
      <x v="2675"/>
      <x v="3"/>
    </i>
    <i>
      <x v="2021"/>
      <x v="249"/>
      <x v="4"/>
    </i>
    <i>
      <x v="2022"/>
      <x v="2151"/>
      <x v="3"/>
    </i>
    <i>
      <x v="2023"/>
      <x v="1898"/>
      <x v="3"/>
    </i>
    <i>
      <x v="2024"/>
      <x v="2833"/>
      <x v="3"/>
    </i>
    <i>
      <x v="2025"/>
      <x v="1401"/>
      <x v="3"/>
    </i>
    <i>
      <x v="2026"/>
      <x v="72"/>
      <x v="4"/>
    </i>
    <i>
      <x v="2027"/>
      <x v="1438"/>
      <x v="3"/>
    </i>
    <i>
      <x v="2028"/>
      <x v="138"/>
      <x v="4"/>
    </i>
    <i>
      <x v="2029"/>
      <x v="1317"/>
      <x v="3"/>
    </i>
    <i>
      <x v="2030"/>
      <x v="1314"/>
      <x v="3"/>
    </i>
    <i>
      <x v="2031"/>
      <x v="179"/>
      <x v="4"/>
    </i>
    <i r="1">
      <x v="1422"/>
      <x v="3"/>
    </i>
    <i>
      <x v="2032"/>
      <x v="1309"/>
      <x v="3"/>
    </i>
    <i>
      <x v="2033"/>
      <x v="186"/>
      <x v="4"/>
    </i>
    <i>
      <x v="2034"/>
      <x v="2712"/>
      <x v="3"/>
    </i>
    <i>
      <x v="2035"/>
      <x v="983"/>
      <x v="4"/>
    </i>
    <i>
      <x v="2036"/>
      <x v="565"/>
      <x v="4"/>
    </i>
    <i r="1">
      <x v="1814"/>
      <x v="1"/>
    </i>
    <i>
      <x v="2037"/>
      <x v="1592"/>
      <x v="2"/>
    </i>
    <i>
      <x v="2038"/>
      <x v="2861"/>
      <x v="3"/>
    </i>
    <i>
      <x v="2039"/>
      <x v="2862"/>
      <x v="3"/>
    </i>
    <i>
      <x v="2040"/>
      <x v="1813"/>
      <x v="3"/>
    </i>
    <i>
      <x v="2041"/>
      <x v="1234"/>
      <x v="4"/>
    </i>
    <i r="1">
      <x v="2188"/>
      <x v="3"/>
    </i>
    <i>
      <x v="2042"/>
      <x v="2571"/>
      <x v="3"/>
    </i>
    <i>
      <x v="2043"/>
      <x v="2185"/>
      <x v="3"/>
    </i>
    <i r="1">
      <x v="2566"/>
      <x v="2"/>
    </i>
    <i>
      <x v="2044"/>
      <x v="2074"/>
      <x v="3"/>
    </i>
    <i>
      <x v="2045"/>
      <x v="1323"/>
      <x v="3"/>
    </i>
    <i>
      <x v="2046"/>
      <x v="1024"/>
      <x v="4"/>
    </i>
    <i r="1">
      <x v="1717"/>
      <x v="3"/>
    </i>
    <i>
      <x v="2047"/>
      <x v="647"/>
      <x v="4"/>
    </i>
    <i>
      <x v="2048"/>
      <x v="2556"/>
      <x v="3"/>
    </i>
    <i>
      <x v="2049"/>
      <x v="1732"/>
      <x v="3"/>
    </i>
    <i>
      <x v="2050"/>
      <x v="993"/>
      <x v="4"/>
    </i>
    <i r="1">
      <x v="1730"/>
      <x v="2"/>
    </i>
    <i r="1">
      <x v="1731"/>
      <x v="3"/>
    </i>
    <i>
      <x v="2051"/>
      <x v="10"/>
      <x v="4"/>
    </i>
    <i>
      <x v="2052"/>
      <x v="2663"/>
      <x v="3"/>
    </i>
    <i>
      <x v="2053"/>
      <x v="2654"/>
      <x v="3"/>
    </i>
    <i>
      <x v="2054"/>
      <x v="2126"/>
      <x v="3"/>
    </i>
    <i>
      <x v="2055"/>
      <x v="2767"/>
      <x v="1"/>
    </i>
    <i>
      <x v="2056"/>
      <x v="130"/>
      <x v="4"/>
    </i>
    <i>
      <x v="2057"/>
      <x v="1457"/>
      <x v="3"/>
    </i>
    <i>
      <x v="2058"/>
      <x v="553"/>
      <x v="4"/>
    </i>
    <i r="1">
      <x v="1940"/>
      <x v="3"/>
    </i>
    <i>
      <x v="2059"/>
      <x v="945"/>
      <x v="4"/>
    </i>
    <i>
      <x v="2060"/>
      <x v="1453"/>
      <x v="3"/>
    </i>
    <i>
      <x v="2061"/>
      <x v="1487"/>
      <x v="3"/>
    </i>
    <i>
      <x v="2062"/>
      <x v="75"/>
      <x v="4"/>
    </i>
    <i>
      <x v="2063"/>
      <x v="825"/>
      <x v="4"/>
    </i>
    <i r="1">
      <x v="2570"/>
      <x v="3"/>
    </i>
    <i>
      <x v="2064"/>
      <x v="223"/>
      <x v="4"/>
    </i>
    <i r="1">
      <x v="2816"/>
      <x v="1"/>
    </i>
    <i>
      <x v="2065"/>
      <x v="2695"/>
      <x v="3"/>
    </i>
    <i>
      <x v="2066"/>
      <x v="1819"/>
      <x v="3"/>
    </i>
    <i>
      <x v="2067"/>
      <x v="881"/>
      <x v="4"/>
    </i>
    <i>
      <x v="2068"/>
      <x v="1987"/>
      <x v="3"/>
    </i>
    <i>
      <x v="2069"/>
      <x v="581"/>
      <x v="4"/>
    </i>
    <i>
      <x v="2070"/>
      <x v="658"/>
      <x v="4"/>
    </i>
    <i>
      <x v="2071"/>
      <x v="341"/>
      <x v="4"/>
    </i>
    <i>
      <x v="2072"/>
      <x v="475"/>
      <x v="4"/>
    </i>
    <i r="1">
      <x v="2347"/>
      <x v="3"/>
    </i>
    <i>
      <x v="2073"/>
      <x v="2386"/>
      <x v="3"/>
    </i>
    <i>
      <x v="2074"/>
      <x v="2306"/>
      <x v="3"/>
    </i>
    <i>
      <x v="2075"/>
      <x v="2141"/>
      <x v="3"/>
    </i>
    <i>
      <x v="2076"/>
      <x v="1276"/>
      <x v="4"/>
    </i>
    <i>
      <x v="2077"/>
      <x v="1984"/>
      <x v="2"/>
    </i>
    <i>
      <x v="2078"/>
      <x v="643"/>
      <x v="4"/>
    </i>
    <i r="1">
      <x v="1985"/>
      <x v="1"/>
    </i>
    <i>
      <x v="2079"/>
      <x v="2016"/>
      <x v="3"/>
    </i>
    <i>
      <x v="2080"/>
      <x v="644"/>
      <x v="4"/>
    </i>
    <i>
      <x v="2081"/>
      <x v="1899"/>
      <x v="3"/>
    </i>
    <i>
      <x v="2082"/>
      <x v="390"/>
      <x v="4"/>
    </i>
    <i r="1">
      <x v="2246"/>
      <x v="3"/>
    </i>
    <i>
      <x v="2083"/>
      <x v="2295"/>
      <x v="2"/>
    </i>
    <i>
      <x v="2084"/>
      <x v="2127"/>
      <x v="3"/>
    </i>
    <i>
      <x v="2085"/>
      <x v="2123"/>
      <x v="3"/>
    </i>
    <i>
      <x v="2086"/>
      <x v="1196"/>
      <x v="4"/>
    </i>
    <i>
      <x v="2087"/>
      <x v="954"/>
      <x v="4"/>
    </i>
    <i>
      <x v="2088"/>
      <x v="1158"/>
      <x v="4"/>
    </i>
    <i>
      <x v="2089"/>
      <x v="888"/>
      <x v="4"/>
    </i>
    <i>
      <x v="2090"/>
      <x v="530"/>
      <x v="4"/>
    </i>
    <i r="1">
      <x v="1756"/>
      <x v="2"/>
    </i>
    <i r="1">
      <x v="1757"/>
      <x v="3"/>
    </i>
    <i>
      <x v="2091"/>
      <x v="533"/>
      <x v="4"/>
    </i>
    <i>
      <x v="2092"/>
      <x v="2393"/>
      <x v="3"/>
    </i>
    <i>
      <x v="2093"/>
      <x v="1760"/>
      <x v="2"/>
    </i>
    <i r="1">
      <x v="1761"/>
      <x v="3"/>
    </i>
    <i>
      <x v="2094"/>
      <x v="492"/>
      <x v="4"/>
    </i>
    <i r="1">
      <x v="2372"/>
      <x v="2"/>
    </i>
    <i r="1">
      <x v="2373"/>
      <x v="1"/>
    </i>
    <i>
      <x v="2095"/>
      <x v="1397"/>
      <x v="3"/>
    </i>
    <i>
      <x v="2096"/>
      <x v="724"/>
      <x v="4"/>
    </i>
    <i r="1">
      <x v="1472"/>
      <x v="3"/>
    </i>
    <i>
      <x v="2097"/>
      <x v="2608"/>
      <x v="3"/>
    </i>
    <i>
      <x v="2098"/>
      <x v="230"/>
      <x v="4"/>
    </i>
    <i>
      <x v="2099"/>
      <x v="182"/>
      <x v="4"/>
    </i>
    <i>
      <x v="2100"/>
      <x v="503"/>
      <x v="4"/>
    </i>
    <i>
      <x v="2101"/>
      <x/>
      <x v="4"/>
    </i>
    <i>
      <x v="2102"/>
      <x v="48"/>
      <x v="4"/>
    </i>
    <i>
      <x v="2103"/>
      <x v="936"/>
      <x v="4"/>
    </i>
    <i r="1">
      <x v="2144"/>
      <x v="3"/>
    </i>
    <i>
      <x v="2104"/>
      <x v="995"/>
      <x v="4"/>
    </i>
    <i>
      <x v="2105"/>
      <x v="1720"/>
      <x v="2"/>
    </i>
    <i>
      <x v="2106"/>
      <x v="1715"/>
      <x v="3"/>
    </i>
    <i>
      <x v="2107"/>
      <x v="1953"/>
      <x v="3"/>
    </i>
    <i>
      <x v="2108"/>
      <x v="989"/>
      <x v="4"/>
    </i>
    <i>
      <x v="2109"/>
      <x v="1414"/>
      <x v="3"/>
    </i>
    <i>
      <x v="2110"/>
      <x v="343"/>
      <x v="4"/>
    </i>
    <i>
      <x v="2111"/>
      <x v="13"/>
      <x v="4"/>
    </i>
    <i>
      <x v="2112"/>
      <x v="1126"/>
      <x v="4"/>
    </i>
    <i>
      <x v="2113"/>
      <x v="49"/>
      <x v="4"/>
    </i>
    <i>
      <x v="2114"/>
      <x v="1962"/>
      <x v="2"/>
    </i>
    <i>
      <x v="2115"/>
      <x v="254"/>
      <x v="4"/>
    </i>
    <i>
      <x v="2116"/>
      <x v="725"/>
      <x v="4"/>
    </i>
    <i>
      <x v="2117"/>
      <x v="997"/>
      <x v="4"/>
    </i>
    <i>
      <x v="2118"/>
      <x v="2348"/>
      <x v="3"/>
    </i>
    <i>
      <x v="2119"/>
      <x v="474"/>
      <x v="4"/>
    </i>
    <i>
      <x v="2120"/>
      <x v="472"/>
      <x v="4"/>
    </i>
    <i>
      <x v="2121"/>
      <x v="2349"/>
      <x v="3"/>
    </i>
    <i>
      <x v="2122"/>
      <x v="2350"/>
      <x v="3"/>
    </i>
    <i>
      <x v="2123"/>
      <x v="2351"/>
      <x v="3"/>
    </i>
    <i>
      <x v="2124"/>
      <x v="163"/>
      <x v="4"/>
    </i>
    <i>
      <x v="2125"/>
      <x v="1141"/>
      <x v="4"/>
    </i>
    <i>
      <x v="2126"/>
      <x v="18"/>
      <x v="4"/>
    </i>
    <i>
      <x v="2127"/>
      <x v="1452"/>
      <x v="3"/>
    </i>
    <i>
      <x v="2128"/>
      <x v="2017"/>
      <x v="1"/>
    </i>
    <i>
      <x v="2129"/>
      <x v="2214"/>
      <x v="3"/>
    </i>
    <i>
      <x v="2130"/>
      <x v="159"/>
      <x v="4"/>
    </i>
    <i r="1">
      <x v="1503"/>
      <x v="3"/>
    </i>
    <i>
      <x v="2131"/>
      <x v="250"/>
      <x v="4"/>
    </i>
    <i>
      <x v="2132"/>
      <x v="2718"/>
      <x v="3"/>
    </i>
    <i>
      <x v="2133"/>
      <x v="404"/>
      <x v="4"/>
    </i>
    <i>
      <x v="2134"/>
      <x v="2483"/>
      <x v="2"/>
    </i>
    <i>
      <x v="2135"/>
      <x v="1380"/>
      <x v="3"/>
    </i>
    <i>
      <x v="2136"/>
      <x v="2644"/>
      <x v="3"/>
    </i>
    <i>
      <x v="2137"/>
      <x v="391"/>
      <x v="4"/>
    </i>
    <i>
      <x v="2138"/>
      <x v="1183"/>
      <x v="4"/>
    </i>
    <i r="1">
      <x v="2227"/>
      <x v="3"/>
    </i>
    <i>
      <x v="2139"/>
      <x v="2640"/>
      <x v="3"/>
    </i>
    <i>
      <x v="2140"/>
      <x v="19"/>
      <x v="4"/>
    </i>
    <i>
      <x v="2141"/>
      <x v="711"/>
      <x v="4"/>
    </i>
    <i>
      <x v="2142"/>
      <x v="802"/>
      <x v="4"/>
    </i>
    <i>
      <x v="2143"/>
      <x v="74"/>
      <x v="4"/>
    </i>
    <i>
      <x v="2144"/>
      <x v="1003"/>
      <x v="4"/>
    </i>
    <i r="1">
      <x v="1663"/>
      <x v="2"/>
    </i>
    <i r="1">
      <x v="1664"/>
      <x v="3"/>
    </i>
    <i>
      <x v="2145"/>
      <x v="1274"/>
      <x v="4"/>
    </i>
    <i>
      <x v="2146"/>
      <x v="2210"/>
      <x v="3"/>
    </i>
    <i>
      <x v="2147"/>
      <x v="2206"/>
      <x v="3"/>
    </i>
    <i>
      <x v="2148"/>
      <x v="1246"/>
      <x v="4"/>
    </i>
    <i>
      <x v="2149"/>
      <x v="818"/>
      <x v="4"/>
    </i>
    <i r="1">
      <x v="1079"/>
      <x v="4"/>
    </i>
    <i r="1">
      <x v="1133"/>
      <x v="4"/>
    </i>
    <i r="1">
      <x v="1211"/>
      <x v="4"/>
    </i>
    <i r="1">
      <x v="1275"/>
      <x v="4"/>
    </i>
    <i r="1">
      <x v="1847"/>
      <x v="3"/>
    </i>
    <i>
      <x v="2150"/>
      <x v="1733"/>
      <x v="2"/>
    </i>
    <i>
      <x v="2151"/>
      <x v="329"/>
      <x v="4"/>
    </i>
    <i>
      <x v="2152"/>
      <x v="1665"/>
      <x v="2"/>
    </i>
    <i>
      <x v="2153"/>
      <x v="2352"/>
      <x v="3"/>
    </i>
    <i>
      <x v="2154"/>
      <x v="1710"/>
      <x v="3"/>
    </i>
    <i>
      <x v="2155"/>
      <x v="1429"/>
      <x v="3"/>
    </i>
    <i>
      <x v="2156"/>
      <x v="136"/>
      <x v="4"/>
    </i>
    <i>
      <x v="2157"/>
      <x v="1443"/>
      <x v="3"/>
    </i>
    <i>
      <x v="2158"/>
      <x v="473"/>
      <x v="4"/>
    </i>
    <i r="1">
      <x v="2329"/>
      <x v="3"/>
    </i>
    <i>
      <x v="2159"/>
      <x v="834"/>
      <x v="4"/>
    </i>
    <i>
      <x v="2160"/>
      <x v="2524"/>
      <x v="3"/>
    </i>
    <i>
      <x v="2161"/>
      <x v="2726"/>
      <x v="1"/>
    </i>
    <i>
      <x v="2162"/>
      <x v="2692"/>
      <x v="3"/>
    </i>
    <i>
      <x v="2163"/>
      <x v="1388"/>
      <x v="3"/>
    </i>
    <i>
      <x v="2164"/>
      <x v="2211"/>
      <x v="3"/>
    </i>
    <i>
      <x v="2165"/>
      <x v="493"/>
      <x v="4"/>
    </i>
    <i r="1">
      <x v="619"/>
      <x v="4"/>
    </i>
    <i r="1">
      <x v="630"/>
      <x v="4"/>
    </i>
    <i r="1">
      <x v="897"/>
      <x v="4"/>
    </i>
    <i r="1">
      <x v="1036"/>
      <x v="4"/>
    </i>
    <i r="1">
      <x v="2389"/>
      <x v="3"/>
    </i>
    <i r="1">
      <x v="2391"/>
      <x v="2"/>
    </i>
    <i>
      <x v="2166"/>
      <x v="2387"/>
      <x v="1"/>
    </i>
    <i>
      <x v="2167"/>
      <x v="1978"/>
      <x v="2"/>
    </i>
    <i>
      <x v="2168"/>
      <x v="1528"/>
      <x v="1"/>
    </i>
    <i>
      <x v="2169"/>
      <x v="1529"/>
      <x v="3"/>
    </i>
    <i>
      <x v="2170"/>
      <x v="194"/>
      <x v="4"/>
    </i>
    <i>
      <x v="2171"/>
      <x v="354"/>
      <x v="4"/>
    </i>
    <i>
      <x v="2172"/>
      <x v="236"/>
      <x v="4"/>
    </i>
    <i>
      <x v="2173"/>
      <x v="2699"/>
      <x v="3"/>
    </i>
    <i>
      <x v="2174"/>
      <x v="2705"/>
      <x v="3"/>
    </i>
    <i>
      <x v="2175"/>
      <x v="890"/>
      <x v="4"/>
    </i>
    <i>
      <x v="2176"/>
      <x v="984"/>
      <x v="4"/>
    </i>
    <i>
      <x v="2177"/>
      <x v="1146"/>
      <x v="4"/>
    </i>
    <i>
      <x v="2178"/>
      <x v="1900"/>
      <x v="3"/>
    </i>
    <i>
      <x v="2179"/>
      <x v="2165"/>
      <x v="3"/>
    </i>
    <i>
      <x v="2180"/>
      <x v="2700"/>
      <x v="3"/>
    </i>
    <i>
      <x v="2181"/>
      <x v="1103"/>
      <x v="4"/>
    </i>
    <i>
      <x v="2182"/>
      <x v="41"/>
      <x v="4"/>
    </i>
    <i>
      <x v="2183"/>
      <x v="1871"/>
      <x v="3"/>
    </i>
    <i>
      <x v="2184"/>
      <x v="991"/>
      <x v="4"/>
    </i>
    <i r="1">
      <x v="2003"/>
      <x v="1"/>
    </i>
    <i r="1">
      <x v="2560"/>
      <x v="2"/>
    </i>
    <i>
      <x v="2185"/>
      <x v="1802"/>
      <x v="3"/>
    </i>
    <i>
      <x v="2186"/>
      <x v="2558"/>
      <x v="3"/>
    </i>
    <i>
      <x v="2187"/>
      <x v="1654"/>
      <x v="3"/>
    </i>
    <i>
      <x v="2188"/>
      <x v="2111"/>
      <x v="3"/>
    </i>
    <i>
      <x v="2189"/>
      <x v="2747"/>
      <x v="1"/>
    </i>
    <i>
      <x v="2190"/>
      <x v="56"/>
      <x v="4"/>
    </i>
    <i>
      <x v="2191"/>
      <x v="1567"/>
      <x v="3"/>
    </i>
    <i>
      <x v="2192"/>
      <x v="175"/>
      <x v="4"/>
    </i>
    <i r="1">
      <x v="1404"/>
      <x v="3"/>
    </i>
    <i>
      <x v="2193"/>
      <x v="2019"/>
      <x v="1"/>
    </i>
    <i>
      <x v="2194"/>
      <x v="2071"/>
      <x v="3"/>
    </i>
    <i>
      <x v="2195"/>
      <x v="1923"/>
      <x v="3"/>
    </i>
    <i>
      <x v="2196"/>
      <x v="2375"/>
      <x v="1"/>
    </i>
    <i>
      <x v="2197"/>
      <x v="2374"/>
      <x v="2"/>
    </i>
    <i r="1">
      <x v="2394"/>
      <x v="3"/>
    </i>
    <i>
      <x v="2198"/>
      <x v="252"/>
      <x v="4"/>
    </i>
    <i>
      <x v="2199"/>
      <x v="256"/>
      <x v="4"/>
    </i>
    <i>
      <x v="2200"/>
      <x v="2732"/>
      <x v="1"/>
    </i>
    <i>
      <x v="2201"/>
      <x v="251"/>
      <x v="4"/>
    </i>
    <i>
      <x v="2202"/>
      <x v="349"/>
      <x v="4"/>
    </i>
    <i>
      <x v="2203"/>
      <x v="1080"/>
      <x v="4"/>
    </i>
    <i>
      <x v="2204"/>
      <x v="1465"/>
      <x v="3"/>
    </i>
    <i>
      <x v="2205"/>
      <x v="494"/>
      <x v="4"/>
    </i>
    <i r="1">
      <x v="2362"/>
      <x v="2"/>
    </i>
    <i r="1">
      <x v="2363"/>
      <x v="3"/>
    </i>
    <i>
      <x v="2206"/>
      <x v="2364"/>
      <x v="1"/>
    </i>
    <i>
      <x v="2207"/>
      <x v="1759"/>
      <x v="3"/>
    </i>
    <i>
      <x v="2208"/>
      <x v="1758"/>
      <x v="2"/>
    </i>
    <i>
      <x v="2209"/>
      <x v="2122"/>
      <x v="3"/>
    </i>
    <i>
      <x v="2210"/>
      <x v="2270"/>
      <x v="2"/>
    </i>
    <i>
      <x v="2211"/>
      <x v="399"/>
      <x v="4"/>
    </i>
    <i>
      <x v="2212"/>
      <x v="2018"/>
      <x v="1"/>
    </i>
    <i>
      <x v="2213"/>
      <x v="1621"/>
      <x v="3"/>
    </i>
    <i>
      <x v="2214"/>
      <x v="1747"/>
      <x v="3"/>
    </i>
    <i>
      <x v="2215"/>
      <x v="1572"/>
      <x v="3"/>
    </i>
    <i>
      <x v="2216"/>
      <x v="316"/>
      <x v="4"/>
    </i>
    <i r="1">
      <x v="2835"/>
      <x v="3"/>
    </i>
    <i>
      <x v="2217"/>
      <x v="2591"/>
      <x v="1"/>
    </i>
    <i>
      <x v="2218"/>
      <x v="2289"/>
      <x v="3"/>
    </i>
    <i>
      <x v="2219"/>
      <x v="1194"/>
      <x v="4"/>
    </i>
    <i>
      <x v="2220"/>
      <x v="495"/>
      <x v="4"/>
    </i>
    <i>
      <x v="2221"/>
      <x v="675"/>
      <x v="4"/>
    </i>
    <i r="1">
      <x v="2027"/>
      <x v="1"/>
    </i>
    <i>
      <x v="2222"/>
      <x v="2075"/>
      <x v="3"/>
    </i>
    <i>
      <x v="2223"/>
      <x v="962"/>
      <x v="4"/>
    </i>
    <i>
      <x v="2224"/>
      <x v="1009"/>
      <x v="4"/>
    </i>
    <i r="1">
      <x v="1672"/>
      <x v="3"/>
    </i>
    <i>
      <x v="2225"/>
      <x v="1038"/>
      <x v="4"/>
    </i>
    <i>
      <x v="2226"/>
      <x v="2792"/>
      <x v="3"/>
    </i>
    <i>
      <x v="2227"/>
      <x v="929"/>
      <x v="4"/>
    </i>
    <i>
      <x v="2228"/>
      <x v="2641"/>
      <x v="3"/>
    </i>
    <i>
      <x v="2229"/>
      <x v="307"/>
      <x v="4"/>
    </i>
    <i>
      <x v="2230"/>
      <x v="609"/>
      <x v="4"/>
    </i>
    <i>
      <x v="2231"/>
      <x v="920"/>
      <x v="4"/>
    </i>
    <i>
      <x v="2232"/>
      <x v="937"/>
      <x v="4"/>
    </i>
    <i r="1">
      <x v="2139"/>
      <x v="3"/>
    </i>
    <i>
      <x v="2233"/>
      <x v="870"/>
      <x v="4"/>
    </i>
    <i>
      <x v="2234"/>
      <x v="593"/>
      <x v="4"/>
    </i>
    <i>
      <x v="2235"/>
      <x v="588"/>
      <x v="4"/>
    </i>
    <i>
      <x v="2236"/>
      <x v="1235"/>
      <x v="4"/>
    </i>
    <i>
      <x v="2237"/>
      <x v="51"/>
      <x v="4"/>
    </i>
    <i>
      <x v="2238"/>
      <x v="963"/>
      <x v="4"/>
    </i>
    <i>
      <x v="2239"/>
      <x v="1423"/>
      <x v="3"/>
    </i>
    <i>
      <x v="2240"/>
      <x v="2128"/>
      <x v="3"/>
    </i>
    <i>
      <x v="2241"/>
      <x v="1092"/>
      <x v="4"/>
    </i>
    <i>
      <x v="2242"/>
      <x v="147"/>
      <x v="4"/>
    </i>
    <i>
      <x v="2243"/>
      <x v="16"/>
      <x v="4"/>
    </i>
    <i>
      <x v="2244"/>
      <x v="2786"/>
      <x v="3"/>
    </i>
    <i>
      <x v="2245"/>
      <x v="59"/>
      <x v="4"/>
    </i>
    <i r="1">
      <x v="85"/>
      <x v="4"/>
    </i>
    <i r="1">
      <x v="173"/>
      <x v="4"/>
    </i>
    <i r="1">
      <x v="1413"/>
      <x v="2"/>
    </i>
    <i>
      <x v="2246"/>
      <x v="1303"/>
      <x v="3"/>
    </i>
    <i>
      <x v="2247"/>
      <x v="1345"/>
      <x v="3"/>
    </i>
    <i>
      <x v="2248"/>
      <x v="1501"/>
      <x v="3"/>
    </i>
    <i>
      <x v="2249"/>
      <x v="1315"/>
      <x v="3"/>
    </i>
    <i>
      <x v="2250"/>
      <x v="137"/>
      <x v="4"/>
    </i>
    <i r="1">
      <x v="1278"/>
      <x v="1"/>
    </i>
    <i>
      <x v="2251"/>
      <x v="282"/>
      <x v="4"/>
    </i>
    <i>
      <x v="2252"/>
      <x v="1909"/>
      <x v="3"/>
    </i>
    <i>
      <x v="2253"/>
      <x v="393"/>
      <x v="4"/>
    </i>
    <i>
      <x v="2254"/>
      <x v="2449"/>
      <x v="2"/>
    </i>
    <i>
      <x v="2255"/>
      <x v="450"/>
      <x v="4"/>
    </i>
    <i>
      <x v="2256"/>
      <x v="2388"/>
      <x v="3"/>
    </i>
    <i>
      <x v="2257"/>
      <x v="1816"/>
      <x v="3"/>
    </i>
    <i>
      <x v="2258"/>
      <x v="2042"/>
      <x v="2"/>
    </i>
    <i r="1">
      <x v="2043"/>
      <x v="1"/>
    </i>
    <i>
      <x v="2259"/>
      <x v="662"/>
      <x v="4"/>
    </i>
    <i>
      <x v="2260"/>
      <x v="806"/>
      <x v="4"/>
    </i>
    <i>
      <x v="2261"/>
      <x v="1407"/>
      <x v="3"/>
    </i>
    <i>
      <x v="2262"/>
      <x v="1195"/>
      <x v="4"/>
    </i>
    <i>
      <x v="2263"/>
      <x v="1831"/>
      <x v="3"/>
    </i>
    <i>
      <x v="2264"/>
      <x v="1409"/>
      <x v="2"/>
    </i>
    <i r="1">
      <x v="1410"/>
      <x v="3"/>
    </i>
    <i>
      <x v="2265"/>
      <x v="1081"/>
      <x v="4"/>
    </i>
    <i>
      <x v="2266"/>
      <x v="148"/>
      <x v="4"/>
    </i>
    <i r="1">
      <x v="1282"/>
      <x v="2"/>
    </i>
    <i r="1">
      <x v="1283"/>
      <x v="1"/>
    </i>
    <i>
      <x v="2267"/>
      <x v="1590"/>
      <x v="3"/>
    </i>
    <i>
      <x v="2268"/>
      <x v="339"/>
      <x v="4"/>
    </i>
    <i>
      <x v="2269"/>
      <x v="2361"/>
      <x v="3"/>
    </i>
    <i>
      <x v="2270"/>
      <x v="1093"/>
      <x v="4"/>
    </i>
    <i>
      <x v="2271"/>
      <x v="1237"/>
      <x v="4"/>
    </i>
    <i>
      <x v="2272"/>
      <x v="1236"/>
      <x v="4"/>
    </i>
    <i>
      <x v="2273"/>
      <x v="2186"/>
      <x v="3"/>
    </i>
    <i>
      <x v="2274"/>
      <x v="2187"/>
      <x v="3"/>
    </i>
    <i>
      <x v="2275"/>
      <x v="1775"/>
      <x v="3"/>
    </i>
    <i>
      <x v="2276"/>
      <x v="645"/>
      <x v="4"/>
    </i>
    <i r="1">
      <x v="1903"/>
      <x v="3"/>
    </i>
    <i r="1">
      <x v="1986"/>
      <x v="2"/>
    </i>
    <i>
      <x v="2277"/>
      <x v="830"/>
      <x v="4"/>
    </i>
    <i r="1">
      <x v="2526"/>
      <x v="3"/>
    </i>
    <i>
      <x v="2278"/>
      <x v="1960"/>
      <x v="3"/>
    </i>
    <i>
      <x v="2279"/>
      <x v="1961"/>
      <x v="3"/>
    </i>
    <i>
      <x v="2280"/>
      <x v="2794"/>
      <x v="3"/>
    </i>
    <i>
      <x v="2281"/>
      <x v="1609"/>
      <x v="3"/>
    </i>
    <i>
      <x v="2282"/>
      <x v="2395"/>
      <x v="3"/>
    </i>
    <i>
      <x v="2283"/>
      <x v="1931"/>
      <x v="3"/>
    </i>
    <i>
      <x v="2284"/>
      <x v="2314"/>
      <x v="3"/>
    </i>
    <i>
      <x v="2285"/>
      <x v="2474"/>
      <x v="3"/>
    </i>
    <i>
      <x v="2286"/>
      <x v="1924"/>
      <x v="3"/>
    </i>
    <i>
      <x v="2287"/>
      <x v="879"/>
      <x v="4"/>
    </i>
    <i>
      <x v="2288"/>
      <x v="883"/>
      <x v="4"/>
    </i>
    <i>
      <x v="2289"/>
      <x v="373"/>
      <x v="4"/>
    </i>
    <i>
      <x v="2290"/>
      <x v="452"/>
      <x v="4"/>
    </i>
    <i>
      <x v="2291"/>
      <x v="324"/>
      <x v="4"/>
    </i>
    <i>
      <x v="2292"/>
      <x v="1901"/>
      <x v="3"/>
    </i>
    <i>
      <x v="2293"/>
      <x v="964"/>
      <x v="4"/>
    </i>
    <i>
      <x v="2294"/>
      <x v="1135"/>
      <x v="4"/>
    </i>
    <i>
      <x v="2295"/>
      <x v="2267"/>
      <x v="3"/>
    </i>
    <i>
      <x v="2296"/>
      <x v="422"/>
      <x v="4"/>
    </i>
    <i r="1">
      <x v="501"/>
      <x v="4"/>
    </i>
    <i r="1">
      <x v="2290"/>
      <x v="3"/>
    </i>
    <i>
      <x v="2297"/>
      <x v="2132"/>
      <x v="3"/>
    </i>
    <i>
      <x v="2298"/>
      <x v="957"/>
      <x v="4"/>
    </i>
    <i>
      <x v="2299"/>
      <x v="2201"/>
      <x v="3"/>
    </i>
    <i>
      <x v="2300"/>
      <x v="397"/>
      <x v="4"/>
    </i>
    <i>
      <x v="2301"/>
      <x v="217"/>
      <x v="4"/>
    </i>
    <i>
      <x v="2302"/>
      <x v="2611"/>
      <x v="3"/>
    </i>
    <i>
      <x v="2303"/>
      <x v="2044"/>
      <x v="3"/>
    </i>
    <i>
      <x v="2304"/>
      <x v="2076"/>
      <x v="3"/>
    </i>
    <i>
      <x v="2305"/>
      <x v="1403"/>
      <x v="3"/>
    </i>
    <i>
      <x v="2306"/>
      <x v="2353"/>
      <x v="3"/>
    </i>
    <i>
      <x v="2307"/>
      <x v="2520"/>
      <x v="2"/>
    </i>
    <i>
      <x v="2308"/>
      <x v="2240"/>
      <x v="3"/>
    </i>
    <i>
      <x v="2309"/>
      <x v="66"/>
      <x v="4"/>
    </i>
    <i>
      <x v="2310"/>
      <x v="480"/>
      <x v="4"/>
    </i>
    <i>
      <x v="2311"/>
      <x v="1248"/>
      <x v="4"/>
    </i>
    <i>
      <x v="2312"/>
      <x v="174"/>
      <x v="4"/>
    </i>
    <i>
      <x v="2313"/>
      <x v="2202"/>
      <x v="3"/>
    </i>
    <i>
      <x v="2314"/>
      <x v="312"/>
      <x v="4"/>
    </i>
    <i r="1">
      <x v="2815"/>
      <x v="3"/>
    </i>
    <i>
      <x v="2315"/>
      <x v="2814"/>
      <x v="1"/>
    </i>
    <i>
      <x v="2316"/>
      <x v="1902"/>
      <x v="3"/>
    </i>
    <i>
      <x v="2317"/>
      <x v="189"/>
      <x v="4"/>
    </i>
    <i>
      <x v="2318"/>
      <x v="1793"/>
      <x v="3"/>
    </i>
    <i>
      <x v="2319"/>
      <x v="921"/>
      <x v="4"/>
    </i>
    <i>
      <x v="2320"/>
      <x v="297"/>
      <x v="4"/>
    </i>
    <i>
      <x v="2321"/>
      <x v="464"/>
      <x v="4"/>
    </i>
    <i>
      <x v="2322"/>
      <x v="2319"/>
      <x v="3"/>
    </i>
    <i>
      <x v="2323"/>
      <x v="2315"/>
      <x v="1"/>
    </i>
    <i>
      <x v="2324"/>
      <x v="1693"/>
      <x v="3"/>
    </i>
    <i>
      <x v="2325"/>
      <x v="2642"/>
      <x v="3"/>
    </i>
    <i>
      <x v="2326"/>
      <x v="156"/>
      <x v="4"/>
    </i>
    <i>
      <x v="2327"/>
      <x v="880"/>
      <x v="4"/>
    </i>
    <i>
      <x v="2328"/>
      <x v="2614"/>
      <x v="3"/>
    </i>
    <i>
      <x v="2329"/>
      <x v="149"/>
      <x v="4"/>
    </i>
    <i>
      <x v="2330"/>
      <x v="210"/>
      <x v="4"/>
    </i>
    <i r="1">
      <x v="2101"/>
      <x v="3"/>
    </i>
    <i>
      <x v="2331"/>
      <x v="57"/>
      <x v="4"/>
    </i>
    <i>
      <x v="2332"/>
      <x v="938"/>
      <x v="4"/>
    </i>
    <i r="1">
      <x v="2148"/>
      <x v="3"/>
    </i>
    <i>
      <x v="2333"/>
      <x v="1352"/>
      <x v="3"/>
    </i>
    <i>
      <x v="2334"/>
      <x v="374"/>
      <x v="4"/>
    </i>
    <i>
      <x v="2335"/>
      <x v="180"/>
      <x v="4"/>
    </i>
    <i>
      <x v="2336"/>
      <x v="1037"/>
      <x v="4"/>
    </i>
    <i>
      <x v="2337"/>
      <x v="1910"/>
      <x v="3"/>
    </i>
    <i>
      <x v="2338"/>
      <x v="1911"/>
      <x v="3"/>
    </i>
    <i>
      <x v="2339"/>
      <x v="1174"/>
      <x v="4"/>
    </i>
    <i>
      <x v="2340"/>
      <x v="1542"/>
      <x v="3"/>
    </i>
    <i>
      <x v="2341"/>
      <x v="1541"/>
      <x v="1"/>
    </i>
    <i>
      <x v="2342"/>
      <x v="2740"/>
      <x v="1"/>
    </i>
    <i>
      <x v="2343"/>
      <x v="573"/>
      <x v="4"/>
    </i>
    <i r="1">
      <x v="1257"/>
      <x v="4"/>
    </i>
    <i r="1">
      <x v="1673"/>
      <x v="3"/>
    </i>
    <i>
      <x v="2344"/>
      <x v="1494"/>
      <x v="3"/>
    </i>
    <i>
      <x v="2345"/>
      <x v="112"/>
      <x v="4"/>
    </i>
    <i>
      <x v="2346"/>
      <x v="1325"/>
      <x v="3"/>
    </i>
    <i>
      <x v="2347"/>
      <x v="922"/>
      <x v="4"/>
    </i>
    <i r="1">
      <x v="2166"/>
      <x v="3"/>
    </i>
    <i>
      <x v="2348"/>
      <x v="1332"/>
      <x v="3"/>
    </i>
    <i>
      <x v="2349"/>
      <x v="1513"/>
      <x v="3"/>
    </i>
    <i>
      <x v="2350"/>
      <x v="1832"/>
      <x v="3"/>
    </i>
    <i>
      <x v="2351"/>
      <x v="90"/>
      <x v="4"/>
    </i>
    <i r="1">
      <x v="2871"/>
      <x v="3"/>
    </i>
    <i>
      <x v="2352"/>
      <x v="1350"/>
      <x v="3"/>
    </i>
    <i>
      <x v="2353"/>
      <x v="1540"/>
      <x v="3"/>
    </i>
    <i>
      <x v="2354"/>
      <x v="1426"/>
      <x v="3"/>
    </i>
    <i>
      <x v="2355"/>
      <x v="2609"/>
      <x v="3"/>
    </i>
    <i>
      <x v="2356"/>
      <x v="2605"/>
      <x v="3"/>
    </i>
    <i>
      <x v="2357"/>
      <x v="1462"/>
      <x v="3"/>
    </i>
    <i>
      <x v="2358"/>
      <x v="1336"/>
      <x v="3"/>
    </i>
    <i>
      <x v="2359"/>
      <x v="745"/>
      <x v="4"/>
    </i>
    <i r="1">
      <x v="2494"/>
      <x v="3"/>
    </i>
    <i>
      <x v="2360"/>
      <x v="2496"/>
      <x v="3"/>
    </i>
    <i>
      <x v="2361"/>
      <x v="86"/>
      <x v="4"/>
    </i>
    <i>
      <x v="2362"/>
      <x v="2354"/>
      <x v="3"/>
    </i>
    <i>
      <x v="2363"/>
      <x v="1843"/>
      <x v="3"/>
    </i>
    <i>
      <x v="2364"/>
      <x v="1845"/>
      <x v="3"/>
    </i>
    <i>
      <x v="2365"/>
      <x v="1436"/>
      <x v="3"/>
    </i>
    <i>
      <x v="2366"/>
      <x v="2598"/>
      <x v="3"/>
    </i>
    <i>
      <x v="2367"/>
      <x v="730"/>
      <x v="4"/>
    </i>
    <i>
      <x v="2368"/>
      <x v="2834"/>
      <x v="3"/>
    </i>
    <i>
      <x v="2369"/>
      <x v="1722"/>
      <x v="2"/>
    </i>
    <i>
      <x v="2370"/>
      <x v="1723"/>
      <x v="3"/>
    </i>
    <i>
      <x v="2371"/>
      <x v="1724"/>
      <x v="3"/>
    </i>
    <i>
      <x v="2372"/>
      <x v="996"/>
      <x v="4"/>
    </i>
    <i>
      <x v="2373"/>
      <x v="2619"/>
      <x v="1"/>
    </i>
    <i>
      <x v="2374"/>
      <x v="2708"/>
      <x v="3"/>
    </i>
    <i>
      <x v="2375"/>
      <x v="1597"/>
      <x v="3"/>
    </i>
    <i>
      <x v="2376"/>
      <x v="42"/>
      <x v="4"/>
    </i>
    <i>
      <x v="2377"/>
      <x v="1419"/>
      <x v="3"/>
    </i>
    <i r="1">
      <x v="1424"/>
      <x v="2"/>
    </i>
    <i>
      <x v="2378"/>
      <x v="2715"/>
      <x v="3"/>
    </i>
    <i>
      <x v="2379"/>
      <x v="2440"/>
      <x v="2"/>
    </i>
    <i>
      <x v="2380"/>
      <x v="1445"/>
      <x v="3"/>
    </i>
    <i>
      <x v="2381"/>
      <x v="1393"/>
      <x v="3"/>
    </i>
    <i>
      <x v="2382"/>
      <x v="2432"/>
      <x v="2"/>
    </i>
    <i>
      <x v="2383"/>
      <x v="1304"/>
      <x v="3"/>
    </i>
    <i>
      <x v="2384"/>
      <x v="1355"/>
      <x v="3"/>
    </i>
    <i>
      <x v="2385"/>
      <x v="1361"/>
      <x v="3"/>
    </i>
    <i>
      <x v="2386"/>
      <x v="2599"/>
      <x v="3"/>
    </i>
    <i>
      <x v="2387"/>
      <x v="2433"/>
      <x v="1"/>
    </i>
    <i>
      <x v="2388"/>
      <x v="2689"/>
      <x v="3"/>
    </i>
    <i>
      <x v="2389"/>
      <x v="1496"/>
      <x v="3"/>
    </i>
    <i>
      <x v="2390"/>
      <x v="429"/>
      <x v="4"/>
    </i>
    <i r="1">
      <x v="431"/>
      <x v="4"/>
    </i>
    <i r="1">
      <x v="2403"/>
      <x v="2"/>
    </i>
    <i r="1">
      <x v="2404"/>
      <x v="1"/>
    </i>
    <i>
      <x v="2391"/>
      <x v="1316"/>
      <x v="3"/>
    </i>
    <i>
      <x v="2392"/>
      <x v="1486"/>
      <x v="3"/>
    </i>
    <i>
      <x v="2393"/>
      <x v="1346"/>
      <x v="3"/>
    </i>
    <i>
      <x v="2394"/>
      <x v="1624"/>
      <x v="3"/>
    </i>
    <i>
      <x v="2395"/>
      <x v="676"/>
      <x v="4"/>
    </i>
    <i r="1">
      <x v="2021"/>
      <x v="1"/>
    </i>
    <i>
      <x v="2396"/>
      <x v="862"/>
      <x v="4"/>
    </i>
    <i>
      <x v="2397"/>
      <x v="1622"/>
      <x v="3"/>
    </i>
    <i>
      <x v="2398"/>
      <x v="2264"/>
      <x v="3"/>
    </i>
    <i>
      <x v="2399"/>
      <x v="2025"/>
      <x v="1"/>
    </i>
    <i>
      <x v="2400"/>
      <x v="2659"/>
      <x v="3"/>
    </i>
    <i>
      <x v="2401"/>
      <x v="1018"/>
      <x v="4"/>
    </i>
    <i r="1">
      <x v="1617"/>
      <x v="3"/>
    </i>
    <i>
      <x v="2402"/>
      <x v="2189"/>
      <x v="3"/>
    </i>
    <i>
      <x v="2403"/>
      <x v="554"/>
      <x v="4"/>
    </i>
    <i r="1">
      <x v="1938"/>
      <x v="2"/>
    </i>
    <i r="1">
      <x v="1941"/>
      <x v="3"/>
    </i>
    <i>
      <x v="2404"/>
      <x v="863"/>
      <x v="4"/>
    </i>
    <i>
      <x v="2405"/>
      <x v="2164"/>
      <x v="3"/>
    </i>
    <i>
      <x v="2406"/>
      <x v="2390"/>
      <x v="3"/>
    </i>
    <i>
      <x v="2407"/>
      <x v="1469"/>
      <x v="3"/>
    </i>
    <i>
      <x v="2408"/>
      <x v="2467"/>
      <x v="2"/>
    </i>
    <i>
      <x v="2409"/>
      <x v="672"/>
      <x v="4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49B259-343D-4D4D-8EB6-4597C69F52A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556" firstHeaderRow="1" firstDataRow="1" firstDataCol="2"/>
  <pivotFields count="2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302">
        <item x="152"/>
        <item x="93"/>
        <item x="104"/>
        <item x="48"/>
        <item x="59"/>
        <item x="13"/>
        <item x="146"/>
        <item x="16"/>
        <item x="125"/>
        <item x="3"/>
        <item x="67"/>
        <item x="102"/>
        <item x="131"/>
        <item x="11"/>
        <item x="151"/>
        <item x="62"/>
        <item x="127"/>
        <item x="136"/>
        <item x="91"/>
        <item x="52"/>
        <item x="45"/>
        <item x="10"/>
        <item x="148"/>
        <item x="83"/>
        <item x="68"/>
        <item x="7"/>
        <item x="154"/>
        <item x="43"/>
        <item x="50"/>
        <item x="150"/>
        <item x="88"/>
        <item x="56"/>
        <item x="61"/>
        <item x="107"/>
        <item x="78"/>
        <item x="85"/>
        <item x="41"/>
        <item x="2"/>
        <item x="12"/>
        <item x="111"/>
        <item x="129"/>
        <item x="69"/>
        <item x="66"/>
        <item x="20"/>
        <item x="97"/>
        <item x="51"/>
        <item x="130"/>
        <item x="9"/>
        <item x="94"/>
        <item x="80"/>
        <item x="98"/>
        <item x="132"/>
        <item x="57"/>
        <item x="26"/>
        <item x="28"/>
        <item x="29"/>
        <item x="30"/>
        <item x="99"/>
        <item x="153"/>
        <item x="110"/>
        <item x="27"/>
        <item x="143"/>
        <item x="108"/>
        <item x="17"/>
        <item x="47"/>
        <item x="124"/>
        <item x="46"/>
        <item x="70"/>
        <item x="0"/>
        <item x="22"/>
        <item x="71"/>
        <item x="42"/>
        <item x="84"/>
        <item x="79"/>
        <item x="65"/>
        <item x="135"/>
        <item x="72"/>
        <item x="39"/>
        <item x="5"/>
        <item x="55"/>
        <item x="24"/>
        <item x="23"/>
        <item x="100"/>
        <item x="15"/>
        <item x="58"/>
        <item x="73"/>
        <item x="63"/>
        <item x="147"/>
        <item x="77"/>
        <item x="133"/>
        <item x="118"/>
        <item x="36"/>
        <item x="138"/>
        <item x="82"/>
        <item x="54"/>
        <item x="74"/>
        <item x="38"/>
        <item x="140"/>
        <item x="49"/>
        <item x="81"/>
        <item x="137"/>
        <item x="95"/>
        <item x="1"/>
        <item x="101"/>
        <item x="35"/>
        <item x="21"/>
        <item x="89"/>
        <item x="25"/>
        <item x="145"/>
        <item x="8"/>
        <item x="115"/>
        <item x="114"/>
        <item x="4"/>
        <item x="53"/>
        <item x="105"/>
        <item x="103"/>
        <item x="96"/>
        <item x="123"/>
        <item x="37"/>
        <item x="142"/>
        <item x="106"/>
        <item x="139"/>
        <item x="40"/>
        <item x="19"/>
        <item x="117"/>
        <item x="144"/>
        <item x="109"/>
        <item x="113"/>
        <item x="134"/>
        <item x="64"/>
        <item x="119"/>
        <item x="75"/>
        <item x="34"/>
        <item x="121"/>
        <item x="6"/>
        <item x="60"/>
        <item x="31"/>
        <item x="86"/>
        <item x="120"/>
        <item x="33"/>
        <item x="116"/>
        <item x="76"/>
        <item x="44"/>
        <item x="92"/>
        <item x="126"/>
        <item x="14"/>
        <item x="128"/>
        <item x="141"/>
        <item x="112"/>
        <item x="122"/>
        <item x="32"/>
        <item x="18"/>
        <item x="155"/>
        <item x="149"/>
        <item x="87"/>
        <item x="90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348">
        <item x="129"/>
        <item x="104"/>
        <item x="131"/>
        <item x="106"/>
        <item x="107"/>
        <item x="108"/>
        <item x="3"/>
        <item x="2"/>
        <item x="1"/>
        <item x="4"/>
        <item x="0"/>
        <item x="5"/>
        <item x="35"/>
        <item x="16"/>
        <item x="6"/>
        <item x="130"/>
        <item x="132"/>
        <item x="125"/>
        <item x="133"/>
        <item x="134"/>
        <item x="137"/>
        <item x="51"/>
        <item x="88"/>
        <item x="21"/>
        <item x="113"/>
        <item x="109"/>
        <item x="110"/>
        <item x="111"/>
        <item x="22"/>
        <item x="25"/>
        <item x="23"/>
        <item x="24"/>
        <item x="55"/>
        <item x="112"/>
        <item x="61"/>
        <item x="7"/>
        <item x="63"/>
        <item x="8"/>
        <item x="64"/>
        <item x="65"/>
        <item x="66"/>
        <item x="67"/>
        <item x="68"/>
        <item x="69"/>
        <item x="70"/>
        <item x="9"/>
        <item x="62"/>
        <item x="60"/>
        <item x="71"/>
        <item x="72"/>
        <item x="73"/>
        <item x="74"/>
        <item x="75"/>
        <item x="76"/>
        <item x="77"/>
        <item x="78"/>
        <item x="89"/>
        <item x="90"/>
        <item x="91"/>
        <item x="92"/>
        <item x="93"/>
        <item x="94"/>
        <item x="95"/>
        <item x="96"/>
        <item x="87"/>
        <item x="13"/>
        <item x="14"/>
        <item x="15"/>
        <item x="12"/>
        <item x="97"/>
        <item x="98"/>
        <item x="11"/>
        <item x="99"/>
        <item x="100"/>
        <item x="101"/>
        <item x="102"/>
        <item x="103"/>
        <item x="79"/>
        <item x="115"/>
        <item x="119"/>
        <item x="120"/>
        <item x="121"/>
        <item x="122"/>
        <item x="123"/>
        <item x="124"/>
        <item x="147"/>
        <item x="153"/>
        <item x="152"/>
        <item x="149"/>
        <item x="150"/>
        <item x="151"/>
        <item x="148"/>
        <item x="159"/>
        <item x="158"/>
        <item x="160"/>
        <item x="155"/>
        <item x="156"/>
        <item x="154"/>
        <item x="157"/>
        <item x="59"/>
        <item x="57"/>
        <item x="58"/>
        <item x="56"/>
        <item x="45"/>
        <item x="49"/>
        <item x="48"/>
        <item x="47"/>
        <item x="50"/>
        <item x="44"/>
        <item x="46"/>
        <item x="10"/>
        <item x="20"/>
        <item x="17"/>
        <item x="18"/>
        <item x="19"/>
        <item x="105"/>
        <item x="34"/>
        <item x="41"/>
        <item x="33"/>
        <item x="42"/>
        <item x="36"/>
        <item x="37"/>
        <item x="30"/>
        <item x="43"/>
        <item x="32"/>
        <item x="38"/>
        <item x="39"/>
        <item x="29"/>
        <item x="27"/>
        <item x="26"/>
        <item x="31"/>
        <item x="28"/>
        <item x="52"/>
        <item x="54"/>
        <item x="53"/>
        <item x="127"/>
        <item x="126"/>
        <item x="128"/>
        <item x="116"/>
        <item x="114"/>
        <item x="117"/>
        <item x="118"/>
        <item x="84"/>
        <item x="85"/>
        <item x="86"/>
        <item x="81"/>
        <item x="83"/>
        <item x="82"/>
        <item x="40"/>
        <item x="145"/>
        <item x="138"/>
        <item x="140"/>
        <item x="141"/>
        <item x="146"/>
        <item x="142"/>
        <item x="143"/>
        <item x="144"/>
        <item x="135"/>
        <item x="139"/>
        <item x="136"/>
        <item x="8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4"/>
    <field x="13"/>
  </rowFields>
  <rowItems count="1553">
    <i>
      <x/>
      <x v="144"/>
    </i>
    <i>
      <x v="1"/>
      <x v="103"/>
    </i>
    <i>
      <x v="2"/>
      <x v="146"/>
    </i>
    <i>
      <x v="3"/>
      <x v="115"/>
    </i>
    <i>
      <x v="4"/>
      <x v="2"/>
    </i>
    <i>
      <x v="5"/>
      <x v="114"/>
    </i>
    <i>
      <x v="6"/>
      <x v="9"/>
    </i>
    <i>
      <x v="7"/>
      <x v="37"/>
    </i>
    <i>
      <x v="8"/>
      <x v="102"/>
    </i>
    <i>
      <x v="9"/>
      <x v="112"/>
    </i>
    <i>
      <x v="10"/>
      <x v="68"/>
    </i>
    <i>
      <x v="11"/>
      <x v="78"/>
    </i>
    <i>
      <x v="12"/>
      <x v="104"/>
    </i>
    <i>
      <x v="13"/>
      <x v="7"/>
    </i>
    <i>
      <x v="14"/>
      <x v="134"/>
    </i>
    <i>
      <x v="15"/>
      <x v="16"/>
    </i>
    <i>
      <x v="16"/>
      <x v="40"/>
    </i>
    <i>
      <x v="17"/>
      <x v="149"/>
    </i>
    <i>
      <x v="18"/>
      <x v="46"/>
    </i>
    <i>
      <x v="19"/>
      <x v="12"/>
    </i>
    <i>
      <x v="20"/>
      <x v="89"/>
    </i>
    <i>
      <x v="21"/>
      <x v="28"/>
    </i>
    <i>
      <x v="22"/>
      <x v="35"/>
    </i>
    <i>
      <x v="23"/>
      <x v="105"/>
    </i>
    <i>
      <x v="24"/>
      <x v="59"/>
    </i>
    <i>
      <x v="25"/>
      <x v="120"/>
    </i>
    <i>
      <x v="26"/>
      <x v="33"/>
    </i>
    <i>
      <x v="27"/>
      <x v="62"/>
    </i>
    <i>
      <x v="28"/>
      <x v="69"/>
    </i>
    <i>
      <x v="29"/>
      <x v="107"/>
    </i>
    <i>
      <x v="30"/>
      <x v="81"/>
    </i>
    <i>
      <x v="31"/>
      <x v="80"/>
    </i>
    <i>
      <x v="32"/>
      <x v="94"/>
    </i>
    <i>
      <x v="33"/>
      <x v="126"/>
    </i>
    <i>
      <x v="34"/>
      <x v="79"/>
    </i>
    <i>
      <x v="35"/>
      <x v="25"/>
    </i>
    <i>
      <x v="36"/>
      <x v="32"/>
    </i>
    <i>
      <x v="37"/>
      <x v="109"/>
    </i>
    <i>
      <x v="38"/>
      <x v="15"/>
    </i>
    <i>
      <x v="39"/>
      <x v="86"/>
    </i>
    <i>
      <x v="40"/>
      <x v="129"/>
    </i>
    <i>
      <x v="41"/>
      <x v="74"/>
    </i>
    <i>
      <x v="42"/>
      <x v="42"/>
    </i>
    <i>
      <x v="43"/>
      <x v="10"/>
    </i>
    <i>
      <x v="44"/>
      <x v="24"/>
    </i>
    <i>
      <x v="45"/>
      <x v="47"/>
    </i>
    <i>
      <x v="46"/>
      <x v="135"/>
    </i>
    <i>
      <x v="47"/>
      <x v="4"/>
    </i>
    <i>
      <x v="48"/>
      <x v="41"/>
    </i>
    <i>
      <x v="49"/>
      <x v="67"/>
    </i>
    <i>
      <x v="50"/>
      <x v="70"/>
    </i>
    <i>
      <x v="51"/>
      <x v="76"/>
    </i>
    <i>
      <x v="52"/>
      <x v="85"/>
    </i>
    <i>
      <x v="53"/>
      <x v="95"/>
    </i>
    <i>
      <x v="54"/>
      <x v="131"/>
    </i>
    <i>
      <x v="55"/>
      <x v="141"/>
    </i>
    <i>
      <x v="56"/>
      <x v="137"/>
    </i>
    <i>
      <x v="57"/>
      <x v="154"/>
    </i>
    <i>
      <x v="58"/>
      <x v="30"/>
    </i>
    <i>
      <x v="59"/>
      <x v="106"/>
    </i>
    <i>
      <x v="60"/>
      <x v="155"/>
    </i>
    <i>
      <x v="61"/>
      <x v="18"/>
    </i>
    <i>
      <x v="62"/>
      <x v="143"/>
    </i>
    <i>
      <x v="63"/>
      <x v="1"/>
    </i>
    <i>
      <x v="64"/>
      <x v="72"/>
    </i>
    <i>
      <x v="65"/>
      <x v="5"/>
    </i>
    <i>
      <x v="66"/>
      <x v="145"/>
    </i>
    <i>
      <x v="67"/>
      <x v="83"/>
    </i>
    <i>
      <x v="68"/>
      <x v="38"/>
    </i>
    <i>
      <x v="69"/>
      <x v="48"/>
    </i>
    <i>
      <x v="70"/>
      <x v="101"/>
    </i>
    <i>
      <x v="71"/>
      <x v="13"/>
    </i>
    <i>
      <x v="72"/>
      <x v="116"/>
    </i>
    <i>
      <x v="73"/>
      <x v="44"/>
    </i>
    <i>
      <x v="74"/>
      <x v="50"/>
    </i>
    <i>
      <x v="75"/>
      <x v="57"/>
    </i>
    <i>
      <x v="76"/>
      <x v="82"/>
    </i>
    <i>
      <x v="77"/>
      <x v="88"/>
    </i>
    <i>
      <x v="78"/>
      <x v="148"/>
    </i>
    <i>
      <x v="79"/>
      <x v="140"/>
    </i>
    <i>
      <x v="80"/>
      <x v="124"/>
    </i>
    <i>
      <x v="81"/>
      <x v="90"/>
    </i>
    <i>
      <x v="82"/>
      <x v="130"/>
    </i>
    <i>
      <x v="83"/>
      <x v="138"/>
    </i>
    <i>
      <x v="84"/>
      <x v="133"/>
    </i>
    <i>
      <x v="85"/>
      <x v="61"/>
    </i>
    <i>
      <x v="86"/>
      <x v="153"/>
    </i>
    <i>
      <x v="87"/>
      <x v="22"/>
    </i>
    <i>
      <x v="88"/>
      <x v="108"/>
    </i>
    <i>
      <x v="89"/>
      <x v="6"/>
    </i>
    <i>
      <x v="90"/>
      <x v="87"/>
    </i>
    <i>
      <x v="91"/>
      <x v="125"/>
    </i>
    <i>
      <x v="92"/>
      <x v="26"/>
    </i>
    <i>
      <x v="93"/>
      <x v="58"/>
    </i>
    <i>
      <x v="94"/>
      <x v="152"/>
    </i>
    <i>
      <x v="95"/>
      <x v="14"/>
    </i>
    <i>
      <x v="96"/>
      <x v="39"/>
    </i>
    <i>
      <x v="97"/>
      <x v="29"/>
    </i>
    <i>
      <x v="98"/>
      <x/>
    </i>
    <i>
      <x v="99"/>
      <x v="84"/>
    </i>
    <i>
      <x v="100"/>
      <x v="31"/>
    </i>
    <i>
      <x v="101"/>
      <x v="52"/>
    </i>
    <i>
      <x v="102"/>
      <x v="79"/>
    </i>
    <i>
      <x v="103"/>
      <x v="77"/>
    </i>
    <i>
      <x v="104"/>
      <x v="3"/>
    </i>
    <i>
      <x v="105"/>
      <x v="64"/>
    </i>
    <i>
      <x v="106"/>
      <x v="66"/>
    </i>
    <i>
      <x v="107"/>
      <x v="98"/>
    </i>
    <i>
      <x v="108"/>
      <x v="142"/>
    </i>
    <i>
      <x v="109"/>
      <x v="20"/>
    </i>
    <i>
      <x v="110"/>
      <x v="21"/>
    </i>
    <i>
      <x v="111"/>
      <x v="43"/>
    </i>
    <i>
      <x v="112"/>
      <x v="63"/>
    </i>
    <i>
      <x v="113"/>
      <x v="151"/>
    </i>
    <i>
      <x v="114"/>
      <x v="123"/>
    </i>
    <i>
      <x v="115"/>
      <x v="11"/>
    </i>
    <i>
      <x v="116"/>
      <x v="132"/>
    </i>
    <i>
      <x v="117"/>
      <x v="36"/>
    </i>
    <i>
      <x v="118"/>
      <x v="139"/>
    </i>
    <i>
      <x v="119"/>
      <x v="71"/>
    </i>
    <i>
      <x v="120"/>
      <x v="91"/>
    </i>
    <i>
      <x v="121"/>
      <x v="118"/>
    </i>
    <i>
      <x v="122"/>
      <x v="56"/>
    </i>
    <i>
      <x v="123"/>
      <x v="27"/>
    </i>
    <i>
      <x v="124"/>
      <x v="150"/>
    </i>
    <i>
      <x v="125"/>
      <x v="96"/>
    </i>
    <i>
      <x v="126"/>
      <x v="77"/>
    </i>
    <i>
      <x v="127"/>
      <x v="55"/>
    </i>
    <i>
      <x v="128"/>
      <x v="60"/>
    </i>
    <i>
      <x v="129"/>
      <x v="53"/>
    </i>
    <i>
      <x v="130"/>
      <x v="136"/>
    </i>
    <i>
      <x v="131"/>
      <x v="54"/>
    </i>
    <i>
      <x v="132"/>
      <x v="45"/>
    </i>
    <i>
      <x v="133"/>
      <x v="113"/>
    </i>
    <i>
      <x v="134"/>
      <x v="19"/>
    </i>
    <i>
      <x v="135"/>
      <x v="65"/>
    </i>
    <i>
      <x v="136"/>
      <x v="117"/>
    </i>
    <i>
      <x v="137"/>
      <x v="8"/>
    </i>
    <i>
      <x v="138"/>
      <x v="127"/>
    </i>
    <i>
      <x v="139"/>
      <x v="39"/>
    </i>
    <i>
      <x v="140"/>
      <x v="111"/>
    </i>
    <i>
      <x v="141"/>
      <x v="110"/>
    </i>
    <i>
      <x v="142"/>
      <x v="99"/>
    </i>
    <i>
      <x v="143"/>
      <x v="93"/>
    </i>
    <i>
      <x v="144"/>
      <x v="23"/>
    </i>
    <i>
      <x v="145"/>
      <x v="77"/>
    </i>
    <i>
      <x v="146"/>
      <x v="49"/>
    </i>
    <i>
      <x v="147"/>
      <x v="73"/>
    </i>
    <i>
      <x v="148"/>
      <x v="122"/>
    </i>
    <i>
      <x v="149"/>
      <x v="147"/>
    </i>
    <i>
      <x v="150"/>
      <x v="128"/>
    </i>
    <i>
      <x v="151"/>
      <x v="17"/>
    </i>
    <i>
      <x v="152"/>
      <x v="100"/>
    </i>
    <i>
      <x v="153"/>
      <x v="119"/>
    </i>
    <i>
      <x v="154"/>
      <x v="92"/>
    </i>
    <i>
      <x v="155"/>
      <x v="121"/>
    </i>
    <i>
      <x v="156"/>
      <x v="97"/>
    </i>
    <i>
      <x v="157"/>
      <x v="124"/>
    </i>
    <i>
      <x v="158"/>
      <x v="75"/>
    </i>
    <i>
      <x v="159"/>
      <x v="51"/>
    </i>
    <i>
      <x v="160"/>
      <x v="34"/>
    </i>
    <i>
      <x v="161"/>
      <x v="11"/>
    </i>
    <i r="1">
      <x v="21"/>
    </i>
    <i r="1">
      <x v="24"/>
    </i>
    <i r="1">
      <x v="25"/>
    </i>
    <i r="1">
      <x v="34"/>
    </i>
    <i r="1">
      <x v="40"/>
    </i>
    <i r="1">
      <x v="46"/>
    </i>
    <i r="1">
      <x v="58"/>
    </i>
    <i r="1">
      <x v="61"/>
    </i>
    <i r="1">
      <x v="69"/>
    </i>
    <i r="1">
      <x v="70"/>
    </i>
    <i r="1">
      <x v="74"/>
    </i>
    <i r="1">
      <x v="76"/>
    </i>
    <i r="1">
      <x v="79"/>
    </i>
    <i r="1">
      <x v="81"/>
    </i>
    <i r="1">
      <x v="83"/>
    </i>
    <i r="1">
      <x v="86"/>
    </i>
    <i r="1">
      <x v="88"/>
    </i>
    <i r="1">
      <x v="90"/>
    </i>
    <i r="1">
      <x v="95"/>
    </i>
    <i r="1">
      <x v="104"/>
    </i>
    <i r="1">
      <x v="105"/>
    </i>
    <i r="1">
      <x v="108"/>
    </i>
    <i r="1">
      <x v="124"/>
    </i>
    <i r="1">
      <x v="125"/>
    </i>
    <i r="1">
      <x v="130"/>
    </i>
    <i r="1">
      <x v="133"/>
    </i>
    <i r="1">
      <x v="135"/>
    </i>
    <i r="1">
      <x v="138"/>
    </i>
    <i r="1">
      <x v="140"/>
    </i>
    <i r="1">
      <x v="145"/>
    </i>
    <i r="1">
      <x v="146"/>
    </i>
    <i r="1">
      <x v="153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1301"/>
    </i>
    <i>
      <x v="162"/>
      <x v="327"/>
    </i>
    <i>
      <x v="163"/>
      <x v="289"/>
    </i>
    <i>
      <x v="164"/>
      <x v="328"/>
    </i>
    <i>
      <x v="165"/>
      <x v="329"/>
    </i>
    <i>
      <x v="166"/>
      <x v="4"/>
    </i>
    <i>
      <x v="167"/>
      <x v="330"/>
    </i>
    <i>
      <x v="168"/>
      <x v="331"/>
    </i>
    <i>
      <x v="169"/>
      <x v="332"/>
    </i>
    <i>
      <x v="170"/>
      <x v="333"/>
    </i>
    <i>
      <x v="171"/>
      <x v="334"/>
    </i>
    <i>
      <x v="172"/>
      <x v="335"/>
    </i>
    <i>
      <x v="173"/>
      <x v="336"/>
    </i>
    <i>
      <x v="174"/>
      <x v="166"/>
    </i>
    <i>
      <x v="175"/>
      <x v="337"/>
    </i>
    <i>
      <x v="176"/>
      <x v="338"/>
    </i>
    <i>
      <x v="177"/>
      <x v="339"/>
    </i>
    <i>
      <x v="178"/>
      <x v="340"/>
    </i>
    <i>
      <x v="179"/>
      <x v="341"/>
    </i>
    <i>
      <x v="180"/>
      <x v="342"/>
    </i>
    <i>
      <x v="181"/>
      <x v="343"/>
    </i>
    <i>
      <x v="182"/>
      <x v="344"/>
    </i>
    <i>
      <x v="183"/>
      <x v="345"/>
    </i>
    <i>
      <x v="184"/>
      <x v="346"/>
    </i>
    <i>
      <x v="185"/>
      <x v="347"/>
    </i>
    <i>
      <x v="186"/>
      <x v="225"/>
    </i>
    <i>
      <x v="187"/>
      <x v="348"/>
    </i>
    <i>
      <x v="188"/>
      <x v="349"/>
    </i>
    <i>
      <x v="189"/>
      <x v="350"/>
    </i>
    <i>
      <x v="190"/>
      <x v="351"/>
    </i>
    <i>
      <x v="191"/>
      <x v="231"/>
    </i>
    <i>
      <x v="192"/>
      <x v="352"/>
    </i>
    <i>
      <x v="193"/>
      <x v="353"/>
    </i>
    <i>
      <x v="194"/>
      <x v="354"/>
    </i>
    <i>
      <x v="195"/>
      <x v="355"/>
    </i>
    <i>
      <x v="196"/>
      <x v="356"/>
    </i>
    <i>
      <x v="197"/>
      <x v="357"/>
    </i>
    <i>
      <x v="198"/>
      <x v="358"/>
    </i>
    <i>
      <x v="199"/>
      <x v="359"/>
    </i>
    <i>
      <x v="200"/>
      <x v="360"/>
    </i>
    <i>
      <x v="201"/>
      <x v="361"/>
    </i>
    <i>
      <x v="202"/>
      <x v="362"/>
    </i>
    <i>
      <x v="203"/>
      <x v="363"/>
    </i>
    <i>
      <x v="204"/>
      <x v="364"/>
    </i>
    <i>
      <x v="205"/>
      <x v="365"/>
    </i>
    <i>
      <x v="206"/>
      <x v="366"/>
    </i>
    <i>
      <x v="207"/>
      <x v="367"/>
    </i>
    <i>
      <x v="208"/>
      <x v="368"/>
    </i>
    <i>
      <x v="209"/>
      <x v="124"/>
    </i>
    <i>
      <x v="210"/>
      <x v="369"/>
    </i>
    <i>
      <x v="211"/>
      <x v="370"/>
    </i>
    <i>
      <x v="212"/>
      <x v="371"/>
    </i>
    <i>
      <x v="213"/>
      <x v="235"/>
    </i>
    <i>
      <x v="214"/>
      <x v="372"/>
    </i>
    <i>
      <x v="215"/>
      <x v="373"/>
    </i>
    <i>
      <x v="216"/>
      <x v="374"/>
    </i>
    <i>
      <x v="217"/>
      <x v="375"/>
    </i>
    <i>
      <x v="218"/>
      <x v="376"/>
    </i>
    <i>
      <x v="219"/>
      <x v="377"/>
    </i>
    <i>
      <x v="220"/>
      <x v="378"/>
    </i>
    <i>
      <x v="221"/>
      <x v="379"/>
    </i>
    <i>
      <x v="222"/>
      <x v="39"/>
    </i>
    <i>
      <x v="223"/>
      <x v="380"/>
    </i>
    <i>
      <x v="224"/>
      <x v="381"/>
    </i>
    <i>
      <x v="225"/>
      <x v="382"/>
    </i>
    <i>
      <x v="226"/>
      <x v="383"/>
    </i>
    <i>
      <x v="227"/>
      <x v="384"/>
    </i>
    <i>
      <x v="228"/>
      <x v="385"/>
    </i>
    <i>
      <x v="229"/>
      <x v="386"/>
    </i>
    <i>
      <x v="230"/>
      <x v="387"/>
    </i>
    <i>
      <x v="231"/>
      <x v="388"/>
    </i>
    <i>
      <x v="232"/>
      <x v="389"/>
    </i>
    <i>
      <x v="233"/>
      <x v="390"/>
    </i>
    <i>
      <x v="234"/>
      <x v="391"/>
    </i>
    <i>
      <x v="235"/>
      <x v="392"/>
    </i>
    <i>
      <x v="236"/>
      <x v="393"/>
    </i>
    <i>
      <x v="237"/>
      <x v="394"/>
    </i>
    <i>
      <x v="238"/>
      <x v="395"/>
    </i>
    <i>
      <x v="239"/>
      <x v="396"/>
    </i>
    <i>
      <x v="240"/>
      <x v="397"/>
    </i>
    <i>
      <x v="241"/>
      <x v="398"/>
    </i>
    <i>
      <x v="242"/>
      <x v="399"/>
    </i>
    <i>
      <x v="243"/>
      <x v="400"/>
    </i>
    <i>
      <x v="244"/>
      <x v="401"/>
    </i>
    <i>
      <x v="245"/>
      <x v="105"/>
    </i>
    <i>
      <x v="246"/>
      <x v="402"/>
    </i>
    <i>
      <x v="247"/>
      <x v="403"/>
    </i>
    <i>
      <x v="248"/>
      <x v="404"/>
    </i>
    <i>
      <x v="249"/>
      <x v="405"/>
    </i>
    <i>
      <x v="250"/>
      <x v="406"/>
    </i>
    <i>
      <x v="251"/>
      <x v="407"/>
    </i>
    <i>
      <x v="252"/>
      <x v="408"/>
    </i>
    <i>
      <x v="253"/>
      <x v="409"/>
    </i>
    <i>
      <x v="254"/>
      <x v="410"/>
    </i>
    <i>
      <x v="255"/>
      <x v="411"/>
    </i>
    <i>
      <x v="256"/>
      <x v="412"/>
    </i>
    <i>
      <x v="257"/>
      <x v="413"/>
    </i>
    <i>
      <x v="258"/>
      <x v="414"/>
    </i>
    <i>
      <x v="259"/>
      <x v="415"/>
    </i>
    <i>
      <x v="260"/>
      <x v="416"/>
    </i>
    <i>
      <x v="261"/>
      <x v="417"/>
    </i>
    <i>
      <x v="262"/>
      <x v="418"/>
    </i>
    <i>
      <x v="263"/>
      <x v="419"/>
    </i>
    <i>
      <x v="264"/>
      <x v="420"/>
    </i>
    <i>
      <x v="265"/>
      <x v="421"/>
    </i>
    <i>
      <x v="266"/>
      <x v="422"/>
    </i>
    <i>
      <x v="267"/>
      <x v="423"/>
    </i>
    <i>
      <x v="268"/>
      <x v="424"/>
    </i>
    <i>
      <x v="269"/>
      <x v="425"/>
    </i>
    <i>
      <x v="270"/>
      <x v="426"/>
    </i>
    <i>
      <x v="271"/>
      <x v="427"/>
    </i>
    <i>
      <x v="272"/>
      <x v="428"/>
    </i>
    <i>
      <x v="273"/>
      <x v="429"/>
    </i>
    <i>
      <x v="274"/>
      <x v="430"/>
    </i>
    <i>
      <x v="275"/>
      <x v="431"/>
    </i>
    <i>
      <x v="276"/>
      <x v="432"/>
    </i>
    <i>
      <x v="277"/>
      <x v="433"/>
    </i>
    <i>
      <x v="278"/>
      <x v="434"/>
    </i>
    <i>
      <x v="279"/>
      <x v="435"/>
    </i>
    <i>
      <x v="280"/>
      <x v="436"/>
    </i>
    <i>
      <x v="281"/>
      <x v="437"/>
    </i>
    <i>
      <x v="282"/>
      <x v="32"/>
    </i>
    <i>
      <x v="283"/>
      <x v="438"/>
    </i>
    <i>
      <x v="284"/>
      <x v="439"/>
    </i>
    <i>
      <x v="285"/>
      <x v="440"/>
    </i>
    <i>
      <x v="286"/>
      <x v="441"/>
    </i>
    <i>
      <x v="287"/>
      <x v="442"/>
    </i>
    <i>
      <x v="288"/>
      <x v="443"/>
    </i>
    <i>
      <x v="289"/>
      <x v="444"/>
    </i>
    <i>
      <x v="290"/>
      <x v="445"/>
    </i>
    <i>
      <x v="291"/>
      <x v="446"/>
    </i>
    <i>
      <x v="292"/>
      <x v="447"/>
    </i>
    <i>
      <x v="293"/>
      <x v="448"/>
    </i>
    <i>
      <x v="294"/>
      <x v="449"/>
    </i>
    <i>
      <x v="295"/>
      <x v="235"/>
    </i>
    <i>
      <x v="296"/>
      <x v="450"/>
    </i>
    <i>
      <x v="297"/>
      <x v="451"/>
    </i>
    <i>
      <x v="298"/>
      <x v="452"/>
    </i>
    <i>
      <x v="299"/>
      <x v="453"/>
    </i>
    <i>
      <x v="300"/>
      <x v="454"/>
    </i>
    <i>
      <x v="301"/>
      <x v="455"/>
    </i>
    <i>
      <x v="302"/>
      <x v="456"/>
    </i>
    <i>
      <x v="303"/>
      <x v="457"/>
    </i>
    <i>
      <x v="304"/>
      <x v="458"/>
    </i>
    <i>
      <x v="305"/>
      <x v="459"/>
    </i>
    <i>
      <x v="306"/>
      <x v="460"/>
    </i>
    <i>
      <x v="307"/>
      <x v="461"/>
    </i>
    <i>
      <x v="308"/>
      <x v="462"/>
    </i>
    <i>
      <x v="309"/>
      <x v="463"/>
    </i>
    <i>
      <x v="310"/>
      <x v="464"/>
    </i>
    <i>
      <x v="311"/>
      <x v="465"/>
    </i>
    <i>
      <x v="312"/>
      <x v="466"/>
    </i>
    <i>
      <x v="313"/>
      <x v="467"/>
    </i>
    <i>
      <x v="314"/>
      <x v="468"/>
    </i>
    <i>
      <x v="315"/>
      <x v="469"/>
    </i>
    <i>
      <x v="316"/>
      <x v="470"/>
    </i>
    <i>
      <x v="317"/>
      <x v="471"/>
    </i>
    <i>
      <x v="318"/>
      <x v="472"/>
    </i>
    <i>
      <x v="319"/>
      <x v="473"/>
    </i>
    <i>
      <x v="320"/>
      <x v="474"/>
    </i>
    <i>
      <x v="321"/>
      <x v="475"/>
    </i>
    <i>
      <x v="322"/>
      <x v="476"/>
    </i>
    <i>
      <x v="323"/>
      <x v="191"/>
    </i>
    <i>
      <x v="324"/>
      <x v="477"/>
    </i>
    <i>
      <x v="325"/>
      <x v="478"/>
    </i>
    <i>
      <x v="326"/>
      <x v="235"/>
    </i>
    <i>
      <x v="327"/>
      <x v="251"/>
    </i>
    <i>
      <x v="328"/>
      <x v="479"/>
    </i>
    <i>
      <x v="329"/>
      <x v="480"/>
    </i>
    <i>
      <x v="330"/>
      <x v="481"/>
    </i>
    <i>
      <x v="331"/>
      <x v="255"/>
    </i>
    <i>
      <x v="332"/>
      <x v="482"/>
    </i>
    <i>
      <x v="333"/>
      <x v="483"/>
    </i>
    <i>
      <x v="334"/>
      <x v="254"/>
    </i>
    <i>
      <x v="335"/>
      <x v="484"/>
    </i>
    <i>
      <x v="336"/>
      <x v="485"/>
    </i>
    <i>
      <x v="337"/>
      <x v="486"/>
    </i>
    <i>
      <x v="338"/>
      <x v="487"/>
    </i>
    <i>
      <x v="339"/>
      <x v="246"/>
    </i>
    <i>
      <x v="340"/>
      <x v="488"/>
    </i>
    <i>
      <x v="341"/>
      <x v="249"/>
    </i>
    <i>
      <x v="342"/>
      <x v="489"/>
    </i>
    <i>
      <x v="343"/>
      <x v="248"/>
    </i>
    <i>
      <x v="344"/>
      <x v="247"/>
    </i>
    <i>
      <x v="345"/>
      <x v="490"/>
    </i>
    <i>
      <x v="346"/>
      <x v="491"/>
    </i>
    <i>
      <x v="347"/>
      <x v="492"/>
    </i>
    <i>
      <x v="348"/>
      <x v="493"/>
    </i>
    <i>
      <x v="349"/>
      <x v="494"/>
    </i>
    <i>
      <x v="350"/>
      <x v="495"/>
    </i>
    <i>
      <x v="351"/>
      <x v="496"/>
    </i>
    <i>
      <x v="352"/>
      <x v="497"/>
    </i>
    <i>
      <x v="353"/>
      <x v="361"/>
    </i>
    <i>
      <x v="354"/>
      <x v="498"/>
    </i>
    <i>
      <x v="355"/>
      <x v="499"/>
    </i>
    <i>
      <x v="356"/>
      <x v="500"/>
    </i>
    <i>
      <x v="357"/>
      <x v="501"/>
    </i>
    <i>
      <x v="358"/>
      <x v="502"/>
    </i>
    <i>
      <x v="359"/>
      <x v="503"/>
    </i>
    <i>
      <x v="360"/>
      <x v="504"/>
    </i>
    <i>
      <x v="361"/>
      <x v="505"/>
    </i>
    <i>
      <x v="362"/>
      <x v="506"/>
    </i>
    <i>
      <x v="363"/>
      <x v="398"/>
    </i>
    <i>
      <x v="364"/>
      <x v="507"/>
    </i>
    <i>
      <x v="365"/>
      <x v="508"/>
    </i>
    <i>
      <x v="366"/>
      <x v="509"/>
    </i>
    <i>
      <x v="367"/>
      <x v="510"/>
    </i>
    <i>
      <x v="368"/>
      <x v="511"/>
    </i>
    <i>
      <x v="369"/>
      <x v="512"/>
    </i>
    <i>
      <x v="370"/>
      <x v="513"/>
    </i>
    <i>
      <x v="371"/>
      <x v="514"/>
    </i>
    <i>
      <x v="372"/>
      <x v="515"/>
    </i>
    <i>
      <x v="373"/>
      <x v="516"/>
    </i>
    <i>
      <x v="374"/>
      <x v="349"/>
    </i>
    <i>
      <x v="375"/>
      <x v="47"/>
    </i>
    <i>
      <x v="376"/>
      <x v="517"/>
    </i>
    <i>
      <x v="377"/>
      <x v="518"/>
    </i>
    <i>
      <x v="378"/>
      <x v="8"/>
    </i>
    <i>
      <x v="379"/>
      <x v="25"/>
    </i>
    <i>
      <x v="380"/>
      <x v="519"/>
    </i>
    <i>
      <x v="381"/>
      <x v="259"/>
    </i>
    <i>
      <x v="382"/>
      <x v="520"/>
    </i>
    <i>
      <x v="383"/>
      <x v="521"/>
    </i>
    <i>
      <x v="384"/>
      <x v="522"/>
    </i>
    <i>
      <x v="385"/>
      <x v="227"/>
    </i>
    <i>
      <x v="386"/>
      <x v="523"/>
    </i>
    <i>
      <x v="387"/>
      <x v="524"/>
    </i>
    <i>
      <x v="388"/>
      <x v="39"/>
    </i>
    <i>
      <x v="389"/>
      <x v="14"/>
    </i>
    <i>
      <x v="390"/>
      <x v="525"/>
    </i>
    <i>
      <x v="391"/>
      <x v="526"/>
    </i>
    <i>
      <x v="392"/>
      <x v="527"/>
    </i>
    <i>
      <x v="393"/>
      <x v="528"/>
    </i>
    <i>
      <x v="394"/>
      <x v="529"/>
    </i>
    <i>
      <x v="395"/>
      <x v="530"/>
    </i>
    <i>
      <x v="396"/>
      <x v="531"/>
    </i>
    <i>
      <x v="397"/>
      <x v="532"/>
    </i>
    <i>
      <x v="398"/>
      <x v="533"/>
    </i>
    <i>
      <x v="399"/>
      <x v="534"/>
    </i>
    <i>
      <x v="400"/>
      <x v="535"/>
    </i>
    <i>
      <x v="401"/>
      <x v="536"/>
    </i>
    <i>
      <x v="402"/>
      <x v="537"/>
    </i>
    <i>
      <x v="403"/>
      <x v="538"/>
    </i>
    <i>
      <x v="404"/>
      <x v="539"/>
    </i>
    <i>
      <x v="405"/>
      <x v="540"/>
    </i>
    <i>
      <x v="406"/>
      <x v="541"/>
    </i>
    <i>
      <x v="407"/>
      <x v="542"/>
    </i>
    <i>
      <x v="408"/>
      <x v="543"/>
    </i>
    <i>
      <x v="409"/>
      <x v="544"/>
    </i>
    <i>
      <x v="410"/>
      <x v="545"/>
    </i>
    <i>
      <x v="411"/>
      <x v="546"/>
    </i>
    <i>
      <x v="412"/>
      <x v="547"/>
    </i>
    <i>
      <x v="413"/>
      <x v="548"/>
    </i>
    <i>
      <x v="414"/>
      <x v="549"/>
    </i>
    <i>
      <x v="415"/>
      <x v="550"/>
    </i>
    <i>
      <x v="416"/>
      <x v="502"/>
    </i>
    <i>
      <x v="417"/>
      <x v="551"/>
    </i>
    <i>
      <x v="418"/>
      <x v="552"/>
    </i>
    <i>
      <x v="419"/>
      <x v="225"/>
    </i>
    <i>
      <x v="420"/>
      <x v="553"/>
    </i>
    <i>
      <x v="421"/>
      <x v="263"/>
    </i>
    <i>
      <x v="422"/>
      <x v="554"/>
    </i>
    <i>
      <x v="423"/>
      <x v="555"/>
    </i>
    <i>
      <x v="424"/>
      <x v="556"/>
    </i>
    <i>
      <x v="425"/>
      <x v="557"/>
    </i>
    <i>
      <x v="426"/>
      <x v="558"/>
    </i>
    <i>
      <x v="427"/>
      <x v="559"/>
    </i>
    <i>
      <x v="428"/>
      <x v="267"/>
    </i>
    <i>
      <x v="429"/>
      <x v="268"/>
    </i>
    <i>
      <x v="430"/>
      <x v="560"/>
    </i>
    <i>
      <x v="431"/>
      <x v="561"/>
    </i>
    <i>
      <x v="432"/>
      <x v="562"/>
    </i>
    <i>
      <x v="433"/>
      <x v="563"/>
    </i>
    <i>
      <x v="434"/>
      <x v="564"/>
    </i>
    <i>
      <x v="435"/>
      <x v="565"/>
    </i>
    <i>
      <x v="436"/>
      <x v="566"/>
    </i>
    <i>
      <x v="437"/>
      <x v="274"/>
    </i>
    <i>
      <x v="438"/>
      <x v="567"/>
    </i>
    <i>
      <x v="439"/>
      <x v="568"/>
    </i>
    <i>
      <x v="440"/>
      <x v="569"/>
    </i>
    <i>
      <x v="441"/>
      <x v="570"/>
    </i>
    <i>
      <x v="442"/>
      <x v="571"/>
    </i>
    <i>
      <x v="443"/>
      <x v="572"/>
    </i>
    <i>
      <x v="444"/>
      <x v="573"/>
    </i>
    <i>
      <x v="445"/>
      <x v="574"/>
    </i>
    <i>
      <x v="446"/>
      <x v="575"/>
    </i>
    <i>
      <x v="447"/>
      <x v="576"/>
    </i>
    <i>
      <x v="448"/>
      <x v="577"/>
    </i>
    <i>
      <x v="449"/>
      <x v="578"/>
    </i>
    <i>
      <x v="450"/>
      <x v="579"/>
    </i>
    <i>
      <x v="451"/>
      <x v="169"/>
    </i>
    <i>
      <x v="452"/>
      <x v="580"/>
    </i>
    <i>
      <x v="453"/>
      <x v="581"/>
    </i>
    <i>
      <x v="454"/>
      <x v="582"/>
    </i>
    <i>
      <x v="455"/>
      <x v="173"/>
    </i>
    <i>
      <x v="456"/>
      <x v="583"/>
    </i>
    <i>
      <x v="457"/>
      <x v="584"/>
    </i>
    <i>
      <x v="458"/>
      <x v="585"/>
    </i>
    <i>
      <x v="459"/>
      <x v="586"/>
    </i>
    <i>
      <x v="460"/>
      <x v="587"/>
    </i>
    <i>
      <x v="461"/>
      <x v="588"/>
    </i>
    <i>
      <x v="462"/>
      <x v="589"/>
    </i>
    <i>
      <x v="463"/>
      <x v="590"/>
    </i>
    <i>
      <x v="464"/>
      <x v="508"/>
    </i>
    <i>
      <x v="465"/>
      <x v="591"/>
    </i>
    <i>
      <x v="466"/>
      <x v="592"/>
    </i>
    <i>
      <x v="467"/>
      <x v="593"/>
    </i>
    <i>
      <x v="468"/>
      <x v="594"/>
    </i>
    <i>
      <x v="469"/>
      <x v="595"/>
    </i>
    <i>
      <x v="470"/>
      <x v="596"/>
    </i>
    <i>
      <x v="471"/>
      <x v="597"/>
    </i>
    <i>
      <x v="472"/>
      <x v="598"/>
    </i>
    <i>
      <x v="473"/>
      <x v="599"/>
    </i>
    <i>
      <x v="474"/>
      <x v="292"/>
    </i>
    <i>
      <x v="475"/>
      <x v="600"/>
    </i>
    <i>
      <x v="476"/>
      <x v="601"/>
    </i>
    <i>
      <x v="477"/>
      <x v="124"/>
    </i>
    <i>
      <x v="478"/>
      <x v="602"/>
    </i>
    <i>
      <x v="479"/>
      <x v="603"/>
    </i>
    <i>
      <x v="480"/>
      <x v="604"/>
    </i>
    <i>
      <x v="481"/>
      <x v="605"/>
    </i>
    <i>
      <x v="482"/>
      <x v="606"/>
    </i>
    <i>
      <x v="483"/>
      <x v="607"/>
    </i>
    <i>
      <x v="484"/>
      <x v="608"/>
    </i>
    <i>
      <x v="485"/>
      <x v="609"/>
    </i>
    <i>
      <x v="486"/>
      <x v="610"/>
    </i>
    <i>
      <x v="487"/>
      <x v="611"/>
    </i>
    <i>
      <x v="488"/>
      <x v="612"/>
    </i>
    <i>
      <x v="489"/>
      <x v="613"/>
    </i>
    <i>
      <x v="490"/>
      <x v="614"/>
    </i>
    <i>
      <x v="491"/>
      <x v="615"/>
    </i>
    <i>
      <x v="492"/>
      <x v="616"/>
    </i>
    <i>
      <x v="493"/>
      <x v="617"/>
    </i>
    <i>
      <x v="494"/>
      <x v="618"/>
    </i>
    <i>
      <x v="495"/>
      <x v="619"/>
    </i>
    <i>
      <x v="496"/>
      <x v="620"/>
    </i>
    <i>
      <x v="497"/>
      <x v="621"/>
    </i>
    <i>
      <x v="498"/>
      <x v="622"/>
    </i>
    <i>
      <x v="499"/>
      <x v="623"/>
    </i>
    <i>
      <x v="500"/>
      <x v="624"/>
    </i>
    <i>
      <x v="501"/>
      <x v="625"/>
    </i>
    <i>
      <x v="502"/>
      <x v="626"/>
    </i>
    <i>
      <x v="503"/>
      <x v="627"/>
    </i>
    <i>
      <x v="504"/>
      <x v="628"/>
    </i>
    <i>
      <x v="505"/>
      <x v="629"/>
    </i>
    <i>
      <x v="506"/>
      <x v="630"/>
    </i>
    <i>
      <x v="507"/>
      <x v="631"/>
    </i>
    <i>
      <x v="508"/>
      <x v="632"/>
    </i>
    <i>
      <x v="509"/>
      <x v="633"/>
    </i>
    <i>
      <x v="510"/>
      <x v="408"/>
    </i>
    <i>
      <x v="511"/>
      <x v="634"/>
    </i>
    <i>
      <x v="512"/>
      <x v="635"/>
    </i>
    <i>
      <x v="513"/>
      <x v="636"/>
    </i>
    <i>
      <x v="514"/>
      <x v="637"/>
    </i>
    <i>
      <x v="515"/>
      <x v="638"/>
    </i>
    <i>
      <x v="516"/>
      <x v="339"/>
    </i>
    <i>
      <x v="517"/>
      <x v="639"/>
    </i>
    <i>
      <x v="518"/>
      <x v="640"/>
    </i>
    <i>
      <x v="519"/>
      <x v="641"/>
    </i>
    <i>
      <x v="520"/>
      <x v="642"/>
    </i>
    <i>
      <x v="521"/>
      <x v="643"/>
    </i>
    <i>
      <x v="522"/>
      <x v="498"/>
    </i>
    <i>
      <x v="523"/>
      <x v="132"/>
    </i>
    <i>
      <x v="524"/>
      <x v="644"/>
    </i>
    <i>
      <x v="525"/>
      <x v="645"/>
    </i>
    <i>
      <x v="526"/>
      <x v="646"/>
    </i>
    <i>
      <x v="527"/>
      <x v="647"/>
    </i>
    <i>
      <x v="528"/>
      <x v="648"/>
    </i>
    <i>
      <x v="529"/>
      <x v="649"/>
    </i>
    <i>
      <x v="530"/>
      <x v="650"/>
    </i>
    <i>
      <x v="531"/>
      <x v="631"/>
    </i>
    <i>
      <x v="532"/>
      <x v="651"/>
    </i>
    <i>
      <x v="533"/>
      <x v="652"/>
    </i>
    <i>
      <x v="534"/>
      <x v="653"/>
    </i>
    <i>
      <x v="535"/>
      <x v="654"/>
    </i>
    <i>
      <x v="536"/>
      <x v="655"/>
    </i>
    <i>
      <x v="537"/>
      <x v="656"/>
    </i>
    <i>
      <x v="538"/>
      <x v="657"/>
    </i>
    <i>
      <x v="539"/>
      <x v="658"/>
    </i>
    <i>
      <x v="540"/>
      <x v="659"/>
    </i>
    <i>
      <x v="541"/>
      <x v="660"/>
    </i>
    <i>
      <x v="542"/>
      <x v="661"/>
    </i>
    <i>
      <x v="543"/>
      <x v="577"/>
    </i>
    <i>
      <x v="544"/>
      <x v="662"/>
    </i>
    <i>
      <x v="545"/>
      <x v="663"/>
    </i>
    <i>
      <x v="546"/>
      <x v="664"/>
    </i>
    <i>
      <x v="547"/>
      <x v="665"/>
    </i>
    <i>
      <x v="548"/>
      <x v="666"/>
    </i>
    <i>
      <x v="549"/>
      <x v="667"/>
    </i>
    <i>
      <x v="550"/>
      <x v="668"/>
    </i>
    <i>
      <x v="551"/>
      <x v="649"/>
    </i>
    <i>
      <x v="552"/>
      <x v="461"/>
    </i>
    <i>
      <x v="553"/>
      <x v="669"/>
    </i>
    <i>
      <x v="554"/>
      <x v="670"/>
    </i>
    <i>
      <x v="555"/>
      <x v="671"/>
    </i>
    <i>
      <x v="556"/>
      <x v="672"/>
    </i>
    <i>
      <x v="557"/>
      <x v="673"/>
    </i>
    <i>
      <x v="558"/>
      <x v="674"/>
    </i>
    <i>
      <x v="559"/>
      <x v="397"/>
    </i>
    <i>
      <x v="560"/>
      <x v="675"/>
    </i>
    <i>
      <x v="561"/>
      <x v="676"/>
    </i>
    <i>
      <x v="562"/>
      <x v="677"/>
    </i>
    <i>
      <x v="563"/>
      <x v="678"/>
    </i>
    <i>
      <x v="564"/>
      <x v="679"/>
    </i>
    <i>
      <x v="565"/>
      <x v="680"/>
    </i>
    <i>
      <x v="566"/>
      <x v="681"/>
    </i>
    <i>
      <x v="567"/>
      <x v="682"/>
    </i>
    <i>
      <x v="568"/>
      <x v="683"/>
    </i>
    <i>
      <x v="569"/>
      <x v="684"/>
    </i>
    <i>
      <x v="570"/>
      <x v="345"/>
    </i>
    <i>
      <x v="571"/>
      <x v="685"/>
    </i>
    <i>
      <x v="572"/>
      <x v="686"/>
    </i>
    <i>
      <x v="573"/>
      <x v="687"/>
    </i>
    <i>
      <x v="574"/>
      <x v="688"/>
    </i>
    <i>
      <x v="575"/>
      <x v="689"/>
    </i>
    <i>
      <x v="576"/>
      <x v="690"/>
    </i>
    <i>
      <x v="577"/>
      <x v="691"/>
    </i>
    <i>
      <x v="578"/>
      <x v="692"/>
    </i>
    <i>
      <x v="579"/>
      <x v="693"/>
    </i>
    <i>
      <x v="580"/>
      <x v="694"/>
    </i>
    <i>
      <x v="581"/>
      <x v="695"/>
    </i>
    <i>
      <x v="582"/>
      <x v="696"/>
    </i>
    <i>
      <x v="583"/>
      <x v="697"/>
    </i>
    <i>
      <x v="584"/>
      <x v="549"/>
    </i>
    <i>
      <x v="585"/>
      <x v="500"/>
    </i>
    <i>
      <x v="586"/>
      <x v="685"/>
    </i>
    <i>
      <x v="587"/>
      <x v="548"/>
    </i>
    <i>
      <x v="588"/>
      <x v="226"/>
    </i>
    <i>
      <x v="589"/>
      <x v="698"/>
    </i>
    <i>
      <x v="590"/>
      <x v="699"/>
    </i>
    <i>
      <x v="591"/>
      <x v="700"/>
    </i>
    <i>
      <x v="592"/>
      <x v="701"/>
    </i>
    <i>
      <x v="593"/>
      <x v="215"/>
    </i>
    <i>
      <x v="594"/>
      <x v="702"/>
    </i>
    <i>
      <x v="595"/>
      <x v="703"/>
    </i>
    <i>
      <x v="596"/>
      <x v="704"/>
    </i>
    <i>
      <x v="597"/>
      <x v="705"/>
    </i>
    <i>
      <x v="598"/>
      <x v="706"/>
    </i>
    <i>
      <x v="599"/>
      <x v="707"/>
    </i>
    <i>
      <x v="600"/>
      <x v="75"/>
    </i>
    <i>
      <x v="601"/>
      <x v="708"/>
    </i>
    <i>
      <x v="602"/>
      <x v="709"/>
    </i>
    <i>
      <x v="603"/>
      <x v="411"/>
    </i>
    <i>
      <x v="604"/>
      <x v="710"/>
    </i>
    <i>
      <x v="605"/>
      <x v="48"/>
    </i>
    <i>
      <x v="606"/>
      <x v="711"/>
    </i>
    <i>
      <x v="607"/>
      <x v="712"/>
    </i>
    <i>
      <x v="608"/>
      <x v="345"/>
    </i>
    <i>
      <x v="609"/>
      <x v="713"/>
    </i>
    <i>
      <x v="610"/>
      <x v="714"/>
    </i>
    <i>
      <x v="611"/>
      <x v="715"/>
    </i>
    <i>
      <x v="612"/>
      <x v="691"/>
    </i>
    <i>
      <x v="613"/>
      <x v="716"/>
    </i>
    <i>
      <x v="614"/>
      <x v="717"/>
    </i>
    <i>
      <x v="615"/>
      <x v="718"/>
    </i>
    <i>
      <x v="616"/>
      <x v="719"/>
    </i>
    <i>
      <x v="617"/>
      <x v="720"/>
    </i>
    <i>
      <x v="618"/>
      <x v="721"/>
    </i>
    <i>
      <x v="619"/>
      <x v="722"/>
    </i>
    <i>
      <x v="620"/>
      <x v="723"/>
    </i>
    <i>
      <x v="621"/>
      <x v="8"/>
    </i>
    <i>
      <x v="622"/>
      <x v="724"/>
    </i>
    <i>
      <x v="623"/>
      <x v="725"/>
    </i>
    <i>
      <x v="624"/>
      <x v="726"/>
    </i>
    <i>
      <x v="625"/>
      <x v="727"/>
    </i>
    <i>
      <x v="626"/>
      <x v="728"/>
    </i>
    <i>
      <x v="627"/>
      <x v="729"/>
    </i>
    <i>
      <x v="628"/>
      <x v="730"/>
    </i>
    <i>
      <x v="629"/>
      <x v="731"/>
    </i>
    <i>
      <x v="630"/>
      <x v="732"/>
    </i>
    <i>
      <x v="631"/>
      <x v="733"/>
    </i>
    <i>
      <x v="632"/>
      <x v="734"/>
    </i>
    <i>
      <x v="633"/>
      <x v="735"/>
    </i>
    <i>
      <x v="634"/>
      <x v="736"/>
    </i>
    <i>
      <x v="635"/>
      <x v="202"/>
    </i>
    <i>
      <x v="636"/>
      <x v="737"/>
    </i>
    <i>
      <x v="637"/>
      <x v="738"/>
    </i>
    <i>
      <x v="638"/>
      <x v="739"/>
    </i>
    <i>
      <x v="639"/>
      <x v="740"/>
    </i>
    <i>
      <x v="640"/>
      <x v="741"/>
    </i>
    <i>
      <x v="641"/>
      <x v="742"/>
    </i>
    <i>
      <x v="642"/>
      <x v="437"/>
    </i>
    <i>
      <x v="643"/>
      <x v="743"/>
    </i>
    <i>
      <x v="644"/>
      <x v="744"/>
    </i>
    <i>
      <x v="645"/>
      <x v="745"/>
    </i>
    <i>
      <x v="646"/>
      <x v="689"/>
    </i>
    <i>
      <x v="647"/>
      <x v="746"/>
    </i>
    <i>
      <x v="648"/>
      <x v="747"/>
    </i>
    <i>
      <x v="649"/>
      <x v="748"/>
    </i>
    <i>
      <x v="650"/>
      <x v="749"/>
    </i>
    <i>
      <x v="651"/>
      <x v="750"/>
    </i>
    <i>
      <x v="652"/>
      <x v="297"/>
    </i>
    <i>
      <x v="653"/>
      <x v="135"/>
    </i>
    <i>
      <x v="654"/>
      <x v="751"/>
    </i>
    <i>
      <x v="655"/>
      <x v="752"/>
    </i>
    <i>
      <x v="656"/>
      <x v="738"/>
    </i>
    <i>
      <x v="657"/>
      <x v="753"/>
    </i>
    <i>
      <x v="658"/>
      <x v="649"/>
    </i>
    <i>
      <x v="659"/>
      <x v="754"/>
    </i>
    <i>
      <x v="660"/>
      <x v="755"/>
    </i>
    <i>
      <x v="661"/>
      <x v="756"/>
    </i>
    <i>
      <x v="662"/>
      <x v="757"/>
    </i>
    <i>
      <x v="663"/>
      <x v="758"/>
    </i>
    <i>
      <x v="664"/>
      <x v="759"/>
    </i>
    <i>
      <x v="665"/>
      <x v="760"/>
    </i>
    <i>
      <x v="666"/>
      <x v="761"/>
    </i>
    <i>
      <x v="667"/>
      <x v="762"/>
    </i>
    <i>
      <x v="668"/>
      <x v="763"/>
    </i>
    <i>
      <x v="669"/>
      <x v="512"/>
    </i>
    <i>
      <x v="670"/>
      <x v="764"/>
    </i>
    <i>
      <x v="671"/>
      <x v="765"/>
    </i>
    <i>
      <x v="672"/>
      <x v="124"/>
    </i>
    <i>
      <x v="673"/>
      <x v="766"/>
    </i>
    <i>
      <x v="674"/>
      <x v="767"/>
    </i>
    <i>
      <x v="675"/>
      <x v="768"/>
    </i>
    <i>
      <x v="676"/>
      <x v="769"/>
    </i>
    <i>
      <x v="677"/>
      <x v="770"/>
    </i>
    <i>
      <x v="678"/>
      <x v="771"/>
    </i>
    <i>
      <x v="679"/>
      <x v="225"/>
    </i>
    <i>
      <x v="680"/>
      <x v="772"/>
    </i>
    <i>
      <x v="681"/>
      <x v="634"/>
    </i>
    <i>
      <x v="682"/>
      <x v="773"/>
    </i>
    <i>
      <x v="683"/>
      <x v="774"/>
    </i>
    <i>
      <x v="684"/>
      <x v="775"/>
    </i>
    <i>
      <x v="685"/>
      <x v="776"/>
    </i>
    <i>
      <x v="686"/>
      <x v="777"/>
    </i>
    <i>
      <x v="687"/>
      <x v="778"/>
    </i>
    <i>
      <x v="688"/>
      <x v="779"/>
    </i>
    <i>
      <x v="689"/>
      <x v="14"/>
    </i>
    <i>
      <x v="690"/>
      <x v="780"/>
    </i>
    <i>
      <x v="691"/>
      <x v="781"/>
    </i>
    <i>
      <x v="692"/>
      <x v="782"/>
    </i>
    <i>
      <x v="693"/>
      <x v="783"/>
    </i>
    <i>
      <x v="694"/>
      <x v="784"/>
    </i>
    <i>
      <x v="695"/>
      <x v="785"/>
    </i>
    <i>
      <x v="696"/>
      <x v="786"/>
    </i>
    <i>
      <x v="697"/>
      <x v="787"/>
    </i>
    <i>
      <x v="698"/>
      <x v="788"/>
    </i>
    <i>
      <x v="699"/>
      <x v="48"/>
    </i>
    <i>
      <x v="700"/>
      <x v="225"/>
    </i>
    <i>
      <x v="701"/>
      <x v="789"/>
    </i>
    <i>
      <x v="702"/>
      <x v="790"/>
    </i>
    <i>
      <x v="703"/>
      <x v="791"/>
    </i>
    <i>
      <x v="704"/>
      <x v="792"/>
    </i>
    <i>
      <x v="705"/>
      <x v="793"/>
    </i>
    <i>
      <x v="706"/>
      <x v="794"/>
    </i>
    <i>
      <x v="707"/>
      <x v="795"/>
    </i>
    <i>
      <x v="708"/>
      <x v="796"/>
    </i>
    <i>
      <x v="709"/>
      <x v="797"/>
    </i>
    <i>
      <x v="710"/>
      <x v="216"/>
    </i>
    <i>
      <x v="711"/>
      <x v="798"/>
    </i>
    <i>
      <x v="712"/>
      <x v="799"/>
    </i>
    <i>
      <x v="713"/>
      <x v="800"/>
    </i>
    <i>
      <x v="714"/>
      <x v="432"/>
    </i>
    <i>
      <x v="715"/>
      <x v="801"/>
    </i>
    <i>
      <x v="716"/>
      <x v="802"/>
    </i>
    <i>
      <x v="717"/>
      <x v="803"/>
    </i>
    <i>
      <x v="718"/>
      <x v="804"/>
    </i>
    <i>
      <x v="719"/>
      <x v="805"/>
    </i>
    <i>
      <x v="720"/>
      <x v="806"/>
    </i>
    <i>
      <x v="721"/>
      <x v="807"/>
    </i>
    <i>
      <x v="722"/>
      <x v="727"/>
    </i>
    <i>
      <x v="723"/>
      <x v="808"/>
    </i>
    <i>
      <x v="724"/>
      <x v="809"/>
    </i>
    <i>
      <x v="725"/>
      <x v="810"/>
    </i>
    <i>
      <x v="726"/>
      <x v="811"/>
    </i>
    <i>
      <x v="727"/>
      <x v="812"/>
    </i>
    <i>
      <x v="728"/>
      <x v="813"/>
    </i>
    <i>
      <x v="729"/>
      <x v="814"/>
    </i>
    <i>
      <x v="730"/>
      <x v="815"/>
    </i>
    <i>
      <x v="731"/>
      <x v="726"/>
    </i>
    <i>
      <x v="732"/>
      <x v="816"/>
    </i>
    <i>
      <x v="733"/>
      <x v="817"/>
    </i>
    <i>
      <x v="734"/>
      <x v="818"/>
    </i>
    <i>
      <x v="735"/>
      <x v="819"/>
    </i>
    <i>
      <x v="736"/>
      <x v="820"/>
    </i>
    <i>
      <x v="737"/>
      <x v="821"/>
    </i>
    <i>
      <x v="738"/>
      <x v="822"/>
    </i>
    <i>
      <x v="739"/>
      <x v="156"/>
    </i>
    <i>
      <x v="740"/>
      <x v="823"/>
    </i>
    <i>
      <x v="741"/>
      <x v="824"/>
    </i>
    <i>
      <x v="742"/>
      <x v="825"/>
    </i>
    <i>
      <x v="743"/>
      <x v="826"/>
    </i>
    <i>
      <x v="744"/>
      <x v="827"/>
    </i>
    <i>
      <x v="745"/>
      <x v="828"/>
    </i>
    <i>
      <x v="746"/>
      <x v="829"/>
    </i>
    <i>
      <x v="747"/>
      <x v="204"/>
    </i>
    <i>
      <x v="748"/>
      <x v="40"/>
    </i>
    <i>
      <x v="749"/>
      <x v="830"/>
    </i>
    <i>
      <x v="750"/>
      <x v="288"/>
    </i>
    <i>
      <x v="751"/>
      <x v="616"/>
    </i>
    <i>
      <x v="752"/>
      <x v="210"/>
    </i>
    <i>
      <x v="753"/>
      <x v="831"/>
    </i>
    <i>
      <x v="754"/>
      <x v="832"/>
    </i>
    <i>
      <x v="755"/>
      <x v="833"/>
    </i>
    <i>
      <x v="756"/>
      <x v="834"/>
    </i>
    <i>
      <x v="757"/>
      <x v="835"/>
    </i>
    <i>
      <x v="758"/>
      <x v="836"/>
    </i>
    <i>
      <x v="759"/>
      <x v="837"/>
    </i>
    <i>
      <x v="760"/>
      <x v="838"/>
    </i>
    <i>
      <x v="761"/>
      <x v="839"/>
    </i>
    <i>
      <x v="762"/>
      <x v="840"/>
    </i>
    <i>
      <x v="763"/>
      <x v="841"/>
    </i>
    <i>
      <x v="764"/>
      <x v="842"/>
    </i>
    <i>
      <x v="765"/>
      <x v="843"/>
    </i>
    <i>
      <x v="766"/>
      <x v="844"/>
    </i>
    <i>
      <x v="767"/>
      <x v="281"/>
    </i>
    <i>
      <x v="768"/>
      <x v="845"/>
    </i>
    <i>
      <x v="769"/>
      <x v="846"/>
    </i>
    <i>
      <x v="770"/>
      <x v="847"/>
    </i>
    <i>
      <x v="771"/>
      <x v="848"/>
    </i>
    <i>
      <x v="772"/>
      <x v="849"/>
    </i>
    <i>
      <x v="773"/>
      <x v="276"/>
    </i>
    <i>
      <x v="774"/>
      <x v="850"/>
    </i>
    <i>
      <x v="775"/>
      <x v="851"/>
    </i>
    <i>
      <x v="776"/>
      <x v="286"/>
    </i>
    <i>
      <x v="777"/>
      <x v="852"/>
    </i>
    <i>
      <x v="778"/>
      <x v="853"/>
    </i>
    <i>
      <x v="779"/>
      <x v="854"/>
    </i>
    <i>
      <x v="780"/>
      <x v="279"/>
    </i>
    <i>
      <x v="781"/>
      <x v="855"/>
    </i>
    <i>
      <x v="782"/>
      <x v="278"/>
    </i>
    <i>
      <x v="783"/>
      <x v="856"/>
    </i>
    <i>
      <x v="784"/>
      <x v="857"/>
    </i>
    <i>
      <x v="785"/>
      <x v="133"/>
    </i>
    <i>
      <x v="786"/>
      <x v="858"/>
    </i>
    <i>
      <x v="787"/>
      <x v="859"/>
    </i>
    <i>
      <x v="788"/>
      <x v="287"/>
    </i>
    <i>
      <x v="789"/>
      <x v="860"/>
    </i>
    <i>
      <x v="790"/>
      <x v="861"/>
    </i>
    <i>
      <x v="791"/>
      <x v="362"/>
    </i>
    <i>
      <x v="792"/>
      <x v="862"/>
    </i>
    <i>
      <x v="793"/>
      <x v="863"/>
    </i>
    <i>
      <x v="794"/>
      <x v="864"/>
    </i>
    <i>
      <x v="795"/>
      <x v="865"/>
    </i>
    <i>
      <x v="796"/>
      <x v="866"/>
    </i>
    <i>
      <x v="797"/>
      <x v="867"/>
    </i>
    <i>
      <x v="798"/>
      <x v="868"/>
    </i>
    <i>
      <x v="799"/>
      <x v="869"/>
    </i>
    <i>
      <x v="800"/>
      <x v="870"/>
    </i>
    <i>
      <x v="801"/>
      <x v="105"/>
    </i>
    <i>
      <x v="802"/>
      <x v="871"/>
    </i>
    <i>
      <x v="803"/>
      <x v="872"/>
    </i>
    <i>
      <x v="804"/>
      <x v="873"/>
    </i>
    <i>
      <x v="805"/>
      <x v="874"/>
    </i>
    <i>
      <x v="806"/>
      <x v="875"/>
    </i>
    <i>
      <x v="807"/>
      <x v="876"/>
    </i>
    <i>
      <x v="808"/>
      <x v="499"/>
    </i>
    <i>
      <x v="809"/>
      <x v="877"/>
    </i>
    <i>
      <x v="810"/>
      <x v="878"/>
    </i>
    <i>
      <x v="811"/>
      <x v="879"/>
    </i>
    <i>
      <x v="812"/>
      <x v="289"/>
    </i>
    <i>
      <x v="813"/>
      <x v="880"/>
    </i>
    <i>
      <x v="814"/>
      <x v="20"/>
    </i>
    <i>
      <x v="815"/>
      <x v="764"/>
    </i>
    <i>
      <x v="816"/>
      <x v="15"/>
    </i>
    <i>
      <x v="817"/>
      <x v="881"/>
    </i>
    <i>
      <x v="818"/>
      <x v="88"/>
    </i>
    <i>
      <x v="819"/>
      <x v="95"/>
    </i>
    <i>
      <x v="820"/>
      <x v="882"/>
    </i>
    <i>
      <x v="821"/>
      <x v="883"/>
    </i>
    <i>
      <x v="822"/>
      <x v="727"/>
    </i>
    <i>
      <x v="823"/>
      <x v="884"/>
    </i>
    <i>
      <x v="824"/>
      <x v="885"/>
    </i>
    <i>
      <x v="825"/>
      <x v="886"/>
    </i>
    <i>
      <x v="826"/>
      <x v="887"/>
    </i>
    <i>
      <x v="827"/>
      <x v="739"/>
    </i>
    <i>
      <x v="828"/>
      <x v="888"/>
    </i>
    <i>
      <x v="829"/>
      <x v="889"/>
    </i>
    <i>
      <x v="830"/>
      <x v="890"/>
    </i>
    <i>
      <x v="831"/>
      <x v="891"/>
    </i>
    <i>
      <x v="832"/>
      <x v="892"/>
    </i>
    <i>
      <x v="833"/>
      <x v="893"/>
    </i>
    <i>
      <x v="834"/>
      <x v="894"/>
    </i>
    <i>
      <x v="835"/>
      <x v="895"/>
    </i>
    <i>
      <x v="836"/>
      <x v="896"/>
    </i>
    <i>
      <x v="837"/>
      <x v="897"/>
    </i>
    <i>
      <x v="838"/>
      <x v="898"/>
    </i>
    <i>
      <x v="839"/>
      <x v="899"/>
    </i>
    <i>
      <x v="840"/>
      <x v="900"/>
    </i>
    <i>
      <x v="841"/>
      <x v="809"/>
    </i>
    <i>
      <x v="842"/>
      <x v="499"/>
    </i>
    <i>
      <x v="843"/>
      <x v="255"/>
    </i>
    <i>
      <x v="844"/>
      <x v="901"/>
    </i>
    <i>
      <x v="845"/>
      <x v="635"/>
    </i>
    <i>
      <x v="846"/>
      <x v="370"/>
    </i>
    <i>
      <x v="847"/>
      <x v="902"/>
    </i>
    <i>
      <x v="848"/>
      <x v="903"/>
    </i>
    <i>
      <x v="849"/>
      <x v="904"/>
    </i>
    <i>
      <x v="850"/>
      <x v="905"/>
    </i>
    <i>
      <x v="851"/>
      <x v="404"/>
    </i>
    <i>
      <x v="852"/>
      <x v="809"/>
    </i>
    <i>
      <x v="853"/>
      <x v="906"/>
    </i>
    <i>
      <x v="854"/>
      <x v="907"/>
    </i>
    <i>
      <x v="855"/>
      <x v="908"/>
    </i>
    <i>
      <x v="856"/>
      <x v="909"/>
    </i>
    <i>
      <x v="857"/>
      <x v="910"/>
    </i>
    <i>
      <x v="858"/>
      <x v="47"/>
    </i>
    <i>
      <x v="859"/>
      <x v="345"/>
    </i>
    <i>
      <x v="860"/>
      <x v="157"/>
    </i>
    <i>
      <x v="861"/>
      <x v="911"/>
    </i>
    <i>
      <x v="862"/>
      <x v="912"/>
    </i>
    <i>
      <x v="863"/>
      <x v="158"/>
    </i>
    <i>
      <x v="864"/>
      <x v="913"/>
    </i>
    <i>
      <x v="865"/>
      <x v="914"/>
    </i>
    <i>
      <x v="866"/>
      <x v="915"/>
    </i>
    <i>
      <x v="867"/>
      <x v="916"/>
    </i>
    <i>
      <x v="868"/>
      <x v="823"/>
    </i>
    <i>
      <x v="869"/>
      <x v="917"/>
    </i>
    <i>
      <x v="870"/>
      <x v="918"/>
    </i>
    <i>
      <x v="871"/>
      <x v="919"/>
    </i>
    <i>
      <x v="872"/>
      <x v="920"/>
    </i>
    <i>
      <x v="873"/>
      <x v="921"/>
    </i>
    <i>
      <x v="874"/>
      <x v="922"/>
    </i>
    <i>
      <x v="875"/>
      <x v="923"/>
    </i>
    <i>
      <x v="876"/>
      <x v="924"/>
    </i>
    <i>
      <x v="877"/>
      <x v="925"/>
    </i>
    <i>
      <x v="878"/>
      <x v="926"/>
    </i>
    <i>
      <x v="879"/>
      <x v="927"/>
    </i>
    <i>
      <x v="880"/>
      <x v="928"/>
    </i>
    <i>
      <x v="881"/>
      <x v="929"/>
    </i>
    <i>
      <x v="882"/>
      <x v="930"/>
    </i>
    <i>
      <x v="883"/>
      <x v="931"/>
    </i>
    <i>
      <x v="884"/>
      <x v="932"/>
    </i>
    <i>
      <x v="885"/>
      <x v="933"/>
    </i>
    <i>
      <x v="886"/>
      <x v="934"/>
    </i>
    <i>
      <x v="887"/>
      <x v="935"/>
    </i>
    <i>
      <x v="888"/>
      <x v="936"/>
    </i>
    <i>
      <x v="889"/>
      <x v="937"/>
    </i>
    <i>
      <x v="890"/>
      <x v="938"/>
    </i>
    <i>
      <x v="891"/>
      <x v="634"/>
    </i>
    <i>
      <x v="892"/>
      <x v="939"/>
    </i>
    <i>
      <x v="893"/>
      <x v="940"/>
    </i>
    <i>
      <x v="894"/>
      <x v="941"/>
    </i>
    <i>
      <x v="895"/>
      <x v="942"/>
    </i>
    <i>
      <x v="896"/>
      <x v="943"/>
    </i>
    <i>
      <x v="897"/>
      <x v="944"/>
    </i>
    <i>
      <x v="898"/>
      <x v="945"/>
    </i>
    <i>
      <x v="899"/>
      <x v="132"/>
    </i>
    <i>
      <x v="900"/>
      <x v="813"/>
    </i>
    <i>
      <x v="901"/>
      <x v="128"/>
    </i>
    <i>
      <x v="902"/>
      <x v="946"/>
    </i>
    <i>
      <x v="903"/>
      <x v="947"/>
    </i>
    <i>
      <x v="904"/>
      <x v="605"/>
    </i>
    <i>
      <x v="905"/>
      <x v="82"/>
    </i>
    <i>
      <x v="906"/>
      <x v="116"/>
    </i>
    <i>
      <x v="907"/>
      <x v="101"/>
    </i>
    <i>
      <x v="908"/>
      <x v="948"/>
    </i>
    <i>
      <x v="909"/>
      <x v="949"/>
    </i>
    <i>
      <x v="910"/>
      <x v="950"/>
    </i>
    <i>
      <x v="911"/>
      <x v="951"/>
    </i>
    <i>
      <x v="912"/>
      <x v="952"/>
    </i>
    <i>
      <x v="913"/>
      <x v="953"/>
    </i>
    <i>
      <x v="914"/>
      <x v="954"/>
    </i>
    <i>
      <x v="915"/>
      <x v="955"/>
    </i>
    <i>
      <x v="916"/>
      <x v="105"/>
    </i>
    <i>
      <x v="917"/>
      <x v="711"/>
    </i>
    <i>
      <x v="918"/>
      <x v="956"/>
    </i>
    <i>
      <x v="919"/>
      <x v="957"/>
    </i>
    <i>
      <x v="920"/>
      <x v="321"/>
    </i>
    <i>
      <x v="921"/>
      <x v="958"/>
    </i>
    <i>
      <x v="922"/>
      <x v="959"/>
    </i>
    <i>
      <x v="923"/>
      <x v="960"/>
    </i>
    <i>
      <x v="924"/>
      <x v="961"/>
    </i>
    <i>
      <x v="925"/>
      <x v="195"/>
    </i>
    <i>
      <x v="926"/>
      <x v="654"/>
    </i>
    <i>
      <x v="927"/>
      <x v="962"/>
    </i>
    <i>
      <x v="928"/>
      <x v="963"/>
    </i>
    <i>
      <x v="929"/>
      <x v="964"/>
    </i>
    <i>
      <x v="930"/>
      <x v="965"/>
    </i>
    <i>
      <x v="931"/>
      <x v="966"/>
    </i>
    <i>
      <x v="932"/>
      <x v="967"/>
    </i>
    <i>
      <x v="933"/>
      <x v="968"/>
    </i>
    <i>
      <x v="934"/>
      <x v="968"/>
    </i>
    <i>
      <x v="935"/>
      <x v="932"/>
    </i>
    <i>
      <x v="936"/>
      <x v="969"/>
    </i>
    <i>
      <x v="937"/>
      <x v="970"/>
    </i>
    <i>
      <x v="938"/>
      <x v="971"/>
    </i>
    <i>
      <x v="939"/>
      <x v="972"/>
    </i>
    <i>
      <x v="940"/>
      <x v="973"/>
    </i>
    <i>
      <x v="941"/>
      <x v="974"/>
    </i>
    <i>
      <x v="942"/>
      <x v="975"/>
    </i>
    <i>
      <x v="943"/>
      <x v="976"/>
    </i>
    <i>
      <x v="944"/>
      <x v="977"/>
    </i>
    <i>
      <x v="945"/>
      <x v="66"/>
    </i>
    <i>
      <x v="946"/>
      <x v="349"/>
    </i>
    <i>
      <x v="947"/>
      <x v="511"/>
    </i>
    <i>
      <x v="948"/>
      <x v="978"/>
    </i>
    <i>
      <x v="949"/>
      <x v="979"/>
    </i>
    <i>
      <x v="950"/>
      <x v="980"/>
    </i>
    <i>
      <x v="951"/>
      <x v="981"/>
    </i>
    <i>
      <x v="952"/>
      <x v="360"/>
    </i>
    <i>
      <x v="953"/>
      <x v="831"/>
    </i>
    <i>
      <x v="954"/>
      <x v="982"/>
    </i>
    <i>
      <x v="955"/>
      <x v="983"/>
    </i>
    <i>
      <x v="956"/>
      <x v="984"/>
    </i>
    <i>
      <x v="957"/>
      <x v="627"/>
    </i>
    <i>
      <x v="958"/>
      <x v="985"/>
    </i>
    <i>
      <x v="959"/>
      <x v="986"/>
    </i>
    <i>
      <x v="960"/>
      <x v="987"/>
    </i>
    <i>
      <x v="961"/>
      <x v="161"/>
    </i>
    <i>
      <x v="962"/>
      <x v="105"/>
    </i>
    <i>
      <x v="963"/>
      <x v="988"/>
    </i>
    <i>
      <x v="964"/>
      <x v="51"/>
    </i>
    <i>
      <x v="965"/>
      <x v="501"/>
    </i>
    <i>
      <x v="966"/>
      <x v="989"/>
    </i>
    <i>
      <x v="967"/>
      <x v="320"/>
    </i>
    <i>
      <x v="968"/>
      <x v="990"/>
    </i>
    <i>
      <x v="969"/>
      <x v="104"/>
    </i>
    <i>
      <x v="970"/>
      <x v="991"/>
    </i>
    <i>
      <x v="971"/>
      <x v="387"/>
    </i>
    <i>
      <x v="972"/>
      <x v="105"/>
    </i>
    <i>
      <x v="973"/>
      <x v="992"/>
    </i>
    <i>
      <x v="974"/>
      <x v="993"/>
    </i>
    <i>
      <x v="975"/>
      <x v="994"/>
    </i>
    <i>
      <x v="976"/>
      <x v="995"/>
    </i>
    <i>
      <x v="977"/>
      <x v="996"/>
    </i>
    <i>
      <x v="978"/>
      <x v="433"/>
    </i>
    <i>
      <x v="979"/>
      <x v="997"/>
    </i>
    <i>
      <x v="980"/>
      <x v="998"/>
    </i>
    <i>
      <x v="981"/>
      <x v="999"/>
    </i>
    <i>
      <x v="982"/>
      <x v="1000"/>
    </i>
    <i>
      <x v="983"/>
      <x v="727"/>
    </i>
    <i>
      <x v="984"/>
      <x v="986"/>
    </i>
    <i>
      <x v="985"/>
      <x v="1001"/>
    </i>
    <i>
      <x v="986"/>
      <x v="1002"/>
    </i>
    <i>
      <x v="987"/>
      <x v="956"/>
    </i>
    <i>
      <x v="988"/>
      <x v="1003"/>
    </i>
    <i>
      <x v="989"/>
      <x v="1004"/>
    </i>
    <i>
      <x v="990"/>
      <x v="1005"/>
    </i>
    <i>
      <x v="991"/>
      <x v="104"/>
    </i>
    <i>
      <x v="992"/>
      <x v="1006"/>
    </i>
    <i>
      <x v="993"/>
      <x v="1007"/>
    </i>
    <i>
      <x v="994"/>
      <x v="1008"/>
    </i>
    <i>
      <x v="995"/>
      <x v="1009"/>
    </i>
    <i>
      <x v="996"/>
      <x v="1010"/>
    </i>
    <i>
      <x v="997"/>
      <x v="1011"/>
    </i>
    <i>
      <x v="998"/>
      <x v="979"/>
    </i>
    <i>
      <x v="999"/>
      <x v="1012"/>
    </i>
    <i>
      <x v="1000"/>
      <x v="1013"/>
    </i>
    <i>
      <x v="1001"/>
      <x v="1014"/>
    </i>
    <i>
      <x v="1002"/>
      <x v="1015"/>
    </i>
    <i>
      <x v="1003"/>
      <x v="1016"/>
    </i>
    <i>
      <x v="1004"/>
      <x v="1017"/>
    </i>
    <i>
      <x v="1005"/>
      <x v="1018"/>
    </i>
    <i>
      <x v="1006"/>
      <x v="1019"/>
    </i>
    <i>
      <x v="1007"/>
      <x v="1020"/>
    </i>
    <i>
      <x v="1008"/>
      <x v="1021"/>
    </i>
    <i>
      <x v="1009"/>
      <x v="1022"/>
    </i>
    <i>
      <x v="1010"/>
      <x v="1023"/>
    </i>
    <i>
      <x v="1011"/>
      <x v="1024"/>
    </i>
    <i>
      <x v="1012"/>
      <x v="1025"/>
    </i>
    <i>
      <x v="1013"/>
      <x v="1026"/>
    </i>
    <i>
      <x v="1014"/>
      <x v="1027"/>
    </i>
    <i>
      <x v="1015"/>
      <x v="1028"/>
    </i>
    <i>
      <x v="1016"/>
      <x v="1029"/>
    </i>
    <i>
      <x v="1017"/>
      <x v="224"/>
    </i>
    <i>
      <x v="1018"/>
      <x v="1030"/>
    </i>
    <i>
      <x v="1019"/>
      <x v="1031"/>
    </i>
    <i>
      <x v="1020"/>
      <x v="1032"/>
    </i>
    <i>
      <x v="1021"/>
      <x v="1033"/>
    </i>
    <i>
      <x v="1022"/>
      <x v="1034"/>
    </i>
    <i>
      <x v="1023"/>
      <x v="1035"/>
    </i>
    <i>
      <x v="1024"/>
      <x v="174"/>
    </i>
    <i>
      <x v="1025"/>
      <x v="148"/>
    </i>
    <i>
      <x v="1026"/>
      <x v="1036"/>
    </i>
    <i>
      <x v="1027"/>
      <x v="1037"/>
    </i>
    <i>
      <x v="1028"/>
      <x v="1038"/>
    </i>
    <i>
      <x v="1029"/>
      <x v="1039"/>
    </i>
    <i>
      <x v="1030"/>
      <x v="1040"/>
    </i>
    <i>
      <x v="1031"/>
      <x v="1041"/>
    </i>
    <i>
      <x v="1032"/>
      <x v="1042"/>
    </i>
    <i>
      <x v="1033"/>
      <x v="1043"/>
    </i>
    <i>
      <x v="1034"/>
      <x v="1044"/>
    </i>
    <i>
      <x v="1035"/>
      <x v="1045"/>
    </i>
    <i>
      <x v="1036"/>
      <x v="1046"/>
    </i>
    <i>
      <x v="1037"/>
      <x v="1047"/>
    </i>
    <i>
      <x v="1038"/>
      <x v="1048"/>
    </i>
    <i>
      <x v="1039"/>
      <x v="1049"/>
    </i>
    <i>
      <x v="1040"/>
      <x v="1050"/>
    </i>
    <i>
      <x v="1041"/>
      <x v="1051"/>
    </i>
    <i>
      <x v="1042"/>
      <x v="1052"/>
    </i>
    <i>
      <x v="1043"/>
      <x v="1053"/>
    </i>
    <i>
      <x v="1044"/>
      <x v="1054"/>
    </i>
    <i>
      <x v="1045"/>
      <x v="1055"/>
    </i>
    <i>
      <x v="1046"/>
      <x v="1056"/>
    </i>
    <i>
      <x v="1047"/>
      <x v="1057"/>
    </i>
    <i>
      <x v="1048"/>
      <x v="1058"/>
    </i>
    <i>
      <x v="1049"/>
      <x v="1059"/>
    </i>
    <i>
      <x v="1050"/>
      <x v="1060"/>
    </i>
    <i>
      <x v="1051"/>
      <x v="1061"/>
    </i>
    <i>
      <x v="1052"/>
      <x v="1062"/>
    </i>
    <i>
      <x v="1053"/>
      <x v="1063"/>
    </i>
    <i>
      <x v="1054"/>
      <x v="1064"/>
    </i>
    <i>
      <x v="1055"/>
      <x v="1065"/>
    </i>
    <i>
      <x v="1056"/>
      <x v="1066"/>
    </i>
    <i>
      <x v="1057"/>
      <x v="1067"/>
    </i>
    <i>
      <x v="1058"/>
      <x v="1068"/>
    </i>
    <i>
      <x v="1059"/>
      <x v="1069"/>
    </i>
    <i>
      <x v="1060"/>
      <x v="1070"/>
    </i>
    <i>
      <x v="1061"/>
      <x v="1071"/>
    </i>
    <i>
      <x v="1062"/>
      <x v="1072"/>
    </i>
    <i>
      <x v="1063"/>
      <x v="1073"/>
    </i>
    <i>
      <x v="1064"/>
      <x v="1074"/>
    </i>
    <i>
      <x v="1065"/>
      <x v="863"/>
    </i>
    <i>
      <x v="1066"/>
      <x v="1075"/>
    </i>
    <i>
      <x v="1067"/>
      <x v="1076"/>
    </i>
    <i>
      <x v="1068"/>
      <x v="1077"/>
    </i>
    <i>
      <x v="1069"/>
      <x v="687"/>
    </i>
    <i>
      <x v="1070"/>
      <x v="1078"/>
    </i>
    <i>
      <x v="1071"/>
      <x v="1079"/>
    </i>
    <i>
      <x v="1072"/>
      <x v="1080"/>
    </i>
    <i>
      <x v="1073"/>
      <x v="1081"/>
    </i>
    <i>
      <x v="1074"/>
      <x v="1082"/>
    </i>
    <i>
      <x v="1075"/>
      <x v="1083"/>
    </i>
    <i>
      <x v="1076"/>
      <x v="1084"/>
    </i>
    <i>
      <x v="1077"/>
      <x v="1085"/>
    </i>
    <i>
      <x v="1078"/>
      <x v="133"/>
    </i>
    <i>
      <x v="1079"/>
      <x v="116"/>
    </i>
    <i>
      <x v="1080"/>
      <x v="1086"/>
    </i>
    <i>
      <x v="1081"/>
      <x v="1087"/>
    </i>
    <i>
      <x v="1082"/>
      <x v="1088"/>
    </i>
    <i>
      <x v="1083"/>
      <x v="1089"/>
    </i>
    <i>
      <x v="1084"/>
      <x v="1090"/>
    </i>
    <i>
      <x v="1085"/>
      <x v="1091"/>
    </i>
    <i>
      <x v="1086"/>
      <x v="1092"/>
    </i>
    <i>
      <x v="1087"/>
      <x v="1093"/>
    </i>
    <i>
      <x v="1088"/>
      <x v="6"/>
    </i>
    <i>
      <x v="1089"/>
      <x v="1094"/>
    </i>
    <i>
      <x v="1090"/>
      <x v="1095"/>
    </i>
    <i>
      <x v="1091"/>
      <x v="1096"/>
    </i>
    <i>
      <x v="1092"/>
      <x v="1097"/>
    </i>
    <i>
      <x v="1093"/>
      <x v="1098"/>
    </i>
    <i>
      <x v="1094"/>
      <x v="1099"/>
    </i>
    <i>
      <x v="1095"/>
      <x v="1100"/>
    </i>
    <i>
      <x v="1096"/>
      <x v="1101"/>
    </i>
    <i>
      <x v="1097"/>
      <x v="1102"/>
    </i>
    <i>
      <x v="1098"/>
      <x v="1103"/>
    </i>
    <i>
      <x v="1099"/>
      <x v="1104"/>
    </i>
    <i>
      <x v="1100"/>
      <x v="1105"/>
    </i>
    <i>
      <x v="1101"/>
      <x v="1106"/>
    </i>
    <i>
      <x v="1102"/>
      <x v="1107"/>
    </i>
    <i>
      <x v="1103"/>
      <x v="1108"/>
    </i>
    <i>
      <x v="1104"/>
      <x v="209"/>
    </i>
    <i>
      <x v="1105"/>
      <x v="1109"/>
    </i>
    <i>
      <x v="1106"/>
      <x v="1110"/>
    </i>
    <i>
      <x v="1107"/>
      <x v="1111"/>
    </i>
    <i>
      <x v="1108"/>
      <x v="1112"/>
    </i>
    <i>
      <x v="1109"/>
      <x v="1113"/>
    </i>
    <i>
      <x v="1110"/>
      <x v="1114"/>
    </i>
    <i>
      <x v="1111"/>
      <x v="1115"/>
    </i>
    <i>
      <x v="1112"/>
      <x v="1116"/>
    </i>
    <i>
      <x v="1113"/>
      <x v="1117"/>
    </i>
    <i>
      <x v="1114"/>
      <x v="1118"/>
    </i>
    <i>
      <x v="1115"/>
      <x v="135"/>
    </i>
    <i>
      <x v="1116"/>
      <x v="1119"/>
    </i>
    <i>
      <x v="1117"/>
      <x v="1120"/>
    </i>
    <i>
      <x v="1118"/>
      <x v="1121"/>
    </i>
    <i>
      <x v="1119"/>
      <x v="1122"/>
    </i>
    <i>
      <x v="1120"/>
      <x v="1123"/>
    </i>
    <i>
      <x v="1121"/>
      <x v="1124"/>
    </i>
    <i>
      <x v="1122"/>
      <x v="1125"/>
    </i>
    <i>
      <x v="1123"/>
      <x v="320"/>
    </i>
    <i>
      <x v="1124"/>
      <x v="1126"/>
    </i>
    <i>
      <x v="1125"/>
      <x v="1127"/>
    </i>
    <i>
      <x v="1126"/>
      <x v="1128"/>
    </i>
    <i>
      <x v="1127"/>
      <x v="959"/>
    </i>
    <i>
      <x v="1128"/>
      <x v="1129"/>
    </i>
    <i>
      <x v="1129"/>
      <x v="720"/>
    </i>
    <i>
      <x v="1130"/>
      <x v="227"/>
    </i>
    <i>
      <x v="1131"/>
      <x v="497"/>
    </i>
    <i>
      <x v="1132"/>
      <x v="225"/>
    </i>
    <i>
      <x v="1133"/>
      <x v="387"/>
    </i>
    <i>
      <x v="1134"/>
      <x v="1130"/>
    </i>
    <i>
      <x v="1135"/>
      <x v="1131"/>
    </i>
    <i>
      <x v="1136"/>
      <x v="714"/>
    </i>
    <i>
      <x v="1137"/>
      <x v="1132"/>
    </i>
    <i>
      <x v="1138"/>
      <x v="1133"/>
    </i>
    <i>
      <x v="1139"/>
      <x v="1134"/>
    </i>
    <i>
      <x v="1140"/>
      <x v="1135"/>
    </i>
    <i>
      <x v="1141"/>
      <x v="1136"/>
    </i>
    <i>
      <x v="1142"/>
      <x v="1137"/>
    </i>
    <i>
      <x v="1143"/>
      <x v="133"/>
    </i>
    <i>
      <x v="1144"/>
      <x v="79"/>
    </i>
    <i>
      <x v="1145"/>
      <x v="1138"/>
    </i>
    <i>
      <x v="1146"/>
      <x v="1139"/>
    </i>
    <i>
      <x v="1147"/>
      <x v="1140"/>
    </i>
    <i>
      <x v="1148"/>
      <x v="1141"/>
    </i>
    <i>
      <x v="1149"/>
      <x v="1142"/>
    </i>
    <i>
      <x v="1150"/>
      <x v="1143"/>
    </i>
    <i>
      <x v="1151"/>
      <x v="1144"/>
    </i>
    <i>
      <x v="1152"/>
      <x v="1145"/>
    </i>
    <i>
      <x v="1153"/>
      <x v="1146"/>
    </i>
    <i>
      <x v="1154"/>
      <x v="163"/>
    </i>
    <i>
      <x v="1155"/>
      <x v="1147"/>
    </i>
    <i>
      <x v="1156"/>
      <x v="499"/>
    </i>
    <i>
      <x v="1157"/>
      <x v="1148"/>
    </i>
    <i>
      <x v="1158"/>
      <x v="1149"/>
    </i>
    <i>
      <x v="1159"/>
      <x v="1150"/>
    </i>
    <i>
      <x v="1160"/>
      <x v="1151"/>
    </i>
    <i>
      <x v="1161"/>
      <x v="1152"/>
    </i>
    <i>
      <x v="1162"/>
      <x v="1153"/>
    </i>
    <i>
      <x v="1163"/>
      <x v="210"/>
    </i>
    <i>
      <x v="1164"/>
      <x v="1154"/>
    </i>
    <i>
      <x v="1165"/>
      <x v="1155"/>
    </i>
    <i>
      <x v="1166"/>
      <x v="1156"/>
    </i>
    <i>
      <x v="1167"/>
      <x v="1157"/>
    </i>
    <i>
      <x v="1168"/>
      <x v="1158"/>
    </i>
    <i>
      <x v="1169"/>
      <x v="289"/>
    </i>
    <i>
      <x v="1170"/>
      <x v="1159"/>
    </i>
    <i>
      <x v="1171"/>
      <x v="59"/>
    </i>
    <i>
      <x v="1172"/>
      <x v="1160"/>
    </i>
    <i>
      <x v="1173"/>
      <x v="302"/>
    </i>
    <i>
      <x v="1174"/>
      <x v="1161"/>
    </i>
    <i>
      <x v="1175"/>
      <x v="1162"/>
    </i>
    <i>
      <x v="1176"/>
      <x v="1163"/>
    </i>
    <i>
      <x v="1177"/>
      <x v="1164"/>
    </i>
    <i>
      <x v="1178"/>
      <x v="1165"/>
    </i>
    <i>
      <x v="1179"/>
      <x v="1166"/>
    </i>
    <i>
      <x v="1180"/>
      <x v="885"/>
    </i>
    <i>
      <x v="1181"/>
      <x v="1167"/>
    </i>
    <i>
      <x v="1182"/>
      <x v="608"/>
    </i>
    <i>
      <x v="1183"/>
      <x v="1168"/>
    </i>
    <i>
      <x v="1184"/>
      <x v="138"/>
    </i>
    <i>
      <x v="1185"/>
      <x v="1169"/>
    </i>
    <i>
      <x v="1186"/>
      <x v="370"/>
    </i>
    <i>
      <x v="1187"/>
      <x v="90"/>
    </i>
    <i>
      <x v="1188"/>
      <x v="1170"/>
    </i>
    <i>
      <x v="1189"/>
      <x v="1171"/>
    </i>
    <i>
      <x v="1190"/>
      <x v="1172"/>
    </i>
    <i>
      <x v="1191"/>
      <x v="1173"/>
    </i>
    <i>
      <x v="1192"/>
      <x v="1174"/>
    </i>
    <i>
      <x v="1193"/>
      <x v="1175"/>
    </i>
    <i>
      <x v="1194"/>
      <x v="381"/>
    </i>
    <i>
      <x v="1195"/>
      <x v="1176"/>
    </i>
    <i>
      <x v="1196"/>
      <x v="1177"/>
    </i>
    <i>
      <x v="1197"/>
      <x v="753"/>
    </i>
    <i>
      <x v="1198"/>
      <x v="1178"/>
    </i>
    <i>
      <x v="1199"/>
      <x v="124"/>
    </i>
    <i>
      <x v="1200"/>
      <x v="1179"/>
    </i>
    <i>
      <x v="1201"/>
      <x v="1180"/>
    </i>
    <i>
      <x v="1202"/>
      <x v="133"/>
    </i>
    <i>
      <x v="1203"/>
      <x v="1181"/>
    </i>
    <i>
      <x v="1204"/>
      <x v="1182"/>
    </i>
    <i>
      <x v="1205"/>
      <x v="1183"/>
    </i>
    <i>
      <x v="1206"/>
      <x v="1184"/>
    </i>
    <i>
      <x v="1207"/>
      <x v="1185"/>
    </i>
    <i>
      <x v="1208"/>
      <x v="1186"/>
    </i>
    <i>
      <x v="1209"/>
      <x v="1187"/>
    </i>
    <i>
      <x v="1210"/>
      <x v="1188"/>
    </i>
    <i>
      <x v="1211"/>
      <x v="345"/>
    </i>
    <i>
      <x v="1212"/>
      <x v="79"/>
    </i>
    <i>
      <x v="1213"/>
      <x v="1189"/>
    </i>
    <i>
      <x v="1214"/>
      <x v="1190"/>
    </i>
    <i>
      <x v="1215"/>
      <x v="1191"/>
    </i>
    <i>
      <x v="1216"/>
      <x v="1192"/>
    </i>
    <i>
      <x v="1217"/>
      <x v="1193"/>
    </i>
    <i>
      <x v="1218"/>
      <x v="1194"/>
    </i>
    <i>
      <x v="1219"/>
      <x v="1195"/>
    </i>
    <i>
      <x v="1220"/>
      <x v="1196"/>
    </i>
    <i>
      <x v="1221"/>
      <x v="309"/>
    </i>
    <i>
      <x v="1222"/>
      <x v="1197"/>
    </i>
    <i>
      <x v="1223"/>
      <x v="307"/>
    </i>
    <i>
      <x v="1224"/>
      <x v="1198"/>
    </i>
    <i>
      <x v="1225"/>
      <x v="1199"/>
    </i>
    <i>
      <x v="1226"/>
      <x v="1200"/>
    </i>
    <i>
      <x v="1227"/>
      <x v="1201"/>
    </i>
    <i>
      <x v="1228"/>
      <x v="1202"/>
    </i>
    <i>
      <x v="1229"/>
      <x v="1203"/>
    </i>
    <i>
      <x v="1230"/>
      <x v="1204"/>
    </i>
    <i>
      <x v="1231"/>
      <x v="320"/>
    </i>
    <i>
      <x v="1232"/>
      <x v="1205"/>
    </i>
    <i>
      <x v="1233"/>
      <x v="1206"/>
    </i>
    <i>
      <x v="1234"/>
      <x v="1207"/>
    </i>
    <i>
      <x v="1235"/>
      <x v="142"/>
    </i>
    <i>
      <x v="1236"/>
      <x v="1208"/>
    </i>
    <i>
      <x v="1237"/>
      <x v="1209"/>
    </i>
    <i>
      <x v="1238"/>
      <x v="1210"/>
    </i>
    <i>
      <x v="1239"/>
      <x v="1211"/>
    </i>
    <i>
      <x v="1240"/>
      <x v="1212"/>
    </i>
    <i>
      <x v="1241"/>
      <x v="1213"/>
    </i>
    <i>
      <x v="1242"/>
      <x v="499"/>
    </i>
    <i>
      <x v="1243"/>
      <x v="1214"/>
    </i>
    <i>
      <x v="1244"/>
      <x v="1215"/>
    </i>
    <i>
      <x v="1245"/>
      <x v="433"/>
    </i>
    <i>
      <x v="1246"/>
      <x v="1216"/>
    </i>
    <i>
      <x v="1247"/>
      <x v="1217"/>
    </i>
    <i>
      <x v="1248"/>
      <x v="1218"/>
    </i>
    <i>
      <x v="1249"/>
      <x v="1219"/>
    </i>
    <i>
      <x v="1250"/>
      <x v="1220"/>
    </i>
    <i>
      <x v="1251"/>
      <x v="1221"/>
    </i>
    <i>
      <x v="1252"/>
      <x v="1222"/>
    </i>
    <i>
      <x v="1253"/>
      <x v="715"/>
    </i>
    <i>
      <x v="1254"/>
      <x v="641"/>
    </i>
    <i>
      <x v="1255"/>
      <x v="1223"/>
    </i>
    <i>
      <x v="1256"/>
      <x v="1224"/>
    </i>
    <i>
      <x v="1257"/>
      <x v="1225"/>
    </i>
    <i>
      <x v="1258"/>
      <x v="1226"/>
    </i>
    <i>
      <x v="1259"/>
      <x v="1227"/>
    </i>
    <i>
      <x v="1260"/>
      <x v="1228"/>
    </i>
    <i>
      <x v="1261"/>
      <x v="1229"/>
    </i>
    <i>
      <x v="1262"/>
      <x v="1230"/>
    </i>
    <i>
      <x v="1263"/>
      <x v="1231"/>
    </i>
    <i>
      <x v="1264"/>
      <x v="1232"/>
    </i>
    <i>
      <x v="1265"/>
      <x v="1233"/>
    </i>
    <i>
      <x v="1266"/>
      <x v="1234"/>
    </i>
    <i>
      <x v="1267"/>
      <x v="1235"/>
    </i>
    <i>
      <x v="1268"/>
      <x v="1236"/>
    </i>
    <i>
      <x v="1269"/>
      <x v="1237"/>
    </i>
    <i>
      <x v="1270"/>
      <x v="1238"/>
    </i>
    <i>
      <x v="1271"/>
      <x v="1239"/>
    </i>
    <i>
      <x v="1272"/>
      <x v="1240"/>
    </i>
    <i>
      <x v="1273"/>
      <x v="1241"/>
    </i>
    <i>
      <x v="1274"/>
      <x v="1242"/>
    </i>
    <i>
      <x v="1275"/>
      <x v="1243"/>
    </i>
    <i>
      <x v="1276"/>
      <x v="317"/>
    </i>
    <i>
      <x v="1277"/>
      <x v="315"/>
    </i>
    <i>
      <x v="1278"/>
      <x v="1244"/>
    </i>
    <i>
      <x v="1279"/>
      <x v="1245"/>
    </i>
    <i>
      <x v="1280"/>
      <x v="1246"/>
    </i>
    <i>
      <x v="1281"/>
      <x v="1247"/>
    </i>
    <i>
      <x v="1282"/>
      <x v="1248"/>
    </i>
    <i>
      <x v="1283"/>
      <x v="1249"/>
    </i>
    <i>
      <x v="1284"/>
      <x v="1250"/>
    </i>
    <i>
      <x v="1285"/>
      <x v="248"/>
    </i>
    <i>
      <x v="1286"/>
      <x v="1251"/>
    </i>
    <i>
      <x v="1287"/>
      <x v="1252"/>
    </i>
    <i>
      <x v="1288"/>
      <x v="1253"/>
    </i>
    <i>
      <x v="1289"/>
      <x v="1254"/>
    </i>
    <i>
      <x v="1290"/>
      <x v="1255"/>
    </i>
    <i>
      <x v="1291"/>
      <x v="1256"/>
    </i>
    <i>
      <x v="1292"/>
      <x v="1257"/>
    </i>
    <i>
      <x v="1293"/>
      <x v="1258"/>
    </i>
    <i>
      <x v="1294"/>
      <x v="1259"/>
    </i>
    <i>
      <x v="1295"/>
      <x v="1260"/>
    </i>
    <i>
      <x v="1296"/>
      <x v="360"/>
    </i>
    <i>
      <x v="1297"/>
      <x v="1261"/>
    </i>
    <i>
      <x v="1298"/>
      <x v="1262"/>
    </i>
    <i>
      <x v="1299"/>
      <x v="1263"/>
    </i>
    <i>
      <x v="1300"/>
      <x v="230"/>
    </i>
    <i>
      <x v="1301"/>
      <x v="1264"/>
    </i>
    <i>
      <x v="1302"/>
      <x v="1265"/>
    </i>
    <i>
      <x v="1303"/>
      <x v="1266"/>
    </i>
    <i>
      <x v="1304"/>
      <x v="107"/>
    </i>
    <i>
      <x v="1305"/>
      <x v="1267"/>
    </i>
    <i>
      <x v="1306"/>
      <x v="1268"/>
    </i>
    <i>
      <x v="1307"/>
      <x v="1269"/>
    </i>
    <i>
      <x v="1308"/>
      <x v="1270"/>
    </i>
    <i>
      <x v="1309"/>
      <x v="1271"/>
    </i>
    <i>
      <x v="1310"/>
      <x v="1272"/>
    </i>
    <i>
      <x v="1311"/>
      <x v="1273"/>
    </i>
    <i>
      <x v="1312"/>
      <x v="1274"/>
    </i>
    <i>
      <x v="1313"/>
      <x v="1275"/>
    </i>
    <i>
      <x v="1314"/>
      <x v="1276"/>
    </i>
    <i>
      <x v="1315"/>
      <x v="1243"/>
    </i>
    <i>
      <x v="1316"/>
      <x v="968"/>
    </i>
    <i>
      <x v="1317"/>
      <x v="1277"/>
    </i>
    <i>
      <x v="1318"/>
      <x v="1278"/>
    </i>
    <i>
      <x v="1319"/>
      <x v="376"/>
    </i>
    <i>
      <x v="1320"/>
      <x v="1279"/>
    </i>
    <i>
      <x v="1321"/>
      <x v="1280"/>
    </i>
    <i>
      <x v="1322"/>
      <x v="1281"/>
    </i>
    <i>
      <x v="1323"/>
      <x v="1282"/>
    </i>
    <i>
      <x v="1324"/>
      <x v="1283"/>
    </i>
    <i>
      <x v="1325"/>
      <x v="1284"/>
    </i>
    <i>
      <x v="1326"/>
      <x v="1285"/>
    </i>
    <i>
      <x v="1327"/>
      <x v="1286"/>
    </i>
    <i>
      <x v="1328"/>
      <x v="1287"/>
    </i>
    <i>
      <x v="1329"/>
      <x v="317"/>
    </i>
    <i>
      <x v="1330"/>
      <x v="1288"/>
    </i>
    <i>
      <x v="1331"/>
      <x v="288"/>
    </i>
    <i>
      <x v="1332"/>
      <x v="1289"/>
    </i>
    <i>
      <x v="1333"/>
      <x v="1290"/>
    </i>
    <i>
      <x v="1334"/>
      <x v="1291"/>
    </i>
    <i>
      <x v="1335"/>
      <x v="1292"/>
    </i>
    <i>
      <x v="1336"/>
      <x v="910"/>
    </i>
    <i>
      <x v="1337"/>
      <x v="1293"/>
    </i>
    <i>
      <x v="1338"/>
      <x v="1294"/>
    </i>
    <i>
      <x v="1339"/>
      <x v="1295"/>
    </i>
    <i>
      <x v="1340"/>
      <x v="1296"/>
    </i>
    <i>
      <x v="1341"/>
      <x v="319"/>
    </i>
    <i>
      <x v="1342"/>
      <x v="986"/>
    </i>
    <i>
      <x v="1343"/>
      <x v="511"/>
    </i>
    <i>
      <x v="1344"/>
      <x v="1297"/>
    </i>
    <i>
      <x v="1345"/>
      <x v="1298"/>
    </i>
    <i>
      <x v="1346"/>
      <x v="1299"/>
    </i>
    <i>
      <x v="1347"/>
      <x v="1300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F29664-D787-4C64-BB89-A8925042BC18}" name="PivotTable1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3:C1582" firstHeaderRow="1" firstDataRow="1" firstDataCol="3"/>
  <pivotFields count="2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1">
        <item x="4"/>
        <item x="6"/>
        <item x="1"/>
        <item x="7"/>
        <item x="2"/>
        <item x="3"/>
        <item x="0"/>
        <item x="5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302">
        <item x="152"/>
        <item x="93"/>
        <item x="104"/>
        <item x="48"/>
        <item x="59"/>
        <item x="13"/>
        <item x="146"/>
        <item x="16"/>
        <item x="125"/>
        <item x="3"/>
        <item x="67"/>
        <item x="102"/>
        <item x="131"/>
        <item x="11"/>
        <item x="151"/>
        <item x="62"/>
        <item x="127"/>
        <item x="136"/>
        <item x="91"/>
        <item x="52"/>
        <item x="45"/>
        <item x="10"/>
        <item x="148"/>
        <item x="83"/>
        <item x="68"/>
        <item x="7"/>
        <item x="154"/>
        <item x="43"/>
        <item x="50"/>
        <item x="150"/>
        <item x="88"/>
        <item x="56"/>
        <item x="61"/>
        <item x="107"/>
        <item x="78"/>
        <item x="85"/>
        <item x="41"/>
        <item x="2"/>
        <item x="12"/>
        <item x="111"/>
        <item x="129"/>
        <item x="69"/>
        <item x="66"/>
        <item x="20"/>
        <item x="97"/>
        <item x="51"/>
        <item x="130"/>
        <item x="9"/>
        <item x="94"/>
        <item x="80"/>
        <item x="98"/>
        <item x="132"/>
        <item x="57"/>
        <item x="26"/>
        <item x="28"/>
        <item x="29"/>
        <item x="30"/>
        <item x="99"/>
        <item x="153"/>
        <item x="110"/>
        <item x="27"/>
        <item x="143"/>
        <item x="108"/>
        <item x="17"/>
        <item x="47"/>
        <item x="124"/>
        <item x="46"/>
        <item x="70"/>
        <item x="0"/>
        <item x="22"/>
        <item x="71"/>
        <item x="42"/>
        <item x="84"/>
        <item x="79"/>
        <item x="65"/>
        <item x="135"/>
        <item x="72"/>
        <item x="39"/>
        <item x="5"/>
        <item x="55"/>
        <item x="24"/>
        <item x="23"/>
        <item x="100"/>
        <item x="15"/>
        <item x="58"/>
        <item x="73"/>
        <item x="63"/>
        <item x="147"/>
        <item x="77"/>
        <item x="133"/>
        <item x="118"/>
        <item x="36"/>
        <item x="138"/>
        <item x="82"/>
        <item x="54"/>
        <item x="74"/>
        <item x="38"/>
        <item x="140"/>
        <item x="49"/>
        <item x="81"/>
        <item x="137"/>
        <item x="95"/>
        <item x="1"/>
        <item x="101"/>
        <item x="35"/>
        <item x="21"/>
        <item x="89"/>
        <item x="25"/>
        <item x="145"/>
        <item x="8"/>
        <item x="115"/>
        <item x="114"/>
        <item x="4"/>
        <item x="53"/>
        <item x="105"/>
        <item x="103"/>
        <item x="96"/>
        <item x="123"/>
        <item x="37"/>
        <item x="142"/>
        <item x="106"/>
        <item x="139"/>
        <item x="40"/>
        <item x="19"/>
        <item x="117"/>
        <item x="144"/>
        <item x="109"/>
        <item x="113"/>
        <item x="134"/>
        <item x="64"/>
        <item x="119"/>
        <item x="75"/>
        <item x="34"/>
        <item x="121"/>
        <item x="6"/>
        <item x="60"/>
        <item x="31"/>
        <item x="86"/>
        <item x="120"/>
        <item x="33"/>
        <item x="116"/>
        <item x="76"/>
        <item x="44"/>
        <item x="92"/>
        <item x="126"/>
        <item x="14"/>
        <item x="128"/>
        <item x="141"/>
        <item x="112"/>
        <item x="122"/>
        <item x="32"/>
        <item x="18"/>
        <item x="155"/>
        <item x="149"/>
        <item x="87"/>
        <item x="90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348">
        <item x="129"/>
        <item x="104"/>
        <item x="131"/>
        <item x="106"/>
        <item x="107"/>
        <item x="108"/>
        <item x="3"/>
        <item x="2"/>
        <item x="1"/>
        <item x="4"/>
        <item x="0"/>
        <item x="5"/>
        <item x="35"/>
        <item x="16"/>
        <item x="6"/>
        <item x="130"/>
        <item x="132"/>
        <item x="125"/>
        <item x="133"/>
        <item x="134"/>
        <item x="137"/>
        <item x="51"/>
        <item x="88"/>
        <item x="21"/>
        <item x="113"/>
        <item x="109"/>
        <item x="110"/>
        <item x="111"/>
        <item x="22"/>
        <item x="25"/>
        <item x="23"/>
        <item x="24"/>
        <item x="55"/>
        <item x="112"/>
        <item x="61"/>
        <item x="7"/>
        <item x="63"/>
        <item x="8"/>
        <item x="64"/>
        <item x="65"/>
        <item x="66"/>
        <item x="67"/>
        <item x="68"/>
        <item x="69"/>
        <item x="70"/>
        <item x="9"/>
        <item x="62"/>
        <item x="60"/>
        <item x="71"/>
        <item x="72"/>
        <item x="73"/>
        <item x="74"/>
        <item x="75"/>
        <item x="76"/>
        <item x="77"/>
        <item x="78"/>
        <item x="89"/>
        <item x="90"/>
        <item x="91"/>
        <item x="92"/>
        <item x="93"/>
        <item x="94"/>
        <item x="95"/>
        <item x="96"/>
        <item x="87"/>
        <item x="13"/>
        <item x="14"/>
        <item x="15"/>
        <item x="12"/>
        <item x="97"/>
        <item x="98"/>
        <item x="11"/>
        <item x="99"/>
        <item x="100"/>
        <item x="101"/>
        <item x="102"/>
        <item x="103"/>
        <item x="79"/>
        <item x="115"/>
        <item x="119"/>
        <item x="120"/>
        <item x="121"/>
        <item x="122"/>
        <item x="123"/>
        <item x="124"/>
        <item x="147"/>
        <item x="153"/>
        <item x="152"/>
        <item x="149"/>
        <item x="150"/>
        <item x="151"/>
        <item x="148"/>
        <item x="159"/>
        <item x="158"/>
        <item x="160"/>
        <item x="155"/>
        <item x="156"/>
        <item x="154"/>
        <item x="157"/>
        <item x="59"/>
        <item x="57"/>
        <item x="58"/>
        <item x="56"/>
        <item x="45"/>
        <item x="49"/>
        <item x="48"/>
        <item x="47"/>
        <item x="50"/>
        <item x="44"/>
        <item x="46"/>
        <item x="10"/>
        <item x="20"/>
        <item x="17"/>
        <item x="18"/>
        <item x="19"/>
        <item x="105"/>
        <item x="34"/>
        <item x="41"/>
        <item x="33"/>
        <item x="42"/>
        <item x="36"/>
        <item x="37"/>
        <item x="30"/>
        <item x="43"/>
        <item x="32"/>
        <item x="38"/>
        <item x="39"/>
        <item x="29"/>
        <item x="27"/>
        <item x="26"/>
        <item x="31"/>
        <item x="28"/>
        <item x="52"/>
        <item x="54"/>
        <item x="53"/>
        <item x="127"/>
        <item x="126"/>
        <item x="128"/>
        <item x="116"/>
        <item x="114"/>
        <item x="117"/>
        <item x="118"/>
        <item x="84"/>
        <item x="85"/>
        <item x="86"/>
        <item x="81"/>
        <item x="83"/>
        <item x="82"/>
        <item x="40"/>
        <item x="145"/>
        <item x="138"/>
        <item x="140"/>
        <item x="141"/>
        <item x="146"/>
        <item x="142"/>
        <item x="143"/>
        <item x="144"/>
        <item x="135"/>
        <item x="139"/>
        <item x="136"/>
        <item x="8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3"/>
    <field x="14"/>
    <field x="7"/>
  </rowFields>
  <rowItems count="1579">
    <i>
      <x/>
      <x v="98"/>
      <x v="3"/>
    </i>
    <i>
      <x v="1"/>
      <x v="63"/>
      <x v="2"/>
    </i>
    <i>
      <x v="2"/>
      <x v="4"/>
      <x v="7"/>
    </i>
    <i>
      <x v="3"/>
      <x v="104"/>
      <x v="4"/>
    </i>
    <i>
      <x v="4"/>
      <x v="47"/>
      <x v="2"/>
    </i>
    <i r="1">
      <x v="166"/>
      <x v="11"/>
    </i>
    <i>
      <x v="5"/>
      <x v="65"/>
      <x v="2"/>
    </i>
    <i>
      <x v="6"/>
      <x v="89"/>
      <x v="3"/>
    </i>
    <i r="1">
      <x v="1088"/>
      <x v="9"/>
    </i>
    <i>
      <x v="7"/>
      <x v="13"/>
      <x v="4"/>
    </i>
    <i>
      <x v="8"/>
      <x v="137"/>
      <x/>
    </i>
    <i r="1">
      <x v="378"/>
      <x v="2"/>
    </i>
    <i r="1">
      <x v="621"/>
      <x v="15"/>
    </i>
    <i>
      <x v="9"/>
      <x v="6"/>
      <x v="6"/>
    </i>
    <i>
      <x v="10"/>
      <x v="43"/>
      <x v="2"/>
    </i>
    <i>
      <x v="11"/>
      <x v="115"/>
      <x v="7"/>
    </i>
    <i r="1">
      <x v="161"/>
      <x v="7"/>
    </i>
    <i>
      <x v="12"/>
      <x v="19"/>
      <x v="7"/>
    </i>
    <i>
      <x v="13"/>
      <x v="71"/>
      <x v="2"/>
    </i>
    <i>
      <x v="14"/>
      <x v="95"/>
      <x v="3"/>
    </i>
    <i r="1">
      <x v="389"/>
      <x v="1"/>
    </i>
    <i r="1">
      <x v="689"/>
      <x v="4"/>
    </i>
    <i>
      <x v="15"/>
      <x v="38"/>
      <x v="2"/>
    </i>
    <i r="1">
      <x v="816"/>
      <x v="2"/>
    </i>
    <i>
      <x v="16"/>
      <x v="15"/>
      <x v="7"/>
    </i>
    <i>
      <x v="17"/>
      <x v="151"/>
      <x/>
    </i>
    <i>
      <x v="18"/>
      <x v="61"/>
      <x v="2"/>
    </i>
    <i>
      <x v="19"/>
      <x v="134"/>
      <x/>
    </i>
    <i>
      <x v="20"/>
      <x v="109"/>
      <x v="4"/>
    </i>
    <i r="1">
      <x v="814"/>
      <x v="2"/>
    </i>
    <i>
      <x v="21"/>
      <x v="110"/>
      <x v="2"/>
    </i>
    <i r="1">
      <x v="161"/>
      <x v="2"/>
    </i>
    <i>
      <x v="22"/>
      <x v="87"/>
      <x v="3"/>
    </i>
    <i>
      <x v="23"/>
      <x v="144"/>
      <x/>
    </i>
    <i>
      <x v="24"/>
      <x v="44"/>
      <x v="2"/>
    </i>
    <i r="1">
      <x v="161"/>
      <x v="2"/>
    </i>
    <i>
      <x v="25"/>
      <x v="35"/>
      <x v="2"/>
    </i>
    <i r="1">
      <x v="161"/>
      <x v="2"/>
    </i>
    <i r="1">
      <x v="379"/>
      <x v="2"/>
    </i>
    <i>
      <x v="26"/>
      <x v="92"/>
      <x v="3"/>
    </i>
    <i>
      <x v="27"/>
      <x v="123"/>
      <x/>
    </i>
    <i>
      <x v="28"/>
      <x v="21"/>
      <x/>
    </i>
    <i>
      <x v="29"/>
      <x v="97"/>
      <x v="3"/>
    </i>
    <i>
      <x v="30"/>
      <x v="58"/>
      <x v="2"/>
    </i>
    <i>
      <x v="31"/>
      <x v="100"/>
      <x v="4"/>
    </i>
    <i>
      <x v="32"/>
      <x v="36"/>
      <x v="2"/>
    </i>
    <i r="1">
      <x v="282"/>
      <x v="2"/>
    </i>
    <i>
      <x v="33"/>
      <x v="26"/>
      <x v="5"/>
    </i>
    <i>
      <x v="34"/>
      <x v="160"/>
      <x v="2"/>
    </i>
    <i r="1">
      <x v="161"/>
      <x v="2"/>
    </i>
    <i>
      <x v="35"/>
      <x v="22"/>
      <x v="2"/>
    </i>
    <i>
      <x v="36"/>
      <x v="117"/>
      <x/>
    </i>
    <i>
      <x v="37"/>
      <x v="7"/>
      <x v="6"/>
    </i>
    <i>
      <x v="38"/>
      <x v="68"/>
      <x v="2"/>
    </i>
    <i>
      <x v="39"/>
      <x v="96"/>
      <x v="3"/>
    </i>
    <i r="1">
      <x v="139"/>
      <x/>
    </i>
    <i r="1">
      <x v="222"/>
      <x v="1"/>
    </i>
    <i r="1">
      <x v="388"/>
      <x v="1"/>
    </i>
    <i>
      <x v="40"/>
      <x v="16"/>
      <x v="7"/>
    </i>
    <i r="1">
      <x v="161"/>
      <x v="3"/>
    </i>
    <i r="2">
      <x v="7"/>
    </i>
    <i r="1">
      <x v="748"/>
      <x v="2"/>
    </i>
    <i>
      <x v="41"/>
      <x v="48"/>
      <x v="2"/>
    </i>
    <i>
      <x v="42"/>
      <x v="42"/>
      <x v="2"/>
    </i>
    <i>
      <x v="43"/>
      <x v="111"/>
      <x v="4"/>
    </i>
    <i>
      <x v="44"/>
      <x v="73"/>
      <x v="2"/>
    </i>
    <i>
      <x v="45"/>
      <x v="132"/>
      <x/>
    </i>
    <i>
      <x v="46"/>
      <x v="18"/>
      <x v="7"/>
    </i>
    <i r="1">
      <x v="161"/>
      <x v="7"/>
    </i>
    <i>
      <x v="47"/>
      <x v="45"/>
      <x v="2"/>
    </i>
    <i r="1">
      <x v="375"/>
      <x v="2"/>
    </i>
    <i r="1">
      <x v="858"/>
      <x/>
    </i>
    <i>
      <x v="48"/>
      <x v="69"/>
      <x v="2"/>
    </i>
    <i r="1">
      <x v="605"/>
      <x v="17"/>
    </i>
    <i r="1">
      <x v="699"/>
      <x v="2"/>
    </i>
    <i>
      <x v="49"/>
      <x v="146"/>
      <x/>
    </i>
    <i>
      <x v="50"/>
      <x v="74"/>
      <x v="2"/>
    </i>
    <i>
      <x v="51"/>
      <x v="159"/>
      <x/>
    </i>
    <i r="1">
      <x v="964"/>
      <x/>
    </i>
    <i>
      <x v="52"/>
      <x v="101"/>
      <x v="4"/>
    </i>
    <i>
      <x v="53"/>
      <x v="129"/>
      <x/>
    </i>
    <i>
      <x v="54"/>
      <x v="131"/>
      <x/>
    </i>
    <i>
      <x v="55"/>
      <x v="127"/>
      <x/>
    </i>
    <i>
      <x v="56"/>
      <x v="122"/>
      <x/>
    </i>
    <i>
      <x v="57"/>
      <x v="75"/>
      <x v="2"/>
    </i>
    <i>
      <x v="58"/>
      <x v="93"/>
      <x v="3"/>
    </i>
    <i r="1">
      <x v="161"/>
      <x v="3"/>
    </i>
    <i>
      <x v="59"/>
      <x v="24"/>
      <x v="5"/>
    </i>
    <i r="1">
      <x v="1171"/>
      <x v="5"/>
    </i>
    <i>
      <x v="60"/>
      <x v="128"/>
      <x/>
    </i>
    <i>
      <x v="61"/>
      <x v="85"/>
      <x v="3"/>
    </i>
    <i r="1">
      <x v="161"/>
      <x v="3"/>
    </i>
    <i>
      <x v="62"/>
      <x v="27"/>
      <x v="5"/>
    </i>
    <i>
      <x v="63"/>
      <x v="112"/>
      <x v="4"/>
    </i>
    <i>
      <x v="64"/>
      <x v="105"/>
      <x v="4"/>
    </i>
    <i>
      <x v="65"/>
      <x v="135"/>
      <x/>
    </i>
    <i>
      <x v="66"/>
      <x v="106"/>
      <x v="4"/>
    </i>
    <i r="1">
      <x v="945"/>
      <x v="15"/>
    </i>
    <i>
      <x v="67"/>
      <x v="49"/>
      <x v="2"/>
    </i>
    <i>
      <x v="68"/>
      <x v="10"/>
      <x v="6"/>
    </i>
    <i>
      <x v="69"/>
      <x v="28"/>
      <x v="5"/>
    </i>
    <i r="1">
      <x v="161"/>
      <x v="5"/>
    </i>
    <i>
      <x v="70"/>
      <x v="50"/>
      <x v="2"/>
    </i>
    <i r="1">
      <x v="161"/>
      <x v="2"/>
    </i>
    <i>
      <x v="71"/>
      <x v="119"/>
      <x/>
    </i>
    <i>
      <x v="72"/>
      <x v="64"/>
      <x v="2"/>
    </i>
    <i>
      <x v="73"/>
      <x v="147"/>
      <x/>
    </i>
    <i>
      <x v="74"/>
      <x v="41"/>
      <x v="2"/>
    </i>
    <i r="1">
      <x v="161"/>
      <x v="2"/>
    </i>
    <i>
      <x v="75"/>
      <x v="158"/>
      <x/>
    </i>
    <i r="1">
      <x v="600"/>
      <x v="19"/>
    </i>
    <i>
      <x v="76"/>
      <x v="51"/>
      <x v="2"/>
    </i>
    <i r="1">
      <x v="161"/>
      <x v="2"/>
    </i>
    <i>
      <x v="77"/>
      <x v="103"/>
      <x v="4"/>
    </i>
    <i r="1">
      <x v="126"/>
      <x/>
    </i>
    <i r="1">
      <x v="145"/>
      <x/>
    </i>
    <i>
      <x v="78"/>
      <x v="11"/>
      <x v="6"/>
    </i>
    <i>
      <x v="79"/>
      <x v="34"/>
      <x v="2"/>
    </i>
    <i r="1">
      <x v="102"/>
      <x v="4"/>
    </i>
    <i r="1">
      <x v="161"/>
      <x v="2"/>
    </i>
    <i r="2">
      <x v="5"/>
    </i>
    <i r="1">
      <x v="1144"/>
      <x v="9"/>
    </i>
    <i r="1">
      <x v="1212"/>
      <x v="5"/>
    </i>
    <i>
      <x v="80"/>
      <x v="31"/>
      <x v="5"/>
    </i>
    <i>
      <x v="81"/>
      <x v="30"/>
      <x v="5"/>
    </i>
    <i r="1">
      <x v="161"/>
      <x v="5"/>
    </i>
    <i>
      <x v="82"/>
      <x v="76"/>
      <x v="2"/>
    </i>
    <i r="1">
      <x v="905"/>
      <x v="2"/>
    </i>
    <i>
      <x v="83"/>
      <x v="67"/>
      <x v="2"/>
    </i>
    <i r="1">
      <x v="161"/>
      <x v="2"/>
    </i>
    <i>
      <x v="84"/>
      <x v="99"/>
      <x v="4"/>
    </i>
    <i>
      <x v="85"/>
      <x v="52"/>
      <x v="2"/>
    </i>
    <i>
      <x v="86"/>
      <x v="39"/>
      <x v="2"/>
    </i>
    <i r="1">
      <x v="161"/>
      <x v="2"/>
    </i>
    <i>
      <x v="87"/>
      <x v="90"/>
      <x v="3"/>
    </i>
    <i>
      <x v="88"/>
      <x v="77"/>
      <x v="2"/>
    </i>
    <i r="1">
      <x v="161"/>
      <x v="2"/>
    </i>
    <i r="1">
      <x v="818"/>
      <x v="2"/>
    </i>
    <i>
      <x v="89"/>
      <x v="20"/>
      <x/>
    </i>
    <i>
      <x v="90"/>
      <x v="81"/>
      <x v="1"/>
    </i>
    <i r="1">
      <x v="161"/>
      <x v="1"/>
    </i>
    <i r="1">
      <x v="1187"/>
      <x v="1"/>
    </i>
    <i>
      <x v="91"/>
      <x v="120"/>
      <x/>
    </i>
    <i>
      <x v="92"/>
      <x v="154"/>
      <x/>
    </i>
    <i>
      <x v="93"/>
      <x v="143"/>
      <x/>
    </i>
    <i>
      <x v="94"/>
      <x v="32"/>
      <x v="4"/>
    </i>
    <i>
      <x v="95"/>
      <x v="53"/>
      <x v="2"/>
    </i>
    <i r="1">
      <x v="161"/>
      <x v="2"/>
    </i>
    <i r="1">
      <x v="819"/>
      <x v="2"/>
    </i>
    <i>
      <x v="96"/>
      <x v="125"/>
      <x/>
    </i>
    <i>
      <x v="97"/>
      <x v="156"/>
      <x/>
    </i>
    <i>
      <x v="98"/>
      <x v="107"/>
      <x v="4"/>
    </i>
    <i>
      <x v="99"/>
      <x v="142"/>
      <x/>
    </i>
    <i>
      <x v="100"/>
      <x v="152"/>
      <x/>
    </i>
    <i>
      <x v="101"/>
      <x v="70"/>
      <x v="2"/>
    </i>
    <i r="1">
      <x v="907"/>
      <x v="2"/>
    </i>
    <i>
      <x v="102"/>
      <x v="8"/>
      <x v="6"/>
    </i>
    <i>
      <x v="103"/>
      <x v="1"/>
      <x v="7"/>
    </i>
    <i>
      <x v="104"/>
      <x v="12"/>
      <x v="6"/>
    </i>
    <i r="1">
      <x v="161"/>
      <x v="11"/>
    </i>
    <i r="1">
      <x v="969"/>
      <x v="12"/>
    </i>
    <i r="1">
      <x v="991"/>
      <x v="11"/>
    </i>
    <i>
      <x v="105"/>
      <x v="23"/>
      <x v="5"/>
    </i>
    <i r="1">
      <x v="161"/>
      <x v="5"/>
    </i>
    <i r="1">
      <x v="245"/>
      <x v="1"/>
    </i>
    <i r="1">
      <x v="801"/>
      <x v="11"/>
    </i>
    <i r="1">
      <x v="916"/>
      <x v="11"/>
    </i>
    <i r="1">
      <x v="962"/>
      <x/>
    </i>
    <i r="1">
      <x v="972"/>
      <x v="12"/>
    </i>
    <i>
      <x v="106"/>
      <x v="59"/>
      <x v="2"/>
    </i>
    <i>
      <x v="107"/>
      <x v="29"/>
      <x v="5"/>
    </i>
    <i r="1">
      <x v="1304"/>
      <x v="10"/>
    </i>
    <i>
      <x v="108"/>
      <x v="88"/>
      <x v="3"/>
    </i>
    <i r="1">
      <x v="161"/>
      <x v="3"/>
    </i>
    <i>
      <x v="109"/>
      <x v="37"/>
      <x v="2"/>
    </i>
    <i>
      <x v="110"/>
      <x v="141"/>
      <x/>
    </i>
    <i>
      <x v="111"/>
      <x v="140"/>
      <x/>
    </i>
    <i>
      <x v="112"/>
      <x v="9"/>
      <x v="6"/>
    </i>
    <i>
      <x v="113"/>
      <x v="133"/>
      <x/>
    </i>
    <i>
      <x v="114"/>
      <x v="5"/>
      <x v="7"/>
    </i>
    <i>
      <x v="115"/>
      <x v="3"/>
      <x v="7"/>
    </i>
    <i>
      <x v="116"/>
      <x v="72"/>
      <x v="2"/>
    </i>
    <i r="1">
      <x v="906"/>
      <x v="2"/>
    </i>
    <i r="1">
      <x v="1079"/>
      <x v="8"/>
    </i>
    <i>
      <x v="117"/>
      <x v="136"/>
      <x/>
    </i>
    <i>
      <x v="118"/>
      <x v="121"/>
      <x/>
    </i>
    <i>
      <x v="119"/>
      <x v="153"/>
      <x/>
    </i>
    <i>
      <x v="120"/>
      <x v="25"/>
      <x v="5"/>
    </i>
    <i>
      <x v="121"/>
      <x v="155"/>
      <x/>
    </i>
    <i>
      <x v="122"/>
      <x v="148"/>
      <x/>
    </i>
    <i>
      <x v="123"/>
      <x v="114"/>
      <x v="4"/>
    </i>
    <i>
      <x v="124"/>
      <x v="80"/>
      <x v="1"/>
    </i>
    <i r="1">
      <x v="157"/>
      <x/>
    </i>
    <i r="1">
      <x v="161"/>
      <x v="1"/>
    </i>
    <i r="1">
      <x v="209"/>
      <x/>
    </i>
    <i r="1">
      <x v="477"/>
      <x v="5"/>
    </i>
    <i r="1">
      <x v="672"/>
      <x v="15"/>
    </i>
    <i r="1">
      <x v="1199"/>
      <x v="1"/>
    </i>
    <i>
      <x v="125"/>
      <x v="91"/>
      <x v="3"/>
    </i>
    <i r="1">
      <x v="161"/>
      <x v="3"/>
    </i>
    <i>
      <x v="126"/>
      <x v="33"/>
      <x v="5"/>
    </i>
    <i>
      <x v="127"/>
      <x v="138"/>
      <x/>
    </i>
    <i>
      <x v="128"/>
      <x v="150"/>
      <x/>
    </i>
    <i r="1">
      <x v="901"/>
      <x v="15"/>
    </i>
    <i>
      <x v="129"/>
      <x v="40"/>
      <x v="2"/>
    </i>
    <i>
      <x v="130"/>
      <x v="82"/>
      <x v="1"/>
    </i>
    <i r="1">
      <x v="161"/>
      <x v="1"/>
    </i>
    <i>
      <x v="131"/>
      <x v="54"/>
      <x v="2"/>
    </i>
    <i>
      <x v="132"/>
      <x v="116"/>
      <x/>
    </i>
    <i r="1">
      <x v="523"/>
      <x v="2"/>
    </i>
    <i r="1">
      <x v="899"/>
      <x v="15"/>
    </i>
    <i>
      <x v="133"/>
      <x v="84"/>
      <x v="1"/>
    </i>
    <i r="1">
      <x v="161"/>
      <x v="1"/>
    </i>
    <i r="1">
      <x v="785"/>
      <x v="2"/>
    </i>
    <i r="1">
      <x v="1078"/>
      <x v="8"/>
    </i>
    <i r="1">
      <x v="1143"/>
      <x v="15"/>
    </i>
    <i r="1">
      <x v="1202"/>
      <x v="1"/>
    </i>
    <i>
      <x v="134"/>
      <x v="14"/>
      <x v="2"/>
    </i>
    <i>
      <x v="135"/>
      <x v="46"/>
      <x v="2"/>
    </i>
    <i r="1">
      <x v="161"/>
      <x v="2"/>
    </i>
    <i r="1">
      <x v="653"/>
      <x v="4"/>
    </i>
    <i r="1">
      <x v="1115"/>
      <x v="5"/>
    </i>
    <i>
      <x v="136"/>
      <x v="130"/>
      <x/>
    </i>
    <i>
      <x v="137"/>
      <x v="56"/>
      <x v="2"/>
    </i>
    <i>
      <x v="138"/>
      <x v="83"/>
      <x v="1"/>
    </i>
    <i r="1">
      <x v="161"/>
      <x v="1"/>
    </i>
    <i r="1">
      <x v="1184"/>
      <x v="1"/>
    </i>
    <i>
      <x v="139"/>
      <x v="118"/>
      <x/>
    </i>
    <i>
      <x v="140"/>
      <x v="79"/>
      <x v="1"/>
    </i>
    <i r="1">
      <x v="161"/>
      <x v="1"/>
    </i>
    <i>
      <x v="141"/>
      <x v="55"/>
      <x v="2"/>
    </i>
    <i>
      <x v="142"/>
      <x v="108"/>
      <x v="4"/>
    </i>
    <i r="1">
      <x v="1235"/>
      <x/>
    </i>
    <i>
      <x v="143"/>
      <x v="62"/>
      <x v="2"/>
    </i>
    <i>
      <x v="144"/>
      <x/>
      <x v="7"/>
    </i>
    <i>
      <x v="145"/>
      <x v="66"/>
      <x v="2"/>
    </i>
    <i r="1">
      <x v="161"/>
      <x v="2"/>
    </i>
    <i>
      <x v="146"/>
      <x v="2"/>
      <x v="7"/>
    </i>
    <i r="1">
      <x v="161"/>
      <x v="7"/>
    </i>
    <i>
      <x v="147"/>
      <x v="149"/>
      <x/>
    </i>
    <i>
      <x v="148"/>
      <x v="78"/>
      <x/>
    </i>
    <i r="1">
      <x v="1025"/>
      <x v="1"/>
    </i>
    <i>
      <x v="149"/>
      <x v="17"/>
      <x/>
    </i>
    <i>
      <x v="150"/>
      <x v="124"/>
      <x/>
    </i>
    <i>
      <x v="151"/>
      <x v="113"/>
      <x v="4"/>
    </i>
    <i>
      <x v="152"/>
      <x v="94"/>
      <x v="3"/>
    </i>
    <i>
      <x v="153"/>
      <x v="86"/>
      <x v="3"/>
    </i>
    <i r="1">
      <x v="161"/>
      <x v="3"/>
    </i>
    <i>
      <x v="154"/>
      <x v="57"/>
      <x v="2"/>
    </i>
    <i>
      <x v="155"/>
      <x v="60"/>
      <x v="2"/>
    </i>
    <i>
      <x v="156"/>
      <x v="161"/>
      <x/>
    </i>
    <i r="1">
      <x v="739"/>
      <x/>
    </i>
    <i>
      <x v="157"/>
      <x v="161"/>
      <x/>
    </i>
    <i r="1">
      <x v="860"/>
      <x/>
    </i>
    <i>
      <x v="158"/>
      <x v="161"/>
      <x/>
    </i>
    <i r="1">
      <x v="863"/>
      <x/>
    </i>
    <i>
      <x v="159"/>
      <x v="161"/>
      <x/>
    </i>
    <i>
      <x v="160"/>
      <x v="161"/>
      <x/>
    </i>
    <i>
      <x v="161"/>
      <x v="161"/>
      <x/>
    </i>
    <i r="1">
      <x v="961"/>
      <x/>
    </i>
    <i>
      <x v="162"/>
      <x v="161"/>
      <x/>
    </i>
    <i>
      <x v="163"/>
      <x v="161"/>
      <x/>
    </i>
    <i r="1">
      <x v="1154"/>
      <x/>
    </i>
    <i>
      <x v="164"/>
      <x v="161"/>
      <x v="1"/>
    </i>
    <i>
      <x v="165"/>
      <x v="161"/>
      <x v="1"/>
    </i>
    <i>
      <x v="166"/>
      <x v="161"/>
      <x v="1"/>
    </i>
    <i r="1">
      <x v="174"/>
      <x v="1"/>
    </i>
    <i>
      <x v="167"/>
      <x v="161"/>
      <x v="1"/>
    </i>
    <i>
      <x v="168"/>
      <x v="161"/>
      <x v="1"/>
    </i>
    <i>
      <x v="169"/>
      <x v="161"/>
      <x v="1"/>
    </i>
    <i r="1">
      <x v="451"/>
      <x v="1"/>
    </i>
    <i>
      <x v="170"/>
      <x v="161"/>
      <x v="1"/>
    </i>
    <i>
      <x v="171"/>
      <x v="161"/>
      <x v="1"/>
    </i>
    <i>
      <x v="172"/>
      <x v="161"/>
      <x v="1"/>
    </i>
    <i>
      <x v="173"/>
      <x v="161"/>
      <x v="1"/>
    </i>
    <i r="1">
      <x v="455"/>
      <x v="1"/>
    </i>
    <i>
      <x v="174"/>
      <x v="161"/>
      <x v="1"/>
    </i>
    <i r="1">
      <x v="1024"/>
      <x v="1"/>
    </i>
    <i>
      <x v="175"/>
      <x v="161"/>
      <x v="1"/>
    </i>
    <i>
      <x v="176"/>
      <x v="161"/>
      <x v="1"/>
    </i>
    <i>
      <x v="177"/>
      <x v="161"/>
      <x v="1"/>
    </i>
    <i>
      <x v="178"/>
      <x v="161"/>
      <x v="3"/>
    </i>
    <i>
      <x v="179"/>
      <x v="161"/>
      <x v="3"/>
    </i>
    <i>
      <x v="180"/>
      <x v="161"/>
      <x v="3"/>
    </i>
    <i>
      <x v="181"/>
      <x v="161"/>
      <x v="3"/>
    </i>
    <i>
      <x v="182"/>
      <x v="161"/>
      <x v="3"/>
    </i>
    <i>
      <x v="183"/>
      <x v="161"/>
      <x v="3"/>
    </i>
    <i>
      <x v="184"/>
      <x v="161"/>
      <x v="3"/>
    </i>
    <i>
      <x v="185"/>
      <x v="161"/>
      <x v="3"/>
    </i>
    <i>
      <x v="186"/>
      <x v="161"/>
      <x v="3"/>
    </i>
    <i>
      <x v="187"/>
      <x v="161"/>
      <x v="3"/>
    </i>
    <i>
      <x v="188"/>
      <x v="161"/>
      <x v="3"/>
    </i>
    <i>
      <x v="189"/>
      <x v="161"/>
      <x v="3"/>
    </i>
    <i>
      <x v="190"/>
      <x v="161"/>
      <x v="3"/>
    </i>
    <i>
      <x v="191"/>
      <x v="161"/>
      <x v="3"/>
    </i>
    <i r="1">
      <x v="323"/>
      <x v="1"/>
    </i>
    <i>
      <x v="192"/>
      <x v="161"/>
      <x v="3"/>
    </i>
    <i>
      <x v="193"/>
      <x v="161"/>
      <x v="3"/>
    </i>
    <i>
      <x v="194"/>
      <x v="161"/>
      <x v="3"/>
    </i>
    <i>
      <x v="195"/>
      <x v="161"/>
      <x v="3"/>
    </i>
    <i r="1">
      <x v="925"/>
      <x v="1"/>
    </i>
    <i>
      <x v="196"/>
      <x v="161"/>
      <x v="3"/>
    </i>
    <i>
      <x v="197"/>
      <x v="161"/>
      <x v="3"/>
    </i>
    <i>
      <x v="198"/>
      <x v="161"/>
      <x v="3"/>
    </i>
    <i>
      <x v="199"/>
      <x v="161"/>
      <x v="3"/>
    </i>
    <i>
      <x v="200"/>
      <x v="161"/>
      <x v="3"/>
    </i>
    <i>
      <x v="201"/>
      <x v="161"/>
      <x v="4"/>
    </i>
    <i>
      <x v="202"/>
      <x v="161"/>
      <x v="4"/>
    </i>
    <i r="1">
      <x v="635"/>
      <x v="2"/>
    </i>
    <i>
      <x v="203"/>
      <x v="161"/>
      <x v="4"/>
    </i>
    <i>
      <x v="204"/>
      <x v="161"/>
      <x v="4"/>
    </i>
    <i r="1">
      <x v="747"/>
      <x v="2"/>
    </i>
    <i>
      <x v="205"/>
      <x v="161"/>
      <x v="4"/>
    </i>
    <i>
      <x v="206"/>
      <x v="161"/>
      <x v="4"/>
    </i>
    <i>
      <x v="207"/>
      <x v="161"/>
      <x v="4"/>
    </i>
    <i>
      <x v="208"/>
      <x v="161"/>
      <x v="4"/>
    </i>
    <i>
      <x v="209"/>
      <x v="161"/>
      <x v="4"/>
    </i>
    <i r="1">
      <x v="1104"/>
      <x v="4"/>
    </i>
    <i>
      <x v="210"/>
      <x v="161"/>
      <x v="4"/>
    </i>
    <i r="1">
      <x v="752"/>
      <x v="2"/>
    </i>
    <i r="1">
      <x v="1163"/>
      <x v="15"/>
    </i>
    <i>
      <x v="211"/>
      <x v="161"/>
      <x v="4"/>
    </i>
    <i>
      <x v="212"/>
      <x v="161"/>
      <x v="4"/>
    </i>
    <i>
      <x v="213"/>
      <x v="161"/>
      <x v="4"/>
    </i>
    <i>
      <x v="214"/>
      <x v="161"/>
      <x v="4"/>
    </i>
    <i>
      <x v="215"/>
      <x v="161"/>
      <x v="4"/>
    </i>
    <i r="1">
      <x v="593"/>
      <x v="8"/>
    </i>
    <i>
      <x v="216"/>
      <x v="161"/>
      <x v="4"/>
    </i>
    <i r="1">
      <x v="710"/>
      <x v="4"/>
    </i>
    <i>
      <x v="217"/>
      <x v="161"/>
      <x v="4"/>
    </i>
    <i>
      <x v="218"/>
      <x v="161"/>
      <x v="4"/>
    </i>
    <i>
      <x v="219"/>
      <x v="161"/>
      <x v="4"/>
    </i>
    <i>
      <x v="220"/>
      <x v="161"/>
      <x v="4"/>
    </i>
    <i>
      <x v="221"/>
      <x v="161"/>
      <x v="4"/>
    </i>
    <i>
      <x v="222"/>
      <x v="161"/>
      <x v="4"/>
    </i>
    <i>
      <x v="223"/>
      <x v="161"/>
      <x v="4"/>
    </i>
    <i>
      <x v="224"/>
      <x v="161"/>
      <x v="4"/>
    </i>
    <i r="1">
      <x v="1017"/>
      <x v="2"/>
    </i>
    <i>
      <x v="225"/>
      <x v="161"/>
      <x v="4"/>
    </i>
    <i r="1">
      <x v="186"/>
      <x v="15"/>
    </i>
    <i r="1">
      <x v="419"/>
      <x v="5"/>
    </i>
    <i r="1">
      <x v="679"/>
      <x v="5"/>
    </i>
    <i r="1">
      <x v="700"/>
      <x v="2"/>
    </i>
    <i r="1">
      <x v="1132"/>
      <x v="4"/>
    </i>
    <i>
      <x v="226"/>
      <x v="161"/>
      <x v="4"/>
    </i>
    <i r="1">
      <x v="588"/>
      <x v="19"/>
    </i>
    <i>
      <x v="227"/>
      <x v="161"/>
      <x v="4"/>
    </i>
    <i r="1">
      <x v="385"/>
      <x v="1"/>
    </i>
    <i r="1">
      <x v="1130"/>
      <x v="4"/>
    </i>
    <i>
      <x v="228"/>
      <x v="161"/>
      <x v="4"/>
    </i>
    <i>
      <x v="229"/>
      <x v="161"/>
      <x v="4"/>
    </i>
    <i>
      <x v="230"/>
      <x v="161"/>
      <x v="4"/>
    </i>
    <i r="1">
      <x v="1300"/>
      <x v="4"/>
    </i>
    <i>
      <x v="231"/>
      <x v="161"/>
      <x v="8"/>
    </i>
    <i r="1">
      <x v="191"/>
      <x v="8"/>
    </i>
    <i>
      <x v="232"/>
      <x v="161"/>
      <x v="8"/>
    </i>
    <i>
      <x v="233"/>
      <x v="161"/>
      <x v="8"/>
    </i>
    <i>
      <x v="234"/>
      <x v="161"/>
      <x v="8"/>
    </i>
    <i>
      <x v="235"/>
      <x v="161"/>
      <x v="2"/>
    </i>
    <i r="2">
      <x v="8"/>
    </i>
    <i r="1">
      <x v="213"/>
      <x/>
    </i>
    <i r="1">
      <x v="295"/>
      <x v="1"/>
    </i>
    <i r="1">
      <x v="326"/>
      <x v="2"/>
    </i>
    <i>
      <x v="236"/>
      <x v="161"/>
      <x v="8"/>
    </i>
    <i>
      <x v="237"/>
      <x v="161"/>
      <x v="8"/>
    </i>
    <i>
      <x v="238"/>
      <x v="161"/>
      <x v="8"/>
    </i>
    <i>
      <x v="239"/>
      <x v="161"/>
      <x v="8"/>
    </i>
    <i>
      <x v="240"/>
      <x v="161"/>
      <x v="9"/>
    </i>
    <i>
      <x v="241"/>
      <x v="161"/>
      <x v="9"/>
    </i>
    <i>
      <x v="242"/>
      <x v="161"/>
      <x v="9"/>
    </i>
    <i>
      <x v="243"/>
      <x v="161"/>
      <x v="9"/>
    </i>
    <i>
      <x v="244"/>
      <x v="161"/>
      <x v="9"/>
    </i>
    <i>
      <x v="245"/>
      <x v="161"/>
      <x v="2"/>
    </i>
    <i>
      <x v="246"/>
      <x v="161"/>
      <x v="2"/>
    </i>
    <i r="1">
      <x v="339"/>
      <x v="2"/>
    </i>
    <i>
      <x v="247"/>
      <x v="161"/>
      <x v="2"/>
    </i>
    <i r="1">
      <x v="344"/>
      <x v="2"/>
    </i>
    <i>
      <x v="248"/>
      <x v="161"/>
      <x v="2"/>
    </i>
    <i r="1">
      <x v="343"/>
      <x v="2"/>
    </i>
    <i r="1">
      <x v="1285"/>
      <x v="9"/>
    </i>
    <i>
      <x v="249"/>
      <x v="161"/>
      <x v="2"/>
    </i>
    <i r="1">
      <x v="341"/>
      <x v="2"/>
    </i>
    <i>
      <x v="250"/>
      <x v="161"/>
      <x v="2"/>
    </i>
    <i>
      <x v="251"/>
      <x v="161"/>
      <x v="2"/>
    </i>
    <i r="1">
      <x v="327"/>
      <x v="2"/>
    </i>
    <i>
      <x v="252"/>
      <x v="161"/>
      <x v="2"/>
    </i>
    <i>
      <x v="253"/>
      <x v="161"/>
      <x v="2"/>
    </i>
    <i>
      <x v="254"/>
      <x v="161"/>
      <x v="2"/>
    </i>
    <i r="1">
      <x v="334"/>
      <x v="2"/>
    </i>
    <i>
      <x v="255"/>
      <x v="161"/>
      <x v="2"/>
    </i>
    <i r="1">
      <x v="331"/>
      <x v="2"/>
    </i>
    <i r="1">
      <x v="843"/>
      <x v="15"/>
    </i>
    <i>
      <x v="256"/>
      <x v="161"/>
      <x v="2"/>
    </i>
    <i>
      <x v="257"/>
      <x v="161"/>
      <x v="2"/>
    </i>
    <i>
      <x v="258"/>
      <x v="161"/>
      <x v="2"/>
    </i>
    <i>
      <x v="259"/>
      <x v="161"/>
      <x v="2"/>
    </i>
    <i r="1">
      <x v="381"/>
      <x v="2"/>
    </i>
    <i>
      <x v="260"/>
      <x v="161"/>
      <x v="2"/>
    </i>
    <i>
      <x v="261"/>
      <x v="161"/>
      <x v="2"/>
    </i>
    <i>
      <x v="262"/>
      <x v="161"/>
      <x v="2"/>
    </i>
    <i>
      <x v="263"/>
      <x v="161"/>
      <x v="2"/>
    </i>
    <i r="1">
      <x v="421"/>
      <x v="2"/>
    </i>
    <i>
      <x v="264"/>
      <x v="161"/>
      <x v="2"/>
    </i>
    <i>
      <x v="265"/>
      <x v="161"/>
      <x v="2"/>
    </i>
    <i>
      <x v="266"/>
      <x v="161"/>
      <x v="2"/>
    </i>
    <i>
      <x v="267"/>
      <x v="161"/>
      <x v="2"/>
    </i>
    <i r="1">
      <x v="428"/>
      <x v="2"/>
    </i>
    <i>
      <x v="268"/>
      <x v="161"/>
      <x v="2"/>
    </i>
    <i r="1">
      <x v="429"/>
      <x v="2"/>
    </i>
    <i>
      <x v="269"/>
      <x v="161"/>
      <x v="2"/>
    </i>
    <i>
      <x v="270"/>
      <x v="161"/>
      <x v="2"/>
    </i>
    <i>
      <x v="271"/>
      <x v="161"/>
      <x v="2"/>
    </i>
    <i>
      <x v="272"/>
      <x v="161"/>
      <x v="2"/>
    </i>
    <i>
      <x v="273"/>
      <x v="161"/>
      <x v="2"/>
    </i>
    <i>
      <x v="274"/>
      <x v="161"/>
      <x v="2"/>
    </i>
    <i r="1">
      <x v="437"/>
      <x v="2"/>
    </i>
    <i>
      <x v="275"/>
      <x v="161"/>
      <x v="2"/>
    </i>
    <i>
      <x v="276"/>
      <x v="161"/>
      <x v="2"/>
    </i>
    <i r="1">
      <x v="773"/>
      <x v="2"/>
    </i>
    <i>
      <x v="277"/>
      <x v="161"/>
      <x v="2"/>
    </i>
    <i>
      <x v="278"/>
      <x v="161"/>
      <x v="2"/>
    </i>
    <i r="1">
      <x v="782"/>
      <x v="2"/>
    </i>
    <i>
      <x v="279"/>
      <x v="161"/>
      <x v="2"/>
    </i>
    <i r="1">
      <x v="780"/>
      <x v="2"/>
    </i>
    <i>
      <x v="280"/>
      <x v="161"/>
      <x v="2"/>
    </i>
    <i>
      <x v="281"/>
      <x v="161"/>
      <x v="2"/>
    </i>
    <i r="1">
      <x v="767"/>
      <x v="2"/>
    </i>
    <i>
      <x v="282"/>
      <x v="161"/>
      <x v="2"/>
    </i>
    <i>
      <x v="283"/>
      <x v="161"/>
      <x v="2"/>
    </i>
    <i>
      <x v="284"/>
      <x v="161"/>
      <x v="2"/>
    </i>
    <i>
      <x v="285"/>
      <x v="161"/>
      <x v="2"/>
    </i>
    <i>
      <x v="286"/>
      <x v="161"/>
      <x v="2"/>
    </i>
    <i r="1">
      <x v="776"/>
      <x v="2"/>
    </i>
    <i>
      <x v="287"/>
      <x v="161"/>
      <x v="2"/>
    </i>
    <i r="1">
      <x v="788"/>
      <x v="2"/>
    </i>
    <i>
      <x v="288"/>
      <x v="161"/>
      <x v="2"/>
    </i>
    <i r="1">
      <x v="750"/>
      <x v="2"/>
    </i>
    <i r="1">
      <x v="1331"/>
      <x v="2"/>
    </i>
    <i>
      <x v="289"/>
      <x v="161"/>
      <x v="2"/>
    </i>
    <i r="1">
      <x v="163"/>
      <x v="4"/>
    </i>
    <i r="1">
      <x v="812"/>
      <x v="2"/>
    </i>
    <i r="1">
      <x v="1169"/>
      <x v="5"/>
    </i>
    <i>
      <x v="290"/>
      <x v="161"/>
      <x v="2"/>
    </i>
    <i>
      <x v="291"/>
      <x v="161"/>
      <x v="2"/>
    </i>
    <i>
      <x v="292"/>
      <x v="161"/>
      <x v="5"/>
    </i>
    <i r="1">
      <x v="474"/>
      <x v="5"/>
    </i>
    <i>
      <x v="293"/>
      <x v="161"/>
      <x v="5"/>
    </i>
    <i>
      <x v="294"/>
      <x v="161"/>
      <x v="5"/>
    </i>
    <i>
      <x v="295"/>
      <x v="161"/>
      <x v="5"/>
    </i>
    <i>
      <x v="296"/>
      <x v="161"/>
      <x v="5"/>
    </i>
    <i>
      <x v="297"/>
      <x v="161"/>
      <x v="5"/>
    </i>
    <i r="1">
      <x v="652"/>
      <x v="4"/>
    </i>
    <i>
      <x v="298"/>
      <x v="161"/>
      <x v="5"/>
    </i>
    <i>
      <x v="299"/>
      <x v="161"/>
      <x v="5"/>
    </i>
    <i>
      <x v="300"/>
      <x v="161"/>
      <x v="5"/>
    </i>
    <i>
      <x v="301"/>
      <x v="161"/>
      <x v="5"/>
    </i>
    <i>
      <x v="302"/>
      <x v="161"/>
      <x v="5"/>
    </i>
    <i r="1">
      <x v="1173"/>
      <x v="5"/>
    </i>
    <i>
      <x v="303"/>
      <x v="161"/>
      <x v="5"/>
    </i>
    <i>
      <x v="304"/>
      <x v="161"/>
      <x v="5"/>
    </i>
    <i>
      <x v="305"/>
      <x v="161"/>
      <x v="5"/>
    </i>
    <i>
      <x v="306"/>
      <x v="161"/>
      <x v="5"/>
    </i>
    <i>
      <x v="307"/>
      <x v="161"/>
      <x v="5"/>
    </i>
    <i r="1">
      <x v="1223"/>
      <x v="5"/>
    </i>
    <i>
      <x v="308"/>
      <x v="161"/>
      <x v="5"/>
    </i>
    <i>
      <x v="309"/>
      <x v="161"/>
      <x v="5"/>
    </i>
    <i r="1">
      <x v="1221"/>
      <x v="5"/>
    </i>
    <i>
      <x v="310"/>
      <x v="161"/>
      <x v="5"/>
    </i>
    <i>
      <x v="311"/>
      <x v="161"/>
      <x v="5"/>
    </i>
    <i>
      <x v="312"/>
      <x v="161"/>
      <x v="5"/>
    </i>
    <i>
      <x v="313"/>
      <x v="161"/>
      <x v="10"/>
    </i>
    <i>
      <x v="314"/>
      <x v="161"/>
      <x v="10"/>
    </i>
    <i>
      <x v="315"/>
      <x v="161"/>
      <x v="10"/>
    </i>
    <i r="1">
      <x v="1277"/>
      <x v="10"/>
    </i>
    <i>
      <x v="316"/>
      <x v="161"/>
      <x v="10"/>
    </i>
    <i>
      <x v="317"/>
      <x v="161"/>
      <x v="10"/>
    </i>
    <i r="1">
      <x v="1276"/>
      <x v="10"/>
    </i>
    <i r="1">
      <x v="1329"/>
      <x v="11"/>
    </i>
    <i>
      <x v="318"/>
      <x v="161"/>
      <x v="10"/>
    </i>
    <i>
      <x v="319"/>
      <x v="161"/>
      <x v="10"/>
    </i>
    <i r="1">
      <x v="1341"/>
      <x v="10"/>
    </i>
    <i>
      <x v="320"/>
      <x v="161"/>
      <x v="12"/>
    </i>
    <i r="1">
      <x v="967"/>
      <x v="12"/>
    </i>
    <i r="1">
      <x v="1123"/>
      <x v="10"/>
    </i>
    <i r="1">
      <x v="1231"/>
      <x v="11"/>
    </i>
    <i>
      <x v="321"/>
      <x v="161"/>
      <x v="13"/>
    </i>
    <i r="1">
      <x v="920"/>
      <x v="12"/>
    </i>
    <i>
      <x v="322"/>
      <x v="161"/>
      <x v="7"/>
    </i>
    <i>
      <x v="323"/>
      <x v="161"/>
      <x v="7"/>
    </i>
    <i>
      <x v="324"/>
      <x v="161"/>
      <x v="7"/>
    </i>
    <i>
      <x v="325"/>
      <x v="161"/>
      <x v="7"/>
    </i>
    <i>
      <x v="326"/>
      <x v="161"/>
      <x v="7"/>
    </i>
    <i>
      <x v="327"/>
      <x v="162"/>
      <x v="4"/>
    </i>
    <i>
      <x v="328"/>
      <x v="164"/>
      <x v="4"/>
    </i>
    <i>
      <x v="329"/>
      <x v="165"/>
      <x v="4"/>
    </i>
    <i>
      <x v="330"/>
      <x v="167"/>
      <x v="11"/>
    </i>
    <i>
      <x v="331"/>
      <x v="168"/>
      <x v="11"/>
    </i>
    <i>
      <x v="332"/>
      <x v="169"/>
      <x v="11"/>
    </i>
    <i>
      <x v="333"/>
      <x v="170"/>
      <x v="11"/>
    </i>
    <i>
      <x v="334"/>
      <x v="171"/>
      <x v="11"/>
    </i>
    <i>
      <x v="335"/>
      <x v="172"/>
      <x v="1"/>
    </i>
    <i>
      <x v="336"/>
      <x v="173"/>
      <x v="1"/>
    </i>
    <i>
      <x v="337"/>
      <x v="175"/>
      <x v="1"/>
    </i>
    <i>
      <x v="338"/>
      <x v="176"/>
      <x v="1"/>
    </i>
    <i>
      <x v="339"/>
      <x v="177"/>
      <x v="1"/>
    </i>
    <i r="1">
      <x v="516"/>
      <x v="2"/>
    </i>
    <i>
      <x v="340"/>
      <x v="178"/>
      <x v="1"/>
    </i>
    <i>
      <x v="341"/>
      <x v="179"/>
      <x v="14"/>
    </i>
    <i>
      <x v="342"/>
      <x v="180"/>
      <x v="14"/>
    </i>
    <i>
      <x v="343"/>
      <x v="181"/>
      <x v="14"/>
    </i>
    <i>
      <x v="344"/>
      <x v="182"/>
      <x v="10"/>
    </i>
    <i>
      <x v="345"/>
      <x v="183"/>
      <x v="4"/>
    </i>
    <i r="1">
      <x v="570"/>
      <x v="19"/>
    </i>
    <i r="1">
      <x v="608"/>
      <x v="4"/>
    </i>
    <i r="1">
      <x v="859"/>
      <x/>
    </i>
    <i r="1">
      <x v="1211"/>
      <x v="5"/>
    </i>
    <i>
      <x v="346"/>
      <x v="184"/>
      <x v="4"/>
    </i>
    <i>
      <x v="347"/>
      <x v="185"/>
      <x v="15"/>
    </i>
    <i>
      <x v="348"/>
      <x v="187"/>
      <x v="4"/>
    </i>
    <i>
      <x v="349"/>
      <x v="188"/>
      <x v="4"/>
    </i>
    <i r="1">
      <x v="374"/>
      <x v="2"/>
    </i>
    <i r="1">
      <x v="946"/>
      <x v="15"/>
    </i>
    <i>
      <x v="350"/>
      <x v="189"/>
      <x v="4"/>
    </i>
    <i>
      <x v="351"/>
      <x v="190"/>
      <x v="4"/>
    </i>
    <i>
      <x v="352"/>
      <x v="192"/>
      <x v="8"/>
    </i>
    <i>
      <x v="353"/>
      <x v="193"/>
      <x v="5"/>
    </i>
    <i>
      <x v="354"/>
      <x v="194"/>
      <x v="5"/>
    </i>
    <i>
      <x v="355"/>
      <x v="195"/>
      <x v="5"/>
    </i>
    <i>
      <x v="356"/>
      <x v="196"/>
      <x v="5"/>
    </i>
    <i>
      <x v="357"/>
      <x v="197"/>
      <x v="5"/>
    </i>
    <i>
      <x v="358"/>
      <x v="198"/>
      <x v="5"/>
    </i>
    <i>
      <x v="359"/>
      <x v="199"/>
      <x v="5"/>
    </i>
    <i>
      <x v="360"/>
      <x v="200"/>
      <x v="5"/>
    </i>
    <i r="1">
      <x v="952"/>
      <x/>
    </i>
    <i r="1">
      <x v="1296"/>
      <x v="4"/>
    </i>
    <i>
      <x v="361"/>
      <x v="201"/>
      <x v="5"/>
    </i>
    <i r="1">
      <x v="353"/>
      <x v="2"/>
    </i>
    <i>
      <x v="362"/>
      <x v="202"/>
      <x v="5"/>
    </i>
    <i r="1">
      <x v="791"/>
      <x/>
    </i>
    <i>
      <x v="363"/>
      <x v="203"/>
      <x v="1"/>
    </i>
    <i>
      <x v="364"/>
      <x v="204"/>
      <x v="1"/>
    </i>
    <i>
      <x v="365"/>
      <x v="205"/>
      <x v="1"/>
    </i>
    <i>
      <x v="366"/>
      <x v="206"/>
      <x v="1"/>
    </i>
    <i>
      <x v="367"/>
      <x v="207"/>
      <x v="1"/>
    </i>
    <i>
      <x v="368"/>
      <x v="208"/>
      <x/>
    </i>
    <i>
      <x v="369"/>
      <x v="210"/>
      <x/>
    </i>
    <i>
      <x v="370"/>
      <x v="211"/>
      <x/>
    </i>
    <i r="1">
      <x v="846"/>
      <x v="15"/>
    </i>
    <i r="1">
      <x v="1186"/>
      <x v="1"/>
    </i>
    <i>
      <x v="371"/>
      <x v="212"/>
      <x/>
    </i>
    <i>
      <x v="372"/>
      <x v="214"/>
      <x/>
    </i>
    <i>
      <x v="373"/>
      <x v="215"/>
      <x/>
    </i>
    <i>
      <x v="374"/>
      <x v="216"/>
      <x/>
    </i>
    <i>
      <x v="375"/>
      <x v="217"/>
      <x v="12"/>
    </i>
    <i>
      <x v="376"/>
      <x v="218"/>
      <x v="12"/>
    </i>
    <i r="1">
      <x v="1319"/>
      <x v="10"/>
    </i>
    <i>
      <x v="377"/>
      <x v="219"/>
      <x v="11"/>
    </i>
    <i>
      <x v="378"/>
      <x v="220"/>
      <x v="11"/>
    </i>
    <i>
      <x v="379"/>
      <x v="221"/>
      <x v="1"/>
    </i>
    <i>
      <x v="380"/>
      <x v="223"/>
      <x v="1"/>
    </i>
    <i>
      <x v="381"/>
      <x v="224"/>
      <x v="1"/>
    </i>
    <i r="1">
      <x v="1194"/>
      <x v="1"/>
    </i>
    <i>
      <x v="382"/>
      <x v="225"/>
      <x v="1"/>
    </i>
    <i>
      <x v="383"/>
      <x v="226"/>
      <x v="1"/>
    </i>
    <i>
      <x v="384"/>
      <x v="227"/>
      <x v="12"/>
    </i>
    <i>
      <x v="385"/>
      <x v="228"/>
      <x v="12"/>
    </i>
    <i>
      <x v="386"/>
      <x v="229"/>
      <x v="12"/>
    </i>
    <i>
      <x v="387"/>
      <x v="230"/>
      <x v="11"/>
    </i>
    <i r="1">
      <x v="971"/>
      <x v="12"/>
    </i>
    <i r="1">
      <x v="1133"/>
      <x v="4"/>
    </i>
    <i>
      <x v="388"/>
      <x v="231"/>
      <x v="11"/>
    </i>
    <i>
      <x v="389"/>
      <x v="232"/>
      <x v="14"/>
    </i>
    <i>
      <x v="390"/>
      <x v="233"/>
      <x v="14"/>
    </i>
    <i>
      <x v="391"/>
      <x v="234"/>
      <x v="14"/>
    </i>
    <i>
      <x v="392"/>
      <x v="235"/>
      <x v="14"/>
    </i>
    <i>
      <x v="393"/>
      <x v="236"/>
      <x v="14"/>
    </i>
    <i>
      <x v="394"/>
      <x v="237"/>
      <x v="14"/>
    </i>
    <i>
      <x v="395"/>
      <x v="238"/>
      <x v="1"/>
    </i>
    <i>
      <x v="396"/>
      <x v="239"/>
      <x v="1"/>
    </i>
    <i>
      <x v="397"/>
      <x v="240"/>
      <x v="1"/>
    </i>
    <i r="1">
      <x v="559"/>
      <x v="9"/>
    </i>
    <i>
      <x v="398"/>
      <x v="241"/>
      <x v="1"/>
    </i>
    <i r="1">
      <x v="363"/>
      <x v="1"/>
    </i>
    <i>
      <x v="399"/>
      <x v="242"/>
      <x v="1"/>
    </i>
    <i>
      <x v="400"/>
      <x v="243"/>
      <x v="1"/>
    </i>
    <i>
      <x v="401"/>
      <x v="244"/>
      <x v="1"/>
    </i>
    <i>
      <x v="402"/>
      <x v="246"/>
      <x v="1"/>
    </i>
    <i>
      <x v="403"/>
      <x v="247"/>
      <x v="1"/>
    </i>
    <i>
      <x v="404"/>
      <x v="248"/>
      <x v="10"/>
    </i>
    <i r="1">
      <x v="851"/>
      <x v="15"/>
    </i>
    <i>
      <x v="405"/>
      <x v="249"/>
      <x v="10"/>
    </i>
    <i>
      <x v="406"/>
      <x v="250"/>
      <x v="2"/>
    </i>
    <i>
      <x v="407"/>
      <x v="251"/>
      <x v="2"/>
    </i>
    <i>
      <x v="408"/>
      <x v="252"/>
      <x v="2"/>
    </i>
    <i r="1">
      <x v="510"/>
      <x v="2"/>
    </i>
    <i>
      <x v="409"/>
      <x v="253"/>
      <x v="2"/>
    </i>
    <i>
      <x v="410"/>
      <x v="254"/>
      <x v="2"/>
    </i>
    <i>
      <x v="411"/>
      <x v="255"/>
      <x v="2"/>
    </i>
    <i r="1">
      <x v="603"/>
      <x v="17"/>
    </i>
    <i>
      <x v="412"/>
      <x v="256"/>
      <x v="2"/>
    </i>
    <i>
      <x v="413"/>
      <x v="257"/>
      <x v="2"/>
    </i>
    <i>
      <x v="414"/>
      <x v="258"/>
      <x v="2"/>
    </i>
    <i>
      <x v="415"/>
      <x v="259"/>
      <x v="2"/>
    </i>
    <i>
      <x v="416"/>
      <x v="260"/>
      <x v="2"/>
    </i>
    <i>
      <x v="417"/>
      <x v="261"/>
      <x v="2"/>
    </i>
    <i>
      <x v="418"/>
      <x v="262"/>
      <x v="2"/>
    </i>
    <i>
      <x v="419"/>
      <x v="263"/>
      <x v="2"/>
    </i>
    <i>
      <x v="420"/>
      <x v="264"/>
      <x v="2"/>
    </i>
    <i>
      <x v="421"/>
      <x v="265"/>
      <x v="2"/>
    </i>
    <i>
      <x v="422"/>
      <x v="266"/>
      <x v="2"/>
    </i>
    <i>
      <x v="423"/>
      <x v="267"/>
      <x v="2"/>
    </i>
    <i>
      <x v="424"/>
      <x v="268"/>
      <x v="2"/>
    </i>
    <i>
      <x v="425"/>
      <x v="269"/>
      <x v="2"/>
    </i>
    <i>
      <x v="426"/>
      <x v="270"/>
      <x v="2"/>
    </i>
    <i>
      <x v="427"/>
      <x v="271"/>
      <x v="2"/>
    </i>
    <i>
      <x v="428"/>
      <x v="272"/>
      <x v="2"/>
    </i>
    <i>
      <x v="429"/>
      <x v="273"/>
      <x v="2"/>
    </i>
    <i>
      <x v="430"/>
      <x v="274"/>
      <x v="2"/>
    </i>
    <i>
      <x v="431"/>
      <x v="275"/>
      <x v="2"/>
    </i>
    <i>
      <x v="432"/>
      <x v="276"/>
      <x v="2"/>
    </i>
    <i r="1">
      <x v="714"/>
      <x v="5"/>
    </i>
    <i>
      <x v="433"/>
      <x v="277"/>
      <x v="2"/>
    </i>
    <i r="1">
      <x v="978"/>
      <x v="4"/>
    </i>
    <i r="1">
      <x v="1245"/>
      <x/>
    </i>
    <i>
      <x v="434"/>
      <x v="278"/>
      <x v="2"/>
    </i>
    <i>
      <x v="435"/>
      <x v="279"/>
      <x v="2"/>
    </i>
    <i>
      <x v="436"/>
      <x v="280"/>
      <x v="2"/>
    </i>
    <i>
      <x v="437"/>
      <x v="281"/>
      <x v="2"/>
    </i>
    <i r="1">
      <x v="642"/>
      <x v="2"/>
    </i>
    <i>
      <x v="438"/>
      <x v="283"/>
      <x v="2"/>
    </i>
    <i>
      <x v="439"/>
      <x v="284"/>
      <x v="2"/>
    </i>
    <i>
      <x v="440"/>
      <x v="285"/>
      <x v="2"/>
    </i>
    <i>
      <x v="441"/>
      <x v="286"/>
      <x v="2"/>
    </i>
    <i>
      <x v="442"/>
      <x v="287"/>
      <x v="2"/>
    </i>
    <i>
      <x v="443"/>
      <x v="288"/>
      <x v="2"/>
    </i>
    <i>
      <x v="444"/>
      <x v="289"/>
      <x v="2"/>
    </i>
    <i>
      <x v="445"/>
      <x v="290"/>
      <x v="2"/>
    </i>
    <i>
      <x v="446"/>
      <x v="291"/>
      <x v="2"/>
    </i>
    <i>
      <x v="447"/>
      <x v="292"/>
      <x v="1"/>
    </i>
    <i>
      <x v="448"/>
      <x v="293"/>
      <x v="1"/>
    </i>
    <i>
      <x v="449"/>
      <x v="294"/>
      <x v="1"/>
    </i>
    <i>
      <x v="450"/>
      <x v="296"/>
      <x v="1"/>
    </i>
    <i>
      <x v="451"/>
      <x v="297"/>
      <x v="1"/>
    </i>
    <i>
      <x v="452"/>
      <x v="298"/>
      <x v="1"/>
    </i>
    <i>
      <x v="453"/>
      <x v="299"/>
      <x v="1"/>
    </i>
    <i>
      <x v="454"/>
      <x v="300"/>
      <x v="1"/>
    </i>
    <i>
      <x v="455"/>
      <x v="301"/>
      <x v="1"/>
    </i>
    <i>
      <x v="456"/>
      <x v="302"/>
      <x v="1"/>
    </i>
    <i>
      <x v="457"/>
      <x v="303"/>
      <x v="1"/>
    </i>
    <i>
      <x v="458"/>
      <x v="304"/>
      <x v="1"/>
    </i>
    <i>
      <x v="459"/>
      <x v="305"/>
      <x v="1"/>
    </i>
    <i>
      <x v="460"/>
      <x v="306"/>
      <x v="1"/>
    </i>
    <i>
      <x v="461"/>
      <x v="307"/>
      <x v="1"/>
    </i>
    <i r="1">
      <x v="552"/>
      <x v="18"/>
    </i>
    <i>
      <x v="462"/>
      <x v="308"/>
      <x v="1"/>
    </i>
    <i>
      <x v="463"/>
      <x v="309"/>
      <x v="1"/>
    </i>
    <i>
      <x v="464"/>
      <x v="310"/>
      <x v="1"/>
    </i>
    <i>
      <x v="465"/>
      <x v="311"/>
      <x v="1"/>
    </i>
    <i>
      <x v="466"/>
      <x v="312"/>
      <x v="1"/>
    </i>
    <i>
      <x v="467"/>
      <x v="313"/>
      <x v="1"/>
    </i>
    <i>
      <x v="468"/>
      <x v="314"/>
      <x v="1"/>
    </i>
    <i>
      <x v="469"/>
      <x v="315"/>
      <x v="1"/>
    </i>
    <i>
      <x v="470"/>
      <x v="316"/>
      <x v="1"/>
    </i>
    <i>
      <x v="471"/>
      <x v="317"/>
      <x v="1"/>
    </i>
    <i>
      <x v="472"/>
      <x v="318"/>
      <x v="1"/>
    </i>
    <i>
      <x v="473"/>
      <x v="319"/>
      <x v="1"/>
    </i>
    <i>
      <x v="474"/>
      <x v="320"/>
      <x v="1"/>
    </i>
    <i>
      <x v="475"/>
      <x v="321"/>
      <x v="1"/>
    </i>
    <i>
      <x v="476"/>
      <x v="322"/>
      <x v="1"/>
    </i>
    <i>
      <x v="477"/>
      <x v="324"/>
      <x v="2"/>
    </i>
    <i>
      <x v="478"/>
      <x v="325"/>
      <x v="2"/>
    </i>
    <i>
      <x v="479"/>
      <x v="328"/>
      <x v="2"/>
    </i>
    <i>
      <x v="480"/>
      <x v="329"/>
      <x v="2"/>
    </i>
    <i>
      <x v="481"/>
      <x v="330"/>
      <x v="2"/>
    </i>
    <i>
      <x v="482"/>
      <x v="332"/>
      <x v="2"/>
    </i>
    <i>
      <x v="483"/>
      <x v="333"/>
      <x v="2"/>
    </i>
    <i>
      <x v="484"/>
      <x v="335"/>
      <x v="2"/>
    </i>
    <i>
      <x v="485"/>
      <x v="336"/>
      <x v="2"/>
    </i>
    <i>
      <x v="486"/>
      <x v="337"/>
      <x v="2"/>
    </i>
    <i>
      <x v="487"/>
      <x v="338"/>
      <x v="2"/>
    </i>
    <i>
      <x v="488"/>
      <x v="340"/>
      <x v="2"/>
    </i>
    <i>
      <x v="489"/>
      <x v="342"/>
      <x v="2"/>
    </i>
    <i>
      <x v="490"/>
      <x v="345"/>
      <x v="2"/>
    </i>
    <i>
      <x v="491"/>
      <x v="346"/>
      <x v="2"/>
    </i>
    <i>
      <x v="492"/>
      <x v="347"/>
      <x v="2"/>
    </i>
    <i>
      <x v="493"/>
      <x v="348"/>
      <x v="2"/>
    </i>
    <i>
      <x v="494"/>
      <x v="349"/>
      <x v="2"/>
    </i>
    <i>
      <x v="495"/>
      <x v="350"/>
      <x v="2"/>
    </i>
    <i>
      <x v="496"/>
      <x v="351"/>
      <x v="2"/>
    </i>
    <i>
      <x v="497"/>
      <x v="352"/>
      <x v="2"/>
    </i>
    <i r="1">
      <x v="1131"/>
      <x v="4"/>
    </i>
    <i>
      <x v="498"/>
      <x v="354"/>
      <x v="2"/>
    </i>
    <i r="1">
      <x v="522"/>
      <x v="2"/>
    </i>
    <i>
      <x v="499"/>
      <x v="355"/>
      <x v="10"/>
    </i>
    <i r="1">
      <x v="808"/>
      <x v="11"/>
    </i>
    <i r="1">
      <x v="842"/>
      <x v="15"/>
    </i>
    <i r="1">
      <x v="1156"/>
      <x/>
    </i>
    <i r="1">
      <x v="1242"/>
      <x v="11"/>
    </i>
    <i>
      <x v="500"/>
      <x v="356"/>
      <x v="10"/>
    </i>
    <i r="1">
      <x v="585"/>
      <x v="5"/>
    </i>
    <i>
      <x v="501"/>
      <x v="357"/>
      <x v="10"/>
    </i>
    <i r="1">
      <x v="965"/>
      <x v="12"/>
    </i>
    <i>
      <x v="502"/>
      <x v="358"/>
      <x v="10"/>
    </i>
    <i r="1">
      <x v="416"/>
      <x v="5"/>
    </i>
    <i>
      <x v="503"/>
      <x v="359"/>
      <x v="10"/>
    </i>
    <i>
      <x v="504"/>
      <x v="360"/>
      <x v="11"/>
    </i>
    <i>
      <x v="505"/>
      <x v="361"/>
      <x v="11"/>
    </i>
    <i>
      <x v="506"/>
      <x v="362"/>
      <x v="11"/>
    </i>
    <i>
      <x v="507"/>
      <x v="364"/>
      <x v="15"/>
    </i>
    <i>
      <x v="508"/>
      <x v="365"/>
      <x v="15"/>
    </i>
    <i r="1">
      <x v="464"/>
      <x v="11"/>
    </i>
    <i>
      <x v="509"/>
      <x v="366"/>
      <x v="15"/>
    </i>
    <i>
      <x v="510"/>
      <x v="367"/>
      <x v="15"/>
    </i>
    <i>
      <x v="511"/>
      <x v="368"/>
      <x v="15"/>
    </i>
    <i r="1">
      <x v="947"/>
      <x v="15"/>
    </i>
    <i r="1">
      <x v="1343"/>
      <x v="11"/>
    </i>
    <i>
      <x v="512"/>
      <x v="369"/>
      <x v="15"/>
    </i>
    <i r="1">
      <x v="669"/>
      <x v="15"/>
    </i>
    <i>
      <x v="513"/>
      <x v="370"/>
      <x v="1"/>
    </i>
    <i>
      <x v="514"/>
      <x v="371"/>
      <x v="1"/>
    </i>
    <i>
      <x v="515"/>
      <x v="372"/>
      <x v="12"/>
    </i>
    <i>
      <x v="516"/>
      <x v="373"/>
      <x v="12"/>
    </i>
    <i>
      <x v="517"/>
      <x v="376"/>
      <x v="2"/>
    </i>
    <i>
      <x v="518"/>
      <x v="377"/>
      <x v="2"/>
    </i>
    <i>
      <x v="519"/>
      <x v="380"/>
      <x v="2"/>
    </i>
    <i>
      <x v="520"/>
      <x v="382"/>
      <x v="2"/>
    </i>
    <i>
      <x v="521"/>
      <x v="383"/>
      <x v="12"/>
    </i>
    <i>
      <x v="522"/>
      <x v="384"/>
      <x v="12"/>
    </i>
    <i>
      <x v="523"/>
      <x v="386"/>
      <x v="1"/>
    </i>
    <i>
      <x v="524"/>
      <x v="387"/>
      <x v="1"/>
    </i>
    <i>
      <x v="525"/>
      <x v="390"/>
      <x v="1"/>
    </i>
    <i>
      <x v="526"/>
      <x v="391"/>
      <x v="1"/>
    </i>
    <i>
      <x v="527"/>
      <x v="392"/>
      <x v="1"/>
    </i>
    <i>
      <x v="528"/>
      <x v="393"/>
      <x v="1"/>
    </i>
    <i>
      <x v="529"/>
      <x v="394"/>
      <x v="1"/>
    </i>
    <i>
      <x v="530"/>
      <x v="395"/>
      <x v="1"/>
    </i>
    <i>
      <x v="531"/>
      <x v="396"/>
      <x v="14"/>
    </i>
    <i>
      <x v="532"/>
      <x v="397"/>
      <x v="12"/>
    </i>
    <i>
      <x v="533"/>
      <x v="398"/>
      <x v="12"/>
    </i>
    <i>
      <x v="534"/>
      <x v="399"/>
      <x v="12"/>
    </i>
    <i>
      <x v="535"/>
      <x v="400"/>
      <x v="1"/>
    </i>
    <i>
      <x v="536"/>
      <x v="401"/>
      <x v="1"/>
    </i>
    <i>
      <x v="537"/>
      <x v="402"/>
      <x v="1"/>
    </i>
    <i>
      <x v="538"/>
      <x v="403"/>
      <x v="1"/>
    </i>
    <i>
      <x v="539"/>
      <x v="404"/>
      <x v="1"/>
    </i>
    <i>
      <x v="540"/>
      <x v="405"/>
      <x v="1"/>
    </i>
    <i>
      <x v="541"/>
      <x v="406"/>
      <x v="1"/>
    </i>
    <i>
      <x v="542"/>
      <x v="407"/>
      <x v="1"/>
    </i>
    <i>
      <x v="543"/>
      <x v="408"/>
      <x v="1"/>
    </i>
    <i>
      <x v="544"/>
      <x v="409"/>
      <x v="16"/>
    </i>
    <i>
      <x v="545"/>
      <x v="410"/>
      <x v="16"/>
    </i>
    <i>
      <x v="546"/>
      <x v="411"/>
      <x v="5"/>
    </i>
    <i>
      <x v="547"/>
      <x v="412"/>
      <x v="5"/>
    </i>
    <i>
      <x v="548"/>
      <x v="413"/>
      <x v="5"/>
    </i>
    <i r="1">
      <x v="587"/>
      <x v="19"/>
    </i>
    <i>
      <x v="549"/>
      <x v="414"/>
      <x v="5"/>
    </i>
    <i r="1">
      <x v="584"/>
      <x v="5"/>
    </i>
    <i>
      <x v="550"/>
      <x v="415"/>
      <x v="5"/>
    </i>
    <i>
      <x v="551"/>
      <x v="417"/>
      <x v="5"/>
    </i>
    <i>
      <x v="552"/>
      <x v="418"/>
      <x v="5"/>
    </i>
    <i>
      <x v="553"/>
      <x v="420"/>
      <x v="5"/>
    </i>
    <i>
      <x v="554"/>
      <x v="422"/>
      <x v="2"/>
    </i>
    <i>
      <x v="555"/>
      <x v="423"/>
      <x v="2"/>
    </i>
    <i>
      <x v="556"/>
      <x v="424"/>
      <x v="2"/>
    </i>
    <i>
      <x v="557"/>
      <x v="425"/>
      <x v="2"/>
    </i>
    <i>
      <x v="558"/>
      <x v="426"/>
      <x v="2"/>
    </i>
    <i>
      <x v="559"/>
      <x v="427"/>
      <x v="2"/>
    </i>
    <i>
      <x v="560"/>
      <x v="430"/>
      <x v="2"/>
    </i>
    <i>
      <x v="561"/>
      <x v="431"/>
      <x v="2"/>
    </i>
    <i>
      <x v="562"/>
      <x v="432"/>
      <x v="2"/>
    </i>
    <i>
      <x v="563"/>
      <x v="433"/>
      <x v="2"/>
    </i>
    <i>
      <x v="564"/>
      <x v="434"/>
      <x v="2"/>
    </i>
    <i>
      <x v="565"/>
      <x v="435"/>
      <x v="2"/>
    </i>
    <i>
      <x v="566"/>
      <x v="436"/>
      <x v="2"/>
    </i>
    <i>
      <x v="567"/>
      <x v="438"/>
      <x v="10"/>
    </i>
    <i>
      <x v="568"/>
      <x v="439"/>
      <x v="4"/>
    </i>
    <i>
      <x v="569"/>
      <x v="440"/>
      <x v="4"/>
    </i>
    <i>
      <x v="570"/>
      <x v="441"/>
      <x v="4"/>
    </i>
    <i>
      <x v="571"/>
      <x v="442"/>
      <x v="4"/>
    </i>
    <i>
      <x v="572"/>
      <x v="443"/>
      <x v="4"/>
    </i>
    <i>
      <x v="573"/>
      <x v="444"/>
      <x v="4"/>
    </i>
    <i>
      <x v="574"/>
      <x v="445"/>
      <x v="1"/>
    </i>
    <i>
      <x v="575"/>
      <x v="446"/>
      <x v="1"/>
    </i>
    <i>
      <x v="576"/>
      <x v="447"/>
      <x v="1"/>
    </i>
    <i>
      <x v="577"/>
      <x v="448"/>
      <x v="1"/>
    </i>
    <i r="1">
      <x v="543"/>
      <x v="2"/>
    </i>
    <i>
      <x v="578"/>
      <x v="449"/>
      <x v="1"/>
    </i>
    <i>
      <x v="579"/>
      <x v="450"/>
      <x v="1"/>
    </i>
    <i>
      <x v="580"/>
      <x v="452"/>
      <x v="1"/>
    </i>
    <i>
      <x v="581"/>
      <x v="453"/>
      <x v="1"/>
    </i>
    <i>
      <x v="582"/>
      <x v="454"/>
      <x v="1"/>
    </i>
    <i>
      <x v="583"/>
      <x v="456"/>
      <x v="1"/>
    </i>
    <i>
      <x v="584"/>
      <x v="457"/>
      <x v="1"/>
    </i>
    <i>
      <x v="585"/>
      <x v="458"/>
      <x v="1"/>
    </i>
    <i>
      <x v="586"/>
      <x v="459"/>
      <x v="1"/>
    </i>
    <i>
      <x v="587"/>
      <x v="460"/>
      <x v="1"/>
    </i>
    <i>
      <x v="588"/>
      <x v="461"/>
      <x v="1"/>
    </i>
    <i>
      <x v="589"/>
      <x v="462"/>
      <x v="1"/>
    </i>
    <i>
      <x v="590"/>
      <x v="463"/>
      <x v="11"/>
    </i>
    <i>
      <x v="591"/>
      <x v="465"/>
      <x v="11"/>
    </i>
    <i>
      <x v="592"/>
      <x v="466"/>
      <x v="11"/>
    </i>
    <i>
      <x v="593"/>
      <x v="467"/>
      <x v="4"/>
    </i>
    <i>
      <x v="594"/>
      <x v="468"/>
      <x v="4"/>
    </i>
    <i>
      <x v="595"/>
      <x v="469"/>
      <x v="4"/>
    </i>
    <i>
      <x v="596"/>
      <x v="470"/>
      <x v="4"/>
    </i>
    <i>
      <x v="597"/>
      <x v="471"/>
      <x v="4"/>
    </i>
    <i>
      <x v="598"/>
      <x v="472"/>
      <x v="4"/>
    </i>
    <i>
      <x v="599"/>
      <x v="473"/>
      <x v="4"/>
    </i>
    <i>
      <x v="600"/>
      <x v="475"/>
      <x v="5"/>
    </i>
    <i>
      <x v="601"/>
      <x v="476"/>
      <x v="5"/>
    </i>
    <i>
      <x v="602"/>
      <x v="478"/>
      <x v="5"/>
    </i>
    <i>
      <x v="603"/>
      <x v="479"/>
      <x v="5"/>
    </i>
    <i>
      <x v="604"/>
      <x v="480"/>
      <x v="5"/>
    </i>
    <i>
      <x v="605"/>
      <x v="481"/>
      <x v="5"/>
    </i>
    <i r="1">
      <x v="904"/>
      <x v="2"/>
    </i>
    <i>
      <x v="606"/>
      <x v="482"/>
      <x v="5"/>
    </i>
    <i>
      <x v="607"/>
      <x v="483"/>
      <x v="5"/>
    </i>
    <i>
      <x v="608"/>
      <x v="484"/>
      <x v="5"/>
    </i>
    <i r="1">
      <x v="1182"/>
      <x v="1"/>
    </i>
    <i>
      <x v="609"/>
      <x v="485"/>
      <x v="5"/>
    </i>
    <i>
      <x v="610"/>
      <x v="486"/>
      <x v="5"/>
    </i>
    <i>
      <x v="611"/>
      <x v="487"/>
      <x v="5"/>
    </i>
    <i>
      <x v="612"/>
      <x v="488"/>
      <x v="5"/>
    </i>
    <i>
      <x v="613"/>
      <x v="489"/>
      <x v="5"/>
    </i>
    <i>
      <x v="614"/>
      <x v="490"/>
      <x v="5"/>
    </i>
    <i>
      <x v="615"/>
      <x v="491"/>
      <x v="5"/>
    </i>
    <i>
      <x v="616"/>
      <x v="492"/>
      <x v="5"/>
    </i>
    <i r="1">
      <x v="751"/>
      <x v="2"/>
    </i>
    <i>
      <x v="617"/>
      <x v="493"/>
      <x v="5"/>
    </i>
    <i>
      <x v="618"/>
      <x v="494"/>
      <x v="5"/>
    </i>
    <i>
      <x v="619"/>
      <x v="495"/>
      <x v="16"/>
    </i>
    <i>
      <x v="620"/>
      <x v="496"/>
      <x v="16"/>
    </i>
    <i>
      <x v="621"/>
      <x v="497"/>
      <x v="16"/>
    </i>
    <i>
      <x v="622"/>
      <x v="498"/>
      <x v="2"/>
    </i>
    <i>
      <x v="623"/>
      <x v="499"/>
      <x v="2"/>
    </i>
    <i>
      <x v="624"/>
      <x v="500"/>
      <x v="2"/>
    </i>
    <i>
      <x v="625"/>
      <x v="501"/>
      <x v="2"/>
    </i>
    <i>
      <x v="626"/>
      <x v="502"/>
      <x v="2"/>
    </i>
    <i>
      <x v="627"/>
      <x v="503"/>
      <x v="2"/>
    </i>
    <i r="1">
      <x v="957"/>
      <x v="8"/>
    </i>
    <i>
      <x v="628"/>
      <x v="504"/>
      <x v="2"/>
    </i>
    <i>
      <x v="629"/>
      <x v="505"/>
      <x v="2"/>
    </i>
    <i>
      <x v="630"/>
      <x v="506"/>
      <x v="2"/>
    </i>
    <i>
      <x v="631"/>
      <x v="507"/>
      <x v="2"/>
    </i>
    <i r="1">
      <x v="531"/>
      <x v="2"/>
    </i>
    <i>
      <x v="632"/>
      <x v="508"/>
      <x v="2"/>
    </i>
    <i>
      <x v="633"/>
      <x v="509"/>
      <x v="2"/>
    </i>
    <i>
      <x v="634"/>
      <x v="511"/>
      <x v="2"/>
    </i>
    <i r="1">
      <x v="681"/>
      <x v="5"/>
    </i>
    <i r="1">
      <x v="891"/>
      <x v="15"/>
    </i>
    <i>
      <x v="635"/>
      <x v="512"/>
      <x v="5"/>
    </i>
    <i r="1">
      <x v="845"/>
      <x v="15"/>
    </i>
    <i>
      <x v="636"/>
      <x v="513"/>
      <x v="2"/>
    </i>
    <i>
      <x v="637"/>
      <x v="514"/>
      <x v="2"/>
    </i>
    <i>
      <x v="638"/>
      <x v="515"/>
      <x v="2"/>
    </i>
    <i>
      <x v="639"/>
      <x v="517"/>
      <x v="2"/>
    </i>
    <i>
      <x v="640"/>
      <x v="518"/>
      <x v="2"/>
    </i>
    <i>
      <x v="641"/>
      <x v="519"/>
      <x v="2"/>
    </i>
    <i r="1">
      <x v="1254"/>
      <x v="8"/>
    </i>
    <i>
      <x v="642"/>
      <x v="520"/>
      <x v="2"/>
    </i>
    <i>
      <x v="643"/>
      <x v="521"/>
      <x v="2"/>
    </i>
    <i>
      <x v="644"/>
      <x v="524"/>
      <x v="2"/>
    </i>
    <i>
      <x v="645"/>
      <x v="525"/>
      <x v="2"/>
    </i>
    <i>
      <x v="646"/>
      <x v="526"/>
      <x v="17"/>
    </i>
    <i>
      <x v="647"/>
      <x v="527"/>
      <x v="2"/>
    </i>
    <i>
      <x v="648"/>
      <x v="528"/>
      <x v="2"/>
    </i>
    <i>
      <x v="649"/>
      <x v="529"/>
      <x v="2"/>
    </i>
    <i r="1">
      <x v="551"/>
      <x v="11"/>
    </i>
    <i r="1">
      <x v="658"/>
      <x v="8"/>
    </i>
    <i>
      <x v="650"/>
      <x v="530"/>
      <x v="2"/>
    </i>
    <i>
      <x v="651"/>
      <x v="532"/>
      <x v="2"/>
    </i>
    <i>
      <x v="652"/>
      <x v="533"/>
      <x v="2"/>
    </i>
    <i>
      <x v="653"/>
      <x v="534"/>
      <x v="2"/>
    </i>
    <i>
      <x v="654"/>
      <x v="535"/>
      <x v="2"/>
    </i>
    <i r="1">
      <x v="926"/>
      <x v="1"/>
    </i>
    <i>
      <x v="655"/>
      <x v="536"/>
      <x v="2"/>
    </i>
    <i>
      <x v="656"/>
      <x v="537"/>
      <x v="2"/>
    </i>
    <i>
      <x v="657"/>
      <x v="538"/>
      <x v="2"/>
    </i>
    <i>
      <x v="658"/>
      <x v="539"/>
      <x v="2"/>
    </i>
    <i>
      <x v="659"/>
      <x v="540"/>
      <x v="2"/>
    </i>
    <i>
      <x v="660"/>
      <x v="541"/>
      <x v="2"/>
    </i>
    <i>
      <x v="661"/>
      <x v="542"/>
      <x v="2"/>
    </i>
    <i>
      <x v="662"/>
      <x v="544"/>
      <x v="2"/>
    </i>
    <i>
      <x v="663"/>
      <x v="545"/>
      <x v="2"/>
    </i>
    <i>
      <x v="664"/>
      <x v="546"/>
      <x v="11"/>
    </i>
    <i>
      <x v="665"/>
      <x v="547"/>
      <x v="11"/>
    </i>
    <i>
      <x v="666"/>
      <x v="548"/>
      <x v="11"/>
    </i>
    <i>
      <x v="667"/>
      <x v="549"/>
      <x v="11"/>
    </i>
    <i>
      <x v="668"/>
      <x v="550"/>
      <x v="11"/>
    </i>
    <i>
      <x v="669"/>
      <x v="553"/>
      <x v="18"/>
    </i>
    <i>
      <x v="670"/>
      <x v="554"/>
      <x v="18"/>
    </i>
    <i>
      <x v="671"/>
      <x v="555"/>
      <x v="19"/>
    </i>
    <i>
      <x v="672"/>
      <x v="556"/>
      <x v="9"/>
    </i>
    <i>
      <x v="673"/>
      <x v="557"/>
      <x v="9"/>
    </i>
    <i>
      <x v="674"/>
      <x v="558"/>
      <x v="9"/>
    </i>
    <i>
      <x v="675"/>
      <x v="560"/>
      <x v="9"/>
    </i>
    <i>
      <x v="676"/>
      <x v="561"/>
      <x v="9"/>
    </i>
    <i>
      <x v="677"/>
      <x v="562"/>
      <x v="9"/>
    </i>
    <i>
      <x v="678"/>
      <x v="563"/>
      <x v="9"/>
    </i>
    <i>
      <x v="679"/>
      <x v="564"/>
      <x v="14"/>
    </i>
    <i>
      <x v="680"/>
      <x v="565"/>
      <x v="14"/>
    </i>
    <i>
      <x v="681"/>
      <x v="566"/>
      <x v="14"/>
    </i>
    <i>
      <x v="682"/>
      <x v="567"/>
      <x v="19"/>
    </i>
    <i>
      <x v="683"/>
      <x v="568"/>
      <x v="12"/>
    </i>
    <i>
      <x v="684"/>
      <x v="569"/>
      <x v="12"/>
    </i>
    <i>
      <x v="685"/>
      <x v="571"/>
      <x v="19"/>
    </i>
    <i r="1">
      <x v="586"/>
      <x v="19"/>
    </i>
    <i>
      <x v="686"/>
      <x v="572"/>
      <x v="4"/>
    </i>
    <i>
      <x v="687"/>
      <x v="573"/>
      <x v="4"/>
    </i>
    <i r="1">
      <x v="1069"/>
      <x v="5"/>
    </i>
    <i>
      <x v="688"/>
      <x v="574"/>
      <x v="11"/>
    </i>
    <i>
      <x v="689"/>
      <x v="575"/>
      <x v="5"/>
    </i>
    <i r="1">
      <x v="646"/>
      <x v="2"/>
    </i>
    <i>
      <x v="690"/>
      <x v="576"/>
      <x v="5"/>
    </i>
    <i>
      <x v="691"/>
      <x v="577"/>
      <x v="5"/>
    </i>
    <i r="1">
      <x v="612"/>
      <x v="4"/>
    </i>
    <i>
      <x v="692"/>
      <x v="578"/>
      <x v="5"/>
    </i>
    <i>
      <x v="693"/>
      <x v="579"/>
      <x v="5"/>
    </i>
    <i>
      <x v="694"/>
      <x v="580"/>
      <x v="5"/>
    </i>
    <i>
      <x v="695"/>
      <x v="581"/>
      <x v="5"/>
    </i>
    <i>
      <x v="696"/>
      <x v="582"/>
      <x v="5"/>
    </i>
    <i>
      <x v="697"/>
      <x v="583"/>
      <x v="5"/>
    </i>
    <i>
      <x v="698"/>
      <x v="589"/>
      <x v="8"/>
    </i>
    <i>
      <x v="699"/>
      <x v="590"/>
      <x v="8"/>
    </i>
    <i>
      <x v="700"/>
      <x v="591"/>
      <x v="8"/>
    </i>
    <i>
      <x v="701"/>
      <x v="592"/>
      <x v="8"/>
    </i>
    <i>
      <x v="702"/>
      <x v="594"/>
      <x/>
    </i>
    <i>
      <x v="703"/>
      <x v="595"/>
      <x/>
    </i>
    <i>
      <x v="704"/>
      <x v="596"/>
      <x/>
    </i>
    <i>
      <x v="705"/>
      <x v="597"/>
      <x/>
    </i>
    <i>
      <x v="706"/>
      <x v="598"/>
      <x v="19"/>
    </i>
    <i>
      <x v="707"/>
      <x v="599"/>
      <x v="19"/>
    </i>
    <i>
      <x v="708"/>
      <x v="601"/>
      <x v="17"/>
    </i>
    <i>
      <x v="709"/>
      <x v="602"/>
      <x v="17"/>
    </i>
    <i>
      <x v="710"/>
      <x v="604"/>
      <x v="17"/>
    </i>
    <i>
      <x v="711"/>
      <x v="606"/>
      <x v="10"/>
    </i>
    <i r="1">
      <x v="917"/>
      <x v="11"/>
    </i>
    <i>
      <x v="712"/>
      <x v="607"/>
      <x v="4"/>
    </i>
    <i>
      <x v="713"/>
      <x v="609"/>
      <x v="4"/>
    </i>
    <i>
      <x v="714"/>
      <x v="610"/>
      <x v="4"/>
    </i>
    <i r="1">
      <x v="1136"/>
      <x v="4"/>
    </i>
    <i>
      <x v="715"/>
      <x v="611"/>
      <x v="4"/>
    </i>
    <i r="1">
      <x v="1253"/>
      <x v="8"/>
    </i>
    <i>
      <x v="716"/>
      <x v="613"/>
      <x v="4"/>
    </i>
    <i>
      <x v="717"/>
      <x v="614"/>
      <x v="4"/>
    </i>
    <i>
      <x v="718"/>
      <x v="615"/>
      <x v="4"/>
    </i>
    <i>
      <x v="719"/>
      <x v="616"/>
      <x v="4"/>
    </i>
    <i>
      <x v="720"/>
      <x v="617"/>
      <x v="19"/>
    </i>
    <i r="1">
      <x v="1129"/>
      <x v="16"/>
    </i>
    <i>
      <x v="721"/>
      <x v="618"/>
      <x v="15"/>
    </i>
    <i>
      <x v="722"/>
      <x v="619"/>
      <x v="15"/>
    </i>
    <i>
      <x v="723"/>
      <x v="620"/>
      <x v="15"/>
    </i>
    <i>
      <x v="724"/>
      <x v="622"/>
      <x v="15"/>
    </i>
    <i>
      <x v="725"/>
      <x v="623"/>
      <x v="15"/>
    </i>
    <i>
      <x v="726"/>
      <x v="624"/>
      <x v="2"/>
    </i>
    <i r="1">
      <x v="731"/>
      <x v="4"/>
    </i>
    <i>
      <x v="727"/>
      <x v="625"/>
      <x v="2"/>
    </i>
    <i r="1">
      <x v="722"/>
      <x v="5"/>
    </i>
    <i r="1">
      <x v="822"/>
      <x v="2"/>
    </i>
    <i r="1">
      <x v="983"/>
      <x v="5"/>
    </i>
    <i>
      <x v="728"/>
      <x v="626"/>
      <x v="2"/>
    </i>
    <i>
      <x v="729"/>
      <x v="627"/>
      <x v="2"/>
    </i>
    <i>
      <x v="730"/>
      <x v="628"/>
      <x v="2"/>
    </i>
    <i>
      <x v="731"/>
      <x v="629"/>
      <x v="2"/>
    </i>
    <i>
      <x v="732"/>
      <x v="630"/>
      <x v="2"/>
    </i>
    <i>
      <x v="733"/>
      <x v="631"/>
      <x v="2"/>
    </i>
    <i>
      <x v="734"/>
      <x v="632"/>
      <x v="2"/>
    </i>
    <i>
      <x v="735"/>
      <x v="633"/>
      <x v="2"/>
    </i>
    <i>
      <x v="736"/>
      <x v="634"/>
      <x v="2"/>
    </i>
    <i>
      <x v="737"/>
      <x v="636"/>
      <x v="2"/>
    </i>
    <i>
      <x v="738"/>
      <x v="637"/>
      <x v="2"/>
    </i>
    <i r="1">
      <x v="656"/>
      <x v="4"/>
    </i>
    <i>
      <x v="739"/>
      <x v="638"/>
      <x v="2"/>
    </i>
    <i r="1">
      <x v="827"/>
      <x v="2"/>
    </i>
    <i>
      <x v="740"/>
      <x v="639"/>
      <x v="2"/>
    </i>
    <i>
      <x v="741"/>
      <x v="640"/>
      <x v="2"/>
    </i>
    <i>
      <x v="742"/>
      <x v="641"/>
      <x v="2"/>
    </i>
    <i>
      <x v="743"/>
      <x v="643"/>
      <x v="2"/>
    </i>
    <i>
      <x v="744"/>
      <x v="644"/>
      <x v="2"/>
    </i>
    <i>
      <x v="745"/>
      <x v="645"/>
      <x v="2"/>
    </i>
    <i>
      <x v="746"/>
      <x v="647"/>
      <x v="2"/>
    </i>
    <i>
      <x v="747"/>
      <x v="648"/>
      <x v="2"/>
    </i>
    <i>
      <x v="748"/>
      <x v="649"/>
      <x v="2"/>
    </i>
    <i>
      <x v="749"/>
      <x v="650"/>
      <x v="2"/>
    </i>
    <i>
      <x v="750"/>
      <x v="651"/>
      <x v="2"/>
    </i>
    <i>
      <x v="751"/>
      <x v="654"/>
      <x v="4"/>
    </i>
    <i>
      <x v="752"/>
      <x v="655"/>
      <x v="4"/>
    </i>
    <i>
      <x v="753"/>
      <x v="657"/>
      <x v="4"/>
    </i>
    <i r="1">
      <x v="1197"/>
      <x v="1"/>
    </i>
    <i>
      <x v="754"/>
      <x v="659"/>
      <x v="8"/>
    </i>
    <i>
      <x v="755"/>
      <x v="660"/>
      <x v="8"/>
    </i>
    <i>
      <x v="756"/>
      <x v="661"/>
      <x v="8"/>
    </i>
    <i>
      <x v="757"/>
      <x v="662"/>
      <x v="8"/>
    </i>
    <i>
      <x v="758"/>
      <x v="663"/>
      <x v="8"/>
    </i>
    <i>
      <x v="759"/>
      <x v="664"/>
      <x v="8"/>
    </i>
    <i>
      <x v="760"/>
      <x v="665"/>
      <x v="8"/>
    </i>
    <i>
      <x v="761"/>
      <x v="666"/>
      <x v="10"/>
    </i>
    <i>
      <x v="762"/>
      <x v="667"/>
      <x v="15"/>
    </i>
    <i>
      <x v="763"/>
      <x v="668"/>
      <x v="15"/>
    </i>
    <i>
      <x v="764"/>
      <x v="670"/>
      <x v="15"/>
    </i>
    <i r="1">
      <x v="815"/>
      <x v="2"/>
    </i>
    <i>
      <x v="765"/>
      <x v="671"/>
      <x v="15"/>
    </i>
    <i>
      <x v="766"/>
      <x v="673"/>
      <x v="5"/>
    </i>
    <i>
      <x v="767"/>
      <x v="674"/>
      <x v="5"/>
    </i>
    <i>
      <x v="768"/>
      <x v="675"/>
      <x v="5"/>
    </i>
    <i>
      <x v="769"/>
      <x v="676"/>
      <x v="5"/>
    </i>
    <i>
      <x v="770"/>
      <x v="677"/>
      <x v="5"/>
    </i>
    <i>
      <x v="771"/>
      <x v="678"/>
      <x v="5"/>
    </i>
    <i>
      <x v="772"/>
      <x v="680"/>
      <x v="5"/>
    </i>
    <i>
      <x v="773"/>
      <x v="682"/>
      <x v="5"/>
    </i>
    <i>
      <x v="774"/>
      <x v="683"/>
      <x v="5"/>
    </i>
    <i>
      <x v="775"/>
      <x v="684"/>
      <x v="5"/>
    </i>
    <i>
      <x v="776"/>
      <x v="685"/>
      <x v="5"/>
    </i>
    <i>
      <x v="777"/>
      <x v="686"/>
      <x v="4"/>
    </i>
    <i>
      <x v="778"/>
      <x v="687"/>
      <x v="4"/>
    </i>
    <i>
      <x v="779"/>
      <x v="688"/>
      <x v="4"/>
    </i>
    <i>
      <x v="780"/>
      <x v="690"/>
      <x v="4"/>
    </i>
    <i>
      <x v="781"/>
      <x v="691"/>
      <x v="4"/>
    </i>
    <i>
      <x v="782"/>
      <x v="692"/>
      <x v="4"/>
    </i>
    <i>
      <x v="783"/>
      <x v="693"/>
      <x/>
    </i>
    <i>
      <x v="784"/>
      <x v="694"/>
      <x v="11"/>
    </i>
    <i>
      <x v="785"/>
      <x v="695"/>
      <x v="11"/>
    </i>
    <i>
      <x v="786"/>
      <x v="696"/>
      <x v="2"/>
    </i>
    <i>
      <x v="787"/>
      <x v="697"/>
      <x v="2"/>
    </i>
    <i>
      <x v="788"/>
      <x v="698"/>
      <x v="2"/>
    </i>
    <i>
      <x v="789"/>
      <x v="701"/>
      <x v="2"/>
    </i>
    <i>
      <x v="790"/>
      <x v="702"/>
      <x v="2"/>
    </i>
    <i>
      <x v="791"/>
      <x v="703"/>
      <x v="2"/>
    </i>
    <i>
      <x v="792"/>
      <x v="704"/>
      <x v="2"/>
    </i>
    <i>
      <x v="793"/>
      <x v="705"/>
      <x v="2"/>
    </i>
    <i>
      <x v="794"/>
      <x v="706"/>
      <x v="4"/>
    </i>
    <i>
      <x v="795"/>
      <x v="707"/>
      <x v="4"/>
    </i>
    <i>
      <x v="796"/>
      <x v="708"/>
      <x v="4"/>
    </i>
    <i>
      <x v="797"/>
      <x v="709"/>
      <x v="4"/>
    </i>
    <i>
      <x v="798"/>
      <x v="711"/>
      <x v="4"/>
    </i>
    <i>
      <x v="799"/>
      <x v="712"/>
      <x v="4"/>
    </i>
    <i>
      <x v="800"/>
      <x v="713"/>
      <x v="4"/>
    </i>
    <i>
      <x v="801"/>
      <x v="715"/>
      <x v="5"/>
    </i>
    <i>
      <x v="802"/>
      <x v="716"/>
      <x v="5"/>
    </i>
    <i>
      <x v="803"/>
      <x v="717"/>
      <x v="5"/>
    </i>
    <i>
      <x v="804"/>
      <x v="718"/>
      <x v="5"/>
    </i>
    <i>
      <x v="805"/>
      <x v="719"/>
      <x v="5"/>
    </i>
    <i>
      <x v="806"/>
      <x v="720"/>
      <x v="5"/>
    </i>
    <i>
      <x v="807"/>
      <x v="721"/>
      <x v="5"/>
    </i>
    <i>
      <x v="808"/>
      <x v="723"/>
      <x v="5"/>
    </i>
    <i>
      <x v="809"/>
      <x v="724"/>
      <x v="16"/>
    </i>
    <i r="1">
      <x v="841"/>
      <x v="15"/>
    </i>
    <i r="1">
      <x v="852"/>
      <x v="15"/>
    </i>
    <i>
      <x v="810"/>
      <x v="725"/>
      <x v="10"/>
    </i>
    <i>
      <x v="811"/>
      <x v="726"/>
      <x v="4"/>
    </i>
    <i>
      <x v="812"/>
      <x v="727"/>
      <x v="4"/>
    </i>
    <i>
      <x v="813"/>
      <x v="728"/>
      <x v="4"/>
    </i>
    <i r="1">
      <x v="900"/>
      <x v="15"/>
    </i>
    <i>
      <x v="814"/>
      <x v="729"/>
      <x v="4"/>
    </i>
    <i>
      <x v="815"/>
      <x v="730"/>
      <x v="4"/>
    </i>
    <i>
      <x v="816"/>
      <x v="732"/>
      <x v="4"/>
    </i>
    <i>
      <x v="817"/>
      <x v="733"/>
      <x v="4"/>
    </i>
    <i>
      <x v="818"/>
      <x v="734"/>
      <x v="5"/>
    </i>
    <i>
      <x v="819"/>
      <x v="735"/>
      <x v="5"/>
    </i>
    <i>
      <x v="820"/>
      <x v="736"/>
      <x v="5"/>
    </i>
    <i>
      <x v="821"/>
      <x v="737"/>
      <x v="5"/>
    </i>
    <i>
      <x v="822"/>
      <x v="738"/>
      <x v="5"/>
    </i>
    <i>
      <x v="823"/>
      <x v="740"/>
      <x v="11"/>
    </i>
    <i r="1">
      <x v="868"/>
      <x v="14"/>
    </i>
    <i>
      <x v="824"/>
      <x v="741"/>
      <x v="11"/>
    </i>
    <i>
      <x v="825"/>
      <x v="742"/>
      <x v="17"/>
    </i>
    <i>
      <x v="826"/>
      <x v="743"/>
      <x v="17"/>
    </i>
    <i>
      <x v="827"/>
      <x v="744"/>
      <x v="17"/>
    </i>
    <i>
      <x v="828"/>
      <x v="745"/>
      <x v="17"/>
    </i>
    <i>
      <x v="829"/>
      <x v="746"/>
      <x v="5"/>
    </i>
    <i>
      <x v="830"/>
      <x v="749"/>
      <x v="2"/>
    </i>
    <i>
      <x v="831"/>
      <x v="753"/>
      <x v="2"/>
    </i>
    <i r="1">
      <x v="953"/>
      <x v="15"/>
    </i>
    <i>
      <x v="832"/>
      <x v="754"/>
      <x v="2"/>
    </i>
    <i>
      <x v="833"/>
      <x v="755"/>
      <x v="2"/>
    </i>
    <i>
      <x v="834"/>
      <x v="756"/>
      <x v="2"/>
    </i>
    <i>
      <x v="835"/>
      <x v="757"/>
      <x v="2"/>
    </i>
    <i>
      <x v="836"/>
      <x v="758"/>
      <x v="2"/>
    </i>
    <i>
      <x v="837"/>
      <x v="759"/>
      <x v="2"/>
    </i>
    <i>
      <x v="838"/>
      <x v="760"/>
      <x v="2"/>
    </i>
    <i>
      <x v="839"/>
      <x v="761"/>
      <x v="2"/>
    </i>
    <i>
      <x v="840"/>
      <x v="762"/>
      <x v="2"/>
    </i>
    <i>
      <x v="841"/>
      <x v="763"/>
      <x v="2"/>
    </i>
    <i>
      <x v="842"/>
      <x v="764"/>
      <x v="2"/>
    </i>
    <i>
      <x v="843"/>
      <x v="765"/>
      <x v="2"/>
    </i>
    <i>
      <x v="844"/>
      <x v="766"/>
      <x v="2"/>
    </i>
    <i>
      <x v="845"/>
      <x v="768"/>
      <x v="2"/>
    </i>
    <i>
      <x v="846"/>
      <x v="769"/>
      <x v="2"/>
    </i>
    <i>
      <x v="847"/>
      <x v="770"/>
      <x v="2"/>
    </i>
    <i>
      <x v="848"/>
      <x v="771"/>
      <x v="2"/>
    </i>
    <i>
      <x v="849"/>
      <x v="772"/>
      <x v="2"/>
    </i>
    <i>
      <x v="850"/>
      <x v="774"/>
      <x v="2"/>
    </i>
    <i>
      <x v="851"/>
      <x v="775"/>
      <x v="2"/>
    </i>
    <i>
      <x v="852"/>
      <x v="777"/>
      <x v="2"/>
    </i>
    <i>
      <x v="853"/>
      <x v="778"/>
      <x v="2"/>
    </i>
    <i>
      <x v="854"/>
      <x v="779"/>
      <x v="2"/>
    </i>
    <i>
      <x v="855"/>
      <x v="781"/>
      <x v="2"/>
    </i>
    <i>
      <x v="856"/>
      <x v="783"/>
      <x v="2"/>
    </i>
    <i>
      <x v="857"/>
      <x v="784"/>
      <x v="2"/>
    </i>
    <i>
      <x v="858"/>
      <x v="786"/>
      <x v="2"/>
    </i>
    <i>
      <x v="859"/>
      <x v="787"/>
      <x v="2"/>
    </i>
    <i>
      <x v="860"/>
      <x v="789"/>
      <x/>
    </i>
    <i>
      <x v="861"/>
      <x v="790"/>
      <x/>
    </i>
    <i>
      <x v="862"/>
      <x v="792"/>
      <x v="1"/>
    </i>
    <i>
      <x v="863"/>
      <x v="793"/>
      <x v="1"/>
    </i>
    <i r="1">
      <x v="1065"/>
      <x v="5"/>
    </i>
    <i>
      <x v="864"/>
      <x v="794"/>
      <x v="1"/>
    </i>
    <i>
      <x v="865"/>
      <x v="795"/>
      <x v="1"/>
    </i>
    <i>
      <x v="866"/>
      <x v="796"/>
      <x v="1"/>
    </i>
    <i>
      <x v="867"/>
      <x v="797"/>
      <x/>
    </i>
    <i>
      <x v="868"/>
      <x v="798"/>
      <x v="11"/>
    </i>
    <i>
      <x v="869"/>
      <x v="799"/>
      <x v="11"/>
    </i>
    <i>
      <x v="870"/>
      <x v="800"/>
      <x v="11"/>
    </i>
    <i>
      <x v="871"/>
      <x v="802"/>
      <x v="11"/>
    </i>
    <i>
      <x v="872"/>
      <x v="803"/>
      <x v="11"/>
    </i>
    <i>
      <x v="873"/>
      <x v="804"/>
      <x v="11"/>
    </i>
    <i>
      <x v="874"/>
      <x v="805"/>
      <x v="10"/>
    </i>
    <i>
      <x v="875"/>
      <x v="806"/>
      <x v="10"/>
    </i>
    <i>
      <x v="876"/>
      <x v="807"/>
      <x v="5"/>
    </i>
    <i>
      <x v="877"/>
      <x v="809"/>
      <x v="11"/>
    </i>
    <i>
      <x v="878"/>
      <x v="810"/>
      <x v="10"/>
    </i>
    <i>
      <x v="879"/>
      <x v="811"/>
      <x v="10"/>
    </i>
    <i>
      <x v="880"/>
      <x v="813"/>
      <x v="2"/>
    </i>
    <i>
      <x v="881"/>
      <x v="817"/>
      <x v="2"/>
    </i>
    <i>
      <x v="882"/>
      <x v="820"/>
      <x v="2"/>
    </i>
    <i>
      <x v="883"/>
      <x v="821"/>
      <x v="2"/>
    </i>
    <i>
      <x v="884"/>
      <x v="823"/>
      <x v="2"/>
    </i>
    <i>
      <x v="885"/>
      <x v="824"/>
      <x v="2"/>
    </i>
    <i r="1">
      <x v="1180"/>
      <x v="10"/>
    </i>
    <i>
      <x v="886"/>
      <x v="825"/>
      <x v="2"/>
    </i>
    <i>
      <x v="887"/>
      <x v="826"/>
      <x v="2"/>
    </i>
    <i>
      <x v="888"/>
      <x v="828"/>
      <x v="2"/>
    </i>
    <i>
      <x v="889"/>
      <x v="829"/>
      <x v="2"/>
    </i>
    <i>
      <x v="890"/>
      <x v="830"/>
      <x v="2"/>
    </i>
    <i>
      <x v="891"/>
      <x v="831"/>
      <x v="2"/>
    </i>
    <i>
      <x v="892"/>
      <x v="832"/>
      <x v="11"/>
    </i>
    <i>
      <x v="893"/>
      <x v="833"/>
      <x v="11"/>
    </i>
    <i>
      <x v="894"/>
      <x v="834"/>
      <x v="12"/>
    </i>
    <i>
      <x v="895"/>
      <x v="835"/>
      <x v="12"/>
    </i>
    <i>
      <x v="896"/>
      <x v="836"/>
      <x v="15"/>
    </i>
    <i>
      <x v="897"/>
      <x v="837"/>
      <x v="15"/>
    </i>
    <i>
      <x v="898"/>
      <x v="838"/>
      <x v="15"/>
    </i>
    <i>
      <x v="899"/>
      <x v="839"/>
      <x v="15"/>
    </i>
    <i>
      <x v="900"/>
      <x v="840"/>
      <x v="15"/>
    </i>
    <i>
      <x v="901"/>
      <x v="844"/>
      <x v="15"/>
    </i>
    <i>
      <x v="902"/>
      <x v="847"/>
      <x v="15"/>
    </i>
    <i>
      <x v="903"/>
      <x v="848"/>
      <x v="15"/>
    </i>
    <i>
      <x v="904"/>
      <x v="849"/>
      <x v="15"/>
    </i>
    <i>
      <x v="905"/>
      <x v="850"/>
      <x v="15"/>
    </i>
    <i>
      <x v="906"/>
      <x v="853"/>
      <x v="15"/>
    </i>
    <i>
      <x v="907"/>
      <x v="854"/>
      <x v="15"/>
    </i>
    <i>
      <x v="908"/>
      <x v="855"/>
      <x v="15"/>
    </i>
    <i>
      <x v="909"/>
      <x v="856"/>
      <x v="10"/>
    </i>
    <i>
      <x v="910"/>
      <x v="857"/>
      <x/>
    </i>
    <i r="1">
      <x v="1336"/>
      <x v="2"/>
    </i>
    <i>
      <x v="911"/>
      <x v="861"/>
      <x/>
    </i>
    <i>
      <x v="912"/>
      <x v="862"/>
      <x/>
    </i>
    <i>
      <x v="913"/>
      <x v="864"/>
      <x/>
    </i>
    <i>
      <x v="914"/>
      <x v="865"/>
      <x v="11"/>
    </i>
    <i>
      <x v="915"/>
      <x v="866"/>
      <x v="11"/>
    </i>
    <i>
      <x v="916"/>
      <x v="867"/>
      <x v="14"/>
    </i>
    <i>
      <x v="917"/>
      <x v="869"/>
      <x v="14"/>
    </i>
    <i>
      <x v="918"/>
      <x v="870"/>
      <x v="14"/>
    </i>
    <i>
      <x v="919"/>
      <x v="871"/>
      <x v="14"/>
    </i>
    <i>
      <x v="920"/>
      <x v="872"/>
      <x v="14"/>
    </i>
    <i>
      <x v="921"/>
      <x v="873"/>
      <x v="14"/>
    </i>
    <i>
      <x v="922"/>
      <x v="874"/>
      <x v="14"/>
    </i>
    <i>
      <x v="923"/>
      <x v="875"/>
      <x v="14"/>
    </i>
    <i>
      <x v="924"/>
      <x v="876"/>
      <x v="14"/>
    </i>
    <i>
      <x v="925"/>
      <x v="877"/>
      <x v="14"/>
    </i>
    <i>
      <x v="926"/>
      <x v="878"/>
      <x v="14"/>
    </i>
    <i>
      <x v="927"/>
      <x v="879"/>
      <x v="14"/>
    </i>
    <i>
      <x v="928"/>
      <x v="880"/>
      <x v="14"/>
    </i>
    <i>
      <x v="929"/>
      <x v="881"/>
      <x v="14"/>
    </i>
    <i>
      <x v="930"/>
      <x v="882"/>
      <x v="14"/>
    </i>
    <i>
      <x v="931"/>
      <x v="883"/>
      <x v="1"/>
    </i>
    <i>
      <x v="932"/>
      <x v="884"/>
      <x v="1"/>
    </i>
    <i r="1">
      <x v="935"/>
      <x v="8"/>
    </i>
    <i>
      <x v="933"/>
      <x v="885"/>
      <x v="1"/>
    </i>
    <i>
      <x v="934"/>
      <x v="886"/>
      <x v="1"/>
    </i>
    <i>
      <x v="935"/>
      <x v="887"/>
      <x v="1"/>
    </i>
    <i>
      <x v="936"/>
      <x v="888"/>
      <x v="1"/>
    </i>
    <i>
      <x v="937"/>
      <x v="889"/>
      <x v="19"/>
    </i>
    <i>
      <x v="938"/>
      <x v="890"/>
      <x v="15"/>
    </i>
    <i>
      <x v="939"/>
      <x v="892"/>
      <x v="15"/>
    </i>
    <i>
      <x v="940"/>
      <x v="893"/>
      <x v="15"/>
    </i>
    <i>
      <x v="941"/>
      <x v="894"/>
      <x v="15"/>
    </i>
    <i>
      <x v="942"/>
      <x v="895"/>
      <x v="15"/>
    </i>
    <i>
      <x v="943"/>
      <x v="896"/>
      <x v="15"/>
    </i>
    <i>
      <x v="944"/>
      <x v="897"/>
      <x v="15"/>
    </i>
    <i>
      <x v="945"/>
      <x v="898"/>
      <x v="15"/>
    </i>
    <i>
      <x v="946"/>
      <x v="902"/>
      <x v="15"/>
    </i>
    <i>
      <x v="947"/>
      <x v="903"/>
      <x v="15"/>
    </i>
    <i>
      <x v="948"/>
      <x v="908"/>
      <x v="2"/>
    </i>
    <i>
      <x v="949"/>
      <x v="909"/>
      <x v="2"/>
    </i>
    <i>
      <x v="950"/>
      <x v="910"/>
      <x v="2"/>
    </i>
    <i>
      <x v="951"/>
      <x v="911"/>
      <x v="2"/>
    </i>
    <i>
      <x v="952"/>
      <x v="912"/>
      <x v="2"/>
    </i>
    <i>
      <x v="953"/>
      <x v="913"/>
      <x v="2"/>
    </i>
    <i>
      <x v="954"/>
      <x v="914"/>
      <x v="11"/>
    </i>
    <i>
      <x v="955"/>
      <x v="915"/>
      <x v="11"/>
    </i>
    <i>
      <x v="956"/>
      <x v="918"/>
      <x v="12"/>
    </i>
    <i r="1">
      <x v="987"/>
      <x v="12"/>
    </i>
    <i>
      <x v="957"/>
      <x v="919"/>
      <x v="12"/>
    </i>
    <i>
      <x v="958"/>
      <x v="921"/>
      <x v="16"/>
    </i>
    <i>
      <x v="959"/>
      <x v="922"/>
      <x v="16"/>
    </i>
    <i r="1">
      <x v="1127"/>
      <x v="16"/>
    </i>
    <i>
      <x v="960"/>
      <x v="923"/>
      <x v="1"/>
    </i>
    <i>
      <x v="961"/>
      <x v="924"/>
      <x v="1"/>
    </i>
    <i>
      <x v="962"/>
      <x v="927"/>
      <x v="1"/>
    </i>
    <i>
      <x v="963"/>
      <x v="928"/>
      <x v="1"/>
    </i>
    <i>
      <x v="964"/>
      <x v="929"/>
      <x v="1"/>
    </i>
    <i>
      <x v="965"/>
      <x v="930"/>
      <x v="1"/>
    </i>
    <i>
      <x v="966"/>
      <x v="931"/>
      <x v="12"/>
    </i>
    <i>
      <x v="967"/>
      <x v="932"/>
      <x v="12"/>
    </i>
    <i>
      <x v="968"/>
      <x v="933"/>
      <x v="12"/>
    </i>
    <i r="1">
      <x v="934"/>
      <x v="10"/>
    </i>
    <i r="1">
      <x v="1316"/>
      <x v="11"/>
    </i>
    <i>
      <x v="969"/>
      <x v="936"/>
      <x v="8"/>
    </i>
    <i>
      <x v="970"/>
      <x v="937"/>
      <x v="8"/>
    </i>
    <i>
      <x v="971"/>
      <x v="938"/>
      <x v="8"/>
    </i>
    <i>
      <x v="972"/>
      <x v="939"/>
      <x v="8"/>
    </i>
    <i>
      <x v="973"/>
      <x v="940"/>
      <x v="8"/>
    </i>
    <i>
      <x v="974"/>
      <x v="941"/>
      <x v="8"/>
    </i>
    <i>
      <x v="975"/>
      <x v="942"/>
      <x v="10"/>
    </i>
    <i>
      <x v="976"/>
      <x v="943"/>
      <x v="10"/>
    </i>
    <i>
      <x v="977"/>
      <x v="944"/>
      <x v="10"/>
    </i>
    <i>
      <x v="978"/>
      <x v="948"/>
      <x v="15"/>
    </i>
    <i>
      <x v="979"/>
      <x v="949"/>
      <x v="15"/>
    </i>
    <i r="1">
      <x v="998"/>
      <x/>
    </i>
    <i>
      <x v="980"/>
      <x v="950"/>
      <x v="15"/>
    </i>
    <i>
      <x v="981"/>
      <x v="951"/>
      <x v="15"/>
    </i>
    <i>
      <x v="982"/>
      <x v="954"/>
      <x v="11"/>
    </i>
    <i>
      <x v="983"/>
      <x v="955"/>
      <x v="11"/>
    </i>
    <i>
      <x v="984"/>
      <x v="956"/>
      <x v="8"/>
    </i>
    <i>
      <x v="985"/>
      <x v="958"/>
      <x v="11"/>
    </i>
    <i>
      <x v="986"/>
      <x v="959"/>
      <x v="11"/>
    </i>
    <i r="1">
      <x v="984"/>
      <x v="12"/>
    </i>
    <i r="1">
      <x v="1342"/>
      <x v="11"/>
    </i>
    <i>
      <x v="987"/>
      <x v="960"/>
      <x/>
    </i>
    <i>
      <x v="988"/>
      <x v="963"/>
      <x/>
    </i>
    <i>
      <x v="989"/>
      <x v="966"/>
      <x v="12"/>
    </i>
    <i>
      <x v="990"/>
      <x v="968"/>
      <x v="11"/>
    </i>
    <i>
      <x v="991"/>
      <x v="970"/>
      <x v="12"/>
    </i>
    <i>
      <x v="992"/>
      <x v="973"/>
      <x v="12"/>
    </i>
    <i>
      <x v="993"/>
      <x v="974"/>
      <x v="11"/>
    </i>
    <i>
      <x v="994"/>
      <x v="975"/>
      <x v="16"/>
    </i>
    <i>
      <x v="995"/>
      <x v="976"/>
      <x v="4"/>
    </i>
    <i>
      <x v="996"/>
      <x v="977"/>
      <x v="4"/>
    </i>
    <i>
      <x v="997"/>
      <x v="979"/>
      <x v="4"/>
    </i>
    <i>
      <x v="998"/>
      <x v="980"/>
      <x v="4"/>
    </i>
    <i>
      <x v="999"/>
      <x v="981"/>
      <x v="4"/>
    </i>
    <i>
      <x v="1000"/>
      <x v="982"/>
      <x v="5"/>
    </i>
    <i>
      <x v="1001"/>
      <x v="985"/>
      <x v="12"/>
    </i>
    <i>
      <x v="1002"/>
      <x v="986"/>
      <x v="12"/>
    </i>
    <i>
      <x v="1003"/>
      <x v="988"/>
      <x v="12"/>
    </i>
    <i>
      <x v="1004"/>
      <x v="989"/>
      <x v="10"/>
    </i>
    <i>
      <x v="1005"/>
      <x v="990"/>
      <x v="11"/>
    </i>
    <i>
      <x v="1006"/>
      <x v="992"/>
      <x v="11"/>
    </i>
    <i>
      <x v="1007"/>
      <x v="993"/>
      <x v="11"/>
    </i>
    <i>
      <x v="1008"/>
      <x v="994"/>
      <x v="14"/>
    </i>
    <i>
      <x v="1009"/>
      <x v="995"/>
      <x v="14"/>
    </i>
    <i>
      <x v="1010"/>
      <x v="996"/>
      <x v="12"/>
    </i>
    <i>
      <x v="1011"/>
      <x v="997"/>
      <x v="12"/>
    </i>
    <i>
      <x v="1012"/>
      <x v="999"/>
      <x/>
    </i>
    <i>
      <x v="1013"/>
      <x v="1000"/>
      <x/>
    </i>
    <i>
      <x v="1014"/>
      <x v="1001"/>
      <x v="2"/>
    </i>
    <i>
      <x v="1015"/>
      <x v="1002"/>
      <x v="2"/>
    </i>
    <i>
      <x v="1016"/>
      <x v="1003"/>
      <x v="2"/>
    </i>
    <i>
      <x v="1017"/>
      <x v="1004"/>
      <x v="2"/>
    </i>
    <i>
      <x v="1018"/>
      <x v="1005"/>
      <x v="2"/>
    </i>
    <i>
      <x v="1019"/>
      <x v="1006"/>
      <x v="2"/>
    </i>
    <i>
      <x v="1020"/>
      <x v="1007"/>
      <x v="2"/>
    </i>
    <i>
      <x v="1021"/>
      <x v="1008"/>
      <x v="2"/>
    </i>
    <i>
      <x v="1022"/>
      <x v="1009"/>
      <x v="2"/>
    </i>
    <i>
      <x v="1023"/>
      <x v="1010"/>
      <x v="2"/>
    </i>
    <i>
      <x v="1024"/>
      <x v="1011"/>
      <x v="2"/>
    </i>
    <i>
      <x v="1025"/>
      <x v="1012"/>
      <x v="2"/>
    </i>
    <i>
      <x v="1026"/>
      <x v="1013"/>
      <x v="2"/>
    </i>
    <i>
      <x v="1027"/>
      <x v="1014"/>
      <x v="2"/>
    </i>
    <i>
      <x v="1028"/>
      <x v="1015"/>
      <x v="2"/>
    </i>
    <i>
      <x v="1029"/>
      <x v="1016"/>
      <x v="2"/>
    </i>
    <i>
      <x v="1030"/>
      <x v="1018"/>
      <x v="2"/>
    </i>
    <i>
      <x v="1031"/>
      <x v="1019"/>
      <x v="2"/>
    </i>
    <i>
      <x v="1032"/>
      <x v="1020"/>
      <x v="2"/>
    </i>
    <i>
      <x v="1033"/>
      <x v="1021"/>
      <x v="2"/>
    </i>
    <i>
      <x v="1034"/>
      <x v="1022"/>
      <x v="2"/>
    </i>
    <i>
      <x v="1035"/>
      <x v="1023"/>
      <x v="2"/>
    </i>
    <i>
      <x v="1036"/>
      <x v="1026"/>
      <x v="1"/>
    </i>
    <i>
      <x v="1037"/>
      <x v="1027"/>
      <x v="1"/>
    </i>
    <i>
      <x v="1038"/>
      <x v="1028"/>
      <x v="1"/>
    </i>
    <i>
      <x v="1039"/>
      <x v="1029"/>
      <x v="1"/>
    </i>
    <i>
      <x v="1040"/>
      <x v="1030"/>
      <x v="1"/>
    </i>
    <i>
      <x v="1041"/>
      <x v="1031"/>
      <x v="1"/>
    </i>
    <i>
      <x v="1042"/>
      <x v="1032"/>
      <x v="1"/>
    </i>
    <i>
      <x v="1043"/>
      <x v="1033"/>
      <x v="1"/>
    </i>
    <i>
      <x v="1044"/>
      <x v="1034"/>
      <x v="1"/>
    </i>
    <i>
      <x v="1045"/>
      <x v="1035"/>
      <x v="1"/>
    </i>
    <i>
      <x v="1046"/>
      <x v="1036"/>
      <x v="1"/>
    </i>
    <i>
      <x v="1047"/>
      <x v="1037"/>
      <x v="1"/>
    </i>
    <i>
      <x v="1048"/>
      <x v="1038"/>
      <x v="1"/>
    </i>
    <i>
      <x v="1049"/>
      <x v="1039"/>
      <x v="1"/>
    </i>
    <i>
      <x v="1050"/>
      <x v="1040"/>
      <x v="1"/>
    </i>
    <i>
      <x v="1051"/>
      <x v="1041"/>
      <x v="1"/>
    </i>
    <i>
      <x v="1052"/>
      <x v="1042"/>
      <x v="1"/>
    </i>
    <i>
      <x v="1053"/>
      <x v="1043"/>
      <x v="1"/>
    </i>
    <i>
      <x v="1054"/>
      <x v="1044"/>
      <x v="1"/>
    </i>
    <i>
      <x v="1055"/>
      <x v="1045"/>
      <x v="1"/>
    </i>
    <i>
      <x v="1056"/>
      <x v="1046"/>
      <x v="1"/>
    </i>
    <i>
      <x v="1057"/>
      <x v="1047"/>
      <x v="1"/>
    </i>
    <i>
      <x v="1058"/>
      <x v="1048"/>
      <x v="1"/>
    </i>
    <i>
      <x v="1059"/>
      <x v="1049"/>
      <x v="1"/>
    </i>
    <i>
      <x v="1060"/>
      <x v="1050"/>
      <x v="1"/>
    </i>
    <i>
      <x v="1061"/>
      <x v="1051"/>
      <x v="1"/>
    </i>
    <i>
      <x v="1062"/>
      <x v="1052"/>
      <x v="1"/>
    </i>
    <i>
      <x v="1063"/>
      <x v="1053"/>
      <x v="1"/>
    </i>
    <i>
      <x v="1064"/>
      <x v="1054"/>
      <x v="1"/>
    </i>
    <i>
      <x v="1065"/>
      <x v="1055"/>
      <x v="1"/>
    </i>
    <i>
      <x v="1066"/>
      <x v="1056"/>
      <x v="1"/>
    </i>
    <i>
      <x v="1067"/>
      <x v="1057"/>
      <x v="1"/>
    </i>
    <i>
      <x v="1068"/>
      <x v="1058"/>
      <x v="1"/>
    </i>
    <i>
      <x v="1069"/>
      <x v="1059"/>
      <x v="1"/>
    </i>
    <i>
      <x v="1070"/>
      <x v="1060"/>
      <x v="5"/>
    </i>
    <i>
      <x v="1071"/>
      <x v="1061"/>
      <x v="5"/>
    </i>
    <i>
      <x v="1072"/>
      <x v="1062"/>
      <x v="5"/>
    </i>
    <i>
      <x v="1073"/>
      <x v="1063"/>
      <x v="5"/>
    </i>
    <i>
      <x v="1074"/>
      <x v="1064"/>
      <x v="5"/>
    </i>
    <i>
      <x v="1075"/>
      <x v="1066"/>
      <x v="5"/>
    </i>
    <i>
      <x v="1076"/>
      <x v="1067"/>
      <x v="5"/>
    </i>
    <i>
      <x v="1077"/>
      <x v="1068"/>
      <x v="5"/>
    </i>
    <i>
      <x v="1078"/>
      <x v="1070"/>
      <x v="5"/>
    </i>
    <i>
      <x v="1079"/>
      <x v="1071"/>
      <x v="10"/>
    </i>
    <i>
      <x v="1080"/>
      <x v="1072"/>
      <x v="8"/>
    </i>
    <i>
      <x v="1081"/>
      <x v="1073"/>
      <x v="8"/>
    </i>
    <i>
      <x v="1082"/>
      <x v="1074"/>
      <x v="8"/>
    </i>
    <i>
      <x v="1083"/>
      <x v="1075"/>
      <x v="8"/>
    </i>
    <i>
      <x v="1084"/>
      <x v="1076"/>
      <x v="8"/>
    </i>
    <i>
      <x v="1085"/>
      <x v="1077"/>
      <x v="8"/>
    </i>
    <i>
      <x v="1086"/>
      <x v="1080"/>
      <x/>
    </i>
    <i>
      <x v="1087"/>
      <x v="1081"/>
      <x/>
    </i>
    <i>
      <x v="1088"/>
      <x v="1082"/>
      <x/>
    </i>
    <i>
      <x v="1089"/>
      <x v="1083"/>
      <x v="14"/>
    </i>
    <i>
      <x v="1090"/>
      <x v="1084"/>
      <x v="14"/>
    </i>
    <i>
      <x v="1091"/>
      <x v="1085"/>
      <x/>
    </i>
    <i>
      <x v="1092"/>
      <x v="1086"/>
      <x v="11"/>
    </i>
    <i>
      <x v="1093"/>
      <x v="1087"/>
      <x v="11"/>
    </i>
    <i>
      <x v="1094"/>
      <x v="1089"/>
      <x v="9"/>
    </i>
    <i>
      <x v="1095"/>
      <x v="1090"/>
      <x v="9"/>
    </i>
    <i>
      <x v="1096"/>
      <x v="1091"/>
      <x v="9"/>
    </i>
    <i>
      <x v="1097"/>
      <x v="1092"/>
      <x v="9"/>
    </i>
    <i>
      <x v="1098"/>
      <x v="1093"/>
      <x v="9"/>
    </i>
    <i>
      <x v="1099"/>
      <x v="1094"/>
      <x v="9"/>
    </i>
    <i>
      <x v="1100"/>
      <x v="1095"/>
      <x v="9"/>
    </i>
    <i>
      <x v="1101"/>
      <x v="1096"/>
      <x v="9"/>
    </i>
    <i>
      <x v="1102"/>
      <x v="1097"/>
      <x v="9"/>
    </i>
    <i>
      <x v="1103"/>
      <x v="1098"/>
      <x v="1"/>
    </i>
    <i>
      <x v="1104"/>
      <x v="1099"/>
      <x v="1"/>
    </i>
    <i>
      <x v="1105"/>
      <x v="1100"/>
      <x v="1"/>
    </i>
    <i>
      <x v="1106"/>
      <x v="1101"/>
      <x v="1"/>
    </i>
    <i>
      <x v="1107"/>
      <x v="1102"/>
      <x v="1"/>
    </i>
    <i>
      <x v="1108"/>
      <x v="1103"/>
      <x v="1"/>
    </i>
    <i>
      <x v="1109"/>
      <x v="1105"/>
      <x v="4"/>
    </i>
    <i>
      <x v="1110"/>
      <x v="1106"/>
      <x v="4"/>
    </i>
    <i>
      <x v="1111"/>
      <x v="1107"/>
      <x v="4"/>
    </i>
    <i>
      <x v="1112"/>
      <x v="1108"/>
      <x v="4"/>
    </i>
    <i>
      <x v="1113"/>
      <x v="1109"/>
      <x v="4"/>
    </i>
    <i>
      <x v="1114"/>
      <x v="1110"/>
      <x v="4"/>
    </i>
    <i>
      <x v="1115"/>
      <x v="1111"/>
      <x v="19"/>
    </i>
    <i>
      <x v="1116"/>
      <x v="1112"/>
      <x v="5"/>
    </i>
    <i>
      <x v="1117"/>
      <x v="1113"/>
      <x v="5"/>
    </i>
    <i>
      <x v="1118"/>
      <x v="1114"/>
      <x v="5"/>
    </i>
    <i>
      <x v="1119"/>
      <x v="1116"/>
      <x v="5"/>
    </i>
    <i>
      <x v="1120"/>
      <x v="1117"/>
      <x v="5"/>
    </i>
    <i>
      <x v="1121"/>
      <x v="1118"/>
      <x v="5"/>
    </i>
    <i>
      <x v="1122"/>
      <x v="1119"/>
      <x v="5"/>
    </i>
    <i>
      <x v="1123"/>
      <x v="1120"/>
      <x v="5"/>
    </i>
    <i>
      <x v="1124"/>
      <x v="1121"/>
      <x v="10"/>
    </i>
    <i>
      <x v="1125"/>
      <x v="1122"/>
      <x v="10"/>
    </i>
    <i>
      <x v="1126"/>
      <x v="1124"/>
      <x v="10"/>
    </i>
    <i>
      <x v="1127"/>
      <x v="1125"/>
      <x v="10"/>
    </i>
    <i>
      <x v="1128"/>
      <x v="1126"/>
      <x v="10"/>
    </i>
    <i>
      <x v="1129"/>
      <x v="1128"/>
      <x v="16"/>
    </i>
    <i>
      <x v="1130"/>
      <x v="1134"/>
      <x v="4"/>
    </i>
    <i>
      <x v="1131"/>
      <x v="1135"/>
      <x v="4"/>
    </i>
    <i>
      <x v="1132"/>
      <x v="1137"/>
      <x v="4"/>
    </i>
    <i>
      <x v="1133"/>
      <x v="1138"/>
      <x v="12"/>
    </i>
    <i>
      <x v="1134"/>
      <x v="1139"/>
      <x v="12"/>
    </i>
    <i>
      <x v="1135"/>
      <x v="1140"/>
      <x v="12"/>
    </i>
    <i>
      <x v="1136"/>
      <x v="1141"/>
      <x v="11"/>
    </i>
    <i>
      <x v="1137"/>
      <x v="1142"/>
      <x v="15"/>
    </i>
    <i>
      <x v="1138"/>
      <x v="1145"/>
      <x v="9"/>
    </i>
    <i>
      <x v="1139"/>
      <x v="1146"/>
      <x v="9"/>
    </i>
    <i>
      <x v="1140"/>
      <x v="1147"/>
      <x v="9"/>
    </i>
    <i>
      <x v="1141"/>
      <x v="1148"/>
      <x v="9"/>
    </i>
    <i>
      <x v="1142"/>
      <x v="1149"/>
      <x v="9"/>
    </i>
    <i>
      <x v="1143"/>
      <x v="1150"/>
      <x v="9"/>
    </i>
    <i>
      <x v="1144"/>
      <x v="1151"/>
      <x v="9"/>
    </i>
    <i>
      <x v="1145"/>
      <x v="1152"/>
      <x v="9"/>
    </i>
    <i>
      <x v="1146"/>
      <x v="1153"/>
      <x v="9"/>
    </i>
    <i>
      <x v="1147"/>
      <x v="1155"/>
      <x/>
    </i>
    <i>
      <x v="1148"/>
      <x v="1157"/>
      <x v="10"/>
    </i>
    <i>
      <x v="1149"/>
      <x v="1158"/>
      <x v="10"/>
    </i>
    <i>
      <x v="1150"/>
      <x v="1159"/>
      <x v="10"/>
    </i>
    <i>
      <x v="1151"/>
      <x v="1160"/>
      <x v="10"/>
    </i>
    <i>
      <x v="1152"/>
      <x v="1161"/>
      <x v="10"/>
    </i>
    <i>
      <x v="1153"/>
      <x v="1162"/>
      <x v="19"/>
    </i>
    <i>
      <x v="1154"/>
      <x v="1164"/>
      <x v="15"/>
    </i>
    <i>
      <x v="1155"/>
      <x v="1165"/>
      <x v="15"/>
    </i>
    <i>
      <x v="1156"/>
      <x v="1166"/>
      <x v="15"/>
    </i>
    <i>
      <x v="1157"/>
      <x v="1167"/>
      <x v="15"/>
    </i>
    <i>
      <x v="1158"/>
      <x v="1168"/>
      <x v="5"/>
    </i>
    <i>
      <x v="1159"/>
      <x v="1170"/>
      <x v="5"/>
    </i>
    <i>
      <x v="1160"/>
      <x v="1172"/>
      <x v="5"/>
    </i>
    <i>
      <x v="1161"/>
      <x v="1174"/>
      <x v="5"/>
    </i>
    <i>
      <x v="1162"/>
      <x v="1175"/>
      <x/>
    </i>
    <i>
      <x v="1163"/>
      <x v="1176"/>
      <x/>
    </i>
    <i>
      <x v="1164"/>
      <x v="1177"/>
      <x/>
    </i>
    <i>
      <x v="1165"/>
      <x v="1178"/>
      <x/>
    </i>
    <i>
      <x v="1166"/>
      <x v="1179"/>
      <x/>
    </i>
    <i>
      <x v="1167"/>
      <x v="1181"/>
      <x v="10"/>
    </i>
    <i>
      <x v="1168"/>
      <x v="1183"/>
      <x v="1"/>
    </i>
    <i>
      <x v="1169"/>
      <x v="1185"/>
      <x v="1"/>
    </i>
    <i>
      <x v="1170"/>
      <x v="1188"/>
      <x v="1"/>
    </i>
    <i>
      <x v="1171"/>
      <x v="1189"/>
      <x v="1"/>
    </i>
    <i>
      <x v="1172"/>
      <x v="1190"/>
      <x v="1"/>
    </i>
    <i>
      <x v="1173"/>
      <x v="1191"/>
      <x v="1"/>
    </i>
    <i>
      <x v="1174"/>
      <x v="1192"/>
      <x v="1"/>
    </i>
    <i>
      <x v="1175"/>
      <x v="1193"/>
      <x v="1"/>
    </i>
    <i>
      <x v="1176"/>
      <x v="1195"/>
      <x v="1"/>
    </i>
    <i>
      <x v="1177"/>
      <x v="1196"/>
      <x v="1"/>
    </i>
    <i>
      <x v="1178"/>
      <x v="1198"/>
      <x v="1"/>
    </i>
    <i>
      <x v="1179"/>
      <x v="1200"/>
      <x v="1"/>
    </i>
    <i>
      <x v="1180"/>
      <x v="1201"/>
      <x v="1"/>
    </i>
    <i>
      <x v="1181"/>
      <x v="1203"/>
      <x v="1"/>
    </i>
    <i>
      <x v="1182"/>
      <x v="1204"/>
      <x v="1"/>
    </i>
    <i>
      <x v="1183"/>
      <x v="1205"/>
      <x v="1"/>
    </i>
    <i>
      <x v="1184"/>
      <x v="1206"/>
      <x v="1"/>
    </i>
    <i>
      <x v="1185"/>
      <x v="1207"/>
      <x v="16"/>
    </i>
    <i>
      <x v="1186"/>
      <x v="1208"/>
      <x v="16"/>
    </i>
    <i>
      <x v="1187"/>
      <x v="1209"/>
      <x v="5"/>
    </i>
    <i>
      <x v="1188"/>
      <x v="1210"/>
      <x v="5"/>
    </i>
    <i>
      <x v="1189"/>
      <x v="1213"/>
      <x v="5"/>
    </i>
    <i>
      <x v="1190"/>
      <x v="1214"/>
      <x v="5"/>
    </i>
    <i>
      <x v="1191"/>
      <x v="1215"/>
      <x v="5"/>
    </i>
    <i>
      <x v="1192"/>
      <x v="1216"/>
      <x v="5"/>
    </i>
    <i>
      <x v="1193"/>
      <x v="1217"/>
      <x v="5"/>
    </i>
    <i>
      <x v="1194"/>
      <x v="1218"/>
      <x v="5"/>
    </i>
    <i>
      <x v="1195"/>
      <x v="1219"/>
      <x v="10"/>
    </i>
    <i>
      <x v="1196"/>
      <x v="1220"/>
      <x v="5"/>
    </i>
    <i>
      <x v="1197"/>
      <x v="1222"/>
      <x v="5"/>
    </i>
    <i>
      <x v="1198"/>
      <x v="1224"/>
      <x v="14"/>
    </i>
    <i>
      <x v="1199"/>
      <x v="1225"/>
      <x v="14"/>
    </i>
    <i>
      <x v="1200"/>
      <x v="1226"/>
      <x v="4"/>
    </i>
    <i>
      <x v="1201"/>
      <x v="1227"/>
      <x v="4"/>
    </i>
    <i>
      <x v="1202"/>
      <x v="1228"/>
      <x v="4"/>
    </i>
    <i>
      <x v="1203"/>
      <x v="1229"/>
      <x/>
    </i>
    <i>
      <x v="1204"/>
      <x v="1230"/>
      <x/>
    </i>
    <i>
      <x v="1205"/>
      <x v="1232"/>
      <x v="11"/>
    </i>
    <i>
      <x v="1206"/>
      <x v="1233"/>
      <x v="20"/>
    </i>
    <i>
      <x v="1207"/>
      <x v="1234"/>
      <x v="20"/>
    </i>
    <i>
      <x v="1208"/>
      <x v="1236"/>
      <x v="5"/>
    </i>
    <i>
      <x v="1209"/>
      <x v="1237"/>
      <x v="5"/>
    </i>
    <i>
      <x v="1210"/>
      <x v="1238"/>
      <x v="5"/>
    </i>
    <i>
      <x v="1211"/>
      <x v="1239"/>
      <x v="5"/>
    </i>
    <i>
      <x v="1212"/>
      <x v="1240"/>
      <x v="5"/>
    </i>
    <i>
      <x v="1213"/>
      <x v="1241"/>
      <x v="5"/>
    </i>
    <i>
      <x v="1214"/>
      <x v="1243"/>
      <x v="11"/>
    </i>
    <i>
      <x v="1215"/>
      <x v="1244"/>
      <x/>
    </i>
    <i>
      <x v="1216"/>
      <x v="1246"/>
      <x/>
    </i>
    <i>
      <x v="1217"/>
      <x v="1247"/>
      <x/>
    </i>
    <i>
      <x v="1218"/>
      <x v="1248"/>
      <x v="8"/>
    </i>
    <i>
      <x v="1219"/>
      <x v="1249"/>
      <x v="8"/>
    </i>
    <i>
      <x v="1220"/>
      <x v="1250"/>
      <x v="8"/>
    </i>
    <i>
      <x v="1221"/>
      <x v="1251"/>
      <x v="8"/>
    </i>
    <i>
      <x v="1222"/>
      <x v="1252"/>
      <x v="8"/>
    </i>
    <i>
      <x v="1223"/>
      <x v="1255"/>
      <x v="8"/>
    </i>
    <i>
      <x v="1224"/>
      <x v="1256"/>
      <x v="8"/>
    </i>
    <i>
      <x v="1225"/>
      <x v="1257"/>
      <x v="8"/>
    </i>
    <i>
      <x v="1226"/>
      <x v="1258"/>
      <x v="8"/>
    </i>
    <i>
      <x v="1227"/>
      <x v="1259"/>
      <x v="8"/>
    </i>
    <i>
      <x v="1228"/>
      <x v="1260"/>
      <x v="8"/>
    </i>
    <i>
      <x v="1229"/>
      <x v="1261"/>
      <x v="8"/>
    </i>
    <i>
      <x v="1230"/>
      <x v="1262"/>
      <x v="8"/>
    </i>
    <i>
      <x v="1231"/>
      <x v="1263"/>
      <x v="8"/>
    </i>
    <i>
      <x v="1232"/>
      <x v="1264"/>
      <x v="8"/>
    </i>
    <i>
      <x v="1233"/>
      <x v="1265"/>
      <x v="8"/>
    </i>
    <i>
      <x v="1234"/>
      <x v="1266"/>
      <x v="8"/>
    </i>
    <i>
      <x v="1235"/>
      <x v="1267"/>
      <x v="8"/>
    </i>
    <i>
      <x v="1236"/>
      <x v="1268"/>
      <x v="8"/>
    </i>
    <i>
      <x v="1237"/>
      <x v="1269"/>
      <x v="8"/>
    </i>
    <i>
      <x v="1238"/>
      <x v="1270"/>
      <x v="8"/>
    </i>
    <i>
      <x v="1239"/>
      <x v="1271"/>
      <x v="8"/>
    </i>
    <i>
      <x v="1240"/>
      <x v="1272"/>
      <x v="8"/>
    </i>
    <i>
      <x v="1241"/>
      <x v="1273"/>
      <x v="8"/>
    </i>
    <i>
      <x v="1242"/>
      <x v="1274"/>
      <x v="10"/>
    </i>
    <i>
      <x v="1243"/>
      <x v="1275"/>
      <x v="10"/>
    </i>
    <i r="1">
      <x v="1315"/>
      <x v="11"/>
    </i>
    <i>
      <x v="1244"/>
      <x v="1278"/>
      <x v="10"/>
    </i>
    <i>
      <x v="1245"/>
      <x v="1279"/>
      <x v="9"/>
    </i>
    <i>
      <x v="1246"/>
      <x v="1280"/>
      <x v="9"/>
    </i>
    <i>
      <x v="1247"/>
      <x v="1281"/>
      <x v="9"/>
    </i>
    <i>
      <x v="1248"/>
      <x v="1282"/>
      <x v="9"/>
    </i>
    <i>
      <x v="1249"/>
      <x v="1283"/>
      <x v="9"/>
    </i>
    <i>
      <x v="1250"/>
      <x v="1284"/>
      <x v="9"/>
    </i>
    <i>
      <x v="1251"/>
      <x v="1286"/>
      <x v="9"/>
    </i>
    <i>
      <x v="1252"/>
      <x v="1287"/>
      <x v="9"/>
    </i>
    <i>
      <x v="1253"/>
      <x v="1288"/>
      <x v="9"/>
    </i>
    <i>
      <x v="1254"/>
      <x v="1289"/>
      <x v="9"/>
    </i>
    <i>
      <x v="1255"/>
      <x v="1290"/>
      <x v="9"/>
    </i>
    <i>
      <x v="1256"/>
      <x v="1291"/>
      <x v="9"/>
    </i>
    <i>
      <x v="1257"/>
      <x v="1292"/>
      <x v="9"/>
    </i>
    <i>
      <x v="1258"/>
      <x v="1293"/>
      <x v="9"/>
    </i>
    <i>
      <x v="1259"/>
      <x v="1294"/>
      <x v="9"/>
    </i>
    <i>
      <x v="1260"/>
      <x v="1295"/>
      <x v="4"/>
    </i>
    <i>
      <x v="1261"/>
      <x v="1297"/>
      <x v="4"/>
    </i>
    <i>
      <x v="1262"/>
      <x v="1298"/>
      <x v="4"/>
    </i>
    <i>
      <x v="1263"/>
      <x v="1299"/>
      <x v="4"/>
    </i>
    <i>
      <x v="1264"/>
      <x v="1301"/>
      <x v="4"/>
    </i>
    <i>
      <x v="1265"/>
      <x v="1302"/>
      <x v="4"/>
    </i>
    <i>
      <x v="1266"/>
      <x v="1303"/>
      <x v="10"/>
    </i>
    <i>
      <x v="1267"/>
      <x v="1305"/>
      <x v="10"/>
    </i>
    <i>
      <x v="1268"/>
      <x v="1306"/>
      <x v="10"/>
    </i>
    <i>
      <x v="1269"/>
      <x v="1307"/>
      <x v="10"/>
    </i>
    <i>
      <x v="1270"/>
      <x v="1308"/>
      <x v="10"/>
    </i>
    <i>
      <x v="1271"/>
      <x v="1309"/>
      <x v="12"/>
    </i>
    <i>
      <x v="1272"/>
      <x v="1310"/>
      <x v="12"/>
    </i>
    <i>
      <x v="1273"/>
      <x v="1311"/>
      <x v="12"/>
    </i>
    <i>
      <x v="1274"/>
      <x v="1312"/>
      <x v="12"/>
    </i>
    <i>
      <x v="1275"/>
      <x v="1313"/>
      <x v="11"/>
    </i>
    <i>
      <x v="1276"/>
      <x v="1314"/>
      <x v="11"/>
    </i>
    <i>
      <x v="1277"/>
      <x v="1317"/>
      <x v="11"/>
    </i>
    <i>
      <x v="1278"/>
      <x v="1318"/>
      <x v="10"/>
    </i>
    <i>
      <x v="1279"/>
      <x v="1320"/>
      <x v="10"/>
    </i>
    <i>
      <x v="1280"/>
      <x v="1321"/>
      <x v="4"/>
    </i>
    <i>
      <x v="1281"/>
      <x v="1322"/>
      <x v="4"/>
    </i>
    <i>
      <x v="1282"/>
      <x v="1323"/>
      <x v="4"/>
    </i>
    <i>
      <x v="1283"/>
      <x v="1324"/>
      <x v="4"/>
    </i>
    <i>
      <x v="1284"/>
      <x v="1325"/>
      <x v="4"/>
    </i>
    <i>
      <x v="1285"/>
      <x v="1326"/>
      <x v="12"/>
    </i>
    <i>
      <x v="1286"/>
      <x v="1327"/>
      <x v="12"/>
    </i>
    <i>
      <x v="1287"/>
      <x v="1328"/>
      <x v="11"/>
    </i>
    <i>
      <x v="1288"/>
      <x v="1330"/>
      <x v="10"/>
    </i>
    <i>
      <x v="1289"/>
      <x v="1332"/>
      <x v="2"/>
    </i>
    <i>
      <x v="1290"/>
      <x v="1333"/>
      <x v="2"/>
    </i>
    <i>
      <x v="1291"/>
      <x v="1334"/>
      <x v="2"/>
    </i>
    <i>
      <x v="1292"/>
      <x v="1335"/>
      <x v="2"/>
    </i>
    <i>
      <x v="1293"/>
      <x v="1337"/>
      <x v="2"/>
    </i>
    <i>
      <x v="1294"/>
      <x v="1338"/>
      <x v="2"/>
    </i>
    <i>
      <x v="1295"/>
      <x v="1339"/>
      <x v="2"/>
    </i>
    <i>
      <x v="1296"/>
      <x v="1340"/>
      <x v="2"/>
    </i>
    <i>
      <x v="1297"/>
      <x v="1344"/>
      <x v="12"/>
    </i>
    <i>
      <x v="1298"/>
      <x v="1345"/>
      <x v="12"/>
    </i>
    <i>
      <x v="1299"/>
      <x v="1346"/>
      <x v="12"/>
    </i>
    <i>
      <x v="1300"/>
      <x v="1347"/>
      <x v="12"/>
    </i>
    <i>
      <x v="1301"/>
      <x v="161"/>
      <x/>
    </i>
    <i r="2">
      <x v="1"/>
    </i>
    <i r="2">
      <x v="2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5"/>
    </i>
    <i r="2">
      <x v="17"/>
    </i>
    <i r="2">
      <x v="18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</rowItems>
  <colItems count="1">
    <i/>
  </colItems>
  <formats count="22">
    <format dxfId="307">
      <pivotArea dataOnly="0" labelOnly="1" outline="0" fieldPosition="0">
        <references count="1">
          <reference field="13" count="1">
            <x v="39"/>
          </reference>
        </references>
      </pivotArea>
    </format>
    <format dxfId="306">
      <pivotArea dataOnly="0" labelOnly="1" outline="0" fieldPosition="0">
        <references count="2">
          <reference field="13" count="1" selected="0">
            <x v="39"/>
          </reference>
          <reference field="14" count="2">
            <x v="96"/>
            <x v="139"/>
          </reference>
        </references>
      </pivotArea>
    </format>
    <format dxfId="305">
      <pivotArea dataOnly="0" labelOnly="1" outline="0" fieldPosition="0">
        <references count="1">
          <reference field="13" count="1">
            <x v="77"/>
          </reference>
        </references>
      </pivotArea>
    </format>
    <format dxfId="304">
      <pivotArea dataOnly="0" labelOnly="1" outline="0" fieldPosition="0">
        <references count="2">
          <reference field="13" count="1" selected="0">
            <x v="77"/>
          </reference>
          <reference field="14" count="3">
            <x v="103"/>
            <x v="126"/>
            <x v="145"/>
          </reference>
        </references>
      </pivotArea>
    </format>
    <format dxfId="303">
      <pivotArea dataOnly="0" labelOnly="1" outline="0" fieldPosition="0">
        <references count="3">
          <reference field="7" count="1">
            <x v="4"/>
          </reference>
          <reference field="13" count="1" selected="0">
            <x v="77"/>
          </reference>
          <reference field="14" count="1" selected="0">
            <x v="103"/>
          </reference>
        </references>
      </pivotArea>
    </format>
    <format dxfId="302">
      <pivotArea dataOnly="0" labelOnly="1" outline="0" fieldPosition="0">
        <references count="3">
          <reference field="7" count="1">
            <x v="0"/>
          </reference>
          <reference field="13" count="1" selected="0">
            <x v="77"/>
          </reference>
          <reference field="14" count="1" selected="0">
            <x v="126"/>
          </reference>
        </references>
      </pivotArea>
    </format>
    <format dxfId="301">
      <pivotArea dataOnly="0" labelOnly="1" outline="0" fieldPosition="0">
        <references count="3">
          <reference field="7" count="1">
            <x v="0"/>
          </reference>
          <reference field="13" count="1" selected="0">
            <x v="77"/>
          </reference>
          <reference field="14" count="1" selected="0">
            <x v="145"/>
          </reference>
        </references>
      </pivotArea>
    </format>
    <format dxfId="300">
      <pivotArea dataOnly="0" labelOnly="1" outline="0" fieldPosition="0">
        <references count="1">
          <reference field="13" count="1">
            <x v="79"/>
          </reference>
        </references>
      </pivotArea>
    </format>
    <format dxfId="299">
      <pivotArea dataOnly="0" labelOnly="1" outline="0" fieldPosition="0">
        <references count="2">
          <reference field="13" count="1" selected="0">
            <x v="79"/>
          </reference>
          <reference field="14" count="2">
            <x v="34"/>
            <x v="102"/>
          </reference>
        </references>
      </pivotArea>
    </format>
    <format dxfId="298">
      <pivotArea dataOnly="0" labelOnly="1" outline="0" fieldPosition="0">
        <references count="3">
          <reference field="7" count="1">
            <x v="2"/>
          </reference>
          <reference field="13" count="1" selected="0">
            <x v="79"/>
          </reference>
          <reference field="14" count="1" selected="0">
            <x v="34"/>
          </reference>
        </references>
      </pivotArea>
    </format>
    <format dxfId="297">
      <pivotArea dataOnly="0" labelOnly="1" outline="0" fieldPosition="0">
        <references count="3">
          <reference field="7" count="1">
            <x v="4"/>
          </reference>
          <reference field="13" count="1" selected="0">
            <x v="79"/>
          </reference>
          <reference field="14" count="1" selected="0">
            <x v="102"/>
          </reference>
        </references>
      </pivotArea>
    </format>
    <format dxfId="296">
      <pivotArea dataOnly="0" labelOnly="1" outline="0" fieldPosition="0">
        <references count="1">
          <reference field="13" count="3">
            <x v="81"/>
            <x v="82"/>
            <x v="83"/>
          </reference>
        </references>
      </pivotArea>
    </format>
    <format dxfId="295">
      <pivotArea dataOnly="0" labelOnly="1" outline="0" fieldPosition="0">
        <references count="2">
          <reference field="13" count="1" selected="0">
            <x v="81"/>
          </reference>
          <reference field="14" count="1">
            <x v="30"/>
          </reference>
        </references>
      </pivotArea>
    </format>
    <format dxfId="294">
      <pivotArea dataOnly="0" labelOnly="1" outline="0" fieldPosition="0">
        <references count="2">
          <reference field="13" count="1" selected="0">
            <x v="82"/>
          </reference>
          <reference field="14" count="1">
            <x v="76"/>
          </reference>
        </references>
      </pivotArea>
    </format>
    <format dxfId="293">
      <pivotArea dataOnly="0" labelOnly="1" outline="0" fieldPosition="0">
        <references count="2">
          <reference field="13" count="1" selected="0">
            <x v="83"/>
          </reference>
          <reference field="14" count="1">
            <x v="67"/>
          </reference>
        </references>
      </pivotArea>
    </format>
    <format dxfId="292">
      <pivotArea dataOnly="0" labelOnly="1" outline="0" fieldPosition="0">
        <references count="3">
          <reference field="7" count="1">
            <x v="5"/>
          </reference>
          <reference field="13" count="1" selected="0">
            <x v="81"/>
          </reference>
          <reference field="14" count="1" selected="0">
            <x v="30"/>
          </reference>
        </references>
      </pivotArea>
    </format>
    <format dxfId="291">
      <pivotArea dataOnly="0" labelOnly="1" outline="0" fieldPosition="0">
        <references count="3">
          <reference field="7" count="1">
            <x v="2"/>
          </reference>
          <reference field="13" count="1" selected="0">
            <x v="82"/>
          </reference>
          <reference field="14" count="1" selected="0">
            <x v="76"/>
          </reference>
        </references>
      </pivotArea>
    </format>
    <format dxfId="290">
      <pivotArea dataOnly="0" labelOnly="1" outline="0" fieldPosition="0">
        <references count="3">
          <reference field="7" count="1">
            <x v="2"/>
          </reference>
          <reference field="13" count="1" selected="0">
            <x v="83"/>
          </reference>
          <reference field="14" count="1" selected="0">
            <x v="67"/>
          </reference>
        </references>
      </pivotArea>
    </format>
    <format dxfId="289">
      <pivotArea dataOnly="0" labelOnly="1" outline="0" fieldPosition="0">
        <references count="1">
          <reference field="13" count="1">
            <x v="124"/>
          </reference>
        </references>
      </pivotArea>
    </format>
    <format dxfId="288">
      <pivotArea dataOnly="0" labelOnly="1" outline="0" fieldPosition="0">
        <references count="2">
          <reference field="13" count="1" selected="0">
            <x v="124"/>
          </reference>
          <reference field="14" count="2">
            <x v="80"/>
            <x v="157"/>
          </reference>
        </references>
      </pivotArea>
    </format>
    <format dxfId="287">
      <pivotArea dataOnly="0" labelOnly="1" outline="0" fieldPosition="0">
        <references count="3">
          <reference field="7" count="1">
            <x v="1"/>
          </reference>
          <reference field="13" count="1" selected="0">
            <x v="124"/>
          </reference>
          <reference field="14" count="1" selected="0">
            <x v="80"/>
          </reference>
        </references>
      </pivotArea>
    </format>
    <format dxfId="286">
      <pivotArea dataOnly="0" labelOnly="1" outline="0" fieldPosition="0">
        <references count="3">
          <reference field="7" count="1">
            <x v="0"/>
          </reference>
          <reference field="13" count="1" selected="0">
            <x v="124"/>
          </reference>
          <reference field="14" count="1" selected="0">
            <x v="15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163B95-04D2-4CEC-8AC1-27E09C74A4DC}" name="PivotTable17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J3:M351" firstHeaderRow="1" firstDataRow="1" firstDataCol="4"/>
  <pivotFields count="26">
    <pivotField compact="0" outline="0" showAll="0" defaultSubtotal="0"/>
    <pivotField compact="0" outline="0" showAll="0" defaultSubtotal="0">
      <items count="7">
        <item x="5"/>
        <item x="1"/>
        <item x="6"/>
        <item x="2"/>
        <item x="4"/>
        <item x="0"/>
        <item x="3"/>
      </items>
    </pivotField>
    <pivotField compact="0" outline="0" showAll="0" defaultSubtotal="0">
      <items count="7">
        <item x="2"/>
        <item x="4"/>
        <item x="6"/>
        <item x="0"/>
        <item x="5"/>
        <item x="1"/>
        <item x="3"/>
      </items>
    </pivotField>
    <pivotField compact="0" outline="0" showAll="0" defaultSubtotal="0"/>
    <pivotField axis="axisRow" compact="0" outline="0" showAll="0" defaultSubtotal="0">
      <items count="9">
        <item x="6"/>
        <item x="2"/>
        <item x="3"/>
        <item x="1"/>
        <item x="4"/>
        <item x="5"/>
        <item x="7"/>
        <item x="8"/>
        <item x="0"/>
      </items>
    </pivotField>
    <pivotField compact="0" outline="0" showAll="0" defaultSubtotal="0">
      <items count="10">
        <item x="9"/>
        <item x="7"/>
        <item x="6"/>
        <item x="0"/>
        <item x="5"/>
        <item x="4"/>
        <item x="8"/>
        <item x="1"/>
        <item x="2"/>
        <item x="3"/>
      </items>
    </pivotField>
    <pivotField compact="0" outline="0" showAll="0" defaultSubtotal="0"/>
    <pivotField axis="axisRow" compact="0" outline="0" showAll="0" defaultSubtotal="0">
      <items count="31">
        <item x="25"/>
        <item x="4"/>
        <item x="22"/>
        <item x="6"/>
        <item x="1"/>
        <item x="7"/>
        <item x="18"/>
        <item x="27"/>
        <item x="24"/>
        <item x="19"/>
        <item x="2"/>
        <item x="8"/>
        <item x="3"/>
        <item x="15"/>
        <item x="11"/>
        <item x="28"/>
        <item x="14"/>
        <item x="0"/>
        <item x="23"/>
        <item x="5"/>
        <item x="26"/>
        <item x="16"/>
        <item x="29"/>
        <item x="30"/>
        <item x="21"/>
        <item x="20"/>
        <item x="17"/>
        <item x="9"/>
        <item x="10"/>
        <item x="13"/>
        <item x="12"/>
      </items>
    </pivotField>
    <pivotField compact="0" outline="0" showAll="0" defaultSubtotal="0">
      <items count="29">
        <item x="25"/>
        <item x="23"/>
        <item x="24"/>
        <item x="21"/>
        <item x="22"/>
        <item x="26"/>
        <item x="5"/>
        <item x="0"/>
        <item x="14"/>
        <item x="13"/>
        <item x="11"/>
        <item x="10"/>
        <item x="16"/>
        <item x="12"/>
        <item x="18"/>
        <item x="19"/>
        <item x="27"/>
        <item x="3"/>
        <item x="1"/>
        <item x="28"/>
        <item x="17"/>
        <item x="8"/>
        <item x="9"/>
        <item x="6"/>
        <item x="7"/>
        <item x="2"/>
        <item x="20"/>
        <item x="15"/>
        <item x="4"/>
      </items>
    </pivotField>
    <pivotField compact="0" outline="0" showAll="0" defaultSubtotal="0"/>
    <pivotField axis="axisRow" compact="0" outline="0" showAll="0" defaultSubtotal="0">
      <items count="327">
        <item x="278"/>
        <item x="308"/>
        <item x="32"/>
        <item x="236"/>
        <item x="60"/>
        <item x="61"/>
        <item x="62"/>
        <item x="28"/>
        <item x="252"/>
        <item x="63"/>
        <item x="64"/>
        <item x="65"/>
        <item x="272"/>
        <item x="66"/>
        <item x="67"/>
        <item x="38"/>
        <item x="68"/>
        <item x="69"/>
        <item x="0"/>
        <item x="310"/>
        <item x="287"/>
        <item x="70"/>
        <item x="292"/>
        <item x="71"/>
        <item x="279"/>
        <item x="72"/>
        <item x="316"/>
        <item x="73"/>
        <item x="74"/>
        <item x="75"/>
        <item x="76"/>
        <item x="77"/>
        <item x="78"/>
        <item x="79"/>
        <item x="80"/>
        <item x="81"/>
        <item x="286"/>
        <item x="264"/>
        <item x="265"/>
        <item x="82"/>
        <item x="83"/>
        <item x="42"/>
        <item x="84"/>
        <item x="85"/>
        <item x="248"/>
        <item x="244"/>
        <item x="86"/>
        <item x="87"/>
        <item x="312"/>
        <item x="88"/>
        <item x="325"/>
        <item x="237"/>
        <item x="284"/>
        <item x="89"/>
        <item x="1"/>
        <item x="90"/>
        <item x="24"/>
        <item x="311"/>
        <item x="91"/>
        <item x="266"/>
        <item x="92"/>
        <item x="93"/>
        <item x="238"/>
        <item x="321"/>
        <item x="94"/>
        <item x="95"/>
        <item x="271"/>
        <item x="2"/>
        <item x="43"/>
        <item x="96"/>
        <item x="3"/>
        <item x="97"/>
        <item x="258"/>
        <item x="98"/>
        <item x="29"/>
        <item x="240"/>
        <item x="99"/>
        <item x="100"/>
        <item x="241"/>
        <item x="305"/>
        <item x="267"/>
        <item x="45"/>
        <item x="4"/>
        <item x="101"/>
        <item x="102"/>
        <item x="324"/>
        <item x="103"/>
        <item x="104"/>
        <item x="296"/>
        <item x="105"/>
        <item x="289"/>
        <item x="290"/>
        <item x="106"/>
        <item x="107"/>
        <item x="260"/>
        <item x="280"/>
        <item x="301"/>
        <item x="23"/>
        <item x="235"/>
        <item x="108"/>
        <item x="282"/>
        <item x="109"/>
        <item x="6"/>
        <item x="110"/>
        <item x="297"/>
        <item x="111"/>
        <item x="112"/>
        <item x="113"/>
        <item x="33"/>
        <item x="263"/>
        <item x="114"/>
        <item x="303"/>
        <item x="262"/>
        <item x="115"/>
        <item x="261"/>
        <item x="302"/>
        <item x="304"/>
        <item x="116"/>
        <item x="39"/>
        <item x="5"/>
        <item x="117"/>
        <item x="259"/>
        <item x="118"/>
        <item x="320"/>
        <item x="119"/>
        <item x="120"/>
        <item x="121"/>
        <item x="122"/>
        <item x="123"/>
        <item x="319"/>
        <item x="299"/>
        <item x="124"/>
        <item x="125"/>
        <item x="126"/>
        <item x="127"/>
        <item x="128"/>
        <item x="129"/>
        <item x="7"/>
        <item x="8"/>
        <item x="130"/>
        <item x="131"/>
        <item x="9"/>
        <item x="300"/>
        <item x="257"/>
        <item x="34"/>
        <item x="132"/>
        <item x="317"/>
        <item x="133"/>
        <item x="134"/>
        <item x="135"/>
        <item x="136"/>
        <item x="25"/>
        <item x="137"/>
        <item x="138"/>
        <item x="139"/>
        <item x="44"/>
        <item x="140"/>
        <item x="141"/>
        <item x="142"/>
        <item x="143"/>
        <item x="144"/>
        <item x="268"/>
        <item x="145"/>
        <item x="146"/>
        <item x="147"/>
        <item x="148"/>
        <item x="285"/>
        <item x="52"/>
        <item x="10"/>
        <item x="149"/>
        <item x="254"/>
        <item x="150"/>
        <item x="151"/>
        <item x="152"/>
        <item x="153"/>
        <item x="154"/>
        <item x="11"/>
        <item x="155"/>
        <item x="156"/>
        <item x="157"/>
        <item x="41"/>
        <item x="158"/>
        <item x="295"/>
        <item x="255"/>
        <item x="159"/>
        <item x="12"/>
        <item x="160"/>
        <item x="57"/>
        <item x="161"/>
        <item x="269"/>
        <item x="31"/>
        <item x="162"/>
        <item x="163"/>
        <item x="291"/>
        <item x="164"/>
        <item x="46"/>
        <item x="165"/>
        <item x="166"/>
        <item x="167"/>
        <item x="168"/>
        <item x="169"/>
        <item x="170"/>
        <item x="26"/>
        <item x="249"/>
        <item x="13"/>
        <item x="56"/>
        <item x="53"/>
        <item x="58"/>
        <item x="171"/>
        <item x="40"/>
        <item x="172"/>
        <item x="173"/>
        <item x="174"/>
        <item x="175"/>
        <item x="243"/>
        <item x="176"/>
        <item x="177"/>
        <item x="178"/>
        <item x="179"/>
        <item x="293"/>
        <item x="251"/>
        <item x="180"/>
        <item x="256"/>
        <item x="253"/>
        <item x="281"/>
        <item x="181"/>
        <item x="182"/>
        <item x="322"/>
        <item x="315"/>
        <item x="30"/>
        <item x="183"/>
        <item x="47"/>
        <item x="14"/>
        <item x="184"/>
        <item x="185"/>
        <item x="186"/>
        <item x="187"/>
        <item x="59"/>
        <item x="188"/>
        <item x="189"/>
        <item x="190"/>
        <item x="191"/>
        <item x="192"/>
        <item x="193"/>
        <item x="15"/>
        <item x="194"/>
        <item x="195"/>
        <item x="273"/>
        <item x="274"/>
        <item x="196"/>
        <item x="35"/>
        <item x="323"/>
        <item x="288"/>
        <item x="318"/>
        <item x="283"/>
        <item x="36"/>
        <item x="306"/>
        <item x="197"/>
        <item x="198"/>
        <item x="199"/>
        <item x="200"/>
        <item x="27"/>
        <item x="201"/>
        <item x="239"/>
        <item x="202"/>
        <item x="314"/>
        <item x="203"/>
        <item x="16"/>
        <item x="309"/>
        <item x="48"/>
        <item x="17"/>
        <item x="204"/>
        <item x="247"/>
        <item x="18"/>
        <item x="326"/>
        <item x="205"/>
        <item x="313"/>
        <item x="275"/>
        <item x="49"/>
        <item x="206"/>
        <item x="242"/>
        <item x="298"/>
        <item x="250"/>
        <item x="276"/>
        <item x="50"/>
        <item x="207"/>
        <item x="51"/>
        <item x="37"/>
        <item x="208"/>
        <item x="245"/>
        <item x="307"/>
        <item x="19"/>
        <item x="209"/>
        <item x="246"/>
        <item x="210"/>
        <item x="211"/>
        <item x="212"/>
        <item x="213"/>
        <item x="214"/>
        <item x="215"/>
        <item x="216"/>
        <item x="277"/>
        <item x="20"/>
        <item x="217"/>
        <item x="54"/>
        <item x="21"/>
        <item x="218"/>
        <item x="219"/>
        <item x="234"/>
        <item x="220"/>
        <item x="22"/>
        <item x="221"/>
        <item x="222"/>
        <item x="294"/>
        <item x="270"/>
        <item x="223"/>
        <item x="224"/>
        <item x="225"/>
        <item x="226"/>
        <item x="227"/>
        <item x="228"/>
        <item x="229"/>
        <item x="230"/>
        <item x="231"/>
        <item x="55"/>
        <item x="232"/>
        <item x="233"/>
      </items>
    </pivotField>
    <pivotField axis="axisRow" compact="0" outline="0" showAll="0" defaultSubtotal="0">
      <items count="328">
        <item x="277"/>
        <item x="278"/>
        <item x="280"/>
        <item x="276"/>
        <item x="279"/>
        <item x="275"/>
        <item x="270"/>
        <item x="272"/>
        <item x="273"/>
        <item x="271"/>
        <item x="274"/>
        <item x="262"/>
        <item x="263"/>
        <item x="265"/>
        <item x="268"/>
        <item x="264"/>
        <item x="267"/>
        <item x="266"/>
        <item x="269"/>
        <item x="281"/>
        <item x="223"/>
        <item x="293"/>
        <item x="20"/>
        <item x="13"/>
        <item x="21"/>
        <item x="14"/>
        <item x="261"/>
        <item x="59"/>
        <item x="291"/>
        <item x="58"/>
        <item x="294"/>
        <item x="292"/>
        <item x="290"/>
        <item x="289"/>
        <item x="0"/>
        <item x="282"/>
        <item x="286"/>
        <item x="288"/>
        <item x="287"/>
        <item x="283"/>
        <item x="284"/>
        <item x="285"/>
        <item x="6"/>
        <item x="156"/>
        <item x="77"/>
        <item x="63"/>
        <item x="187"/>
        <item x="179"/>
        <item x="207"/>
        <item x="76"/>
        <item x="91"/>
        <item x="110"/>
        <item x="57"/>
        <item x="145"/>
        <item x="228"/>
        <item x="106"/>
        <item x="107"/>
        <item x="231"/>
        <item x="160"/>
        <item x="178"/>
        <item x="53"/>
        <item x="170"/>
        <item x="87"/>
        <item x="150"/>
        <item x="209"/>
        <item x="130"/>
        <item x="72"/>
        <item x="172"/>
        <item x="169"/>
        <item x="75"/>
        <item x="99"/>
        <item x="144"/>
        <item x="143"/>
        <item x="62"/>
        <item x="137"/>
        <item x="213"/>
        <item x="60"/>
        <item x="198"/>
        <item x="148"/>
        <item x="114"/>
        <item x="155"/>
        <item x="61"/>
        <item x="224"/>
        <item x="189"/>
        <item x="220"/>
        <item x="85"/>
        <item x="217"/>
        <item x="119"/>
        <item x="54"/>
        <item x="206"/>
        <item x="166"/>
        <item x="126"/>
        <item x="55"/>
        <item x="52"/>
        <item x="97"/>
        <item x="165"/>
        <item x="86"/>
        <item x="195"/>
        <item x="194"/>
        <item x="229"/>
        <item x="184"/>
        <item x="201"/>
        <item x="80"/>
        <item x="64"/>
        <item x="154"/>
        <item x="134"/>
        <item x="163"/>
        <item x="177"/>
        <item x="146"/>
        <item x="295"/>
        <item x="225"/>
        <item x="221"/>
        <item x="204"/>
        <item x="196"/>
        <item x="101"/>
        <item x="95"/>
        <item x="133"/>
        <item x="173"/>
        <item x="161"/>
        <item x="205"/>
        <item x="232"/>
        <item x="176"/>
        <item x="89"/>
        <item x="56"/>
        <item x="92"/>
        <item x="71"/>
        <item x="171"/>
        <item x="151"/>
        <item x="227"/>
        <item x="112"/>
        <item x="74"/>
        <item x="162"/>
        <item x="180"/>
        <item x="90"/>
        <item x="197"/>
        <item x="222"/>
        <item x="116"/>
        <item x="113"/>
        <item x="193"/>
        <item x="111"/>
        <item x="108"/>
        <item x="202"/>
        <item x="158"/>
        <item x="117"/>
        <item x="121"/>
        <item x="65"/>
        <item x="210"/>
        <item x="306"/>
        <item x="302"/>
        <item x="308"/>
        <item x="307"/>
        <item x="305"/>
        <item x="304"/>
        <item x="301"/>
        <item x="303"/>
        <item x="132"/>
        <item x="16"/>
        <item x="129"/>
        <item x="68"/>
        <item x="45"/>
        <item x="47"/>
        <item x="115"/>
        <item x="15"/>
        <item x="297"/>
        <item x="50"/>
        <item x="212"/>
        <item x="300"/>
        <item x="4"/>
        <item x="136"/>
        <item x="175"/>
        <item x="96"/>
        <item x="296"/>
        <item x="49"/>
        <item x="147"/>
        <item x="298"/>
        <item x="48"/>
        <item x="51"/>
        <item x="299"/>
        <item x="46"/>
        <item x="42"/>
        <item x="102"/>
        <item x="81"/>
        <item x="105"/>
        <item x="182"/>
        <item x="258"/>
        <item x="259"/>
        <item x="104"/>
        <item x="44"/>
        <item x="123"/>
        <item x="260"/>
        <item x="149"/>
        <item x="43"/>
        <item x="230"/>
        <item x="131"/>
        <item x="10"/>
        <item x="1"/>
        <item x="12"/>
        <item x="2"/>
        <item x="309"/>
        <item x="311"/>
        <item x="310"/>
        <item x="318"/>
        <item x="319"/>
        <item x="317"/>
        <item x="320"/>
        <item x="321"/>
        <item x="316"/>
        <item x="322"/>
        <item x="314"/>
        <item x="312"/>
        <item x="313"/>
        <item x="315"/>
        <item x="323"/>
        <item x="324"/>
        <item x="325"/>
        <item x="326"/>
        <item x="327"/>
        <item x="118"/>
        <item x="138"/>
        <item x="128"/>
        <item x="103"/>
        <item x="139"/>
        <item x="125"/>
        <item x="40"/>
        <item x="216"/>
        <item x="164"/>
        <item x="185"/>
        <item x="215"/>
        <item x="38"/>
        <item x="39"/>
        <item x="218"/>
        <item x="257"/>
        <item x="200"/>
        <item x="255"/>
        <item x="256"/>
        <item x="190"/>
        <item x="109"/>
        <item x="41"/>
        <item x="82"/>
        <item x="233"/>
        <item x="141"/>
        <item x="29"/>
        <item x="28"/>
        <item x="73"/>
        <item x="78"/>
        <item x="30"/>
        <item x="183"/>
        <item x="79"/>
        <item x="69"/>
        <item x="18"/>
        <item x="191"/>
        <item x="23"/>
        <item x="93"/>
        <item x="24"/>
        <item x="83"/>
        <item x="31"/>
        <item x="94"/>
        <item x="157"/>
        <item x="36"/>
        <item x="100"/>
        <item x="35"/>
        <item x="9"/>
        <item x="98"/>
        <item x="33"/>
        <item x="67"/>
        <item x="37"/>
        <item x="219"/>
        <item x="174"/>
        <item x="32"/>
        <item x="192"/>
        <item x="124"/>
        <item x="34"/>
        <item x="208"/>
        <item x="120"/>
        <item x="7"/>
        <item x="226"/>
        <item x="135"/>
        <item x="3"/>
        <item x="244"/>
        <item x="242"/>
        <item x="251"/>
        <item x="240"/>
        <item x="253"/>
        <item x="254"/>
        <item x="241"/>
        <item x="245"/>
        <item x="238"/>
        <item x="237"/>
        <item x="250"/>
        <item x="239"/>
        <item x="235"/>
        <item x="236"/>
        <item x="247"/>
        <item x="252"/>
        <item x="246"/>
        <item x="243"/>
        <item x="249"/>
        <item x="248"/>
        <item x="234"/>
        <item x="88"/>
        <item x="152"/>
        <item x="127"/>
        <item x="167"/>
        <item x="122"/>
        <item x="159"/>
        <item x="199"/>
        <item x="153"/>
        <item x="203"/>
        <item x="66"/>
        <item x="70"/>
        <item x="5"/>
        <item x="19"/>
        <item x="8"/>
        <item x="17"/>
        <item x="11"/>
        <item x="168"/>
        <item x="214"/>
        <item x="186"/>
        <item x="140"/>
        <item x="142"/>
        <item x="26"/>
        <item x="181"/>
        <item x="22"/>
        <item x="188"/>
        <item x="211"/>
        <item x="25"/>
        <item x="27"/>
        <item x="84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4">
    <field x="10"/>
    <field x="11"/>
    <field x="7"/>
    <field x="4"/>
  </rowFields>
  <rowItems count="348">
    <i>
      <x/>
      <x/>
      <x v="7"/>
      <x v="7"/>
    </i>
    <i>
      <x v="1"/>
      <x v="149"/>
      <x v="22"/>
      <x v="3"/>
    </i>
    <i>
      <x v="2"/>
      <x v="268"/>
      <x v="10"/>
      <x v="1"/>
    </i>
    <i>
      <x v="3"/>
      <x v="298"/>
      <x v="13"/>
      <x v="2"/>
    </i>
    <i>
      <x v="4"/>
      <x v="76"/>
      <x v="14"/>
      <x v="4"/>
    </i>
    <i>
      <x v="5"/>
      <x v="81"/>
      <x v="14"/>
      <x v="4"/>
    </i>
    <i>
      <x v="6"/>
      <x v="73"/>
      <x v="14"/>
      <x v="4"/>
    </i>
    <i>
      <x v="7"/>
      <x v="242"/>
      <x v="3"/>
      <x v="1"/>
    </i>
    <i>
      <x v="8"/>
      <x v="288"/>
      <x v="24"/>
      <x v="2"/>
    </i>
    <i>
      <x v="9"/>
      <x v="45"/>
      <x v="16"/>
      <x v="8"/>
    </i>
    <i>
      <x v="10"/>
      <x v="103"/>
      <x v="28"/>
      <x v="4"/>
    </i>
    <i>
      <x v="11"/>
      <x v="145"/>
      <x v="10"/>
      <x v="1"/>
    </i>
    <i>
      <x v="12"/>
      <x v="9"/>
      <x v="20"/>
      <x v="6"/>
    </i>
    <i>
      <x v="13"/>
      <x v="308"/>
      <x v="13"/>
      <x v="2"/>
    </i>
    <i>
      <x v="14"/>
      <x v="264"/>
      <x v="10"/>
      <x v="1"/>
    </i>
    <i>
      <x v="15"/>
      <x v="228"/>
      <x v="11"/>
      <x v="1"/>
    </i>
    <i>
      <x v="16"/>
      <x v="158"/>
      <x v="12"/>
      <x v="3"/>
    </i>
    <i>
      <x v="17"/>
      <x v="248"/>
      <x v="3"/>
      <x v="1"/>
    </i>
    <i>
      <x v="18"/>
      <x v="34"/>
      <x v="17"/>
      <x v="8"/>
    </i>
    <i>
      <x v="19"/>
      <x v="200"/>
      <x v="23"/>
      <x v="3"/>
    </i>
    <i>
      <x v="20"/>
      <x v="36"/>
      <x v="17"/>
      <x v="8"/>
    </i>
    <i>
      <x v="21"/>
      <x v="309"/>
      <x v="1"/>
      <x v="2"/>
    </i>
    <i>
      <x v="22"/>
      <x v="31"/>
      <x v="19"/>
      <x v="8"/>
    </i>
    <i>
      <x v="23"/>
      <x v="125"/>
      <x v="30"/>
      <x v="4"/>
    </i>
    <i>
      <x v="24"/>
      <x v="1"/>
      <x v="7"/>
      <x v="7"/>
    </i>
    <i>
      <x v="25"/>
      <x v="66"/>
      <x v="14"/>
      <x v="4"/>
    </i>
    <i>
      <x v="26"/>
      <x v="206"/>
      <x v="26"/>
      <x v="3"/>
    </i>
    <i>
      <x v="27"/>
      <x v="243"/>
      <x v="3"/>
      <x v="1"/>
    </i>
    <i>
      <x v="28"/>
      <x v="130"/>
      <x v="30"/>
      <x v="4"/>
    </i>
    <i>
      <x v="29"/>
      <x v="69"/>
      <x v="14"/>
      <x v="4"/>
    </i>
    <i>
      <x v="30"/>
      <x v="49"/>
      <x v="16"/>
      <x v="8"/>
    </i>
    <i>
      <x v="31"/>
      <x v="44"/>
      <x v="16"/>
      <x v="8"/>
    </i>
    <i>
      <x v="32"/>
      <x v="244"/>
      <x v="3"/>
      <x v="1"/>
    </i>
    <i>
      <x v="33"/>
      <x v="247"/>
      <x v="3"/>
      <x v="1"/>
    </i>
    <i>
      <x v="34"/>
      <x v="102"/>
      <x v="28"/>
      <x v="4"/>
    </i>
    <i>
      <x v="35"/>
      <x v="181"/>
      <x v="4"/>
      <x v="3"/>
    </i>
    <i>
      <x v="36"/>
      <x v="41"/>
      <x v="17"/>
      <x v="8"/>
    </i>
    <i>
      <x v="37"/>
      <x v="11"/>
      <x v="2"/>
      <x/>
    </i>
    <i>
      <x v="38"/>
      <x v="12"/>
      <x v="2"/>
      <x/>
    </i>
    <i>
      <x v="39"/>
      <x v="238"/>
      <x v="3"/>
      <x v="1"/>
    </i>
    <i>
      <x v="40"/>
      <x v="254"/>
      <x v="3"/>
      <x v="1"/>
    </i>
    <i r="2">
      <x v="6"/>
      <x v="1"/>
    </i>
    <i>
      <x v="41"/>
      <x v="179"/>
      <x v="4"/>
      <x v="3"/>
    </i>
    <i>
      <x v="42"/>
      <x v="179"/>
      <x v="4"/>
      <x v="3"/>
    </i>
    <i r="1">
      <x v="327"/>
      <x v="4"/>
      <x v="3"/>
    </i>
    <i>
      <x v="43"/>
      <x v="85"/>
      <x v="28"/>
      <x v="4"/>
    </i>
    <i>
      <x v="44"/>
      <x v="294"/>
      <x v="24"/>
      <x v="2"/>
    </i>
    <i>
      <x v="45"/>
      <x v="279"/>
      <x v="24"/>
      <x v="2"/>
    </i>
    <i>
      <x v="46"/>
      <x v="96"/>
      <x v="28"/>
      <x v="4"/>
    </i>
    <i>
      <x v="47"/>
      <x v="62"/>
      <x v="14"/>
      <x v="4"/>
    </i>
    <i>
      <x v="48"/>
      <x v="209"/>
      <x v="26"/>
      <x v="3"/>
    </i>
    <i>
      <x v="49"/>
      <x v="299"/>
      <x v="3"/>
      <x v="1"/>
    </i>
    <i r="2">
      <x v="13"/>
      <x v="2"/>
    </i>
    <i>
      <x v="50"/>
      <x v="215"/>
      <x v="26"/>
      <x v="3"/>
    </i>
    <i>
      <x v="51"/>
      <x v="290"/>
      <x v="24"/>
      <x v="2"/>
    </i>
    <i>
      <x v="52"/>
      <x v="39"/>
      <x v="17"/>
      <x v="8"/>
    </i>
    <i>
      <x v="53"/>
      <x v="122"/>
      <x v="30"/>
      <x v="4"/>
    </i>
    <i>
      <x v="54"/>
      <x v="195"/>
      <x v="4"/>
      <x v="3"/>
    </i>
    <i>
      <x v="55"/>
      <x v="133"/>
      <x v="30"/>
      <x v="4"/>
    </i>
    <i>
      <x v="56"/>
      <x v="253"/>
      <x v="3"/>
      <x v="1"/>
    </i>
    <i r="2">
      <x v="5"/>
      <x v="1"/>
    </i>
    <i r="2">
      <x v="6"/>
      <x v="1"/>
    </i>
    <i>
      <x v="57"/>
      <x v="199"/>
      <x v="23"/>
      <x v="3"/>
    </i>
    <i>
      <x v="58"/>
      <x v="50"/>
      <x v="16"/>
      <x v="8"/>
    </i>
    <i>
      <x v="59"/>
      <x v="15"/>
      <x v="2"/>
      <x/>
    </i>
    <i>
      <x v="60"/>
      <x v="124"/>
      <x v="30"/>
      <x v="4"/>
    </i>
    <i r="1">
      <x v="252"/>
      <x v="3"/>
      <x v="1"/>
    </i>
    <i r="2">
      <x v="6"/>
      <x v="1"/>
    </i>
    <i>
      <x v="61"/>
      <x v="256"/>
      <x v="3"/>
      <x v="1"/>
    </i>
    <i r="2">
      <x v="6"/>
      <x v="1"/>
    </i>
    <i>
      <x v="62"/>
      <x v="291"/>
      <x v="24"/>
      <x v="2"/>
    </i>
    <i>
      <x v="63"/>
      <x v="207"/>
      <x v="26"/>
      <x v="3"/>
    </i>
    <i>
      <x v="64"/>
      <x v="115"/>
      <x v="21"/>
      <x v="4"/>
    </i>
    <i>
      <x v="65"/>
      <x v="170"/>
      <x v="12"/>
      <x v="3"/>
    </i>
    <i>
      <x v="66"/>
      <x v="6"/>
      <x v="8"/>
      <x v="6"/>
    </i>
    <i>
      <x v="67"/>
      <x v="197"/>
      <x v="4"/>
      <x v="3"/>
    </i>
    <i>
      <x v="68"/>
      <x v="191"/>
      <x v="4"/>
      <x v="3"/>
    </i>
    <i>
      <x v="69"/>
      <x v="94"/>
      <x v="28"/>
      <x v="4"/>
    </i>
    <i>
      <x v="70"/>
      <x v="277"/>
      <x v="10"/>
      <x v="1"/>
    </i>
    <i>
      <x v="71"/>
      <x v="262"/>
      <x v="10"/>
      <x v="1"/>
    </i>
    <i>
      <x v="72"/>
      <x v="234"/>
      <x v="27"/>
      <x v="1"/>
    </i>
    <i>
      <x v="73"/>
      <x v="241"/>
      <x v="3"/>
      <x v="1"/>
    </i>
    <i>
      <x v="74"/>
      <x v="241"/>
      <x v="3"/>
      <x v="1"/>
    </i>
    <i>
      <x v="75"/>
      <x v="286"/>
      <x v="24"/>
      <x v="2"/>
    </i>
    <i>
      <x v="76"/>
      <x v="70"/>
      <x v="14"/>
      <x v="4"/>
    </i>
    <i>
      <x v="77"/>
      <x v="259"/>
      <x v="10"/>
      <x v="1"/>
    </i>
    <i>
      <x v="78"/>
      <x v="289"/>
      <x v="24"/>
      <x v="2"/>
    </i>
    <i>
      <x v="79"/>
      <x v="151"/>
      <x v="22"/>
      <x v="3"/>
    </i>
    <i>
      <x v="80"/>
      <x v="13"/>
      <x v="2"/>
      <x/>
    </i>
    <i>
      <x v="81"/>
      <x v="159"/>
      <x v="12"/>
      <x v="3"/>
    </i>
    <i>
      <x v="82"/>
      <x v="167"/>
      <x v="12"/>
      <x v="3"/>
    </i>
    <i>
      <x v="83"/>
      <x v="114"/>
      <x v="21"/>
      <x v="4"/>
    </i>
    <i>
      <x v="84"/>
      <x v="180"/>
      <x v="4"/>
      <x v="3"/>
    </i>
    <i>
      <x v="85"/>
      <x v="214"/>
      <x v="26"/>
      <x v="3"/>
    </i>
    <i>
      <x v="86"/>
      <x v="220"/>
      <x v="12"/>
      <x v="3"/>
    </i>
    <i>
      <x v="87"/>
      <x v="186"/>
      <x v="4"/>
      <x v="3"/>
    </i>
    <i r="2">
      <x v="26"/>
      <x v="3"/>
    </i>
    <i>
      <x v="88"/>
      <x v="171"/>
      <x v="12"/>
      <x v="3"/>
    </i>
    <i>
      <x v="89"/>
      <x v="182"/>
      <x v="4"/>
      <x v="3"/>
    </i>
    <i>
      <x v="90"/>
      <x v="37"/>
      <x v="17"/>
      <x v="8"/>
    </i>
    <i>
      <x v="91"/>
      <x v="33"/>
      <x v="19"/>
      <x v="8"/>
    </i>
    <i>
      <x v="92"/>
      <x v="55"/>
      <x v="14"/>
      <x v="4"/>
    </i>
    <i>
      <x v="93"/>
      <x v="56"/>
      <x v="14"/>
      <x v="4"/>
    </i>
    <i>
      <x v="94"/>
      <x v="184"/>
      <x v="4"/>
      <x v="3"/>
    </i>
    <i>
      <x v="95"/>
      <x v="4"/>
      <x v="7"/>
      <x v="7"/>
    </i>
    <i>
      <x v="96"/>
      <x v="153"/>
      <x v="22"/>
      <x v="3"/>
    </i>
    <i>
      <x v="97"/>
      <x v="251"/>
      <x v="5"/>
      <x v="1"/>
    </i>
    <i r="2">
      <x v="6"/>
      <x v="1"/>
    </i>
    <i>
      <x v="98"/>
      <x v="251"/>
      <x v="6"/>
      <x v="1"/>
    </i>
    <i>
      <x v="99"/>
      <x v="140"/>
      <x v="9"/>
      <x v="4"/>
    </i>
    <i>
      <x v="100"/>
      <x v="19"/>
      <x v="15"/>
      <x v="8"/>
    </i>
    <i>
      <x v="101"/>
      <x v="236"/>
      <x v="27"/>
      <x v="1"/>
    </i>
    <i>
      <x v="102"/>
      <x v="42"/>
      <x v="17"/>
      <x v="8"/>
    </i>
    <i>
      <x v="103"/>
      <x v="51"/>
      <x v="16"/>
      <x v="8"/>
    </i>
    <i>
      <x v="104"/>
      <x v="163"/>
      <x v="12"/>
      <x v="3"/>
    </i>
    <i>
      <x v="105"/>
      <x v="139"/>
      <x v="9"/>
      <x v="4"/>
    </i>
    <i>
      <x v="106"/>
      <x v="129"/>
      <x v="30"/>
      <x v="4"/>
    </i>
    <i>
      <x v="107"/>
      <x v="137"/>
      <x v="9"/>
      <x v="4"/>
    </i>
    <i>
      <x v="108"/>
      <x v="263"/>
      <x v="10"/>
      <x v="1"/>
    </i>
    <i>
      <x v="109"/>
      <x v="26"/>
      <x v="19"/>
      <x v="8"/>
    </i>
    <i>
      <x v="110"/>
      <x v="79"/>
      <x v="14"/>
      <x v="4"/>
    </i>
    <i>
      <x v="111"/>
      <x v="154"/>
      <x v="22"/>
      <x v="3"/>
    </i>
    <i>
      <x v="112"/>
      <x v="189"/>
      <x v="4"/>
      <x v="3"/>
    </i>
    <i>
      <x v="113"/>
      <x v="161"/>
      <x v="12"/>
      <x v="3"/>
    </i>
    <i>
      <x v="114"/>
      <x v="185"/>
      <x v="4"/>
      <x v="3"/>
    </i>
    <i>
      <x v="115"/>
      <x v="148"/>
      <x v="22"/>
      <x v="3"/>
    </i>
    <i>
      <x v="116"/>
      <x v="152"/>
      <x v="22"/>
      <x v="3"/>
    </i>
    <i>
      <x v="117"/>
      <x v="136"/>
      <x v="9"/>
      <x v="4"/>
    </i>
    <i>
      <x v="118"/>
      <x v="229"/>
      <x v="11"/>
      <x v="1"/>
    </i>
    <i>
      <x v="119"/>
      <x v="310"/>
      <x v="1"/>
      <x v="2"/>
    </i>
    <i>
      <x v="120"/>
      <x v="143"/>
      <x v="9"/>
      <x v="4"/>
    </i>
    <i>
      <x v="121"/>
      <x v="231"/>
      <x v="27"/>
      <x v="1"/>
    </i>
    <i>
      <x v="122"/>
      <x v="217"/>
      <x v="26"/>
      <x v="3"/>
    </i>
    <i>
      <x v="123"/>
      <x v="204"/>
      <x v="26"/>
      <x v="3"/>
    </i>
    <i>
      <x v="124"/>
      <x v="87"/>
      <x v="28"/>
      <x v="4"/>
    </i>
    <i>
      <x v="125"/>
      <x v="273"/>
      <x v="10"/>
      <x v="1"/>
    </i>
    <i>
      <x v="126"/>
      <x v="144"/>
      <x v="9"/>
      <x v="4"/>
    </i>
    <i>
      <x v="127"/>
      <x v="303"/>
      <x v="13"/>
      <x v="2"/>
    </i>
    <i>
      <x v="128"/>
      <x v="188"/>
      <x v="4"/>
      <x v="3"/>
    </i>
    <i>
      <x v="129"/>
      <x v="202"/>
      <x v="26"/>
      <x v="3"/>
    </i>
    <i>
      <x v="130"/>
      <x v="177"/>
      <x v="12"/>
      <x v="3"/>
    </i>
    <i>
      <x v="131"/>
      <x v="270"/>
      <x v="10"/>
      <x v="1"/>
    </i>
    <i>
      <x v="132"/>
      <x v="222"/>
      <x v="11"/>
      <x v="1"/>
    </i>
    <i>
      <x v="133"/>
      <x v="91"/>
      <x v="28"/>
      <x v="4"/>
    </i>
    <i>
      <x v="134"/>
      <x v="301"/>
      <x v="13"/>
      <x v="2"/>
    </i>
    <i>
      <x v="135"/>
      <x v="219"/>
      <x v="12"/>
      <x v="3"/>
    </i>
    <i>
      <x v="136"/>
      <x v="157"/>
      <x v="12"/>
      <x v="3"/>
    </i>
    <i>
      <x v="137"/>
      <x v="274"/>
      <x v="10"/>
      <x v="1"/>
    </i>
    <i>
      <x v="138"/>
      <x v="312"/>
      <x v="1"/>
      <x v="2"/>
    </i>
    <i>
      <x v="139"/>
      <x v="65"/>
      <x v="14"/>
      <x v="4"/>
    </i>
    <i>
      <x v="140"/>
      <x v="193"/>
      <x v="4"/>
      <x v="3"/>
    </i>
    <i>
      <x v="141"/>
      <x v="261"/>
      <x v="10"/>
      <x v="1"/>
    </i>
    <i>
      <x v="142"/>
      <x v="166"/>
      <x v="12"/>
      <x v="3"/>
    </i>
    <i>
      <x v="143"/>
      <x v="233"/>
      <x v="27"/>
      <x v="1"/>
    </i>
    <i>
      <x v="144"/>
      <x v="271"/>
      <x v="10"/>
      <x v="1"/>
    </i>
    <i>
      <x v="145"/>
      <x v="155"/>
      <x v="12"/>
      <x v="3"/>
    </i>
    <i>
      <x v="146"/>
      <x v="203"/>
      <x v="26"/>
      <x v="3"/>
    </i>
    <i>
      <x v="147"/>
      <x v="116"/>
      <x v="21"/>
      <x v="4"/>
    </i>
    <i>
      <x v="148"/>
      <x v="105"/>
      <x v="28"/>
      <x v="4"/>
    </i>
    <i>
      <x v="149"/>
      <x v="276"/>
      <x v="10"/>
      <x v="1"/>
    </i>
    <i>
      <x v="150"/>
      <x v="168"/>
      <x v="12"/>
      <x v="3"/>
    </i>
    <i>
      <x v="151"/>
      <x v="325"/>
      <x v="1"/>
      <x v="2"/>
    </i>
    <i>
      <x v="152"/>
      <x v="74"/>
      <x v="14"/>
      <x v="4"/>
    </i>
    <i>
      <x v="153"/>
      <x v="218"/>
      <x v="26"/>
      <x v="3"/>
    </i>
    <i>
      <x v="154"/>
      <x v="221"/>
      <x v="12"/>
      <x v="3"/>
    </i>
    <i>
      <x v="155"/>
      <x v="187"/>
      <x v="4"/>
      <x v="3"/>
    </i>
    <i>
      <x v="156"/>
      <x v="318"/>
      <x v="1"/>
      <x v="2"/>
    </i>
    <i>
      <x v="157"/>
      <x v="240"/>
      <x v="3"/>
      <x v="1"/>
    </i>
    <i>
      <x v="158"/>
      <x v="319"/>
      <x v="1"/>
      <x v="2"/>
    </i>
    <i>
      <x v="159"/>
      <x v="72"/>
      <x v="14"/>
      <x v="4"/>
    </i>
    <i>
      <x v="160"/>
      <x v="71"/>
      <x v="14"/>
      <x v="4"/>
    </i>
    <i>
      <x v="161"/>
      <x v="17"/>
      <x v="2"/>
      <x/>
    </i>
    <i>
      <x v="162"/>
      <x v="53"/>
      <x v="14"/>
      <x v="4"/>
    </i>
    <i>
      <x v="163"/>
      <x v="108"/>
      <x v="28"/>
      <x v="4"/>
    </i>
    <i>
      <x v="164"/>
      <x v="173"/>
      <x v="12"/>
      <x v="3"/>
    </i>
    <i>
      <x v="165"/>
      <x v="78"/>
      <x v="14"/>
      <x v="4"/>
    </i>
    <i>
      <x v="166"/>
      <x v="40"/>
      <x v="17"/>
      <x v="8"/>
    </i>
    <i>
      <x v="167"/>
      <x v="93"/>
      <x v="28"/>
      <x v="4"/>
    </i>
    <i>
      <x v="168"/>
      <x v="194"/>
      <x v="4"/>
      <x v="3"/>
    </i>
    <i>
      <x v="169"/>
      <x v="190"/>
      <x v="4"/>
      <x v="3"/>
    </i>
    <i>
      <x v="170"/>
      <x v="293"/>
      <x v="24"/>
      <x v="2"/>
    </i>
    <i>
      <x v="171"/>
      <x v="63"/>
      <x v="14"/>
      <x v="4"/>
    </i>
    <i>
      <x v="172"/>
      <x v="127"/>
      <x v="30"/>
      <x v="4"/>
    </i>
    <i>
      <x v="173"/>
      <x v="300"/>
      <x v="13"/>
      <x v="2"/>
    </i>
    <i>
      <x v="174"/>
      <x v="306"/>
      <x v="13"/>
      <x v="2"/>
    </i>
    <i>
      <x v="175"/>
      <x v="104"/>
      <x v="28"/>
      <x v="4"/>
    </i>
    <i>
      <x v="176"/>
      <x v="314"/>
      <x v="1"/>
      <x v="2"/>
    </i>
    <i>
      <x v="177"/>
      <x v="80"/>
      <x v="14"/>
      <x v="4"/>
    </i>
    <i>
      <x v="178"/>
      <x v="43"/>
      <x v="16"/>
      <x v="8"/>
    </i>
    <i>
      <x v="179"/>
      <x v="257"/>
      <x v="3"/>
      <x v="1"/>
    </i>
    <i r="2">
      <x v="6"/>
      <x v="1"/>
    </i>
    <i>
      <x v="180"/>
      <x v="237"/>
      <x v="27"/>
      <x v="1"/>
    </i>
    <i>
      <x v="181"/>
      <x v="142"/>
      <x v="9"/>
      <x v="4"/>
    </i>
    <i>
      <x v="182"/>
      <x v="109"/>
      <x v="28"/>
      <x v="4"/>
    </i>
    <i>
      <x v="183"/>
      <x v="282"/>
      <x v="24"/>
      <x v="2"/>
    </i>
    <i>
      <x v="184"/>
      <x v="304"/>
      <x v="13"/>
      <x v="2"/>
    </i>
    <i>
      <x v="185"/>
      <x v="196"/>
      <x v="4"/>
      <x v="3"/>
    </i>
    <i>
      <x v="186"/>
      <x v="58"/>
      <x v="14"/>
      <x v="4"/>
    </i>
    <i>
      <x v="187"/>
      <x v="16"/>
      <x v="2"/>
      <x/>
    </i>
    <i r="1">
      <x v="52"/>
      <x v="29"/>
      <x v="5"/>
    </i>
    <i r="2">
      <x v="30"/>
      <x v="4"/>
    </i>
    <i>
      <x v="188"/>
      <x v="118"/>
      <x v="21"/>
      <x v="4"/>
    </i>
    <i>
      <x v="189"/>
      <x v="14"/>
      <x v="2"/>
      <x/>
    </i>
    <i>
      <x v="190"/>
      <x v="255"/>
      <x v="3"/>
      <x v="1"/>
    </i>
    <i r="2">
      <x v="5"/>
      <x v="1"/>
    </i>
    <i r="2">
      <x v="6"/>
      <x v="1"/>
    </i>
    <i>
      <x v="191"/>
      <x v="131"/>
      <x v="30"/>
      <x v="4"/>
    </i>
    <i>
      <x v="192"/>
      <x v="106"/>
      <x v="28"/>
      <x v="4"/>
    </i>
    <i>
      <x v="193"/>
      <x v="32"/>
      <x v="19"/>
      <x v="8"/>
    </i>
    <i>
      <x v="194"/>
      <x v="225"/>
      <x v="11"/>
      <x v="1"/>
    </i>
    <i>
      <x v="195"/>
      <x v="178"/>
      <x v="12"/>
      <x v="3"/>
    </i>
    <i>
      <x v="196"/>
      <x v="95"/>
      <x v="28"/>
      <x v="4"/>
    </i>
    <i>
      <x v="197"/>
      <x v="90"/>
      <x v="28"/>
      <x v="4"/>
    </i>
    <i>
      <x v="198"/>
      <x v="302"/>
      <x v="13"/>
      <x v="2"/>
    </i>
    <i r="1">
      <x v="315"/>
      <x/>
      <x v="2"/>
    </i>
    <i r="2">
      <x v="1"/>
      <x v="2"/>
    </i>
    <i>
      <x v="199"/>
      <x v="68"/>
      <x v="14"/>
      <x v="4"/>
    </i>
    <i>
      <x v="200"/>
      <x v="223"/>
      <x v="11"/>
      <x v="1"/>
    </i>
    <i>
      <x v="201"/>
      <x v="61"/>
      <x v="14"/>
      <x v="4"/>
    </i>
    <i>
      <x v="202"/>
      <x v="320"/>
      <x v="1"/>
      <x v="2"/>
    </i>
    <i>
      <x v="203"/>
      <x v="292"/>
      <x v="24"/>
      <x v="2"/>
    </i>
    <i>
      <x v="204"/>
      <x v="23"/>
      <x v="19"/>
      <x v="8"/>
    </i>
    <i>
      <x v="205"/>
      <x v="123"/>
      <x v="30"/>
      <x v="4"/>
    </i>
    <i>
      <x v="206"/>
      <x v="60"/>
      <x v="14"/>
      <x v="4"/>
    </i>
    <i r="2">
      <x v="30"/>
      <x v="4"/>
    </i>
    <i>
      <x v="207"/>
      <x v="29"/>
      <x v="19"/>
      <x v="8"/>
    </i>
    <i>
      <x v="208"/>
      <x v="126"/>
      <x v="30"/>
      <x v="4"/>
    </i>
    <i>
      <x v="209"/>
      <x v="223"/>
      <x v="11"/>
      <x v="1"/>
    </i>
    <i>
      <x v="210"/>
      <x v="67"/>
      <x v="14"/>
      <x v="4"/>
    </i>
    <i>
      <x v="211"/>
      <x v="117"/>
      <x v="21"/>
      <x v="4"/>
    </i>
    <i>
      <x v="212"/>
      <x v="267"/>
      <x v="10"/>
      <x v="1"/>
    </i>
    <i>
      <x v="213"/>
      <x v="169"/>
      <x v="12"/>
      <x v="3"/>
    </i>
    <i>
      <x v="214"/>
      <x v="284"/>
      <x v="24"/>
      <x v="2"/>
    </i>
    <i>
      <x v="215"/>
      <x v="121"/>
      <x v="30"/>
      <x v="4"/>
    </i>
    <i>
      <x v="216"/>
      <x v="107"/>
      <x v="28"/>
      <x v="4"/>
    </i>
    <i>
      <x v="217"/>
      <x v="59"/>
      <x v="14"/>
      <x v="4"/>
    </i>
    <i>
      <x v="218"/>
      <x v="47"/>
      <x v="16"/>
      <x v="8"/>
    </i>
    <i>
      <x v="219"/>
      <x v="21"/>
      <x v="19"/>
      <x v="8"/>
    </i>
    <i>
      <x v="220"/>
      <x v="296"/>
      <x v="24"/>
      <x v="2"/>
    </i>
    <i>
      <x v="221"/>
      <x v="132"/>
      <x v="30"/>
      <x v="4"/>
    </i>
    <i>
      <x v="222"/>
      <x v="283"/>
      <x v="24"/>
      <x v="2"/>
    </i>
    <i>
      <x v="223"/>
      <x v="280"/>
      <x v="24"/>
      <x v="2"/>
    </i>
    <i>
      <x v="224"/>
      <x v="2"/>
      <x v="7"/>
      <x v="7"/>
    </i>
    <i>
      <x v="225"/>
      <x v="321"/>
      <x v="1"/>
      <x v="2"/>
    </i>
    <i>
      <x v="226"/>
      <x v="183"/>
      <x v="4"/>
      <x v="3"/>
    </i>
    <i>
      <x v="227"/>
      <x v="212"/>
      <x v="26"/>
      <x v="3"/>
    </i>
    <i>
      <x v="228"/>
      <x v="211"/>
      <x v="26"/>
      <x v="3"/>
    </i>
    <i>
      <x v="229"/>
      <x v="245"/>
      <x v="3"/>
      <x v="1"/>
    </i>
    <i>
      <x v="230"/>
      <x v="246"/>
      <x v="3"/>
      <x v="1"/>
    </i>
    <i>
      <x v="231"/>
      <x v="160"/>
      <x v="12"/>
      <x v="3"/>
    </i>
    <i>
      <x v="232"/>
      <x v="25"/>
      <x v="19"/>
      <x v="8"/>
    </i>
    <i>
      <x v="233"/>
      <x v="100"/>
      <x v="28"/>
      <x v="4"/>
    </i>
    <i>
      <x v="234"/>
      <x v="226"/>
      <x v="11"/>
      <x v="1"/>
    </i>
    <i>
      <x v="235"/>
      <x v="317"/>
      <x v="1"/>
      <x v="2"/>
    </i>
    <i>
      <x v="236"/>
      <x v="46"/>
      <x v="16"/>
      <x v="8"/>
    </i>
    <i r="1">
      <x v="205"/>
      <x v="26"/>
      <x v="3"/>
    </i>
    <i>
      <x v="237"/>
      <x v="27"/>
      <x v="19"/>
      <x v="8"/>
    </i>
    <i>
      <x v="238"/>
      <x v="323"/>
      <x v="1"/>
      <x v="2"/>
    </i>
    <i>
      <x v="239"/>
      <x v="83"/>
      <x v="14"/>
      <x v="4"/>
    </i>
    <i>
      <x v="240"/>
      <x v="235"/>
      <x v="27"/>
      <x v="1"/>
    </i>
    <i>
      <x v="241"/>
      <x v="250"/>
      <x v="3"/>
      <x v="1"/>
    </i>
    <i r="2">
      <x v="6"/>
      <x v="1"/>
    </i>
    <i>
      <x v="242"/>
      <x v="269"/>
      <x v="10"/>
      <x v="1"/>
    </i>
    <i>
      <x v="243"/>
      <x v="138"/>
      <x v="9"/>
      <x v="4"/>
    </i>
    <i>
      <x v="244"/>
      <x v="162"/>
      <x v="12"/>
      <x v="3"/>
    </i>
    <i>
      <x v="245"/>
      <x v="98"/>
      <x v="28"/>
      <x v="4"/>
    </i>
    <i>
      <x v="246"/>
      <x v="97"/>
      <x v="28"/>
      <x v="4"/>
    </i>
    <i>
      <x v="247"/>
      <x v="7"/>
      <x v="8"/>
      <x v="6"/>
    </i>
    <i>
      <x v="248"/>
      <x v="8"/>
      <x v="20"/>
      <x v="6"/>
    </i>
    <i>
      <x v="249"/>
      <x v="113"/>
      <x v="21"/>
      <x v="4"/>
    </i>
    <i>
      <x v="250"/>
      <x v="260"/>
      <x v="10"/>
      <x v="1"/>
    </i>
    <i>
      <x v="251"/>
      <x v="213"/>
      <x v="26"/>
      <x v="3"/>
    </i>
    <i>
      <x v="252"/>
      <x v="38"/>
      <x v="17"/>
      <x v="8"/>
    </i>
    <i>
      <x v="253"/>
      <x v="201"/>
      <x v="26"/>
      <x v="3"/>
    </i>
    <i>
      <x v="254"/>
      <x v="35"/>
      <x v="17"/>
      <x v="8"/>
    </i>
    <i>
      <x v="255"/>
      <x v="258"/>
      <x v="10"/>
      <x v="1"/>
    </i>
    <i>
      <x v="256"/>
      <x v="147"/>
      <x v="22"/>
      <x v="3"/>
    </i>
    <i>
      <x v="257"/>
      <x v="134"/>
      <x v="30"/>
      <x v="4"/>
    </i>
    <i>
      <x v="258"/>
      <x v="77"/>
      <x v="14"/>
      <x v="4"/>
    </i>
    <i>
      <x v="259"/>
      <x v="305"/>
      <x v="13"/>
      <x v="2"/>
    </i>
    <i>
      <x v="260"/>
      <x v="232"/>
      <x v="27"/>
      <x v="1"/>
    </i>
    <i>
      <x v="261"/>
      <x v="326"/>
      <x v="1"/>
      <x v="2"/>
    </i>
    <i>
      <x v="262"/>
      <x v="101"/>
      <x v="28"/>
      <x v="4"/>
    </i>
    <i>
      <x v="263"/>
      <x v="287"/>
      <x v="24"/>
      <x v="2"/>
    </i>
    <i>
      <x v="264"/>
      <x v="141"/>
      <x v="9"/>
      <x v="4"/>
    </i>
    <i>
      <x v="265"/>
      <x v="208"/>
      <x v="26"/>
      <x v="3"/>
    </i>
    <i>
      <x v="266"/>
      <x v="307"/>
      <x v="13"/>
      <x v="2"/>
    </i>
    <i>
      <x v="267"/>
      <x v="156"/>
      <x v="12"/>
      <x v="3"/>
    </i>
    <i>
      <x v="268"/>
      <x v="198"/>
      <x v="23"/>
      <x v="3"/>
    </i>
    <i>
      <x v="269"/>
      <x v="175"/>
      <x v="12"/>
      <x v="3"/>
    </i>
    <i>
      <x v="270"/>
      <x v="313"/>
      <x v="1"/>
      <x v="2"/>
    </i>
    <i>
      <x v="271"/>
      <x v="112"/>
      <x v="28"/>
      <x v="4"/>
    </i>
    <i>
      <x v="272"/>
      <x v="285"/>
      <x v="24"/>
      <x v="2"/>
    </i>
    <i>
      <x v="273"/>
      <x v="249"/>
      <x v="3"/>
      <x v="1"/>
    </i>
    <i>
      <x v="274"/>
      <x v="216"/>
      <x v="26"/>
      <x v="3"/>
    </i>
    <i>
      <x v="275"/>
      <x v="119"/>
      <x v="21"/>
      <x v="4"/>
    </i>
    <i>
      <x v="276"/>
      <x v="210"/>
      <x v="26"/>
      <x v="3"/>
    </i>
    <i>
      <x v="277"/>
      <x v="10"/>
      <x v="20"/>
      <x v="6"/>
    </i>
    <i>
      <x v="278"/>
      <x v="172"/>
      <x v="12"/>
      <x v="3"/>
    </i>
    <i>
      <x v="279"/>
      <x v="89"/>
      <x v="28"/>
      <x v="4"/>
    </i>
    <i>
      <x v="280"/>
      <x v="281"/>
      <x v="24"/>
      <x v="2"/>
    </i>
    <i>
      <x v="281"/>
      <x v="174"/>
      <x v="12"/>
      <x v="3"/>
    </i>
    <i>
      <x v="282"/>
      <x v="297"/>
      <x v="24"/>
      <x v="2"/>
    </i>
    <i>
      <x v="283"/>
      <x v="5"/>
      <x v="8"/>
      <x v="6"/>
    </i>
    <i>
      <x v="284"/>
      <x v="164"/>
      <x v="12"/>
      <x v="3"/>
    </i>
    <i>
      <x v="285"/>
      <x v="48"/>
      <x v="16"/>
      <x v="8"/>
    </i>
    <i>
      <x v="286"/>
      <x v="176"/>
      <x v="12"/>
      <x v="3"/>
    </i>
    <i>
      <x v="287"/>
      <x v="265"/>
      <x v="10"/>
      <x v="1"/>
    </i>
    <i>
      <x v="288"/>
      <x v="272"/>
      <x v="10"/>
      <x v="1"/>
    </i>
    <i>
      <x v="289"/>
      <x v="295"/>
      <x v="24"/>
      <x v="2"/>
    </i>
    <i>
      <x v="290"/>
      <x v="150"/>
      <x v="22"/>
      <x v="3"/>
    </i>
    <i>
      <x v="291"/>
      <x v="311"/>
      <x v="1"/>
      <x v="2"/>
    </i>
    <i>
      <x v="292"/>
      <x v="64"/>
      <x v="14"/>
      <x v="4"/>
    </i>
    <i>
      <x v="293"/>
      <x v="278"/>
      <x v="24"/>
      <x v="2"/>
    </i>
    <i>
      <x v="294"/>
      <x v="146"/>
      <x v="25"/>
      <x v="3"/>
    </i>
    <i>
      <x v="295"/>
      <x v="324"/>
      <x v="1"/>
      <x v="2"/>
    </i>
    <i>
      <x v="296"/>
      <x v="165"/>
      <x v="12"/>
      <x v="3"/>
    </i>
    <i>
      <x v="297"/>
      <x v="75"/>
      <x v="14"/>
      <x v="4"/>
    </i>
    <i>
      <x v="298"/>
      <x v="316"/>
      <x v="1"/>
      <x v="2"/>
    </i>
    <i>
      <x v="299"/>
      <x v="227"/>
      <x v="11"/>
      <x v="1"/>
    </i>
    <i>
      <x v="300"/>
      <x v="224"/>
      <x v="11"/>
      <x v="1"/>
    </i>
    <i>
      <x v="301"/>
      <x v="3"/>
      <x v="7"/>
      <x v="7"/>
    </i>
    <i>
      <x v="302"/>
      <x v="22"/>
      <x v="19"/>
      <x v="8"/>
    </i>
    <i>
      <x v="303"/>
      <x v="86"/>
      <x v="28"/>
      <x v="4"/>
    </i>
    <i>
      <x v="304"/>
      <x v="88"/>
      <x v="28"/>
      <x v="4"/>
    </i>
    <i>
      <x v="305"/>
      <x v="24"/>
      <x v="19"/>
      <x v="8"/>
    </i>
    <i>
      <x v="306"/>
      <x v="230"/>
      <x v="27"/>
      <x v="1"/>
    </i>
    <i>
      <x v="307"/>
      <x v="266"/>
      <x v="10"/>
      <x v="1"/>
    </i>
    <i>
      <x v="308"/>
      <x v="239"/>
      <x v="3"/>
      <x v="1"/>
    </i>
    <i>
      <x v="309"/>
      <x v="265"/>
      <x v="10"/>
      <x v="1"/>
    </i>
    <i>
      <x v="310"/>
      <x v="322"/>
      <x v="1"/>
      <x v="2"/>
    </i>
    <i>
      <x v="311"/>
      <x v="84"/>
      <x v="28"/>
      <x v="4"/>
    </i>
    <i>
      <x v="312"/>
      <x v="111"/>
      <x v="28"/>
      <x v="4"/>
    </i>
    <i>
      <x v="313"/>
      <x v="30"/>
      <x v="19"/>
      <x v="8"/>
    </i>
    <i>
      <x v="314"/>
      <x v="18"/>
      <x v="18"/>
      <x/>
    </i>
    <i>
      <x v="315"/>
      <x v="135"/>
      <x v="30"/>
      <x v="4"/>
    </i>
    <i>
      <x v="316"/>
      <x v="20"/>
      <x v="14"/>
      <x v="4"/>
    </i>
    <i r="1">
      <x v="28"/>
      <x v="19"/>
      <x v="8"/>
    </i>
    <i>
      <x v="317"/>
      <x v="82"/>
      <x v="14"/>
      <x v="4"/>
    </i>
    <i>
      <x v="318"/>
      <x v="110"/>
      <x v="28"/>
      <x v="4"/>
    </i>
    <i>
      <x v="319"/>
      <x v="275"/>
      <x v="10"/>
      <x v="1"/>
    </i>
    <i>
      <x v="320"/>
      <x v="128"/>
      <x v="30"/>
      <x v="4"/>
    </i>
    <i>
      <x v="321"/>
      <x v="54"/>
      <x v="14"/>
      <x v="4"/>
    </i>
    <i>
      <x v="322"/>
      <x v="99"/>
      <x v="28"/>
      <x v="4"/>
    </i>
    <i>
      <x v="323"/>
      <x v="192"/>
      <x v="4"/>
      <x v="3"/>
    </i>
    <i>
      <x v="324"/>
      <x v="92"/>
      <x v="28"/>
      <x v="4"/>
    </i>
    <i>
      <x v="325"/>
      <x v="57"/>
      <x v="14"/>
      <x v="4"/>
    </i>
    <i>
      <x v="326"/>
      <x v="120"/>
      <x v="30"/>
      <x v="4"/>
    </i>
  </rowItems>
  <colItems count="1">
    <i/>
  </colItems>
  <formats count="43">
    <format dxfId="79">
      <pivotArea dataOnly="0" labelOnly="1" outline="0" fieldPosition="0">
        <references count="1">
          <reference field="10" count="1">
            <x v="42"/>
          </reference>
        </references>
      </pivotArea>
    </format>
    <format dxfId="78">
      <pivotArea dataOnly="0" labelOnly="1" outline="0" fieldPosition="0">
        <references count="2">
          <reference field="10" count="1" selected="0">
            <x v="42"/>
          </reference>
          <reference field="11" count="2">
            <x v="179"/>
            <x v="327"/>
          </reference>
        </references>
      </pivotArea>
    </format>
    <format dxfId="77">
      <pivotArea dataOnly="0" labelOnly="1" outline="0" fieldPosition="0">
        <references count="1">
          <reference field="10" count="1">
            <x v="60"/>
          </reference>
        </references>
      </pivotArea>
    </format>
    <format dxfId="76">
      <pivotArea dataOnly="0" labelOnly="1" outline="0" fieldPosition="0">
        <references count="2">
          <reference field="10" count="1" selected="0">
            <x v="60"/>
          </reference>
          <reference field="11" count="2">
            <x v="124"/>
            <x v="252"/>
          </reference>
        </references>
      </pivotArea>
    </format>
    <format dxfId="75">
      <pivotArea dataOnly="0" labelOnly="1" outline="0" fieldPosition="0">
        <references count="1">
          <reference field="10" count="1">
            <x v="187"/>
          </reference>
        </references>
      </pivotArea>
    </format>
    <format dxfId="74">
      <pivotArea dataOnly="0" labelOnly="1" outline="0" fieldPosition="0">
        <references count="2">
          <reference field="10" count="1" selected="0">
            <x v="187"/>
          </reference>
          <reference field="11" count="2">
            <x v="16"/>
            <x v="52"/>
          </reference>
        </references>
      </pivotArea>
    </format>
    <format dxfId="73">
      <pivotArea dataOnly="0" labelOnly="1" outline="0" fieldPosition="0">
        <references count="1">
          <reference field="10" count="1">
            <x v="198"/>
          </reference>
        </references>
      </pivotArea>
    </format>
    <format dxfId="72">
      <pivotArea dataOnly="0" labelOnly="1" outline="0" fieldPosition="0">
        <references count="2">
          <reference field="10" count="1" selected="0">
            <x v="198"/>
          </reference>
          <reference field="11" count="2">
            <x v="302"/>
            <x v="315"/>
          </reference>
        </references>
      </pivotArea>
    </format>
    <format dxfId="71">
      <pivotArea dataOnly="0" labelOnly="1" outline="0" fieldPosition="0">
        <references count="1">
          <reference field="10" count="1">
            <x v="236"/>
          </reference>
        </references>
      </pivotArea>
    </format>
    <format dxfId="70">
      <pivotArea dataOnly="0" labelOnly="1" outline="0" fieldPosition="0">
        <references count="2">
          <reference field="10" count="1" selected="0">
            <x v="236"/>
          </reference>
          <reference field="11" count="2">
            <x v="46"/>
            <x v="205"/>
          </reference>
        </references>
      </pivotArea>
    </format>
    <format dxfId="69">
      <pivotArea dataOnly="0" outline="0" fieldPosition="0">
        <references count="2">
          <reference field="10" count="1">
            <x v="316"/>
          </reference>
          <reference field="11" count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68">
      <pivotArea dataOnly="0" labelOnly="1" outline="0" fieldPosition="0">
        <references count="1">
          <reference field="10" count="1">
            <x v="241"/>
          </reference>
        </references>
      </pivotArea>
    </format>
    <format dxfId="67">
      <pivotArea dataOnly="0" labelOnly="1" outline="0" fieldPosition="0">
        <references count="2">
          <reference field="10" count="1" selected="0">
            <x v="241"/>
          </reference>
          <reference field="11" count="1">
            <x v="250"/>
          </reference>
        </references>
      </pivotArea>
    </format>
    <format dxfId="66">
      <pivotArea dataOnly="0" labelOnly="1" outline="0" fieldPosition="0">
        <references count="3">
          <reference field="7" count="2">
            <x v="3"/>
            <x v="6"/>
          </reference>
          <reference field="10" count="1" selected="0">
            <x v="241"/>
          </reference>
          <reference field="11" count="1" selected="0">
            <x v="250"/>
          </reference>
        </references>
      </pivotArea>
    </format>
    <format dxfId="65">
      <pivotArea dataOnly="0" labelOnly="1" outline="0" fieldPosition="0">
        <references count="1">
          <reference field="10" count="1">
            <x v="206"/>
          </reference>
        </references>
      </pivotArea>
    </format>
    <format dxfId="64">
      <pivotArea dataOnly="0" labelOnly="1" outline="0" fieldPosition="0">
        <references count="2">
          <reference field="10" count="1" selected="0">
            <x v="206"/>
          </reference>
          <reference field="11" count="1">
            <x v="60"/>
          </reference>
        </references>
      </pivotArea>
    </format>
    <format dxfId="63">
      <pivotArea dataOnly="0" labelOnly="1" outline="0" fieldPosition="0">
        <references count="3">
          <reference field="7" count="2">
            <x v="14"/>
            <x v="30"/>
          </reference>
          <reference field="10" count="1" selected="0">
            <x v="206"/>
          </reference>
          <reference field="11" count="1" selected="0">
            <x v="60"/>
          </reference>
        </references>
      </pivotArea>
    </format>
    <format dxfId="62">
      <pivotArea dataOnly="0" labelOnly="1" outline="0" fieldPosition="0">
        <references count="1">
          <reference field="10" count="1">
            <x v="190"/>
          </reference>
        </references>
      </pivotArea>
    </format>
    <format dxfId="61">
      <pivotArea dataOnly="0" labelOnly="1" outline="0" fieldPosition="0">
        <references count="2">
          <reference field="10" count="1" selected="0">
            <x v="190"/>
          </reference>
          <reference field="11" count="1">
            <x v="255"/>
          </reference>
        </references>
      </pivotArea>
    </format>
    <format dxfId="60">
      <pivotArea dataOnly="0" labelOnly="1" outline="0" fieldPosition="0">
        <references count="3">
          <reference field="7" count="3">
            <x v="3"/>
            <x v="5"/>
            <x v="6"/>
          </reference>
          <reference field="10" count="1" selected="0">
            <x v="190"/>
          </reference>
          <reference field="11" count="1" selected="0">
            <x v="255"/>
          </reference>
        </references>
      </pivotArea>
    </format>
    <format dxfId="59">
      <pivotArea dataOnly="0" labelOnly="1" outline="0" fieldPosition="0">
        <references count="1">
          <reference field="10" count="1">
            <x v="179"/>
          </reference>
        </references>
      </pivotArea>
    </format>
    <format dxfId="58">
      <pivotArea dataOnly="0" labelOnly="1" outline="0" fieldPosition="0">
        <references count="2">
          <reference field="10" count="1" selected="0">
            <x v="179"/>
          </reference>
          <reference field="11" count="1">
            <x v="257"/>
          </reference>
        </references>
      </pivotArea>
    </format>
    <format dxfId="57">
      <pivotArea dataOnly="0" labelOnly="1" outline="0" fieldPosition="0">
        <references count="3">
          <reference field="7" count="2">
            <x v="3"/>
            <x v="6"/>
          </reference>
          <reference field="10" count="1" selected="0">
            <x v="179"/>
          </reference>
          <reference field="11" count="1" selected="0">
            <x v="257"/>
          </reference>
        </references>
      </pivotArea>
    </format>
    <format dxfId="56">
      <pivotArea dataOnly="0" labelOnly="1" outline="0" fieldPosition="0">
        <references count="1">
          <reference field="10" count="1">
            <x v="97"/>
          </reference>
        </references>
      </pivotArea>
    </format>
    <format dxfId="55">
      <pivotArea dataOnly="0" labelOnly="1" outline="0" offset="IV1:IV2" fieldPosition="0">
        <references count="2">
          <reference field="10" count="1" selected="0">
            <x v="97"/>
          </reference>
          <reference field="11" count="1">
            <x v="251"/>
          </reference>
        </references>
      </pivotArea>
    </format>
    <format dxfId="54">
      <pivotArea dataOnly="0" labelOnly="1" outline="0" fieldPosition="0">
        <references count="3">
          <reference field="7" count="1">
            <x v="5"/>
          </reference>
          <reference field="10" count="1" selected="0">
            <x v="97"/>
          </reference>
          <reference field="11" count="1" selected="0">
            <x v="251"/>
          </reference>
        </references>
      </pivotArea>
    </format>
    <format dxfId="53">
      <pivotArea dataOnly="0" labelOnly="1" outline="0" offset="IV1" fieldPosition="0">
        <references count="3">
          <reference field="7" count="1">
            <x v="6"/>
          </reference>
          <reference field="10" count="1" selected="0">
            <x v="97"/>
          </reference>
          <reference field="11" count="1" selected="0">
            <x v="251"/>
          </reference>
        </references>
      </pivotArea>
    </format>
    <format dxfId="52">
      <pivotArea dataOnly="0" labelOnly="1" outline="0" fieldPosition="0">
        <references count="1">
          <reference field="10" count="1">
            <x v="87"/>
          </reference>
        </references>
      </pivotArea>
    </format>
    <format dxfId="51">
      <pivotArea dataOnly="0" labelOnly="1" outline="0" fieldPosition="0">
        <references count="2">
          <reference field="10" count="1" selected="0">
            <x v="87"/>
          </reference>
          <reference field="11" count="1">
            <x v="186"/>
          </reference>
        </references>
      </pivotArea>
    </format>
    <format dxfId="50">
      <pivotArea dataOnly="0" labelOnly="1" outline="0" fieldPosition="0">
        <references count="3">
          <reference field="7" count="2">
            <x v="4"/>
            <x v="26"/>
          </reference>
          <reference field="10" count="1" selected="0">
            <x v="87"/>
          </reference>
          <reference field="11" count="1" selected="0">
            <x v="186"/>
          </reference>
        </references>
      </pivotArea>
    </format>
    <format dxfId="49">
      <pivotArea dataOnly="0" labelOnly="1" outline="0" fieldPosition="0">
        <references count="1">
          <reference field="10" count="1">
            <x v="61"/>
          </reference>
        </references>
      </pivotArea>
    </format>
    <format dxfId="48">
      <pivotArea dataOnly="0" labelOnly="1" outline="0" fieldPosition="0">
        <references count="2">
          <reference field="10" count="1" selected="0">
            <x v="61"/>
          </reference>
          <reference field="11" count="1">
            <x v="256"/>
          </reference>
        </references>
      </pivotArea>
    </format>
    <format dxfId="47">
      <pivotArea dataOnly="0" labelOnly="1" outline="0" fieldPosition="0">
        <references count="3">
          <reference field="7" count="2">
            <x v="3"/>
            <x v="6"/>
          </reference>
          <reference field="10" count="1" selected="0">
            <x v="61"/>
          </reference>
          <reference field="11" count="1" selected="0">
            <x v="256"/>
          </reference>
        </references>
      </pivotArea>
    </format>
    <format dxfId="46">
      <pivotArea dataOnly="0" labelOnly="1" outline="0" fieldPosition="0">
        <references count="1">
          <reference field="10" count="1">
            <x v="56"/>
          </reference>
        </references>
      </pivotArea>
    </format>
    <format dxfId="45">
      <pivotArea dataOnly="0" labelOnly="1" outline="0" fieldPosition="0">
        <references count="2">
          <reference field="10" count="1" selected="0">
            <x v="56"/>
          </reference>
          <reference field="11" count="1">
            <x v="253"/>
          </reference>
        </references>
      </pivotArea>
    </format>
    <format dxfId="44">
      <pivotArea dataOnly="0" labelOnly="1" outline="0" fieldPosition="0">
        <references count="3">
          <reference field="7" count="3">
            <x v="3"/>
            <x v="5"/>
            <x v="6"/>
          </reference>
          <reference field="10" count="1" selected="0">
            <x v="56"/>
          </reference>
          <reference field="11" count="1" selected="0">
            <x v="253"/>
          </reference>
        </references>
      </pivotArea>
    </format>
    <format dxfId="43">
      <pivotArea dataOnly="0" labelOnly="1" outline="0" fieldPosition="0">
        <references count="1">
          <reference field="10" count="1">
            <x v="49"/>
          </reference>
        </references>
      </pivotArea>
    </format>
    <format dxfId="42">
      <pivotArea dataOnly="0" labelOnly="1" outline="0" fieldPosition="0">
        <references count="2">
          <reference field="10" count="1" selected="0">
            <x v="49"/>
          </reference>
          <reference field="11" count="1">
            <x v="299"/>
          </reference>
        </references>
      </pivotArea>
    </format>
    <format dxfId="41">
      <pivotArea dataOnly="0" labelOnly="1" outline="0" fieldPosition="0">
        <references count="3">
          <reference field="7" count="2">
            <x v="3"/>
            <x v="13"/>
          </reference>
          <reference field="10" count="1" selected="0">
            <x v="49"/>
          </reference>
          <reference field="11" count="1" selected="0">
            <x v="299"/>
          </reference>
        </references>
      </pivotArea>
    </format>
    <format dxfId="40">
      <pivotArea dataOnly="0" labelOnly="1" outline="0" fieldPosition="0">
        <references count="1">
          <reference field="10" count="1">
            <x v="40"/>
          </reference>
        </references>
      </pivotArea>
    </format>
    <format dxfId="39">
      <pivotArea dataOnly="0" labelOnly="1" outline="0" fieldPosition="0">
        <references count="2">
          <reference field="10" count="1" selected="0">
            <x v="40"/>
          </reference>
          <reference field="11" count="1">
            <x v="254"/>
          </reference>
        </references>
      </pivotArea>
    </format>
    <format dxfId="38">
      <pivotArea dataOnly="0" labelOnly="1" outline="0" offset="IV256" fieldPosition="0">
        <references count="3">
          <reference field="7" count="1">
            <x v="3"/>
          </reference>
          <reference field="10" count="1" selected="0">
            <x v="39"/>
          </reference>
          <reference field="11" count="1" selected="0">
            <x v="238"/>
          </reference>
        </references>
      </pivotArea>
    </format>
    <format dxfId="37">
      <pivotArea dataOnly="0" labelOnly="1" outline="0" fieldPosition="0">
        <references count="3">
          <reference field="7" count="1">
            <x v="6"/>
          </reference>
          <reference field="10" count="1" selected="0">
            <x v="40"/>
          </reference>
          <reference field="11" count="1" selected="0">
            <x v="25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4694FE-E36E-4433-A7BA-24AADD5D258C}" name="PivotTable16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F3:G34" firstHeaderRow="1" firstDataRow="1" firstDataCol="2"/>
  <pivotFields count="26">
    <pivotField compact="0" outline="0" showAll="0" defaultSubtotal="0"/>
    <pivotField compact="0" outline="0" showAll="0" defaultSubtotal="0">
      <items count="7">
        <item x="5"/>
        <item x="1"/>
        <item x="6"/>
        <item x="2"/>
        <item x="4"/>
        <item x="0"/>
        <item x="3"/>
      </items>
    </pivotField>
    <pivotField compact="0" outline="0" showAll="0" defaultSubtotal="0">
      <items count="7">
        <item x="2"/>
        <item x="4"/>
        <item x="6"/>
        <item x="0"/>
        <item x="5"/>
        <item x="1"/>
        <item x="3"/>
      </items>
    </pivotField>
    <pivotField compact="0" outline="0" showAll="0" defaultSubtotal="0"/>
    <pivotField compact="0" outline="0" showAll="0" defaultSubtotal="0">
      <items count="9">
        <item x="6"/>
        <item x="2"/>
        <item x="3"/>
        <item x="1"/>
        <item x="4"/>
        <item x="5"/>
        <item x="7"/>
        <item x="8"/>
        <item x="0"/>
      </items>
    </pivotField>
    <pivotField compact="0" outline="0" showAll="0" defaultSubtotal="0">
      <items count="10">
        <item x="9"/>
        <item x="7"/>
        <item x="6"/>
        <item x="0"/>
        <item x="5"/>
        <item x="4"/>
        <item x="8"/>
        <item x="1"/>
        <item x="2"/>
        <item x="3"/>
      </items>
    </pivotField>
    <pivotField compact="0" outline="0" showAll="0" defaultSubtotal="0"/>
    <pivotField axis="axisRow" compact="0" outline="0" showAll="0" defaultSubtotal="0">
      <items count="31">
        <item x="25"/>
        <item x="4"/>
        <item x="22"/>
        <item x="6"/>
        <item x="1"/>
        <item x="7"/>
        <item x="18"/>
        <item x="27"/>
        <item x="24"/>
        <item x="19"/>
        <item x="2"/>
        <item x="8"/>
        <item x="3"/>
        <item x="15"/>
        <item x="11"/>
        <item x="28"/>
        <item x="14"/>
        <item x="0"/>
        <item x="23"/>
        <item x="5"/>
        <item x="26"/>
        <item x="16"/>
        <item x="29"/>
        <item x="30"/>
        <item x="21"/>
        <item x="20"/>
        <item x="17"/>
        <item x="9"/>
        <item x="10"/>
        <item x="13"/>
        <item x="12"/>
      </items>
    </pivotField>
    <pivotField axis="axisRow" compact="0" outline="0" showAll="0" defaultSubtotal="0">
      <items count="29">
        <item x="25"/>
        <item x="23"/>
        <item x="24"/>
        <item x="21"/>
        <item x="22"/>
        <item x="26"/>
        <item x="5"/>
        <item x="0"/>
        <item x="14"/>
        <item x="13"/>
        <item x="11"/>
        <item x="10"/>
        <item x="16"/>
        <item x="12"/>
        <item x="18"/>
        <item x="19"/>
        <item x="27"/>
        <item x="3"/>
        <item x="1"/>
        <item x="28"/>
        <item x="17"/>
        <item x="8"/>
        <item x="9"/>
        <item x="6"/>
        <item x="7"/>
        <item x="2"/>
        <item x="20"/>
        <item x="15"/>
        <item x="4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7"/>
    <field x="8"/>
  </rowFields>
  <rowItems count="31">
    <i>
      <x/>
      <x v="28"/>
    </i>
    <i>
      <x v="1"/>
      <x v="28"/>
    </i>
    <i>
      <x v="2"/>
      <x v="3"/>
    </i>
    <i>
      <x v="3"/>
      <x v="23"/>
    </i>
    <i>
      <x v="4"/>
      <x v="18"/>
    </i>
    <i>
      <x v="5"/>
      <x v="24"/>
    </i>
    <i>
      <x v="6"/>
      <x v="24"/>
    </i>
    <i>
      <x v="7"/>
      <x/>
    </i>
    <i>
      <x v="8"/>
      <x v="1"/>
    </i>
    <i>
      <x v="9"/>
      <x v="14"/>
    </i>
    <i>
      <x v="10"/>
      <x v="25"/>
    </i>
    <i>
      <x v="11"/>
      <x v="21"/>
    </i>
    <i>
      <x v="12"/>
      <x v="17"/>
    </i>
    <i>
      <x v="13"/>
      <x v="27"/>
    </i>
    <i>
      <x v="14"/>
      <x v="10"/>
    </i>
    <i>
      <x v="15"/>
      <x v="5"/>
    </i>
    <i>
      <x v="16"/>
      <x v="8"/>
    </i>
    <i>
      <x v="17"/>
      <x v="7"/>
    </i>
    <i>
      <x v="18"/>
      <x v="4"/>
    </i>
    <i>
      <x v="19"/>
      <x v="6"/>
    </i>
    <i>
      <x v="20"/>
      <x v="2"/>
    </i>
    <i>
      <x v="21"/>
      <x v="12"/>
    </i>
    <i>
      <x v="22"/>
      <x v="16"/>
    </i>
    <i>
      <x v="23"/>
      <x v="19"/>
    </i>
    <i>
      <x v="24"/>
      <x v="26"/>
    </i>
    <i>
      <x v="25"/>
      <x v="15"/>
    </i>
    <i>
      <x v="26"/>
      <x v="20"/>
    </i>
    <i>
      <x v="27"/>
      <x v="22"/>
    </i>
    <i>
      <x v="28"/>
      <x v="11"/>
    </i>
    <i>
      <x v="29"/>
      <x v="9"/>
    </i>
    <i>
      <x v="30"/>
      <x v="13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7C598B-93BC-41E6-9E1C-9D933D1FEED5}" name="PivotTable1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3:B13" firstHeaderRow="1" firstDataRow="1" firstDataCol="2"/>
  <pivotFields count="26">
    <pivotField compact="0" outline="0" showAll="0" defaultSubtotal="0"/>
    <pivotField compact="0" outline="0" showAll="0" defaultSubtotal="0">
      <items count="7">
        <item x="5"/>
        <item x="1"/>
        <item x="6"/>
        <item x="2"/>
        <item x="4"/>
        <item x="0"/>
        <item x="3"/>
      </items>
    </pivotField>
    <pivotField compact="0" outline="0" showAll="0" defaultSubtotal="0">
      <items count="7">
        <item x="2"/>
        <item x="4"/>
        <item x="6"/>
        <item x="0"/>
        <item x="5"/>
        <item x="1"/>
        <item x="3"/>
      </items>
    </pivotField>
    <pivotField compact="0" outline="0" showAll="0" defaultSubtotal="0"/>
    <pivotField axis="axisRow" compact="0" outline="0" showAll="0" defaultSubtotal="0">
      <items count="9">
        <item x="6"/>
        <item x="2"/>
        <item x="3"/>
        <item x="1"/>
        <item x="4"/>
        <item x="5"/>
        <item x="7"/>
        <item x="8"/>
        <item x="0"/>
      </items>
    </pivotField>
    <pivotField axis="axisRow" compact="0" outline="0" showAll="0" defaultSubtotal="0">
      <items count="10">
        <item x="9"/>
        <item x="7"/>
        <item x="6"/>
        <item x="0"/>
        <item x="5"/>
        <item x="4"/>
        <item x="8"/>
        <item x="1"/>
        <item x="2"/>
        <item x="3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4">
        <item x="2"/>
        <item x="1"/>
        <item x="3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4"/>
    <field x="5"/>
  </rowFields>
  <rowItems count="10">
    <i>
      <x/>
      <x v="2"/>
    </i>
    <i>
      <x v="1"/>
      <x v="8"/>
    </i>
    <i>
      <x v="2"/>
      <x v="9"/>
    </i>
    <i>
      <x v="3"/>
      <x v="7"/>
    </i>
    <i>
      <x v="4"/>
      <x v="5"/>
    </i>
    <i>
      <x v="5"/>
      <x v="4"/>
    </i>
    <i>
      <x v="6"/>
      <x v="1"/>
    </i>
    <i>
      <x v="7"/>
      <x/>
    </i>
    <i r="1">
      <x v="6"/>
    </i>
    <i>
      <x v="8"/>
      <x v="3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5904F4-A85E-4078-86C5-898E8EC705D5}" name="PivotTable18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P3:T1785" firstHeaderRow="1" firstDataRow="1" firstDataCol="5"/>
  <pivotFields count="26">
    <pivotField compact="0" outline="0" showAll="0" defaultSubtotal="0"/>
    <pivotField compact="0" outline="0" showAll="0" defaultSubtotal="0">
      <items count="7">
        <item x="5"/>
        <item x="1"/>
        <item x="6"/>
        <item x="2"/>
        <item x="4"/>
        <item x="0"/>
        <item x="3"/>
      </items>
    </pivotField>
    <pivotField compact="0" outline="0" showAll="0" defaultSubtotal="0">
      <items count="7">
        <item x="2"/>
        <item x="4"/>
        <item x="6"/>
        <item x="0"/>
        <item x="5"/>
        <item x="1"/>
        <item x="3"/>
      </items>
    </pivotField>
    <pivotField compact="0" outline="0" showAll="0" defaultSubtotal="0"/>
    <pivotField axis="axisRow" compact="0" outline="0" showAll="0" defaultSubtotal="0">
      <items count="9">
        <item x="6"/>
        <item x="2"/>
        <item x="3"/>
        <item x="1"/>
        <item x="4"/>
        <item x="5"/>
        <item x="7"/>
        <item x="8"/>
        <item x="0"/>
      </items>
    </pivotField>
    <pivotField compact="0" outline="0" showAll="0" defaultSubtotal="0">
      <items count="10">
        <item x="9"/>
        <item x="7"/>
        <item x="6"/>
        <item x="0"/>
        <item x="5"/>
        <item x="4"/>
        <item x="8"/>
        <item x="1"/>
        <item x="2"/>
        <item x="3"/>
      </items>
    </pivotField>
    <pivotField compact="0" outline="0" showAll="0" defaultSubtotal="0"/>
    <pivotField axis="axisRow" compact="0" outline="0" showAll="0" defaultSubtotal="0">
      <items count="31">
        <item x="25"/>
        <item x="4"/>
        <item x="22"/>
        <item x="6"/>
        <item x="1"/>
        <item x="7"/>
        <item x="18"/>
        <item x="27"/>
        <item x="24"/>
        <item x="19"/>
        <item x="2"/>
        <item x="8"/>
        <item x="3"/>
        <item x="15"/>
        <item x="11"/>
        <item x="28"/>
        <item x="14"/>
        <item x="0"/>
        <item x="23"/>
        <item x="5"/>
        <item x="26"/>
        <item x="16"/>
        <item x="29"/>
        <item x="30"/>
        <item x="21"/>
        <item x="20"/>
        <item x="17"/>
        <item x="9"/>
        <item x="10"/>
        <item x="13"/>
        <item x="12"/>
      </items>
    </pivotField>
    <pivotField compact="0" outline="0" showAll="0" defaultSubtotal="0">
      <items count="29">
        <item x="25"/>
        <item x="23"/>
        <item x="24"/>
        <item x="21"/>
        <item x="22"/>
        <item x="26"/>
        <item x="5"/>
        <item x="0"/>
        <item x="14"/>
        <item x="13"/>
        <item x="11"/>
        <item x="10"/>
        <item x="16"/>
        <item x="12"/>
        <item x="18"/>
        <item x="19"/>
        <item x="27"/>
        <item x="3"/>
        <item x="1"/>
        <item x="28"/>
        <item x="17"/>
        <item x="8"/>
        <item x="9"/>
        <item x="6"/>
        <item x="7"/>
        <item x="2"/>
        <item x="20"/>
        <item x="15"/>
        <item x="4"/>
      </items>
    </pivotField>
    <pivotField compact="0" outline="0" showAll="0" defaultSubtotal="0"/>
    <pivotField axis="axisRow" compact="0" outline="0" showAll="0" defaultSubtotal="0">
      <items count="327">
        <item x="278"/>
        <item x="308"/>
        <item x="32"/>
        <item x="236"/>
        <item x="60"/>
        <item x="61"/>
        <item x="62"/>
        <item x="28"/>
        <item x="252"/>
        <item x="63"/>
        <item x="64"/>
        <item x="65"/>
        <item x="272"/>
        <item x="66"/>
        <item x="67"/>
        <item x="38"/>
        <item x="68"/>
        <item x="69"/>
        <item x="0"/>
        <item x="310"/>
        <item x="287"/>
        <item x="70"/>
        <item x="292"/>
        <item x="71"/>
        <item x="279"/>
        <item x="72"/>
        <item x="316"/>
        <item x="73"/>
        <item x="74"/>
        <item x="75"/>
        <item x="76"/>
        <item x="77"/>
        <item x="78"/>
        <item x="79"/>
        <item x="80"/>
        <item x="81"/>
        <item x="286"/>
        <item x="264"/>
        <item x="265"/>
        <item x="82"/>
        <item x="83"/>
        <item x="42"/>
        <item x="84"/>
        <item x="85"/>
        <item x="248"/>
        <item x="244"/>
        <item x="86"/>
        <item x="87"/>
        <item x="312"/>
        <item x="88"/>
        <item x="325"/>
        <item x="237"/>
        <item x="284"/>
        <item x="89"/>
        <item x="1"/>
        <item x="90"/>
        <item x="24"/>
        <item x="311"/>
        <item x="91"/>
        <item x="266"/>
        <item x="92"/>
        <item x="93"/>
        <item x="238"/>
        <item x="321"/>
        <item x="94"/>
        <item x="95"/>
        <item x="271"/>
        <item x="2"/>
        <item x="43"/>
        <item x="96"/>
        <item x="3"/>
        <item x="97"/>
        <item x="258"/>
        <item x="98"/>
        <item x="29"/>
        <item x="240"/>
        <item x="99"/>
        <item x="100"/>
        <item x="241"/>
        <item x="305"/>
        <item x="267"/>
        <item x="45"/>
        <item x="4"/>
        <item x="101"/>
        <item x="102"/>
        <item x="324"/>
        <item x="103"/>
        <item x="104"/>
        <item x="296"/>
        <item x="105"/>
        <item x="289"/>
        <item x="290"/>
        <item x="106"/>
        <item x="107"/>
        <item x="260"/>
        <item x="280"/>
        <item x="301"/>
        <item x="23"/>
        <item x="235"/>
        <item x="108"/>
        <item x="282"/>
        <item x="109"/>
        <item x="6"/>
        <item x="110"/>
        <item x="297"/>
        <item x="111"/>
        <item x="112"/>
        <item x="113"/>
        <item x="33"/>
        <item x="263"/>
        <item x="114"/>
        <item x="303"/>
        <item x="262"/>
        <item x="115"/>
        <item x="261"/>
        <item x="302"/>
        <item x="304"/>
        <item x="116"/>
        <item x="39"/>
        <item x="5"/>
        <item x="117"/>
        <item x="259"/>
        <item x="118"/>
        <item x="320"/>
        <item x="119"/>
        <item x="120"/>
        <item x="121"/>
        <item x="122"/>
        <item x="123"/>
        <item x="319"/>
        <item x="299"/>
        <item x="124"/>
        <item x="125"/>
        <item x="126"/>
        <item x="127"/>
        <item x="128"/>
        <item x="129"/>
        <item x="7"/>
        <item x="8"/>
        <item x="130"/>
        <item x="131"/>
        <item x="9"/>
        <item x="300"/>
        <item x="257"/>
        <item x="34"/>
        <item x="132"/>
        <item x="317"/>
        <item x="133"/>
        <item x="134"/>
        <item x="135"/>
        <item x="136"/>
        <item x="25"/>
        <item x="137"/>
        <item x="138"/>
        <item x="139"/>
        <item x="44"/>
        <item x="140"/>
        <item x="141"/>
        <item x="142"/>
        <item x="143"/>
        <item x="144"/>
        <item x="268"/>
        <item x="145"/>
        <item x="146"/>
        <item x="147"/>
        <item x="148"/>
        <item x="285"/>
        <item x="52"/>
        <item x="10"/>
        <item x="149"/>
        <item x="254"/>
        <item x="150"/>
        <item x="151"/>
        <item x="152"/>
        <item x="153"/>
        <item x="154"/>
        <item x="11"/>
        <item x="155"/>
        <item x="156"/>
        <item x="157"/>
        <item x="41"/>
        <item x="158"/>
        <item x="295"/>
        <item x="255"/>
        <item x="159"/>
        <item x="12"/>
        <item x="160"/>
        <item x="57"/>
        <item x="161"/>
        <item x="269"/>
        <item x="31"/>
        <item x="162"/>
        <item x="163"/>
        <item x="291"/>
        <item x="164"/>
        <item x="46"/>
        <item x="165"/>
        <item x="166"/>
        <item x="167"/>
        <item x="168"/>
        <item x="169"/>
        <item x="170"/>
        <item x="26"/>
        <item x="249"/>
        <item x="13"/>
        <item x="56"/>
        <item x="53"/>
        <item x="58"/>
        <item x="171"/>
        <item x="40"/>
        <item x="172"/>
        <item x="173"/>
        <item x="174"/>
        <item x="175"/>
        <item x="243"/>
        <item x="176"/>
        <item x="177"/>
        <item x="178"/>
        <item x="179"/>
        <item x="293"/>
        <item x="251"/>
        <item x="180"/>
        <item x="256"/>
        <item x="253"/>
        <item x="281"/>
        <item x="181"/>
        <item x="182"/>
        <item x="322"/>
        <item x="315"/>
        <item x="30"/>
        <item x="183"/>
        <item x="47"/>
        <item x="14"/>
        <item x="184"/>
        <item x="185"/>
        <item x="186"/>
        <item x="187"/>
        <item x="59"/>
        <item x="188"/>
        <item x="189"/>
        <item x="190"/>
        <item x="191"/>
        <item x="192"/>
        <item x="193"/>
        <item x="15"/>
        <item x="194"/>
        <item x="195"/>
        <item x="273"/>
        <item x="274"/>
        <item x="196"/>
        <item x="35"/>
        <item x="323"/>
        <item x="288"/>
        <item x="318"/>
        <item x="283"/>
        <item x="36"/>
        <item x="306"/>
        <item x="197"/>
        <item x="198"/>
        <item x="199"/>
        <item x="200"/>
        <item x="27"/>
        <item x="201"/>
        <item x="239"/>
        <item x="202"/>
        <item x="314"/>
        <item x="203"/>
        <item x="16"/>
        <item x="309"/>
        <item x="48"/>
        <item x="17"/>
        <item x="204"/>
        <item x="247"/>
        <item x="18"/>
        <item x="326"/>
        <item x="205"/>
        <item x="313"/>
        <item x="275"/>
        <item x="49"/>
        <item x="206"/>
        <item x="242"/>
        <item x="298"/>
        <item x="250"/>
        <item x="276"/>
        <item x="50"/>
        <item x="207"/>
        <item x="51"/>
        <item x="37"/>
        <item x="208"/>
        <item x="245"/>
        <item x="307"/>
        <item x="19"/>
        <item x="209"/>
        <item x="246"/>
        <item x="210"/>
        <item x="211"/>
        <item x="212"/>
        <item x="213"/>
        <item x="214"/>
        <item x="215"/>
        <item x="216"/>
        <item x="277"/>
        <item x="20"/>
        <item x="217"/>
        <item x="54"/>
        <item x="21"/>
        <item x="218"/>
        <item x="219"/>
        <item x="234"/>
        <item x="220"/>
        <item x="22"/>
        <item x="221"/>
        <item x="222"/>
        <item x="294"/>
        <item x="270"/>
        <item x="223"/>
        <item x="224"/>
        <item x="225"/>
        <item x="226"/>
        <item x="227"/>
        <item x="228"/>
        <item x="229"/>
        <item x="230"/>
        <item x="231"/>
        <item x="55"/>
        <item x="232"/>
        <item x="233"/>
      </items>
    </pivotField>
    <pivotField compact="0" outline="0" showAll="0" defaultSubtotal="0"/>
    <pivotField compact="0" outline="0" showAll="0" defaultSubtotal="0"/>
    <pivotField axis="axisRow" compact="0" outline="0" showAll="0" defaultSubtotal="0">
      <items count="1302">
        <item x="988"/>
        <item x="513"/>
        <item x="199"/>
        <item x="638"/>
        <item x="627"/>
        <item x="645"/>
        <item x="1225"/>
        <item x="152"/>
        <item x="1171"/>
        <item x="963"/>
        <item x="228"/>
        <item x="1109"/>
        <item x="525"/>
        <item x="176"/>
        <item x="992"/>
        <item x="328"/>
        <item x="205"/>
        <item x="411"/>
        <item x="1022"/>
        <item x="1164"/>
        <item x="93"/>
        <item x="375"/>
        <item x="104"/>
        <item x="557"/>
        <item x="917"/>
        <item x="801"/>
        <item x="522"/>
        <item x="1080"/>
        <item x="559"/>
        <item x="48"/>
        <item x="59"/>
        <item x="343"/>
        <item x="333"/>
        <item x="478"/>
        <item x="264"/>
        <item x="13"/>
        <item x="480"/>
        <item x="334"/>
        <item x="823"/>
        <item x="955"/>
        <item x="187"/>
        <item x="864"/>
        <item x="1101"/>
        <item x="165"/>
        <item x="337"/>
        <item x="1008"/>
        <item x="610"/>
        <item x="538"/>
        <item x="410"/>
        <item x="1156"/>
        <item x="1130"/>
        <item x="385"/>
        <item x="550"/>
        <item x="146"/>
        <item x="183"/>
        <item x="1050"/>
        <item x="674"/>
        <item x="198"/>
        <item x="751"/>
        <item x="16"/>
        <item x="1290"/>
        <item x="300"/>
        <item x="970"/>
        <item x="1072"/>
        <item x="830"/>
        <item x="285"/>
        <item x="1120"/>
        <item x="498"/>
        <item x="927"/>
        <item x="344"/>
        <item x="345"/>
        <item x="203"/>
        <item x="306"/>
        <item x="412"/>
        <item x="125"/>
        <item x="903"/>
        <item x="964"/>
        <item x="651"/>
        <item x="874"/>
        <item x="351"/>
        <item x="232"/>
        <item x="288"/>
        <item x="735"/>
        <item x="762"/>
        <item x="358"/>
        <item x="356"/>
        <item x="353"/>
        <item x="359"/>
        <item x="363"/>
        <item x="1238"/>
        <item x="449"/>
        <item x="1103"/>
        <item x="3"/>
        <item x="67"/>
        <item x="535"/>
        <item x="1014"/>
        <item x="597"/>
        <item x="1155"/>
        <item x="616"/>
        <item x="644"/>
        <item x="102"/>
        <item x="928"/>
        <item x="161"/>
        <item x="873"/>
        <item x="777"/>
        <item x="448"/>
        <item x="392"/>
        <item x="390"/>
        <item x="1186"/>
        <item x="886"/>
        <item x="565"/>
        <item x="377"/>
        <item x="326"/>
        <item x="920"/>
        <item x="482"/>
        <item x="1009"/>
        <item x="384"/>
        <item x="387"/>
        <item x="131"/>
        <item x="323"/>
        <item x="916"/>
        <item x="1214"/>
        <item x="956"/>
        <item x="1089"/>
        <item x="756"/>
        <item x="826"/>
        <item x="271"/>
        <item x="11"/>
        <item x="457"/>
        <item x="266"/>
        <item x="397"/>
        <item x="243"/>
        <item x="226"/>
        <item x="402"/>
        <item x="151"/>
        <item x="179"/>
        <item x="62"/>
        <item x="404"/>
        <item x="995"/>
        <item x="579"/>
        <item x="458"/>
        <item x="169"/>
        <item x="365"/>
        <item x="275"/>
        <item x="409"/>
        <item x="418"/>
        <item x="863"/>
        <item x="961"/>
        <item x="1172"/>
        <item x="1291"/>
        <item x="1142"/>
        <item x="505"/>
        <item x="526"/>
        <item x="802"/>
        <item x="736"/>
        <item x="476"/>
        <item x="1012"/>
        <item x="700"/>
        <item x="752"/>
        <item x="936"/>
        <item x="1045"/>
        <item x="778"/>
        <item x="902"/>
        <item x="618"/>
        <item x="251"/>
        <item x="776"/>
        <item x="626"/>
        <item x="201"/>
        <item x="794"/>
        <item x="329"/>
        <item x="393"/>
        <item x="805"/>
        <item x="127"/>
        <item x="500"/>
        <item x="501"/>
        <item x="545"/>
        <item x="342"/>
        <item x="136"/>
        <item x="441"/>
        <item x="1217"/>
        <item x="932"/>
        <item x="399"/>
        <item x="207"/>
        <item x="91"/>
        <item x="504"/>
        <item x="1081"/>
        <item x="52"/>
        <item x="519"/>
        <item x="348"/>
        <item x="788"/>
        <item x="664"/>
        <item x="45"/>
        <item x="615"/>
        <item x="518"/>
        <item x="10"/>
        <item x="1183"/>
        <item x="1170"/>
        <item x="1173"/>
        <item x="1230"/>
        <item x="239"/>
        <item x="1073"/>
        <item x="507"/>
        <item x="647"/>
        <item x="652"/>
        <item x="829"/>
        <item x="424"/>
        <item x="1297"/>
        <item x="396"/>
        <item x="537"/>
        <item x="186"/>
        <item x="148"/>
        <item x="83"/>
        <item x="893"/>
        <item x="1244"/>
        <item x="887"/>
        <item x="1235"/>
        <item x="971"/>
        <item x="1200"/>
        <item x="316"/>
        <item x="1272"/>
        <item x="594"/>
        <item x="346"/>
        <item x="222"/>
        <item x="68"/>
        <item x="419"/>
        <item x="1140"/>
        <item x="726"/>
        <item x="517"/>
        <item x="7"/>
        <item x="192"/>
        <item x="521"/>
        <item x="202"/>
        <item x="523"/>
        <item x="722"/>
        <item x="180"/>
        <item x="154"/>
        <item x="527"/>
        <item x="528"/>
        <item x="474"/>
        <item x="259"/>
        <item x="715"/>
        <item x="244"/>
        <item x="628"/>
        <item x="813"/>
        <item x="681"/>
        <item x="43"/>
        <item x="442"/>
        <item x="50"/>
        <item x="531"/>
        <item x="935"/>
        <item x="440"/>
        <item x="352"/>
        <item x="210"/>
        <item x="310"/>
        <item x="443"/>
        <item x="1082"/>
        <item x="946"/>
        <item x="541"/>
        <item x="602"/>
        <item x="1211"/>
        <item x="536"/>
        <item x="672"/>
        <item x="643"/>
        <item x="1174"/>
        <item x="984"/>
        <item x="238"/>
        <item x="241"/>
        <item x="1071"/>
        <item x="1218"/>
        <item x="354"/>
        <item x="182"/>
        <item x="150"/>
        <item x="544"/>
        <item x="649"/>
        <item x="871"/>
        <item x="497"/>
        <item x="546"/>
        <item x="593"/>
        <item x="88"/>
        <item x="56"/>
        <item x="327"/>
        <item x="297"/>
        <item x="831"/>
        <item x="290"/>
        <item x="61"/>
        <item x="1292"/>
        <item x="1132"/>
        <item x="1102"/>
        <item x="1088"/>
        <item x="107"/>
        <item x="355"/>
        <item x="701"/>
        <item x="78"/>
        <item x="380"/>
        <item x="490"/>
        <item x="85"/>
        <item x="653"/>
        <item x="1231"/>
        <item x="444"/>
        <item x="41"/>
        <item x="684"/>
        <item x="1078"/>
        <item x="299"/>
        <item x="1077"/>
        <item x="1076"/>
        <item x="1075"/>
        <item x="427"/>
        <item x="595"/>
        <item x="209"/>
        <item x="2"/>
        <item x="12"/>
        <item x="263"/>
        <item x="941"/>
        <item x="252"/>
        <item x="563"/>
        <item x="267"/>
        <item x="930"/>
        <item x="394"/>
        <item x="540"/>
        <item x="111"/>
        <item x="181"/>
        <item x="1229"/>
        <item x="757"/>
        <item x="567"/>
        <item x="129"/>
        <item x="69"/>
        <item x="66"/>
        <item x="20"/>
        <item x="990"/>
        <item x="997"/>
        <item x="97"/>
        <item x="459"/>
        <item x="194"/>
        <item x="960"/>
        <item x="158"/>
        <item x="514"/>
        <item x="1026"/>
        <item x="692"/>
        <item x="1117"/>
        <item x="1118"/>
        <item x="629"/>
        <item x="571"/>
        <item x="969"/>
        <item x="817"/>
        <item x="1251"/>
        <item x="1263"/>
        <item x="654"/>
        <item x="972"/>
        <item x="170"/>
        <item x="578"/>
        <item x="648"/>
        <item x="673"/>
        <item x="580"/>
        <item x="712"/>
        <item x="1300"/>
        <item x="438"/>
        <item x="166"/>
        <item x="1051"/>
        <item x="1119"/>
        <item x="554"/>
        <item x="555"/>
        <item x="369"/>
        <item x="374"/>
        <item x="607"/>
        <item x="460"/>
        <item x="51"/>
        <item x="1027"/>
        <item x="1025"/>
        <item x="456"/>
        <item x="590"/>
        <item x="599"/>
        <item x="193"/>
        <item x="395"/>
        <item x="707"/>
        <item x="503"/>
        <item x="216"/>
        <item x="898"/>
        <item x="130"/>
        <item x="904"/>
        <item x="9"/>
        <item x="261"/>
        <item x="1122"/>
        <item x="655"/>
        <item x="572"/>
        <item x="609"/>
        <item x="433"/>
        <item x="608"/>
        <item x="292"/>
        <item x="277"/>
        <item x="686"/>
        <item x="213"/>
        <item x="620"/>
        <item x="981"/>
        <item x="581"/>
        <item x="807"/>
        <item x="406"/>
        <item x="461"/>
        <item x="1038"/>
        <item x="431"/>
        <item x="462"/>
        <item x="716"/>
        <item x="1175"/>
        <item x="569"/>
        <item x="582"/>
        <item x="381"/>
        <item x="1239"/>
        <item x="1240"/>
        <item x="408"/>
        <item x="1176"/>
        <item x="338"/>
        <item x="558"/>
        <item x="691"/>
        <item x="240"/>
        <item x="1165"/>
        <item x="94"/>
        <item x="272"/>
        <item x="173"/>
        <item x="697"/>
        <item x="463"/>
        <item x="1028"/>
        <item x="492"/>
        <item x="1162"/>
        <item x="910"/>
        <item x="416"/>
        <item x="339"/>
        <item x="635"/>
        <item x="727"/>
        <item x="219"/>
        <item x="808"/>
        <item x="832"/>
        <item x="1138"/>
        <item x="1074"/>
        <item x="1018"/>
        <item x="1262"/>
        <item x="1163"/>
        <item x="80"/>
        <item x="709"/>
        <item x="640"/>
        <item x="1227"/>
        <item x="999"/>
        <item x="734"/>
        <item x="98"/>
        <item x="477"/>
        <item x="233"/>
        <item x="772"/>
        <item x="797"/>
        <item x="296"/>
        <item x="656"/>
        <item x="132"/>
        <item x="57"/>
        <item x="738"/>
        <item x="703"/>
        <item x="26"/>
        <item x="28"/>
        <item x="29"/>
        <item x="30"/>
        <item x="417"/>
        <item x="99"/>
        <item x="373"/>
        <item x="1177"/>
        <item x="189"/>
        <item x="430"/>
        <item x="153"/>
        <item x="1253"/>
        <item x="1100"/>
        <item x="1039"/>
        <item x="520"/>
        <item x="695"/>
        <item x="190"/>
        <item x="962"/>
        <item x="284"/>
        <item x="833"/>
        <item x="690"/>
        <item x="623"/>
        <item x="668"/>
        <item x="666"/>
        <item x="191"/>
        <item x="204"/>
        <item x="256"/>
        <item x="110"/>
        <item x="27"/>
        <item x="1134"/>
        <item x="366"/>
        <item x="905"/>
        <item x="938"/>
        <item x="379"/>
        <item x="464"/>
        <item x="583"/>
        <item x="255"/>
        <item x="212"/>
        <item x="423"/>
        <item x="568"/>
        <item x="143"/>
        <item x="671"/>
        <item x="792"/>
        <item x="1252"/>
        <item x="108"/>
        <item x="676"/>
        <item x="899"/>
        <item x="1124"/>
        <item x="923"/>
        <item x="918"/>
        <item x="683"/>
        <item x="991"/>
        <item x="934"/>
        <item x="1213"/>
        <item x="1298"/>
        <item x="679"/>
        <item x="881"/>
        <item x="682"/>
        <item x="685"/>
        <item x="17"/>
        <item x="561"/>
        <item x="687"/>
        <item x="214"/>
        <item x="806"/>
        <item x="188"/>
        <item x="1254"/>
        <item x="484"/>
        <item x="814"/>
        <item x="453"/>
        <item x="781"/>
        <item x="47"/>
        <item x="688"/>
        <item x="973"/>
        <item x="854"/>
        <item x="669"/>
        <item x="913"/>
        <item x="220"/>
        <item x="1219"/>
        <item x="1052"/>
        <item x="1053"/>
        <item x="1001"/>
        <item x="218"/>
        <item x="798"/>
        <item x="1204"/>
        <item x="124"/>
        <item x="1245"/>
        <item x="1223"/>
        <item x="965"/>
        <item x="46"/>
        <item x="737"/>
        <item x="739"/>
        <item x="740"/>
        <item x="733"/>
        <item x="172"/>
        <item x="414"/>
        <item x="415"/>
        <item x="289"/>
        <item x="70"/>
        <item x="0"/>
        <item x="584"/>
        <item x="585"/>
        <item x="465"/>
        <item x="774"/>
        <item x="696"/>
        <item x="835"/>
        <item x="282"/>
        <item x="22"/>
        <item x="951"/>
        <item x="269"/>
        <item x="71"/>
        <item x="1293"/>
        <item x="403"/>
        <item x="933"/>
        <item x="836"/>
        <item x="1131"/>
        <item x="693"/>
        <item x="42"/>
        <item x="641"/>
        <item x="657"/>
        <item x="816"/>
        <item x="714"/>
        <item x="885"/>
        <item x="952"/>
        <item x="670"/>
        <item x="84"/>
        <item x="548"/>
        <item x="1024"/>
        <item x="235"/>
        <item x="1043"/>
        <item x="1147"/>
        <item x="466"/>
        <item x="702"/>
        <item x="704"/>
        <item x="268"/>
        <item x="706"/>
        <item x="280"/>
        <item x="837"/>
        <item x="838"/>
        <item x="624"/>
        <item x="839"/>
        <item x="708"/>
        <item x="710"/>
        <item x="840"/>
        <item x="677"/>
        <item x="1029"/>
        <item x="614"/>
        <item x="658"/>
        <item x="659"/>
        <item x="660"/>
        <item x="711"/>
        <item x="841"/>
        <item x="741"/>
        <item x="1116"/>
        <item x="224"/>
        <item x="901"/>
        <item x="157"/>
        <item x="79"/>
        <item x="65"/>
        <item x="720"/>
        <item x="574"/>
        <item x="888"/>
        <item x="742"/>
        <item x="437"/>
        <item x="728"/>
        <item x="407"/>
        <item x="1160"/>
        <item x="560"/>
        <item x="889"/>
        <item x="1040"/>
        <item x="425"/>
        <item x="493"/>
        <item x="1054"/>
        <item x="1055"/>
        <item x="135"/>
        <item x="265"/>
        <item x="753"/>
        <item x="72"/>
        <item x="1261"/>
        <item x="371"/>
        <item x="1095"/>
        <item x="1056"/>
        <item x="793"/>
        <item x="729"/>
        <item x="1294"/>
        <item x="761"/>
        <item x="206"/>
        <item x="860"/>
        <item x="896"/>
        <item x="237"/>
        <item x="420"/>
        <item x="436"/>
        <item x="1196"/>
        <item x="763"/>
        <item x="768"/>
        <item x="978"/>
        <item x="947"/>
        <item x="428"/>
        <item x="775"/>
        <item x="211"/>
        <item x="764"/>
        <item x="510"/>
        <item x="39"/>
        <item x="770"/>
        <item x="782"/>
        <item x="779"/>
        <item x="945"/>
        <item x="783"/>
        <item x="705"/>
        <item x="5"/>
        <item x="331"/>
        <item x="769"/>
        <item x="1187"/>
        <item x="422"/>
        <item x="447"/>
        <item x="786"/>
        <item x="787"/>
        <item x="1159"/>
        <item x="55"/>
        <item x="795"/>
        <item x="780"/>
        <item x="842"/>
        <item x="362"/>
        <item x="361"/>
        <item x="1017"/>
        <item x="1282"/>
        <item x="570"/>
        <item x="791"/>
        <item x="549"/>
        <item x="475"/>
        <item x="432"/>
        <item x="24"/>
        <item x="23"/>
        <item x="100"/>
        <item x="15"/>
        <item x="58"/>
        <item x="634"/>
        <item x="1110"/>
        <item x="1111"/>
        <item x="1233"/>
        <item x="1099"/>
        <item x="617"/>
        <item x="295"/>
        <item x="1193"/>
        <item x="1207"/>
        <item x="197"/>
        <item x="73"/>
        <item x="799"/>
        <item x="217"/>
        <item x="63"/>
        <item x="804"/>
        <item x="147"/>
        <item x="185"/>
        <item x="491"/>
        <item x="1030"/>
        <item x="1031"/>
        <item x="556"/>
        <item x="1015"/>
        <item x="253"/>
        <item x="485"/>
        <item x="174"/>
        <item x="1041"/>
        <item x="809"/>
        <item x="1289"/>
        <item x="605"/>
        <item x="77"/>
        <item x="810"/>
        <item x="208"/>
        <item x="766"/>
        <item x="1255"/>
        <item x="1194"/>
        <item x="843"/>
        <item x="844"/>
        <item x="494"/>
        <item x="811"/>
        <item x="273"/>
        <item x="650"/>
        <item x="1123"/>
        <item x="133"/>
        <item x="613"/>
        <item x="818"/>
        <item x="820"/>
        <item x="821"/>
        <item x="819"/>
        <item x="1019"/>
        <item x="743"/>
        <item x="575"/>
        <item x="162"/>
        <item x="156"/>
        <item x="1197"/>
        <item x="524"/>
        <item x="824"/>
        <item x="825"/>
        <item x="1023"/>
        <item x="118"/>
        <item x="281"/>
        <item x="845"/>
        <item x="630"/>
        <item x="467"/>
        <item x="861"/>
        <item x="631"/>
        <item x="1135"/>
        <item x="171"/>
        <item x="846"/>
        <item x="865"/>
        <item x="177"/>
        <item x="1042"/>
        <item x="1036"/>
        <item x="175"/>
        <item x="694"/>
        <item x="592"/>
        <item x="350"/>
        <item x="468"/>
        <item x="847"/>
        <item x="867"/>
        <item x="625"/>
        <item x="487"/>
        <item x="848"/>
        <item x="486"/>
        <item x="245"/>
        <item x="868"/>
        <item x="340"/>
        <item x="164"/>
        <item x="870"/>
        <item x="248"/>
        <item x="849"/>
        <item x="36"/>
        <item x="276"/>
        <item x="138"/>
        <item x="82"/>
        <item x="876"/>
        <item x="551"/>
        <item x="499"/>
        <item x="54"/>
        <item x="439"/>
        <item x="1212"/>
        <item x="957"/>
        <item x="665"/>
        <item x="247"/>
        <item x="1093"/>
        <item x="314"/>
        <item x="74"/>
        <item x="882"/>
        <item x="884"/>
        <item x="254"/>
        <item x="862"/>
        <item x="744"/>
        <item x="38"/>
        <item x="892"/>
        <item x="982"/>
        <item x="511"/>
        <item x="388"/>
        <item x="140"/>
        <item x="894"/>
        <item x="897"/>
        <item x="370"/>
        <item x="989"/>
        <item x="1287"/>
        <item x="909"/>
        <item x="49"/>
        <item x="515"/>
        <item x="81"/>
        <item x="159"/>
        <item x="911"/>
        <item x="908"/>
        <item x="1191"/>
        <item x="1192"/>
        <item x="678"/>
        <item x="915"/>
        <item x="1210"/>
        <item x="184"/>
        <item x="364"/>
        <item x="137"/>
        <item x="931"/>
        <item x="242"/>
        <item x="937"/>
        <item x="940"/>
        <item x="939"/>
        <item x="953"/>
        <item x="95"/>
        <item x="724"/>
        <item x="954"/>
        <item x="321"/>
        <item x="765"/>
        <item x="966"/>
        <item x="968"/>
        <item x="785"/>
        <item x="1143"/>
        <item x="1295"/>
        <item x="974"/>
        <item x="231"/>
        <item x="481"/>
        <item x="1149"/>
        <item x="745"/>
        <item x="400"/>
        <item x="307"/>
        <item x="389"/>
        <item x="943"/>
        <item x="469"/>
        <item x="1236"/>
        <item x="489"/>
        <item x="958"/>
        <item x="294"/>
        <item x="372"/>
        <item x="877"/>
        <item x="975"/>
        <item x="1002"/>
        <item x="1"/>
        <item x="378"/>
        <item x="1083"/>
        <item x="977"/>
        <item x="1003"/>
        <item x="976"/>
        <item x="360"/>
        <item x="983"/>
        <item x="547"/>
        <item x="985"/>
        <item x="872"/>
        <item x="987"/>
        <item x="160"/>
        <item x="405"/>
        <item x="341"/>
        <item x="1011"/>
        <item x="1157"/>
        <item x="907"/>
        <item x="796"/>
        <item x="1281"/>
        <item x="382"/>
        <item x="270"/>
        <item x="101"/>
        <item x="322"/>
        <item x="320"/>
        <item x="611"/>
        <item x="35"/>
        <item x="1057"/>
        <item x="324"/>
        <item x="21"/>
        <item x="1256"/>
        <item x="993"/>
        <item x="998"/>
        <item x="828"/>
        <item x="89"/>
        <item x="283"/>
        <item x="850"/>
        <item x="851"/>
        <item x="286"/>
        <item x="996"/>
        <item x="1000"/>
        <item x="1004"/>
        <item x="1007"/>
        <item x="721"/>
        <item x="723"/>
        <item x="552"/>
        <item x="25"/>
        <item x="1010"/>
        <item x="145"/>
        <item x="349"/>
        <item x="8"/>
        <item x="258"/>
        <item x="1276"/>
        <item x="195"/>
        <item x="852"/>
        <item x="853"/>
        <item x="115"/>
        <item x="114"/>
        <item x="1128"/>
        <item x="4"/>
        <item x="564"/>
        <item x="979"/>
        <item x="922"/>
        <item x="1166"/>
        <item x="725"/>
        <item x="305"/>
        <item x="1016"/>
        <item x="53"/>
        <item x="1168"/>
        <item x="508"/>
        <item x="1084"/>
        <item x="661"/>
        <item x="1097"/>
        <item x="1184"/>
        <item x="426"/>
        <item x="435"/>
        <item x="1112"/>
        <item x="1058"/>
        <item x="539"/>
        <item x="312"/>
        <item x="586"/>
        <item x="1144"/>
        <item x="434"/>
        <item x="1059"/>
        <item x="1046"/>
        <item x="1060"/>
        <item x="1273"/>
        <item x="1013"/>
        <item x="298"/>
        <item x="1070"/>
        <item x="699"/>
        <item x="234"/>
        <item x="1061"/>
        <item x="452"/>
        <item x="227"/>
        <item x="335"/>
        <item x="587"/>
        <item x="105"/>
        <item x="236"/>
        <item x="698"/>
        <item x="1121"/>
        <item x="1257"/>
        <item x="1250"/>
        <item x="636"/>
        <item x="103"/>
        <item x="1079"/>
        <item x="398"/>
        <item x="96"/>
        <item x="123"/>
        <item x="454"/>
        <item x="1087"/>
        <item x="37"/>
        <item x="827"/>
        <item x="1006"/>
        <item x="1270"/>
        <item x="1049"/>
        <item x="1047"/>
        <item x="1048"/>
        <item x="509"/>
        <item x="1005"/>
        <item x="325"/>
        <item x="506"/>
        <item x="542"/>
        <item x="784"/>
        <item x="1091"/>
        <item x="279"/>
        <item x="577"/>
        <item x="717"/>
        <item x="718"/>
        <item x="942"/>
        <item x="1092"/>
        <item x="1094"/>
        <item x="1106"/>
        <item x="1107"/>
        <item x="1113"/>
        <item x="1115"/>
        <item x="142"/>
        <item x="959"/>
        <item x="106"/>
        <item x="1299"/>
        <item x="1224"/>
        <item x="532"/>
        <item x="1127"/>
        <item x="1151"/>
        <item x="1264"/>
        <item x="719"/>
        <item x="139"/>
        <item x="1105"/>
        <item x="534"/>
        <item x="293"/>
        <item x="713"/>
        <item x="40"/>
        <item x="689"/>
        <item x="221"/>
        <item x="19"/>
        <item x="573"/>
        <item x="451"/>
        <item x="612"/>
        <item x="601"/>
        <item x="855"/>
        <item x="822"/>
        <item x="1108"/>
        <item x="680"/>
        <item x="225"/>
        <item x="278"/>
        <item x="576"/>
        <item x="1178"/>
        <item x="495"/>
        <item x="318"/>
        <item x="117"/>
        <item x="230"/>
        <item x="1133"/>
        <item x="413"/>
        <item x="1104"/>
        <item x="746"/>
        <item x="747"/>
        <item x="748"/>
        <item x="1136"/>
        <item x="1139"/>
        <item x="144"/>
        <item x="1199"/>
        <item x="1137"/>
        <item x="516"/>
        <item x="473"/>
        <item x="1274"/>
        <item x="1228"/>
        <item x="262"/>
        <item x="866"/>
        <item x="1126"/>
        <item x="1129"/>
        <item x="1279"/>
        <item x="1098"/>
        <item x="1125"/>
        <item x="921"/>
        <item x="800"/>
        <item x="1032"/>
        <item x="1037"/>
        <item x="163"/>
        <item x="1148"/>
        <item x="803"/>
        <item x="749"/>
        <item x="767"/>
        <item x="1153"/>
        <item x="1285"/>
        <item x="632"/>
        <item x="1033"/>
        <item x="479"/>
        <item x="633"/>
        <item x="1034"/>
        <item x="1222"/>
        <item x="336"/>
        <item x="980"/>
        <item x="1220"/>
        <item x="856"/>
        <item x="445"/>
        <item x="1266"/>
        <item x="929"/>
        <item x="391"/>
        <item x="924"/>
        <item x="878"/>
        <item x="919"/>
        <item x="1154"/>
        <item x="109"/>
        <item x="301"/>
        <item x="662"/>
        <item x="663"/>
        <item x="1248"/>
        <item x="1202"/>
        <item x="215"/>
        <item x="948"/>
        <item x="1090"/>
        <item x="553"/>
        <item x="1114"/>
        <item x="1161"/>
        <item x="302"/>
        <item x="512"/>
        <item x="758"/>
        <item x="113"/>
        <item x="1167"/>
        <item x="566"/>
        <item x="376"/>
        <item x="1201"/>
        <item x="134"/>
        <item x="639"/>
        <item x="880"/>
        <item x="1062"/>
        <item x="1179"/>
        <item x="383"/>
        <item x="1234"/>
        <item x="291"/>
        <item x="64"/>
        <item x="883"/>
        <item x="857"/>
        <item x="455"/>
        <item x="167"/>
        <item x="759"/>
        <item x="755"/>
        <item x="246"/>
        <item x="1182"/>
        <item x="249"/>
        <item x="119"/>
        <item x="332"/>
        <item x="1185"/>
        <item x="1283"/>
        <item x="1237"/>
        <item x="304"/>
        <item x="1188"/>
        <item x="1296"/>
        <item x="1195"/>
        <item x="257"/>
        <item x="1063"/>
        <item x="1064"/>
        <item x="1065"/>
        <item x="1066"/>
        <item x="875"/>
        <item x="75"/>
        <item x="1096"/>
        <item x="967"/>
        <item x="223"/>
        <item x="591"/>
        <item x="368"/>
        <item x="675"/>
        <item x="470"/>
        <item x="309"/>
        <item x="1145"/>
        <item x="1141"/>
        <item x="34"/>
        <item x="311"/>
        <item x="308"/>
        <item x="1067"/>
        <item x="502"/>
        <item x="1150"/>
        <item x="1044"/>
        <item x="1265"/>
        <item x="1203"/>
        <item x="1146"/>
        <item x="121"/>
        <item x="260"/>
        <item x="6"/>
        <item x="1086"/>
        <item x="834"/>
        <item x="60"/>
        <item x="429"/>
        <item x="771"/>
        <item x="31"/>
        <item x="1205"/>
        <item x="1268"/>
        <item x="86"/>
        <item x="750"/>
        <item x="890"/>
        <item x="120"/>
        <item x="33"/>
        <item x="621"/>
        <item x="116"/>
        <item x="488"/>
        <item x="250"/>
        <item x="754"/>
        <item x="168"/>
        <item x="76"/>
        <item x="603"/>
        <item x="483"/>
        <item x="1206"/>
        <item x="44"/>
        <item x="588"/>
        <item x="92"/>
        <item x="949"/>
        <item x="1208"/>
        <item x="471"/>
        <item x="1215"/>
        <item x="1232"/>
        <item x="879"/>
        <item x="760"/>
        <item x="317"/>
        <item x="386"/>
        <item x="925"/>
        <item x="126"/>
        <item x="912"/>
        <item x="730"/>
        <item x="196"/>
        <item x="1180"/>
        <item x="637"/>
        <item x="14"/>
        <item x="1242"/>
        <item x="1020"/>
        <item x="315"/>
        <item x="128"/>
        <item x="1158"/>
        <item x="367"/>
        <item x="1246"/>
        <item x="1247"/>
        <item x="622"/>
        <item x="287"/>
        <item x="1260"/>
        <item x="789"/>
        <item x="790"/>
        <item x="1216"/>
        <item x="357"/>
        <item x="1169"/>
        <item x="562"/>
        <item x="401"/>
        <item x="543"/>
        <item x="891"/>
        <item x="858"/>
        <item x="496"/>
        <item x="589"/>
        <item x="1226"/>
        <item x="1258"/>
        <item x="812"/>
        <item x="950"/>
        <item x="1267"/>
        <item x="1068"/>
        <item x="229"/>
        <item x="450"/>
        <item x="1259"/>
        <item x="141"/>
        <item x="859"/>
        <item x="421"/>
        <item x="112"/>
        <item x="1269"/>
        <item x="472"/>
        <item x="815"/>
        <item x="646"/>
        <item x="1241"/>
        <item x="667"/>
        <item x="731"/>
        <item x="732"/>
        <item x="122"/>
        <item x="32"/>
        <item x="1209"/>
        <item x="895"/>
        <item x="1198"/>
        <item x="1221"/>
        <item x="914"/>
        <item x="1271"/>
        <item x="1021"/>
        <item x="1243"/>
        <item x="1277"/>
        <item x="1278"/>
        <item x="1284"/>
        <item x="1280"/>
        <item x="619"/>
        <item x="869"/>
        <item x="596"/>
        <item x="598"/>
        <item x="1069"/>
        <item x="642"/>
        <item x="1288"/>
        <item x="529"/>
        <item x="446"/>
        <item x="303"/>
        <item x="1189"/>
        <item x="1190"/>
        <item x="18"/>
        <item x="906"/>
        <item x="773"/>
        <item x="319"/>
        <item x="347"/>
        <item x="313"/>
        <item x="1152"/>
        <item x="330"/>
        <item x="178"/>
        <item x="986"/>
        <item x="530"/>
        <item x="155"/>
        <item x="944"/>
        <item x="1286"/>
        <item x="149"/>
        <item x="926"/>
        <item x="533"/>
        <item x="1275"/>
        <item x="606"/>
        <item x="87"/>
        <item x="604"/>
        <item x="1035"/>
        <item x="90"/>
        <item x="900"/>
        <item x="600"/>
        <item x="1249"/>
        <item x="274"/>
        <item x="1085"/>
        <item x="1181"/>
        <item x="994"/>
        <item x="200"/>
        <item x="1301"/>
      </items>
    </pivotField>
    <pivotField axis="axisRow" compact="0" outline="0" showAll="0" defaultSubtotal="0">
      <items count="1348">
        <item x="129"/>
        <item x="1088"/>
        <item x="104"/>
        <item x="131"/>
        <item x="106"/>
        <item x="107"/>
        <item x="108"/>
        <item x="232"/>
        <item x="179"/>
        <item x="3"/>
        <item x="2"/>
        <item x="1"/>
        <item x="4"/>
        <item x="0"/>
        <item x="5"/>
        <item x="968"/>
        <item x="867"/>
        <item x="1276"/>
        <item x="984"/>
        <item x="35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234"/>
        <item x="235"/>
        <item x="236"/>
        <item x="237"/>
        <item x="180"/>
        <item x="1083"/>
        <item x="1084"/>
        <item x="994"/>
        <item x="1224"/>
        <item x="960"/>
        <item x="396"/>
        <item x="233"/>
        <item x="564"/>
        <item x="565"/>
        <item x="865"/>
        <item x="879"/>
        <item x="467"/>
        <item x="383"/>
        <item x="799"/>
        <item x="16"/>
        <item x="566"/>
        <item x="844"/>
        <item x="890"/>
        <item x="802"/>
        <item x="803"/>
        <item x="804"/>
        <item x="1328"/>
        <item x="1329"/>
        <item x="1313"/>
        <item x="546"/>
        <item x="547"/>
        <item x="1314"/>
        <item x="1315"/>
        <item x="548"/>
        <item x="549"/>
        <item x="550"/>
        <item x="551"/>
        <item x="1342"/>
        <item x="914"/>
        <item x="915"/>
        <item x="916"/>
        <item x="969"/>
        <item x="958"/>
        <item x="959"/>
        <item x="954"/>
        <item x="955"/>
        <item x="360"/>
        <item x="361"/>
        <item x="832"/>
        <item x="833"/>
        <item x="880"/>
        <item x="1141"/>
        <item x="1127"/>
        <item x="1231"/>
        <item x="694"/>
        <item x="219"/>
        <item x="220"/>
        <item x="974"/>
        <item x="230"/>
        <item x="231"/>
        <item x="463"/>
        <item x="464"/>
        <item x="465"/>
        <item x="466"/>
        <item x="800"/>
        <item x="801"/>
        <item x="798"/>
        <item x="586"/>
        <item x="170"/>
        <item x="740"/>
        <item x="1229"/>
        <item x="741"/>
        <item x="1242"/>
        <item x="1243"/>
        <item x="166"/>
        <item x="167"/>
        <item x="943"/>
        <item x="866"/>
        <item x="168"/>
        <item x="169"/>
        <item x="1316"/>
        <item x="1086"/>
        <item x="1087"/>
        <item x="1303"/>
        <item x="1304"/>
        <item x="1305"/>
        <item x="1306"/>
        <item x="355"/>
        <item x="356"/>
        <item x="1274"/>
        <item x="606"/>
        <item x="1277"/>
        <item x="1278"/>
        <item x="1219"/>
        <item x="990"/>
        <item x="991"/>
        <item x="992"/>
        <item x="944"/>
        <item x="1341"/>
        <item x="810"/>
        <item x="811"/>
        <item x="438"/>
        <item x="1318"/>
        <item x="942"/>
        <item x="357"/>
        <item x="358"/>
        <item x="1125"/>
        <item x="1126"/>
        <item x="1121"/>
        <item x="1122"/>
        <item x="714"/>
        <item x="1123"/>
        <item x="1330"/>
        <item x="993"/>
        <item x="881"/>
        <item x="695"/>
        <item x="1157"/>
        <item x="1158"/>
        <item x="292"/>
        <item x="1159"/>
        <item x="1160"/>
        <item x="1161"/>
        <item x="248"/>
        <item x="856"/>
        <item x="725"/>
        <item x="934"/>
        <item x="989"/>
        <item x="805"/>
        <item x="806"/>
        <item x="1319"/>
        <item x="1320"/>
        <item x="1180"/>
        <item x="808"/>
        <item x="1181"/>
        <item x="809"/>
        <item x="1128"/>
        <item x="1129"/>
        <item x="1225"/>
        <item x="495"/>
        <item x="496"/>
        <item x="1182"/>
        <item x="497"/>
        <item x="409"/>
        <item x="410"/>
        <item x="486"/>
        <item x="975"/>
        <item x="921"/>
        <item x="922"/>
        <item x="1207"/>
        <item x="1208"/>
        <item x="1344"/>
        <item x="1345"/>
        <item x="1346"/>
        <item x="985"/>
        <item x="986"/>
        <item x="987"/>
        <item x="988"/>
        <item x="372"/>
        <item x="217"/>
        <item x="397"/>
        <item x="965"/>
        <item x="966"/>
        <item x="398"/>
        <item x="399"/>
        <item x="218"/>
        <item x="967"/>
        <item x="971"/>
        <item x="972"/>
        <item x="973"/>
        <item x="834"/>
        <item x="835"/>
        <item x="1326"/>
        <item x="1327"/>
        <item x="568"/>
        <item x="569"/>
        <item x="227"/>
        <item x="228"/>
        <item x="229"/>
        <item x="931"/>
        <item x="932"/>
        <item x="933"/>
        <item x="996"/>
        <item x="997"/>
        <item x="918"/>
        <item x="919"/>
        <item x="970"/>
        <item x="1138"/>
        <item x="1139"/>
        <item x="1140"/>
        <item x="1309"/>
        <item x="1310"/>
        <item x="1311"/>
        <item x="1312"/>
        <item x="587"/>
        <item x="570"/>
        <item x="571"/>
        <item x="1111"/>
        <item x="567"/>
        <item x="575"/>
        <item x="598"/>
        <item x="1162"/>
        <item x="889"/>
        <item x="599"/>
        <item x="617"/>
        <item x="6"/>
        <item x="574"/>
        <item x="1001"/>
        <item x="920"/>
        <item x="362"/>
        <item x="130"/>
        <item x="995"/>
        <item x="182"/>
        <item x="961"/>
        <item x="132"/>
        <item x="181"/>
        <item x="1317"/>
        <item x="125"/>
        <item x="439"/>
        <item x="1098"/>
        <item x="715"/>
        <item x="133"/>
        <item x="134"/>
        <item x="882"/>
        <item x="693"/>
        <item x="1130"/>
        <item x="652"/>
        <item x="1163"/>
        <item x="384"/>
        <item x="1131"/>
        <item x="137"/>
        <item x="250"/>
        <item x="1002"/>
        <item x="1226"/>
        <item x="1183"/>
        <item x="1089"/>
        <item x="51"/>
        <item x="1347"/>
        <item x="1331"/>
        <item x="686"/>
        <item x="1124"/>
        <item x="1232"/>
        <item x="1220"/>
        <item x="324"/>
        <item x="673"/>
        <item x="88"/>
        <item x="1233"/>
        <item x="1234"/>
        <item x="555"/>
        <item x="1144"/>
        <item x="171"/>
        <item x="1090"/>
        <item x="1279"/>
        <item x="21"/>
        <item x="789"/>
        <item x="716"/>
        <item x="717"/>
        <item x="718"/>
        <item x="719"/>
        <item x="720"/>
        <item x="721"/>
        <item x="722"/>
        <item x="723"/>
        <item x="1168"/>
        <item x="251"/>
        <item x="681"/>
        <item x="1169"/>
        <item x="113"/>
        <item x="682"/>
        <item x="683"/>
        <item x="684"/>
        <item x="685"/>
        <item x="1170"/>
        <item x="1171"/>
        <item x="193"/>
        <item x="194"/>
        <item x="195"/>
        <item x="196"/>
        <item x="197"/>
        <item x="187"/>
        <item x="198"/>
        <item x="199"/>
        <item x="200"/>
        <item x="201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1061"/>
        <item x="1062"/>
        <item x="1063"/>
        <item x="1060"/>
        <item x="1064"/>
        <item x="1065"/>
        <item x="1066"/>
        <item x="1067"/>
        <item x="1068"/>
        <item x="576"/>
        <item x="577"/>
        <item x="578"/>
        <item x="579"/>
        <item x="580"/>
        <item x="581"/>
        <item x="582"/>
        <item x="583"/>
        <item x="584"/>
        <item x="109"/>
        <item x="1112"/>
        <item x="202"/>
        <item x="1113"/>
        <item x="1114"/>
        <item x="1115"/>
        <item x="110"/>
        <item x="1116"/>
        <item x="1117"/>
        <item x="325"/>
        <item x="111"/>
        <item x="1118"/>
        <item x="1221"/>
        <item x="1222"/>
        <item x="485"/>
        <item x="845"/>
        <item x="1223"/>
        <item x="1236"/>
        <item x="1237"/>
        <item x="1238"/>
        <item x="1239"/>
        <item x="22"/>
        <item x="487"/>
        <item x="488"/>
        <item x="25"/>
        <item x="489"/>
        <item x="490"/>
        <item x="491"/>
        <item x="492"/>
        <item x="493"/>
        <item x="1069"/>
        <item x="23"/>
        <item x="585"/>
        <item x="494"/>
        <item x="1307"/>
        <item x="1308"/>
        <item x="24"/>
        <item x="734"/>
        <item x="735"/>
        <item x="736"/>
        <item x="737"/>
        <item x="738"/>
        <item x="326"/>
        <item x="982"/>
        <item x="983"/>
        <item x="411"/>
        <item x="412"/>
        <item x="413"/>
        <item x="414"/>
        <item x="415"/>
        <item x="1132"/>
        <item x="416"/>
        <item x="417"/>
        <item x="418"/>
        <item x="419"/>
        <item x="1209"/>
        <item x="1210"/>
        <item x="1211"/>
        <item x="420"/>
        <item x="1212"/>
        <item x="1213"/>
        <item x="1214"/>
        <item x="1215"/>
        <item x="1216"/>
        <item x="687"/>
        <item x="1217"/>
        <item x="1173"/>
        <item x="1174"/>
        <item x="55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252"/>
        <item x="891"/>
        <item x="1254"/>
        <item x="498"/>
        <item x="499"/>
        <item x="500"/>
        <item x="501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527"/>
        <item x="502"/>
        <item x="528"/>
        <item x="112"/>
        <item x="529"/>
        <item x="514"/>
        <item x="515"/>
        <item x="516"/>
        <item x="517"/>
        <item x="503"/>
        <item x="504"/>
        <item x="505"/>
        <item x="506"/>
        <item x="507"/>
        <item x="508"/>
        <item x="509"/>
        <item x="1003"/>
        <item x="1004"/>
        <item x="1005"/>
        <item x="1006"/>
        <item x="1007"/>
        <item x="1008"/>
        <item x="1009"/>
        <item x="1010"/>
        <item x="1011"/>
        <item x="1012"/>
        <item x="1070"/>
        <item x="518"/>
        <item x="1013"/>
        <item x="519"/>
        <item x="513"/>
        <item x="520"/>
        <item x="521"/>
        <item x="522"/>
        <item x="523"/>
        <item x="524"/>
        <item x="747"/>
        <item x="572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281"/>
        <item x="624"/>
        <item x="625"/>
        <item x="626"/>
        <item x="627"/>
        <item x="628"/>
        <item x="629"/>
        <item x="630"/>
        <item x="525"/>
        <item x="346"/>
        <item x="822"/>
        <item x="631"/>
        <item x="823"/>
        <item x="824"/>
        <item x="825"/>
        <item x="826"/>
        <item x="827"/>
        <item x="828"/>
        <item x="829"/>
        <item x="830"/>
        <item x="831"/>
        <item x="428"/>
        <item x="429"/>
        <item x="430"/>
        <item x="431"/>
        <item x="432"/>
        <item x="433"/>
        <item x="434"/>
        <item x="435"/>
        <item x="436"/>
        <item x="437"/>
        <item x="1332"/>
        <item x="1333"/>
        <item x="857"/>
        <item x="282"/>
        <item x="1334"/>
        <item x="1335"/>
        <item x="1336"/>
        <item x="1337"/>
        <item x="1338"/>
        <item x="1339"/>
        <item x="1340"/>
        <item x="696"/>
        <item x="697"/>
        <item x="698"/>
        <item x="699"/>
        <item x="700"/>
        <item x="701"/>
        <item x="702"/>
        <item x="703"/>
        <item x="704"/>
        <item x="705"/>
        <item x="812"/>
        <item x="374"/>
        <item x="375"/>
        <item x="376"/>
        <item x="61"/>
        <item x="377"/>
        <item x="7"/>
        <item x="63"/>
        <item x="8"/>
        <item x="64"/>
        <item x="65"/>
        <item x="66"/>
        <item x="813"/>
        <item x="814"/>
        <item x="67"/>
        <item x="815"/>
        <item x="68"/>
        <item x="69"/>
        <item x="378"/>
        <item x="70"/>
        <item x="9"/>
        <item x="816"/>
        <item x="62"/>
        <item x="60"/>
        <item x="379"/>
        <item x="71"/>
        <item x="817"/>
        <item x="72"/>
        <item x="73"/>
        <item x="74"/>
        <item x="75"/>
        <item x="818"/>
        <item x="76"/>
        <item x="819"/>
        <item x="820"/>
        <item x="821"/>
        <item x="77"/>
        <item x="78"/>
        <item x="89"/>
        <item x="632"/>
        <item x="90"/>
        <item x="91"/>
        <item x="904"/>
        <item x="92"/>
        <item x="93"/>
        <item x="94"/>
        <item x="95"/>
        <item x="96"/>
        <item x="905"/>
        <item x="87"/>
        <item x="421"/>
        <item x="13"/>
        <item x="422"/>
        <item x="423"/>
        <item x="424"/>
        <item x="425"/>
        <item x="14"/>
        <item x="426"/>
        <item x="15"/>
        <item x="12"/>
        <item x="633"/>
        <item x="634"/>
        <item x="635"/>
        <item x="636"/>
        <item x="637"/>
        <item x="638"/>
        <item x="639"/>
        <item x="640"/>
        <item x="641"/>
        <item x="642"/>
        <item x="906"/>
        <item x="97"/>
        <item x="643"/>
        <item x="644"/>
        <item x="645"/>
        <item x="646"/>
        <item x="647"/>
        <item x="648"/>
        <item x="649"/>
        <item x="650"/>
        <item x="651"/>
        <item x="907"/>
        <item x="98"/>
        <item x="908"/>
        <item x="909"/>
        <item x="910"/>
        <item x="11"/>
        <item x="427"/>
        <item x="99"/>
        <item x="100"/>
        <item x="101"/>
        <item x="102"/>
        <item x="911"/>
        <item x="912"/>
        <item x="103"/>
        <item x="913"/>
        <item x="836"/>
        <item x="1172"/>
        <item x="1343"/>
        <item x="674"/>
        <item x="1119"/>
        <item x="1154"/>
        <item x="1155"/>
        <item x="172"/>
        <item x="347"/>
        <item x="588"/>
        <item x="601"/>
        <item x="602"/>
        <item x="603"/>
        <item x="526"/>
        <item x="604"/>
        <item x="605"/>
        <item x="742"/>
        <item x="743"/>
        <item x="744"/>
        <item x="745"/>
        <item x="675"/>
        <item x="676"/>
        <item x="677"/>
        <item x="678"/>
        <item x="679"/>
        <item x="917"/>
        <item x="512"/>
        <item x="790"/>
        <item x="746"/>
        <item x="956"/>
        <item x="658"/>
        <item x="957"/>
        <item x="659"/>
        <item x="660"/>
        <item x="661"/>
        <item x="662"/>
        <item x="663"/>
        <item x="664"/>
        <item x="665"/>
        <item x="1255"/>
        <item x="1256"/>
        <item x="1257"/>
        <item x="1258"/>
        <item x="1259"/>
        <item x="1260"/>
        <item x="1261"/>
        <item x="1262"/>
        <item x="607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48"/>
        <item x="1249"/>
        <item x="1250"/>
        <item x="935"/>
        <item x="936"/>
        <item x="937"/>
        <item x="938"/>
        <item x="556"/>
        <item x="976"/>
        <item x="939"/>
        <item x="1072"/>
        <item x="1073"/>
        <item x="1074"/>
        <item x="1075"/>
        <item x="1076"/>
        <item x="1077"/>
        <item x="1078"/>
        <item x="1251"/>
        <item x="1252"/>
        <item x="191"/>
        <item x="221"/>
        <item x="1253"/>
        <item x="589"/>
        <item x="192"/>
        <item x="1120"/>
        <item x="1033"/>
        <item x="590"/>
        <item x="591"/>
        <item x="592"/>
        <item x="593"/>
        <item x="1280"/>
        <item x="1281"/>
        <item x="1282"/>
        <item x="1283"/>
        <item x="1284"/>
        <item x="79"/>
        <item x="1285"/>
        <item x="1286"/>
        <item x="1287"/>
        <item x="1288"/>
        <item x="1289"/>
        <item x="1290"/>
        <item x="1291"/>
        <item x="1292"/>
        <item x="1293"/>
        <item x="1294"/>
        <item x="1145"/>
        <item x="1146"/>
        <item x="1147"/>
        <item x="1148"/>
        <item x="1149"/>
        <item x="1150"/>
        <item x="1151"/>
        <item x="1152"/>
        <item x="1153"/>
        <item x="666"/>
        <item x="363"/>
        <item x="1091"/>
        <item x="940"/>
        <item x="203"/>
        <item x="1092"/>
        <item x="1093"/>
        <item x="1094"/>
        <item x="1095"/>
        <item x="1096"/>
        <item x="1097"/>
        <item x="941"/>
        <item x="557"/>
        <item x="558"/>
        <item x="559"/>
        <item x="560"/>
        <item x="561"/>
        <item x="562"/>
        <item x="563"/>
        <item x="293"/>
        <item x="294"/>
        <item x="295"/>
        <item x="296"/>
        <item x="445"/>
        <item x="297"/>
        <item x="298"/>
        <item x="299"/>
        <item x="300"/>
        <item x="301"/>
        <item x="446"/>
        <item x="447"/>
        <item x="792"/>
        <item x="1014"/>
        <item x="348"/>
        <item x="793"/>
        <item x="794"/>
        <item x="795"/>
        <item x="796"/>
        <item x="1015"/>
        <item x="1016"/>
        <item x="1017"/>
        <item x="1018"/>
        <item x="1019"/>
        <item x="1020"/>
        <item x="1021"/>
        <item x="1022"/>
        <item x="1023"/>
        <item x="349"/>
        <item x="350"/>
        <item x="351"/>
        <item x="183"/>
        <item x="680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173"/>
        <item x="174"/>
        <item x="175"/>
        <item x="176"/>
        <item x="177"/>
        <item x="178"/>
        <item x="222"/>
        <item x="223"/>
        <item x="224"/>
        <item x="225"/>
        <item x="226"/>
        <item x="238"/>
        <item x="239"/>
        <item x="319"/>
        <item x="240"/>
        <item x="241"/>
        <item x="242"/>
        <item x="243"/>
        <item x="244"/>
        <item x="115"/>
        <item x="1024"/>
        <item x="1025"/>
        <item x="1026"/>
        <item x="1027"/>
        <item x="1028"/>
        <item x="1029"/>
        <item x="1030"/>
        <item x="1031"/>
        <item x="1032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245"/>
        <item x="688"/>
        <item x="246"/>
        <item x="204"/>
        <item x="205"/>
        <item x="206"/>
        <item x="207"/>
        <item x="119"/>
        <item x="1186"/>
        <item x="120"/>
        <item x="121"/>
        <item x="1187"/>
        <item x="1188"/>
        <item x="1189"/>
        <item x="122"/>
        <item x="123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4"/>
        <item x="1201"/>
        <item x="1202"/>
        <item x="1203"/>
        <item x="1204"/>
        <item x="1184"/>
        <item x="1185"/>
        <item x="1099"/>
        <item x="1100"/>
        <item x="1101"/>
        <item x="1102"/>
        <item x="1103"/>
        <item x="147"/>
        <item x="153"/>
        <item x="152"/>
        <item x="149"/>
        <item x="150"/>
        <item x="400"/>
        <item x="401"/>
        <item x="552"/>
        <item x="151"/>
        <item x="148"/>
        <item x="553"/>
        <item x="554"/>
        <item x="402"/>
        <item x="403"/>
        <item x="159"/>
        <item x="385"/>
        <item x="386"/>
        <item x="158"/>
        <item x="387"/>
        <item x="283"/>
        <item x="388"/>
        <item x="160"/>
        <item x="155"/>
        <item x="156"/>
        <item x="154"/>
        <item x="389"/>
        <item x="157"/>
        <item x="320"/>
        <item x="321"/>
        <item x="322"/>
        <item x="323"/>
        <item x="923"/>
        <item x="924"/>
        <item x="925"/>
        <item x="926"/>
        <item x="404"/>
        <item x="927"/>
        <item x="928"/>
        <item x="929"/>
        <item x="405"/>
        <item x="406"/>
        <item x="407"/>
        <item x="930"/>
        <item x="408"/>
        <item x="883"/>
        <item x="884"/>
        <item x="885"/>
        <item x="886"/>
        <item x="1133"/>
        <item x="1134"/>
        <item x="1135"/>
        <item x="1136"/>
        <item x="468"/>
        <item x="469"/>
        <item x="184"/>
        <item x="470"/>
        <item x="471"/>
        <item x="472"/>
        <item x="473"/>
        <item x="162"/>
        <item x="59"/>
        <item x="57"/>
        <item x="58"/>
        <item x="56"/>
        <item x="706"/>
        <item x="707"/>
        <item x="708"/>
        <item x="163"/>
        <item x="441"/>
        <item x="442"/>
        <item x="443"/>
        <item x="444"/>
        <item x="573"/>
        <item x="188"/>
        <item x="284"/>
        <item x="1300"/>
        <item x="1301"/>
        <item x="1302"/>
        <item x="1295"/>
        <item x="1296"/>
        <item x="1297"/>
        <item x="1298"/>
        <item x="1299"/>
        <item x="977"/>
        <item x="978"/>
        <item x="979"/>
        <item x="980"/>
        <item x="981"/>
        <item x="164"/>
        <item x="165"/>
        <item x="1104"/>
        <item x="600"/>
        <item x="364"/>
        <item x="1218"/>
        <item x="1105"/>
        <item x="1106"/>
        <item x="1107"/>
        <item x="1108"/>
        <item x="1109"/>
        <item x="1110"/>
        <item x="653"/>
        <item x="709"/>
        <item x="710"/>
        <item x="711"/>
        <item x="712"/>
        <item x="713"/>
        <item x="1227"/>
        <item x="1228"/>
        <item x="608"/>
        <item x="609"/>
        <item x="610"/>
        <item x="611"/>
        <item x="612"/>
        <item x="613"/>
        <item x="614"/>
        <item x="615"/>
        <item x="616"/>
        <item x="45"/>
        <item x="49"/>
        <item x="858"/>
        <item x="689"/>
        <item x="48"/>
        <item x="47"/>
        <item x="690"/>
        <item x="50"/>
        <item x="44"/>
        <item x="691"/>
        <item x="692"/>
        <item x="390"/>
        <item x="391"/>
        <item x="392"/>
        <item x="393"/>
        <item x="394"/>
        <item x="395"/>
        <item x="46"/>
        <item x="380"/>
        <item x="10"/>
        <item x="381"/>
        <item x="382"/>
        <item x="1321"/>
        <item x="1322"/>
        <item x="1323"/>
        <item x="1324"/>
        <item x="1325"/>
        <item x="726"/>
        <item x="727"/>
        <item x="728"/>
        <item x="729"/>
        <item x="730"/>
        <item x="731"/>
        <item x="20"/>
        <item x="17"/>
        <item x="18"/>
        <item x="19"/>
        <item x="440"/>
        <item x="105"/>
        <item x="1205"/>
        <item x="359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1240"/>
        <item x="208"/>
        <item x="887"/>
        <item x="888"/>
        <item x="807"/>
        <item x="1071"/>
        <item x="667"/>
        <item x="365"/>
        <item x="366"/>
        <item x="367"/>
        <item x="368"/>
        <item x="369"/>
        <item x="837"/>
        <item x="838"/>
        <item x="839"/>
        <item x="840"/>
        <item x="841"/>
        <item x="842"/>
        <item x="668"/>
        <item x="669"/>
        <item x="670"/>
        <item x="671"/>
        <item x="672"/>
        <item x="370"/>
        <item x="373"/>
        <item x="371"/>
        <item x="945"/>
        <item x="946"/>
        <item x="947"/>
        <item x="948"/>
        <item x="949"/>
        <item x="950"/>
        <item x="618"/>
        <item x="619"/>
        <item x="620"/>
        <item x="621"/>
        <item x="622"/>
        <item x="623"/>
        <item x="95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1142"/>
        <item x="1080"/>
        <item x="1143"/>
        <item x="846"/>
        <item x="847"/>
        <item x="848"/>
        <item x="849"/>
        <item x="850"/>
        <item x="851"/>
        <item x="852"/>
        <item x="853"/>
        <item x="854"/>
        <item x="855"/>
        <item x="249"/>
        <item x="1164"/>
        <item x="1165"/>
        <item x="1166"/>
        <item x="185"/>
        <item x="186"/>
        <item x="209"/>
        <item x="210"/>
        <item x="211"/>
        <item x="212"/>
        <item x="1206"/>
        <item x="213"/>
        <item x="214"/>
        <item x="215"/>
        <item x="216"/>
        <item x="34"/>
        <item x="41"/>
        <item x="594"/>
        <item x="595"/>
        <item x="596"/>
        <item x="33"/>
        <item x="42"/>
        <item x="36"/>
        <item x="37"/>
        <item x="30"/>
        <item x="43"/>
        <item x="32"/>
        <item x="597"/>
        <item x="38"/>
        <item x="39"/>
        <item x="29"/>
        <item x="27"/>
        <item x="26"/>
        <item x="31"/>
        <item x="28"/>
        <item x="52"/>
        <item x="54"/>
        <item x="53"/>
        <item x="654"/>
        <item x="1230"/>
        <item x="127"/>
        <item x="247"/>
        <item x="126"/>
        <item x="128"/>
        <item x="655"/>
        <item x="656"/>
        <item x="657"/>
        <item x="1175"/>
        <item x="1176"/>
        <item x="1177"/>
        <item x="116"/>
        <item x="1178"/>
        <item x="1179"/>
        <item x="114"/>
        <item x="117"/>
        <item x="118"/>
        <item x="84"/>
        <item x="859"/>
        <item x="952"/>
        <item x="860"/>
        <item x="85"/>
        <item x="86"/>
        <item x="861"/>
        <item x="81"/>
        <item x="862"/>
        <item x="863"/>
        <item x="83"/>
        <item x="82"/>
        <item x="864"/>
        <item x="1244"/>
        <item x="1245"/>
        <item x="1246"/>
        <item x="1247"/>
        <item x="1081"/>
        <item x="1082"/>
        <item x="189"/>
        <item x="190"/>
        <item x="40"/>
        <item x="791"/>
        <item x="797"/>
        <item x="962"/>
        <item x="963"/>
        <item x="964"/>
        <item x="998"/>
        <item x="999"/>
        <item x="1000"/>
        <item x="145"/>
        <item x="138"/>
        <item x="140"/>
        <item x="141"/>
        <item x="146"/>
        <item x="142"/>
        <item x="143"/>
        <item x="144"/>
        <item x="135"/>
        <item x="139"/>
        <item x="136"/>
        <item x="285"/>
        <item x="1085"/>
        <item x="286"/>
        <item x="287"/>
        <item x="288"/>
        <item x="289"/>
        <item x="290"/>
        <item x="291"/>
        <item x="1235"/>
        <item x="739"/>
        <item x="1156"/>
        <item x="1137"/>
        <item x="1241"/>
        <item x="510"/>
        <item x="511"/>
        <item x="732"/>
        <item x="733"/>
        <item x="530"/>
        <item x="1167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352"/>
        <item x="353"/>
        <item x="354"/>
        <item x="1079"/>
        <item x="80"/>
        <item x="724"/>
        <item x="953"/>
        <item x="843"/>
        <item x="1275"/>
        <item x="16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5">
    <field x="13"/>
    <field x="14"/>
    <field x="10"/>
    <field x="7"/>
    <field x="4"/>
  </rowFields>
  <rowItems count="1782">
    <i>
      <x/>
      <x v="1288"/>
      <x v="202"/>
      <x v="1"/>
      <x v="2"/>
    </i>
    <i>
      <x v="1"/>
      <x v="1166"/>
      <x v="49"/>
      <x v="3"/>
      <x v="1"/>
    </i>
    <i>
      <x v="2"/>
      <x v="1347"/>
      <x v="190"/>
      <x v="5"/>
      <x v="1"/>
    </i>
    <i>
      <x v="3"/>
      <x v="472"/>
      <x v="87"/>
      <x v="4"/>
      <x v="3"/>
    </i>
    <i>
      <x v="4"/>
      <x v="475"/>
      <x v="84"/>
      <x v="4"/>
      <x v="3"/>
    </i>
    <i r="1">
      <x v="724"/>
      <x v="200"/>
      <x v="11"/>
      <x v="1"/>
    </i>
    <i>
      <x v="5"/>
      <x v="553"/>
      <x v="87"/>
      <x v="4"/>
      <x v="3"/>
    </i>
    <i>
      <x v="6"/>
      <x v="734"/>
      <x v="300"/>
      <x v="11"/>
      <x v="1"/>
    </i>
    <i>
      <x v="7"/>
      <x v="994"/>
      <x v="56"/>
      <x v="5"/>
      <x v="1"/>
    </i>
    <i>
      <x v="8"/>
      <x v="942"/>
      <x v="273"/>
      <x v="3"/>
      <x v="1"/>
    </i>
    <i>
      <x v="9"/>
      <x v="1005"/>
      <x v="190"/>
      <x v="3"/>
      <x v="1"/>
    </i>
    <i>
      <x v="10"/>
      <x v="1347"/>
      <x v="287"/>
      <x v="10"/>
      <x v="1"/>
    </i>
    <i>
      <x v="11"/>
      <x v="1062"/>
      <x v="242"/>
      <x v="10"/>
      <x v="1"/>
    </i>
    <i>
      <x v="12"/>
      <x v="1096"/>
      <x v="56"/>
      <x v="3"/>
      <x v="1"/>
    </i>
    <i>
      <x v="13"/>
      <x v="1347"/>
      <x v="229"/>
      <x v="3"/>
      <x v="1"/>
    </i>
    <i>
      <x v="14"/>
      <x v="199"/>
      <x v="208"/>
      <x v="30"/>
      <x v="4"/>
    </i>
    <i>
      <x v="15"/>
      <x v="1056"/>
      <x v="2"/>
      <x v="10"/>
      <x v="1"/>
    </i>
    <i>
      <x v="16"/>
      <x v="1347"/>
      <x v="2"/>
      <x v="10"/>
      <x v="1"/>
    </i>
    <i>
      <x v="17"/>
      <x v="440"/>
      <x v="35"/>
      <x v="4"/>
      <x v="3"/>
    </i>
    <i r="1">
      <x v="705"/>
      <x v="122"/>
      <x v="26"/>
      <x v="3"/>
    </i>
    <i>
      <x v="18"/>
      <x v="488"/>
      <x v="226"/>
      <x v="4"/>
      <x v="3"/>
    </i>
    <i>
      <x v="19"/>
      <x v="1256"/>
      <x v="270"/>
      <x v="1"/>
      <x v="2"/>
    </i>
    <i>
      <x v="20"/>
      <x v="644"/>
      <x v="185"/>
      <x v="4"/>
      <x v="3"/>
    </i>
    <i>
      <x v="21"/>
      <x v="189"/>
      <x v="23"/>
      <x v="30"/>
      <x v="4"/>
    </i>
    <i>
      <x v="22"/>
      <x v="5"/>
      <x v="232"/>
      <x v="19"/>
      <x v="8"/>
    </i>
    <i>
      <x v="23"/>
      <x v="652"/>
      <x v="67"/>
      <x v="4"/>
      <x v="3"/>
    </i>
    <i>
      <x v="24"/>
      <x v="21"/>
      <x v="178"/>
      <x v="16"/>
      <x v="8"/>
    </i>
    <i>
      <x v="25"/>
      <x v="250"/>
      <x v="145"/>
      <x v="12"/>
      <x v="3"/>
    </i>
    <i>
      <x v="26"/>
      <x v="258"/>
      <x v="55"/>
      <x v="30"/>
      <x v="4"/>
    </i>
    <i>
      <x v="27"/>
      <x v="762"/>
      <x v="234"/>
      <x v="11"/>
      <x v="1"/>
    </i>
    <i>
      <x v="28"/>
      <x v="684"/>
      <x v="67"/>
      <x v="4"/>
      <x v="3"/>
    </i>
    <i>
      <x v="29"/>
      <x v="1086"/>
      <x v="137"/>
      <x v="10"/>
      <x v="1"/>
    </i>
    <i>
      <x v="30"/>
      <x v="105"/>
      <x v="4"/>
      <x v="14"/>
      <x v="4"/>
    </i>
    <i r="1">
      <x v="620"/>
      <x v="168"/>
      <x v="4"/>
      <x v="3"/>
    </i>
    <i>
      <x v="31"/>
      <x v="245"/>
      <x v="9"/>
      <x v="16"/>
      <x v="8"/>
    </i>
    <i>
      <x v="32"/>
      <x v="99"/>
      <x v="6"/>
      <x v="14"/>
      <x v="4"/>
    </i>
    <i>
      <x v="33"/>
      <x v="352"/>
      <x v="42"/>
      <x v="4"/>
      <x v="3"/>
    </i>
    <i>
      <x v="34"/>
      <x v="1347"/>
      <x v="67"/>
      <x v="4"/>
      <x v="3"/>
    </i>
    <i>
      <x v="35"/>
      <x v="648"/>
      <x v="67"/>
      <x v="4"/>
      <x v="3"/>
    </i>
    <i>
      <x v="36"/>
      <x v="414"/>
      <x v="42"/>
      <x v="4"/>
      <x v="3"/>
    </i>
    <i>
      <x v="37"/>
      <x v="280"/>
      <x v="6"/>
      <x v="14"/>
      <x v="4"/>
    </i>
    <i>
      <x v="38"/>
      <x v="20"/>
      <x v="178"/>
      <x v="16"/>
      <x v="8"/>
    </i>
    <i r="1">
      <x v="100"/>
      <x v="152"/>
      <x v="14"/>
      <x v="4"/>
    </i>
    <i>
      <x v="39"/>
      <x v="70"/>
      <x v="186"/>
      <x v="14"/>
      <x v="4"/>
    </i>
    <i>
      <x v="40"/>
      <x v="1347"/>
      <x v="190"/>
      <x v="5"/>
      <x v="1"/>
    </i>
    <i>
      <x v="41"/>
      <x v="842"/>
      <x v="157"/>
      <x v="3"/>
      <x v="1"/>
    </i>
    <i>
      <x v="42"/>
      <x v="816"/>
      <x v="240"/>
      <x v="27"/>
      <x v="1"/>
    </i>
    <i>
      <x v="43"/>
      <x v="1347"/>
      <x v="7"/>
      <x v="3"/>
      <x v="1"/>
    </i>
    <i>
      <x v="44"/>
      <x v="876"/>
      <x v="7"/>
      <x v="3"/>
      <x v="1"/>
    </i>
    <i>
      <x v="45"/>
      <x v="38"/>
      <x v="218"/>
      <x v="16"/>
      <x v="8"/>
    </i>
    <i>
      <x v="46"/>
      <x v="175"/>
      <x v="82"/>
      <x v="12"/>
      <x v="3"/>
    </i>
    <i>
      <x v="47"/>
      <x v="981"/>
      <x v="60"/>
      <x v="3"/>
      <x v="1"/>
    </i>
    <i>
      <x v="48"/>
      <x v="439"/>
      <x v="35"/>
      <x v="4"/>
      <x v="3"/>
    </i>
    <i>
      <x v="49"/>
      <x v="1210"/>
      <x v="266"/>
      <x v="13"/>
      <x v="2"/>
    </i>
    <i>
      <x v="50"/>
      <x v="1017"/>
      <x v="255"/>
      <x v="10"/>
      <x v="1"/>
    </i>
    <i>
      <x v="51"/>
      <x v="207"/>
      <x v="28"/>
      <x v="30"/>
      <x v="4"/>
    </i>
    <i>
      <x v="52"/>
      <x v="392"/>
      <x v="65"/>
      <x v="12"/>
      <x v="3"/>
    </i>
    <i>
      <x v="53"/>
      <x v="1"/>
      <x v="240"/>
      <x v="27"/>
      <x v="1"/>
    </i>
    <i r="1">
      <x v="972"/>
      <x v="97"/>
      <x v="5"/>
      <x v="1"/>
    </i>
    <i>
      <x v="54"/>
      <x v="1347"/>
      <x v="97"/>
      <x v="5"/>
      <x v="1"/>
    </i>
    <i>
      <x v="55"/>
      <x v="909"/>
      <x v="230"/>
      <x v="3"/>
      <x v="1"/>
    </i>
    <i>
      <x v="56"/>
      <x v="820"/>
      <x v="101"/>
      <x v="27"/>
      <x v="1"/>
    </i>
    <i>
      <x v="57"/>
      <x v="1347"/>
      <x v="190"/>
      <x v="5"/>
      <x v="1"/>
    </i>
    <i>
      <x v="58"/>
      <x v="1245"/>
      <x v="131"/>
      <x v="10"/>
      <x v="1"/>
    </i>
    <i>
      <x v="59"/>
      <x v="50"/>
      <x v="70"/>
      <x v="10"/>
      <x v="1"/>
    </i>
    <i>
      <x v="60"/>
      <x v="577"/>
      <x v="323"/>
      <x v="4"/>
      <x v="3"/>
    </i>
    <i>
      <x v="61"/>
      <x v="1347"/>
      <x v="267"/>
      <x v="12"/>
      <x v="3"/>
    </i>
    <i>
      <x v="62"/>
      <x v="757"/>
      <x v="194"/>
      <x v="11"/>
      <x v="1"/>
    </i>
    <i>
      <x v="63"/>
      <x v="326"/>
      <x v="231"/>
      <x v="12"/>
      <x v="3"/>
    </i>
    <i>
      <x v="64"/>
      <x v="505"/>
      <x v="155"/>
      <x v="4"/>
      <x v="3"/>
    </i>
    <i>
      <x v="65"/>
      <x v="1347"/>
      <x v="155"/>
      <x v="4"/>
      <x v="3"/>
    </i>
    <i>
      <x v="66"/>
      <x v="351"/>
      <x v="244"/>
      <x v="12"/>
      <x v="3"/>
    </i>
    <i>
      <x v="67"/>
      <x v="499"/>
      <x v="87"/>
      <x v="4"/>
      <x v="3"/>
    </i>
    <i r="1">
      <x v="1340"/>
      <x v="42"/>
      <x v="4"/>
      <x v="3"/>
    </i>
    <i>
      <x v="68"/>
      <x v="46"/>
      <x v="178"/>
      <x v="16"/>
      <x v="8"/>
    </i>
    <i>
      <x v="69"/>
      <x v="242"/>
      <x v="10"/>
      <x v="28"/>
      <x v="4"/>
    </i>
    <i>
      <x v="70"/>
      <x v="225"/>
      <x v="107"/>
      <x v="9"/>
      <x v="4"/>
    </i>
    <i r="1">
      <x v="400"/>
      <x v="278"/>
      <x v="12"/>
      <x v="3"/>
    </i>
    <i r="1">
      <x v="857"/>
      <x v="11"/>
      <x v="10"/>
      <x v="1"/>
    </i>
    <i r="1">
      <x v="1076"/>
      <x v="125"/>
      <x v="10"/>
      <x v="1"/>
    </i>
    <i r="1">
      <x v="1264"/>
      <x v="176"/>
      <x v="1"/>
      <x v="2"/>
    </i>
    <i>
      <x v="71"/>
      <x v="1347"/>
      <x v="2"/>
      <x v="10"/>
      <x v="1"/>
    </i>
    <i>
      <x v="72"/>
      <x v="1347"/>
      <x v="278"/>
      <x v="12"/>
      <x v="3"/>
    </i>
    <i>
      <x v="73"/>
      <x v="441"/>
      <x v="35"/>
      <x v="4"/>
      <x v="3"/>
    </i>
    <i>
      <x v="74"/>
      <x v="615"/>
      <x v="54"/>
      <x v="4"/>
      <x v="3"/>
    </i>
    <i r="1">
      <x v="1178"/>
      <x v="127"/>
      <x v="13"/>
      <x v="2"/>
    </i>
    <i r="1">
      <x v="1250"/>
      <x v="291"/>
      <x v="1"/>
      <x v="2"/>
    </i>
    <i>
      <x v="75"/>
      <x v="1199"/>
      <x v="174"/>
      <x v="13"/>
      <x v="2"/>
    </i>
    <i>
      <x v="76"/>
      <x v="1006"/>
      <x v="190"/>
      <x v="3"/>
      <x v="1"/>
    </i>
    <i>
      <x v="77"/>
      <x v="1324"/>
      <x v="89"/>
      <x v="4"/>
      <x v="3"/>
    </i>
    <i>
      <x v="78"/>
      <x v="158"/>
      <x v="163"/>
      <x v="28"/>
      <x v="4"/>
    </i>
    <i>
      <x v="79"/>
      <x v="1283"/>
      <x v="14"/>
      <x v="10"/>
      <x v="1"/>
    </i>
    <i>
      <x v="80"/>
      <x v="1347"/>
      <x v="15"/>
      <x v="11"/>
      <x v="1"/>
    </i>
    <i>
      <x v="81"/>
      <x v="268"/>
      <x v="323"/>
      <x v="4"/>
      <x v="3"/>
    </i>
    <i r="1">
      <x v="506"/>
      <x v="155"/>
      <x v="4"/>
      <x v="3"/>
    </i>
    <i r="1">
      <x v="1347"/>
      <x v="155"/>
      <x v="4"/>
      <x v="3"/>
    </i>
    <i>
      <x v="82"/>
      <x v="657"/>
      <x v="128"/>
      <x v="4"/>
      <x v="3"/>
    </i>
    <i>
      <x v="83"/>
      <x v="1149"/>
      <x v="134"/>
      <x v="13"/>
      <x v="2"/>
    </i>
    <i>
      <x v="84"/>
      <x v="310"/>
      <x v="16"/>
      <x v="12"/>
      <x v="3"/>
    </i>
    <i>
      <x v="85"/>
      <x v="307"/>
      <x v="16"/>
      <x v="12"/>
      <x v="3"/>
    </i>
    <i>
      <x v="86"/>
      <x v="304"/>
      <x v="16"/>
      <x v="12"/>
      <x v="3"/>
    </i>
    <i>
      <x v="87"/>
      <x v="311"/>
      <x v="16"/>
      <x v="12"/>
      <x v="3"/>
    </i>
    <i>
      <x v="88"/>
      <x v="811"/>
      <x v="17"/>
      <x v="3"/>
      <x v="1"/>
    </i>
    <i>
      <x v="89"/>
      <x v="748"/>
      <x v="300"/>
      <x v="11"/>
      <x v="1"/>
    </i>
    <i>
      <x v="90"/>
      <x v="827"/>
      <x v="39"/>
      <x v="3"/>
      <x v="1"/>
    </i>
    <i>
      <x v="91"/>
      <x v="249"/>
      <x v="241"/>
      <x v="3"/>
      <x v="1"/>
    </i>
    <i>
      <x v="92"/>
      <x v="9"/>
      <x v="18"/>
      <x v="17"/>
      <x v="8"/>
    </i>
    <i>
      <x v="93"/>
      <x v="614"/>
      <x v="168"/>
      <x v="4"/>
      <x v="3"/>
    </i>
    <i>
      <x v="94"/>
      <x v="973"/>
      <x v="60"/>
      <x v="3"/>
      <x v="1"/>
    </i>
    <i>
      <x v="95"/>
      <x v="237"/>
      <x v="226"/>
      <x v="4"/>
      <x v="3"/>
    </i>
    <i>
      <x v="96"/>
      <x v="1024"/>
      <x v="77"/>
      <x v="10"/>
      <x v="1"/>
    </i>
    <i>
      <x v="97"/>
      <x v="1209"/>
      <x v="266"/>
      <x v="13"/>
      <x v="2"/>
    </i>
    <i>
      <x v="98"/>
      <x v="371"/>
      <x v="82"/>
      <x v="12"/>
      <x v="3"/>
    </i>
    <i r="1">
      <x v="507"/>
      <x v="155"/>
      <x v="4"/>
      <x v="3"/>
    </i>
    <i>
      <x v="99"/>
      <x v="501"/>
      <x v="87"/>
      <x v="4"/>
      <x v="3"/>
    </i>
    <i>
      <x v="100"/>
      <x v="1123"/>
      <x v="204"/>
      <x v="19"/>
      <x v="8"/>
    </i>
    <i r="1">
      <x v="1347"/>
      <x v="204"/>
      <x v="19"/>
      <x v="8"/>
    </i>
    <i>
      <x v="101"/>
      <x v="81"/>
      <x v="178"/>
      <x v="16"/>
      <x v="8"/>
    </i>
    <i>
      <x v="102"/>
      <x v="243"/>
      <x v="202"/>
      <x v="1"/>
      <x v="2"/>
    </i>
    <i r="1">
      <x v="1347"/>
      <x v="202"/>
      <x v="1"/>
      <x v="2"/>
    </i>
    <i>
      <x v="103"/>
      <x v="56"/>
      <x v="162"/>
      <x v="14"/>
      <x v="4"/>
    </i>
    <i>
      <x v="104"/>
      <x v="269"/>
      <x v="137"/>
      <x v="10"/>
      <x v="1"/>
    </i>
    <i>
      <x v="105"/>
      <x v="826"/>
      <x v="39"/>
      <x v="3"/>
      <x v="1"/>
    </i>
    <i>
      <x v="106"/>
      <x v="32"/>
      <x v="31"/>
      <x v="16"/>
      <x v="8"/>
    </i>
    <i>
      <x v="107"/>
      <x v="42"/>
      <x v="30"/>
      <x v="16"/>
      <x v="8"/>
    </i>
    <i>
      <x v="108"/>
      <x v="180"/>
      <x v="275"/>
      <x v="21"/>
      <x v="4"/>
    </i>
    <i>
      <x v="109"/>
      <x v="559"/>
      <x v="169"/>
      <x v="4"/>
      <x v="3"/>
    </i>
    <i>
      <x v="110"/>
      <x v="573"/>
      <x v="68"/>
      <x v="4"/>
      <x v="3"/>
    </i>
    <i>
      <x v="111"/>
      <x v="86"/>
      <x v="25"/>
      <x v="14"/>
      <x v="4"/>
    </i>
    <i>
      <x v="112"/>
      <x v="1347"/>
      <x v="237"/>
      <x v="19"/>
      <x v="8"/>
    </i>
    <i>
      <x v="113"/>
      <x v="24"/>
      <x v="178"/>
      <x v="16"/>
      <x v="8"/>
    </i>
    <i>
      <x v="114"/>
      <x v="417"/>
      <x v="42"/>
      <x v="4"/>
      <x v="3"/>
    </i>
    <i>
      <x v="115"/>
      <x v="241"/>
      <x v="218"/>
      <x v="16"/>
      <x v="8"/>
    </i>
    <i>
      <x v="116"/>
      <x v="206"/>
      <x v="28"/>
      <x v="30"/>
      <x v="4"/>
    </i>
    <i>
      <x v="117"/>
      <x v="89"/>
      <x v="29"/>
      <x v="14"/>
      <x v="4"/>
    </i>
    <i r="1">
      <x v="197"/>
      <x v="208"/>
      <x v="30"/>
      <x v="4"/>
    </i>
    <i r="1">
      <x v="1016"/>
      <x v="255"/>
      <x v="10"/>
      <x v="1"/>
    </i>
    <i>
      <x v="118"/>
      <x v="252"/>
      <x v="305"/>
      <x v="19"/>
      <x v="8"/>
    </i>
    <i>
      <x v="119"/>
      <x v="1347"/>
      <x v="305"/>
      <x v="19"/>
      <x v="8"/>
    </i>
    <i>
      <x v="120"/>
      <x v="16"/>
      <x v="178"/>
      <x v="16"/>
      <x v="8"/>
    </i>
    <i>
      <x v="121"/>
      <x v="104"/>
      <x v="297"/>
      <x v="14"/>
      <x v="4"/>
    </i>
    <i>
      <x v="122"/>
      <x v="186"/>
      <x v="215"/>
      <x v="30"/>
      <x v="4"/>
    </i>
    <i r="1">
      <x v="214"/>
      <x v="187"/>
      <x v="30"/>
      <x v="4"/>
    </i>
    <i>
      <x v="123"/>
      <x v="36"/>
      <x v="236"/>
      <x v="16"/>
      <x v="8"/>
    </i>
    <i>
      <x v="124"/>
      <x v="727"/>
      <x v="132"/>
      <x v="11"/>
      <x v="1"/>
    </i>
    <i>
      <x v="125"/>
      <x v="710"/>
      <x v="153"/>
      <x v="26"/>
      <x v="3"/>
    </i>
    <i>
      <x v="126"/>
      <x v="1347"/>
      <x v="68"/>
      <x v="4"/>
      <x v="3"/>
    </i>
    <i>
      <x v="127"/>
      <x v="683"/>
      <x v="67"/>
      <x v="4"/>
      <x v="3"/>
    </i>
    <i>
      <x v="128"/>
      <x v="1127"/>
      <x v="39"/>
      <x v="3"/>
      <x v="1"/>
    </i>
    <i>
      <x v="129"/>
      <x v="1347"/>
      <x v="67"/>
      <x v="4"/>
      <x v="3"/>
    </i>
    <i>
      <x v="130"/>
      <x v="821"/>
      <x v="101"/>
      <x v="27"/>
      <x v="1"/>
    </i>
    <i r="1">
      <x v="888"/>
      <x v="32"/>
      <x v="3"/>
      <x v="1"/>
    </i>
    <i>
      <x v="131"/>
      <x v="1347"/>
      <x v="180"/>
      <x v="27"/>
      <x v="1"/>
    </i>
    <i>
      <x v="132"/>
      <x v="702"/>
      <x v="117"/>
      <x v="9"/>
      <x v="4"/>
    </i>
    <i r="1">
      <x v="1347"/>
      <x v="255"/>
      <x v="10"/>
      <x v="1"/>
    </i>
    <i>
      <x v="133"/>
      <x v="931"/>
      <x v="33"/>
      <x v="3"/>
      <x v="1"/>
    </i>
    <i>
      <x v="134"/>
      <x v="990"/>
      <x v="56"/>
      <x v="5"/>
      <x v="1"/>
    </i>
    <i r="1">
      <x v="993"/>
      <x v="56"/>
      <x v="3"/>
      <x v="1"/>
    </i>
    <i r="1">
      <x v="1088"/>
      <x v="137"/>
      <x v="10"/>
      <x v="1"/>
    </i>
    <i>
      <x v="135"/>
      <x v="1347"/>
      <x v="56"/>
      <x v="5"/>
      <x v="1"/>
    </i>
    <i>
      <x v="136"/>
      <x v="606"/>
      <x v="168"/>
      <x v="4"/>
      <x v="3"/>
    </i>
    <i r="1">
      <x v="618"/>
      <x v="168"/>
      <x v="4"/>
      <x v="3"/>
    </i>
    <i>
      <x v="137"/>
      <x v="153"/>
      <x v="34"/>
      <x v="28"/>
      <x v="4"/>
    </i>
    <i r="1">
      <x v="1202"/>
      <x v="174"/>
      <x v="13"/>
      <x v="2"/>
    </i>
    <i>
      <x v="138"/>
      <x v="760"/>
      <x v="212"/>
      <x v="10"/>
      <x v="1"/>
    </i>
    <i>
      <x v="139"/>
      <x v="861"/>
      <x v="73"/>
      <x v="3"/>
      <x v="1"/>
    </i>
    <i>
      <x v="140"/>
      <x v="1128"/>
      <x v="39"/>
      <x v="3"/>
      <x v="1"/>
    </i>
    <i>
      <x v="141"/>
      <x v="862"/>
      <x v="73"/>
      <x v="3"/>
      <x v="1"/>
    </i>
    <i r="1">
      <x v="1347"/>
      <x v="74"/>
      <x v="3"/>
      <x v="1"/>
    </i>
    <i>
      <x v="142"/>
      <x v="933"/>
      <x v="17"/>
      <x v="3"/>
      <x v="1"/>
    </i>
    <i>
      <x v="143"/>
      <x v="1347"/>
      <x v="68"/>
      <x v="4"/>
      <x v="3"/>
    </i>
    <i>
      <x v="144"/>
      <x v="438"/>
      <x v="35"/>
      <x v="4"/>
      <x v="3"/>
    </i>
    <i>
      <x v="145"/>
      <x v="447"/>
      <x v="35"/>
      <x v="4"/>
      <x v="3"/>
    </i>
    <i>
      <x v="146"/>
      <x v="330"/>
      <x v="231"/>
      <x v="12"/>
      <x v="3"/>
    </i>
    <i r="1">
      <x v="841"/>
      <x v="157"/>
      <x v="3"/>
      <x v="1"/>
    </i>
    <i>
      <x v="147"/>
      <x v="1000"/>
      <x v="190"/>
      <x v="3"/>
      <x v="1"/>
    </i>
    <i>
      <x v="148"/>
      <x v="945"/>
      <x v="273"/>
      <x v="3"/>
      <x v="1"/>
    </i>
    <i>
      <x v="149"/>
      <x v="580"/>
      <x v="323"/>
      <x v="4"/>
      <x v="3"/>
    </i>
    <i>
      <x v="150"/>
      <x v="802"/>
      <x v="260"/>
      <x v="27"/>
      <x v="1"/>
    </i>
    <i>
      <x v="151"/>
      <x v="78"/>
      <x v="47"/>
      <x v="14"/>
      <x v="4"/>
    </i>
    <i>
      <x v="152"/>
      <x v="1097"/>
      <x v="56"/>
      <x v="3"/>
      <x v="1"/>
    </i>
    <i>
      <x v="153"/>
      <x v="285"/>
      <x v="145"/>
      <x v="12"/>
      <x v="3"/>
    </i>
    <i>
      <x v="154"/>
      <x v="658"/>
      <x v="128"/>
      <x v="4"/>
      <x v="3"/>
    </i>
    <i>
      <x v="155"/>
      <x v="997"/>
      <x v="40"/>
      <x v="3"/>
      <x v="1"/>
    </i>
    <i>
      <x v="156"/>
      <x v="1291"/>
      <x v="225"/>
      <x v="1"/>
      <x v="2"/>
    </i>
    <i>
      <x v="157"/>
      <x v="779"/>
      <x v="118"/>
      <x v="11"/>
      <x v="1"/>
    </i>
    <i>
      <x v="158"/>
      <x v="1251"/>
      <x v="131"/>
      <x v="10"/>
      <x v="1"/>
    </i>
    <i>
      <x v="159"/>
      <x v="1146"/>
      <x v="179"/>
      <x v="3"/>
      <x v="1"/>
    </i>
    <i>
      <x v="160"/>
      <x v="904"/>
      <x v="230"/>
      <x v="3"/>
      <x v="1"/>
    </i>
    <i>
      <x v="161"/>
      <x v="407"/>
      <x v="137"/>
      <x v="10"/>
      <x v="1"/>
    </i>
    <i>
      <x v="162"/>
      <x v="1198"/>
      <x v="174"/>
      <x v="13"/>
      <x v="2"/>
    </i>
    <i>
      <x v="163"/>
      <x v="376"/>
      <x v="82"/>
      <x v="12"/>
      <x v="3"/>
    </i>
    <i>
      <x v="164"/>
      <x v="412"/>
      <x v="42"/>
      <x v="4"/>
      <x v="3"/>
    </i>
    <i r="1">
      <x v="1347"/>
      <x v="41"/>
      <x v="4"/>
      <x v="3"/>
    </i>
    <i>
      <x v="165"/>
      <x v="301"/>
      <x v="136"/>
      <x v="12"/>
      <x v="3"/>
    </i>
    <i>
      <x v="166"/>
      <x v="467"/>
      <x v="84"/>
      <x v="4"/>
      <x v="3"/>
    </i>
    <i>
      <x v="167"/>
      <x v="1347"/>
      <x v="2"/>
      <x v="10"/>
      <x v="1"/>
    </i>
    <i>
      <x v="168"/>
      <x v="1032"/>
      <x v="141"/>
      <x v="10"/>
      <x v="1"/>
    </i>
    <i>
      <x v="169"/>
      <x v="1057"/>
      <x v="2"/>
      <x v="10"/>
      <x v="1"/>
    </i>
    <i>
      <x v="170"/>
      <x v="33"/>
      <x v="31"/>
      <x v="16"/>
      <x v="8"/>
    </i>
    <i>
      <x v="171"/>
      <x v="288"/>
      <x v="145"/>
      <x v="12"/>
      <x v="3"/>
    </i>
    <i>
      <x v="172"/>
      <x v="240"/>
      <x v="302"/>
      <x v="19"/>
      <x v="8"/>
    </i>
    <i>
      <x v="173"/>
      <x v="119"/>
      <x v="43"/>
      <x v="28"/>
      <x v="4"/>
    </i>
    <i r="1">
      <x v="375"/>
      <x v="113"/>
      <x v="12"/>
      <x v="3"/>
    </i>
    <i>
      <x v="174"/>
      <x v="135"/>
      <x v="46"/>
      <x v="28"/>
      <x v="4"/>
    </i>
    <i r="1">
      <x v="191"/>
      <x v="205"/>
      <x v="30"/>
      <x v="4"/>
    </i>
    <i>
      <x v="175"/>
      <x v="174"/>
      <x v="64"/>
      <x v="21"/>
      <x v="4"/>
    </i>
    <i>
      <x v="176"/>
      <x v="35"/>
      <x v="9"/>
      <x v="16"/>
      <x v="8"/>
    </i>
    <i>
      <x v="177"/>
      <x v="1295"/>
      <x v="310"/>
      <x v="1"/>
      <x v="2"/>
    </i>
    <i>
      <x v="178"/>
      <x v="1306"/>
      <x v="35"/>
      <x v="4"/>
      <x v="3"/>
    </i>
    <i>
      <x v="179"/>
      <x v="1279"/>
      <x v="298"/>
      <x v="1"/>
      <x v="2"/>
    </i>
    <i>
      <x v="180"/>
      <x v="755"/>
      <x v="194"/>
      <x v="11"/>
      <x v="1"/>
    </i>
    <i r="1">
      <x v="1013"/>
      <x v="179"/>
      <x v="3"/>
      <x v="1"/>
    </i>
    <i>
      <x v="181"/>
      <x v="890"/>
      <x v="33"/>
      <x v="3"/>
      <x v="1"/>
    </i>
    <i>
      <x v="182"/>
      <x v="1347"/>
      <x v="2"/>
      <x v="10"/>
      <x v="1"/>
    </i>
    <i>
      <x v="183"/>
      <x v="642"/>
      <x v="185"/>
      <x v="4"/>
      <x v="3"/>
    </i>
    <i>
      <x v="184"/>
      <x v="77"/>
      <x v="47"/>
      <x v="14"/>
      <x v="4"/>
    </i>
    <i>
      <x v="185"/>
      <x v="763"/>
      <x v="234"/>
      <x v="11"/>
      <x v="1"/>
    </i>
    <i>
      <x v="186"/>
      <x v="1244"/>
      <x v="138"/>
      <x v="1"/>
      <x v="2"/>
    </i>
    <i>
      <x v="187"/>
      <x v="1103"/>
      <x v="54"/>
      <x v="4"/>
      <x v="3"/>
    </i>
    <i>
      <x v="188"/>
      <x v="309"/>
      <x v="14"/>
      <x v="10"/>
      <x v="1"/>
    </i>
    <i>
      <x v="189"/>
      <x v="589"/>
      <x v="140"/>
      <x v="4"/>
      <x v="3"/>
    </i>
    <i>
      <x v="190"/>
      <x v="60"/>
      <x v="92"/>
      <x v="14"/>
      <x v="4"/>
    </i>
    <i>
      <x v="191"/>
      <x v="610"/>
      <x v="168"/>
      <x v="4"/>
      <x v="3"/>
    </i>
    <i r="1">
      <x v="1102"/>
      <x v="137"/>
      <x v="10"/>
      <x v="1"/>
    </i>
    <i>
      <x v="192"/>
      <x v="370"/>
      <x v="82"/>
      <x v="12"/>
      <x v="3"/>
    </i>
    <i>
      <x v="193"/>
      <x v="602"/>
      <x v="54"/>
      <x v="4"/>
      <x v="3"/>
    </i>
    <i>
      <x v="194"/>
      <x v="1104"/>
      <x v="54"/>
      <x v="4"/>
      <x v="3"/>
    </i>
    <i r="1">
      <x v="1347"/>
      <x v="54"/>
      <x v="4"/>
      <x v="3"/>
    </i>
    <i>
      <x v="195"/>
      <x v="1124"/>
      <x v="273"/>
      <x v="3"/>
      <x v="1"/>
    </i>
    <i>
      <x v="196"/>
      <x v="941"/>
      <x v="273"/>
      <x v="3"/>
      <x v="1"/>
    </i>
    <i>
      <x v="197"/>
      <x v="946"/>
      <x v="273"/>
      <x v="3"/>
      <x v="1"/>
    </i>
    <i>
      <x v="198"/>
      <x v="739"/>
      <x v="300"/>
      <x v="11"/>
      <x v="1"/>
    </i>
    <i>
      <x v="199"/>
      <x v="1347"/>
      <x v="209"/>
      <x v="11"/>
      <x v="1"/>
    </i>
    <i>
      <x v="200"/>
      <x v="327"/>
      <x v="231"/>
      <x v="12"/>
      <x v="3"/>
    </i>
    <i>
      <x v="201"/>
      <x v="1060"/>
      <x v="49"/>
      <x v="13"/>
      <x v="2"/>
    </i>
    <i>
      <x v="202"/>
      <x v="466"/>
      <x v="89"/>
      <x v="4"/>
      <x v="3"/>
    </i>
    <i>
      <x v="203"/>
      <x v="1325"/>
      <x v="89"/>
      <x v="4"/>
      <x v="3"/>
    </i>
    <i>
      <x v="204"/>
      <x v="721"/>
      <x v="154"/>
      <x v="12"/>
      <x v="3"/>
    </i>
    <i>
      <x v="205"/>
      <x v="453"/>
      <x v="35"/>
      <x v="4"/>
      <x v="3"/>
    </i>
    <i>
      <x v="206"/>
      <x v="181"/>
      <x v="326"/>
      <x v="30"/>
      <x v="4"/>
    </i>
    <i>
      <x v="207"/>
      <x v="886"/>
      <x v="32"/>
      <x v="3"/>
      <x v="1"/>
    </i>
    <i>
      <x v="208"/>
      <x v="980"/>
      <x v="60"/>
      <x v="3"/>
      <x v="1"/>
    </i>
    <i>
      <x v="209"/>
      <x v="1347"/>
      <x v="97"/>
      <x v="5"/>
      <x v="1"/>
    </i>
    <i>
      <x v="210"/>
      <x v="970"/>
      <x v="97"/>
      <x v="5"/>
      <x v="1"/>
    </i>
    <i>
      <x v="211"/>
      <x v="1268"/>
      <x v="176"/>
      <x v="1"/>
      <x v="2"/>
    </i>
    <i>
      <x v="212"/>
      <x v="80"/>
      <x v="171"/>
      <x v="14"/>
      <x v="4"/>
    </i>
    <i>
      <x v="213"/>
      <x v="123"/>
      <x v="304"/>
      <x v="28"/>
      <x v="4"/>
    </i>
    <i>
      <x v="214"/>
      <x v="560"/>
      <x v="169"/>
      <x v="4"/>
      <x v="3"/>
    </i>
    <i>
      <x v="215"/>
      <x v="745"/>
      <x v="300"/>
      <x v="11"/>
      <x v="1"/>
    </i>
    <i>
      <x v="216"/>
      <x v="758"/>
      <x v="194"/>
      <x v="11"/>
      <x v="1"/>
    </i>
    <i>
      <x v="217"/>
      <x v="263"/>
      <x v="288"/>
      <x v="10"/>
      <x v="1"/>
    </i>
    <i>
      <x v="218"/>
      <x v="1347"/>
      <x v="304"/>
      <x v="28"/>
      <x v="4"/>
    </i>
    <i>
      <x v="219"/>
      <x v="221"/>
      <x v="315"/>
      <x v="30"/>
      <x v="4"/>
    </i>
    <i>
      <x v="220"/>
      <x v="1020"/>
      <x v="77"/>
      <x v="10"/>
      <x v="1"/>
    </i>
    <i>
      <x v="221"/>
      <x v="1022"/>
      <x v="11"/>
      <x v="10"/>
      <x v="1"/>
    </i>
    <i>
      <x v="222"/>
      <x v="1347"/>
      <x v="250"/>
      <x v="10"/>
      <x v="1"/>
    </i>
    <i>
      <x v="223"/>
      <x v="616"/>
      <x v="168"/>
      <x v="4"/>
      <x v="3"/>
    </i>
    <i r="1">
      <x v="1347"/>
      <x v="168"/>
      <x v="4"/>
      <x v="3"/>
    </i>
    <i>
      <x v="224"/>
      <x v="448"/>
      <x v="35"/>
      <x v="4"/>
      <x v="3"/>
    </i>
    <i>
      <x v="225"/>
      <x v="800"/>
      <x v="260"/>
      <x v="27"/>
      <x v="1"/>
    </i>
    <i>
      <x v="226"/>
      <x v="546"/>
      <x v="128"/>
      <x v="4"/>
      <x v="3"/>
    </i>
    <i r="1">
      <x v="1117"/>
      <x v="149"/>
      <x v="10"/>
      <x v="1"/>
    </i>
    <i>
      <x v="227"/>
      <x v="600"/>
      <x v="54"/>
      <x v="4"/>
      <x v="3"/>
    </i>
    <i>
      <x v="228"/>
      <x v="603"/>
      <x v="54"/>
      <x v="4"/>
      <x v="3"/>
    </i>
    <i r="1">
      <x v="621"/>
      <x v="54"/>
      <x v="4"/>
      <x v="3"/>
    </i>
    <i r="1">
      <x v="1347"/>
      <x v="54"/>
      <x v="4"/>
      <x v="3"/>
    </i>
    <i>
      <x v="229"/>
      <x v="1347"/>
      <x v="190"/>
      <x v="5"/>
      <x v="1"/>
    </i>
    <i>
      <x v="230"/>
      <x v="48"/>
      <x v="55"/>
      <x v="30"/>
      <x v="4"/>
    </i>
    <i>
      <x v="231"/>
      <x v="659"/>
      <x v="128"/>
      <x v="4"/>
      <x v="3"/>
    </i>
    <i r="1">
      <x v="1347"/>
      <x v="2"/>
      <x v="10"/>
      <x v="1"/>
    </i>
    <i>
      <x v="232"/>
      <x v="984"/>
      <x v="56"/>
      <x v="3"/>
      <x v="1"/>
    </i>
    <i>
      <x v="233"/>
      <x v="1176"/>
      <x v="127"/>
      <x v="13"/>
      <x v="2"/>
    </i>
    <i>
      <x v="234"/>
      <x v="1347"/>
      <x v="56"/>
      <x v="5"/>
      <x v="1"/>
    </i>
    <i>
      <x v="235"/>
      <x v="982"/>
      <x v="56"/>
      <x v="5"/>
      <x v="1"/>
    </i>
    <i>
      <x v="236"/>
      <x v="1098"/>
      <x v="56"/>
      <x v="3"/>
      <x v="1"/>
    </i>
    <i>
      <x v="237"/>
      <x v="1099"/>
      <x v="56"/>
      <x v="3"/>
      <x v="1"/>
    </i>
    <i>
      <x v="238"/>
      <x v="995"/>
      <x v="40"/>
      <x v="3"/>
      <x v="1"/>
    </i>
    <i>
      <x v="239"/>
      <x v="1105"/>
      <x v="54"/>
      <x v="4"/>
      <x v="3"/>
    </i>
    <i r="1">
      <x v="1347"/>
      <x v="54"/>
      <x v="4"/>
      <x v="3"/>
    </i>
    <i>
      <x v="240"/>
      <x v="773"/>
      <x v="299"/>
      <x v="11"/>
      <x v="1"/>
    </i>
    <i r="1">
      <x v="1079"/>
      <x v="125"/>
      <x v="10"/>
      <x v="1"/>
    </i>
    <i>
      <x v="241"/>
      <x v="1347"/>
      <x v="180"/>
      <x v="27"/>
      <x v="1"/>
    </i>
    <i>
      <x v="242"/>
      <x v="476"/>
      <x v="84"/>
      <x v="4"/>
      <x v="3"/>
    </i>
    <i>
      <x v="243"/>
      <x v="1114"/>
      <x v="149"/>
      <x v="10"/>
      <x v="1"/>
    </i>
    <i r="1">
      <x v="1190"/>
      <x v="184"/>
      <x v="13"/>
      <x v="2"/>
    </i>
    <i>
      <x v="244"/>
      <x v="51"/>
      <x v="103"/>
      <x v="16"/>
      <x v="8"/>
    </i>
    <i>
      <x v="245"/>
      <x v="1232"/>
      <x v="119"/>
      <x v="1"/>
      <x v="2"/>
    </i>
    <i>
      <x v="246"/>
      <x v="1307"/>
      <x v="35"/>
      <x v="4"/>
      <x v="3"/>
    </i>
    <i>
      <x v="247"/>
      <x v="266"/>
      <x v="138"/>
      <x v="1"/>
      <x v="2"/>
    </i>
    <i>
      <x v="248"/>
      <x v="41"/>
      <x v="58"/>
      <x v="16"/>
      <x v="8"/>
    </i>
    <i>
      <x v="249"/>
      <x v="1145"/>
      <x v="179"/>
      <x v="3"/>
      <x v="1"/>
    </i>
    <i>
      <x v="250"/>
      <x v="1304"/>
      <x v="35"/>
      <x v="4"/>
      <x v="3"/>
    </i>
    <i>
      <x v="251"/>
      <x v="775"/>
      <x v="15"/>
      <x v="11"/>
      <x v="1"/>
    </i>
    <i>
      <x v="252"/>
      <x v="257"/>
      <x v="266"/>
      <x v="13"/>
      <x v="2"/>
    </i>
    <i r="1">
      <x v="508"/>
      <x v="155"/>
      <x v="4"/>
      <x v="3"/>
    </i>
    <i r="1">
      <x v="1347"/>
      <x v="2"/>
      <x v="10"/>
      <x v="1"/>
    </i>
    <i>
      <x v="253"/>
      <x v="1347"/>
      <x v="284"/>
      <x v="12"/>
      <x v="3"/>
    </i>
    <i>
      <x v="254"/>
      <x v="1308"/>
      <x v="35"/>
      <x v="4"/>
      <x v="3"/>
    </i>
    <i>
      <x v="255"/>
      <x v="764"/>
      <x v="234"/>
      <x v="11"/>
      <x v="1"/>
    </i>
    <i>
      <x v="256"/>
      <x v="1192"/>
      <x v="184"/>
      <x v="13"/>
      <x v="2"/>
    </i>
    <i>
      <x v="257"/>
      <x v="1008"/>
      <x v="61"/>
      <x v="3"/>
      <x v="1"/>
    </i>
    <i>
      <x v="258"/>
      <x v="318"/>
      <x v="81"/>
      <x v="12"/>
      <x v="3"/>
    </i>
    <i>
      <x v="259"/>
      <x v="363"/>
      <x v="296"/>
      <x v="12"/>
      <x v="3"/>
    </i>
    <i>
      <x v="260"/>
      <x v="974"/>
      <x v="60"/>
      <x v="3"/>
      <x v="1"/>
    </i>
    <i>
      <x v="261"/>
      <x v="759"/>
      <x v="101"/>
      <x v="27"/>
      <x v="1"/>
    </i>
    <i>
      <x v="262"/>
      <x v="498"/>
      <x v="87"/>
      <x v="4"/>
      <x v="3"/>
    </i>
    <i>
      <x v="263"/>
      <x v="947"/>
      <x v="273"/>
      <x v="3"/>
      <x v="1"/>
    </i>
    <i>
      <x v="264"/>
      <x v="722"/>
      <x v="200"/>
      <x v="11"/>
      <x v="1"/>
    </i>
    <i>
      <x v="265"/>
      <x v="1347"/>
      <x v="209"/>
      <x v="11"/>
      <x v="1"/>
    </i>
    <i>
      <x v="266"/>
      <x v="1347"/>
      <x v="180"/>
      <x v="27"/>
      <x v="1"/>
    </i>
    <i>
      <x v="267"/>
      <x v="325"/>
      <x v="231"/>
      <x v="12"/>
      <x v="3"/>
    </i>
    <i>
      <x v="268"/>
      <x v="752"/>
      <x v="299"/>
      <x v="11"/>
      <x v="1"/>
    </i>
    <i>
      <x v="269"/>
      <x v="305"/>
      <x v="16"/>
      <x v="12"/>
      <x v="3"/>
    </i>
    <i>
      <x v="270"/>
      <x v="1347"/>
      <x v="56"/>
      <x v="5"/>
      <x v="1"/>
    </i>
    <i>
      <x v="271"/>
      <x v="992"/>
      <x v="56"/>
      <x v="5"/>
      <x v="1"/>
    </i>
    <i>
      <x v="272"/>
      <x v="173"/>
      <x v="64"/>
      <x v="21"/>
      <x v="4"/>
    </i>
    <i>
      <x v="273"/>
      <x v="67"/>
      <x v="93"/>
      <x v="14"/>
      <x v="4"/>
    </i>
    <i r="1">
      <x v="470"/>
      <x v="89"/>
      <x v="4"/>
      <x v="3"/>
    </i>
    <i r="1">
      <x v="723"/>
      <x v="132"/>
      <x v="11"/>
      <x v="1"/>
    </i>
    <i>
      <x v="274"/>
      <x v="54"/>
      <x v="162"/>
      <x v="14"/>
      <x v="4"/>
    </i>
    <i>
      <x v="275"/>
      <x v="259"/>
      <x v="255"/>
      <x v="10"/>
      <x v="1"/>
    </i>
    <i r="1">
      <x v="1338"/>
      <x v="42"/>
      <x v="4"/>
      <x v="3"/>
    </i>
    <i>
      <x v="276"/>
      <x v="388"/>
      <x v="65"/>
      <x v="12"/>
      <x v="3"/>
    </i>
    <i>
      <x v="277"/>
      <x v="47"/>
      <x v="77"/>
      <x v="10"/>
      <x v="1"/>
    </i>
    <i>
      <x v="278"/>
      <x v="638"/>
      <x v="185"/>
      <x v="4"/>
      <x v="3"/>
    </i>
    <i>
      <x v="279"/>
      <x v="1029"/>
      <x v="141"/>
      <x v="10"/>
      <x v="1"/>
    </i>
    <i>
      <x v="280"/>
      <x v="1027"/>
      <x v="2"/>
      <x v="10"/>
      <x v="1"/>
    </i>
    <i>
      <x v="281"/>
      <x v="256"/>
      <x v="131"/>
      <x v="10"/>
      <x v="1"/>
    </i>
    <i r="1">
      <x v="1347"/>
      <x v="195"/>
      <x v="12"/>
      <x v="3"/>
    </i>
    <i>
      <x v="282"/>
      <x v="509"/>
      <x v="155"/>
      <x v="4"/>
      <x v="3"/>
    </i>
    <i r="1">
      <x v="1344"/>
      <x v="198"/>
      <x v="13"/>
      <x v="2"/>
    </i>
    <i>
      <x v="283"/>
      <x v="1347"/>
      <x v="168"/>
      <x v="4"/>
      <x v="3"/>
    </i>
    <i>
      <x v="284"/>
      <x v="579"/>
      <x v="35"/>
      <x v="4"/>
      <x v="3"/>
    </i>
    <i r="1">
      <x v="604"/>
      <x v="168"/>
      <x v="4"/>
      <x v="3"/>
    </i>
    <i>
      <x v="285"/>
      <x v="581"/>
      <x v="323"/>
      <x v="4"/>
      <x v="3"/>
    </i>
    <i>
      <x v="286"/>
      <x v="1315"/>
      <x v="255"/>
      <x v="10"/>
      <x v="1"/>
    </i>
    <i>
      <x v="287"/>
      <x v="817"/>
      <x v="240"/>
      <x v="27"/>
      <x v="1"/>
    </i>
    <i>
      <x v="288"/>
      <x v="1281"/>
      <x v="235"/>
      <x v="1"/>
      <x v="2"/>
    </i>
    <i>
      <x v="289"/>
      <x v="349"/>
      <x v="244"/>
      <x v="12"/>
      <x v="3"/>
    </i>
    <i>
      <x v="290"/>
      <x v="306"/>
      <x v="16"/>
      <x v="12"/>
      <x v="3"/>
    </i>
    <i>
      <x v="291"/>
      <x v="780"/>
      <x v="118"/>
      <x v="11"/>
      <x v="1"/>
    </i>
    <i>
      <x v="292"/>
      <x v="1342"/>
      <x v="168"/>
      <x v="4"/>
      <x v="3"/>
    </i>
    <i r="1">
      <x v="1347"/>
      <x v="168"/>
      <x v="4"/>
      <x v="3"/>
    </i>
    <i>
      <x v="293"/>
      <x v="881"/>
      <x v="27"/>
      <x v="3"/>
      <x v="1"/>
    </i>
    <i>
      <x v="294"/>
      <x v="430"/>
      <x v="42"/>
      <x v="4"/>
      <x v="3"/>
    </i>
    <i>
      <x v="295"/>
      <x v="275"/>
      <x v="185"/>
      <x v="4"/>
      <x v="3"/>
    </i>
    <i>
      <x v="296"/>
      <x v="1326"/>
      <x v="89"/>
      <x v="4"/>
      <x v="3"/>
    </i>
    <i>
      <x v="297"/>
      <x v="741"/>
      <x v="300"/>
      <x v="11"/>
      <x v="1"/>
    </i>
    <i>
      <x v="298"/>
      <x v="1309"/>
      <x v="35"/>
      <x v="4"/>
      <x v="3"/>
    </i>
    <i>
      <x v="299"/>
      <x v="1223"/>
      <x v="119"/>
      <x v="1"/>
      <x v="2"/>
    </i>
    <i>
      <x v="300"/>
      <x v="205"/>
      <x v="106"/>
      <x v="30"/>
      <x v="4"/>
    </i>
    <i>
      <x v="301"/>
      <x v="492"/>
      <x v="231"/>
      <x v="12"/>
      <x v="3"/>
    </i>
    <i>
      <x v="302"/>
      <x v="1347"/>
      <x v="231"/>
      <x v="12"/>
      <x v="3"/>
    </i>
    <i>
      <x v="303"/>
      <x v="333"/>
      <x v="231"/>
      <x v="12"/>
      <x v="3"/>
    </i>
    <i>
      <x v="304"/>
      <x v="332"/>
      <x v="231"/>
      <x v="12"/>
      <x v="3"/>
    </i>
    <i>
      <x v="305"/>
      <x v="331"/>
      <x v="231"/>
      <x v="12"/>
      <x v="3"/>
    </i>
    <i>
      <x v="306"/>
      <x v="456"/>
      <x v="35"/>
      <x v="4"/>
      <x v="3"/>
    </i>
    <i>
      <x v="307"/>
      <x v="1021"/>
      <x v="77"/>
      <x v="10"/>
      <x v="1"/>
    </i>
    <i>
      <x v="308"/>
      <x v="1058"/>
      <x v="242"/>
      <x v="10"/>
      <x v="1"/>
    </i>
    <i r="1">
      <x v="1347"/>
      <x v="2"/>
      <x v="10"/>
      <x v="1"/>
    </i>
    <i>
      <x v="309"/>
      <x v="10"/>
      <x v="18"/>
      <x v="17"/>
      <x v="8"/>
    </i>
    <i>
      <x v="310"/>
      <x v="656"/>
      <x v="67"/>
      <x v="4"/>
      <x v="3"/>
    </i>
    <i>
      <x v="311"/>
      <x v="647"/>
      <x v="67"/>
      <x v="4"/>
      <x v="3"/>
    </i>
    <i r="1">
      <x v="1347"/>
      <x v="67"/>
      <x v="4"/>
      <x v="3"/>
    </i>
    <i>
      <x v="312"/>
      <x v="1184"/>
      <x v="184"/>
      <x v="13"/>
      <x v="2"/>
    </i>
    <i>
      <x v="313"/>
      <x v="1347"/>
      <x v="41"/>
      <x v="4"/>
      <x v="3"/>
    </i>
    <i>
      <x v="314"/>
      <x v="571"/>
      <x v="68"/>
      <x v="4"/>
      <x v="3"/>
    </i>
    <i>
      <x v="315"/>
      <x v="566"/>
      <x v="68"/>
      <x v="4"/>
      <x v="3"/>
    </i>
    <i r="1">
      <x v="1347"/>
      <x v="68"/>
      <x v="4"/>
      <x v="3"/>
    </i>
    <i>
      <x v="316"/>
      <x v="253"/>
      <x v="178"/>
      <x v="16"/>
      <x v="8"/>
    </i>
    <i>
      <x v="317"/>
      <x v="34"/>
      <x v="31"/>
      <x v="16"/>
      <x v="8"/>
    </i>
    <i>
      <x v="318"/>
      <x v="1007"/>
      <x v="61"/>
      <x v="3"/>
      <x v="1"/>
    </i>
    <i>
      <x v="319"/>
      <x v="880"/>
      <x v="27"/>
      <x v="3"/>
      <x v="1"/>
    </i>
    <i r="1">
      <x v="988"/>
      <x v="56"/>
      <x v="3"/>
      <x v="1"/>
    </i>
    <i r="1">
      <x v="991"/>
      <x v="56"/>
      <x v="5"/>
      <x v="1"/>
    </i>
    <i r="1">
      <x v="1260"/>
      <x v="270"/>
      <x v="1"/>
      <x v="2"/>
    </i>
    <i>
      <x v="320"/>
      <x v="1347"/>
      <x v="56"/>
      <x v="5"/>
      <x v="1"/>
    </i>
    <i>
      <x v="321"/>
      <x v="738"/>
      <x v="300"/>
      <x v="11"/>
      <x v="1"/>
    </i>
    <i>
      <x v="322"/>
      <x v="728"/>
      <x v="132"/>
      <x v="11"/>
      <x v="1"/>
    </i>
    <i>
      <x v="323"/>
      <x v="132"/>
      <x v="69"/>
      <x v="28"/>
      <x v="4"/>
    </i>
    <i>
      <x v="324"/>
      <x v="244"/>
      <x v="305"/>
      <x v="19"/>
      <x v="8"/>
    </i>
    <i r="1">
      <x v="504"/>
      <x v="155"/>
      <x v="4"/>
      <x v="3"/>
    </i>
    <i r="1">
      <x v="1347"/>
      <x v="56"/>
      <x v="5"/>
      <x v="1"/>
    </i>
    <i r="2">
      <x v="305"/>
      <x v="19"/>
      <x v="8"/>
    </i>
    <i>
      <x v="325"/>
      <x v="622"/>
      <x v="168"/>
      <x v="4"/>
      <x v="3"/>
    </i>
    <i>
      <x v="326"/>
      <x v="613"/>
      <x v="168"/>
      <x v="4"/>
      <x v="3"/>
    </i>
    <i>
      <x v="327"/>
      <x v="1118"/>
      <x v="70"/>
      <x v="10"/>
      <x v="1"/>
    </i>
    <i>
      <x v="328"/>
      <x v="15"/>
      <x v="206"/>
      <x v="14"/>
      <x v="4"/>
    </i>
    <i>
      <x v="329"/>
      <x v="1053"/>
      <x v="212"/>
      <x v="10"/>
      <x v="1"/>
    </i>
    <i>
      <x v="330"/>
      <x v="686"/>
      <x v="185"/>
      <x v="4"/>
      <x v="3"/>
    </i>
    <i>
      <x v="331"/>
      <x v="1129"/>
      <x v="39"/>
      <x v="3"/>
      <x v="1"/>
    </i>
    <i>
      <x v="332"/>
      <x v="1347"/>
      <x v="190"/>
      <x v="5"/>
      <x v="1"/>
    </i>
    <i>
      <x v="333"/>
      <x v="999"/>
      <x v="190"/>
      <x v="3"/>
      <x v="1"/>
    </i>
    <i>
      <x v="334"/>
      <x v="1272"/>
      <x v="176"/>
      <x v="1"/>
      <x v="2"/>
    </i>
    <i r="1">
      <x v="1347"/>
      <x v="176"/>
      <x v="1"/>
      <x v="2"/>
    </i>
    <i>
      <x v="335"/>
      <x v="1168"/>
      <x v="49"/>
      <x v="3"/>
      <x v="1"/>
    </i>
    <i>
      <x v="336"/>
      <x v="494"/>
      <x v="226"/>
      <x v="4"/>
      <x v="3"/>
    </i>
    <i>
      <x v="337"/>
      <x v="336"/>
      <x v="113"/>
      <x v="12"/>
      <x v="3"/>
    </i>
    <i>
      <x v="338"/>
      <x v="346"/>
      <x v="244"/>
      <x v="12"/>
      <x v="3"/>
    </i>
    <i>
      <x v="339"/>
      <x v="347"/>
      <x v="244"/>
      <x v="12"/>
      <x v="3"/>
    </i>
    <i>
      <x v="340"/>
      <x v="477"/>
      <x v="84"/>
      <x v="4"/>
      <x v="3"/>
    </i>
    <i>
      <x v="341"/>
      <x v="1037"/>
      <x v="71"/>
      <x v="10"/>
      <x v="1"/>
    </i>
    <i>
      <x v="342"/>
      <x v="756"/>
      <x v="194"/>
      <x v="11"/>
      <x v="1"/>
    </i>
    <i>
      <x v="343"/>
      <x v="1320"/>
      <x v="149"/>
      <x v="10"/>
      <x v="1"/>
    </i>
    <i>
      <x v="344"/>
      <x v="789"/>
      <x v="306"/>
      <x v="27"/>
      <x v="1"/>
    </i>
    <i>
      <x v="345"/>
      <x v="1050"/>
      <x v="307"/>
      <x v="10"/>
      <x v="1"/>
    </i>
    <i>
      <x v="346"/>
      <x v="1002"/>
      <x v="190"/>
      <x v="3"/>
      <x v="1"/>
    </i>
    <i r="1">
      <x v="1327"/>
      <x v="89"/>
      <x v="4"/>
      <x v="3"/>
    </i>
    <i>
      <x v="347"/>
      <x v="761"/>
      <x v="194"/>
      <x v="11"/>
      <x v="1"/>
    </i>
    <i>
      <x v="348"/>
      <x v="1347"/>
      <x v="74"/>
      <x v="3"/>
      <x v="1"/>
    </i>
    <i>
      <x v="349"/>
      <x v="860"/>
      <x v="73"/>
      <x v="3"/>
      <x v="1"/>
    </i>
    <i>
      <x v="350"/>
      <x v="468"/>
      <x v="89"/>
      <x v="4"/>
      <x v="3"/>
    </i>
    <i>
      <x v="351"/>
      <x v="819"/>
      <x v="101"/>
      <x v="27"/>
      <x v="1"/>
    </i>
    <i>
      <x v="352"/>
      <x v="863"/>
      <x v="73"/>
      <x v="3"/>
      <x v="1"/>
    </i>
    <i>
      <x v="353"/>
      <x v="740"/>
      <x v="125"/>
      <x v="10"/>
      <x v="1"/>
    </i>
    <i>
      <x v="354"/>
      <x v="267"/>
      <x v="326"/>
      <x v="30"/>
      <x v="4"/>
    </i>
    <i>
      <x v="355"/>
      <x v="987"/>
      <x v="35"/>
      <x v="4"/>
      <x v="3"/>
    </i>
    <i>
      <x v="356"/>
      <x v="875"/>
      <x v="7"/>
      <x v="3"/>
      <x v="1"/>
    </i>
    <i r="1">
      <x v="1347"/>
      <x v="7"/>
      <x v="3"/>
      <x v="1"/>
    </i>
    <i>
      <x v="357"/>
      <x v="910"/>
      <x v="230"/>
      <x v="3"/>
      <x v="1"/>
    </i>
    <i>
      <x v="358"/>
      <x v="350"/>
      <x v="244"/>
      <x v="12"/>
      <x v="3"/>
    </i>
    <i>
      <x v="359"/>
      <x v="649"/>
      <x v="67"/>
      <x v="4"/>
      <x v="3"/>
    </i>
    <i>
      <x v="360"/>
      <x v="650"/>
      <x v="67"/>
      <x v="4"/>
      <x v="3"/>
    </i>
    <i>
      <x v="361"/>
      <x v="1214"/>
      <x v="21"/>
      <x v="1"/>
      <x v="2"/>
    </i>
    <i>
      <x v="362"/>
      <x v="1221"/>
      <x v="21"/>
      <x v="1"/>
      <x v="2"/>
    </i>
    <i>
      <x v="363"/>
      <x v="323"/>
      <x v="81"/>
      <x v="12"/>
      <x v="3"/>
    </i>
    <i>
      <x v="364"/>
      <x v="1130"/>
      <x v="39"/>
      <x v="3"/>
      <x v="1"/>
    </i>
    <i>
      <x v="365"/>
      <x v="1242"/>
      <x v="138"/>
      <x v="1"/>
      <x v="2"/>
    </i>
    <i>
      <x v="366"/>
      <x v="839"/>
      <x v="226"/>
      <x v="4"/>
      <x v="3"/>
    </i>
    <i>
      <x v="367"/>
      <x v="491"/>
      <x v="226"/>
      <x v="4"/>
      <x v="3"/>
    </i>
    <i>
      <x v="368"/>
      <x v="1126"/>
      <x v="39"/>
      <x v="3"/>
      <x v="1"/>
    </i>
    <i>
      <x v="369"/>
      <x v="91"/>
      <x v="76"/>
      <x v="14"/>
      <x v="4"/>
    </i>
    <i>
      <x v="370"/>
      <x v="1026"/>
      <x v="77"/>
      <x v="10"/>
      <x v="1"/>
    </i>
    <i>
      <x v="371"/>
      <x v="1347"/>
      <x v="190"/>
      <x v="5"/>
      <x v="1"/>
    </i>
    <i>
      <x v="372"/>
      <x v="885"/>
      <x v="32"/>
      <x v="3"/>
      <x v="1"/>
    </i>
    <i>
      <x v="373"/>
      <x v="233"/>
      <x v="120"/>
      <x v="9"/>
      <x v="4"/>
    </i>
    <i>
      <x v="374"/>
      <x v="1125"/>
      <x v="46"/>
      <x v="28"/>
      <x v="4"/>
    </i>
    <i>
      <x v="375"/>
      <x v="1070"/>
      <x v="144"/>
      <x v="10"/>
      <x v="1"/>
    </i>
    <i r="1">
      <x v="1347"/>
      <x v="144"/>
      <x v="10"/>
      <x v="1"/>
    </i>
    <i>
      <x v="376"/>
      <x v="1156"/>
      <x v="173"/>
      <x v="13"/>
      <x v="2"/>
    </i>
    <i>
      <x v="377"/>
      <x v="251"/>
      <x v="305"/>
      <x v="19"/>
      <x v="8"/>
    </i>
    <i r="1">
      <x v="1347"/>
      <x v="305"/>
      <x v="19"/>
      <x v="8"/>
    </i>
    <i>
      <x v="378"/>
      <x v="1200"/>
      <x v="174"/>
      <x v="13"/>
      <x v="2"/>
    </i>
    <i>
      <x v="379"/>
      <x v="599"/>
      <x v="54"/>
      <x v="4"/>
      <x v="3"/>
    </i>
    <i r="1">
      <x v="617"/>
      <x v="54"/>
      <x v="4"/>
      <x v="3"/>
    </i>
    <i r="1">
      <x v="1087"/>
      <x v="176"/>
      <x v="1"/>
      <x v="2"/>
    </i>
    <i>
      <x v="380"/>
      <x v="1347"/>
      <x v="54"/>
      <x v="4"/>
      <x v="3"/>
    </i>
    <i>
      <x v="381"/>
      <x v="697"/>
      <x v="244"/>
      <x v="12"/>
      <x v="3"/>
    </i>
    <i>
      <x v="382"/>
      <x v="1328"/>
      <x v="89"/>
      <x v="4"/>
      <x v="3"/>
    </i>
    <i>
      <x v="383"/>
      <x v="1038"/>
      <x v="71"/>
      <x v="10"/>
      <x v="1"/>
    </i>
    <i>
      <x v="384"/>
      <x v="357"/>
      <x v="81"/>
      <x v="12"/>
      <x v="3"/>
    </i>
    <i>
      <x v="385"/>
      <x v="462"/>
      <x v="35"/>
      <x v="4"/>
      <x v="3"/>
    </i>
    <i r="1">
      <x v="1052"/>
      <x v="212"/>
      <x v="10"/>
      <x v="1"/>
    </i>
    <i r="1">
      <x v="1277"/>
      <x v="298"/>
      <x v="1"/>
      <x v="2"/>
    </i>
    <i>
      <x v="386"/>
      <x v="171"/>
      <x v="273"/>
      <x v="3"/>
      <x v="1"/>
    </i>
    <i r="1">
      <x v="324"/>
      <x v="81"/>
      <x v="12"/>
      <x v="3"/>
    </i>
    <i>
      <x v="387"/>
      <x v="314"/>
      <x v="81"/>
      <x v="12"/>
      <x v="3"/>
    </i>
    <i r="1">
      <x v="1347"/>
      <x v="81"/>
      <x v="12"/>
      <x v="3"/>
    </i>
    <i>
      <x v="388"/>
      <x v="1347"/>
      <x v="155"/>
      <x v="4"/>
      <x v="3"/>
    </i>
    <i>
      <x v="389"/>
      <x v="503"/>
      <x v="108"/>
      <x v="10"/>
      <x v="1"/>
    </i>
    <i>
      <x v="390"/>
      <x v="1347"/>
      <x v="108"/>
      <x v="10"/>
      <x v="1"/>
    </i>
    <i>
      <x v="391"/>
      <x v="170"/>
      <x v="83"/>
      <x v="21"/>
      <x v="4"/>
    </i>
    <i>
      <x v="392"/>
      <x v="1181"/>
      <x v="198"/>
      <x v="13"/>
      <x v="2"/>
    </i>
    <i>
      <x v="393"/>
      <x v="864"/>
      <x v="73"/>
      <x v="3"/>
      <x v="1"/>
    </i>
    <i>
      <x v="394"/>
      <x v="290"/>
      <x v="145"/>
      <x v="12"/>
      <x v="3"/>
    </i>
    <i>
      <x v="395"/>
      <x v="261"/>
      <x v="35"/>
      <x v="4"/>
      <x v="3"/>
    </i>
    <i>
      <x v="396"/>
      <x v="975"/>
      <x v="97"/>
      <x v="6"/>
      <x v="1"/>
    </i>
    <i r="1">
      <x v="1131"/>
      <x v="39"/>
      <x v="3"/>
      <x v="1"/>
    </i>
    <i>
      <x v="397"/>
      <x v="898"/>
      <x v="229"/>
      <x v="3"/>
      <x v="1"/>
    </i>
    <i>
      <x v="398"/>
      <x v="460"/>
      <x v="35"/>
      <x v="4"/>
      <x v="3"/>
    </i>
    <i>
      <x v="399"/>
      <x v="1132"/>
      <x v="39"/>
      <x v="3"/>
      <x v="1"/>
    </i>
    <i>
      <x v="400"/>
      <x v="1081"/>
      <x v="125"/>
      <x v="10"/>
      <x v="1"/>
    </i>
    <i>
      <x v="401"/>
      <x v="948"/>
      <x v="273"/>
      <x v="3"/>
      <x v="1"/>
    </i>
    <i>
      <x v="402"/>
      <x v="1122"/>
      <x v="70"/>
      <x v="10"/>
      <x v="1"/>
    </i>
    <i>
      <x v="403"/>
      <x v="865"/>
      <x v="73"/>
      <x v="3"/>
      <x v="1"/>
    </i>
    <i>
      <x v="404"/>
      <x v="882"/>
      <x v="27"/>
      <x v="3"/>
      <x v="1"/>
    </i>
    <i r="1">
      <x v="949"/>
      <x v="273"/>
      <x v="3"/>
      <x v="1"/>
    </i>
    <i>
      <x v="405"/>
      <x v="749"/>
      <x v="300"/>
      <x v="11"/>
      <x v="1"/>
    </i>
    <i>
      <x v="406"/>
      <x v="750"/>
      <x v="300"/>
      <x v="11"/>
      <x v="1"/>
    </i>
    <i>
      <x v="407"/>
      <x v="431"/>
      <x v="35"/>
      <x v="4"/>
      <x v="3"/>
    </i>
    <i r="1">
      <x v="1317"/>
      <x v="84"/>
      <x v="4"/>
      <x v="3"/>
    </i>
    <i>
      <x v="408"/>
      <x v="950"/>
      <x v="273"/>
      <x v="3"/>
      <x v="1"/>
    </i>
    <i>
      <x v="409"/>
      <x v="877"/>
      <x v="7"/>
      <x v="3"/>
      <x v="1"/>
    </i>
    <i>
      <x v="410"/>
      <x v="654"/>
      <x v="67"/>
      <x v="4"/>
      <x v="3"/>
    </i>
    <i>
      <x v="411"/>
      <x v="335"/>
      <x v="113"/>
      <x v="12"/>
      <x v="3"/>
    </i>
    <i r="1">
      <x v="1080"/>
      <x v="125"/>
      <x v="10"/>
      <x v="1"/>
    </i>
    <i>
      <x v="412"/>
      <x v="1347"/>
      <x v="180"/>
      <x v="27"/>
      <x v="1"/>
    </i>
    <i>
      <x v="413"/>
      <x v="1258"/>
      <x v="270"/>
      <x v="1"/>
      <x v="2"/>
    </i>
    <i>
      <x v="414"/>
      <x v="590"/>
      <x v="140"/>
      <x v="4"/>
      <x v="3"/>
    </i>
    <i r="1">
      <x v="668"/>
      <x v="185"/>
      <x v="4"/>
      <x v="3"/>
    </i>
    <i r="1">
      <x v="708"/>
      <x v="122"/>
      <x v="26"/>
      <x v="3"/>
    </i>
    <i>
      <x v="415"/>
      <x v="1347"/>
      <x v="68"/>
      <x v="4"/>
      <x v="3"/>
    </i>
    <i>
      <x v="416"/>
      <x v="866"/>
      <x v="73"/>
      <x v="3"/>
      <x v="1"/>
    </i>
    <i r="1">
      <x v="1347"/>
      <x v="74"/>
      <x v="3"/>
      <x v="1"/>
    </i>
    <i>
      <x v="417"/>
      <x v="341"/>
      <x v="113"/>
      <x v="12"/>
      <x v="3"/>
    </i>
    <i>
      <x v="418"/>
      <x v="1133"/>
      <x v="39"/>
      <x v="3"/>
      <x v="1"/>
    </i>
    <i>
      <x v="419"/>
      <x v="845"/>
      <x v="226"/>
      <x v="4"/>
      <x v="3"/>
    </i>
    <i>
      <x v="420"/>
      <x v="701"/>
      <x v="42"/>
      <x v="4"/>
      <x v="3"/>
    </i>
    <i>
      <x v="421"/>
      <x v="1254"/>
      <x v="270"/>
      <x v="1"/>
      <x v="2"/>
    </i>
    <i>
      <x v="422"/>
      <x v="578"/>
      <x v="176"/>
      <x v="1"/>
      <x v="2"/>
    </i>
    <i r="1">
      <x v="582"/>
      <x v="323"/>
      <x v="4"/>
      <x v="3"/>
    </i>
    <i>
      <x v="423"/>
      <x v="445"/>
      <x v="35"/>
      <x v="4"/>
      <x v="3"/>
    </i>
    <i>
      <x v="424"/>
      <x v="473"/>
      <x v="87"/>
      <x v="4"/>
      <x v="3"/>
    </i>
    <i r="1">
      <x v="878"/>
      <x v="7"/>
      <x v="3"/>
      <x v="1"/>
    </i>
    <i>
      <x v="425"/>
      <x v="358"/>
      <x v="174"/>
      <x v="13"/>
      <x v="2"/>
    </i>
    <i r="1">
      <x v="719"/>
      <x v="86"/>
      <x v="12"/>
      <x v="3"/>
    </i>
    <i>
      <x v="426"/>
      <x v="291"/>
      <x v="145"/>
      <x v="12"/>
      <x v="3"/>
    </i>
    <i r="1">
      <x v="387"/>
      <x v="213"/>
      <x v="12"/>
      <x v="3"/>
    </i>
    <i r="1">
      <x v="547"/>
      <x v="128"/>
      <x v="4"/>
      <x v="3"/>
    </i>
    <i r="1">
      <x v="555"/>
      <x v="169"/>
      <x v="4"/>
      <x v="3"/>
    </i>
    <i>
      <x v="427"/>
      <x v="1347"/>
      <x v="250"/>
      <x v="10"/>
      <x v="1"/>
    </i>
    <i>
      <x v="428"/>
      <x v="292"/>
      <x v="145"/>
      <x v="12"/>
      <x v="3"/>
    </i>
    <i>
      <x v="429"/>
      <x v="510"/>
      <x v="155"/>
      <x v="4"/>
      <x v="3"/>
    </i>
    <i>
      <x v="430"/>
      <x v="798"/>
      <x v="260"/>
      <x v="27"/>
      <x v="1"/>
    </i>
    <i>
      <x v="431"/>
      <x v="329"/>
      <x v="231"/>
      <x v="12"/>
      <x v="3"/>
    </i>
    <i>
      <x v="432"/>
      <x v="484"/>
      <x v="226"/>
      <x v="4"/>
      <x v="3"/>
    </i>
    <i>
      <x v="433"/>
      <x v="1049"/>
      <x v="307"/>
      <x v="10"/>
      <x v="1"/>
    </i>
    <i>
      <x v="434"/>
      <x v="1255"/>
      <x v="270"/>
      <x v="1"/>
      <x v="2"/>
    </i>
    <i>
      <x v="435"/>
      <x v="1273"/>
      <x v="176"/>
      <x v="1"/>
      <x v="2"/>
    </i>
    <i>
      <x v="436"/>
      <x v="704"/>
      <x v="122"/>
      <x v="26"/>
      <x v="3"/>
    </i>
    <i>
      <x v="437"/>
      <x v="493"/>
      <x v="87"/>
      <x v="4"/>
      <x v="3"/>
    </i>
    <i>
      <x v="438"/>
      <x v="736"/>
      <x v="300"/>
      <x v="11"/>
      <x v="1"/>
    </i>
    <i>
      <x v="439"/>
      <x v="1055"/>
      <x v="212"/>
      <x v="10"/>
      <x v="1"/>
    </i>
    <i>
      <x v="440"/>
      <x v="636"/>
      <x v="128"/>
      <x v="4"/>
      <x v="3"/>
    </i>
    <i>
      <x v="441"/>
      <x v="687"/>
      <x v="185"/>
      <x v="4"/>
      <x v="3"/>
    </i>
    <i>
      <x v="442"/>
      <x v="273"/>
      <x v="42"/>
      <x v="4"/>
      <x v="3"/>
    </i>
    <i>
      <x v="443"/>
      <x v="1347"/>
      <x v="15"/>
      <x v="11"/>
      <x v="1"/>
    </i>
    <i>
      <x v="444"/>
      <x v="858"/>
      <x v="135"/>
      <x v="12"/>
      <x v="3"/>
    </i>
    <i>
      <x v="445"/>
      <x v="1069"/>
      <x v="144"/>
      <x v="10"/>
      <x v="1"/>
    </i>
    <i>
      <x v="446"/>
      <x v="1347"/>
      <x v="195"/>
      <x v="12"/>
      <x v="3"/>
    </i>
    <i>
      <x v="447"/>
      <x v="1329"/>
      <x v="89"/>
      <x v="4"/>
      <x v="3"/>
    </i>
    <i>
      <x v="448"/>
      <x v="1289"/>
      <x v="202"/>
      <x v="1"/>
      <x v="2"/>
    </i>
    <i r="1">
      <x v="1303"/>
      <x v="310"/>
      <x v="1"/>
      <x v="2"/>
    </i>
    <i>
      <x v="449"/>
      <x v="1030"/>
      <x v="141"/>
      <x v="10"/>
      <x v="1"/>
    </i>
    <i>
      <x v="450"/>
      <x v="661"/>
      <x v="128"/>
      <x v="4"/>
      <x v="3"/>
    </i>
    <i r="1">
      <x v="1252"/>
      <x v="131"/>
      <x v="10"/>
      <x v="1"/>
    </i>
    <i>
      <x v="451"/>
      <x v="1225"/>
      <x v="119"/>
      <x v="1"/>
      <x v="2"/>
    </i>
    <i>
      <x v="452"/>
      <x v="1239"/>
      <x v="119"/>
      <x v="1"/>
      <x v="2"/>
    </i>
    <i>
      <x v="453"/>
      <x v="1241"/>
      <x v="119"/>
      <x v="1"/>
      <x v="2"/>
    </i>
    <i>
      <x v="454"/>
      <x v="1237"/>
      <x v="119"/>
      <x v="1"/>
      <x v="2"/>
    </i>
    <i>
      <x v="455"/>
      <x v="1231"/>
      <x v="119"/>
      <x v="1"/>
      <x v="2"/>
    </i>
    <i>
      <x v="456"/>
      <x v="446"/>
      <x v="35"/>
      <x v="4"/>
      <x v="3"/>
    </i>
    <i>
      <x v="457"/>
      <x v="688"/>
      <x v="185"/>
      <x v="4"/>
      <x v="3"/>
    </i>
    <i>
      <x v="458"/>
      <x v="1220"/>
      <x v="21"/>
      <x v="1"/>
      <x v="2"/>
    </i>
    <i>
      <x v="459"/>
      <x v="951"/>
      <x v="273"/>
      <x v="3"/>
      <x v="1"/>
    </i>
    <i>
      <x v="460"/>
      <x v="1347"/>
      <x v="190"/>
      <x v="5"/>
      <x v="1"/>
    </i>
    <i>
      <x v="461"/>
      <x v="459"/>
      <x v="35"/>
      <x v="4"/>
      <x v="3"/>
    </i>
    <i>
      <x v="462"/>
      <x v="985"/>
      <x v="56"/>
      <x v="5"/>
      <x v="1"/>
    </i>
    <i r="1">
      <x v="1347"/>
      <x v="56"/>
      <x v="5"/>
      <x v="1"/>
    </i>
    <i>
      <x v="463"/>
      <x v="791"/>
      <x v="306"/>
      <x v="27"/>
      <x v="1"/>
    </i>
    <i>
      <x v="464"/>
      <x v="815"/>
      <x v="240"/>
      <x v="27"/>
      <x v="1"/>
    </i>
    <i>
      <x v="465"/>
      <x v="899"/>
      <x v="229"/>
      <x v="3"/>
      <x v="1"/>
    </i>
    <i>
      <x v="466"/>
      <x v="1106"/>
      <x v="54"/>
      <x v="4"/>
      <x v="3"/>
    </i>
    <i>
      <x v="467"/>
      <x v="339"/>
      <x v="113"/>
      <x v="12"/>
      <x v="3"/>
    </i>
    <i>
      <x v="468"/>
      <x v="1347"/>
      <x v="190"/>
      <x v="5"/>
      <x v="1"/>
    </i>
    <i>
      <x v="469"/>
      <x v="1004"/>
      <x v="190"/>
      <x v="3"/>
      <x v="1"/>
    </i>
    <i>
      <x v="470"/>
      <x v="1347"/>
      <x v="155"/>
      <x v="4"/>
      <x v="3"/>
    </i>
    <i>
      <x v="471"/>
      <x v="511"/>
      <x v="155"/>
      <x v="4"/>
      <x v="3"/>
    </i>
    <i>
      <x v="472"/>
      <x v="334"/>
      <x v="113"/>
      <x v="12"/>
      <x v="3"/>
    </i>
    <i>
      <x v="473"/>
      <x v="435"/>
      <x v="84"/>
      <x v="4"/>
      <x v="3"/>
    </i>
    <i>
      <x v="474"/>
      <x v="66"/>
      <x v="93"/>
      <x v="14"/>
      <x v="4"/>
    </i>
    <i>
      <x v="475"/>
      <x v="64"/>
      <x v="93"/>
      <x v="14"/>
      <x v="4"/>
    </i>
    <i>
      <x v="476"/>
      <x v="998"/>
      <x v="40"/>
      <x v="3"/>
      <x v="1"/>
    </i>
    <i r="1">
      <x v="1347"/>
      <x v="190"/>
      <x v="5"/>
      <x v="1"/>
    </i>
    <i>
      <x v="477"/>
      <x v="502"/>
      <x v="155"/>
      <x v="4"/>
      <x v="3"/>
    </i>
    <i r="1">
      <x v="1347"/>
      <x v="2"/>
      <x v="10"/>
      <x v="1"/>
    </i>
    <i>
      <x v="478"/>
      <x v="1347"/>
      <x v="41"/>
      <x v="4"/>
      <x v="3"/>
    </i>
    <i>
      <x v="479"/>
      <x v="297"/>
      <x v="267"/>
      <x v="12"/>
      <x v="3"/>
    </i>
    <i r="1">
      <x v="303"/>
      <x v="267"/>
      <x v="12"/>
      <x v="3"/>
    </i>
    <i>
      <x v="480"/>
      <x v="1238"/>
      <x v="119"/>
      <x v="1"/>
      <x v="2"/>
    </i>
    <i>
      <x v="481"/>
      <x v="218"/>
      <x v="257"/>
      <x v="30"/>
      <x v="4"/>
    </i>
    <i>
      <x v="482"/>
      <x v="934"/>
      <x v="17"/>
      <x v="3"/>
      <x v="1"/>
    </i>
    <i>
      <x v="483"/>
      <x v="1201"/>
      <x v="174"/>
      <x v="13"/>
      <x v="2"/>
    </i>
    <i>
      <x v="484"/>
      <x v="53"/>
      <x v="184"/>
      <x v="13"/>
      <x v="2"/>
    </i>
    <i>
      <x v="485"/>
      <x v="772"/>
      <x v="27"/>
      <x v="3"/>
      <x v="1"/>
    </i>
    <i>
      <x v="486"/>
      <x v="1134"/>
      <x v="39"/>
      <x v="3"/>
      <x v="1"/>
    </i>
    <i>
      <x v="487"/>
      <x v="867"/>
      <x v="73"/>
      <x v="3"/>
      <x v="1"/>
    </i>
    <i>
      <x v="488"/>
      <x v="416"/>
      <x v="42"/>
      <x v="4"/>
      <x v="3"/>
    </i>
    <i r="1">
      <x v="1345"/>
      <x v="173"/>
      <x v="13"/>
      <x v="2"/>
    </i>
    <i r="1">
      <x v="1347"/>
      <x v="41"/>
      <x v="4"/>
      <x v="3"/>
    </i>
    <i>
      <x v="489"/>
      <x v="1347"/>
      <x v="108"/>
      <x v="10"/>
      <x v="1"/>
    </i>
    <i>
      <x v="490"/>
      <x v="452"/>
      <x v="35"/>
      <x v="4"/>
      <x v="3"/>
    </i>
    <i>
      <x v="491"/>
      <x v="248"/>
      <x v="70"/>
      <x v="10"/>
      <x v="1"/>
    </i>
    <i>
      <x v="492"/>
      <x v="968"/>
      <x v="97"/>
      <x v="5"/>
      <x v="1"/>
    </i>
    <i r="1">
      <x v="1347"/>
      <x v="97"/>
      <x v="5"/>
      <x v="1"/>
    </i>
    <i>
      <x v="493"/>
      <x v="278"/>
      <x v="99"/>
      <x v="9"/>
      <x v="4"/>
    </i>
    <i>
      <x v="494"/>
      <x v="595"/>
      <x v="140"/>
      <x v="4"/>
      <x v="3"/>
    </i>
    <i>
      <x v="495"/>
      <x v="790"/>
      <x v="306"/>
      <x v="27"/>
      <x v="1"/>
    </i>
    <i>
      <x v="496"/>
      <x v="353"/>
      <x v="244"/>
      <x v="12"/>
      <x v="3"/>
    </i>
    <i>
      <x v="497"/>
      <x v="823"/>
      <x v="101"/>
      <x v="27"/>
      <x v="1"/>
    </i>
    <i>
      <x v="498"/>
      <x v="1157"/>
      <x v="173"/>
      <x v="13"/>
      <x v="2"/>
    </i>
    <i>
      <x v="499"/>
      <x v="139"/>
      <x v="245"/>
      <x v="28"/>
      <x v="4"/>
    </i>
    <i>
      <x v="500"/>
      <x v="27"/>
      <x v="178"/>
      <x v="16"/>
      <x v="8"/>
    </i>
    <i>
      <x v="501"/>
      <x v="22"/>
      <x v="178"/>
      <x v="16"/>
      <x v="8"/>
    </i>
    <i>
      <x v="502"/>
      <x v="204"/>
      <x v="106"/>
      <x v="30"/>
      <x v="4"/>
    </i>
    <i>
      <x v="503"/>
      <x v="216"/>
      <x v="206"/>
      <x v="30"/>
      <x v="4"/>
    </i>
    <i>
      <x v="504"/>
      <x v="1015"/>
      <x v="179"/>
      <x v="3"/>
      <x v="1"/>
    </i>
    <i>
      <x v="505"/>
      <x v="1316"/>
      <x v="296"/>
      <x v="12"/>
      <x v="3"/>
    </i>
    <i>
      <x v="506"/>
      <x v="182"/>
      <x v="326"/>
      <x v="30"/>
      <x v="4"/>
    </i>
    <i>
      <x v="507"/>
      <x v="43"/>
      <x v="103"/>
      <x v="16"/>
      <x v="8"/>
    </i>
    <i>
      <x v="508"/>
      <x v="623"/>
      <x v="168"/>
      <x v="4"/>
      <x v="3"/>
    </i>
    <i>
      <x v="509"/>
      <x v="228"/>
      <x v="105"/>
      <x v="9"/>
      <x v="4"/>
    </i>
    <i>
      <x v="510"/>
      <x v="98"/>
      <x v="117"/>
      <x v="9"/>
      <x v="4"/>
    </i>
    <i r="1">
      <x v="226"/>
      <x v="107"/>
      <x v="9"/>
      <x v="4"/>
    </i>
    <i>
      <x v="511"/>
      <x v="1119"/>
      <x v="70"/>
      <x v="10"/>
      <x v="1"/>
    </i>
    <i>
      <x v="512"/>
      <x v="569"/>
      <x v="68"/>
      <x v="4"/>
      <x v="3"/>
    </i>
    <i>
      <x v="513"/>
      <x v="373"/>
      <x v="231"/>
      <x v="12"/>
      <x v="3"/>
    </i>
    <i r="1">
      <x v="1040"/>
      <x v="108"/>
      <x v="10"/>
      <x v="1"/>
    </i>
    <i>
      <x v="514"/>
      <x v="1347"/>
      <x v="108"/>
      <x v="10"/>
      <x v="1"/>
    </i>
    <i>
      <x v="515"/>
      <x v="289"/>
      <x v="145"/>
      <x v="12"/>
      <x v="3"/>
    </i>
    <i>
      <x v="516"/>
      <x v="1347"/>
      <x v="190"/>
      <x v="5"/>
      <x v="1"/>
    </i>
    <i>
      <x v="517"/>
      <x v="792"/>
      <x v="306"/>
      <x v="27"/>
      <x v="1"/>
    </i>
    <i>
      <x v="518"/>
      <x v="420"/>
      <x v="42"/>
      <x v="4"/>
      <x v="3"/>
    </i>
    <i>
      <x v="519"/>
      <x v="1115"/>
      <x v="149"/>
      <x v="10"/>
      <x v="1"/>
    </i>
    <i>
      <x v="520"/>
      <x v="833"/>
      <x v="39"/>
      <x v="3"/>
      <x v="1"/>
    </i>
    <i>
      <x v="521"/>
      <x v="1094"/>
      <x v="137"/>
      <x v="10"/>
      <x v="1"/>
    </i>
    <i>
      <x v="522"/>
      <x v="1089"/>
      <x v="137"/>
      <x v="10"/>
      <x v="1"/>
    </i>
    <i>
      <x v="523"/>
      <x v="236"/>
      <x v="110"/>
      <x v="14"/>
      <x v="4"/>
    </i>
    <i>
      <x v="524"/>
      <x v="810"/>
      <x v="194"/>
      <x v="11"/>
      <x v="1"/>
    </i>
    <i>
      <x v="525"/>
      <x v="535"/>
      <x v="155"/>
      <x v="4"/>
      <x v="3"/>
    </i>
    <i>
      <x v="526"/>
      <x v="978"/>
      <x v="97"/>
      <x v="6"/>
      <x v="1"/>
    </i>
    <i>
      <x v="527"/>
      <x v="1275"/>
      <x v="176"/>
      <x v="1"/>
      <x v="2"/>
    </i>
    <i>
      <x v="528"/>
      <x v="1347"/>
      <x v="250"/>
      <x v="10"/>
      <x v="1"/>
    </i>
    <i>
      <x v="529"/>
      <x v="753"/>
      <x v="299"/>
      <x v="11"/>
      <x v="1"/>
    </i>
    <i>
      <x v="530"/>
      <x v="911"/>
      <x v="230"/>
      <x v="3"/>
      <x v="1"/>
    </i>
    <i>
      <x v="531"/>
      <x v="912"/>
      <x v="230"/>
      <x v="3"/>
      <x v="1"/>
    </i>
    <i>
      <x v="532"/>
      <x v="184"/>
      <x v="215"/>
      <x v="30"/>
      <x v="4"/>
    </i>
    <i>
      <x v="533"/>
      <x v="1347"/>
      <x v="144"/>
      <x v="10"/>
      <x v="1"/>
    </i>
    <i>
      <x v="534"/>
      <x v="1071"/>
      <x v="144"/>
      <x v="10"/>
      <x v="1"/>
    </i>
    <i>
      <x v="535"/>
      <x v="1246"/>
      <x v="291"/>
      <x v="1"/>
      <x v="2"/>
    </i>
    <i>
      <x v="536"/>
      <x v="1247"/>
      <x v="291"/>
      <x v="1"/>
      <x v="2"/>
    </i>
    <i>
      <x v="537"/>
      <x v="282"/>
      <x v="306"/>
      <x v="27"/>
      <x v="1"/>
    </i>
    <i>
      <x v="538"/>
      <x v="732"/>
      <x v="300"/>
      <x v="11"/>
      <x v="1"/>
    </i>
    <i>
      <x v="539"/>
      <x v="1010"/>
      <x v="190"/>
      <x v="3"/>
      <x v="1"/>
    </i>
    <i>
      <x v="540"/>
      <x v="1090"/>
      <x v="137"/>
      <x v="10"/>
      <x v="1"/>
    </i>
    <i r="1">
      <x v="1169"/>
      <x v="198"/>
      <x v="13"/>
      <x v="2"/>
    </i>
    <i>
      <x v="541"/>
      <x v="660"/>
      <x v="128"/>
      <x v="4"/>
      <x v="3"/>
    </i>
    <i>
      <x v="542"/>
      <x v="561"/>
      <x v="169"/>
      <x v="4"/>
      <x v="3"/>
    </i>
    <i r="1">
      <x v="662"/>
      <x v="128"/>
      <x v="4"/>
      <x v="3"/>
    </i>
    <i>
      <x v="543"/>
      <x v="663"/>
      <x v="128"/>
      <x v="4"/>
      <x v="3"/>
    </i>
    <i>
      <x v="544"/>
      <x v="556"/>
      <x v="128"/>
      <x v="4"/>
      <x v="3"/>
    </i>
    <i>
      <x v="545"/>
      <x v="1347"/>
      <x v="74"/>
      <x v="3"/>
      <x v="1"/>
    </i>
    <i>
      <x v="546"/>
      <x v="443"/>
      <x v="35"/>
      <x v="4"/>
      <x v="3"/>
    </i>
    <i>
      <x v="547"/>
      <x v="444"/>
      <x v="35"/>
      <x v="4"/>
      <x v="3"/>
    </i>
    <i>
      <x v="548"/>
      <x v="296"/>
      <x v="267"/>
      <x v="12"/>
      <x v="3"/>
    </i>
    <i r="1">
      <x v="597"/>
      <x v="168"/>
      <x v="4"/>
      <x v="3"/>
    </i>
    <i r="1">
      <x v="1035"/>
      <x v="2"/>
      <x v="10"/>
      <x v="1"/>
    </i>
    <i r="1">
      <x v="1347"/>
      <x v="168"/>
      <x v="4"/>
      <x v="3"/>
    </i>
    <i>
      <x v="549"/>
      <x v="624"/>
      <x v="168"/>
      <x v="4"/>
      <x v="3"/>
    </i>
    <i>
      <x v="550"/>
      <x v="13"/>
      <x v="18"/>
      <x v="17"/>
      <x v="8"/>
    </i>
    <i>
      <x v="551"/>
      <x v="868"/>
      <x v="73"/>
      <x v="3"/>
      <x v="1"/>
    </i>
    <i>
      <x v="552"/>
      <x v="869"/>
      <x v="73"/>
      <x v="3"/>
      <x v="1"/>
    </i>
    <i>
      <x v="553"/>
      <x v="1135"/>
      <x v="39"/>
      <x v="3"/>
      <x v="1"/>
    </i>
    <i>
      <x v="554"/>
      <x v="299"/>
      <x v="136"/>
      <x v="12"/>
      <x v="3"/>
    </i>
    <i>
      <x v="555"/>
      <x v="340"/>
      <x v="113"/>
      <x v="12"/>
      <x v="3"/>
    </i>
    <i>
      <x v="556"/>
      <x v="513"/>
      <x v="155"/>
      <x v="4"/>
      <x v="3"/>
    </i>
    <i>
      <x v="557"/>
      <x v="1347"/>
      <x v="155"/>
      <x v="4"/>
      <x v="3"/>
    </i>
    <i>
      <x v="558"/>
      <x v="364"/>
      <x v="82"/>
      <x v="12"/>
      <x v="3"/>
    </i>
    <i r="1">
      <x v="1347"/>
      <x v="82"/>
      <x v="12"/>
      <x v="3"/>
    </i>
    <i>
      <x v="559"/>
      <x v="689"/>
      <x v="185"/>
      <x v="4"/>
      <x v="3"/>
    </i>
    <i>
      <x v="560"/>
      <x v="1347"/>
      <x v="68"/>
      <x v="4"/>
      <x v="3"/>
    </i>
    <i>
      <x v="561"/>
      <x v="625"/>
      <x v="168"/>
      <x v="4"/>
      <x v="3"/>
    </i>
    <i r="1">
      <x v="1347"/>
      <x v="168"/>
      <x v="4"/>
      <x v="3"/>
    </i>
    <i>
      <x v="562"/>
      <x v="583"/>
      <x v="323"/>
      <x v="4"/>
      <x v="3"/>
    </i>
    <i>
      <x v="563"/>
      <x v="1248"/>
      <x v="33"/>
      <x v="3"/>
      <x v="1"/>
    </i>
    <i>
      <x v="564"/>
      <x v="1014"/>
      <x v="179"/>
      <x v="3"/>
      <x v="1"/>
    </i>
    <i>
      <x v="565"/>
      <x v="514"/>
      <x v="155"/>
      <x v="4"/>
      <x v="3"/>
    </i>
    <i>
      <x v="566"/>
      <x v="1018"/>
      <x v="255"/>
      <x v="10"/>
      <x v="1"/>
    </i>
    <i>
      <x v="567"/>
      <x v="337"/>
      <x v="113"/>
      <x v="12"/>
      <x v="3"/>
    </i>
    <i>
      <x v="568"/>
      <x v="1228"/>
      <x v="119"/>
      <x v="1"/>
      <x v="2"/>
    </i>
    <i>
      <x v="569"/>
      <x v="433"/>
      <x v="300"/>
      <x v="11"/>
      <x v="1"/>
    </i>
    <i r="1">
      <x v="495"/>
      <x v="87"/>
      <x v="4"/>
      <x v="3"/>
    </i>
    <i>
      <x v="570"/>
      <x v="1330"/>
      <x v="89"/>
      <x v="4"/>
      <x v="3"/>
    </i>
    <i>
      <x v="571"/>
      <x v="1319"/>
      <x v="149"/>
      <x v="10"/>
      <x v="1"/>
    </i>
    <i>
      <x v="572"/>
      <x v="1019"/>
      <x v="255"/>
      <x v="10"/>
      <x v="1"/>
    </i>
    <i r="1">
      <x v="1078"/>
      <x v="125"/>
      <x v="10"/>
      <x v="1"/>
    </i>
    <i>
      <x v="573"/>
      <x v="162"/>
      <x v="271"/>
      <x v="28"/>
      <x v="4"/>
    </i>
    <i r="1">
      <x v="558"/>
      <x v="169"/>
      <x v="4"/>
      <x v="3"/>
    </i>
    <i>
      <x v="574"/>
      <x v="690"/>
      <x v="185"/>
      <x v="4"/>
      <x v="3"/>
    </i>
    <i>
      <x v="575"/>
      <x v="979"/>
      <x v="97"/>
      <x v="6"/>
      <x v="1"/>
    </i>
    <i>
      <x v="576"/>
      <x v="646"/>
      <x v="185"/>
      <x v="4"/>
      <x v="3"/>
    </i>
    <i>
      <x v="577"/>
      <x v="224"/>
      <x v="117"/>
      <x v="9"/>
      <x v="4"/>
    </i>
    <i r="1">
      <x v="390"/>
      <x v="65"/>
      <x v="12"/>
      <x v="3"/>
    </i>
    <i>
      <x v="578"/>
      <x v="490"/>
      <x v="226"/>
      <x v="4"/>
      <x v="3"/>
    </i>
    <i>
      <x v="579"/>
      <x v="385"/>
      <x v="42"/>
      <x v="4"/>
      <x v="3"/>
    </i>
    <i r="1">
      <x v="828"/>
      <x v="39"/>
      <x v="3"/>
      <x v="1"/>
    </i>
    <i r="1">
      <x v="1218"/>
      <x v="21"/>
      <x v="1"/>
      <x v="2"/>
    </i>
    <i r="1">
      <x v="1347"/>
      <x v="41"/>
      <x v="4"/>
      <x v="3"/>
    </i>
    <i r="2">
      <x v="118"/>
      <x v="11"/>
      <x v="1"/>
    </i>
    <i>
      <x v="580"/>
      <x v="777"/>
      <x v="230"/>
      <x v="3"/>
      <x v="1"/>
    </i>
    <i>
      <x v="581"/>
      <x v="699"/>
      <x v="261"/>
      <x v="1"/>
      <x v="2"/>
    </i>
    <i>
      <x v="582"/>
      <x v="1136"/>
      <x v="39"/>
      <x v="3"/>
      <x v="1"/>
    </i>
    <i>
      <x v="583"/>
      <x v="1224"/>
      <x v="119"/>
      <x v="1"/>
      <x v="2"/>
    </i>
    <i>
      <x v="584"/>
      <x v="1226"/>
      <x v="119"/>
      <x v="1"/>
      <x v="2"/>
    </i>
    <i>
      <x v="585"/>
      <x v="567"/>
      <x v="68"/>
      <x v="4"/>
      <x v="3"/>
    </i>
    <i r="1">
      <x v="1347"/>
      <x v="68"/>
      <x v="4"/>
      <x v="3"/>
    </i>
    <i>
      <x v="586"/>
      <x v="230"/>
      <x v="120"/>
      <x v="9"/>
      <x v="4"/>
    </i>
    <i>
      <x v="587"/>
      <x v="1347"/>
      <x v="155"/>
      <x v="4"/>
      <x v="3"/>
    </i>
    <i>
      <x v="588"/>
      <x v="515"/>
      <x v="155"/>
      <x v="4"/>
      <x v="3"/>
    </i>
    <i>
      <x v="589"/>
      <x v="516"/>
      <x v="155"/>
      <x v="4"/>
      <x v="3"/>
    </i>
    <i>
      <x v="590"/>
      <x v="436"/>
      <x v="84"/>
      <x v="4"/>
      <x v="3"/>
    </i>
    <i>
      <x v="591"/>
      <x v="517"/>
      <x v="155"/>
      <x v="4"/>
      <x v="3"/>
    </i>
    <i>
      <x v="592"/>
      <x v="703"/>
      <x v="122"/>
      <x v="26"/>
      <x v="3"/>
    </i>
    <i>
      <x v="593"/>
      <x v="707"/>
      <x v="122"/>
      <x v="26"/>
      <x v="3"/>
    </i>
    <i>
      <x v="594"/>
      <x v="518"/>
      <x v="155"/>
      <x v="4"/>
      <x v="3"/>
    </i>
    <i>
      <x v="595"/>
      <x v="824"/>
      <x v="101"/>
      <x v="27"/>
      <x v="1"/>
    </i>
    <i>
      <x v="596"/>
      <x v="846"/>
      <x v="226"/>
      <x v="4"/>
      <x v="3"/>
    </i>
    <i>
      <x v="597"/>
      <x v="369"/>
      <x v="82"/>
      <x v="12"/>
      <x v="3"/>
    </i>
    <i>
      <x v="598"/>
      <x v="1331"/>
      <x v="89"/>
      <x v="4"/>
      <x v="3"/>
    </i>
    <i>
      <x v="599"/>
      <x v="1332"/>
      <x v="89"/>
      <x v="4"/>
      <x v="3"/>
    </i>
    <i>
      <x v="600"/>
      <x v="1333"/>
      <x v="89"/>
      <x v="4"/>
      <x v="3"/>
    </i>
    <i>
      <x v="601"/>
      <x v="121"/>
      <x v="124"/>
      <x v="28"/>
      <x v="4"/>
    </i>
    <i r="1">
      <x v="718"/>
      <x v="186"/>
      <x v="14"/>
      <x v="4"/>
    </i>
    <i>
      <x v="602"/>
      <x v="519"/>
      <x v="155"/>
      <x v="4"/>
      <x v="3"/>
    </i>
    <i>
      <x v="603"/>
      <x v="664"/>
      <x v="128"/>
      <x v="4"/>
      <x v="3"/>
    </i>
    <i>
      <x v="604"/>
      <x v="344"/>
      <x v="244"/>
      <x v="12"/>
      <x v="3"/>
    </i>
    <i>
      <x v="605"/>
      <x v="847"/>
      <x v="226"/>
      <x v="4"/>
      <x v="3"/>
    </i>
    <i r="1">
      <x v="1347"/>
      <x v="255"/>
      <x v="10"/>
      <x v="1"/>
    </i>
    <i>
      <x v="606"/>
      <x v="52"/>
      <x v="174"/>
      <x v="13"/>
      <x v="2"/>
    </i>
    <i>
      <x v="607"/>
      <x v="1266"/>
      <x v="176"/>
      <x v="1"/>
      <x v="2"/>
    </i>
    <i r="1">
      <x v="1347"/>
      <x v="176"/>
      <x v="1"/>
      <x v="2"/>
    </i>
    <i>
      <x v="608"/>
      <x v="1274"/>
      <x v="176"/>
      <x v="1"/>
      <x v="2"/>
    </i>
    <i>
      <x v="609"/>
      <x v="611"/>
      <x v="168"/>
      <x v="4"/>
      <x v="3"/>
    </i>
    <i r="1">
      <x v="1347"/>
      <x v="168"/>
      <x v="4"/>
      <x v="3"/>
    </i>
    <i>
      <x v="610"/>
      <x v="167"/>
      <x v="249"/>
      <x v="21"/>
      <x v="4"/>
    </i>
    <i r="1">
      <x v="234"/>
      <x v="126"/>
      <x v="9"/>
      <x v="4"/>
    </i>
    <i>
      <x v="611"/>
      <x v="830"/>
      <x v="73"/>
      <x v="3"/>
      <x v="1"/>
    </i>
    <i>
      <x v="612"/>
      <x v="562"/>
      <x v="169"/>
      <x v="4"/>
      <x v="3"/>
    </i>
    <i>
      <x v="613"/>
      <x v="665"/>
      <x v="128"/>
      <x v="4"/>
      <x v="3"/>
    </i>
    <i>
      <x v="614"/>
      <x v="545"/>
      <x v="35"/>
      <x v="4"/>
      <x v="3"/>
    </i>
    <i r="1">
      <x v="666"/>
      <x v="128"/>
      <x v="4"/>
      <x v="3"/>
    </i>
    <i>
      <x v="615"/>
      <x v="548"/>
      <x v="128"/>
      <x v="4"/>
      <x v="3"/>
    </i>
    <i>
      <x v="616"/>
      <x v="294"/>
      <x v="35"/>
      <x v="4"/>
      <x v="3"/>
    </i>
    <i>
      <x v="617"/>
      <x v="694"/>
      <x v="267"/>
      <x v="12"/>
      <x v="3"/>
    </i>
    <i>
      <x v="618"/>
      <x v="568"/>
      <x v="68"/>
      <x v="4"/>
      <x v="3"/>
    </i>
    <i>
      <x v="619"/>
      <x v="563"/>
      <x v="169"/>
      <x v="4"/>
      <x v="3"/>
    </i>
    <i>
      <x v="620"/>
      <x v="900"/>
      <x v="229"/>
      <x v="3"/>
      <x v="1"/>
    </i>
    <i>
      <x v="621"/>
      <x v="454"/>
      <x v="35"/>
      <x v="4"/>
      <x v="3"/>
    </i>
    <i>
      <x v="622"/>
      <x v="840"/>
      <x v="42"/>
      <x v="4"/>
      <x v="3"/>
    </i>
    <i>
      <x v="623"/>
      <x v="913"/>
      <x v="230"/>
      <x v="3"/>
      <x v="1"/>
    </i>
    <i>
      <x v="624"/>
      <x v="914"/>
      <x v="230"/>
      <x v="3"/>
      <x v="1"/>
    </i>
    <i>
      <x v="625"/>
      <x v="1059"/>
      <x v="120"/>
      <x v="9"/>
      <x v="4"/>
    </i>
    <i r="1">
      <x v="1302"/>
      <x v="310"/>
      <x v="1"/>
      <x v="2"/>
    </i>
    <i>
      <x v="626"/>
      <x v="1347"/>
      <x v="67"/>
      <x v="4"/>
      <x v="3"/>
    </i>
    <i>
      <x v="627"/>
      <x v="952"/>
      <x v="273"/>
      <x v="3"/>
      <x v="1"/>
    </i>
    <i r="1">
      <x v="1253"/>
      <x v="131"/>
      <x v="10"/>
      <x v="1"/>
    </i>
    <i>
      <x v="628"/>
      <x v="626"/>
      <x v="168"/>
      <x v="4"/>
      <x v="3"/>
    </i>
    <i r="1">
      <x v="1347"/>
      <x v="168"/>
      <x v="4"/>
      <x v="3"/>
    </i>
    <i>
      <x v="629"/>
      <x v="1048"/>
      <x v="307"/>
      <x v="10"/>
      <x v="1"/>
    </i>
    <i>
      <x v="630"/>
      <x v="1216"/>
      <x v="21"/>
      <x v="1"/>
      <x v="2"/>
    </i>
    <i>
      <x v="631"/>
      <x v="281"/>
      <x v="240"/>
      <x v="27"/>
      <x v="1"/>
    </i>
    <i>
      <x v="632"/>
      <x v="915"/>
      <x v="230"/>
      <x v="3"/>
      <x v="1"/>
    </i>
    <i>
      <x v="633"/>
      <x v="596"/>
      <x v="140"/>
      <x v="4"/>
      <x v="3"/>
    </i>
    <i>
      <x v="634"/>
      <x v="549"/>
      <x v="128"/>
      <x v="4"/>
      <x v="3"/>
    </i>
    <i>
      <x v="635"/>
      <x v="584"/>
      <x v="323"/>
      <x v="4"/>
      <x v="3"/>
    </i>
    <i>
      <x v="636"/>
      <x v="807"/>
      <x v="133"/>
      <x v="28"/>
      <x v="4"/>
    </i>
    <i>
      <x v="637"/>
      <x v="1347"/>
      <x v="2"/>
      <x v="10"/>
      <x v="1"/>
    </i>
    <i>
      <x v="638"/>
      <x v="284"/>
      <x v="156"/>
      <x v="1"/>
      <x v="2"/>
    </i>
    <i>
      <x v="639"/>
      <x v="693"/>
      <x v="173"/>
      <x v="13"/>
      <x v="2"/>
    </i>
    <i>
      <x v="640"/>
      <x v="1347"/>
      <x v="118"/>
      <x v="11"/>
      <x v="1"/>
    </i>
    <i>
      <x v="641"/>
      <x v="449"/>
      <x v="35"/>
      <x v="4"/>
      <x v="3"/>
    </i>
    <i>
      <x v="642"/>
      <x v="465"/>
      <x v="35"/>
      <x v="4"/>
      <x v="3"/>
    </i>
    <i>
      <x v="643"/>
      <x v="272"/>
      <x v="284"/>
      <x v="12"/>
      <x v="3"/>
    </i>
    <i>
      <x v="644"/>
      <x v="1161"/>
      <x v="134"/>
      <x v="13"/>
      <x v="2"/>
    </i>
    <i>
      <x v="645"/>
      <x v="713"/>
      <x v="135"/>
      <x v="12"/>
      <x v="3"/>
    </i>
    <i>
      <x v="646"/>
      <x v="1172"/>
      <x v="198"/>
      <x v="13"/>
      <x v="2"/>
    </i>
    <i>
      <x v="647"/>
      <x v="1193"/>
      <x v="184"/>
      <x v="13"/>
      <x v="2"/>
    </i>
    <i>
      <x v="648"/>
      <x v="457"/>
      <x v="35"/>
      <x v="4"/>
      <x v="3"/>
    </i>
    <i>
      <x v="649"/>
      <x v="300"/>
      <x v="136"/>
      <x v="12"/>
      <x v="3"/>
    </i>
    <i>
      <x v="650"/>
      <x v="1347"/>
      <x v="108"/>
      <x v="10"/>
      <x v="1"/>
    </i>
    <i>
      <x v="651"/>
      <x v="612"/>
      <x v="168"/>
      <x v="4"/>
      <x v="3"/>
    </i>
    <i r="1">
      <x v="1163"/>
      <x v="134"/>
      <x v="13"/>
      <x v="2"/>
    </i>
    <i>
      <x v="652"/>
      <x v="1152"/>
      <x v="49"/>
      <x v="13"/>
      <x v="2"/>
    </i>
    <i>
      <x v="653"/>
      <x v="1085"/>
      <x v="137"/>
      <x v="10"/>
      <x v="1"/>
    </i>
    <i r="1">
      <x v="1236"/>
      <x v="119"/>
      <x v="1"/>
      <x v="2"/>
    </i>
    <i r="1">
      <x v="1270"/>
      <x v="176"/>
      <x v="1"/>
      <x v="2"/>
    </i>
    <i>
      <x v="654"/>
      <x v="715"/>
      <x v="135"/>
      <x v="12"/>
      <x v="3"/>
    </i>
    <i>
      <x v="655"/>
      <x v="1095"/>
      <x v="137"/>
      <x v="10"/>
      <x v="1"/>
    </i>
    <i>
      <x v="656"/>
      <x v="930"/>
      <x v="137"/>
      <x v="10"/>
      <x v="1"/>
    </i>
    <i>
      <x v="657"/>
      <x v="1188"/>
      <x v="184"/>
      <x v="13"/>
      <x v="2"/>
    </i>
    <i>
      <x v="658"/>
      <x v="254"/>
      <x v="138"/>
      <x v="1"/>
      <x v="2"/>
    </i>
    <i>
      <x v="659"/>
      <x v="1234"/>
      <x v="119"/>
      <x v="1"/>
      <x v="2"/>
    </i>
    <i>
      <x v="660"/>
      <x v="14"/>
      <x v="18"/>
      <x v="17"/>
      <x v="8"/>
    </i>
    <i>
      <x v="661"/>
      <x v="109"/>
      <x v="5"/>
      <x v="14"/>
      <x v="4"/>
    </i>
    <i>
      <x v="662"/>
      <x v="714"/>
      <x v="135"/>
      <x v="12"/>
      <x v="3"/>
    </i>
    <i>
      <x v="663"/>
      <x v="398"/>
      <x v="278"/>
      <x v="12"/>
      <x v="3"/>
    </i>
    <i>
      <x v="664"/>
      <x v="451"/>
      <x v="35"/>
      <x v="4"/>
      <x v="3"/>
    </i>
    <i>
      <x v="665"/>
      <x v="149"/>
      <x v="39"/>
      <x v="3"/>
      <x v="1"/>
    </i>
    <i>
      <x v="666"/>
      <x v="587"/>
      <x v="140"/>
      <x v="4"/>
      <x v="3"/>
    </i>
    <i>
      <x v="667"/>
      <x v="588"/>
      <x v="140"/>
      <x v="4"/>
      <x v="3"/>
    </i>
    <i>
      <x v="668"/>
      <x v="302"/>
      <x v="267"/>
      <x v="12"/>
      <x v="3"/>
    </i>
    <i>
      <x v="669"/>
      <x v="279"/>
      <x v="260"/>
      <x v="27"/>
      <x v="1"/>
    </i>
    <i r="1">
      <x v="402"/>
      <x v="278"/>
      <x v="12"/>
      <x v="3"/>
    </i>
    <i r="1">
      <x v="601"/>
      <x v="168"/>
      <x v="4"/>
      <x v="3"/>
    </i>
    <i r="1">
      <x v="1031"/>
      <x v="141"/>
      <x v="10"/>
      <x v="1"/>
    </i>
    <i r="1">
      <x v="1347"/>
      <x v="41"/>
      <x v="4"/>
      <x v="3"/>
    </i>
    <i r="2">
      <x v="278"/>
      <x v="12"/>
      <x v="3"/>
    </i>
    <i>
      <x v="670"/>
      <x v="1033"/>
      <x v="141"/>
      <x v="10"/>
      <x v="1"/>
    </i>
    <i>
      <x v="671"/>
      <x v="1091"/>
      <x v="137"/>
      <x v="10"/>
      <x v="1"/>
    </i>
    <i>
      <x v="672"/>
      <x v="520"/>
      <x v="155"/>
      <x v="4"/>
      <x v="3"/>
    </i>
    <i>
      <x v="673"/>
      <x v="345"/>
      <x v="16"/>
      <x v="12"/>
      <x v="3"/>
    </i>
    <i r="1">
      <x v="1285"/>
      <x v="156"/>
      <x v="1"/>
      <x v="2"/>
    </i>
    <i>
      <x v="674"/>
      <x v="313"/>
      <x v="16"/>
      <x v="12"/>
      <x v="3"/>
    </i>
    <i r="1">
      <x v="1339"/>
      <x v="42"/>
      <x v="4"/>
      <x v="3"/>
    </i>
    <i>
      <x v="675"/>
      <x v="483"/>
      <x v="226"/>
      <x v="4"/>
      <x v="3"/>
    </i>
    <i>
      <x v="676"/>
      <x v="1109"/>
      <x v="319"/>
      <x v="10"/>
      <x v="1"/>
    </i>
    <i>
      <x v="677"/>
      <x v="1036"/>
      <x v="71"/>
      <x v="10"/>
      <x v="1"/>
    </i>
    <i>
      <x v="678"/>
      <x v="594"/>
      <x v="140"/>
      <x v="4"/>
      <x v="3"/>
    </i>
    <i>
      <x v="679"/>
      <x v="342"/>
      <x v="113"/>
      <x v="12"/>
      <x v="3"/>
    </i>
    <i r="1">
      <x v="391"/>
      <x v="65"/>
      <x v="12"/>
      <x v="3"/>
    </i>
    <i>
      <x v="680"/>
      <x v="996"/>
      <x v="40"/>
      <x v="3"/>
      <x v="1"/>
    </i>
    <i>
      <x v="681"/>
      <x v="141"/>
      <x v="145"/>
      <x v="12"/>
      <x v="3"/>
    </i>
    <i r="1">
      <x v="461"/>
      <x v="35"/>
      <x v="4"/>
      <x v="3"/>
    </i>
    <i>
      <x v="682"/>
      <x v="379"/>
      <x v="82"/>
      <x v="12"/>
      <x v="3"/>
    </i>
    <i>
      <x v="683"/>
      <x v="374"/>
      <x v="82"/>
      <x v="12"/>
      <x v="3"/>
    </i>
    <i r="1">
      <x v="1347"/>
      <x v="82"/>
      <x v="12"/>
      <x v="3"/>
    </i>
    <i>
      <x v="684"/>
      <x v="645"/>
      <x v="185"/>
      <x v="4"/>
      <x v="3"/>
    </i>
    <i r="1">
      <x v="691"/>
      <x v="185"/>
      <x v="4"/>
      <x v="3"/>
    </i>
    <i>
      <x v="685"/>
      <x v="655"/>
      <x v="67"/>
      <x v="4"/>
      <x v="3"/>
    </i>
    <i r="1">
      <x v="1347"/>
      <x v="67"/>
      <x v="4"/>
      <x v="3"/>
    </i>
    <i>
      <x v="686"/>
      <x v="1028"/>
      <x v="141"/>
      <x v="10"/>
      <x v="1"/>
    </i>
    <i>
      <x v="687"/>
      <x v="295"/>
      <x v="136"/>
      <x v="12"/>
      <x v="3"/>
    </i>
    <i r="1">
      <x v="432"/>
      <x v="184"/>
      <x v="13"/>
      <x v="2"/>
    </i>
    <i r="1">
      <x v="1318"/>
      <x v="84"/>
      <x v="4"/>
      <x v="3"/>
    </i>
    <i>
      <x v="688"/>
      <x v="1063"/>
      <x v="242"/>
      <x v="10"/>
      <x v="1"/>
    </i>
    <i>
      <x v="689"/>
      <x v="1064"/>
      <x v="242"/>
      <x v="10"/>
      <x v="1"/>
    </i>
    <i>
      <x v="690"/>
      <x v="743"/>
      <x v="300"/>
      <x v="11"/>
      <x v="1"/>
    </i>
    <i>
      <x v="691"/>
      <x v="814"/>
      <x v="240"/>
      <x v="27"/>
      <x v="1"/>
    </i>
    <i>
      <x v="692"/>
      <x v="372"/>
      <x v="82"/>
      <x v="12"/>
      <x v="3"/>
    </i>
    <i>
      <x v="693"/>
      <x v="1347"/>
      <x v="195"/>
      <x v="12"/>
      <x v="3"/>
    </i>
    <i>
      <x v="694"/>
      <x v="408"/>
      <x v="278"/>
      <x v="12"/>
      <x v="3"/>
    </i>
    <i>
      <x v="695"/>
      <x v="277"/>
      <x v="294"/>
      <x v="25"/>
      <x v="3"/>
    </i>
    <i>
      <x v="696"/>
      <x v="1347"/>
      <x v="190"/>
      <x v="5"/>
      <x v="1"/>
    </i>
    <i>
      <x v="697"/>
      <x v="627"/>
      <x v="168"/>
      <x v="4"/>
      <x v="3"/>
    </i>
    <i>
      <x v="698"/>
      <x v="1072"/>
      <x v="144"/>
      <x v="10"/>
      <x v="1"/>
    </i>
    <i>
      <x v="699"/>
      <x v="1347"/>
      <x v="144"/>
      <x v="10"/>
      <x v="1"/>
    </i>
    <i>
      <x v="700"/>
      <x v="607"/>
      <x v="168"/>
      <x v="4"/>
      <x v="3"/>
    </i>
    <i r="1">
      <x v="1347"/>
      <x v="168"/>
      <x v="4"/>
      <x v="3"/>
    </i>
    <i>
      <x v="701"/>
      <x v="287"/>
      <x v="145"/>
      <x v="12"/>
      <x v="3"/>
    </i>
    <i>
      <x v="702"/>
      <x v="976"/>
      <x v="97"/>
      <x v="5"/>
      <x v="1"/>
    </i>
    <i>
      <x v="703"/>
      <x v="1347"/>
      <x v="97"/>
      <x v="5"/>
      <x v="1"/>
    </i>
    <i>
      <x v="704"/>
      <x v="554"/>
      <x v="42"/>
      <x v="4"/>
      <x v="3"/>
    </i>
    <i>
      <x v="705"/>
      <x v="848"/>
      <x v="226"/>
      <x v="4"/>
      <x v="3"/>
    </i>
    <i>
      <x v="706"/>
      <x v="849"/>
      <x v="226"/>
      <x v="4"/>
      <x v="3"/>
    </i>
    <i>
      <x v="707"/>
      <x v="651"/>
      <x v="67"/>
      <x v="4"/>
      <x v="3"/>
    </i>
    <i>
      <x v="708"/>
      <x v="262"/>
      <x v="226"/>
      <x v="4"/>
      <x v="3"/>
    </i>
    <i>
      <x v="709"/>
      <x v="1347"/>
      <x v="41"/>
      <x v="4"/>
      <x v="3"/>
    </i>
    <i>
      <x v="710"/>
      <x v="421"/>
      <x v="42"/>
      <x v="4"/>
      <x v="3"/>
    </i>
    <i>
      <x v="711"/>
      <x v="894"/>
      <x v="229"/>
      <x v="3"/>
      <x v="1"/>
    </i>
    <i r="1">
      <x v="1347"/>
      <x v="229"/>
      <x v="3"/>
      <x v="1"/>
    </i>
    <i>
      <x v="712"/>
      <x v="901"/>
      <x v="229"/>
      <x v="3"/>
      <x v="1"/>
    </i>
    <i>
      <x v="713"/>
      <x v="1159"/>
      <x v="173"/>
      <x v="13"/>
      <x v="2"/>
    </i>
    <i r="1">
      <x v="1203"/>
      <x v="174"/>
      <x v="13"/>
      <x v="2"/>
    </i>
    <i r="1">
      <x v="1343"/>
      <x v="147"/>
      <x v="21"/>
      <x v="4"/>
    </i>
    <i>
      <x v="714"/>
      <x v="576"/>
      <x v="323"/>
      <x v="4"/>
      <x v="3"/>
    </i>
    <i>
      <x v="715"/>
      <x v="321"/>
      <x v="81"/>
      <x v="12"/>
      <x v="3"/>
    </i>
    <i r="1">
      <x v="639"/>
      <x v="185"/>
      <x v="4"/>
      <x v="3"/>
    </i>
    <i>
      <x v="716"/>
      <x v="628"/>
      <x v="168"/>
      <x v="4"/>
      <x v="3"/>
    </i>
    <i r="1">
      <x v="787"/>
      <x v="168"/>
      <x v="4"/>
      <x v="3"/>
    </i>
    <i r="1">
      <x v="1347"/>
      <x v="168"/>
      <x v="4"/>
      <x v="3"/>
    </i>
    <i>
      <x v="717"/>
      <x v="155"/>
      <x v="148"/>
      <x v="28"/>
      <x v="4"/>
    </i>
    <i>
      <x v="718"/>
      <x v="1347"/>
      <x v="2"/>
      <x v="10"/>
      <x v="1"/>
    </i>
    <i>
      <x v="719"/>
      <x v="274"/>
      <x v="135"/>
      <x v="12"/>
      <x v="3"/>
    </i>
    <i>
      <x v="720"/>
      <x v="793"/>
      <x v="306"/>
      <x v="27"/>
      <x v="1"/>
    </i>
    <i>
      <x v="721"/>
      <x v="1061"/>
      <x v="278"/>
      <x v="12"/>
      <x v="3"/>
    </i>
    <i>
      <x v="722"/>
      <x v="521"/>
      <x v="155"/>
      <x v="4"/>
      <x v="3"/>
    </i>
    <i>
      <x v="723"/>
      <x v="522"/>
      <x v="155"/>
      <x v="4"/>
      <x v="3"/>
    </i>
    <i>
      <x v="724"/>
      <x v="854"/>
      <x v="42"/>
      <x v="4"/>
      <x v="3"/>
    </i>
    <i>
      <x v="725"/>
      <x v="1112"/>
      <x v="149"/>
      <x v="10"/>
      <x v="1"/>
    </i>
    <i>
      <x v="726"/>
      <x v="1347"/>
      <x v="68"/>
      <x v="4"/>
      <x v="3"/>
    </i>
    <i>
      <x v="727"/>
      <x v="1321"/>
      <x v="89"/>
      <x v="4"/>
      <x v="3"/>
    </i>
    <i>
      <x v="728"/>
      <x v="776"/>
      <x v="244"/>
      <x v="12"/>
      <x v="3"/>
    </i>
    <i>
      <x v="729"/>
      <x v="260"/>
      <x v="310"/>
      <x v="1"/>
      <x v="2"/>
    </i>
    <i>
      <x v="730"/>
      <x v="368"/>
      <x v="82"/>
      <x v="12"/>
      <x v="3"/>
    </i>
    <i>
      <x v="731"/>
      <x v="380"/>
      <x v="150"/>
      <x v="12"/>
      <x v="3"/>
    </i>
    <i>
      <x v="732"/>
      <x v="382"/>
      <x v="150"/>
      <x v="12"/>
      <x v="3"/>
    </i>
    <i>
      <x v="733"/>
      <x v="383"/>
      <x v="150"/>
      <x v="12"/>
      <x v="3"/>
    </i>
    <i>
      <x v="734"/>
      <x v="381"/>
      <x v="150"/>
      <x v="12"/>
      <x v="3"/>
    </i>
    <i>
      <x v="735"/>
      <x v="485"/>
      <x v="226"/>
      <x v="4"/>
      <x v="3"/>
    </i>
    <i>
      <x v="736"/>
      <x v="669"/>
      <x v="128"/>
      <x v="4"/>
      <x v="3"/>
    </i>
    <i>
      <x v="737"/>
      <x v="836"/>
      <x v="73"/>
      <x v="3"/>
      <x v="1"/>
    </i>
    <i>
      <x v="738"/>
      <x v="1347"/>
      <x v="202"/>
      <x v="1"/>
      <x v="2"/>
    </i>
    <i>
      <x v="739"/>
      <x v="1313"/>
      <x v="151"/>
      <x v="1"/>
      <x v="2"/>
    </i>
    <i r="1">
      <x v="1347"/>
      <x v="151"/>
      <x v="1"/>
      <x v="2"/>
    </i>
    <i>
      <x v="740"/>
      <x v="356"/>
      <x v="284"/>
      <x v="12"/>
      <x v="3"/>
    </i>
    <i>
      <x v="741"/>
      <x v="986"/>
      <x v="56"/>
      <x v="3"/>
      <x v="1"/>
    </i>
    <i>
      <x v="742"/>
      <x v="102"/>
      <x v="152"/>
      <x v="14"/>
      <x v="4"/>
    </i>
    <i>
      <x v="743"/>
      <x v="709"/>
      <x v="153"/>
      <x v="26"/>
      <x v="3"/>
    </i>
    <i>
      <x v="744"/>
      <x v="489"/>
      <x v="226"/>
      <x v="4"/>
      <x v="3"/>
    </i>
    <i>
      <x v="745"/>
      <x v="939"/>
      <x v="273"/>
      <x v="3"/>
      <x v="1"/>
    </i>
    <i r="1">
      <x v="940"/>
      <x v="273"/>
      <x v="3"/>
      <x v="1"/>
    </i>
    <i r="1">
      <x v="1347"/>
      <x v="273"/>
      <x v="3"/>
      <x v="1"/>
    </i>
    <i>
      <x v="746"/>
      <x v="523"/>
      <x v="155"/>
      <x v="4"/>
      <x v="3"/>
    </i>
    <i r="1">
      <x v="1347"/>
      <x v="155"/>
      <x v="4"/>
      <x v="3"/>
    </i>
    <i>
      <x v="747"/>
      <x v="524"/>
      <x v="155"/>
      <x v="4"/>
      <x v="3"/>
    </i>
    <i>
      <x v="748"/>
      <x v="478"/>
      <x v="84"/>
      <x v="4"/>
      <x v="3"/>
    </i>
    <i>
      <x v="749"/>
      <x v="1137"/>
      <x v="39"/>
      <x v="3"/>
      <x v="1"/>
    </i>
    <i>
      <x v="750"/>
      <x v="720"/>
      <x v="156"/>
      <x v="1"/>
      <x v="2"/>
    </i>
    <i>
      <x v="751"/>
      <x v="479"/>
      <x v="84"/>
      <x v="4"/>
      <x v="3"/>
    </i>
    <i r="1">
      <x v="1323"/>
      <x v="89"/>
      <x v="4"/>
      <x v="3"/>
    </i>
    <i>
      <x v="752"/>
      <x v="219"/>
      <x v="257"/>
      <x v="30"/>
      <x v="4"/>
    </i>
    <i>
      <x v="753"/>
      <x v="1347"/>
      <x v="74"/>
      <x v="3"/>
      <x v="1"/>
    </i>
    <i>
      <x v="754"/>
      <x v="525"/>
      <x v="155"/>
      <x v="4"/>
      <x v="3"/>
    </i>
    <i>
      <x v="755"/>
      <x v="843"/>
      <x v="157"/>
      <x v="3"/>
      <x v="1"/>
    </i>
    <i>
      <x v="756"/>
      <x v="1347"/>
      <x v="229"/>
      <x v="3"/>
      <x v="1"/>
    </i>
    <i>
      <x v="757"/>
      <x v="902"/>
      <x v="229"/>
      <x v="3"/>
      <x v="1"/>
    </i>
    <i>
      <x v="758"/>
      <x v="896"/>
      <x v="229"/>
      <x v="3"/>
      <x v="1"/>
    </i>
    <i>
      <x v="759"/>
      <x v="1347"/>
      <x v="229"/>
      <x v="3"/>
      <x v="1"/>
    </i>
    <i>
      <x v="760"/>
      <x v="338"/>
      <x v="113"/>
      <x v="12"/>
      <x v="3"/>
    </i>
    <i>
      <x v="761"/>
      <x v="94"/>
      <x v="76"/>
      <x v="14"/>
      <x v="4"/>
    </i>
    <i>
      <x v="762"/>
      <x v="1282"/>
      <x v="14"/>
      <x v="10"/>
      <x v="1"/>
    </i>
    <i>
      <x v="763"/>
      <x v="1138"/>
      <x v="39"/>
      <x v="3"/>
      <x v="1"/>
    </i>
    <i>
      <x v="764"/>
      <x v="526"/>
      <x v="155"/>
      <x v="4"/>
      <x v="3"/>
    </i>
    <i>
      <x v="765"/>
      <x v="1286"/>
      <x v="158"/>
      <x v="1"/>
      <x v="2"/>
    </i>
    <i>
      <x v="766"/>
      <x v="437"/>
      <x v="84"/>
      <x v="4"/>
      <x v="3"/>
    </i>
    <i>
      <x v="767"/>
      <x v="423"/>
      <x v="42"/>
      <x v="4"/>
      <x v="3"/>
    </i>
    <i>
      <x v="768"/>
      <x v="527"/>
      <x v="155"/>
      <x v="4"/>
      <x v="3"/>
    </i>
    <i>
      <x v="769"/>
      <x v="422"/>
      <x v="42"/>
      <x v="4"/>
      <x v="3"/>
    </i>
    <i>
      <x v="770"/>
      <x v="1347"/>
      <x v="41"/>
      <x v="4"/>
      <x v="3"/>
    </i>
    <i>
      <x v="771"/>
      <x v="97"/>
      <x v="159"/>
      <x v="14"/>
      <x v="4"/>
    </i>
    <i>
      <x v="772"/>
      <x v="879"/>
      <x v="7"/>
      <x v="3"/>
      <x v="1"/>
    </i>
    <i>
      <x v="773"/>
      <x v="1347"/>
      <x v="7"/>
      <x v="3"/>
      <x v="1"/>
    </i>
    <i>
      <x v="774"/>
      <x v="95"/>
      <x v="160"/>
      <x v="14"/>
      <x v="4"/>
    </i>
    <i>
      <x v="775"/>
      <x v="428"/>
      <x v="42"/>
      <x v="4"/>
      <x v="3"/>
    </i>
    <i r="1">
      <x v="788"/>
      <x v="306"/>
      <x v="27"/>
      <x v="1"/>
    </i>
    <i r="1">
      <x v="1347"/>
      <x v="41"/>
      <x v="4"/>
      <x v="3"/>
    </i>
    <i>
      <x v="776"/>
      <x v="528"/>
      <x v="155"/>
      <x v="4"/>
      <x v="3"/>
    </i>
    <i>
      <x v="777"/>
      <x v="1229"/>
      <x v="119"/>
      <x v="1"/>
      <x v="2"/>
    </i>
    <i>
      <x v="778"/>
      <x v="529"/>
      <x v="155"/>
      <x v="4"/>
      <x v="3"/>
    </i>
    <i r="1">
      <x v="1347"/>
      <x v="155"/>
      <x v="4"/>
      <x v="3"/>
    </i>
    <i>
      <x v="779"/>
      <x v="1298"/>
      <x v="310"/>
      <x v="1"/>
      <x v="2"/>
    </i>
    <i>
      <x v="780"/>
      <x v="1267"/>
      <x v="176"/>
      <x v="1"/>
      <x v="2"/>
    </i>
    <i>
      <x v="781"/>
      <x v="1147"/>
      <x v="164"/>
      <x v="12"/>
      <x v="3"/>
    </i>
    <i>
      <x v="782"/>
      <x v="395"/>
      <x v="65"/>
      <x v="12"/>
      <x v="3"/>
    </i>
    <i>
      <x v="783"/>
      <x v="103"/>
      <x v="297"/>
      <x v="14"/>
      <x v="4"/>
    </i>
    <i r="1">
      <x v="118"/>
      <x v="43"/>
      <x v="28"/>
      <x v="4"/>
    </i>
    <i r="1">
      <x v="163"/>
      <x v="165"/>
      <x v="14"/>
      <x v="4"/>
    </i>
    <i r="1">
      <x v="1160"/>
      <x v="173"/>
      <x v="13"/>
      <x v="2"/>
    </i>
    <i r="1">
      <x v="1314"/>
      <x v="261"/>
      <x v="1"/>
      <x v="2"/>
    </i>
    <i>
      <x v="784"/>
      <x v="411"/>
      <x v="141"/>
      <x v="10"/>
      <x v="1"/>
    </i>
    <i>
      <x v="785"/>
      <x v="1042"/>
      <x v="35"/>
      <x v="4"/>
      <x v="3"/>
    </i>
    <i>
      <x v="786"/>
      <x v="1143"/>
      <x v="296"/>
      <x v="12"/>
      <x v="3"/>
    </i>
    <i>
      <x v="787"/>
      <x v="215"/>
      <x v="187"/>
      <x v="30"/>
      <x v="4"/>
    </i>
    <i>
      <x v="788"/>
      <x v="61"/>
      <x v="92"/>
      <x v="14"/>
      <x v="4"/>
    </i>
    <i>
      <x v="789"/>
      <x v="429"/>
      <x v="42"/>
      <x v="4"/>
      <x v="3"/>
    </i>
    <i r="1">
      <x v="1347"/>
      <x v="41"/>
      <x v="4"/>
      <x v="3"/>
    </i>
    <i>
      <x v="790"/>
      <x v="113"/>
      <x v="239"/>
      <x v="14"/>
      <x v="4"/>
    </i>
    <i>
      <x v="791"/>
      <x v="1347"/>
      <x v="167"/>
      <x v="28"/>
      <x v="4"/>
    </i>
    <i>
      <x v="792"/>
      <x v="629"/>
      <x v="168"/>
      <x v="4"/>
      <x v="3"/>
    </i>
    <i r="1">
      <x v="630"/>
      <x v="168"/>
      <x v="4"/>
      <x v="3"/>
    </i>
    <i r="1">
      <x v="1347"/>
      <x v="168"/>
      <x v="4"/>
      <x v="3"/>
    </i>
    <i>
      <x v="793"/>
      <x v="631"/>
      <x v="168"/>
      <x v="4"/>
      <x v="3"/>
    </i>
    <i>
      <x v="794"/>
      <x v="557"/>
      <x v="169"/>
      <x v="4"/>
      <x v="3"/>
    </i>
    <i>
      <x v="795"/>
      <x v="419"/>
      <x v="42"/>
      <x v="4"/>
      <x v="3"/>
    </i>
    <i r="1">
      <x v="1347"/>
      <x v="41"/>
      <x v="4"/>
      <x v="3"/>
    </i>
    <i>
      <x v="796"/>
      <x v="838"/>
      <x v="157"/>
      <x v="3"/>
      <x v="1"/>
    </i>
    <i>
      <x v="797"/>
      <x v="670"/>
      <x v="128"/>
      <x v="4"/>
      <x v="3"/>
    </i>
    <i>
      <x v="798"/>
      <x v="1235"/>
      <x v="119"/>
      <x v="1"/>
      <x v="2"/>
    </i>
    <i>
      <x v="799"/>
      <x v="79"/>
      <x v="171"/>
      <x v="14"/>
      <x v="4"/>
    </i>
    <i>
      <x v="800"/>
      <x v="75"/>
      <x v="199"/>
      <x v="14"/>
      <x v="4"/>
    </i>
    <i>
      <x v="801"/>
      <x v="695"/>
      <x v="325"/>
      <x v="14"/>
      <x v="4"/>
    </i>
    <i r="1">
      <x v="1153"/>
      <x v="49"/>
      <x v="13"/>
      <x v="2"/>
    </i>
    <i r="1">
      <x v="1171"/>
      <x v="198"/>
      <x v="13"/>
      <x v="2"/>
    </i>
    <i>
      <x v="802"/>
      <x v="90"/>
      <x v="29"/>
      <x v="14"/>
      <x v="4"/>
    </i>
    <i>
      <x v="803"/>
      <x v="1300"/>
      <x v="310"/>
      <x v="1"/>
      <x v="2"/>
    </i>
    <i>
      <x v="804"/>
      <x v="200"/>
      <x v="172"/>
      <x v="30"/>
      <x v="4"/>
    </i>
    <i>
      <x v="805"/>
      <x v="1155"/>
      <x v="173"/>
      <x v="13"/>
      <x v="2"/>
    </i>
    <i>
      <x v="806"/>
      <x v="937"/>
      <x v="273"/>
      <x v="3"/>
      <x v="1"/>
    </i>
    <i r="1">
      <x v="1197"/>
      <x v="174"/>
      <x v="13"/>
      <x v="2"/>
    </i>
    <i r="1">
      <x v="1215"/>
      <x v="21"/>
      <x v="1"/>
      <x v="2"/>
    </i>
    <i>
      <x v="807"/>
      <x v="192"/>
      <x v="205"/>
      <x v="30"/>
      <x v="4"/>
    </i>
    <i>
      <x v="808"/>
      <x v="57"/>
      <x v="321"/>
      <x v="14"/>
      <x v="4"/>
    </i>
    <i>
      <x v="809"/>
      <x v="154"/>
      <x v="175"/>
      <x v="28"/>
      <x v="4"/>
    </i>
    <i>
      <x v="810"/>
      <x v="1092"/>
      <x v="137"/>
      <x v="10"/>
      <x v="1"/>
    </i>
    <i>
      <x v="811"/>
      <x v="188"/>
      <x v="53"/>
      <x v="30"/>
      <x v="4"/>
    </i>
    <i>
      <x v="812"/>
      <x v="1263"/>
      <x v="176"/>
      <x v="1"/>
      <x v="2"/>
    </i>
    <i>
      <x v="813"/>
      <x v="1347"/>
      <x v="176"/>
      <x v="1"/>
      <x v="2"/>
    </i>
    <i>
      <x v="814"/>
      <x v="1269"/>
      <x v="176"/>
      <x v="1"/>
      <x v="2"/>
    </i>
    <i>
      <x v="815"/>
      <x v="1206"/>
      <x v="174"/>
      <x v="13"/>
      <x v="2"/>
    </i>
    <i>
      <x v="816"/>
      <x v="405"/>
      <x v="278"/>
      <x v="12"/>
      <x v="3"/>
    </i>
    <i>
      <x v="817"/>
      <x v="406"/>
      <x v="278"/>
      <x v="12"/>
      <x v="3"/>
    </i>
    <i>
      <x v="818"/>
      <x v="825"/>
      <x v="101"/>
      <x v="27"/>
      <x v="1"/>
    </i>
    <i>
      <x v="819"/>
      <x v="108"/>
      <x v="177"/>
      <x v="14"/>
      <x v="4"/>
    </i>
    <i>
      <x v="820"/>
      <x v="362"/>
      <x v="296"/>
      <x v="12"/>
      <x v="3"/>
    </i>
    <i>
      <x v="821"/>
      <x v="1347"/>
      <x v="97"/>
      <x v="5"/>
      <x v="1"/>
    </i>
    <i>
      <x v="822"/>
      <x v="932"/>
      <x v="17"/>
      <x v="3"/>
      <x v="1"/>
    </i>
    <i>
      <x v="823"/>
      <x v="1296"/>
      <x v="310"/>
      <x v="1"/>
      <x v="2"/>
    </i>
    <i>
      <x v="824"/>
      <x v="1012"/>
      <x v="179"/>
      <x v="3"/>
      <x v="1"/>
    </i>
    <i>
      <x v="825"/>
      <x v="1347"/>
      <x v="180"/>
      <x v="27"/>
      <x v="1"/>
    </i>
    <i>
      <x v="826"/>
      <x v="232"/>
      <x v="181"/>
      <x v="9"/>
      <x v="4"/>
    </i>
    <i>
      <x v="827"/>
      <x v="1183"/>
      <x v="184"/>
      <x v="13"/>
      <x v="2"/>
    </i>
    <i>
      <x v="828"/>
      <x v="1182"/>
      <x v="184"/>
      <x v="13"/>
      <x v="2"/>
    </i>
    <i>
      <x v="829"/>
      <x v="692"/>
      <x v="185"/>
      <x v="4"/>
      <x v="3"/>
    </i>
    <i>
      <x v="830"/>
      <x v="678"/>
      <x v="185"/>
      <x v="4"/>
      <x v="3"/>
    </i>
    <i r="1">
      <x v="679"/>
      <x v="185"/>
      <x v="4"/>
      <x v="3"/>
    </i>
    <i>
      <x v="831"/>
      <x v="1179"/>
      <x v="127"/>
      <x v="13"/>
      <x v="2"/>
    </i>
    <i>
      <x v="832"/>
      <x v="69"/>
      <x v="186"/>
      <x v="14"/>
      <x v="4"/>
    </i>
    <i>
      <x v="833"/>
      <x v="238"/>
      <x v="187"/>
      <x v="30"/>
      <x v="4"/>
    </i>
    <i r="1">
      <x v="1347"/>
      <x v="187"/>
      <x v="29"/>
      <x v="5"/>
    </i>
    <i>
      <x v="834"/>
      <x v="1164"/>
      <x v="134"/>
      <x v="13"/>
      <x v="2"/>
    </i>
    <i>
      <x v="835"/>
      <x v="209"/>
      <x v="191"/>
      <x v="30"/>
      <x v="4"/>
    </i>
    <i>
      <x v="836"/>
      <x v="111"/>
      <x v="317"/>
      <x v="14"/>
      <x v="4"/>
    </i>
    <i r="1">
      <x v="156"/>
      <x v="192"/>
      <x v="28"/>
      <x v="4"/>
    </i>
    <i r="1">
      <x v="211"/>
      <x v="191"/>
      <x v="30"/>
      <x v="4"/>
    </i>
    <i>
      <x v="837"/>
      <x v="146"/>
      <x v="139"/>
      <x v="14"/>
      <x v="4"/>
    </i>
    <i>
      <x v="838"/>
      <x v="803"/>
      <x v="260"/>
      <x v="27"/>
      <x v="1"/>
    </i>
    <i>
      <x v="839"/>
      <x v="585"/>
      <x v="323"/>
      <x v="4"/>
      <x v="3"/>
    </i>
    <i>
      <x v="840"/>
      <x v="818"/>
      <x v="194"/>
      <x v="11"/>
      <x v="1"/>
    </i>
    <i>
      <x v="841"/>
      <x v="771"/>
      <x v="15"/>
      <x v="11"/>
      <x v="1"/>
    </i>
    <i r="1">
      <x v="1347"/>
      <x v="15"/>
      <x v="11"/>
      <x v="1"/>
    </i>
    <i>
      <x v="842"/>
      <x v="415"/>
      <x v="42"/>
      <x v="4"/>
      <x v="3"/>
    </i>
    <i>
      <x v="843"/>
      <x v="148"/>
      <x v="262"/>
      <x v="28"/>
      <x v="4"/>
    </i>
    <i>
      <x v="844"/>
      <x v="671"/>
      <x v="128"/>
      <x v="4"/>
      <x v="3"/>
    </i>
    <i>
      <x v="845"/>
      <x v="891"/>
      <x v="33"/>
      <x v="3"/>
      <x v="1"/>
    </i>
    <i>
      <x v="846"/>
      <x v="359"/>
      <x v="284"/>
      <x v="12"/>
      <x v="3"/>
    </i>
    <i r="1">
      <x v="1347"/>
      <x v="284"/>
      <x v="12"/>
      <x v="3"/>
    </i>
    <i>
      <x v="847"/>
      <x v="7"/>
      <x v="30"/>
      <x v="16"/>
      <x v="8"/>
    </i>
    <i>
      <x v="848"/>
      <x v="1186"/>
      <x v="184"/>
      <x v="13"/>
      <x v="2"/>
    </i>
    <i>
      <x v="849"/>
      <x v="1139"/>
      <x v="39"/>
      <x v="3"/>
      <x v="1"/>
    </i>
    <i>
      <x v="850"/>
      <x v="746"/>
      <x v="300"/>
      <x v="11"/>
      <x v="1"/>
    </i>
    <i>
      <x v="851"/>
      <x v="427"/>
      <x v="42"/>
      <x v="4"/>
      <x v="3"/>
    </i>
    <i>
      <x v="852"/>
      <x v="177"/>
      <x v="188"/>
      <x v="21"/>
      <x v="4"/>
    </i>
    <i>
      <x v="853"/>
      <x v="1347"/>
      <x v="195"/>
      <x v="12"/>
      <x v="3"/>
    </i>
    <i>
      <x v="854"/>
      <x v="1219"/>
      <x v="21"/>
      <x v="1"/>
      <x v="2"/>
    </i>
    <i>
      <x v="855"/>
      <x v="165"/>
      <x v="165"/>
      <x v="14"/>
      <x v="4"/>
    </i>
    <i>
      <x v="856"/>
      <x v="134"/>
      <x v="196"/>
      <x v="28"/>
      <x v="4"/>
    </i>
    <i>
      <x v="857"/>
      <x v="185"/>
      <x v="215"/>
      <x v="30"/>
      <x v="4"/>
    </i>
    <i>
      <x v="858"/>
      <x v="11"/>
      <x v="18"/>
      <x v="17"/>
      <x v="8"/>
    </i>
    <i>
      <x v="859"/>
      <x v="87"/>
      <x v="25"/>
      <x v="14"/>
      <x v="4"/>
    </i>
    <i>
      <x v="860"/>
      <x v="765"/>
      <x v="234"/>
      <x v="11"/>
      <x v="1"/>
    </i>
    <i>
      <x v="861"/>
      <x v="128"/>
      <x v="197"/>
      <x v="28"/>
      <x v="4"/>
    </i>
    <i>
      <x v="862"/>
      <x v="187"/>
      <x v="215"/>
      <x v="30"/>
      <x v="4"/>
    </i>
    <i>
      <x v="863"/>
      <x v="107"/>
      <x v="197"/>
      <x v="28"/>
      <x v="4"/>
    </i>
    <i>
      <x v="864"/>
      <x v="312"/>
      <x v="16"/>
      <x v="12"/>
      <x v="3"/>
    </i>
    <i r="1">
      <x v="1047"/>
      <x v="307"/>
      <x v="10"/>
      <x v="1"/>
    </i>
    <i r="1">
      <x v="1265"/>
      <x v="198"/>
      <x v="1"/>
      <x v="2"/>
    </i>
    <i>
      <x v="865"/>
      <x v="76"/>
      <x v="199"/>
      <x v="14"/>
      <x v="4"/>
    </i>
    <i>
      <x v="866"/>
      <x v="389"/>
      <x v="65"/>
      <x v="12"/>
      <x v="3"/>
    </i>
    <i>
      <x v="867"/>
      <x v="73"/>
      <x v="201"/>
      <x v="14"/>
      <x v="4"/>
    </i>
    <i>
      <x v="868"/>
      <x v="55"/>
      <x v="162"/>
      <x v="14"/>
      <x v="4"/>
    </i>
    <i>
      <x v="869"/>
      <x v="40"/>
      <x v="202"/>
      <x v="1"/>
      <x v="2"/>
    </i>
    <i>
      <x v="870"/>
      <x v="1347"/>
      <x v="202"/>
      <x v="1"/>
      <x v="2"/>
    </i>
    <i>
      <x v="871"/>
      <x v="1207"/>
      <x v="34"/>
      <x v="28"/>
      <x v="4"/>
    </i>
    <i>
      <x v="872"/>
      <x v="8"/>
      <x v="9"/>
      <x v="16"/>
      <x v="8"/>
    </i>
    <i>
      <x v="873"/>
      <x v="213"/>
      <x v="221"/>
      <x v="30"/>
      <x v="4"/>
    </i>
    <i>
      <x v="874"/>
      <x v="1322"/>
      <x v="266"/>
      <x v="13"/>
      <x v="2"/>
    </i>
    <i>
      <x v="875"/>
      <x v="1205"/>
      <x v="174"/>
      <x v="13"/>
      <x v="2"/>
    </i>
    <i>
      <x v="876"/>
      <x v="1034"/>
      <x v="141"/>
      <x v="10"/>
      <x v="1"/>
    </i>
    <i>
      <x v="877"/>
      <x v="1108"/>
      <x v="319"/>
      <x v="10"/>
      <x v="1"/>
    </i>
    <i>
      <x v="878"/>
      <x v="883"/>
      <x v="27"/>
      <x v="3"/>
      <x v="1"/>
    </i>
    <i>
      <x v="879"/>
      <x v="1347"/>
      <x v="68"/>
      <x v="4"/>
      <x v="3"/>
    </i>
    <i>
      <x v="880"/>
      <x v="2"/>
      <x v="204"/>
      <x v="19"/>
      <x v="8"/>
    </i>
    <i>
      <x v="881"/>
      <x v="1347"/>
      <x v="204"/>
      <x v="19"/>
      <x v="8"/>
    </i>
    <i>
      <x v="882"/>
      <x v="84"/>
      <x v="292"/>
      <x v="14"/>
      <x v="4"/>
    </i>
    <i r="1">
      <x v="142"/>
      <x v="245"/>
      <x v="28"/>
      <x v="4"/>
    </i>
    <i r="1">
      <x v="196"/>
      <x v="205"/>
      <x v="30"/>
      <x v="4"/>
    </i>
    <i r="1">
      <x v="1347"/>
      <x v="205"/>
      <x v="30"/>
      <x v="4"/>
    </i>
    <i>
      <x v="883"/>
      <x v="365"/>
      <x v="82"/>
      <x v="12"/>
      <x v="3"/>
    </i>
    <i>
      <x v="884"/>
      <x v="19"/>
      <x v="102"/>
      <x v="17"/>
      <x v="8"/>
    </i>
    <i r="1">
      <x v="72"/>
      <x v="206"/>
      <x v="30"/>
      <x v="4"/>
    </i>
    <i r="1">
      <x v="126"/>
      <x v="217"/>
      <x v="14"/>
      <x v="4"/>
    </i>
    <i r="1">
      <x v="1347"/>
      <x v="206"/>
      <x v="14"/>
      <x v="4"/>
    </i>
    <i>
      <x v="885"/>
      <x v="916"/>
      <x v="230"/>
      <x v="3"/>
      <x v="1"/>
    </i>
    <i>
      <x v="886"/>
      <x v="1347"/>
      <x v="207"/>
      <x v="19"/>
      <x v="8"/>
    </i>
    <i>
      <x v="887"/>
      <x v="71"/>
      <x v="186"/>
      <x v="14"/>
      <x v="4"/>
    </i>
    <i r="1">
      <x v="96"/>
      <x v="160"/>
      <x v="14"/>
      <x v="4"/>
    </i>
    <i r="1">
      <x v="198"/>
      <x v="208"/>
      <x v="30"/>
      <x v="4"/>
    </i>
    <i r="1">
      <x v="283"/>
      <x v="82"/>
      <x v="12"/>
      <x v="3"/>
    </i>
    <i r="1">
      <x v="929"/>
      <x v="33"/>
      <x v="3"/>
      <x v="1"/>
    </i>
    <i r="1">
      <x v="1287"/>
      <x v="202"/>
      <x v="1"/>
      <x v="2"/>
    </i>
    <i r="1">
      <x v="1347"/>
      <x v="82"/>
      <x v="12"/>
      <x v="3"/>
    </i>
    <i>
      <x v="888"/>
      <x v="794"/>
      <x v="306"/>
      <x v="27"/>
      <x v="1"/>
    </i>
    <i>
      <x v="889"/>
      <x v="88"/>
      <x v="210"/>
      <x v="14"/>
      <x v="4"/>
    </i>
    <i>
      <x v="890"/>
      <x v="1054"/>
      <x v="212"/>
      <x v="10"/>
      <x v="1"/>
    </i>
    <i>
      <x v="891"/>
      <x v="712"/>
      <x v="153"/>
      <x v="26"/>
      <x v="3"/>
    </i>
    <i>
      <x v="892"/>
      <x v="640"/>
      <x v="185"/>
      <x v="4"/>
      <x v="3"/>
    </i>
    <i>
      <x v="893"/>
      <x v="1347"/>
      <x v="155"/>
      <x v="4"/>
      <x v="3"/>
    </i>
    <i>
      <x v="894"/>
      <x v="530"/>
      <x v="155"/>
      <x v="4"/>
      <x v="3"/>
    </i>
    <i>
      <x v="895"/>
      <x v="531"/>
      <x v="155"/>
      <x v="4"/>
      <x v="3"/>
    </i>
    <i>
      <x v="896"/>
      <x v="532"/>
      <x v="155"/>
      <x v="4"/>
      <x v="3"/>
    </i>
    <i r="1">
      <x v="1347"/>
      <x v="155"/>
      <x v="4"/>
      <x v="3"/>
    </i>
    <i>
      <x v="897"/>
      <x v="1051"/>
      <x v="212"/>
      <x v="10"/>
      <x v="1"/>
    </i>
    <i>
      <x v="898"/>
      <x v="386"/>
      <x v="213"/>
      <x v="12"/>
      <x v="3"/>
    </i>
    <i>
      <x v="899"/>
      <x v="157"/>
      <x v="216"/>
      <x v="28"/>
      <x v="4"/>
    </i>
    <i>
      <x v="900"/>
      <x v="144"/>
      <x v="217"/>
      <x v="14"/>
      <x v="4"/>
    </i>
    <i>
      <x v="901"/>
      <x v="1175"/>
      <x v="127"/>
      <x v="13"/>
      <x v="2"/>
    </i>
    <i>
      <x v="902"/>
      <x v="1177"/>
      <x v="127"/>
      <x v="13"/>
      <x v="2"/>
    </i>
    <i>
      <x v="903"/>
      <x v="396"/>
      <x v="65"/>
      <x v="12"/>
      <x v="3"/>
    </i>
    <i>
      <x v="904"/>
      <x v="115"/>
      <x v="311"/>
      <x v="28"/>
      <x v="4"/>
    </i>
    <i r="1">
      <x v="367"/>
      <x v="82"/>
      <x v="12"/>
      <x v="3"/>
    </i>
    <i>
      <x v="905"/>
      <x v="212"/>
      <x v="221"/>
      <x v="30"/>
      <x v="4"/>
    </i>
    <i>
      <x v="906"/>
      <x v="971"/>
      <x v="97"/>
      <x v="5"/>
      <x v="1"/>
    </i>
    <i r="1">
      <x v="1347"/>
      <x v="97"/>
      <x v="5"/>
      <x v="1"/>
    </i>
    <i>
      <x v="907"/>
      <x v="598"/>
      <x v="54"/>
      <x v="4"/>
      <x v="3"/>
    </i>
    <i r="1">
      <x v="1041"/>
      <x v="14"/>
      <x v="10"/>
      <x v="1"/>
    </i>
    <i r="1">
      <x v="1170"/>
      <x v="198"/>
      <x v="13"/>
      <x v="2"/>
    </i>
    <i>
      <x v="908"/>
      <x v="605"/>
      <x v="54"/>
      <x v="4"/>
      <x v="3"/>
    </i>
    <i>
      <x v="909"/>
      <x v="1347"/>
      <x v="54"/>
      <x v="4"/>
      <x v="3"/>
    </i>
    <i>
      <x v="910"/>
      <x v="62"/>
      <x v="316"/>
      <x v="14"/>
      <x v="4"/>
    </i>
    <i>
      <x v="911"/>
      <x v="1001"/>
      <x v="190"/>
      <x v="3"/>
      <x v="1"/>
    </i>
    <i r="1">
      <x v="1347"/>
      <x v="190"/>
      <x v="5"/>
      <x v="1"/>
    </i>
    <i>
      <x v="912"/>
      <x v="533"/>
      <x v="155"/>
      <x v="4"/>
      <x v="3"/>
    </i>
    <i>
      <x v="913"/>
      <x v="534"/>
      <x v="155"/>
      <x v="4"/>
      <x v="3"/>
    </i>
    <i>
      <x v="914"/>
      <x v="1262"/>
      <x v="270"/>
      <x v="1"/>
      <x v="2"/>
    </i>
    <i>
      <x v="915"/>
      <x v="1261"/>
      <x v="270"/>
      <x v="1"/>
      <x v="2"/>
    </i>
    <i>
      <x v="916"/>
      <x v="138"/>
      <x v="246"/>
      <x v="28"/>
      <x v="4"/>
    </i>
    <i>
      <x v="917"/>
      <x v="12"/>
      <x v="18"/>
      <x v="17"/>
      <x v="8"/>
    </i>
    <i>
      <x v="918"/>
      <x v="572"/>
      <x v="68"/>
      <x v="4"/>
      <x v="3"/>
    </i>
    <i>
      <x v="919"/>
      <x v="1173"/>
      <x v="198"/>
      <x v="13"/>
      <x v="2"/>
    </i>
    <i r="1">
      <x v="1290"/>
      <x v="225"/>
      <x v="1"/>
      <x v="2"/>
    </i>
    <i>
      <x v="920"/>
      <x v="26"/>
      <x v="178"/>
      <x v="16"/>
      <x v="8"/>
    </i>
    <i>
      <x v="921"/>
      <x v="1259"/>
      <x v="270"/>
      <x v="1"/>
      <x v="2"/>
    </i>
    <i>
      <x v="922"/>
      <x v="1180"/>
      <x v="127"/>
      <x v="13"/>
      <x v="2"/>
    </i>
    <i>
      <x v="923"/>
      <x v="1347"/>
      <x v="278"/>
      <x v="12"/>
      <x v="3"/>
    </i>
    <i>
      <x v="924"/>
      <x v="482"/>
      <x v="226"/>
      <x v="4"/>
      <x v="3"/>
    </i>
    <i>
      <x v="925"/>
      <x v="1243"/>
      <x v="138"/>
      <x v="1"/>
      <x v="2"/>
    </i>
    <i>
      <x v="926"/>
      <x v="264"/>
      <x v="273"/>
      <x v="3"/>
      <x v="1"/>
    </i>
    <i>
      <x v="927"/>
      <x v="92"/>
      <x v="76"/>
      <x v="14"/>
      <x v="4"/>
    </i>
    <i r="1">
      <x v="1150"/>
      <x v="49"/>
      <x v="13"/>
      <x v="2"/>
    </i>
    <i>
      <x v="928"/>
      <x v="766"/>
      <x v="234"/>
      <x v="11"/>
      <x v="1"/>
    </i>
    <i>
      <x v="929"/>
      <x v="1334"/>
      <x v="89"/>
      <x v="4"/>
      <x v="3"/>
    </i>
    <i>
      <x v="930"/>
      <x v="812"/>
      <x v="240"/>
      <x v="27"/>
      <x v="1"/>
    </i>
    <i>
      <x v="931"/>
      <x v="1217"/>
      <x v="273"/>
      <x v="3"/>
      <x v="1"/>
    </i>
    <i>
      <x v="932"/>
      <x v="455"/>
      <x v="35"/>
      <x v="4"/>
      <x v="3"/>
    </i>
    <i>
      <x v="933"/>
      <x v="464"/>
      <x v="35"/>
      <x v="4"/>
      <x v="3"/>
    </i>
    <i>
      <x v="934"/>
      <x v="1065"/>
      <x v="242"/>
      <x v="10"/>
      <x v="1"/>
    </i>
    <i>
      <x v="935"/>
      <x v="917"/>
      <x v="230"/>
      <x v="3"/>
      <x v="1"/>
    </i>
    <i>
      <x v="936"/>
      <x v="1003"/>
      <x v="61"/>
      <x v="3"/>
      <x v="1"/>
    </i>
    <i>
      <x v="937"/>
      <x v="1347"/>
      <x v="286"/>
      <x v="12"/>
      <x v="3"/>
    </i>
    <i>
      <x v="938"/>
      <x v="870"/>
      <x v="73"/>
      <x v="3"/>
      <x v="1"/>
    </i>
    <i>
      <x v="939"/>
      <x v="804"/>
      <x v="260"/>
      <x v="27"/>
      <x v="1"/>
    </i>
    <i>
      <x v="940"/>
      <x v="463"/>
      <x v="35"/>
      <x v="4"/>
      <x v="3"/>
    </i>
    <i>
      <x v="941"/>
      <x v="918"/>
      <x v="230"/>
      <x v="3"/>
      <x v="1"/>
    </i>
    <i>
      <x v="942"/>
      <x v="905"/>
      <x v="230"/>
      <x v="3"/>
      <x v="1"/>
    </i>
    <i>
      <x v="943"/>
      <x v="919"/>
      <x v="230"/>
      <x v="3"/>
      <x v="1"/>
    </i>
    <i>
      <x v="944"/>
      <x v="222"/>
      <x v="315"/>
      <x v="30"/>
      <x v="4"/>
    </i>
    <i>
      <x v="945"/>
      <x v="1292"/>
      <x v="225"/>
      <x v="1"/>
      <x v="2"/>
    </i>
    <i>
      <x v="946"/>
      <x v="1347"/>
      <x v="231"/>
      <x v="12"/>
      <x v="3"/>
    </i>
    <i>
      <x v="947"/>
      <x v="328"/>
      <x v="231"/>
      <x v="12"/>
      <x v="3"/>
    </i>
    <i>
      <x v="948"/>
      <x v="778"/>
      <x v="118"/>
      <x v="11"/>
      <x v="1"/>
    </i>
    <i>
      <x v="949"/>
      <x v="1347"/>
      <x v="118"/>
      <x v="11"/>
      <x v="1"/>
    </i>
    <i>
      <x v="950"/>
      <x v="920"/>
      <x v="230"/>
      <x v="3"/>
      <x v="1"/>
    </i>
    <i>
      <x v="951"/>
      <x v="832"/>
      <x v="39"/>
      <x v="3"/>
      <x v="1"/>
    </i>
    <i>
      <x v="952"/>
      <x v="255"/>
      <x v="255"/>
      <x v="10"/>
      <x v="1"/>
    </i>
    <i r="1">
      <x v="983"/>
      <x v="56"/>
      <x v="3"/>
      <x v="1"/>
    </i>
    <i r="1">
      <x v="1347"/>
      <x v="255"/>
      <x v="10"/>
      <x v="1"/>
    </i>
    <i>
      <x v="953"/>
      <x v="700"/>
      <x v="7"/>
      <x v="3"/>
      <x v="1"/>
    </i>
    <i>
      <x v="954"/>
      <x v="871"/>
      <x v="73"/>
      <x v="3"/>
      <x v="1"/>
    </i>
    <i>
      <x v="955"/>
      <x v="6"/>
      <x v="232"/>
      <x v="19"/>
      <x v="8"/>
    </i>
    <i>
      <x v="956"/>
      <x v="1347"/>
      <x v="118"/>
      <x v="11"/>
      <x v="1"/>
    </i>
    <i>
      <x v="957"/>
      <x v="774"/>
      <x v="118"/>
      <x v="11"/>
      <x v="1"/>
    </i>
    <i>
      <x v="958"/>
      <x v="354"/>
      <x v="244"/>
      <x v="12"/>
      <x v="3"/>
    </i>
    <i>
      <x v="959"/>
      <x v="795"/>
      <x v="306"/>
      <x v="27"/>
      <x v="1"/>
    </i>
    <i>
      <x v="960"/>
      <x v="786"/>
      <x v="306"/>
      <x v="27"/>
      <x v="1"/>
    </i>
    <i>
      <x v="961"/>
      <x v="496"/>
      <x v="87"/>
      <x v="4"/>
      <x v="3"/>
    </i>
    <i>
      <x v="962"/>
      <x v="4"/>
      <x v="232"/>
      <x v="19"/>
      <x v="8"/>
    </i>
    <i>
      <x v="963"/>
      <x v="1148"/>
      <x v="233"/>
      <x v="28"/>
      <x v="4"/>
    </i>
    <i>
      <x v="964"/>
      <x v="808"/>
      <x v="49"/>
      <x v="3"/>
      <x v="1"/>
    </i>
    <i r="1">
      <x v="889"/>
      <x v="32"/>
      <x v="3"/>
      <x v="1"/>
    </i>
    <i>
      <x v="965"/>
      <x v="667"/>
      <x v="185"/>
      <x v="4"/>
      <x v="3"/>
    </i>
    <i r="1">
      <x v="685"/>
      <x v="185"/>
      <x v="4"/>
      <x v="3"/>
    </i>
    <i r="1">
      <x v="1341"/>
      <x v="234"/>
      <x v="11"/>
      <x v="1"/>
    </i>
    <i>
      <x v="966"/>
      <x v="1249"/>
      <x v="291"/>
      <x v="1"/>
      <x v="2"/>
    </i>
    <i>
      <x v="967"/>
      <x v="834"/>
      <x v="39"/>
      <x v="3"/>
      <x v="1"/>
    </i>
    <i>
      <x v="968"/>
      <x v="1280"/>
      <x v="235"/>
      <x v="1"/>
      <x v="2"/>
    </i>
    <i>
      <x v="969"/>
      <x v="1230"/>
      <x v="119"/>
      <x v="1"/>
      <x v="2"/>
    </i>
    <i>
      <x v="970"/>
      <x v="711"/>
      <x v="153"/>
      <x v="26"/>
      <x v="3"/>
    </i>
    <i>
      <x v="971"/>
      <x v="127"/>
      <x v="217"/>
      <x v="14"/>
      <x v="4"/>
    </i>
    <i>
      <x v="972"/>
      <x v="378"/>
      <x v="312"/>
      <x v="28"/>
      <x v="4"/>
    </i>
    <i>
      <x v="973"/>
      <x v="908"/>
      <x v="230"/>
      <x v="3"/>
      <x v="1"/>
    </i>
    <i>
      <x v="974"/>
      <x v="906"/>
      <x v="230"/>
      <x v="3"/>
      <x v="1"/>
    </i>
    <i>
      <x v="975"/>
      <x v="907"/>
      <x v="230"/>
      <x v="3"/>
      <x v="1"/>
    </i>
    <i>
      <x v="976"/>
      <x v="1151"/>
      <x v="49"/>
      <x v="13"/>
      <x v="2"/>
    </i>
    <i>
      <x v="977"/>
      <x v="125"/>
      <x v="217"/>
      <x v="14"/>
      <x v="4"/>
    </i>
    <i>
      <x v="978"/>
      <x v="1347"/>
      <x v="237"/>
      <x v="19"/>
      <x v="8"/>
    </i>
    <i>
      <x v="979"/>
      <x v="239"/>
      <x v="47"/>
      <x v="14"/>
      <x v="4"/>
    </i>
    <i>
      <x v="980"/>
      <x v="1009"/>
      <x v="61"/>
      <x v="3"/>
      <x v="1"/>
    </i>
    <i>
      <x v="981"/>
      <x v="85"/>
      <x v="139"/>
      <x v="14"/>
      <x v="4"/>
    </i>
    <i>
      <x v="982"/>
      <x v="1305"/>
      <x v="238"/>
      <x v="1"/>
      <x v="2"/>
    </i>
    <i>
      <x v="983"/>
      <x v="536"/>
      <x v="155"/>
      <x v="4"/>
      <x v="3"/>
    </i>
    <i r="1">
      <x v="1347"/>
      <x v="155"/>
      <x v="4"/>
      <x v="3"/>
    </i>
    <i>
      <x v="984"/>
      <x v="859"/>
      <x v="73"/>
      <x v="3"/>
      <x v="1"/>
    </i>
    <i r="1">
      <x v="1335"/>
      <x v="89"/>
      <x v="4"/>
      <x v="3"/>
    </i>
    <i>
      <x v="985"/>
      <x v="1082"/>
      <x v="125"/>
      <x v="10"/>
      <x v="1"/>
    </i>
    <i>
      <x v="986"/>
      <x v="1083"/>
      <x v="125"/>
      <x v="10"/>
      <x v="1"/>
    </i>
    <i>
      <x v="987"/>
      <x v="1185"/>
      <x v="184"/>
      <x v="13"/>
      <x v="2"/>
    </i>
    <i>
      <x v="988"/>
      <x v="112"/>
      <x v="239"/>
      <x v="14"/>
      <x v="4"/>
    </i>
    <i>
      <x v="989"/>
      <x v="265"/>
      <x v="240"/>
      <x v="27"/>
      <x v="1"/>
    </i>
    <i>
      <x v="990"/>
      <x v="965"/>
      <x v="241"/>
      <x v="3"/>
      <x v="1"/>
    </i>
    <i>
      <x v="991"/>
      <x v="966"/>
      <x v="241"/>
      <x v="3"/>
      <x v="1"/>
    </i>
    <i>
      <x v="992"/>
      <x v="1066"/>
      <x v="242"/>
      <x v="10"/>
      <x v="1"/>
    </i>
    <i>
      <x v="993"/>
      <x v="227"/>
      <x v="243"/>
      <x v="9"/>
      <x v="4"/>
    </i>
    <i>
      <x v="994"/>
      <x v="1297"/>
      <x v="310"/>
      <x v="1"/>
      <x v="2"/>
    </i>
    <i>
      <x v="995"/>
      <x v="83"/>
      <x v="249"/>
      <x v="21"/>
      <x v="4"/>
    </i>
    <i r="1">
      <x v="178"/>
      <x v="188"/>
      <x v="21"/>
      <x v="4"/>
    </i>
    <i>
      <x v="996"/>
      <x v="343"/>
      <x v="244"/>
      <x v="12"/>
      <x v="3"/>
    </i>
    <i>
      <x v="997"/>
      <x v="183"/>
      <x v="326"/>
      <x v="30"/>
      <x v="4"/>
    </i>
    <i>
      <x v="998"/>
      <x v="733"/>
      <x v="300"/>
      <x v="11"/>
      <x v="1"/>
    </i>
    <i>
      <x v="999"/>
      <x v="190"/>
      <x v="60"/>
      <x v="30"/>
      <x v="4"/>
    </i>
    <i>
      <x v="1000"/>
      <x v="137"/>
      <x v="246"/>
      <x v="28"/>
      <x v="4"/>
    </i>
    <i>
      <x v="1001"/>
      <x v="151"/>
      <x v="262"/>
      <x v="28"/>
      <x v="4"/>
    </i>
    <i>
      <x v="1002"/>
      <x v="1044"/>
      <x v="309"/>
      <x v="10"/>
      <x v="1"/>
    </i>
    <i>
      <x v="1003"/>
      <x v="1084"/>
      <x v="125"/>
      <x v="10"/>
      <x v="1"/>
    </i>
    <i>
      <x v="1004"/>
      <x v="1299"/>
      <x v="310"/>
      <x v="1"/>
      <x v="2"/>
    </i>
    <i>
      <x v="1005"/>
      <x v="964"/>
      <x v="241"/>
      <x v="3"/>
      <x v="1"/>
    </i>
    <i>
      <x v="1006"/>
      <x v="194"/>
      <x v="60"/>
      <x v="30"/>
      <x v="4"/>
    </i>
    <i>
      <x v="1007"/>
      <x v="1347"/>
      <x v="82"/>
      <x v="12"/>
      <x v="3"/>
    </i>
    <i>
      <x v="1008"/>
      <x v="1077"/>
      <x v="125"/>
      <x v="10"/>
      <x v="1"/>
    </i>
    <i>
      <x v="1009"/>
      <x v="1284"/>
      <x v="119"/>
      <x v="1"/>
      <x v="2"/>
    </i>
    <i>
      <x v="1010"/>
      <x v="229"/>
      <x v="113"/>
      <x v="12"/>
      <x v="3"/>
    </i>
    <i r="1">
      <x v="672"/>
      <x v="128"/>
      <x v="4"/>
      <x v="3"/>
    </i>
    <i>
      <x v="1011"/>
      <x v="1347"/>
      <x v="250"/>
      <x v="10"/>
      <x v="1"/>
    </i>
    <i>
      <x v="1012"/>
      <x v="1121"/>
      <x v="70"/>
      <x v="10"/>
      <x v="1"/>
    </i>
    <i>
      <x v="1013"/>
      <x v="1039"/>
      <x v="71"/>
      <x v="10"/>
      <x v="1"/>
    </i>
    <i>
      <x v="1014"/>
      <x v="831"/>
      <x v="39"/>
      <x v="3"/>
      <x v="1"/>
    </i>
    <i>
      <x v="1015"/>
      <x v="366"/>
      <x v="82"/>
      <x v="12"/>
      <x v="3"/>
    </i>
    <i>
      <x v="1016"/>
      <x v="316"/>
      <x v="81"/>
      <x v="12"/>
      <x v="3"/>
    </i>
    <i>
      <x v="1017"/>
      <x v="537"/>
      <x v="155"/>
      <x v="4"/>
      <x v="3"/>
    </i>
    <i>
      <x v="1018"/>
      <x v="384"/>
      <x v="150"/>
      <x v="12"/>
      <x v="3"/>
    </i>
    <i>
      <x v="1019"/>
      <x v="967"/>
      <x v="241"/>
      <x v="3"/>
      <x v="1"/>
    </i>
    <i>
      <x v="1020"/>
      <x v="44"/>
      <x v="103"/>
      <x v="16"/>
      <x v="8"/>
    </i>
    <i>
      <x v="1021"/>
      <x v="393"/>
      <x v="255"/>
      <x v="10"/>
      <x v="1"/>
    </i>
    <i r="1">
      <x v="397"/>
      <x v="65"/>
      <x v="12"/>
      <x v="3"/>
    </i>
    <i r="1">
      <x v="591"/>
      <x v="140"/>
      <x v="4"/>
      <x v="3"/>
    </i>
    <i r="1">
      <x v="717"/>
      <x v="135"/>
      <x v="12"/>
      <x v="3"/>
    </i>
    <i r="1">
      <x v="1212"/>
      <x v="13"/>
      <x v="13"/>
      <x v="2"/>
    </i>
    <i r="1">
      <x v="1347"/>
      <x v="255"/>
      <x v="10"/>
      <x v="1"/>
    </i>
    <i>
      <x v="1022"/>
      <x v="538"/>
      <x v="155"/>
      <x v="4"/>
      <x v="3"/>
    </i>
    <i r="1">
      <x v="1347"/>
      <x v="155"/>
      <x v="4"/>
      <x v="3"/>
    </i>
    <i>
      <x v="1023"/>
      <x v="837"/>
      <x v="73"/>
      <x v="3"/>
      <x v="1"/>
    </i>
    <i>
      <x v="1024"/>
      <x v="953"/>
      <x v="273"/>
      <x v="3"/>
      <x v="1"/>
    </i>
    <i>
      <x v="1025"/>
      <x v="855"/>
      <x v="42"/>
      <x v="4"/>
      <x v="3"/>
    </i>
    <i>
      <x v="1026"/>
      <x v="1347"/>
      <x v="324"/>
      <x v="28"/>
      <x v="4"/>
    </i>
    <i>
      <x v="1027"/>
      <x v="317"/>
      <x v="81"/>
      <x v="12"/>
      <x v="3"/>
    </i>
    <i r="1">
      <x v="938"/>
      <x v="273"/>
      <x v="3"/>
      <x v="1"/>
    </i>
    <i r="1">
      <x v="954"/>
      <x v="273"/>
      <x v="3"/>
      <x v="1"/>
    </i>
    <i r="1">
      <x v="1165"/>
      <x v="134"/>
      <x v="13"/>
      <x v="2"/>
    </i>
    <i r="1">
      <x v="1213"/>
      <x v="21"/>
      <x v="1"/>
      <x v="2"/>
    </i>
    <i r="1">
      <x v="1301"/>
      <x v="310"/>
      <x v="1"/>
      <x v="2"/>
    </i>
    <i r="1">
      <x v="1347"/>
      <x v="273"/>
      <x v="3"/>
      <x v="1"/>
    </i>
    <i>
      <x v="1028"/>
      <x v="1043"/>
      <x v="309"/>
      <x v="10"/>
      <x v="1"/>
    </i>
    <i r="1">
      <x v="1347"/>
      <x v="287"/>
      <x v="10"/>
      <x v="1"/>
    </i>
    <i>
      <x v="1029"/>
      <x v="217"/>
      <x v="257"/>
      <x v="30"/>
      <x v="4"/>
    </i>
    <i>
      <x v="1030"/>
      <x v="442"/>
      <x v="35"/>
      <x v="4"/>
      <x v="3"/>
    </i>
    <i>
      <x v="1031"/>
      <x v="963"/>
      <x v="241"/>
      <x v="3"/>
      <x v="1"/>
    </i>
    <i>
      <x v="1032"/>
      <x v="673"/>
      <x v="128"/>
      <x v="4"/>
      <x v="3"/>
    </i>
    <i>
      <x v="1033"/>
      <x v="674"/>
      <x v="128"/>
      <x v="4"/>
      <x v="3"/>
    </i>
    <i>
      <x v="1034"/>
      <x v="675"/>
      <x v="128"/>
      <x v="4"/>
      <x v="3"/>
    </i>
    <i>
      <x v="1035"/>
      <x v="82"/>
      <x v="258"/>
      <x v="14"/>
      <x v="4"/>
    </i>
    <i>
      <x v="1036"/>
      <x v="799"/>
      <x v="260"/>
      <x v="27"/>
      <x v="1"/>
    </i>
    <i>
      <x v="1037"/>
      <x v="977"/>
      <x v="97"/>
      <x v="5"/>
      <x v="1"/>
    </i>
    <i r="1">
      <x v="1347"/>
      <x v="97"/>
      <x v="5"/>
      <x v="1"/>
    </i>
    <i>
      <x v="1038"/>
      <x v="168"/>
      <x v="285"/>
      <x v="16"/>
      <x v="8"/>
    </i>
    <i>
      <x v="1039"/>
      <x v="1194"/>
      <x v="259"/>
      <x v="13"/>
      <x v="2"/>
    </i>
    <i>
      <x v="1040"/>
      <x v="1167"/>
      <x v="53"/>
      <x v="30"/>
      <x v="4"/>
    </i>
    <i>
      <x v="1041"/>
      <x v="887"/>
      <x v="40"/>
      <x v="3"/>
      <x v="1"/>
    </i>
    <i>
      <x v="1042"/>
      <x v="223"/>
      <x v="315"/>
      <x v="30"/>
      <x v="4"/>
    </i>
    <i>
      <x v="1043"/>
      <x v="737"/>
      <x v="300"/>
      <x v="11"/>
      <x v="1"/>
    </i>
    <i>
      <x v="1044"/>
      <x v="1347"/>
      <x v="67"/>
      <x v="4"/>
      <x v="3"/>
    </i>
    <i>
      <x v="1045"/>
      <x v="844"/>
      <x v="157"/>
      <x v="3"/>
      <x v="1"/>
    </i>
    <i>
      <x v="1046"/>
      <x v="270"/>
      <x v="245"/>
      <x v="28"/>
      <x v="4"/>
    </i>
    <i>
      <x v="1047"/>
      <x v="166"/>
      <x v="249"/>
      <x v="21"/>
      <x v="4"/>
    </i>
    <i>
      <x v="1048"/>
      <x v="161"/>
      <x v="318"/>
      <x v="28"/>
      <x v="4"/>
    </i>
    <i>
      <x v="1049"/>
      <x v="813"/>
      <x v="240"/>
      <x v="27"/>
      <x v="1"/>
    </i>
    <i>
      <x v="1050"/>
      <x v="140"/>
      <x v="245"/>
      <x v="28"/>
      <x v="4"/>
    </i>
    <i>
      <x v="1051"/>
      <x v="25"/>
      <x v="178"/>
      <x v="16"/>
      <x v="8"/>
    </i>
    <i>
      <x v="1052"/>
      <x v="1073"/>
      <x v="144"/>
      <x v="10"/>
      <x v="1"/>
    </i>
    <i>
      <x v="1053"/>
      <x v="850"/>
      <x v="226"/>
      <x v="4"/>
      <x v="3"/>
    </i>
    <i>
      <x v="1054"/>
      <x v="897"/>
      <x v="229"/>
      <x v="3"/>
      <x v="1"/>
    </i>
    <i>
      <x v="1055"/>
      <x v="698"/>
      <x v="261"/>
      <x v="1"/>
      <x v="2"/>
    </i>
    <i r="1">
      <x v="1347"/>
      <x v="261"/>
      <x v="1"/>
      <x v="2"/>
    </i>
    <i>
      <x v="1056"/>
      <x v="147"/>
      <x v="262"/>
      <x v="28"/>
      <x v="4"/>
    </i>
    <i>
      <x v="1057"/>
      <x v="286"/>
      <x v="145"/>
      <x v="12"/>
      <x v="3"/>
    </i>
    <i>
      <x v="1058"/>
      <x v="676"/>
      <x v="128"/>
      <x v="4"/>
      <x v="3"/>
    </i>
    <i>
      <x v="1059"/>
      <x v="696"/>
      <x v="135"/>
      <x v="12"/>
      <x v="3"/>
    </i>
    <i>
      <x v="1060"/>
      <x v="231"/>
      <x v="264"/>
      <x v="9"/>
      <x v="4"/>
    </i>
    <i>
      <x v="1061"/>
      <x v="202"/>
      <x v="320"/>
      <x v="30"/>
      <x v="4"/>
    </i>
    <i>
      <x v="1062"/>
      <x v="480"/>
      <x v="84"/>
      <x v="4"/>
      <x v="3"/>
    </i>
    <i>
      <x v="1063"/>
      <x v="851"/>
      <x v="226"/>
      <x v="4"/>
      <x v="3"/>
    </i>
    <i>
      <x v="1064"/>
      <x v="413"/>
      <x v="42"/>
      <x v="4"/>
      <x v="3"/>
    </i>
    <i>
      <x v="1065"/>
      <x v="481"/>
      <x v="84"/>
      <x v="4"/>
      <x v="3"/>
    </i>
    <i>
      <x v="1066"/>
      <x v="852"/>
      <x v="226"/>
      <x v="4"/>
      <x v="3"/>
    </i>
    <i>
      <x v="1067"/>
      <x v="770"/>
      <x v="299"/>
      <x v="11"/>
      <x v="1"/>
    </i>
    <i>
      <x v="1068"/>
      <x v="874"/>
      <x v="7"/>
      <x v="3"/>
      <x v="1"/>
    </i>
    <i>
      <x v="1069"/>
      <x v="1174"/>
      <x v="198"/>
      <x v="13"/>
      <x v="2"/>
    </i>
    <i>
      <x v="1070"/>
      <x v="754"/>
      <x v="299"/>
      <x v="11"/>
      <x v="1"/>
    </i>
    <i>
      <x v="1071"/>
      <x v="539"/>
      <x v="155"/>
      <x v="4"/>
      <x v="3"/>
    </i>
    <i>
      <x v="1072"/>
      <x v="1310"/>
      <x v="35"/>
      <x v="4"/>
      <x v="3"/>
    </i>
    <i>
      <x v="1073"/>
      <x v="114"/>
      <x v="311"/>
      <x v="28"/>
      <x v="4"/>
    </i>
    <i>
      <x v="1074"/>
      <x v="145"/>
      <x v="178"/>
      <x v="16"/>
      <x v="8"/>
    </i>
    <i>
      <x v="1075"/>
      <x v="31"/>
      <x v="31"/>
      <x v="16"/>
      <x v="8"/>
    </i>
    <i>
      <x v="1076"/>
      <x v="28"/>
      <x v="178"/>
      <x v="16"/>
      <x v="8"/>
    </i>
    <i>
      <x v="1077"/>
      <x v="130"/>
      <x v="167"/>
      <x v="28"/>
      <x v="4"/>
    </i>
    <i>
      <x v="1078"/>
      <x v="23"/>
      <x v="178"/>
      <x v="16"/>
      <x v="8"/>
    </i>
    <i>
      <x v="1079"/>
      <x v="1208"/>
      <x v="266"/>
      <x v="13"/>
      <x v="2"/>
    </i>
    <i>
      <x v="1080"/>
      <x v="469"/>
      <x v="267"/>
      <x v="12"/>
      <x v="3"/>
    </i>
    <i>
      <x v="1081"/>
      <x v="1347"/>
      <x v="267"/>
      <x v="12"/>
      <x v="3"/>
    </i>
    <i>
      <x v="1082"/>
      <x v="1336"/>
      <x v="89"/>
      <x v="4"/>
      <x v="3"/>
    </i>
    <i>
      <x v="1083"/>
      <x v="1337"/>
      <x v="89"/>
      <x v="4"/>
      <x v="3"/>
    </i>
    <i>
      <x v="1084"/>
      <x v="784"/>
      <x v="306"/>
      <x v="27"/>
      <x v="1"/>
    </i>
    <i>
      <x v="1085"/>
      <x v="1075"/>
      <x v="288"/>
      <x v="10"/>
      <x v="1"/>
    </i>
    <i>
      <x v="1086"/>
      <x v="781"/>
      <x v="118"/>
      <x v="11"/>
      <x v="1"/>
    </i>
    <i r="1">
      <x v="1347"/>
      <x v="144"/>
      <x v="10"/>
      <x v="1"/>
    </i>
    <i>
      <x v="1087"/>
      <x v="680"/>
      <x v="185"/>
      <x v="4"/>
      <x v="3"/>
    </i>
    <i>
      <x v="1088"/>
      <x v="37"/>
      <x v="236"/>
      <x v="16"/>
      <x v="8"/>
    </i>
    <i>
      <x v="1089"/>
      <x v="401"/>
      <x v="65"/>
      <x v="12"/>
      <x v="3"/>
    </i>
    <i>
      <x v="1090"/>
      <x v="1067"/>
      <x v="242"/>
      <x v="10"/>
      <x v="1"/>
    </i>
    <i>
      <x v="1091"/>
      <x v="410"/>
      <x v="269"/>
      <x v="12"/>
      <x v="3"/>
    </i>
    <i>
      <x v="1092"/>
      <x v="409"/>
      <x v="269"/>
      <x v="12"/>
      <x v="3"/>
    </i>
    <i r="1">
      <x v="1347"/>
      <x v="269"/>
      <x v="12"/>
      <x v="3"/>
    </i>
    <i>
      <x v="1093"/>
      <x v="1154"/>
      <x v="49"/>
      <x v="13"/>
      <x v="2"/>
    </i>
    <i r="1">
      <x v="1162"/>
      <x v="134"/>
      <x v="13"/>
      <x v="2"/>
    </i>
    <i>
      <x v="1094"/>
      <x v="729"/>
      <x v="132"/>
      <x v="11"/>
      <x v="1"/>
    </i>
    <i>
      <x v="1095"/>
      <x v="1257"/>
      <x v="270"/>
      <x v="1"/>
      <x v="2"/>
    </i>
    <i>
      <x v="1096"/>
      <x v="164"/>
      <x v="271"/>
      <x v="28"/>
      <x v="4"/>
    </i>
    <i>
      <x v="1097"/>
      <x v="574"/>
      <x v="68"/>
      <x v="4"/>
      <x v="3"/>
    </i>
    <i>
      <x v="1098"/>
      <x v="160"/>
      <x v="318"/>
      <x v="28"/>
      <x v="4"/>
    </i>
    <i r="1">
      <x v="195"/>
      <x v="23"/>
      <x v="30"/>
      <x v="4"/>
    </i>
    <i>
      <x v="1099"/>
      <x v="1074"/>
      <x v="288"/>
      <x v="10"/>
      <x v="1"/>
    </i>
    <i>
      <x v="1100"/>
      <x v="1191"/>
      <x v="184"/>
      <x v="13"/>
      <x v="2"/>
    </i>
    <i r="1">
      <x v="1294"/>
      <x v="310"/>
      <x v="1"/>
      <x v="2"/>
    </i>
    <i>
      <x v="1101"/>
      <x v="474"/>
      <x v="87"/>
      <x v="4"/>
      <x v="3"/>
    </i>
    <i>
      <x v="1102"/>
      <x v="609"/>
      <x v="168"/>
      <x v="4"/>
      <x v="3"/>
    </i>
    <i>
      <x v="1103"/>
      <x v="921"/>
      <x v="230"/>
      <x v="3"/>
      <x v="1"/>
    </i>
    <i>
      <x v="1104"/>
      <x v="955"/>
      <x v="273"/>
      <x v="3"/>
      <x v="1"/>
    </i>
    <i>
      <x v="1105"/>
      <x v="884"/>
      <x v="27"/>
      <x v="3"/>
      <x v="1"/>
    </i>
    <i>
      <x v="1106"/>
      <x v="744"/>
      <x v="300"/>
      <x v="11"/>
      <x v="1"/>
    </i>
    <i>
      <x v="1107"/>
      <x v="1347"/>
      <x v="168"/>
      <x v="4"/>
      <x v="3"/>
    </i>
    <i>
      <x v="1108"/>
      <x v="608"/>
      <x v="168"/>
      <x v="4"/>
      <x v="3"/>
    </i>
    <i>
      <x v="1109"/>
      <x v="632"/>
      <x v="168"/>
      <x v="4"/>
      <x v="3"/>
    </i>
    <i>
      <x v="1110"/>
      <x v="540"/>
      <x v="155"/>
      <x v="4"/>
      <x v="3"/>
    </i>
    <i>
      <x v="1111"/>
      <x v="835"/>
      <x v="39"/>
      <x v="3"/>
      <x v="1"/>
    </i>
    <i>
      <x v="1112"/>
      <x v="1347"/>
      <x v="7"/>
      <x v="3"/>
      <x v="1"/>
    </i>
    <i>
      <x v="1113"/>
      <x v="730"/>
      <x v="132"/>
      <x v="11"/>
      <x v="1"/>
    </i>
    <i>
      <x v="1114"/>
      <x v="726"/>
      <x v="132"/>
      <x v="11"/>
      <x v="1"/>
    </i>
    <i>
      <x v="1115"/>
      <x v="424"/>
      <x v="42"/>
      <x v="4"/>
      <x v="3"/>
    </i>
    <i r="1">
      <x v="1347"/>
      <x v="41"/>
      <x v="4"/>
      <x v="3"/>
    </i>
    <i>
      <x v="1116"/>
      <x v="960"/>
      <x v="273"/>
      <x v="3"/>
      <x v="1"/>
    </i>
    <i>
      <x v="1117"/>
      <x v="426"/>
      <x v="42"/>
      <x v="4"/>
      <x v="3"/>
    </i>
    <i r="1">
      <x v="1347"/>
      <x v="41"/>
      <x v="4"/>
      <x v="3"/>
    </i>
    <i>
      <x v="1118"/>
      <x v="943"/>
      <x v="273"/>
      <x v="3"/>
      <x v="1"/>
    </i>
    <i r="1">
      <x v="1347"/>
      <x v="273"/>
      <x v="3"/>
      <x v="1"/>
    </i>
    <i>
      <x v="1119"/>
      <x v="110"/>
      <x v="5"/>
      <x v="14"/>
      <x v="4"/>
    </i>
    <i>
      <x v="1120"/>
      <x v="179"/>
      <x v="275"/>
      <x v="21"/>
      <x v="4"/>
    </i>
    <i>
      <x v="1121"/>
      <x v="1110"/>
      <x v="319"/>
      <x v="10"/>
      <x v="1"/>
    </i>
    <i>
      <x v="1122"/>
      <x v="747"/>
      <x v="300"/>
      <x v="11"/>
      <x v="1"/>
    </i>
    <i>
      <x v="1123"/>
      <x v="1347"/>
      <x v="278"/>
      <x v="12"/>
      <x v="3"/>
    </i>
    <i>
      <x v="1124"/>
      <x v="399"/>
      <x v="278"/>
      <x v="12"/>
      <x v="3"/>
    </i>
    <i>
      <x v="1125"/>
      <x v="586"/>
      <x v="323"/>
      <x v="4"/>
      <x v="3"/>
    </i>
    <i>
      <x v="1126"/>
      <x v="124"/>
      <x v="279"/>
      <x v="28"/>
      <x v="4"/>
    </i>
    <i>
      <x v="1127"/>
      <x v="1347"/>
      <x v="54"/>
      <x v="4"/>
      <x v="3"/>
    </i>
    <i>
      <x v="1128"/>
      <x v="922"/>
      <x v="230"/>
      <x v="3"/>
      <x v="1"/>
    </i>
    <i>
      <x v="1129"/>
      <x v="923"/>
      <x v="230"/>
      <x v="3"/>
      <x v="1"/>
    </i>
    <i>
      <x v="1130"/>
      <x v="924"/>
      <x v="230"/>
      <x v="3"/>
      <x v="1"/>
    </i>
    <i>
      <x v="1131"/>
      <x v="925"/>
      <x v="230"/>
      <x v="3"/>
      <x v="1"/>
    </i>
    <i>
      <x v="1132"/>
      <x v="159"/>
      <x v="163"/>
      <x v="28"/>
      <x v="4"/>
    </i>
    <i>
      <x v="1133"/>
      <x v="633"/>
      <x v="168"/>
      <x v="4"/>
      <x v="3"/>
    </i>
    <i>
      <x v="1134"/>
      <x v="809"/>
      <x v="240"/>
      <x v="27"/>
      <x v="1"/>
    </i>
    <i>
      <x v="1135"/>
      <x v="210"/>
      <x v="191"/>
      <x v="30"/>
      <x v="4"/>
    </i>
    <i>
      <x v="1136"/>
      <x v="1347"/>
      <x v="255"/>
      <x v="10"/>
      <x v="1"/>
    </i>
    <i>
      <x v="1137"/>
      <x v="93"/>
      <x v="76"/>
      <x v="14"/>
      <x v="4"/>
    </i>
    <i>
      <x v="1138"/>
      <x v="1144"/>
      <x v="21"/>
      <x v="1"/>
      <x v="2"/>
    </i>
    <i>
      <x v="1139"/>
      <x v="822"/>
      <x v="101"/>
      <x v="27"/>
      <x v="1"/>
    </i>
    <i>
      <x v="1140"/>
      <x v="1140"/>
      <x v="39"/>
      <x v="3"/>
      <x v="1"/>
    </i>
    <i>
      <x v="1141"/>
      <x v="355"/>
      <x v="284"/>
      <x v="12"/>
      <x v="3"/>
    </i>
    <i r="1">
      <x v="1347"/>
      <x v="284"/>
      <x v="12"/>
      <x v="3"/>
    </i>
    <i>
      <x v="1142"/>
      <x v="805"/>
      <x v="260"/>
      <x v="27"/>
      <x v="1"/>
    </i>
    <i>
      <x v="1143"/>
      <x v="801"/>
      <x v="260"/>
      <x v="27"/>
      <x v="1"/>
    </i>
    <i>
      <x v="1144"/>
      <x v="500"/>
      <x v="87"/>
      <x v="4"/>
      <x v="3"/>
    </i>
    <i r="1">
      <x v="1189"/>
      <x v="184"/>
      <x v="13"/>
      <x v="2"/>
    </i>
    <i r="1">
      <x v="1222"/>
      <x v="119"/>
      <x v="1"/>
      <x v="2"/>
    </i>
    <i>
      <x v="1145"/>
      <x v="1347"/>
      <x v="286"/>
      <x v="12"/>
      <x v="3"/>
    </i>
    <i>
      <x v="1146"/>
      <x v="1347"/>
      <x v="284"/>
      <x v="12"/>
      <x v="3"/>
    </i>
    <i>
      <x v="1147"/>
      <x v="926"/>
      <x v="230"/>
      <x v="3"/>
      <x v="1"/>
    </i>
    <i>
      <x v="1148"/>
      <x v="136"/>
      <x v="46"/>
      <x v="28"/>
      <x v="4"/>
    </i>
    <i r="1">
      <x v="394"/>
      <x v="65"/>
      <x v="12"/>
      <x v="3"/>
    </i>
    <i>
      <x v="1149"/>
      <x v="150"/>
      <x v="262"/>
      <x v="28"/>
      <x v="4"/>
    </i>
    <i>
      <x v="1150"/>
      <x v="903"/>
      <x v="230"/>
      <x v="3"/>
      <x v="1"/>
    </i>
    <i>
      <x v="1151"/>
      <x v="1045"/>
      <x v="309"/>
      <x v="10"/>
      <x v="1"/>
    </i>
    <i>
      <x v="1152"/>
      <x v="101"/>
      <x v="291"/>
      <x v="1"/>
      <x v="2"/>
    </i>
    <i>
      <x v="1153"/>
      <x v="806"/>
      <x v="260"/>
      <x v="27"/>
      <x v="1"/>
    </i>
    <i>
      <x v="1154"/>
      <x v="541"/>
      <x v="155"/>
      <x v="4"/>
      <x v="3"/>
    </i>
    <i r="1">
      <x v="768"/>
      <x v="234"/>
      <x v="11"/>
      <x v="1"/>
    </i>
    <i r="1">
      <x v="956"/>
      <x v="273"/>
      <x v="3"/>
      <x v="1"/>
    </i>
    <i r="1">
      <x v="958"/>
      <x v="273"/>
      <x v="3"/>
      <x v="1"/>
    </i>
    <i r="1">
      <x v="1196"/>
      <x v="259"/>
      <x v="13"/>
      <x v="2"/>
    </i>
    <i r="1">
      <x v="1347"/>
      <x v="273"/>
      <x v="3"/>
      <x v="1"/>
    </i>
    <i>
      <x v="1155"/>
      <x v="1347"/>
      <x v="54"/>
      <x v="4"/>
      <x v="3"/>
    </i>
    <i>
      <x v="1156"/>
      <x v="235"/>
      <x v="54"/>
      <x v="4"/>
      <x v="3"/>
    </i>
    <i>
      <x v="1157"/>
      <x v="1195"/>
      <x v="235"/>
      <x v="1"/>
      <x v="2"/>
    </i>
    <i>
      <x v="1158"/>
      <x v="512"/>
      <x v="155"/>
      <x v="4"/>
      <x v="3"/>
    </i>
    <i>
      <x v="1159"/>
      <x v="348"/>
      <x v="244"/>
      <x v="12"/>
      <x v="3"/>
    </i>
    <i r="1">
      <x v="619"/>
      <x v="168"/>
      <x v="4"/>
      <x v="3"/>
    </i>
    <i r="1">
      <x v="1068"/>
      <x v="131"/>
      <x v="10"/>
      <x v="1"/>
    </i>
    <i r="1">
      <x v="1347"/>
      <x v="168"/>
      <x v="4"/>
      <x v="3"/>
    </i>
    <i>
      <x v="1160"/>
      <x v="458"/>
      <x v="35"/>
      <x v="4"/>
      <x v="3"/>
    </i>
    <i>
      <x v="1161"/>
      <x v="716"/>
      <x v="135"/>
      <x v="12"/>
      <x v="3"/>
    </i>
    <i>
      <x v="1162"/>
      <x v="1240"/>
      <x v="119"/>
      <x v="1"/>
      <x v="2"/>
    </i>
    <i>
      <x v="1163"/>
      <x v="271"/>
      <x v="292"/>
      <x v="14"/>
      <x v="4"/>
    </i>
    <i>
      <x v="1164"/>
      <x v="117"/>
      <x v="311"/>
      <x v="28"/>
      <x v="4"/>
    </i>
    <i>
      <x v="1165"/>
      <x v="635"/>
      <x v="185"/>
      <x v="4"/>
      <x v="3"/>
    </i>
    <i>
      <x v="1166"/>
      <x v="677"/>
      <x v="128"/>
      <x v="4"/>
      <x v="3"/>
    </i>
    <i>
      <x v="1167"/>
      <x v="564"/>
      <x v="169"/>
      <x v="4"/>
      <x v="3"/>
    </i>
    <i>
      <x v="1168"/>
      <x v="944"/>
      <x v="273"/>
      <x v="3"/>
      <x v="1"/>
    </i>
    <i r="1">
      <x v="961"/>
      <x v="273"/>
      <x v="3"/>
      <x v="1"/>
    </i>
    <i r="1">
      <x v="1347"/>
      <x v="273"/>
      <x v="3"/>
      <x v="1"/>
    </i>
    <i>
      <x v="1169"/>
      <x v="1227"/>
      <x v="119"/>
      <x v="1"/>
      <x v="2"/>
    </i>
    <i>
      <x v="1170"/>
      <x v="172"/>
      <x v="83"/>
      <x v="21"/>
      <x v="4"/>
    </i>
    <i>
      <x v="1171"/>
      <x v="936"/>
      <x v="273"/>
      <x v="3"/>
      <x v="1"/>
    </i>
    <i r="1">
      <x v="1347"/>
      <x v="273"/>
      <x v="3"/>
      <x v="1"/>
    </i>
    <i>
      <x v="1172"/>
      <x v="425"/>
      <x v="42"/>
      <x v="4"/>
      <x v="3"/>
    </i>
    <i>
      <x v="1173"/>
      <x v="1347"/>
      <x v="41"/>
      <x v="4"/>
      <x v="3"/>
    </i>
    <i>
      <x v="1174"/>
      <x v="725"/>
      <x v="132"/>
      <x v="11"/>
      <x v="1"/>
    </i>
    <i>
      <x v="1175"/>
      <x v="1347"/>
      <x v="74"/>
      <x v="3"/>
      <x v="1"/>
    </i>
    <i>
      <x v="1176"/>
      <x v="634"/>
      <x v="168"/>
      <x v="4"/>
      <x v="3"/>
    </i>
    <i>
      <x v="1177"/>
      <x v="319"/>
      <x v="81"/>
      <x v="12"/>
      <x v="3"/>
    </i>
    <i>
      <x v="1178"/>
      <x v="418"/>
      <x v="42"/>
      <x v="4"/>
      <x v="3"/>
    </i>
    <i>
      <x v="1179"/>
      <x v="276"/>
      <x v="294"/>
      <x v="25"/>
      <x v="3"/>
    </i>
    <i>
      <x v="1180"/>
      <x v="1093"/>
      <x v="137"/>
      <x v="10"/>
      <x v="1"/>
    </i>
    <i r="1">
      <x v="1312"/>
      <x v="295"/>
      <x v="1"/>
      <x v="2"/>
    </i>
    <i>
      <x v="1181"/>
      <x v="872"/>
      <x v="73"/>
      <x v="3"/>
      <x v="1"/>
    </i>
    <i>
      <x v="1182"/>
      <x v="643"/>
      <x v="185"/>
      <x v="4"/>
      <x v="3"/>
    </i>
    <i>
      <x v="1183"/>
      <x v="681"/>
      <x v="185"/>
      <x v="4"/>
      <x v="3"/>
    </i>
    <i>
      <x v="1184"/>
      <x v="360"/>
      <x v="296"/>
      <x v="12"/>
      <x v="3"/>
    </i>
    <i>
      <x v="1185"/>
      <x v="1141"/>
      <x v="39"/>
      <x v="3"/>
      <x v="1"/>
    </i>
    <i>
      <x v="1186"/>
      <x v="1276"/>
      <x v="298"/>
      <x v="1"/>
      <x v="2"/>
    </i>
    <i>
      <x v="1187"/>
      <x v="742"/>
      <x v="300"/>
      <x v="11"/>
      <x v="1"/>
    </i>
    <i>
      <x v="1188"/>
      <x v="131"/>
      <x v="167"/>
      <x v="28"/>
      <x v="4"/>
    </i>
    <i>
      <x v="1189"/>
      <x v="731"/>
      <x v="132"/>
      <x v="11"/>
      <x v="1"/>
    </i>
    <i>
      <x v="1190"/>
      <x v="17"/>
      <x v="304"/>
      <x v="28"/>
      <x v="4"/>
    </i>
    <i r="1">
      <x v="58"/>
      <x v="321"/>
      <x v="14"/>
      <x v="4"/>
    </i>
    <i r="1">
      <x v="1347"/>
      <x v="304"/>
      <x v="28"/>
      <x v="4"/>
    </i>
    <i>
      <x v="1191"/>
      <x v="208"/>
      <x v="28"/>
      <x v="30"/>
      <x v="4"/>
    </i>
    <i>
      <x v="1192"/>
      <x v="29"/>
      <x v="178"/>
      <x v="16"/>
      <x v="8"/>
    </i>
    <i>
      <x v="1193"/>
      <x/>
      <x v="302"/>
      <x v="19"/>
      <x v="8"/>
    </i>
    <i>
      <x v="1194"/>
      <x v="1271"/>
      <x v="176"/>
      <x v="1"/>
      <x v="2"/>
    </i>
    <i>
      <x v="1195"/>
      <x v="550"/>
      <x v="128"/>
      <x v="4"/>
      <x v="3"/>
    </i>
    <i>
      <x v="1196"/>
      <x v="1347"/>
      <x v="190"/>
      <x v="5"/>
      <x v="1"/>
    </i>
    <i>
      <x v="1197"/>
      <x v="957"/>
      <x v="273"/>
      <x v="3"/>
      <x v="1"/>
    </i>
    <i>
      <x v="1198"/>
      <x v="471"/>
      <x v="87"/>
      <x v="4"/>
      <x v="3"/>
    </i>
    <i>
      <x v="1199"/>
      <x v="653"/>
      <x v="67"/>
      <x v="4"/>
      <x v="3"/>
    </i>
    <i r="1">
      <x v="1347"/>
      <x v="67"/>
      <x v="4"/>
      <x v="3"/>
    </i>
    <i>
      <x v="1200"/>
      <x v="120"/>
      <x v="303"/>
      <x v="28"/>
      <x v="4"/>
    </i>
    <i>
      <x v="1201"/>
      <x v="486"/>
      <x v="226"/>
      <x v="4"/>
      <x v="3"/>
    </i>
    <i>
      <x v="1202"/>
      <x v="122"/>
      <x v="304"/>
      <x v="28"/>
      <x v="4"/>
    </i>
    <i r="1">
      <x v="1347"/>
      <x v="304"/>
      <x v="28"/>
      <x v="4"/>
    </i>
    <i>
      <x v="1203"/>
      <x v="3"/>
      <x v="305"/>
      <x v="19"/>
      <x v="8"/>
    </i>
    <i r="1">
      <x v="1347"/>
      <x v="305"/>
      <x v="19"/>
      <x v="8"/>
    </i>
    <i>
      <x v="1204"/>
      <x v="293"/>
      <x v="267"/>
      <x v="12"/>
      <x v="3"/>
    </i>
    <i>
      <x v="1205"/>
      <x v="935"/>
      <x v="17"/>
      <x v="3"/>
      <x v="1"/>
    </i>
    <i>
      <x v="1206"/>
      <x v="782"/>
      <x v="306"/>
      <x v="27"/>
      <x v="1"/>
    </i>
    <i>
      <x v="1207"/>
      <x v="783"/>
      <x v="306"/>
      <x v="27"/>
      <x v="1"/>
    </i>
    <i>
      <x v="1208"/>
      <x v="434"/>
      <x v="84"/>
      <x v="4"/>
      <x v="3"/>
    </i>
    <i>
      <x v="1209"/>
      <x v="544"/>
      <x v="155"/>
      <x v="4"/>
      <x v="3"/>
    </i>
    <i r="1">
      <x v="1347"/>
      <x v="155"/>
      <x v="4"/>
      <x v="3"/>
    </i>
    <i>
      <x v="1210"/>
      <x v="1046"/>
      <x v="307"/>
      <x v="10"/>
      <x v="1"/>
    </i>
    <i>
      <x v="1211"/>
      <x v="592"/>
      <x v="140"/>
      <x v="4"/>
      <x v="3"/>
    </i>
    <i>
      <x v="1212"/>
      <x v="593"/>
      <x v="140"/>
      <x v="4"/>
      <x v="3"/>
    </i>
    <i>
      <x v="1213"/>
      <x v="1278"/>
      <x v="298"/>
      <x v="1"/>
      <x v="2"/>
    </i>
    <i>
      <x v="1214"/>
      <x v="308"/>
      <x v="16"/>
      <x v="12"/>
      <x v="3"/>
    </i>
    <i>
      <x v="1215"/>
      <x v="962"/>
      <x v="273"/>
      <x v="3"/>
      <x v="1"/>
    </i>
    <i>
      <x v="1216"/>
      <x v="570"/>
      <x v="68"/>
      <x v="4"/>
      <x v="3"/>
    </i>
    <i>
      <x v="1217"/>
      <x v="892"/>
      <x v="33"/>
      <x v="3"/>
      <x v="1"/>
    </i>
    <i>
      <x v="1218"/>
      <x v="1011"/>
      <x v="61"/>
      <x v="3"/>
      <x v="1"/>
    </i>
    <i>
      <x v="1219"/>
      <x v="565"/>
      <x v="169"/>
      <x v="4"/>
      <x v="3"/>
    </i>
    <i>
      <x v="1220"/>
      <x v="542"/>
      <x v="155"/>
      <x v="4"/>
      <x v="3"/>
    </i>
    <i>
      <x v="1221"/>
      <x v="856"/>
      <x v="42"/>
      <x v="4"/>
      <x v="3"/>
    </i>
    <i>
      <x v="1222"/>
      <x v="873"/>
      <x v="73"/>
      <x v="3"/>
      <x v="1"/>
    </i>
    <i>
      <x v="1223"/>
      <x v="735"/>
      <x v="300"/>
      <x v="11"/>
      <x v="1"/>
    </i>
    <i>
      <x v="1224"/>
      <x v="796"/>
      <x v="306"/>
      <x v="27"/>
      <x v="1"/>
    </i>
    <i>
      <x v="1225"/>
      <x v="1113"/>
      <x v="149"/>
      <x v="10"/>
      <x v="1"/>
    </i>
    <i>
      <x v="1226"/>
      <x v="682"/>
      <x v="185"/>
      <x v="4"/>
      <x v="3"/>
    </i>
    <i>
      <x v="1227"/>
      <x v="116"/>
      <x v="311"/>
      <x v="28"/>
      <x v="4"/>
    </i>
    <i>
      <x v="1228"/>
      <x v="927"/>
      <x v="230"/>
      <x v="3"/>
      <x v="1"/>
    </i>
    <i>
      <x v="1229"/>
      <x v="1347"/>
      <x v="287"/>
      <x v="10"/>
      <x v="1"/>
    </i>
    <i>
      <x v="1230"/>
      <x v="829"/>
      <x v="39"/>
      <x v="3"/>
      <x v="1"/>
    </i>
    <i>
      <x v="1231"/>
      <x v="797"/>
      <x v="306"/>
      <x v="27"/>
      <x v="1"/>
    </i>
    <i>
      <x v="1232"/>
      <x v="1293"/>
      <x v="310"/>
      <x v="1"/>
      <x v="2"/>
    </i>
    <i>
      <x v="1233"/>
      <x v="543"/>
      <x v="155"/>
      <x v="4"/>
      <x v="3"/>
    </i>
    <i>
      <x v="1234"/>
      <x v="450"/>
      <x v="35"/>
      <x v="4"/>
      <x v="3"/>
    </i>
    <i>
      <x v="1235"/>
      <x v="893"/>
      <x v="270"/>
      <x v="1"/>
      <x v="2"/>
    </i>
    <i r="1">
      <x v="895"/>
      <x v="229"/>
      <x v="3"/>
      <x v="1"/>
    </i>
    <i>
      <x v="1236"/>
      <x v="377"/>
      <x v="311"/>
      <x v="28"/>
      <x v="4"/>
    </i>
    <i>
      <x v="1237"/>
      <x v="1142"/>
      <x v="39"/>
      <x v="3"/>
      <x v="1"/>
    </i>
    <i>
      <x v="1238"/>
      <x v="1116"/>
      <x v="149"/>
      <x v="10"/>
      <x v="1"/>
    </i>
    <i>
      <x v="1239"/>
      <x v="706"/>
      <x v="87"/>
      <x v="26"/>
      <x v="3"/>
    </i>
    <i>
      <x v="1240"/>
      <x v="751"/>
      <x v="300"/>
      <x v="11"/>
      <x v="1"/>
    </i>
    <i>
      <x v="1241"/>
      <x v="65"/>
      <x v="93"/>
      <x v="14"/>
      <x v="4"/>
    </i>
    <i>
      <x v="1242"/>
      <x v="551"/>
      <x v="128"/>
      <x v="4"/>
      <x v="3"/>
    </i>
    <i>
      <x v="1243"/>
      <x v="552"/>
      <x v="128"/>
      <x v="4"/>
      <x v="3"/>
    </i>
    <i>
      <x v="1244"/>
      <x v="247"/>
      <x v="291"/>
      <x v="1"/>
      <x v="2"/>
    </i>
    <i>
      <x v="1245"/>
      <x v="1233"/>
      <x v="119"/>
      <x v="1"/>
      <x v="2"/>
    </i>
    <i>
      <x v="1246"/>
      <x v="361"/>
      <x v="296"/>
      <x v="12"/>
      <x v="3"/>
    </i>
    <i>
      <x v="1247"/>
      <x v="201"/>
      <x v="172"/>
      <x v="30"/>
      <x v="4"/>
    </i>
    <i>
      <x v="1248"/>
      <x v="39"/>
      <x v="285"/>
      <x v="16"/>
      <x v="8"/>
    </i>
    <i>
      <x v="1249"/>
      <x v="769"/>
      <x v="299"/>
      <x v="11"/>
      <x v="1"/>
    </i>
    <i>
      <x v="1250"/>
      <x v="45"/>
      <x v="177"/>
      <x v="14"/>
      <x v="4"/>
    </i>
    <i>
      <x v="1251"/>
      <x v="220"/>
      <x v="315"/>
      <x v="30"/>
      <x v="4"/>
    </i>
    <i>
      <x v="1252"/>
      <x v="487"/>
      <x v="226"/>
      <x v="4"/>
      <x v="3"/>
    </i>
    <i>
      <x v="1253"/>
      <x v="63"/>
      <x v="316"/>
      <x v="14"/>
      <x v="4"/>
    </i>
    <i r="1">
      <x v="1346"/>
      <x v="303"/>
      <x v="28"/>
      <x v="4"/>
    </i>
    <i>
      <x v="1254"/>
      <x v="246"/>
      <x v="317"/>
      <x v="14"/>
      <x v="4"/>
    </i>
    <i>
      <x v="1255"/>
      <x v="133"/>
      <x v="318"/>
      <x v="28"/>
      <x v="4"/>
    </i>
    <i>
      <x v="1256"/>
      <x v="1111"/>
      <x v="319"/>
      <x v="10"/>
      <x v="1"/>
    </i>
    <i>
      <x v="1257"/>
      <x v="1107"/>
      <x v="319"/>
      <x v="10"/>
      <x v="1"/>
    </i>
    <i>
      <x v="1258"/>
      <x v="169"/>
      <x v="83"/>
      <x v="21"/>
      <x v="4"/>
    </i>
    <i>
      <x v="1259"/>
      <x v="49"/>
      <x v="160"/>
      <x v="14"/>
      <x v="4"/>
    </i>
    <i>
      <x v="1260"/>
      <x v="1023"/>
      <x v="77"/>
      <x v="10"/>
      <x v="1"/>
    </i>
    <i>
      <x v="1261"/>
      <x v="1025"/>
      <x v="77"/>
      <x v="10"/>
      <x v="1"/>
    </i>
    <i>
      <x v="1262"/>
      <x v="928"/>
      <x v="230"/>
      <x v="3"/>
      <x v="1"/>
    </i>
    <i>
      <x v="1263"/>
      <x v="497"/>
      <x v="87"/>
      <x v="4"/>
      <x v="3"/>
    </i>
    <i>
      <x v="1264"/>
      <x v="143"/>
      <x v="322"/>
      <x v="28"/>
      <x v="4"/>
    </i>
    <i>
      <x v="1265"/>
      <x v="1100"/>
      <x v="56"/>
      <x v="3"/>
      <x v="1"/>
    </i>
    <i>
      <x v="1266"/>
      <x v="1311"/>
      <x v="35"/>
      <x v="4"/>
      <x v="3"/>
    </i>
    <i>
      <x v="1267"/>
      <x v="1347"/>
      <x v="278"/>
      <x v="12"/>
      <x v="3"/>
    </i>
    <i>
      <x v="1268"/>
      <x v="403"/>
      <x v="278"/>
      <x v="12"/>
      <x v="3"/>
    </i>
    <i>
      <x v="1269"/>
      <x v="404"/>
      <x v="278"/>
      <x v="12"/>
      <x v="3"/>
    </i>
    <i>
      <x v="1270"/>
      <x v="1120"/>
      <x v="70"/>
      <x v="10"/>
      <x v="1"/>
    </i>
    <i>
      <x v="1271"/>
      <x v="1204"/>
      <x v="174"/>
      <x v="13"/>
      <x v="2"/>
    </i>
    <i>
      <x v="1272"/>
      <x v="298"/>
      <x v="136"/>
      <x v="12"/>
      <x v="3"/>
    </i>
    <i>
      <x v="1273"/>
      <x v="129"/>
      <x v="324"/>
      <x v="28"/>
      <x v="4"/>
    </i>
    <i r="1">
      <x v="1347"/>
      <x v="324"/>
      <x v="28"/>
      <x v="4"/>
    </i>
    <i>
      <x v="1274"/>
      <x v="1211"/>
      <x v="13"/>
      <x v="13"/>
      <x v="2"/>
    </i>
    <i>
      <x v="1275"/>
      <x v="1347"/>
      <x v="167"/>
      <x v="28"/>
      <x v="4"/>
    </i>
    <i>
      <x v="1276"/>
      <x v="152"/>
      <x v="262"/>
      <x v="28"/>
      <x v="4"/>
    </i>
    <i>
      <x v="1277"/>
      <x v="106"/>
      <x v="4"/>
      <x v="14"/>
      <x v="4"/>
    </i>
    <i>
      <x v="1278"/>
      <x v="1347"/>
      <x v="56"/>
      <x v="5"/>
      <x v="1"/>
    </i>
    <i>
      <x v="1279"/>
      <x v="18"/>
      <x v="215"/>
      <x v="30"/>
      <x v="4"/>
    </i>
    <i r="1">
      <x v="68"/>
      <x v="325"/>
      <x v="14"/>
      <x v="4"/>
    </i>
    <i r="1">
      <x v="74"/>
      <x v="201"/>
      <x v="14"/>
      <x v="4"/>
    </i>
    <i>
      <x v="1280"/>
      <x v="1101"/>
      <x v="56"/>
      <x v="3"/>
      <x v="1"/>
    </i>
    <i>
      <x v="1281"/>
      <x v="989"/>
      <x v="56"/>
      <x v="5"/>
      <x v="1"/>
    </i>
    <i>
      <x v="1282"/>
      <x v="1187"/>
      <x v="184"/>
      <x v="13"/>
      <x v="2"/>
    </i>
    <i>
      <x v="1283"/>
      <x v="203"/>
      <x v="320"/>
      <x v="30"/>
      <x v="4"/>
    </i>
    <i>
      <x v="1284"/>
      <x v="969"/>
      <x v="97"/>
      <x v="5"/>
      <x v="1"/>
    </i>
    <i r="1">
      <x v="1347"/>
      <x v="97"/>
      <x v="5"/>
      <x v="1"/>
    </i>
    <i>
      <x v="1285"/>
      <x v="30"/>
      <x v="178"/>
      <x v="16"/>
      <x v="8"/>
    </i>
    <i>
      <x v="1286"/>
      <x v="193"/>
      <x v="60"/>
      <x v="30"/>
      <x v="4"/>
    </i>
    <i>
      <x v="1287"/>
      <x v="59"/>
      <x v="316"/>
      <x v="14"/>
      <x v="4"/>
    </i>
    <i>
      <x v="1288"/>
      <x v="322"/>
      <x v="81"/>
      <x v="12"/>
      <x v="3"/>
    </i>
    <i>
      <x v="1289"/>
      <x v="637"/>
      <x v="185"/>
      <x v="4"/>
      <x v="3"/>
    </i>
    <i>
      <x v="1290"/>
      <x v="320"/>
      <x v="81"/>
      <x v="12"/>
      <x v="3"/>
    </i>
    <i>
      <x v="1291"/>
      <x v="853"/>
      <x v="226"/>
      <x v="4"/>
      <x v="3"/>
    </i>
    <i>
      <x v="1292"/>
      <x v="641"/>
      <x v="185"/>
      <x v="4"/>
      <x v="3"/>
    </i>
    <i>
      <x v="1293"/>
      <x v="1158"/>
      <x v="173"/>
      <x v="13"/>
      <x v="2"/>
    </i>
    <i>
      <x v="1294"/>
      <x v="315"/>
      <x v="81"/>
      <x v="12"/>
      <x v="3"/>
    </i>
    <i>
      <x v="1295"/>
      <x v="785"/>
      <x v="306"/>
      <x v="27"/>
      <x v="1"/>
    </i>
    <i>
      <x v="1296"/>
      <x v="575"/>
      <x v="68"/>
      <x v="4"/>
      <x v="3"/>
    </i>
    <i r="1">
      <x v="1347"/>
      <x v="68"/>
      <x v="4"/>
      <x v="3"/>
    </i>
    <i>
      <x v="1297"/>
      <x v="767"/>
      <x v="234"/>
      <x v="11"/>
      <x v="1"/>
    </i>
    <i>
      <x v="1298"/>
      <x v="959"/>
      <x v="273"/>
      <x v="3"/>
      <x v="1"/>
    </i>
    <i>
      <x v="1299"/>
      <x v="176"/>
      <x v="211"/>
      <x v="21"/>
      <x v="4"/>
    </i>
    <i>
      <x v="1300"/>
      <x v="1347"/>
      <x v="190"/>
      <x v="5"/>
      <x v="1"/>
    </i>
    <i>
      <x v="1301"/>
      <x v="1347"/>
      <x/>
      <x v="7"/>
      <x v="7"/>
    </i>
    <i r="2">
      <x v="1"/>
      <x v="22"/>
      <x v="3"/>
    </i>
    <i r="2">
      <x v="2"/>
      <x v="10"/>
      <x v="1"/>
    </i>
    <i r="2">
      <x v="3"/>
      <x v="13"/>
      <x v="2"/>
    </i>
    <i r="2">
      <x v="4"/>
      <x v="14"/>
      <x v="4"/>
    </i>
    <i r="2">
      <x v="6"/>
      <x v="14"/>
      <x v="4"/>
    </i>
    <i r="2">
      <x v="7"/>
      <x v="3"/>
      <x v="1"/>
    </i>
    <i r="2">
      <x v="8"/>
      <x v="24"/>
      <x v="2"/>
    </i>
    <i r="2">
      <x v="12"/>
      <x v="20"/>
      <x v="6"/>
    </i>
    <i r="2">
      <x v="14"/>
      <x v="10"/>
      <x v="1"/>
    </i>
    <i r="2">
      <x v="15"/>
      <x v="11"/>
      <x v="1"/>
    </i>
    <i r="2">
      <x v="16"/>
      <x v="12"/>
      <x v="3"/>
    </i>
    <i r="2">
      <x v="17"/>
      <x v="3"/>
      <x v="1"/>
    </i>
    <i r="2">
      <x v="18"/>
      <x v="17"/>
      <x v="8"/>
    </i>
    <i r="2">
      <x v="19"/>
      <x v="23"/>
      <x v="3"/>
    </i>
    <i r="2">
      <x v="20"/>
      <x v="17"/>
      <x v="8"/>
    </i>
    <i r="2">
      <x v="21"/>
      <x v="1"/>
      <x v="2"/>
    </i>
    <i r="2">
      <x v="22"/>
      <x v="19"/>
      <x v="8"/>
    </i>
    <i r="2">
      <x v="24"/>
      <x v="7"/>
      <x v="7"/>
    </i>
    <i r="2">
      <x v="25"/>
      <x v="14"/>
      <x v="4"/>
    </i>
    <i r="2">
      <x v="26"/>
      <x v="26"/>
      <x v="3"/>
    </i>
    <i r="2">
      <x v="27"/>
      <x v="3"/>
      <x v="1"/>
    </i>
    <i r="2">
      <x v="32"/>
      <x v="3"/>
      <x v="1"/>
    </i>
    <i r="2">
      <x v="33"/>
      <x v="3"/>
      <x v="1"/>
    </i>
    <i r="2">
      <x v="35"/>
      <x v="4"/>
      <x v="3"/>
    </i>
    <i r="2">
      <x v="36"/>
      <x v="17"/>
      <x v="8"/>
    </i>
    <i r="2">
      <x v="37"/>
      <x v="2"/>
      <x/>
    </i>
    <i r="2">
      <x v="38"/>
      <x v="2"/>
      <x/>
    </i>
    <i r="2">
      <x v="39"/>
      <x v="3"/>
      <x v="1"/>
    </i>
    <i r="2">
      <x v="40"/>
      <x v="6"/>
      <x v="1"/>
    </i>
    <i r="2">
      <x v="42"/>
      <x v="4"/>
      <x v="3"/>
    </i>
    <i r="2">
      <x v="43"/>
      <x v="28"/>
      <x v="4"/>
    </i>
    <i r="2">
      <x v="44"/>
      <x v="24"/>
      <x v="2"/>
    </i>
    <i r="2">
      <x v="45"/>
      <x v="24"/>
      <x v="2"/>
    </i>
    <i r="2">
      <x v="46"/>
      <x v="28"/>
      <x v="4"/>
    </i>
    <i r="2">
      <x v="47"/>
      <x v="14"/>
      <x v="4"/>
    </i>
    <i r="2">
      <x v="48"/>
      <x v="26"/>
      <x v="3"/>
    </i>
    <i r="2">
      <x v="49"/>
      <x v="13"/>
      <x v="2"/>
    </i>
    <i r="2">
      <x v="50"/>
      <x v="26"/>
      <x v="3"/>
    </i>
    <i r="2">
      <x v="51"/>
      <x v="24"/>
      <x v="2"/>
    </i>
    <i r="2">
      <x v="52"/>
      <x v="17"/>
      <x v="8"/>
    </i>
    <i r="2">
      <x v="54"/>
      <x v="4"/>
      <x v="3"/>
    </i>
    <i r="2">
      <x v="56"/>
      <x v="6"/>
      <x v="1"/>
    </i>
    <i r="2">
      <x v="57"/>
      <x v="23"/>
      <x v="3"/>
    </i>
    <i r="2">
      <x v="59"/>
      <x v="2"/>
      <x/>
    </i>
    <i r="2">
      <x v="60"/>
      <x v="6"/>
      <x v="1"/>
    </i>
    <i r="2">
      <x v="61"/>
      <x v="6"/>
      <x v="1"/>
    </i>
    <i r="2">
      <x v="62"/>
      <x v="24"/>
      <x v="2"/>
    </i>
    <i r="2">
      <x v="63"/>
      <x v="26"/>
      <x v="3"/>
    </i>
    <i r="2">
      <x v="65"/>
      <x v="12"/>
      <x v="3"/>
    </i>
    <i r="2">
      <x v="66"/>
      <x v="8"/>
      <x v="6"/>
    </i>
    <i r="2">
      <x v="67"/>
      <x v="4"/>
      <x v="3"/>
    </i>
    <i r="2">
      <x v="68"/>
      <x v="4"/>
      <x v="3"/>
    </i>
    <i r="2">
      <x v="70"/>
      <x v="10"/>
      <x v="1"/>
    </i>
    <i r="2">
      <x v="71"/>
      <x v="10"/>
      <x v="1"/>
    </i>
    <i r="2">
      <x v="72"/>
      <x v="27"/>
      <x v="1"/>
    </i>
    <i r="2">
      <x v="73"/>
      <x v="3"/>
      <x v="1"/>
    </i>
    <i r="2">
      <x v="75"/>
      <x v="24"/>
      <x v="2"/>
    </i>
    <i r="2">
      <x v="77"/>
      <x v="10"/>
      <x v="1"/>
    </i>
    <i r="2">
      <x v="78"/>
      <x v="24"/>
      <x v="2"/>
    </i>
    <i r="2">
      <x v="79"/>
      <x v="22"/>
      <x v="3"/>
    </i>
    <i r="2">
      <x v="80"/>
      <x v="2"/>
      <x/>
    </i>
    <i r="2">
      <x v="81"/>
      <x v="12"/>
      <x v="3"/>
    </i>
    <i r="2">
      <x v="82"/>
      <x v="12"/>
      <x v="3"/>
    </i>
    <i r="2">
      <x v="84"/>
      <x v="4"/>
      <x v="3"/>
    </i>
    <i r="2">
      <x v="85"/>
      <x v="26"/>
      <x v="3"/>
    </i>
    <i r="2">
      <x v="87"/>
      <x v="4"/>
      <x v="3"/>
    </i>
    <i r="2">
      <x v="88"/>
      <x v="12"/>
      <x v="3"/>
    </i>
    <i r="2">
      <x v="89"/>
      <x v="4"/>
      <x v="3"/>
    </i>
    <i r="2">
      <x v="90"/>
      <x v="17"/>
      <x v="8"/>
    </i>
    <i r="2">
      <x v="91"/>
      <x v="19"/>
      <x v="8"/>
    </i>
    <i r="2">
      <x v="92"/>
      <x v="14"/>
      <x v="4"/>
    </i>
    <i r="2">
      <x v="93"/>
      <x v="14"/>
      <x v="4"/>
    </i>
    <i r="2">
      <x v="94"/>
      <x v="4"/>
      <x v="3"/>
    </i>
    <i r="2">
      <x v="95"/>
      <x v="7"/>
      <x v="7"/>
    </i>
    <i r="2">
      <x v="96"/>
      <x v="22"/>
      <x v="3"/>
    </i>
    <i r="2">
      <x v="98"/>
      <x v="6"/>
      <x v="1"/>
    </i>
    <i r="2">
      <x v="100"/>
      <x v="15"/>
      <x v="8"/>
    </i>
    <i r="2">
      <x v="101"/>
      <x v="27"/>
      <x v="1"/>
    </i>
    <i r="2">
      <x v="104"/>
      <x v="12"/>
      <x v="3"/>
    </i>
    <i r="2">
      <x v="108"/>
      <x v="10"/>
      <x v="1"/>
    </i>
    <i r="2">
      <x v="109"/>
      <x v="19"/>
      <x v="8"/>
    </i>
    <i r="2">
      <x v="111"/>
      <x v="22"/>
      <x v="3"/>
    </i>
    <i r="2">
      <x v="112"/>
      <x v="4"/>
      <x v="3"/>
    </i>
    <i r="2">
      <x v="113"/>
      <x v="12"/>
      <x v="3"/>
    </i>
    <i r="2">
      <x v="114"/>
      <x v="4"/>
      <x v="3"/>
    </i>
    <i r="2">
      <x v="115"/>
      <x v="22"/>
      <x v="3"/>
    </i>
    <i r="2">
      <x v="116"/>
      <x v="22"/>
      <x v="3"/>
    </i>
    <i r="2">
      <x v="118"/>
      <x v="11"/>
      <x v="1"/>
    </i>
    <i r="2">
      <x v="119"/>
      <x v="1"/>
      <x v="2"/>
    </i>
    <i r="2">
      <x v="121"/>
      <x v="27"/>
      <x v="1"/>
    </i>
    <i r="2">
      <x v="122"/>
      <x v="26"/>
      <x v="3"/>
    </i>
    <i r="2">
      <x v="123"/>
      <x v="26"/>
      <x v="3"/>
    </i>
    <i r="2">
      <x v="124"/>
      <x v="28"/>
      <x v="4"/>
    </i>
    <i r="2">
      <x v="125"/>
      <x v="10"/>
      <x v="1"/>
    </i>
    <i r="2">
      <x v="128"/>
      <x v="4"/>
      <x v="3"/>
    </i>
    <i r="2">
      <x v="129"/>
      <x v="26"/>
      <x v="3"/>
    </i>
    <i r="2">
      <x v="130"/>
      <x v="12"/>
      <x v="3"/>
    </i>
    <i r="2">
      <x v="131"/>
      <x v="10"/>
      <x v="1"/>
    </i>
    <i r="2">
      <x v="132"/>
      <x v="11"/>
      <x v="1"/>
    </i>
    <i r="2">
      <x v="137"/>
      <x v="10"/>
      <x v="1"/>
    </i>
    <i r="2">
      <x v="138"/>
      <x v="1"/>
      <x v="2"/>
    </i>
    <i r="2">
      <x v="139"/>
      <x v="14"/>
      <x v="4"/>
    </i>
    <i r="2">
      <x v="140"/>
      <x v="4"/>
      <x v="3"/>
    </i>
    <i r="2">
      <x v="141"/>
      <x v="10"/>
      <x v="1"/>
    </i>
    <i r="2">
      <x v="142"/>
      <x v="12"/>
      <x v="3"/>
    </i>
    <i r="2">
      <x v="143"/>
      <x v="27"/>
      <x v="1"/>
    </i>
    <i r="2">
      <x v="144"/>
      <x v="10"/>
      <x v="1"/>
    </i>
    <i r="2">
      <x v="145"/>
      <x v="12"/>
      <x v="3"/>
    </i>
    <i r="2">
      <x v="146"/>
      <x v="26"/>
      <x v="3"/>
    </i>
    <i r="2">
      <x v="149"/>
      <x v="10"/>
      <x v="1"/>
    </i>
    <i r="2">
      <x v="150"/>
      <x v="12"/>
      <x v="3"/>
    </i>
    <i r="2">
      <x v="151"/>
      <x v="1"/>
      <x v="2"/>
    </i>
    <i r="2">
      <x v="153"/>
      <x v="26"/>
      <x v="3"/>
    </i>
    <i r="2">
      <x v="155"/>
      <x v="4"/>
      <x v="3"/>
    </i>
    <i r="2">
      <x v="157"/>
      <x v="3"/>
      <x v="1"/>
    </i>
    <i r="2">
      <x v="158"/>
      <x v="1"/>
      <x v="2"/>
    </i>
    <i r="2">
      <x v="159"/>
      <x v="14"/>
      <x v="4"/>
    </i>
    <i r="2">
      <x v="161"/>
      <x v="2"/>
      <x/>
    </i>
    <i r="2">
      <x v="164"/>
      <x v="12"/>
      <x v="3"/>
    </i>
    <i r="2">
      <x v="166"/>
      <x v="17"/>
      <x v="8"/>
    </i>
    <i r="2">
      <x v="167"/>
      <x v="28"/>
      <x v="4"/>
    </i>
    <i r="2">
      <x v="168"/>
      <x v="4"/>
      <x v="3"/>
    </i>
    <i r="2">
      <x v="169"/>
      <x v="4"/>
      <x v="3"/>
    </i>
    <i r="2">
      <x v="170"/>
      <x v="24"/>
      <x v="2"/>
    </i>
    <i r="2">
      <x v="173"/>
      <x v="13"/>
      <x v="2"/>
    </i>
    <i r="2">
      <x v="176"/>
      <x v="1"/>
      <x v="2"/>
    </i>
    <i r="2">
      <x v="179"/>
      <x v="6"/>
      <x v="1"/>
    </i>
    <i r="2">
      <x v="180"/>
      <x v="27"/>
      <x v="1"/>
    </i>
    <i r="2">
      <x v="182"/>
      <x v="28"/>
      <x v="4"/>
    </i>
    <i r="2">
      <x v="183"/>
      <x v="24"/>
      <x v="2"/>
    </i>
    <i r="2">
      <x v="185"/>
      <x v="4"/>
      <x v="3"/>
    </i>
    <i r="2">
      <x v="187"/>
      <x v="2"/>
      <x/>
    </i>
    <i r="2">
      <x v="189"/>
      <x v="2"/>
      <x/>
    </i>
    <i r="2">
      <x v="190"/>
      <x v="6"/>
      <x v="1"/>
    </i>
    <i r="2">
      <x v="193"/>
      <x v="19"/>
      <x v="8"/>
    </i>
    <i r="2">
      <x v="194"/>
      <x v="11"/>
      <x v="1"/>
    </i>
    <i r="2">
      <x v="195"/>
      <x v="12"/>
      <x v="3"/>
    </i>
    <i r="2">
      <x v="197"/>
      <x v="28"/>
      <x v="4"/>
    </i>
    <i r="2">
      <x v="198"/>
      <x/>
      <x v="2"/>
    </i>
    <i r="2">
      <x v="199"/>
      <x v="14"/>
      <x v="4"/>
    </i>
    <i r="2">
      <x v="200"/>
      <x v="11"/>
      <x v="1"/>
    </i>
    <i r="2">
      <x v="203"/>
      <x v="24"/>
      <x v="2"/>
    </i>
    <i r="2">
      <x v="204"/>
      <x v="19"/>
      <x v="8"/>
    </i>
    <i r="2">
      <x v="212"/>
      <x v="10"/>
      <x v="1"/>
    </i>
    <i r="2">
      <x v="214"/>
      <x v="24"/>
      <x v="2"/>
    </i>
    <i r="2">
      <x v="217"/>
      <x v="14"/>
      <x v="4"/>
    </i>
    <i r="2">
      <x v="219"/>
      <x v="19"/>
      <x v="8"/>
    </i>
    <i r="2">
      <x v="220"/>
      <x v="24"/>
      <x v="2"/>
    </i>
    <i r="2">
      <x v="222"/>
      <x v="24"/>
      <x v="2"/>
    </i>
    <i r="2">
      <x v="223"/>
      <x v="24"/>
      <x v="2"/>
    </i>
    <i r="2">
      <x v="224"/>
      <x v="7"/>
      <x v="7"/>
    </i>
    <i r="2">
      <x v="226"/>
      <x v="4"/>
      <x v="3"/>
    </i>
    <i r="2">
      <x v="227"/>
      <x v="26"/>
      <x v="3"/>
    </i>
    <i r="2">
      <x v="228"/>
      <x v="26"/>
      <x v="3"/>
    </i>
    <i r="2">
      <x v="229"/>
      <x v="3"/>
      <x v="1"/>
    </i>
    <i r="2">
      <x v="230"/>
      <x v="3"/>
      <x v="1"/>
    </i>
    <i r="2">
      <x v="231"/>
      <x v="12"/>
      <x v="3"/>
    </i>
    <i r="2">
      <x v="232"/>
      <x v="19"/>
      <x v="8"/>
    </i>
    <i r="2">
      <x v="234"/>
      <x v="11"/>
      <x v="1"/>
    </i>
    <i r="2">
      <x v="235"/>
      <x v="1"/>
      <x v="2"/>
    </i>
    <i r="2">
      <x v="236"/>
      <x v="26"/>
      <x v="3"/>
    </i>
    <i r="2">
      <x v="237"/>
      <x v="19"/>
      <x v="8"/>
    </i>
    <i r="2">
      <x v="240"/>
      <x v="27"/>
      <x v="1"/>
    </i>
    <i r="2">
      <x v="241"/>
      <x v="6"/>
      <x v="1"/>
    </i>
    <i r="2">
      <x v="242"/>
      <x v="10"/>
      <x v="1"/>
    </i>
    <i r="2">
      <x v="244"/>
      <x v="12"/>
      <x v="3"/>
    </i>
    <i r="2">
      <x v="245"/>
      <x v="28"/>
      <x v="4"/>
    </i>
    <i r="2">
      <x v="247"/>
      <x v="8"/>
      <x v="6"/>
    </i>
    <i r="2">
      <x v="248"/>
      <x v="20"/>
      <x v="6"/>
    </i>
    <i r="2">
      <x v="250"/>
      <x v="10"/>
      <x v="1"/>
    </i>
    <i r="2">
      <x v="251"/>
      <x v="26"/>
      <x v="3"/>
    </i>
    <i r="2">
      <x v="252"/>
      <x v="17"/>
      <x v="8"/>
    </i>
    <i r="2">
      <x v="253"/>
      <x v="26"/>
      <x v="3"/>
    </i>
    <i r="2">
      <x v="254"/>
      <x v="17"/>
      <x v="8"/>
    </i>
    <i r="2">
      <x v="255"/>
      <x v="10"/>
      <x v="1"/>
    </i>
    <i r="2">
      <x v="256"/>
      <x v="22"/>
      <x v="3"/>
    </i>
    <i r="2">
      <x v="258"/>
      <x v="14"/>
      <x v="4"/>
    </i>
    <i r="2">
      <x v="260"/>
      <x v="27"/>
      <x v="1"/>
    </i>
    <i r="2">
      <x v="261"/>
      <x v="1"/>
      <x v="2"/>
    </i>
    <i r="2">
      <x v="262"/>
      <x v="28"/>
      <x v="4"/>
    </i>
    <i r="2">
      <x v="263"/>
      <x v="24"/>
      <x v="2"/>
    </i>
    <i r="2">
      <x v="265"/>
      <x v="26"/>
      <x v="3"/>
    </i>
    <i r="2">
      <x v="266"/>
      <x v="13"/>
      <x v="2"/>
    </i>
    <i r="2">
      <x v="268"/>
      <x v="23"/>
      <x v="3"/>
    </i>
    <i r="2">
      <x v="269"/>
      <x v="12"/>
      <x v="3"/>
    </i>
    <i r="2">
      <x v="270"/>
      <x v="1"/>
      <x v="2"/>
    </i>
    <i r="2">
      <x v="272"/>
      <x v="24"/>
      <x v="2"/>
    </i>
    <i r="2">
      <x v="273"/>
      <x v="3"/>
      <x v="1"/>
    </i>
    <i r="2">
      <x v="274"/>
      <x v="26"/>
      <x v="3"/>
    </i>
    <i r="2">
      <x v="276"/>
      <x v="26"/>
      <x v="3"/>
    </i>
    <i r="2">
      <x v="277"/>
      <x v="20"/>
      <x v="6"/>
    </i>
    <i r="2">
      <x v="278"/>
      <x v="12"/>
      <x v="3"/>
    </i>
    <i r="2">
      <x v="279"/>
      <x v="28"/>
      <x v="4"/>
    </i>
    <i r="2">
      <x v="280"/>
      <x v="24"/>
      <x v="2"/>
    </i>
    <i r="2">
      <x v="281"/>
      <x v="12"/>
      <x v="3"/>
    </i>
    <i r="2">
      <x v="282"/>
      <x v="24"/>
      <x v="2"/>
    </i>
    <i r="2">
      <x v="283"/>
      <x v="8"/>
      <x v="6"/>
    </i>
    <i r="2">
      <x v="284"/>
      <x v="12"/>
      <x v="3"/>
    </i>
    <i r="2">
      <x v="288"/>
      <x v="10"/>
      <x v="1"/>
    </i>
    <i r="2">
      <x v="289"/>
      <x v="24"/>
      <x v="2"/>
    </i>
    <i r="2">
      <x v="290"/>
      <x v="22"/>
      <x v="3"/>
    </i>
    <i r="2">
      <x v="293"/>
      <x v="24"/>
      <x v="2"/>
    </i>
    <i r="2">
      <x v="294"/>
      <x v="25"/>
      <x v="3"/>
    </i>
    <i r="2">
      <x v="295"/>
      <x v="1"/>
      <x v="2"/>
    </i>
    <i r="2">
      <x v="296"/>
      <x v="12"/>
      <x v="3"/>
    </i>
    <i r="2">
      <x v="298"/>
      <x v="1"/>
      <x v="2"/>
    </i>
    <i r="2">
      <x v="299"/>
      <x v="11"/>
      <x v="1"/>
    </i>
    <i r="2">
      <x v="300"/>
      <x v="11"/>
      <x v="1"/>
    </i>
    <i r="2">
      <x v="301"/>
      <x v="7"/>
      <x v="7"/>
    </i>
    <i r="2">
      <x v="302"/>
      <x v="19"/>
      <x v="8"/>
    </i>
    <i r="2">
      <x v="304"/>
      <x v="28"/>
      <x v="4"/>
    </i>
    <i r="2">
      <x v="305"/>
      <x v="19"/>
      <x v="8"/>
    </i>
    <i r="2">
      <x v="306"/>
      <x v="27"/>
      <x v="1"/>
    </i>
    <i r="2">
      <x v="307"/>
      <x v="10"/>
      <x v="1"/>
    </i>
    <i r="2">
      <x v="308"/>
      <x v="3"/>
      <x v="1"/>
    </i>
    <i r="2">
      <x v="309"/>
      <x v="10"/>
      <x v="1"/>
    </i>
    <i r="2">
      <x v="310"/>
      <x v="1"/>
      <x v="2"/>
    </i>
    <i r="2">
      <x v="311"/>
      <x v="28"/>
      <x v="4"/>
    </i>
    <i r="2">
      <x v="313"/>
      <x v="19"/>
      <x v="8"/>
    </i>
    <i r="2">
      <x v="314"/>
      <x v="18"/>
      <x/>
    </i>
    <i r="2">
      <x v="316"/>
      <x v="19"/>
      <x v="8"/>
    </i>
    <i r="2">
      <x v="317"/>
      <x v="14"/>
      <x v="4"/>
    </i>
    <i r="2">
      <x v="319"/>
      <x v="10"/>
      <x v="1"/>
    </i>
    <i r="2">
      <x v="321"/>
      <x v="14"/>
      <x v="4"/>
    </i>
    <i r="2">
      <x v="323"/>
      <x v="4"/>
      <x v="3"/>
    </i>
    <i r="2">
      <x v="324"/>
      <x v="28"/>
      <x v="4"/>
    </i>
    <i r="2">
      <x v="325"/>
      <x v="14"/>
      <x v="4"/>
    </i>
  </rowItems>
  <colItems count="1">
    <i/>
  </colItems>
  <formats count="206">
    <format dxfId="285">
      <pivotArea dataOnly="0" labelOnly="1" outline="0" fieldPosition="0">
        <references count="1">
          <reference field="13" count="1">
            <x v="4"/>
          </reference>
        </references>
      </pivotArea>
    </format>
    <format dxfId="284">
      <pivotArea dataOnly="0" labelOnly="1" outline="0" fieldPosition="0">
        <references count="2">
          <reference field="13" count="1" selected="0">
            <x v="4"/>
          </reference>
          <reference field="14" count="2">
            <x v="475"/>
            <x v="724"/>
          </reference>
        </references>
      </pivotArea>
    </format>
    <format dxfId="283">
      <pivotArea dataOnly="0" labelOnly="1" outline="0" fieldPosition="0">
        <references count="3">
          <reference field="10" count="1">
            <x v="84"/>
          </reference>
          <reference field="13" count="1" selected="0">
            <x v="4"/>
          </reference>
          <reference field="14" count="1" selected="0">
            <x v="475"/>
          </reference>
        </references>
      </pivotArea>
    </format>
    <format dxfId="282">
      <pivotArea dataOnly="0" labelOnly="1" outline="0" fieldPosition="0">
        <references count="3">
          <reference field="10" count="1">
            <x v="200"/>
          </reference>
          <reference field="13" count="1" selected="0">
            <x v="4"/>
          </reference>
          <reference field="14" count="1" selected="0">
            <x v="724"/>
          </reference>
        </references>
      </pivotArea>
    </format>
    <format dxfId="281">
      <pivotArea dataOnly="0" labelOnly="1" outline="0" fieldPosition="0">
        <references count="1">
          <reference field="13" count="1">
            <x v="17"/>
          </reference>
        </references>
      </pivotArea>
    </format>
    <format dxfId="280">
      <pivotArea dataOnly="0" labelOnly="1" outline="0" fieldPosition="0">
        <references count="2">
          <reference field="13" count="1" selected="0">
            <x v="17"/>
          </reference>
          <reference field="14" count="2">
            <x v="440"/>
            <x v="705"/>
          </reference>
        </references>
      </pivotArea>
    </format>
    <format dxfId="279">
      <pivotArea dataOnly="0" labelOnly="1" outline="0" fieldPosition="0">
        <references count="3">
          <reference field="10" count="1">
            <x v="35"/>
          </reference>
          <reference field="13" count="1" selected="0">
            <x v="17"/>
          </reference>
          <reference field="14" count="1" selected="0">
            <x v="440"/>
          </reference>
        </references>
      </pivotArea>
    </format>
    <format dxfId="278">
      <pivotArea dataOnly="0" labelOnly="1" outline="0" fieldPosition="0">
        <references count="3">
          <reference field="10" count="1">
            <x v="122"/>
          </reference>
          <reference field="13" count="1" selected="0">
            <x v="17"/>
          </reference>
          <reference field="14" count="1" selected="0">
            <x v="705"/>
          </reference>
        </references>
      </pivotArea>
    </format>
    <format dxfId="277">
      <pivotArea dataOnly="0" labelOnly="1" outline="0" fieldPosition="0">
        <references count="1">
          <reference field="13" count="1">
            <x v="30"/>
          </reference>
        </references>
      </pivotArea>
    </format>
    <format dxfId="276">
      <pivotArea dataOnly="0" labelOnly="1" outline="0" fieldPosition="0">
        <references count="2">
          <reference field="13" count="1" selected="0">
            <x v="30"/>
          </reference>
          <reference field="14" count="2">
            <x v="105"/>
            <x v="620"/>
          </reference>
        </references>
      </pivotArea>
    </format>
    <format dxfId="275">
      <pivotArea dataOnly="0" labelOnly="1" outline="0" fieldPosition="0">
        <references count="1">
          <reference field="13" count="1">
            <x v="38"/>
          </reference>
        </references>
      </pivotArea>
    </format>
    <format dxfId="274">
      <pivotArea dataOnly="0" labelOnly="1" outline="0" fieldPosition="0">
        <references count="2">
          <reference field="13" count="1" selected="0">
            <x v="38"/>
          </reference>
          <reference field="14" count="2">
            <x v="20"/>
            <x v="100"/>
          </reference>
        </references>
      </pivotArea>
    </format>
    <format dxfId="273">
      <pivotArea dataOnly="0" labelOnly="1" outline="0" fieldPosition="0">
        <references count="3">
          <reference field="10" count="1">
            <x v="178"/>
          </reference>
          <reference field="13" count="1" selected="0">
            <x v="38"/>
          </reference>
          <reference field="14" count="1" selected="0">
            <x v="20"/>
          </reference>
        </references>
      </pivotArea>
    </format>
    <format dxfId="272">
      <pivotArea dataOnly="0" labelOnly="1" outline="0" fieldPosition="0">
        <references count="3">
          <reference field="10" count="1">
            <x v="152"/>
          </reference>
          <reference field="13" count="1" selected="0">
            <x v="38"/>
          </reference>
          <reference field="14" count="1" selected="0">
            <x v="100"/>
          </reference>
        </references>
      </pivotArea>
    </format>
    <format dxfId="271">
      <pivotArea dataOnly="0" labelOnly="1" outline="0" fieldPosition="0">
        <references count="1">
          <reference field="13" count="1">
            <x v="53"/>
          </reference>
        </references>
      </pivotArea>
    </format>
    <format dxfId="270">
      <pivotArea dataOnly="0" labelOnly="1" outline="0" fieldPosition="0">
        <references count="2">
          <reference field="13" count="1" selected="0">
            <x v="53"/>
          </reference>
          <reference field="14" count="2">
            <x v="1"/>
            <x v="972"/>
          </reference>
        </references>
      </pivotArea>
    </format>
    <format dxfId="269">
      <pivotArea dataOnly="0" labelOnly="1" outline="0" fieldPosition="0">
        <references count="3">
          <reference field="10" count="1">
            <x v="240"/>
          </reference>
          <reference field="13" count="1" selected="0">
            <x v="53"/>
          </reference>
          <reference field="14" count="1" selected="0">
            <x v="1"/>
          </reference>
        </references>
      </pivotArea>
    </format>
    <format dxfId="268">
      <pivotArea dataOnly="0" labelOnly="1" outline="0" offset="IV1" fieldPosition="0">
        <references count="3">
          <reference field="10" count="1">
            <x v="97"/>
          </reference>
          <reference field="13" count="1" selected="0">
            <x v="53"/>
          </reference>
          <reference field="14" count="1" selected="0">
            <x v="972"/>
          </reference>
        </references>
      </pivotArea>
    </format>
    <format dxfId="267">
      <pivotArea dataOnly="0" labelOnly="1" outline="0" fieldPosition="0">
        <references count="1">
          <reference field="13" count="1">
            <x v="67"/>
          </reference>
        </references>
      </pivotArea>
    </format>
    <format dxfId="266">
      <pivotArea dataOnly="0" labelOnly="1" outline="0" fieldPosition="0">
        <references count="2">
          <reference field="13" count="1" selected="0">
            <x v="67"/>
          </reference>
          <reference field="14" count="2">
            <x v="499"/>
            <x v="1340"/>
          </reference>
        </references>
      </pivotArea>
    </format>
    <format dxfId="265">
      <pivotArea dataOnly="0" labelOnly="1" outline="0" fieldPosition="0">
        <references count="1">
          <reference field="13" count="1">
            <x v="70"/>
          </reference>
        </references>
      </pivotArea>
    </format>
    <format dxfId="264">
      <pivotArea dataOnly="0" labelOnly="1" outline="0" fieldPosition="0">
        <references count="2">
          <reference field="13" count="1" selected="0">
            <x v="70"/>
          </reference>
          <reference field="14" count="5">
            <x v="225"/>
            <x v="400"/>
            <x v="857"/>
            <x v="1076"/>
            <x v="1264"/>
          </reference>
        </references>
      </pivotArea>
    </format>
    <format dxfId="263">
      <pivotArea dataOnly="0" labelOnly="1" outline="0" fieldPosition="0">
        <references count="3">
          <reference field="10" count="1">
            <x v="107"/>
          </reference>
          <reference field="13" count="1" selected="0">
            <x v="70"/>
          </reference>
          <reference field="14" count="1" selected="0">
            <x v="225"/>
          </reference>
        </references>
      </pivotArea>
    </format>
    <format dxfId="262">
      <pivotArea dataOnly="0" labelOnly="1" outline="0" fieldPosition="0">
        <references count="3">
          <reference field="10" count="1">
            <x v="278"/>
          </reference>
          <reference field="13" count="1" selected="0">
            <x v="70"/>
          </reference>
          <reference field="14" count="1" selected="0">
            <x v="400"/>
          </reference>
        </references>
      </pivotArea>
    </format>
    <format dxfId="261">
      <pivotArea dataOnly="0" labelOnly="1" outline="0" fieldPosition="0">
        <references count="3">
          <reference field="10" count="1">
            <x v="11"/>
          </reference>
          <reference field="13" count="1" selected="0">
            <x v="70"/>
          </reference>
          <reference field="14" count="1" selected="0">
            <x v="857"/>
          </reference>
        </references>
      </pivotArea>
    </format>
    <format dxfId="260">
      <pivotArea dataOnly="0" labelOnly="1" outline="0" fieldPosition="0">
        <references count="3">
          <reference field="10" count="1">
            <x v="125"/>
          </reference>
          <reference field="13" count="1" selected="0">
            <x v="70"/>
          </reference>
          <reference field="14" count="1" selected="0">
            <x v="1076"/>
          </reference>
        </references>
      </pivotArea>
    </format>
    <format dxfId="259">
      <pivotArea dataOnly="0" labelOnly="1" outline="0" fieldPosition="0">
        <references count="3">
          <reference field="10" count="1">
            <x v="176"/>
          </reference>
          <reference field="13" count="1" selected="0">
            <x v="70"/>
          </reference>
          <reference field="14" count="1" selected="0">
            <x v="1264"/>
          </reference>
        </references>
      </pivotArea>
    </format>
    <format dxfId="258">
      <pivotArea dataOnly="0" labelOnly="1" outline="0" fieldPosition="0">
        <references count="1">
          <reference field="13" count="1">
            <x v="74"/>
          </reference>
        </references>
      </pivotArea>
    </format>
    <format dxfId="257">
      <pivotArea dataOnly="0" labelOnly="1" outline="0" fieldPosition="0">
        <references count="2">
          <reference field="13" count="1" selected="0">
            <x v="74"/>
          </reference>
          <reference field="14" count="3">
            <x v="615"/>
            <x v="1178"/>
            <x v="1250"/>
          </reference>
        </references>
      </pivotArea>
    </format>
    <format dxfId="256">
      <pivotArea dataOnly="0" labelOnly="1" outline="0" fieldPosition="0">
        <references count="3">
          <reference field="10" count="1">
            <x v="54"/>
          </reference>
          <reference field="13" count="1" selected="0">
            <x v="74"/>
          </reference>
          <reference field="14" count="1" selected="0">
            <x v="615"/>
          </reference>
        </references>
      </pivotArea>
    </format>
    <format dxfId="255">
      <pivotArea dataOnly="0" labelOnly="1" outline="0" fieldPosition="0">
        <references count="3">
          <reference field="10" count="1">
            <x v="127"/>
          </reference>
          <reference field="13" count="1" selected="0">
            <x v="74"/>
          </reference>
          <reference field="14" count="1" selected="0">
            <x v="1178"/>
          </reference>
        </references>
      </pivotArea>
    </format>
    <format dxfId="254">
      <pivotArea dataOnly="0" labelOnly="1" outline="0" fieldPosition="0">
        <references count="3">
          <reference field="10" count="1">
            <x v="291"/>
          </reference>
          <reference field="13" count="1" selected="0">
            <x v="74"/>
          </reference>
          <reference field="14" count="1" selected="0">
            <x v="1250"/>
          </reference>
        </references>
      </pivotArea>
    </format>
    <format dxfId="253">
      <pivotArea dataOnly="0" labelOnly="1" outline="0" fieldPosition="0">
        <references count="1">
          <reference field="13" count="1">
            <x v="81"/>
          </reference>
        </references>
      </pivotArea>
    </format>
    <format dxfId="252">
      <pivotArea dataOnly="0" labelOnly="1" outline="0" fieldPosition="0">
        <references count="2">
          <reference field="13" count="1" selected="0">
            <x v="81"/>
          </reference>
          <reference field="14" count="3">
            <x v="268"/>
            <x v="506"/>
            <x v="1347"/>
          </reference>
        </references>
      </pivotArea>
    </format>
    <format dxfId="251">
      <pivotArea dataOnly="0" labelOnly="1" outline="0" fieldPosition="0">
        <references count="3">
          <reference field="10" count="1">
            <x v="323"/>
          </reference>
          <reference field="13" count="1" selected="0">
            <x v="81"/>
          </reference>
          <reference field="14" count="1" selected="0">
            <x v="268"/>
          </reference>
        </references>
      </pivotArea>
    </format>
    <format dxfId="250">
      <pivotArea dataOnly="0" labelOnly="1" outline="0" fieldPosition="0">
        <references count="3">
          <reference field="10" count="1">
            <x v="155"/>
          </reference>
          <reference field="13" count="1" selected="0">
            <x v="81"/>
          </reference>
          <reference field="14" count="1" selected="0">
            <x v="506"/>
          </reference>
        </references>
      </pivotArea>
    </format>
    <format dxfId="249">
      <pivotArea dataOnly="0" labelOnly="1" outline="0" fieldPosition="0">
        <references count="1">
          <reference field="13" count="1">
            <x v="98"/>
          </reference>
        </references>
      </pivotArea>
    </format>
    <format dxfId="248">
      <pivotArea dataOnly="0" labelOnly="1" outline="0" fieldPosition="0">
        <references count="2">
          <reference field="13" count="1" selected="0">
            <x v="98"/>
          </reference>
          <reference field="14" count="2">
            <x v="371"/>
            <x v="507"/>
          </reference>
        </references>
      </pivotArea>
    </format>
    <format dxfId="247">
      <pivotArea dataOnly="0" labelOnly="1" outline="0" fieldPosition="0">
        <references count="3">
          <reference field="10" count="1">
            <x v="82"/>
          </reference>
          <reference field="13" count="1" selected="0">
            <x v="98"/>
          </reference>
          <reference field="14" count="1" selected="0">
            <x v="371"/>
          </reference>
        </references>
      </pivotArea>
    </format>
    <format dxfId="246">
      <pivotArea dataOnly="0" labelOnly="1" outline="0" fieldPosition="0">
        <references count="3">
          <reference field="10" count="1">
            <x v="155"/>
          </reference>
          <reference field="13" count="1" selected="0">
            <x v="98"/>
          </reference>
          <reference field="14" count="1" selected="0">
            <x v="507"/>
          </reference>
        </references>
      </pivotArea>
    </format>
    <format dxfId="245">
      <pivotArea dataOnly="0" labelOnly="1" outline="0" fieldPosition="0">
        <references count="1">
          <reference field="13" count="1">
            <x v="100"/>
          </reference>
        </references>
      </pivotArea>
    </format>
    <format dxfId="244">
      <pivotArea dataOnly="0" labelOnly="1" outline="0" fieldPosition="0">
        <references count="2">
          <reference field="13" count="1" selected="0">
            <x v="100"/>
          </reference>
          <reference field="14" count="2">
            <x v="1123"/>
            <x v="1347"/>
          </reference>
        </references>
      </pivotArea>
    </format>
    <format dxfId="243">
      <pivotArea dataOnly="0" labelOnly="1" outline="0" fieldPosition="0">
        <references count="3">
          <reference field="10" count="1">
            <x v="204"/>
          </reference>
          <reference field="13" count="1" selected="0">
            <x v="100"/>
          </reference>
          <reference field="14" count="1" selected="0">
            <x v="1123"/>
          </reference>
        </references>
      </pivotArea>
    </format>
    <format dxfId="242">
      <pivotArea dataOnly="0" labelOnly="1" outline="0" fieldPosition="0">
        <references count="1">
          <reference field="13" count="1">
            <x v="102"/>
          </reference>
        </references>
      </pivotArea>
    </format>
    <format dxfId="241">
      <pivotArea dataOnly="0" labelOnly="1" outline="0" fieldPosition="0">
        <references count="2">
          <reference field="13" count="1" selected="0">
            <x v="102"/>
          </reference>
          <reference field="14" count="2">
            <x v="243"/>
            <x v="1347"/>
          </reference>
        </references>
      </pivotArea>
    </format>
    <format dxfId="240">
      <pivotArea dataOnly="0" labelOnly="1" outline="0" fieldPosition="0">
        <references count="3">
          <reference field="10" count="1">
            <x v="202"/>
          </reference>
          <reference field="13" count="1" selected="0">
            <x v="102"/>
          </reference>
          <reference field="14" count="1" selected="0">
            <x v="243"/>
          </reference>
        </references>
      </pivotArea>
    </format>
    <format dxfId="239">
      <pivotArea dataOnly="0" labelOnly="1" outline="0" fieldPosition="0">
        <references count="1">
          <reference field="13" count="1">
            <x v="117"/>
          </reference>
        </references>
      </pivotArea>
    </format>
    <format dxfId="238">
      <pivotArea dataOnly="0" labelOnly="1" outline="0" fieldPosition="0">
        <references count="2">
          <reference field="13" count="1" selected="0">
            <x v="117"/>
          </reference>
          <reference field="14" count="3">
            <x v="89"/>
            <x v="197"/>
            <x v="1016"/>
          </reference>
        </references>
      </pivotArea>
    </format>
    <format dxfId="237">
      <pivotArea dataOnly="0" labelOnly="1" outline="0" fieldPosition="0">
        <references count="3">
          <reference field="10" count="1">
            <x v="29"/>
          </reference>
          <reference field="13" count="1" selected="0">
            <x v="117"/>
          </reference>
          <reference field="14" count="1" selected="0">
            <x v="89"/>
          </reference>
        </references>
      </pivotArea>
    </format>
    <format dxfId="236">
      <pivotArea dataOnly="0" labelOnly="1" outline="0" fieldPosition="0">
        <references count="3">
          <reference field="10" count="1">
            <x v="208"/>
          </reference>
          <reference field="13" count="1" selected="0">
            <x v="117"/>
          </reference>
          <reference field="14" count="1" selected="0">
            <x v="197"/>
          </reference>
        </references>
      </pivotArea>
    </format>
    <format dxfId="235">
      <pivotArea dataOnly="0" labelOnly="1" outline="0" fieldPosition="0">
        <references count="3">
          <reference field="10" count="1">
            <x v="255"/>
          </reference>
          <reference field="13" count="1" selected="0">
            <x v="117"/>
          </reference>
          <reference field="14" count="1" selected="0">
            <x v="1016"/>
          </reference>
        </references>
      </pivotArea>
    </format>
    <format dxfId="234">
      <pivotArea dataOnly="0" labelOnly="1" outline="0" fieldPosition="0">
        <references count="1">
          <reference field="13" count="1">
            <x v="122"/>
          </reference>
        </references>
      </pivotArea>
    </format>
    <format dxfId="233">
      <pivotArea dataOnly="0" labelOnly="1" outline="0" fieldPosition="0">
        <references count="2">
          <reference field="13" count="1" selected="0">
            <x v="122"/>
          </reference>
          <reference field="14" count="2">
            <x v="186"/>
            <x v="214"/>
          </reference>
        </references>
      </pivotArea>
    </format>
    <format dxfId="232">
      <pivotArea dataOnly="0" labelOnly="1" outline="0" fieldPosition="0">
        <references count="3">
          <reference field="10" count="1">
            <x v="215"/>
          </reference>
          <reference field="13" count="1" selected="0">
            <x v="122"/>
          </reference>
          <reference field="14" count="1" selected="0">
            <x v="186"/>
          </reference>
        </references>
      </pivotArea>
    </format>
    <format dxfId="231">
      <pivotArea dataOnly="0" labelOnly="1" outline="0" fieldPosition="0">
        <references count="3">
          <reference field="10" count="1">
            <x v="187"/>
          </reference>
          <reference field="13" count="1" selected="0">
            <x v="122"/>
          </reference>
          <reference field="14" count="1" selected="0">
            <x v="214"/>
          </reference>
        </references>
      </pivotArea>
    </format>
    <format dxfId="230">
      <pivotArea dataOnly="0" labelOnly="1" outline="0" fieldPosition="0">
        <references count="1">
          <reference field="13" count="1">
            <x v="130"/>
          </reference>
        </references>
      </pivotArea>
    </format>
    <format dxfId="229">
      <pivotArea dataOnly="0" labelOnly="1" outline="0" fieldPosition="0">
        <references count="2">
          <reference field="13" count="1" selected="0">
            <x v="130"/>
          </reference>
          <reference field="14" count="2">
            <x v="821"/>
            <x v="888"/>
          </reference>
        </references>
      </pivotArea>
    </format>
    <format dxfId="228">
      <pivotArea dataOnly="0" labelOnly="1" outline="0" fieldPosition="0">
        <references count="3">
          <reference field="10" count="1">
            <x v="101"/>
          </reference>
          <reference field="13" count="1" selected="0">
            <x v="130"/>
          </reference>
          <reference field="14" count="1" selected="0">
            <x v="821"/>
          </reference>
        </references>
      </pivotArea>
    </format>
    <format dxfId="227">
      <pivotArea dataOnly="0" labelOnly="1" outline="0" fieldPosition="0">
        <references count="3">
          <reference field="10" count="1">
            <x v="32"/>
          </reference>
          <reference field="13" count="1" selected="0">
            <x v="130"/>
          </reference>
          <reference field="14" count="1" selected="0">
            <x v="888"/>
          </reference>
        </references>
      </pivotArea>
    </format>
    <format dxfId="226">
      <pivotArea dataOnly="0" labelOnly="1" outline="0" fieldPosition="0">
        <references count="1">
          <reference field="13" count="1">
            <x v="132"/>
          </reference>
        </references>
      </pivotArea>
    </format>
    <format dxfId="225">
      <pivotArea dataOnly="0" labelOnly="1" outline="0" fieldPosition="0">
        <references count="2">
          <reference field="13" count="1" selected="0">
            <x v="132"/>
          </reference>
          <reference field="14" count="2">
            <x v="702"/>
            <x v="1347"/>
          </reference>
        </references>
      </pivotArea>
    </format>
    <format dxfId="224">
      <pivotArea dataOnly="0" labelOnly="1" outline="0" fieldPosition="0">
        <references count="3">
          <reference field="10" count="1">
            <x v="117"/>
          </reference>
          <reference field="13" count="1" selected="0">
            <x v="132"/>
          </reference>
          <reference field="14" count="1" selected="0">
            <x v="702"/>
          </reference>
        </references>
      </pivotArea>
    </format>
    <format dxfId="223">
      <pivotArea dataOnly="0" labelOnly="1" outline="0" fieldPosition="0">
        <references count="3">
          <reference field="10" count="1">
            <x v="255"/>
          </reference>
          <reference field="13" count="1" selected="0">
            <x v="132"/>
          </reference>
          <reference field="14" count="1" selected="0">
            <x v="1347"/>
          </reference>
        </references>
      </pivotArea>
    </format>
    <format dxfId="222">
      <pivotArea dataOnly="0" labelOnly="1" outline="0" fieldPosition="0">
        <references count="1">
          <reference field="13" count="1">
            <x v="134"/>
          </reference>
        </references>
      </pivotArea>
    </format>
    <format dxfId="221">
      <pivotArea dataOnly="0" labelOnly="1" outline="0" fieldPosition="0">
        <references count="2">
          <reference field="13" count="1" selected="0">
            <x v="134"/>
          </reference>
          <reference field="14" count="3">
            <x v="990"/>
            <x v="993"/>
            <x v="1088"/>
          </reference>
        </references>
      </pivotArea>
    </format>
    <format dxfId="220">
      <pivotArea dataOnly="0" labelOnly="1" outline="0" fieldPosition="0">
        <references count="3">
          <reference field="10" count="1">
            <x v="56"/>
          </reference>
          <reference field="13" count="1" selected="0">
            <x v="134"/>
          </reference>
          <reference field="14" count="1" selected="0">
            <x v="990"/>
          </reference>
        </references>
      </pivotArea>
    </format>
    <format dxfId="219">
      <pivotArea dataOnly="0" labelOnly="1" outline="0" fieldPosition="0">
        <references count="3">
          <reference field="10" count="1">
            <x v="137"/>
          </reference>
          <reference field="13" count="1" selected="0">
            <x v="134"/>
          </reference>
          <reference field="14" count="1" selected="0">
            <x v="1088"/>
          </reference>
        </references>
      </pivotArea>
    </format>
    <format dxfId="218">
      <pivotArea dataOnly="0" labelOnly="1" outline="0" fieldPosition="0">
        <references count="1">
          <reference field="13" count="1">
            <x v="136"/>
          </reference>
        </references>
      </pivotArea>
    </format>
    <format dxfId="217">
      <pivotArea dataOnly="0" labelOnly="1" outline="0" fieldPosition="0">
        <references count="2">
          <reference field="13" count="1" selected="0">
            <x v="136"/>
          </reference>
          <reference field="14" count="2">
            <x v="606"/>
            <x v="618"/>
          </reference>
        </references>
      </pivotArea>
    </format>
    <format dxfId="216">
      <pivotArea dataOnly="0" labelOnly="1" outline="0" fieldPosition="0">
        <references count="3">
          <reference field="10" count="1">
            <x v="168"/>
          </reference>
          <reference field="13" count="1" selected="0">
            <x v="136"/>
          </reference>
          <reference field="14" count="1" selected="0">
            <x v="606"/>
          </reference>
        </references>
      </pivotArea>
    </format>
    <format dxfId="215">
      <pivotArea dataOnly="0" outline="0" fieldPosition="0">
        <references count="5">
          <reference field="4" count="0" defaultSubtotal="1" sumSubtotal="1" countASubtotal="1" avgSubtotal="1" maxSubtotal="1" minSubtotal="1" productSubtotal="1" countSubtotal="1" stdDevSubtotal="1" stdDevPSubtotal="1" varSubtotal="1" varPSubtotal="1"/>
          <reference field="7" count="0" defaultSubtotal="1" sumSubtotal="1" countASubtotal="1" avgSubtotal="1" maxSubtotal="1" minSubtotal="1" productSubtotal="1" countSubtotal="1" stdDevSubtotal="1" stdDevPSubtotal="1" varSubtotal="1" varPSubtotal="1"/>
          <reference field="10" count="0" defaultSubtotal="1" sumSubtotal="1" countASubtotal="1" avgSubtotal="1" maxSubtotal="1" minSubtotal="1" productSubtotal="1" countSubtotal="1" stdDevSubtotal="1" stdDevPSubtotal="1" varSubtotal="1" varPSubtotal="1"/>
          <reference field="13" count="1">
            <x v="137"/>
          </reference>
          <reference field="14" count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214">
      <pivotArea dataOnly="0" labelOnly="1" outline="0" fieldPosition="0">
        <references count="1">
          <reference field="13" count="1">
            <x v="141"/>
          </reference>
        </references>
      </pivotArea>
    </format>
    <format dxfId="213">
      <pivotArea dataOnly="0" labelOnly="1" outline="0" fieldPosition="0">
        <references count="2">
          <reference field="13" count="1" selected="0">
            <x v="141"/>
          </reference>
          <reference field="14" count="2">
            <x v="862"/>
            <x v="1347"/>
          </reference>
        </references>
      </pivotArea>
    </format>
    <format dxfId="212">
      <pivotArea dataOnly="0" labelOnly="1" outline="0" fieldPosition="0">
        <references count="3">
          <reference field="10" count="1">
            <x v="73"/>
          </reference>
          <reference field="13" count="1" selected="0">
            <x v="141"/>
          </reference>
          <reference field="14" count="1" selected="0">
            <x v="862"/>
          </reference>
        </references>
      </pivotArea>
    </format>
    <format dxfId="211">
      <pivotArea dataOnly="0" labelOnly="1" outline="0" fieldPosition="0">
        <references count="3">
          <reference field="10" count="1">
            <x v="74"/>
          </reference>
          <reference field="13" count="1" selected="0">
            <x v="141"/>
          </reference>
          <reference field="14" count="1" selected="0">
            <x v="1347"/>
          </reference>
        </references>
      </pivotArea>
    </format>
    <format dxfId="210">
      <pivotArea dataOnly="0" labelOnly="1" outline="0" fieldPosition="0">
        <references count="1">
          <reference field="13" count="1">
            <x v="146"/>
          </reference>
        </references>
      </pivotArea>
    </format>
    <format dxfId="209">
      <pivotArea dataOnly="0" labelOnly="1" outline="0" fieldPosition="0">
        <references count="2">
          <reference field="13" count="1" selected="0">
            <x v="146"/>
          </reference>
          <reference field="14" count="2">
            <x v="330"/>
            <x v="841"/>
          </reference>
        </references>
      </pivotArea>
    </format>
    <format dxfId="208">
      <pivotArea dataOnly="0" labelOnly="1" outline="0" fieldPosition="0">
        <references count="3">
          <reference field="10" count="1">
            <x v="231"/>
          </reference>
          <reference field="13" count="1" selected="0">
            <x v="146"/>
          </reference>
          <reference field="14" count="1" selected="0">
            <x v="330"/>
          </reference>
        </references>
      </pivotArea>
    </format>
    <format dxfId="207">
      <pivotArea dataOnly="0" labelOnly="1" outline="0" fieldPosition="0">
        <references count="3">
          <reference field="10" count="1">
            <x v="157"/>
          </reference>
          <reference field="13" count="1" selected="0">
            <x v="146"/>
          </reference>
          <reference field="14" count="1" selected="0">
            <x v="841"/>
          </reference>
        </references>
      </pivotArea>
    </format>
    <format dxfId="206">
      <pivotArea dataOnly="0" labelOnly="1" outline="0" fieldPosition="0">
        <references count="1">
          <reference field="13" count="1">
            <x v="143"/>
          </reference>
        </references>
      </pivotArea>
    </format>
    <format dxfId="205">
      <pivotArea dataOnly="0" labelOnly="1" outline="0" fieldPosition="0">
        <references count="2">
          <reference field="13" count="1" selected="0">
            <x v="143"/>
          </reference>
          <reference field="14" count="1">
            <x v="1347"/>
          </reference>
        </references>
      </pivotArea>
    </format>
    <format dxfId="204">
      <pivotArea dataOnly="0" labelOnly="1" outline="0" fieldPosition="0">
        <references count="3">
          <reference field="10" count="1">
            <x v="68"/>
          </reference>
          <reference field="13" count="1" selected="0">
            <x v="143"/>
          </reference>
          <reference field="14" count="1" selected="0">
            <x v="1347"/>
          </reference>
        </references>
      </pivotArea>
    </format>
    <format dxfId="203">
      <pivotArea dataOnly="0" labelOnly="1" outline="0" fieldPosition="0">
        <references count="1">
          <reference field="13" count="1">
            <x v="164"/>
          </reference>
        </references>
      </pivotArea>
    </format>
    <format dxfId="202">
      <pivotArea dataOnly="0" labelOnly="1" outline="0" fieldPosition="0">
        <references count="2">
          <reference field="13" count="1" selected="0">
            <x v="164"/>
          </reference>
          <reference field="14" count="2">
            <x v="412"/>
            <x v="1347"/>
          </reference>
        </references>
      </pivotArea>
    </format>
    <format dxfId="201">
      <pivotArea dataOnly="0" labelOnly="1" outline="0" fieldPosition="0">
        <references count="3">
          <reference field="10" count="1">
            <x v="42"/>
          </reference>
          <reference field="13" count="1" selected="0">
            <x v="164"/>
          </reference>
          <reference field="14" count="1" selected="0">
            <x v="412"/>
          </reference>
        </references>
      </pivotArea>
    </format>
    <format dxfId="200">
      <pivotArea dataOnly="0" labelOnly="1" outline="0" fieldPosition="0">
        <references count="3">
          <reference field="10" count="1">
            <x v="41"/>
          </reference>
          <reference field="13" count="1" selected="0">
            <x v="164"/>
          </reference>
          <reference field="14" count="1" selected="0">
            <x v="1347"/>
          </reference>
        </references>
      </pivotArea>
    </format>
    <format dxfId="199">
      <pivotArea dataOnly="0" labelOnly="1" outline="0" fieldPosition="0">
        <references count="1">
          <reference field="13" count="2">
            <x v="173"/>
            <x v="174"/>
          </reference>
        </references>
      </pivotArea>
    </format>
    <format dxfId="198">
      <pivotArea dataOnly="0" labelOnly="1" outline="0" fieldPosition="0">
        <references count="2">
          <reference field="13" count="1" selected="0">
            <x v="173"/>
          </reference>
          <reference field="14" count="2">
            <x v="119"/>
            <x v="375"/>
          </reference>
        </references>
      </pivotArea>
    </format>
    <format dxfId="197">
      <pivotArea dataOnly="0" labelOnly="1" outline="0" fieldPosition="0">
        <references count="2">
          <reference field="13" count="1" selected="0">
            <x v="174"/>
          </reference>
          <reference field="14" count="2">
            <x v="135"/>
            <x v="191"/>
          </reference>
        </references>
      </pivotArea>
    </format>
    <format dxfId="196">
      <pivotArea dataOnly="0" labelOnly="1" outline="0" fieldPosition="0">
        <references count="3">
          <reference field="10" count="1">
            <x v="43"/>
          </reference>
          <reference field="13" count="1" selected="0">
            <x v="173"/>
          </reference>
          <reference field="14" count="1" selected="0">
            <x v="119"/>
          </reference>
        </references>
      </pivotArea>
    </format>
    <format dxfId="195">
      <pivotArea dataOnly="0" labelOnly="1" outline="0" fieldPosition="0">
        <references count="3">
          <reference field="10" count="1">
            <x v="113"/>
          </reference>
          <reference field="13" count="1" selected="0">
            <x v="173"/>
          </reference>
          <reference field="14" count="1" selected="0">
            <x v="375"/>
          </reference>
        </references>
      </pivotArea>
    </format>
    <format dxfId="194">
      <pivotArea dataOnly="0" labelOnly="1" outline="0" fieldPosition="0">
        <references count="3">
          <reference field="10" count="1">
            <x v="46"/>
          </reference>
          <reference field="13" count="1" selected="0">
            <x v="174"/>
          </reference>
          <reference field="14" count="1" selected="0">
            <x v="135"/>
          </reference>
        </references>
      </pivotArea>
    </format>
    <format dxfId="193">
      <pivotArea dataOnly="0" labelOnly="1" outline="0" fieldPosition="0">
        <references count="3">
          <reference field="10" count="1">
            <x v="205"/>
          </reference>
          <reference field="13" count="1" selected="0">
            <x v="174"/>
          </reference>
          <reference field="14" count="1" selected="0">
            <x v="191"/>
          </reference>
        </references>
      </pivotArea>
    </format>
    <format dxfId="192">
      <pivotArea dataOnly="0" labelOnly="1" outline="0" fieldPosition="0">
        <references count="1">
          <reference field="13" count="1">
            <x v="180"/>
          </reference>
        </references>
      </pivotArea>
    </format>
    <format dxfId="191">
      <pivotArea dataOnly="0" labelOnly="1" outline="0" fieldPosition="0">
        <references count="2">
          <reference field="13" count="1" selected="0">
            <x v="180"/>
          </reference>
          <reference field="14" count="2">
            <x v="755"/>
            <x v="1013"/>
          </reference>
        </references>
      </pivotArea>
    </format>
    <format dxfId="190">
      <pivotArea dataOnly="0" labelOnly="1" outline="0" fieldPosition="0">
        <references count="3">
          <reference field="10" count="1">
            <x v="194"/>
          </reference>
          <reference field="13" count="1" selected="0">
            <x v="180"/>
          </reference>
          <reference field="14" count="1" selected="0">
            <x v="755"/>
          </reference>
        </references>
      </pivotArea>
    </format>
    <format dxfId="189">
      <pivotArea dataOnly="0" labelOnly="1" outline="0" fieldPosition="0">
        <references count="3">
          <reference field="10" count="1">
            <x v="179"/>
          </reference>
          <reference field="13" count="1" selected="0">
            <x v="180"/>
          </reference>
          <reference field="14" count="1" selected="0">
            <x v="1013"/>
          </reference>
        </references>
      </pivotArea>
    </format>
    <format dxfId="188">
      <pivotArea dataOnly="0" labelOnly="1" outline="0" fieldPosition="0">
        <references count="1">
          <reference field="13" count="1">
            <x v="191"/>
          </reference>
        </references>
      </pivotArea>
    </format>
    <format dxfId="187">
      <pivotArea dataOnly="0" labelOnly="1" outline="0" fieldPosition="0">
        <references count="2">
          <reference field="13" count="1" selected="0">
            <x v="191"/>
          </reference>
          <reference field="14" count="2">
            <x v="610"/>
            <x v="1102"/>
          </reference>
        </references>
      </pivotArea>
    </format>
    <format dxfId="186">
      <pivotArea dataOnly="0" labelOnly="1" outline="0" fieldPosition="0">
        <references count="3">
          <reference field="10" count="1">
            <x v="168"/>
          </reference>
          <reference field="13" count="1" selected="0">
            <x v="191"/>
          </reference>
          <reference field="14" count="1" selected="0">
            <x v="610"/>
          </reference>
        </references>
      </pivotArea>
    </format>
    <format dxfId="185">
      <pivotArea dataOnly="0" labelOnly="1" outline="0" fieldPosition="0">
        <references count="3">
          <reference field="10" count="1">
            <x v="137"/>
          </reference>
          <reference field="13" count="1" selected="0">
            <x v="191"/>
          </reference>
          <reference field="14" count="1" selected="0">
            <x v="1102"/>
          </reference>
        </references>
      </pivotArea>
    </format>
    <format dxfId="184">
      <pivotArea dataOnly="0" labelOnly="1" outline="0" fieldPosition="0">
        <references count="1">
          <reference field="13" count="1">
            <x v="194"/>
          </reference>
        </references>
      </pivotArea>
    </format>
    <format dxfId="183">
      <pivotArea dataOnly="0" labelOnly="1" outline="0" fieldPosition="0">
        <references count="2">
          <reference field="13" count="1" selected="0">
            <x v="194"/>
          </reference>
          <reference field="14" count="2">
            <x v="1104"/>
            <x v="1347"/>
          </reference>
        </references>
      </pivotArea>
    </format>
    <format dxfId="182">
      <pivotArea dataOnly="0" labelOnly="1" outline="0" offset="IV2:IV256" fieldPosition="0">
        <references count="3">
          <reference field="10" count="1">
            <x v="54"/>
          </reference>
          <reference field="13" count="1" selected="0">
            <x v="193"/>
          </reference>
          <reference field="14" count="1" selected="0">
            <x v="602"/>
          </reference>
        </references>
      </pivotArea>
    </format>
    <format dxfId="181">
      <pivotArea dataOnly="0" labelOnly="1" outline="0" fieldPosition="0">
        <references count="1">
          <reference field="13" count="1">
            <x v="223"/>
          </reference>
        </references>
      </pivotArea>
    </format>
    <format dxfId="180">
      <pivotArea dataOnly="0" labelOnly="1" outline="0" fieldPosition="0">
        <references count="2">
          <reference field="13" count="1" selected="0">
            <x v="223"/>
          </reference>
          <reference field="14" count="2">
            <x v="616"/>
            <x v="1347"/>
          </reference>
        </references>
      </pivotArea>
    </format>
    <format dxfId="179">
      <pivotArea dataOnly="0" labelOnly="1" outline="0" fieldPosition="0">
        <references count="3">
          <reference field="10" count="1">
            <x v="168"/>
          </reference>
          <reference field="13" count="1" selected="0">
            <x v="223"/>
          </reference>
          <reference field="14" count="1" selected="0">
            <x v="616"/>
          </reference>
        </references>
      </pivotArea>
    </format>
    <format dxfId="178">
      <pivotArea dataOnly="0" labelOnly="1" outline="0" fieldPosition="0">
        <references count="1">
          <reference field="13" count="1">
            <x v="226"/>
          </reference>
        </references>
      </pivotArea>
    </format>
    <format dxfId="177">
      <pivotArea dataOnly="0" labelOnly="1" outline="0" fieldPosition="0">
        <references count="2">
          <reference field="13" count="1" selected="0">
            <x v="226"/>
          </reference>
          <reference field="14" count="2">
            <x v="546"/>
            <x v="1117"/>
          </reference>
        </references>
      </pivotArea>
    </format>
    <format dxfId="176">
      <pivotArea dataOnly="0" labelOnly="1" outline="0" fieldPosition="0">
        <references count="3">
          <reference field="10" count="1">
            <x v="128"/>
          </reference>
          <reference field="13" count="1" selected="0">
            <x v="226"/>
          </reference>
          <reference field="14" count="1" selected="0">
            <x v="546"/>
          </reference>
        </references>
      </pivotArea>
    </format>
    <format dxfId="175">
      <pivotArea dataOnly="0" labelOnly="1" outline="0" fieldPosition="0">
        <references count="3">
          <reference field="10" count="1">
            <x v="149"/>
          </reference>
          <reference field="13" count="1" selected="0">
            <x v="226"/>
          </reference>
          <reference field="14" count="1" selected="0">
            <x v="1117"/>
          </reference>
        </references>
      </pivotArea>
    </format>
    <format dxfId="174">
      <pivotArea dataOnly="0" labelOnly="1" outline="0" fieldPosition="0">
        <references count="1">
          <reference field="13" count="1">
            <x v="228"/>
          </reference>
        </references>
      </pivotArea>
    </format>
    <format dxfId="173">
      <pivotArea dataOnly="0" labelOnly="1" outline="0" fieldPosition="0">
        <references count="2">
          <reference field="13" count="1" selected="0">
            <x v="228"/>
          </reference>
          <reference field="14" count="2">
            <x v="603"/>
            <x v="621"/>
          </reference>
        </references>
      </pivotArea>
    </format>
    <format dxfId="172">
      <pivotArea dataOnly="0" labelOnly="1" outline="0" offset="IV1" fieldPosition="0">
        <references count="2">
          <reference field="13" count="1" selected="0">
            <x v="228"/>
          </reference>
          <reference field="14" count="1">
            <x v="1347"/>
          </reference>
        </references>
      </pivotArea>
    </format>
    <format dxfId="171">
      <pivotArea dataOnly="0" labelOnly="1" outline="0" offset="IV2:IV256" fieldPosition="0">
        <references count="3">
          <reference field="10" count="1">
            <x v="54"/>
          </reference>
          <reference field="13" count="1" selected="0">
            <x v="227"/>
          </reference>
          <reference field="14" count="1" selected="0">
            <x v="600"/>
          </reference>
        </references>
      </pivotArea>
    </format>
    <format dxfId="170">
      <pivotArea dataOnly="0" labelOnly="1" outline="0" fieldPosition="0">
        <references count="1">
          <reference field="13" count="1">
            <x v="231"/>
          </reference>
        </references>
      </pivotArea>
    </format>
    <format dxfId="169">
      <pivotArea dataOnly="0" labelOnly="1" outline="0" fieldPosition="0">
        <references count="2">
          <reference field="13" count="1" selected="0">
            <x v="231"/>
          </reference>
          <reference field="14" count="2">
            <x v="659"/>
            <x v="1347"/>
          </reference>
        </references>
      </pivotArea>
    </format>
    <format dxfId="168">
      <pivotArea dataOnly="0" labelOnly="1" outline="0" fieldPosition="0">
        <references count="3">
          <reference field="10" count="1">
            <x v="128"/>
          </reference>
          <reference field="13" count="1" selected="0">
            <x v="231"/>
          </reference>
          <reference field="14" count="1" selected="0">
            <x v="659"/>
          </reference>
        </references>
      </pivotArea>
    </format>
    <format dxfId="167">
      <pivotArea dataOnly="0" labelOnly="1" outline="0" fieldPosition="0">
        <references count="3">
          <reference field="10" count="1">
            <x v="2"/>
          </reference>
          <reference field="13" count="1" selected="0">
            <x v="231"/>
          </reference>
          <reference field="14" count="1" selected="0">
            <x v="1347"/>
          </reference>
        </references>
      </pivotArea>
    </format>
    <format dxfId="166">
      <pivotArea dataOnly="0" labelOnly="1" outline="0" fieldPosition="0">
        <references count="1">
          <reference field="13" count="1">
            <x v="239"/>
          </reference>
        </references>
      </pivotArea>
    </format>
    <format dxfId="165">
      <pivotArea dataOnly="0" labelOnly="1" outline="0" fieldPosition="0">
        <references count="2">
          <reference field="13" count="1" selected="0">
            <x v="239"/>
          </reference>
          <reference field="14" count="2">
            <x v="1105"/>
            <x v="1347"/>
          </reference>
        </references>
      </pivotArea>
    </format>
    <format dxfId="164">
      <pivotArea dataOnly="0" labelOnly="1" outline="0" fieldPosition="0">
        <references count="3">
          <reference field="10" count="1">
            <x v="54"/>
          </reference>
          <reference field="13" count="1" selected="0">
            <x v="239"/>
          </reference>
          <reference field="14" count="1" selected="0">
            <x v="1105"/>
          </reference>
        </references>
      </pivotArea>
    </format>
    <format dxfId="163">
      <pivotArea dataOnly="0" labelOnly="1" outline="0" fieldPosition="0">
        <references count="1">
          <reference field="13" count="1">
            <x v="240"/>
          </reference>
        </references>
      </pivotArea>
    </format>
    <format dxfId="162">
      <pivotArea dataOnly="0" labelOnly="1" outline="0" fieldPosition="0">
        <references count="2">
          <reference field="13" count="1" selected="0">
            <x v="240"/>
          </reference>
          <reference field="14" count="2">
            <x v="773"/>
            <x v="1079"/>
          </reference>
        </references>
      </pivotArea>
    </format>
    <format dxfId="161">
      <pivotArea dataOnly="0" labelOnly="1" outline="0" fieldPosition="0">
        <references count="3">
          <reference field="10" count="1">
            <x v="299"/>
          </reference>
          <reference field="13" count="1" selected="0">
            <x v="240"/>
          </reference>
          <reference field="14" count="1" selected="0">
            <x v="773"/>
          </reference>
        </references>
      </pivotArea>
    </format>
    <format dxfId="160">
      <pivotArea dataOnly="0" labelOnly="1" outline="0" fieldPosition="0">
        <references count="3">
          <reference field="10" count="1">
            <x v="125"/>
          </reference>
          <reference field="13" count="1" selected="0">
            <x v="240"/>
          </reference>
          <reference field="14" count="1" selected="0">
            <x v="1079"/>
          </reference>
        </references>
      </pivotArea>
    </format>
    <format dxfId="159">
      <pivotArea dataOnly="0" labelOnly="1" outline="0" fieldPosition="0">
        <references count="1">
          <reference field="13" count="1">
            <x v="243"/>
          </reference>
        </references>
      </pivotArea>
    </format>
    <format dxfId="158">
      <pivotArea dataOnly="0" labelOnly="1" outline="0" fieldPosition="0">
        <references count="2">
          <reference field="13" count="1" selected="0">
            <x v="243"/>
          </reference>
          <reference field="14" count="2">
            <x v="1114"/>
            <x v="1190"/>
          </reference>
        </references>
      </pivotArea>
    </format>
    <format dxfId="157">
      <pivotArea dataOnly="0" labelOnly="1" outline="0" fieldPosition="0">
        <references count="3">
          <reference field="10" count="1">
            <x v="149"/>
          </reference>
          <reference field="13" count="1" selected="0">
            <x v="243"/>
          </reference>
          <reference field="14" count="1" selected="0">
            <x v="1114"/>
          </reference>
        </references>
      </pivotArea>
    </format>
    <format dxfId="156">
      <pivotArea dataOnly="0" labelOnly="1" outline="0" fieldPosition="0">
        <references count="3">
          <reference field="10" count="1">
            <x v="184"/>
          </reference>
          <reference field="13" count="1" selected="0">
            <x v="243"/>
          </reference>
          <reference field="14" count="1" selected="0">
            <x v="1190"/>
          </reference>
        </references>
      </pivotArea>
    </format>
    <format dxfId="155">
      <pivotArea dataOnly="0" labelOnly="1" outline="0" fieldPosition="0">
        <references count="1">
          <reference field="13" count="1">
            <x v="252"/>
          </reference>
        </references>
      </pivotArea>
    </format>
    <format dxfId="154">
      <pivotArea dataOnly="0" labelOnly="1" outline="0" fieldPosition="0">
        <references count="2">
          <reference field="13" count="1" selected="0">
            <x v="252"/>
          </reference>
          <reference field="14" count="2">
            <x v="257"/>
            <x v="508"/>
          </reference>
        </references>
      </pivotArea>
    </format>
    <format dxfId="153">
      <pivotArea dataOnly="0" labelOnly="1" outline="0" offset="IV1" fieldPosition="0">
        <references count="2">
          <reference field="13" count="1" selected="0">
            <x v="252"/>
          </reference>
          <reference field="14" count="1">
            <x v="1347"/>
          </reference>
        </references>
      </pivotArea>
    </format>
    <format dxfId="152">
      <pivotArea dataOnly="0" labelOnly="1" outline="0" fieldPosition="0">
        <references count="3">
          <reference field="10" count="1">
            <x v="266"/>
          </reference>
          <reference field="13" count="1" selected="0">
            <x v="252"/>
          </reference>
          <reference field="14" count="1" selected="0">
            <x v="257"/>
          </reference>
        </references>
      </pivotArea>
    </format>
    <format dxfId="151">
      <pivotArea dataOnly="0" labelOnly="1" outline="0" fieldPosition="0">
        <references count="3">
          <reference field="10" count="1">
            <x v="155"/>
          </reference>
          <reference field="13" count="1" selected="0">
            <x v="252"/>
          </reference>
          <reference field="14" count="1" selected="0">
            <x v="508"/>
          </reference>
        </references>
      </pivotArea>
    </format>
    <format dxfId="150">
      <pivotArea dataOnly="0" labelOnly="1" outline="0" fieldPosition="0">
        <references count="3">
          <reference field="10" count="1">
            <x v="2"/>
          </reference>
          <reference field="13" count="1" selected="0">
            <x v="252"/>
          </reference>
          <reference field="14" count="1" selected="0">
            <x v="1347"/>
          </reference>
        </references>
      </pivotArea>
    </format>
    <format dxfId="149">
      <pivotArea dataOnly="0" labelOnly="1" outline="0" fieldPosition="0">
        <references count="1">
          <reference field="13" count="1">
            <x v="273"/>
          </reference>
        </references>
      </pivotArea>
    </format>
    <format dxfId="148">
      <pivotArea dataOnly="0" labelOnly="1" outline="0" fieldPosition="0">
        <references count="2">
          <reference field="13" count="1" selected="0">
            <x v="273"/>
          </reference>
          <reference field="14" count="3">
            <x v="67"/>
            <x v="470"/>
            <x v="723"/>
          </reference>
        </references>
      </pivotArea>
    </format>
    <format dxfId="147">
      <pivotArea dataOnly="0" labelOnly="1" outline="0" fieldPosition="0">
        <references count="3">
          <reference field="10" count="1">
            <x v="93"/>
          </reference>
          <reference field="13" count="1" selected="0">
            <x v="273"/>
          </reference>
          <reference field="14" count="1" selected="0">
            <x v="67"/>
          </reference>
        </references>
      </pivotArea>
    </format>
    <format dxfId="146">
      <pivotArea dataOnly="0" labelOnly="1" outline="0" fieldPosition="0">
        <references count="3">
          <reference field="10" count="1">
            <x v="89"/>
          </reference>
          <reference field="13" count="1" selected="0">
            <x v="273"/>
          </reference>
          <reference field="14" count="1" selected="0">
            <x v="470"/>
          </reference>
        </references>
      </pivotArea>
    </format>
    <format dxfId="145">
      <pivotArea dataOnly="0" labelOnly="1" outline="0" fieldPosition="0">
        <references count="3">
          <reference field="10" count="1">
            <x v="132"/>
          </reference>
          <reference field="13" count="1" selected="0">
            <x v="273"/>
          </reference>
          <reference field="14" count="1" selected="0">
            <x v="723"/>
          </reference>
        </references>
      </pivotArea>
    </format>
    <format dxfId="144">
      <pivotArea dataOnly="0" labelOnly="1" outline="0" fieldPosition="0">
        <references count="1">
          <reference field="13" count="1">
            <x v="275"/>
          </reference>
        </references>
      </pivotArea>
    </format>
    <format dxfId="143">
      <pivotArea dataOnly="0" labelOnly="1" outline="0" fieldPosition="0">
        <references count="2">
          <reference field="13" count="1" selected="0">
            <x v="275"/>
          </reference>
          <reference field="14" count="2">
            <x v="259"/>
            <x v="1338"/>
          </reference>
        </references>
      </pivotArea>
    </format>
    <format dxfId="142">
      <pivotArea dataOnly="0" labelOnly="1" outline="0" fieldPosition="0">
        <references count="3">
          <reference field="10" count="1">
            <x v="255"/>
          </reference>
          <reference field="13" count="1" selected="0">
            <x v="275"/>
          </reference>
          <reference field="14" count="1" selected="0">
            <x v="259"/>
          </reference>
        </references>
      </pivotArea>
    </format>
    <format dxfId="141">
      <pivotArea dataOnly="0" labelOnly="1" outline="0" fieldPosition="0">
        <references count="3">
          <reference field="10" count="1">
            <x v="42"/>
          </reference>
          <reference field="13" count="1" selected="0">
            <x v="275"/>
          </reference>
          <reference field="14" count="1" selected="0">
            <x v="1338"/>
          </reference>
        </references>
      </pivotArea>
    </format>
    <format dxfId="140">
      <pivotArea dataOnly="0" labelOnly="1" outline="0" fieldPosition="0">
        <references count="1">
          <reference field="13" count="1">
            <x v="281"/>
          </reference>
        </references>
      </pivotArea>
    </format>
    <format dxfId="139">
      <pivotArea dataOnly="0" labelOnly="1" outline="0" fieldPosition="0">
        <references count="2">
          <reference field="13" count="1" selected="0">
            <x v="281"/>
          </reference>
          <reference field="14" count="2">
            <x v="256"/>
            <x v="1347"/>
          </reference>
        </references>
      </pivotArea>
    </format>
    <format dxfId="138">
      <pivotArea dataOnly="0" labelOnly="1" outline="0" fieldPosition="0">
        <references count="3">
          <reference field="10" count="1">
            <x v="131"/>
          </reference>
          <reference field="13" count="1" selected="0">
            <x v="281"/>
          </reference>
          <reference field="14" count="1" selected="0">
            <x v="256"/>
          </reference>
        </references>
      </pivotArea>
    </format>
    <format dxfId="137">
      <pivotArea dataOnly="0" labelOnly="1" outline="0" fieldPosition="0">
        <references count="3">
          <reference field="10" count="1">
            <x v="195"/>
          </reference>
          <reference field="13" count="1" selected="0">
            <x v="281"/>
          </reference>
          <reference field="14" count="1" selected="0">
            <x v="1347"/>
          </reference>
        </references>
      </pivotArea>
    </format>
    <format dxfId="136">
      <pivotArea dataOnly="0" labelOnly="1" outline="0" fieldPosition="0">
        <references count="1">
          <reference field="13" count="1">
            <x v="282"/>
          </reference>
        </references>
      </pivotArea>
    </format>
    <format dxfId="135">
      <pivotArea dataOnly="0" labelOnly="1" outline="0" fieldPosition="0">
        <references count="2">
          <reference field="13" count="1" selected="0">
            <x v="282"/>
          </reference>
          <reference field="14" count="2">
            <x v="509"/>
            <x v="1344"/>
          </reference>
        </references>
      </pivotArea>
    </format>
    <format dxfId="134">
      <pivotArea dataOnly="0" labelOnly="1" outline="0" fieldPosition="0">
        <references count="3">
          <reference field="10" count="1">
            <x v="155"/>
          </reference>
          <reference field="13" count="1" selected="0">
            <x v="282"/>
          </reference>
          <reference field="14" count="1" selected="0">
            <x v="509"/>
          </reference>
        </references>
      </pivotArea>
    </format>
    <format dxfId="133">
      <pivotArea dataOnly="0" labelOnly="1" outline="0" fieldPosition="0">
        <references count="3">
          <reference field="10" count="1">
            <x v="198"/>
          </reference>
          <reference field="13" count="1" selected="0">
            <x v="282"/>
          </reference>
          <reference field="14" count="1" selected="0">
            <x v="1344"/>
          </reference>
        </references>
      </pivotArea>
    </format>
    <format dxfId="132">
      <pivotArea dataOnly="0" labelOnly="1" outline="0" fieldPosition="0">
        <references count="1">
          <reference field="13" count="1">
            <x v="284"/>
          </reference>
        </references>
      </pivotArea>
    </format>
    <format dxfId="131">
      <pivotArea dataOnly="0" labelOnly="1" outline="0" fieldPosition="0">
        <references count="2">
          <reference field="13" count="1" selected="0">
            <x v="284"/>
          </reference>
          <reference field="14" count="2">
            <x v="579"/>
            <x v="604"/>
          </reference>
        </references>
      </pivotArea>
    </format>
    <format dxfId="130">
      <pivotArea dataOnly="0" labelOnly="1" outline="0" fieldPosition="0">
        <references count="3">
          <reference field="10" count="1">
            <x v="35"/>
          </reference>
          <reference field="13" count="1" selected="0">
            <x v="284"/>
          </reference>
          <reference field="14" count="1" selected="0">
            <x v="579"/>
          </reference>
        </references>
      </pivotArea>
    </format>
    <format dxfId="129">
      <pivotArea dataOnly="0" labelOnly="1" outline="0" fieldPosition="0">
        <references count="3">
          <reference field="10" count="1">
            <x v="168"/>
          </reference>
          <reference field="13" count="1" selected="0">
            <x v="284"/>
          </reference>
          <reference field="14" count="1" selected="0">
            <x v="604"/>
          </reference>
        </references>
      </pivotArea>
    </format>
    <format dxfId="128">
      <pivotArea dataOnly="0" outline="0" fieldPosition="0">
        <references count="5">
          <reference field="4" count="0" defaultSubtotal="1" sumSubtotal="1" countASubtotal="1" avgSubtotal="1" maxSubtotal="1" minSubtotal="1" productSubtotal="1" countSubtotal="1" stdDevSubtotal="1" stdDevPSubtotal="1" varSubtotal="1" varPSubtotal="1"/>
          <reference field="7" count="0" defaultSubtotal="1" sumSubtotal="1" countASubtotal="1" avgSubtotal="1" maxSubtotal="1" minSubtotal="1" productSubtotal="1" countSubtotal="1" stdDevSubtotal="1" stdDevPSubtotal="1" varSubtotal="1" varPSubtotal="1"/>
          <reference field="10" count="0" defaultSubtotal="1" sumSubtotal="1" countASubtotal="1" avgSubtotal="1" maxSubtotal="1" minSubtotal="1" productSubtotal="1" countSubtotal="1" stdDevSubtotal="1" stdDevPSubtotal="1" varSubtotal="1" varPSubtotal="1"/>
          <reference field="13" count="1">
            <x v="292"/>
          </reference>
          <reference field="14" count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127">
      <pivotArea dataOnly="0" labelOnly="1" outline="0" fieldPosition="0">
        <references count="1">
          <reference field="13" count="1">
            <x v="308"/>
          </reference>
        </references>
      </pivotArea>
    </format>
    <format dxfId="126">
      <pivotArea dataOnly="0" labelOnly="1" outline="0" fieldPosition="0">
        <references count="2">
          <reference field="13" count="1" selected="0">
            <x v="308"/>
          </reference>
          <reference field="14" count="2">
            <x v="1058"/>
            <x v="1347"/>
          </reference>
        </references>
      </pivotArea>
    </format>
    <format dxfId="125">
      <pivotArea dataOnly="0" labelOnly="1" outline="0" fieldPosition="0">
        <references count="3">
          <reference field="10" count="1">
            <x v="242"/>
          </reference>
          <reference field="13" count="1" selected="0">
            <x v="308"/>
          </reference>
          <reference field="14" count="1" selected="0">
            <x v="1058"/>
          </reference>
        </references>
      </pivotArea>
    </format>
    <format dxfId="124">
      <pivotArea dataOnly="0" labelOnly="1" outline="0" fieldPosition="0">
        <references count="3">
          <reference field="10" count="1">
            <x v="2"/>
          </reference>
          <reference field="13" count="1" selected="0">
            <x v="308"/>
          </reference>
          <reference field="14" count="1" selected="0">
            <x v="1347"/>
          </reference>
        </references>
      </pivotArea>
    </format>
    <format dxfId="123">
      <pivotArea dataOnly="0" labelOnly="1" outline="0" fieldPosition="0">
        <references count="1">
          <reference field="13" count="1">
            <x v="311"/>
          </reference>
        </references>
      </pivotArea>
    </format>
    <format dxfId="122">
      <pivotArea dataOnly="0" labelOnly="1" outline="0" fieldPosition="0">
        <references count="2">
          <reference field="13" count="1" selected="0">
            <x v="311"/>
          </reference>
          <reference field="14" count="2">
            <x v="647"/>
            <x v="1347"/>
          </reference>
        </references>
      </pivotArea>
    </format>
    <format dxfId="121">
      <pivotArea dataOnly="0" labelOnly="1" outline="0" offset="IV2:IV256" fieldPosition="0">
        <references count="3">
          <reference field="10" count="1">
            <x v="67"/>
          </reference>
          <reference field="13" count="1" selected="0">
            <x v="310"/>
          </reference>
          <reference field="14" count="1" selected="0">
            <x v="656"/>
          </reference>
        </references>
      </pivotArea>
    </format>
    <format dxfId="120">
      <pivotArea dataOnly="0" labelOnly="1" outline="0" fieldPosition="0">
        <references count="1">
          <reference field="13" count="1">
            <x v="315"/>
          </reference>
        </references>
      </pivotArea>
    </format>
    <format dxfId="119">
      <pivotArea dataOnly="0" labelOnly="1" outline="0" fieldPosition="0">
        <references count="2">
          <reference field="13" count="1" selected="0">
            <x v="315"/>
          </reference>
          <reference field="14" count="2">
            <x v="566"/>
            <x v="1347"/>
          </reference>
        </references>
      </pivotArea>
    </format>
    <format dxfId="118">
      <pivotArea dataOnly="0" labelOnly="1" outline="0" offset="IV2:IV256" fieldPosition="0">
        <references count="3">
          <reference field="10" count="1">
            <x v="68"/>
          </reference>
          <reference field="13" count="1" selected="0">
            <x v="314"/>
          </reference>
          <reference field="14" count="1" selected="0">
            <x v="571"/>
          </reference>
        </references>
      </pivotArea>
    </format>
    <format dxfId="117">
      <pivotArea dataOnly="0" labelOnly="1" outline="0" fieldPosition="0">
        <references count="1">
          <reference field="13" count="1">
            <x v="319"/>
          </reference>
        </references>
      </pivotArea>
    </format>
    <format dxfId="116">
      <pivotArea dataOnly="0" labelOnly="1" outline="0" fieldPosition="0">
        <references count="2">
          <reference field="13" count="1" selected="0">
            <x v="319"/>
          </reference>
          <reference field="14" count="4">
            <x v="880"/>
            <x v="988"/>
            <x v="991"/>
            <x v="1260"/>
          </reference>
        </references>
      </pivotArea>
    </format>
    <format dxfId="115">
      <pivotArea dataOnly="0" labelOnly="1" outline="0" fieldPosition="0">
        <references count="3">
          <reference field="10" count="1">
            <x v="27"/>
          </reference>
          <reference field="13" count="1" selected="0">
            <x v="319"/>
          </reference>
          <reference field="14" count="1" selected="0">
            <x v="880"/>
          </reference>
        </references>
      </pivotArea>
    </format>
    <format dxfId="114">
      <pivotArea dataOnly="0" labelOnly="1" outline="0" fieldPosition="0">
        <references count="3">
          <reference field="10" count="1">
            <x v="56"/>
          </reference>
          <reference field="13" count="1" selected="0">
            <x v="319"/>
          </reference>
          <reference field="14" count="1" selected="0">
            <x v="988"/>
          </reference>
        </references>
      </pivotArea>
    </format>
    <format dxfId="113">
      <pivotArea dataOnly="0" labelOnly="1" outline="0" fieldPosition="0">
        <references count="3">
          <reference field="10" count="1">
            <x v="270"/>
          </reference>
          <reference field="13" count="1" selected="0">
            <x v="319"/>
          </reference>
          <reference field="14" count="1" selected="0">
            <x v="1260"/>
          </reference>
        </references>
      </pivotArea>
    </format>
    <format dxfId="112">
      <pivotArea dataOnly="0" labelOnly="1" outline="0" fieldPosition="0">
        <references count="1">
          <reference field="13" count="1">
            <x v="324"/>
          </reference>
        </references>
      </pivotArea>
    </format>
    <format dxfId="111">
      <pivotArea dataOnly="0" labelOnly="1" outline="0" fieldPosition="0">
        <references count="2">
          <reference field="13" count="1" selected="0">
            <x v="324"/>
          </reference>
          <reference field="14" count="3">
            <x v="244"/>
            <x v="504"/>
            <x v="1347"/>
          </reference>
        </references>
      </pivotArea>
    </format>
    <format dxfId="110">
      <pivotArea dataOnly="0" labelOnly="1" outline="0" fieldPosition="0">
        <references count="3">
          <reference field="10" count="1">
            <x v="305"/>
          </reference>
          <reference field="13" count="1" selected="0">
            <x v="324"/>
          </reference>
          <reference field="14" count="1" selected="0">
            <x v="244"/>
          </reference>
        </references>
      </pivotArea>
    </format>
    <format dxfId="109">
      <pivotArea dataOnly="0" labelOnly="1" outline="0" fieldPosition="0">
        <references count="3">
          <reference field="10" count="1">
            <x v="155"/>
          </reference>
          <reference field="13" count="1" selected="0">
            <x v="324"/>
          </reference>
          <reference field="14" count="1" selected="0">
            <x v="504"/>
          </reference>
        </references>
      </pivotArea>
    </format>
    <format dxfId="108">
      <pivotArea dataOnly="0" labelOnly="1" outline="0" fieldPosition="0">
        <references count="3">
          <reference field="10" count="2">
            <x v="56"/>
            <x v="305"/>
          </reference>
          <reference field="13" count="1" selected="0">
            <x v="324"/>
          </reference>
          <reference field="14" count="1" selected="0">
            <x v="1347"/>
          </reference>
        </references>
      </pivotArea>
    </format>
    <format dxfId="107">
      <pivotArea dataOnly="0" labelOnly="1" outline="0" fieldPosition="0">
        <references count="1">
          <reference field="13" count="1">
            <x v="334"/>
          </reference>
        </references>
      </pivotArea>
    </format>
    <format dxfId="106">
      <pivotArea dataOnly="0" labelOnly="1" outline="0" fieldPosition="0">
        <references count="2">
          <reference field="13" count="1" selected="0">
            <x v="334"/>
          </reference>
          <reference field="14" count="2">
            <x v="1272"/>
            <x v="1347"/>
          </reference>
        </references>
      </pivotArea>
    </format>
    <format dxfId="105">
      <pivotArea dataOnly="0" labelOnly="1" outline="0" fieldPosition="0">
        <references count="3">
          <reference field="10" count="1">
            <x v="176"/>
          </reference>
          <reference field="13" count="1" selected="0">
            <x v="334"/>
          </reference>
          <reference field="14" count="1" selected="0">
            <x v="1272"/>
          </reference>
        </references>
      </pivotArea>
    </format>
    <format dxfId="104">
      <pivotArea dataOnly="0" outline="0" fieldPosition="0">
        <references count="5">
          <reference field="4" count="0" defaultSubtotal="1" sumSubtotal="1" countASubtotal="1" avgSubtotal="1" maxSubtotal="1" minSubtotal="1" productSubtotal="1" countSubtotal="1" stdDevSubtotal="1" stdDevPSubtotal="1" varSubtotal="1" varPSubtotal="1"/>
          <reference field="7" count="0" defaultSubtotal="1" sumSubtotal="1" countASubtotal="1" avgSubtotal="1" maxSubtotal="1" minSubtotal="1" productSubtotal="1" countSubtotal="1" stdDevSubtotal="1" stdDevPSubtotal="1" varSubtotal="1" varPSubtotal="1"/>
          <reference field="10" count="0" defaultSubtotal="1" sumSubtotal="1" countASubtotal="1" avgSubtotal="1" maxSubtotal="1" minSubtotal="1" productSubtotal="1" countSubtotal="1" stdDevSubtotal="1" stdDevPSubtotal="1" varSubtotal="1" varPSubtotal="1"/>
          <reference field="13" count="1">
            <x v="346"/>
          </reference>
          <reference field="14" count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103">
      <pivotArea dataOnly="0" labelOnly="1" outline="0" fieldPosition="0">
        <references count="1">
          <reference field="13" count="1">
            <x v="356"/>
          </reference>
        </references>
      </pivotArea>
    </format>
    <format dxfId="102">
      <pivotArea dataOnly="0" labelOnly="1" outline="0" fieldPosition="0">
        <references count="2">
          <reference field="13" count="1" selected="0">
            <x v="356"/>
          </reference>
          <reference field="14" count="2">
            <x v="875"/>
            <x v="1347"/>
          </reference>
        </references>
      </pivotArea>
    </format>
    <format dxfId="101">
      <pivotArea dataOnly="0" labelOnly="1" outline="0" fieldPosition="0">
        <references count="3">
          <reference field="10" count="1">
            <x v="7"/>
          </reference>
          <reference field="13" count="1" selected="0">
            <x v="356"/>
          </reference>
          <reference field="14" count="1" selected="0">
            <x v="875"/>
          </reference>
        </references>
      </pivotArea>
    </format>
    <format dxfId="100">
      <pivotArea dataOnly="0" labelOnly="1" outline="0" fieldPosition="0">
        <references count="1">
          <reference field="13" count="1">
            <x v="375"/>
          </reference>
        </references>
      </pivotArea>
    </format>
    <format dxfId="99">
      <pivotArea dataOnly="0" labelOnly="1" outline="0" fieldPosition="0">
        <references count="2">
          <reference field="13" count="1" selected="0">
            <x v="375"/>
          </reference>
          <reference field="14" count="2">
            <x v="1070"/>
            <x v="1347"/>
          </reference>
        </references>
      </pivotArea>
    </format>
    <format dxfId="98">
      <pivotArea dataOnly="0" labelOnly="1" outline="0" fieldPosition="0">
        <references count="3">
          <reference field="10" count="1">
            <x v="144"/>
          </reference>
          <reference field="13" count="1" selected="0">
            <x v="375"/>
          </reference>
          <reference field="14" count="1" selected="0">
            <x v="1070"/>
          </reference>
        </references>
      </pivotArea>
    </format>
    <format dxfId="97">
      <pivotArea dataOnly="0" labelOnly="1" outline="0" fieldPosition="0">
        <references count="1">
          <reference field="13" count="1">
            <x v="377"/>
          </reference>
        </references>
      </pivotArea>
    </format>
    <format dxfId="96">
      <pivotArea dataOnly="0" labelOnly="1" outline="0" fieldPosition="0">
        <references count="2">
          <reference field="13" count="1" selected="0">
            <x v="377"/>
          </reference>
          <reference field="14" count="2">
            <x v="251"/>
            <x v="1347"/>
          </reference>
        </references>
      </pivotArea>
    </format>
    <format dxfId="95">
      <pivotArea dataOnly="0" labelOnly="1" outline="0" fieldPosition="0">
        <references count="3">
          <reference field="10" count="1">
            <x v="305"/>
          </reference>
          <reference field="13" count="1" selected="0">
            <x v="377"/>
          </reference>
          <reference field="14" count="1" selected="0">
            <x v="251"/>
          </reference>
        </references>
      </pivotArea>
    </format>
    <format dxfId="94">
      <pivotArea dataOnly="0" labelOnly="1" outline="0" fieldPosition="0">
        <references count="1">
          <reference field="13" count="1">
            <x v="379"/>
          </reference>
        </references>
      </pivotArea>
    </format>
    <format dxfId="93">
      <pivotArea dataOnly="0" labelOnly="1" outline="0" fieldPosition="0">
        <references count="2">
          <reference field="13" count="1" selected="0">
            <x v="379"/>
          </reference>
          <reference field="14" count="3">
            <x v="599"/>
            <x v="617"/>
            <x v="1087"/>
          </reference>
        </references>
      </pivotArea>
    </format>
    <format dxfId="92">
      <pivotArea dataOnly="0" labelOnly="1" outline="0" fieldPosition="0">
        <references count="3">
          <reference field="10" count="1">
            <x v="54"/>
          </reference>
          <reference field="13" count="1" selected="0">
            <x v="379"/>
          </reference>
          <reference field="14" count="1" selected="0">
            <x v="599"/>
          </reference>
        </references>
      </pivotArea>
    </format>
    <format dxfId="91">
      <pivotArea dataOnly="0" labelOnly="1" outline="0" fieldPosition="0">
        <references count="3">
          <reference field="10" count="1">
            <x v="176"/>
          </reference>
          <reference field="13" count="1" selected="0">
            <x v="379"/>
          </reference>
          <reference field="14" count="1" selected="0">
            <x v="1087"/>
          </reference>
        </references>
      </pivotArea>
    </format>
    <format dxfId="90">
      <pivotArea dataOnly="0" labelOnly="1" outline="0" fieldPosition="0">
        <references count="1">
          <reference field="13" count="1">
            <x v="385"/>
          </reference>
        </references>
      </pivotArea>
    </format>
    <format dxfId="89">
      <pivotArea dataOnly="0" labelOnly="1" outline="0" fieldPosition="0">
        <references count="2">
          <reference field="13" count="1" selected="0">
            <x v="385"/>
          </reference>
          <reference field="14" count="3">
            <x v="462"/>
            <x v="1052"/>
            <x v="1277"/>
          </reference>
        </references>
      </pivotArea>
    </format>
    <format dxfId="88">
      <pivotArea dataOnly="0" labelOnly="1" outline="0" fieldPosition="0">
        <references count="3">
          <reference field="10" count="1">
            <x v="35"/>
          </reference>
          <reference field="13" count="1" selected="0">
            <x v="385"/>
          </reference>
          <reference field="14" count="1" selected="0">
            <x v="462"/>
          </reference>
        </references>
      </pivotArea>
    </format>
    <format dxfId="87">
      <pivotArea dataOnly="0" labelOnly="1" outline="0" fieldPosition="0">
        <references count="3">
          <reference field="10" count="1">
            <x v="212"/>
          </reference>
          <reference field="13" count="1" selected="0">
            <x v="385"/>
          </reference>
          <reference field="14" count="1" selected="0">
            <x v="1052"/>
          </reference>
        </references>
      </pivotArea>
    </format>
    <format dxfId="86">
      <pivotArea dataOnly="0" labelOnly="1" outline="0" fieldPosition="0">
        <references count="3">
          <reference field="10" count="1">
            <x v="298"/>
          </reference>
          <reference field="13" count="1" selected="0">
            <x v="385"/>
          </reference>
          <reference field="14" count="1" selected="0">
            <x v="1277"/>
          </reference>
        </references>
      </pivotArea>
    </format>
    <format dxfId="85">
      <pivotArea dataOnly="0" labelOnly="1" outline="0" fieldPosition="0">
        <references count="1">
          <reference field="13" count="2">
            <x v="386"/>
            <x v="387"/>
          </reference>
        </references>
      </pivotArea>
    </format>
    <format dxfId="84">
      <pivotArea dataOnly="0" labelOnly="1" outline="0" fieldPosition="0">
        <references count="2">
          <reference field="13" count="1" selected="0">
            <x v="386"/>
          </reference>
          <reference field="14" count="2">
            <x v="171"/>
            <x v="324"/>
          </reference>
        </references>
      </pivotArea>
    </format>
    <format dxfId="83">
      <pivotArea dataOnly="0" labelOnly="1" outline="0" fieldPosition="0">
        <references count="2">
          <reference field="13" count="1" selected="0">
            <x v="387"/>
          </reference>
          <reference field="14" count="1">
            <x v="314"/>
          </reference>
        </references>
      </pivotArea>
    </format>
    <format dxfId="82">
      <pivotArea dataOnly="0" labelOnly="1" outline="0" offset="IV1" fieldPosition="0">
        <references count="2">
          <reference field="13" count="1" selected="0">
            <x v="387"/>
          </reference>
          <reference field="14" count="1">
            <x v="1347"/>
          </reference>
        </references>
      </pivotArea>
    </format>
    <format dxfId="81">
      <pivotArea dataOnly="0" labelOnly="1" outline="0" fieldPosition="0">
        <references count="3">
          <reference field="10" count="1">
            <x v="273"/>
          </reference>
          <reference field="13" count="1" selected="0">
            <x v="386"/>
          </reference>
          <reference field="14" count="1" selected="0">
            <x v="171"/>
          </reference>
        </references>
      </pivotArea>
    </format>
    <format dxfId="80">
      <pivotArea dataOnly="0" labelOnly="1" outline="0" fieldPosition="0">
        <references count="3">
          <reference field="10" count="1">
            <x v="81"/>
          </reference>
          <reference field="13" count="1" selected="0">
            <x v="386"/>
          </reference>
          <reference field="14" count="1" selected="0">
            <x v="32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9570F5-AC89-4242-8656-55C4D7B53EC4}" name="Sites_per_tag" displayName="Sites_per_tag" ref="A2:Z2874" totalsRowShown="0" headerRowDxfId="36">
  <autoFilter ref="A2:Z2874" xr:uid="{129570F5-AC89-4242-8656-55C4D7B53EC4}"/>
  <sortState xmlns:xlrd2="http://schemas.microsoft.com/office/spreadsheetml/2017/richdata2" ref="A3:Z2874">
    <sortCondition ref="A2:A2874"/>
  </sortState>
  <tableColumns count="26">
    <tableColumn id="1" xr3:uid="{0469FE88-6357-44C7-B7E8-92F025E5F432}" name="ID" dataDxfId="35">
      <calculatedColumnFormula>+R3&amp;U3</calculatedColumnFormula>
    </tableColumn>
    <tableColumn id="2" xr3:uid="{089679AE-8C8E-42B1-BEFD-9AF66806C338}" name="Field_office"/>
    <tableColumn id="3" xr3:uid="{E6B6B206-F900-4419-A09E-4210582DCABF}" name="Field_office_code">
      <calculatedColumnFormula>+VLOOKUP(Sites_per_tag[[#This Row],[Field_office]],Parameter!$A$3:$B$11,2,0)</calculatedColumnFormula>
    </tableColumn>
    <tableColumn id="4" xr3:uid="{9B9A45FF-4416-47FD-85C0-BDFA1CC6EFCC}" name="Field_office_code_ancien" dataDxfId="34">
      <calculatedColumnFormula>+PROPER(Sites_per_tag[[#This Row],[Field_office]])</calculatedColumnFormula>
    </tableColumn>
    <tableColumn id="5" xr3:uid="{63ADDEDD-0FF4-4538-9376-1F3418BBE0E4}" name="Adm1Name"/>
    <tableColumn id="6" xr3:uid="{EB06E694-0E8D-443C-9303-B1C58BCC4A30}" name="Adm1Code"/>
    <tableColumn id="7" xr3:uid="{EFE29190-B0FE-4A13-B31F-DEE8B19AE76A}" name="Adm1Code_ancien" dataDxfId="33"/>
    <tableColumn id="8" xr3:uid="{13020256-2446-48BB-B1D5-F034BD02517E}" name="Adm2Name">
      <calculatedColumnFormula>PROPER(Sites_per_tag[[#This Row],[Adm2Name]])</calculatedColumnFormula>
    </tableColumn>
    <tableColumn id="9" xr3:uid="{E6A0868D-31D2-4314-A29F-F5E44F73FB1D}" name="Adm2Code"/>
    <tableColumn id="10" xr3:uid="{5641871A-F30C-4ED3-BAD9-3880A10524D2}" name="Adm2Code_ancien" dataDxfId="32"/>
    <tableColumn id="11" xr3:uid="{FF6B9BD0-FBB6-41AA-9CE8-92B93A7C5121}" name="Adm3Name"/>
    <tableColumn id="12" xr3:uid="{E3C5BA2C-7604-4DE6-A61B-9ED347B26BFB}" name="Adm3Code"/>
    <tableColumn id="13" xr3:uid="{2505E225-B9AA-44AE-AFAA-86D126EEE247}" name="Adm3Code_ancien"/>
    <tableColumn id="14" xr3:uid="{E83DE4EC-EC76-47EB-82E8-B2CD23CF226D}" name="Adm4Name"/>
    <tableColumn id="15" xr3:uid="{CFC26D49-D975-4CB9-BEC0-C4C668B11072}" name="Adm4Code"/>
    <tableColumn id="16" xr3:uid="{45501D58-95FA-4661-A7B3-5AE8200FCFA5}" name="Adm4Code_ancien" dataDxfId="31"/>
    <tableColumn id="17" xr3:uid="{6166E5C4-7162-4789-9365-D78DCA2EEE0C}" name="POIName"/>
    <tableColumn id="18" xr3:uid="{6976C837-B5B3-440B-9BF9-AB604ADBCDFF}" name="POI_code"/>
    <tableColumn id="19" xr3:uid="{0A774C30-DD47-4BD5-987C-2EEA2609F22B}" name="POI_code_ancien"/>
    <tableColumn id="20" xr3:uid="{34CBA803-6373-41A1-9AA1-0EECFD05E478}" name="Activity_tag"/>
    <tableColumn id="21" xr3:uid="{E7886BBD-0AE2-466E-9F8D-78A041EBBE48}" name="Tag_Code" dataDxfId="30">
      <calculatedColumnFormula>+VLOOKUP(Sites_per_tag[[#This Row],[Activity_tag]],Parameter!$A$24:$B$32,2,0)</calculatedColumnFormula>
    </tableColumn>
    <tableColumn id="22" xr3:uid="{3DEF14E4-C602-45B9-AB79-E1E2CE44C1A5}" name="HHCoord"/>
    <tableColumn id="23" xr3:uid="{589EF2D8-8531-4882-99CA-AEB54EFC5B34}" name="Longitude"/>
    <tableColumn id="24" xr3:uid="{DFBCDD0E-27BA-4CDF-84E2-F07CE065F8AC}" name="Latitude"/>
    <tableColumn id="26" xr3:uid="{E2C6600C-396A-4044-88E4-938506D5F8B1}" name="Latest Visit"/>
    <tableColumn id="25" xr3:uid="{A88C6954-FDD0-47A4-ADC6-C8047505EB57}" name="Performanc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pivotTable" Target="../pivotTables/pivot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F1DD0-C6E3-4C5E-831D-ADC2D8459CFD}">
  <dimension ref="A3:C2875"/>
  <sheetViews>
    <sheetView workbookViewId="0">
      <selection activeCell="A5" sqref="A5"/>
    </sheetView>
  </sheetViews>
  <sheetFormatPr defaultRowHeight="14.5" x14ac:dyDescent="0.35"/>
  <cols>
    <col min="1" max="1" width="47" bestFit="1" customWidth="1"/>
    <col min="2" max="2" width="18.54296875" bestFit="1" customWidth="1"/>
    <col min="3" max="3" width="36.81640625" bestFit="1" customWidth="1"/>
  </cols>
  <sheetData>
    <row r="3" spans="1:3" x14ac:dyDescent="0.35">
      <c r="A3" s="5" t="s">
        <v>0</v>
      </c>
      <c r="B3" s="5" t="s">
        <v>1</v>
      </c>
      <c r="C3" s="5" t="s">
        <v>2</v>
      </c>
    </row>
    <row r="4" spans="1:3" x14ac:dyDescent="0.35">
      <c r="A4" t="s">
        <v>3</v>
      </c>
      <c r="B4" t="s">
        <v>4</v>
      </c>
      <c r="C4" t="s">
        <v>5</v>
      </c>
    </row>
    <row r="5" spans="1:3" x14ac:dyDescent="0.35">
      <c r="A5" t="s">
        <v>6</v>
      </c>
      <c r="B5">
        <v>602091001</v>
      </c>
      <c r="C5" t="s">
        <v>7</v>
      </c>
    </row>
    <row r="6" spans="1:3" x14ac:dyDescent="0.35">
      <c r="A6" t="s">
        <v>8</v>
      </c>
      <c r="B6">
        <v>602171003</v>
      </c>
      <c r="C6" t="s">
        <v>7</v>
      </c>
    </row>
    <row r="7" spans="1:3" x14ac:dyDescent="0.35">
      <c r="A7" t="s">
        <v>9</v>
      </c>
      <c r="B7">
        <v>605131003</v>
      </c>
      <c r="C7" t="s">
        <v>7</v>
      </c>
    </row>
    <row r="8" spans="1:3" x14ac:dyDescent="0.35">
      <c r="A8" t="s">
        <v>10</v>
      </c>
      <c r="B8">
        <v>602091003</v>
      </c>
      <c r="C8" t="s">
        <v>7</v>
      </c>
    </row>
    <row r="9" spans="1:3" x14ac:dyDescent="0.35">
      <c r="A9" t="s">
        <v>11</v>
      </c>
      <c r="B9">
        <v>602091009</v>
      </c>
      <c r="C9" t="s">
        <v>7</v>
      </c>
    </row>
    <row r="10" spans="1:3" x14ac:dyDescent="0.35">
      <c r="A10" t="s">
        <v>12</v>
      </c>
      <c r="B10">
        <v>605131004</v>
      </c>
      <c r="C10" t="s">
        <v>7</v>
      </c>
    </row>
    <row r="11" spans="1:3" x14ac:dyDescent="0.35">
      <c r="A11" t="s">
        <v>13</v>
      </c>
      <c r="B11" t="s">
        <v>14</v>
      </c>
      <c r="C11" t="s">
        <v>5</v>
      </c>
    </row>
    <row r="12" spans="1:3" x14ac:dyDescent="0.35">
      <c r="A12" t="s">
        <v>15</v>
      </c>
      <c r="B12">
        <v>621050001</v>
      </c>
      <c r="C12" t="s">
        <v>7</v>
      </c>
    </row>
    <row r="13" spans="1:3" x14ac:dyDescent="0.35">
      <c r="A13" t="s">
        <v>16</v>
      </c>
      <c r="B13">
        <v>609020007</v>
      </c>
      <c r="C13" t="s">
        <v>7</v>
      </c>
    </row>
    <row r="14" spans="1:3" x14ac:dyDescent="0.35">
      <c r="A14" t="s">
        <v>17</v>
      </c>
      <c r="B14">
        <v>607080013</v>
      </c>
      <c r="C14" t="s">
        <v>7</v>
      </c>
    </row>
    <row r="15" spans="1:3" x14ac:dyDescent="0.35">
      <c r="A15" t="s">
        <v>18</v>
      </c>
      <c r="B15" t="s">
        <v>19</v>
      </c>
      <c r="C15" t="s">
        <v>5</v>
      </c>
    </row>
    <row r="16" spans="1:3" x14ac:dyDescent="0.35">
      <c r="A16" t="s">
        <v>20</v>
      </c>
      <c r="B16" t="s">
        <v>21</v>
      </c>
      <c r="C16" t="s">
        <v>5</v>
      </c>
    </row>
    <row r="17" spans="1:3" x14ac:dyDescent="0.35">
      <c r="A17" t="s">
        <v>22</v>
      </c>
      <c r="B17">
        <v>612190022</v>
      </c>
      <c r="C17" t="s">
        <v>7</v>
      </c>
    </row>
    <row r="18" spans="1:3" x14ac:dyDescent="0.35">
      <c r="A18" t="s">
        <v>23</v>
      </c>
      <c r="B18">
        <v>609040047</v>
      </c>
      <c r="C18" t="s">
        <v>7</v>
      </c>
    </row>
    <row r="19" spans="1:3" x14ac:dyDescent="0.35">
      <c r="A19" t="s">
        <v>24</v>
      </c>
      <c r="B19" t="s">
        <v>25</v>
      </c>
      <c r="C19" t="s">
        <v>5</v>
      </c>
    </row>
    <row r="20" spans="1:3" x14ac:dyDescent="0.35">
      <c r="A20" t="s">
        <v>26</v>
      </c>
      <c r="B20" t="s">
        <v>27</v>
      </c>
      <c r="C20" t="s">
        <v>5</v>
      </c>
    </row>
    <row r="21" spans="1:3" x14ac:dyDescent="0.35">
      <c r="A21" t="s">
        <v>28</v>
      </c>
      <c r="B21">
        <v>609020035</v>
      </c>
      <c r="C21" t="s">
        <v>7</v>
      </c>
    </row>
    <row r="22" spans="1:3" x14ac:dyDescent="0.35">
      <c r="A22" t="s">
        <v>29</v>
      </c>
      <c r="B22">
        <v>604190013</v>
      </c>
      <c r="C22" t="s">
        <v>7</v>
      </c>
    </row>
    <row r="23" spans="1:3" x14ac:dyDescent="0.35">
      <c r="A23" t="s">
        <v>30</v>
      </c>
      <c r="B23" t="s">
        <v>31</v>
      </c>
      <c r="C23" t="s">
        <v>32</v>
      </c>
    </row>
    <row r="24" spans="1:3" x14ac:dyDescent="0.35">
      <c r="A24" t="s">
        <v>33</v>
      </c>
      <c r="B24" t="s">
        <v>34</v>
      </c>
      <c r="C24" t="s">
        <v>5</v>
      </c>
    </row>
    <row r="25" spans="1:3" x14ac:dyDescent="0.35">
      <c r="A25" t="s">
        <v>35</v>
      </c>
      <c r="B25">
        <v>605010014</v>
      </c>
      <c r="C25" t="s">
        <v>7</v>
      </c>
    </row>
    <row r="26" spans="1:3" x14ac:dyDescent="0.35">
      <c r="A26" t="s">
        <v>36</v>
      </c>
      <c r="B26" t="s">
        <v>37</v>
      </c>
      <c r="C26" t="s">
        <v>5</v>
      </c>
    </row>
    <row r="27" spans="1:3" x14ac:dyDescent="0.35">
      <c r="A27" t="s">
        <v>38</v>
      </c>
      <c r="B27" t="s">
        <v>39</v>
      </c>
      <c r="C27" t="s">
        <v>5</v>
      </c>
    </row>
    <row r="28" spans="1:3" x14ac:dyDescent="0.35">
      <c r="A28" t="s">
        <v>40</v>
      </c>
      <c r="B28" t="s">
        <v>41</v>
      </c>
      <c r="C28" t="s">
        <v>5</v>
      </c>
    </row>
    <row r="29" spans="1:3" x14ac:dyDescent="0.35">
      <c r="A29" t="s">
        <v>42</v>
      </c>
      <c r="B29">
        <v>605170018</v>
      </c>
      <c r="C29" t="s">
        <v>7</v>
      </c>
    </row>
    <row r="30" spans="1:3" x14ac:dyDescent="0.35">
      <c r="A30" t="s">
        <v>43</v>
      </c>
      <c r="B30">
        <v>605170017</v>
      </c>
      <c r="C30" t="s">
        <v>7</v>
      </c>
    </row>
    <row r="31" spans="1:3" x14ac:dyDescent="0.35">
      <c r="A31" t="s">
        <v>44</v>
      </c>
      <c r="B31" t="s">
        <v>45</v>
      </c>
      <c r="C31" t="s">
        <v>5</v>
      </c>
    </row>
    <row r="32" spans="1:3" x14ac:dyDescent="0.35">
      <c r="A32" t="s">
        <v>46</v>
      </c>
      <c r="B32" t="s">
        <v>47</v>
      </c>
      <c r="C32" t="s">
        <v>5</v>
      </c>
    </row>
    <row r="33" spans="1:3" x14ac:dyDescent="0.35">
      <c r="A33" t="s">
        <v>48</v>
      </c>
      <c r="B33" t="s">
        <v>49</v>
      </c>
      <c r="C33" t="s">
        <v>50</v>
      </c>
    </row>
    <row r="34" spans="1:3" x14ac:dyDescent="0.35">
      <c r="A34" t="s">
        <v>51</v>
      </c>
      <c r="B34" t="s">
        <v>52</v>
      </c>
      <c r="C34" t="s">
        <v>5</v>
      </c>
    </row>
    <row r="35" spans="1:3" x14ac:dyDescent="0.35">
      <c r="A35" t="s">
        <v>53</v>
      </c>
      <c r="B35" t="s">
        <v>54</v>
      </c>
      <c r="C35" t="s">
        <v>5</v>
      </c>
    </row>
    <row r="36" spans="1:3" x14ac:dyDescent="0.35">
      <c r="A36" t="s">
        <v>55</v>
      </c>
      <c r="B36" t="s">
        <v>56</v>
      </c>
      <c r="C36" t="s">
        <v>32</v>
      </c>
    </row>
    <row r="37" spans="1:3" x14ac:dyDescent="0.35">
      <c r="A37" t="s">
        <v>57</v>
      </c>
      <c r="B37">
        <v>609020028</v>
      </c>
      <c r="C37" t="s">
        <v>7</v>
      </c>
    </row>
    <row r="38" spans="1:3" x14ac:dyDescent="0.35">
      <c r="A38" t="s">
        <v>58</v>
      </c>
      <c r="B38" t="s">
        <v>59</v>
      </c>
      <c r="C38" t="s">
        <v>5</v>
      </c>
    </row>
    <row r="39" spans="1:3" x14ac:dyDescent="0.35">
      <c r="A39" t="s">
        <v>60</v>
      </c>
      <c r="B39" t="s">
        <v>61</v>
      </c>
      <c r="C39" t="s">
        <v>5</v>
      </c>
    </row>
    <row r="40" spans="1:3" x14ac:dyDescent="0.35">
      <c r="A40" t="s">
        <v>62</v>
      </c>
      <c r="B40" t="s">
        <v>63</v>
      </c>
      <c r="C40" t="s">
        <v>32</v>
      </c>
    </row>
    <row r="41" spans="1:3" x14ac:dyDescent="0.35">
      <c r="A41" t="s">
        <v>64</v>
      </c>
      <c r="B41" t="s">
        <v>65</v>
      </c>
      <c r="C41" t="s">
        <v>5</v>
      </c>
    </row>
    <row r="42" spans="1:3" x14ac:dyDescent="0.35">
      <c r="A42" t="s">
        <v>66</v>
      </c>
      <c r="B42" t="s">
        <v>67</v>
      </c>
      <c r="C42" t="s">
        <v>5</v>
      </c>
    </row>
    <row r="43" spans="1:3" x14ac:dyDescent="0.35">
      <c r="A43" t="s">
        <v>68</v>
      </c>
      <c r="B43" t="s">
        <v>69</v>
      </c>
      <c r="C43" t="s">
        <v>5</v>
      </c>
    </row>
    <row r="44" spans="1:3" x14ac:dyDescent="0.35">
      <c r="A44" t="s">
        <v>70</v>
      </c>
      <c r="B44">
        <v>607010023</v>
      </c>
      <c r="C44" t="s">
        <v>7</v>
      </c>
    </row>
    <row r="45" spans="1:3" x14ac:dyDescent="0.35">
      <c r="A45" t="s">
        <v>71</v>
      </c>
      <c r="B45" t="s">
        <v>72</v>
      </c>
      <c r="C45" t="s">
        <v>5</v>
      </c>
    </row>
    <row r="46" spans="1:3" x14ac:dyDescent="0.35">
      <c r="A46" t="s">
        <v>73</v>
      </c>
      <c r="B46" t="s">
        <v>74</v>
      </c>
      <c r="C46" t="s">
        <v>32</v>
      </c>
    </row>
    <row r="47" spans="1:3" x14ac:dyDescent="0.35">
      <c r="A47" t="s">
        <v>75</v>
      </c>
      <c r="B47">
        <v>117080002</v>
      </c>
      <c r="C47" t="s">
        <v>7</v>
      </c>
    </row>
    <row r="48" spans="1:3" x14ac:dyDescent="0.35">
      <c r="A48" t="s">
        <v>76</v>
      </c>
      <c r="B48">
        <v>605140001</v>
      </c>
      <c r="C48" t="s">
        <v>7</v>
      </c>
    </row>
    <row r="49" spans="1:3" x14ac:dyDescent="0.35">
      <c r="A49" t="s">
        <v>76</v>
      </c>
      <c r="B49" t="s">
        <v>77</v>
      </c>
      <c r="C49" t="s">
        <v>5</v>
      </c>
    </row>
    <row r="50" spans="1:3" x14ac:dyDescent="0.35">
      <c r="A50" t="s">
        <v>78</v>
      </c>
      <c r="B50" t="s">
        <v>79</v>
      </c>
      <c r="C50" t="s">
        <v>5</v>
      </c>
    </row>
    <row r="51" spans="1:3" x14ac:dyDescent="0.35">
      <c r="A51" t="s">
        <v>80</v>
      </c>
      <c r="B51">
        <v>317250009</v>
      </c>
      <c r="C51" t="s">
        <v>7</v>
      </c>
    </row>
    <row r="52" spans="1:3" x14ac:dyDescent="0.35">
      <c r="A52" t="s">
        <v>81</v>
      </c>
      <c r="B52">
        <v>605130008</v>
      </c>
      <c r="C52" t="s">
        <v>7</v>
      </c>
    </row>
    <row r="53" spans="1:3" x14ac:dyDescent="0.35">
      <c r="A53" t="s">
        <v>81</v>
      </c>
      <c r="B53" t="s">
        <v>82</v>
      </c>
      <c r="C53" t="s">
        <v>50</v>
      </c>
    </row>
    <row r="54" spans="1:3" x14ac:dyDescent="0.35">
      <c r="A54" t="s">
        <v>83</v>
      </c>
      <c r="B54" t="s">
        <v>84</v>
      </c>
      <c r="C54" t="s">
        <v>5</v>
      </c>
    </row>
    <row r="55" spans="1:3" x14ac:dyDescent="0.35">
      <c r="A55" t="s">
        <v>85</v>
      </c>
      <c r="B55">
        <v>317170003</v>
      </c>
      <c r="C55" t="s">
        <v>7</v>
      </c>
    </row>
    <row r="56" spans="1:3" x14ac:dyDescent="0.35">
      <c r="A56" t="s">
        <v>85</v>
      </c>
      <c r="B56" t="s">
        <v>86</v>
      </c>
      <c r="C56" t="s">
        <v>50</v>
      </c>
    </row>
    <row r="57" spans="1:3" x14ac:dyDescent="0.35">
      <c r="A57" t="s">
        <v>87</v>
      </c>
      <c r="B57" t="s">
        <v>88</v>
      </c>
      <c r="C57" t="s">
        <v>5</v>
      </c>
    </row>
    <row r="58" spans="1:3" x14ac:dyDescent="0.35">
      <c r="A58" t="s">
        <v>89</v>
      </c>
      <c r="B58" t="s">
        <v>90</v>
      </c>
      <c r="C58" t="s">
        <v>5</v>
      </c>
    </row>
    <row r="59" spans="1:3" x14ac:dyDescent="0.35">
      <c r="A59" t="s">
        <v>91</v>
      </c>
      <c r="B59" t="s">
        <v>92</v>
      </c>
      <c r="C59" t="s">
        <v>5</v>
      </c>
    </row>
    <row r="60" spans="1:3" x14ac:dyDescent="0.35">
      <c r="A60" t="s">
        <v>93</v>
      </c>
      <c r="B60">
        <v>320040009</v>
      </c>
      <c r="C60" t="s">
        <v>7</v>
      </c>
    </row>
    <row r="61" spans="1:3" x14ac:dyDescent="0.35">
      <c r="A61" t="s">
        <v>94</v>
      </c>
      <c r="B61">
        <v>317090004</v>
      </c>
      <c r="C61" t="s">
        <v>7</v>
      </c>
    </row>
    <row r="62" spans="1:3" x14ac:dyDescent="0.35">
      <c r="A62" t="s">
        <v>95</v>
      </c>
      <c r="B62" t="s">
        <v>96</v>
      </c>
      <c r="C62" t="s">
        <v>5</v>
      </c>
    </row>
    <row r="63" spans="1:3" x14ac:dyDescent="0.35">
      <c r="A63" t="s">
        <v>97</v>
      </c>
      <c r="B63">
        <v>317180002</v>
      </c>
      <c r="C63" t="s">
        <v>7</v>
      </c>
    </row>
    <row r="64" spans="1:3" x14ac:dyDescent="0.35">
      <c r="A64" t="s">
        <v>98</v>
      </c>
      <c r="B64">
        <v>614020016</v>
      </c>
      <c r="C64" t="s">
        <v>7</v>
      </c>
    </row>
    <row r="65" spans="1:3" x14ac:dyDescent="0.35">
      <c r="A65" t="s">
        <v>99</v>
      </c>
      <c r="B65" t="s">
        <v>100</v>
      </c>
      <c r="C65" t="s">
        <v>5</v>
      </c>
    </row>
    <row r="66" spans="1:3" x14ac:dyDescent="0.35">
      <c r="A66" t="s">
        <v>101</v>
      </c>
      <c r="B66" t="s">
        <v>102</v>
      </c>
      <c r="C66" t="s">
        <v>5</v>
      </c>
    </row>
    <row r="67" spans="1:3" x14ac:dyDescent="0.35">
      <c r="A67" t="s">
        <v>103</v>
      </c>
      <c r="B67">
        <v>607140013</v>
      </c>
      <c r="C67" t="s">
        <v>7</v>
      </c>
    </row>
    <row r="68" spans="1:3" x14ac:dyDescent="0.35">
      <c r="A68" t="s">
        <v>103</v>
      </c>
      <c r="B68">
        <v>609050007</v>
      </c>
      <c r="C68" t="s">
        <v>7</v>
      </c>
    </row>
    <row r="69" spans="1:3" x14ac:dyDescent="0.35">
      <c r="A69" t="s">
        <v>104</v>
      </c>
      <c r="B69">
        <v>317230004</v>
      </c>
      <c r="C69" t="s">
        <v>7</v>
      </c>
    </row>
    <row r="70" spans="1:3" x14ac:dyDescent="0.35">
      <c r="A70" t="s">
        <v>105</v>
      </c>
      <c r="B70" t="s">
        <v>106</v>
      </c>
      <c r="C70" t="s">
        <v>5</v>
      </c>
    </row>
    <row r="71" spans="1:3" x14ac:dyDescent="0.35">
      <c r="A71" t="s">
        <v>107</v>
      </c>
      <c r="B71" t="s">
        <v>108</v>
      </c>
      <c r="C71" t="s">
        <v>50</v>
      </c>
    </row>
    <row r="72" spans="1:3" x14ac:dyDescent="0.35">
      <c r="A72" t="s">
        <v>109</v>
      </c>
      <c r="B72">
        <v>320110003</v>
      </c>
      <c r="C72" t="s">
        <v>7</v>
      </c>
    </row>
    <row r="73" spans="1:3" x14ac:dyDescent="0.35">
      <c r="A73" t="s">
        <v>110</v>
      </c>
      <c r="B73" t="s">
        <v>111</v>
      </c>
      <c r="C73" t="s">
        <v>50</v>
      </c>
    </row>
    <row r="74" spans="1:3" x14ac:dyDescent="0.35">
      <c r="A74" t="s">
        <v>112</v>
      </c>
      <c r="B74" t="s">
        <v>113</v>
      </c>
      <c r="C74" t="s">
        <v>5</v>
      </c>
    </row>
    <row r="75" spans="1:3" x14ac:dyDescent="0.35">
      <c r="A75" t="s">
        <v>114</v>
      </c>
      <c r="B75" t="s">
        <v>115</v>
      </c>
      <c r="C75" t="s">
        <v>5</v>
      </c>
    </row>
    <row r="76" spans="1:3" x14ac:dyDescent="0.35">
      <c r="A76" t="s">
        <v>116</v>
      </c>
      <c r="B76" t="s">
        <v>117</v>
      </c>
      <c r="C76" t="s">
        <v>5</v>
      </c>
    </row>
    <row r="77" spans="1:3" x14ac:dyDescent="0.35">
      <c r="A77" t="s">
        <v>118</v>
      </c>
      <c r="B77">
        <v>605020010</v>
      </c>
      <c r="C77" t="s">
        <v>7</v>
      </c>
    </row>
    <row r="78" spans="1:3" x14ac:dyDescent="0.35">
      <c r="A78" t="s">
        <v>118</v>
      </c>
      <c r="B78" t="s">
        <v>119</v>
      </c>
      <c r="C78" t="s">
        <v>5</v>
      </c>
    </row>
    <row r="79" spans="1:3" x14ac:dyDescent="0.35">
      <c r="A79" t="s">
        <v>120</v>
      </c>
      <c r="B79">
        <v>605130009</v>
      </c>
      <c r="C79" t="s">
        <v>7</v>
      </c>
    </row>
    <row r="80" spans="1:3" x14ac:dyDescent="0.35">
      <c r="A80" t="s">
        <v>120</v>
      </c>
      <c r="B80" t="s">
        <v>121</v>
      </c>
      <c r="C80" t="s">
        <v>32</v>
      </c>
    </row>
    <row r="81" spans="1:3" x14ac:dyDescent="0.35">
      <c r="A81" t="s">
        <v>122</v>
      </c>
      <c r="B81" t="s">
        <v>123</v>
      </c>
      <c r="C81" t="s">
        <v>50</v>
      </c>
    </row>
    <row r="82" spans="1:3" x14ac:dyDescent="0.35">
      <c r="A82" t="s">
        <v>124</v>
      </c>
      <c r="B82" t="s">
        <v>125</v>
      </c>
      <c r="C82" t="s">
        <v>5</v>
      </c>
    </row>
    <row r="83" spans="1:3" x14ac:dyDescent="0.35">
      <c r="A83" t="s">
        <v>126</v>
      </c>
      <c r="B83" t="s">
        <v>127</v>
      </c>
      <c r="C83" t="s">
        <v>5</v>
      </c>
    </row>
    <row r="84" spans="1:3" x14ac:dyDescent="0.35">
      <c r="A84" t="s">
        <v>128</v>
      </c>
      <c r="B84">
        <v>605020023</v>
      </c>
      <c r="C84" t="s">
        <v>7</v>
      </c>
    </row>
    <row r="85" spans="1:3" x14ac:dyDescent="0.35">
      <c r="A85" t="s">
        <v>129</v>
      </c>
      <c r="B85" t="s">
        <v>130</v>
      </c>
      <c r="C85" t="s">
        <v>5</v>
      </c>
    </row>
    <row r="86" spans="1:3" x14ac:dyDescent="0.35">
      <c r="A86" t="s">
        <v>131</v>
      </c>
      <c r="B86" t="s">
        <v>132</v>
      </c>
      <c r="C86" t="s">
        <v>5</v>
      </c>
    </row>
    <row r="87" spans="1:3" x14ac:dyDescent="0.35">
      <c r="A87" t="s">
        <v>133</v>
      </c>
      <c r="B87" t="s">
        <v>134</v>
      </c>
      <c r="C87" t="s">
        <v>5</v>
      </c>
    </row>
    <row r="88" spans="1:3" x14ac:dyDescent="0.35">
      <c r="A88" t="s">
        <v>135</v>
      </c>
      <c r="B88">
        <v>309070002</v>
      </c>
      <c r="C88" t="s">
        <v>7</v>
      </c>
    </row>
    <row r="89" spans="1:3" x14ac:dyDescent="0.35">
      <c r="A89" t="s">
        <v>136</v>
      </c>
      <c r="B89">
        <v>605020002</v>
      </c>
      <c r="C89" t="s">
        <v>7</v>
      </c>
    </row>
    <row r="90" spans="1:3" x14ac:dyDescent="0.35">
      <c r="A90" t="s">
        <v>136</v>
      </c>
      <c r="B90">
        <v>621050002</v>
      </c>
      <c r="C90" t="s">
        <v>7</v>
      </c>
    </row>
    <row r="91" spans="1:3" x14ac:dyDescent="0.35">
      <c r="A91" t="s">
        <v>137</v>
      </c>
      <c r="B91" t="s">
        <v>138</v>
      </c>
      <c r="C91" t="s">
        <v>5</v>
      </c>
    </row>
    <row r="92" spans="1:3" x14ac:dyDescent="0.35">
      <c r="A92" t="s">
        <v>139</v>
      </c>
      <c r="B92" t="s">
        <v>140</v>
      </c>
      <c r="C92" t="s">
        <v>32</v>
      </c>
    </row>
    <row r="93" spans="1:3" x14ac:dyDescent="0.35">
      <c r="A93" t="s">
        <v>141</v>
      </c>
      <c r="B93" t="s">
        <v>142</v>
      </c>
      <c r="C93" t="s">
        <v>5</v>
      </c>
    </row>
    <row r="94" spans="1:3" x14ac:dyDescent="0.35">
      <c r="A94" t="s">
        <v>143</v>
      </c>
      <c r="B94">
        <v>614030001</v>
      </c>
      <c r="C94" t="s">
        <v>7</v>
      </c>
    </row>
    <row r="95" spans="1:3" x14ac:dyDescent="0.35">
      <c r="A95" t="s">
        <v>144</v>
      </c>
      <c r="B95">
        <v>604110001</v>
      </c>
      <c r="C95" t="s">
        <v>7</v>
      </c>
    </row>
    <row r="96" spans="1:3" x14ac:dyDescent="0.35">
      <c r="A96" t="s">
        <v>145</v>
      </c>
      <c r="B96">
        <v>621040003</v>
      </c>
      <c r="C96" t="s">
        <v>7</v>
      </c>
    </row>
    <row r="97" spans="1:3" x14ac:dyDescent="0.35">
      <c r="A97" t="s">
        <v>145</v>
      </c>
      <c r="B97" t="s">
        <v>146</v>
      </c>
      <c r="C97" t="s">
        <v>5</v>
      </c>
    </row>
    <row r="98" spans="1:3" x14ac:dyDescent="0.35">
      <c r="A98" t="s">
        <v>147</v>
      </c>
      <c r="B98">
        <v>603060004</v>
      </c>
      <c r="C98" t="s">
        <v>7</v>
      </c>
    </row>
    <row r="99" spans="1:3" x14ac:dyDescent="0.35">
      <c r="A99" t="s">
        <v>148</v>
      </c>
      <c r="B99">
        <v>604010001</v>
      </c>
      <c r="C99" t="s">
        <v>7</v>
      </c>
    </row>
    <row r="100" spans="1:3" x14ac:dyDescent="0.35">
      <c r="A100" t="s">
        <v>148</v>
      </c>
      <c r="B100" t="s">
        <v>149</v>
      </c>
      <c r="C100" t="s">
        <v>32</v>
      </c>
    </row>
    <row r="101" spans="1:3" x14ac:dyDescent="0.35">
      <c r="A101" t="s">
        <v>150</v>
      </c>
      <c r="B101" t="s">
        <v>151</v>
      </c>
      <c r="C101" t="s">
        <v>5</v>
      </c>
    </row>
    <row r="102" spans="1:3" x14ac:dyDescent="0.35">
      <c r="A102" t="s">
        <v>152</v>
      </c>
      <c r="B102">
        <v>603120001</v>
      </c>
      <c r="C102" t="s">
        <v>7</v>
      </c>
    </row>
    <row r="103" spans="1:3" x14ac:dyDescent="0.35">
      <c r="A103" t="s">
        <v>153</v>
      </c>
      <c r="B103" t="s">
        <v>154</v>
      </c>
      <c r="C103" t="s">
        <v>5</v>
      </c>
    </row>
    <row r="104" spans="1:3" x14ac:dyDescent="0.35">
      <c r="A104" t="s">
        <v>155</v>
      </c>
      <c r="B104" t="s">
        <v>156</v>
      </c>
      <c r="C104" t="s">
        <v>5</v>
      </c>
    </row>
    <row r="105" spans="1:3" x14ac:dyDescent="0.35">
      <c r="A105" t="s">
        <v>157</v>
      </c>
      <c r="B105" t="s">
        <v>158</v>
      </c>
      <c r="C105" t="s">
        <v>5</v>
      </c>
    </row>
    <row r="106" spans="1:3" x14ac:dyDescent="0.35">
      <c r="A106" t="s">
        <v>159</v>
      </c>
      <c r="B106" t="s">
        <v>160</v>
      </c>
      <c r="C106" t="s">
        <v>5</v>
      </c>
    </row>
    <row r="107" spans="1:3" x14ac:dyDescent="0.35">
      <c r="A107" t="s">
        <v>161</v>
      </c>
      <c r="B107">
        <v>620130003</v>
      </c>
      <c r="C107" t="s">
        <v>7</v>
      </c>
    </row>
    <row r="108" spans="1:3" x14ac:dyDescent="0.35">
      <c r="A108" t="s">
        <v>162</v>
      </c>
      <c r="B108" t="s">
        <v>163</v>
      </c>
      <c r="C108" t="s">
        <v>5</v>
      </c>
    </row>
    <row r="109" spans="1:3" x14ac:dyDescent="0.35">
      <c r="A109" t="s">
        <v>164</v>
      </c>
      <c r="B109" t="s">
        <v>165</v>
      </c>
      <c r="C109" t="s">
        <v>5</v>
      </c>
    </row>
    <row r="110" spans="1:3" x14ac:dyDescent="0.35">
      <c r="A110" t="s">
        <v>166</v>
      </c>
      <c r="B110" t="s">
        <v>167</v>
      </c>
      <c r="C110" t="s">
        <v>5</v>
      </c>
    </row>
    <row r="111" spans="1:3" x14ac:dyDescent="0.35">
      <c r="A111" t="s">
        <v>168</v>
      </c>
      <c r="B111">
        <v>614210002</v>
      </c>
      <c r="C111" t="s">
        <v>7</v>
      </c>
    </row>
    <row r="112" spans="1:3" x14ac:dyDescent="0.35">
      <c r="A112" t="s">
        <v>168</v>
      </c>
      <c r="B112" t="s">
        <v>169</v>
      </c>
      <c r="C112" t="s">
        <v>5</v>
      </c>
    </row>
    <row r="113" spans="1:3" x14ac:dyDescent="0.35">
      <c r="A113" t="s">
        <v>170</v>
      </c>
      <c r="B113" t="s">
        <v>171</v>
      </c>
      <c r="C113" t="s">
        <v>5</v>
      </c>
    </row>
    <row r="114" spans="1:3" x14ac:dyDescent="0.35">
      <c r="A114" t="s">
        <v>170</v>
      </c>
      <c r="B114" t="s">
        <v>172</v>
      </c>
      <c r="C114" t="s">
        <v>50</v>
      </c>
    </row>
    <row r="115" spans="1:3" x14ac:dyDescent="0.35">
      <c r="A115" t="s">
        <v>173</v>
      </c>
      <c r="B115" t="s">
        <v>174</v>
      </c>
      <c r="C115" t="s">
        <v>32</v>
      </c>
    </row>
    <row r="116" spans="1:3" x14ac:dyDescent="0.35">
      <c r="A116" t="s">
        <v>175</v>
      </c>
      <c r="B116" t="s">
        <v>176</v>
      </c>
      <c r="C116" t="s">
        <v>5</v>
      </c>
    </row>
    <row r="117" spans="1:3" x14ac:dyDescent="0.35">
      <c r="A117" t="s">
        <v>177</v>
      </c>
      <c r="B117">
        <v>621010018</v>
      </c>
      <c r="C117" t="s">
        <v>7</v>
      </c>
    </row>
    <row r="118" spans="1:3" x14ac:dyDescent="0.35">
      <c r="A118" t="s">
        <v>178</v>
      </c>
      <c r="B118">
        <v>607070002</v>
      </c>
      <c r="C118" t="s">
        <v>7</v>
      </c>
    </row>
    <row r="119" spans="1:3" x14ac:dyDescent="0.35">
      <c r="A119" t="s">
        <v>179</v>
      </c>
      <c r="B119">
        <v>621030001</v>
      </c>
      <c r="C119" t="s">
        <v>7</v>
      </c>
    </row>
    <row r="120" spans="1:3" x14ac:dyDescent="0.35">
      <c r="A120" t="s">
        <v>180</v>
      </c>
      <c r="B120">
        <v>614050001</v>
      </c>
      <c r="C120" t="s">
        <v>7</v>
      </c>
    </row>
    <row r="121" spans="1:3" x14ac:dyDescent="0.35">
      <c r="A121" t="s">
        <v>181</v>
      </c>
      <c r="B121" t="s">
        <v>182</v>
      </c>
      <c r="C121" t="s">
        <v>5</v>
      </c>
    </row>
    <row r="122" spans="1:3" x14ac:dyDescent="0.35">
      <c r="A122" t="s">
        <v>183</v>
      </c>
      <c r="B122" t="s">
        <v>184</v>
      </c>
      <c r="C122" t="s">
        <v>32</v>
      </c>
    </row>
    <row r="123" spans="1:3" x14ac:dyDescent="0.35">
      <c r="A123" t="s">
        <v>185</v>
      </c>
      <c r="B123">
        <v>621080002</v>
      </c>
      <c r="C123" t="s">
        <v>7</v>
      </c>
    </row>
    <row r="124" spans="1:3" x14ac:dyDescent="0.35">
      <c r="A124" t="s">
        <v>186</v>
      </c>
      <c r="B124">
        <v>604020010</v>
      </c>
      <c r="C124" t="s">
        <v>7</v>
      </c>
    </row>
    <row r="125" spans="1:3" x14ac:dyDescent="0.35">
      <c r="A125" t="s">
        <v>186</v>
      </c>
      <c r="B125">
        <v>621080004</v>
      </c>
      <c r="C125" t="s">
        <v>7</v>
      </c>
    </row>
    <row r="126" spans="1:3" x14ac:dyDescent="0.35">
      <c r="A126" t="s">
        <v>186</v>
      </c>
      <c r="B126" t="s">
        <v>187</v>
      </c>
      <c r="C126" t="s">
        <v>5</v>
      </c>
    </row>
    <row r="127" spans="1:3" x14ac:dyDescent="0.35">
      <c r="A127" t="s">
        <v>188</v>
      </c>
      <c r="B127">
        <v>603180005</v>
      </c>
      <c r="C127" t="s">
        <v>7</v>
      </c>
    </row>
    <row r="128" spans="1:3" x14ac:dyDescent="0.35">
      <c r="A128" t="s">
        <v>189</v>
      </c>
      <c r="B128">
        <v>603180004</v>
      </c>
      <c r="C128" t="s">
        <v>7</v>
      </c>
    </row>
    <row r="129" spans="1:3" x14ac:dyDescent="0.35">
      <c r="A129" t="s">
        <v>190</v>
      </c>
      <c r="B129">
        <v>607070029</v>
      </c>
      <c r="C129" t="s">
        <v>7</v>
      </c>
    </row>
    <row r="130" spans="1:3" x14ac:dyDescent="0.35">
      <c r="A130" t="s">
        <v>191</v>
      </c>
      <c r="B130">
        <v>605110012</v>
      </c>
      <c r="C130" t="s">
        <v>7</v>
      </c>
    </row>
    <row r="131" spans="1:3" x14ac:dyDescent="0.35">
      <c r="A131" t="s">
        <v>192</v>
      </c>
      <c r="B131">
        <v>607070003</v>
      </c>
      <c r="C131" t="s">
        <v>7</v>
      </c>
    </row>
    <row r="132" spans="1:3" x14ac:dyDescent="0.35">
      <c r="A132" t="s">
        <v>193</v>
      </c>
      <c r="B132" t="s">
        <v>194</v>
      </c>
      <c r="C132" t="s">
        <v>50</v>
      </c>
    </row>
    <row r="133" spans="1:3" x14ac:dyDescent="0.35">
      <c r="A133" t="s">
        <v>195</v>
      </c>
      <c r="B133" t="s">
        <v>196</v>
      </c>
      <c r="C133" t="s">
        <v>5</v>
      </c>
    </row>
    <row r="134" spans="1:3" x14ac:dyDescent="0.35">
      <c r="A134" t="s">
        <v>197</v>
      </c>
      <c r="B134" t="s">
        <v>198</v>
      </c>
      <c r="C134" t="s">
        <v>32</v>
      </c>
    </row>
    <row r="135" spans="1:3" x14ac:dyDescent="0.35">
      <c r="A135" t="s">
        <v>199</v>
      </c>
      <c r="B135">
        <v>605150002</v>
      </c>
      <c r="C135" t="s">
        <v>7</v>
      </c>
    </row>
    <row r="136" spans="1:3" x14ac:dyDescent="0.35">
      <c r="A136" t="s">
        <v>200</v>
      </c>
      <c r="B136" t="s">
        <v>201</v>
      </c>
      <c r="C136" t="s">
        <v>5</v>
      </c>
    </row>
    <row r="137" spans="1:3" x14ac:dyDescent="0.35">
      <c r="A137" t="s">
        <v>202</v>
      </c>
      <c r="B137" t="s">
        <v>203</v>
      </c>
      <c r="C137" t="s">
        <v>5</v>
      </c>
    </row>
    <row r="138" spans="1:3" x14ac:dyDescent="0.35">
      <c r="A138" t="s">
        <v>204</v>
      </c>
      <c r="B138">
        <v>317070004</v>
      </c>
      <c r="C138" t="s">
        <v>7</v>
      </c>
    </row>
    <row r="139" spans="1:3" x14ac:dyDescent="0.35">
      <c r="A139" t="s">
        <v>205</v>
      </c>
      <c r="B139">
        <v>605100002</v>
      </c>
      <c r="C139" t="s">
        <v>7</v>
      </c>
    </row>
    <row r="140" spans="1:3" x14ac:dyDescent="0.35">
      <c r="A140" t="s">
        <v>206</v>
      </c>
      <c r="B140">
        <v>605150016</v>
      </c>
      <c r="C140" t="s">
        <v>7</v>
      </c>
    </row>
    <row r="141" spans="1:3" x14ac:dyDescent="0.35">
      <c r="A141" t="s">
        <v>207</v>
      </c>
      <c r="B141" t="s">
        <v>208</v>
      </c>
      <c r="C141" t="s">
        <v>5</v>
      </c>
    </row>
    <row r="142" spans="1:3" x14ac:dyDescent="0.35">
      <c r="A142" t="s">
        <v>209</v>
      </c>
      <c r="B142" t="s">
        <v>210</v>
      </c>
      <c r="C142" t="s">
        <v>32</v>
      </c>
    </row>
    <row r="143" spans="1:3" x14ac:dyDescent="0.35">
      <c r="A143" t="s">
        <v>211</v>
      </c>
      <c r="B143" t="s">
        <v>212</v>
      </c>
      <c r="C143" t="s">
        <v>5</v>
      </c>
    </row>
    <row r="144" spans="1:3" x14ac:dyDescent="0.35">
      <c r="A144" t="s">
        <v>213</v>
      </c>
      <c r="B144" t="s">
        <v>214</v>
      </c>
      <c r="C144" t="s">
        <v>5</v>
      </c>
    </row>
    <row r="145" spans="1:3" x14ac:dyDescent="0.35">
      <c r="A145" t="s">
        <v>215</v>
      </c>
      <c r="B145" t="s">
        <v>216</v>
      </c>
      <c r="C145" t="s">
        <v>5</v>
      </c>
    </row>
    <row r="146" spans="1:3" x14ac:dyDescent="0.35">
      <c r="A146" t="s">
        <v>217</v>
      </c>
      <c r="B146">
        <v>309330001</v>
      </c>
      <c r="C146" t="s">
        <v>7</v>
      </c>
    </row>
    <row r="147" spans="1:3" x14ac:dyDescent="0.35">
      <c r="A147" t="s">
        <v>217</v>
      </c>
      <c r="B147" t="s">
        <v>218</v>
      </c>
      <c r="C147" t="s">
        <v>5</v>
      </c>
    </row>
    <row r="148" spans="1:3" x14ac:dyDescent="0.35">
      <c r="A148" t="s">
        <v>219</v>
      </c>
      <c r="B148" t="s">
        <v>220</v>
      </c>
      <c r="C148" t="s">
        <v>5</v>
      </c>
    </row>
    <row r="149" spans="1:3" x14ac:dyDescent="0.35">
      <c r="A149" t="s">
        <v>221</v>
      </c>
      <c r="B149">
        <v>602070003</v>
      </c>
      <c r="C149" t="s">
        <v>7</v>
      </c>
    </row>
    <row r="150" spans="1:3" x14ac:dyDescent="0.35">
      <c r="A150" t="s">
        <v>222</v>
      </c>
      <c r="B150">
        <v>603060037</v>
      </c>
      <c r="C150" t="s">
        <v>7</v>
      </c>
    </row>
    <row r="151" spans="1:3" x14ac:dyDescent="0.35">
      <c r="A151" t="s">
        <v>222</v>
      </c>
      <c r="B151">
        <v>605070009</v>
      </c>
      <c r="C151" t="s">
        <v>7</v>
      </c>
    </row>
    <row r="152" spans="1:3" x14ac:dyDescent="0.35">
      <c r="A152" t="s">
        <v>222</v>
      </c>
      <c r="B152" t="s">
        <v>223</v>
      </c>
      <c r="C152" t="s">
        <v>5</v>
      </c>
    </row>
    <row r="153" spans="1:3" x14ac:dyDescent="0.35">
      <c r="A153" t="s">
        <v>224</v>
      </c>
      <c r="B153">
        <v>605070019</v>
      </c>
      <c r="C153" t="s">
        <v>7</v>
      </c>
    </row>
    <row r="154" spans="1:3" x14ac:dyDescent="0.35">
      <c r="A154" t="s">
        <v>225</v>
      </c>
      <c r="B154">
        <v>607070013</v>
      </c>
      <c r="C154" t="s">
        <v>7</v>
      </c>
    </row>
    <row r="155" spans="1:3" x14ac:dyDescent="0.35">
      <c r="A155" t="s">
        <v>226</v>
      </c>
      <c r="B155" t="s">
        <v>227</v>
      </c>
      <c r="C155" t="s">
        <v>32</v>
      </c>
    </row>
    <row r="156" spans="1:3" x14ac:dyDescent="0.35">
      <c r="A156" t="s">
        <v>228</v>
      </c>
      <c r="B156" t="s">
        <v>229</v>
      </c>
      <c r="C156" t="s">
        <v>32</v>
      </c>
    </row>
    <row r="157" spans="1:3" x14ac:dyDescent="0.35">
      <c r="A157" t="s">
        <v>230</v>
      </c>
      <c r="B157">
        <v>607010001</v>
      </c>
      <c r="C157" t="s">
        <v>7</v>
      </c>
    </row>
    <row r="158" spans="1:3" x14ac:dyDescent="0.35">
      <c r="A158" t="s">
        <v>231</v>
      </c>
      <c r="B158">
        <v>111050003</v>
      </c>
      <c r="C158" t="s">
        <v>7</v>
      </c>
    </row>
    <row r="159" spans="1:3" x14ac:dyDescent="0.35">
      <c r="A159" t="s">
        <v>232</v>
      </c>
      <c r="B159" t="s">
        <v>233</v>
      </c>
      <c r="C159" t="s">
        <v>5</v>
      </c>
    </row>
    <row r="160" spans="1:3" x14ac:dyDescent="0.35">
      <c r="A160" t="s">
        <v>234</v>
      </c>
      <c r="B160" t="s">
        <v>235</v>
      </c>
      <c r="C160" t="s">
        <v>5</v>
      </c>
    </row>
    <row r="161" spans="1:3" x14ac:dyDescent="0.35">
      <c r="A161" t="s">
        <v>236</v>
      </c>
      <c r="B161" t="s">
        <v>237</v>
      </c>
      <c r="C161" t="s">
        <v>5</v>
      </c>
    </row>
    <row r="162" spans="1:3" x14ac:dyDescent="0.35">
      <c r="A162" t="s">
        <v>238</v>
      </c>
      <c r="B162" t="s">
        <v>239</v>
      </c>
      <c r="C162" t="s">
        <v>5</v>
      </c>
    </row>
    <row r="163" spans="1:3" x14ac:dyDescent="0.35">
      <c r="A163" t="s">
        <v>240</v>
      </c>
      <c r="B163" t="s">
        <v>241</v>
      </c>
      <c r="C163" t="s">
        <v>5</v>
      </c>
    </row>
    <row r="164" spans="1:3" x14ac:dyDescent="0.35">
      <c r="A164" t="s">
        <v>242</v>
      </c>
      <c r="B164">
        <v>621050004</v>
      </c>
      <c r="C164" t="s">
        <v>7</v>
      </c>
    </row>
    <row r="165" spans="1:3" x14ac:dyDescent="0.35">
      <c r="A165" t="s">
        <v>243</v>
      </c>
      <c r="B165">
        <v>609050022</v>
      </c>
      <c r="C165" t="s">
        <v>7</v>
      </c>
    </row>
    <row r="166" spans="1:3" x14ac:dyDescent="0.35">
      <c r="A166" t="s">
        <v>244</v>
      </c>
      <c r="B166" t="s">
        <v>245</v>
      </c>
      <c r="C166" t="s">
        <v>5</v>
      </c>
    </row>
    <row r="167" spans="1:3" x14ac:dyDescent="0.35">
      <c r="A167" t="s">
        <v>246</v>
      </c>
      <c r="B167" t="s">
        <v>247</v>
      </c>
      <c r="C167" t="s">
        <v>50</v>
      </c>
    </row>
    <row r="168" spans="1:3" x14ac:dyDescent="0.35">
      <c r="A168" t="s">
        <v>248</v>
      </c>
      <c r="B168" t="s">
        <v>249</v>
      </c>
      <c r="C168" t="s">
        <v>5</v>
      </c>
    </row>
    <row r="169" spans="1:3" x14ac:dyDescent="0.35">
      <c r="A169" t="s">
        <v>250</v>
      </c>
      <c r="B169">
        <v>306090002</v>
      </c>
      <c r="C169" t="s">
        <v>7</v>
      </c>
    </row>
    <row r="170" spans="1:3" x14ac:dyDescent="0.35">
      <c r="A170" t="s">
        <v>251</v>
      </c>
      <c r="B170" t="s">
        <v>252</v>
      </c>
      <c r="C170" t="s">
        <v>5</v>
      </c>
    </row>
    <row r="171" spans="1:3" x14ac:dyDescent="0.35">
      <c r="A171" t="s">
        <v>253</v>
      </c>
      <c r="B171" t="s">
        <v>254</v>
      </c>
      <c r="C171" t="s">
        <v>5</v>
      </c>
    </row>
    <row r="172" spans="1:3" x14ac:dyDescent="0.35">
      <c r="A172" t="s">
        <v>255</v>
      </c>
      <c r="B172">
        <v>605090015</v>
      </c>
      <c r="C172" t="s">
        <v>7</v>
      </c>
    </row>
    <row r="173" spans="1:3" x14ac:dyDescent="0.35">
      <c r="A173" t="s">
        <v>256</v>
      </c>
      <c r="B173">
        <v>604130016</v>
      </c>
      <c r="C173" t="s">
        <v>7</v>
      </c>
    </row>
    <row r="174" spans="1:3" x14ac:dyDescent="0.35">
      <c r="A174" t="s">
        <v>256</v>
      </c>
      <c r="B174" t="s">
        <v>257</v>
      </c>
      <c r="C174" t="s">
        <v>5</v>
      </c>
    </row>
    <row r="175" spans="1:3" x14ac:dyDescent="0.35">
      <c r="A175" t="s">
        <v>258</v>
      </c>
      <c r="B175" t="s">
        <v>259</v>
      </c>
      <c r="C175" t="s">
        <v>5</v>
      </c>
    </row>
    <row r="176" spans="1:3" x14ac:dyDescent="0.35">
      <c r="A176" t="s">
        <v>260</v>
      </c>
      <c r="B176" t="s">
        <v>261</v>
      </c>
      <c r="C176" t="s">
        <v>5</v>
      </c>
    </row>
    <row r="177" spans="1:3" x14ac:dyDescent="0.35">
      <c r="A177" t="s">
        <v>262</v>
      </c>
      <c r="B177">
        <v>607020009</v>
      </c>
      <c r="C177" t="s">
        <v>7</v>
      </c>
    </row>
    <row r="178" spans="1:3" x14ac:dyDescent="0.35">
      <c r="A178" t="s">
        <v>263</v>
      </c>
      <c r="B178" t="s">
        <v>264</v>
      </c>
      <c r="C178" t="s">
        <v>5</v>
      </c>
    </row>
    <row r="179" spans="1:3" x14ac:dyDescent="0.35">
      <c r="A179" t="s">
        <v>265</v>
      </c>
      <c r="B179">
        <v>317230007</v>
      </c>
      <c r="C179" t="s">
        <v>7</v>
      </c>
    </row>
    <row r="180" spans="1:3" x14ac:dyDescent="0.35">
      <c r="A180" t="s">
        <v>266</v>
      </c>
      <c r="B180">
        <v>609040011</v>
      </c>
      <c r="C180" t="s">
        <v>7</v>
      </c>
    </row>
    <row r="181" spans="1:3" x14ac:dyDescent="0.35">
      <c r="A181" t="s">
        <v>266</v>
      </c>
      <c r="B181" t="s">
        <v>267</v>
      </c>
      <c r="C181" t="s">
        <v>32</v>
      </c>
    </row>
    <row r="182" spans="1:3" x14ac:dyDescent="0.35">
      <c r="A182" t="s">
        <v>268</v>
      </c>
      <c r="B182" t="s">
        <v>269</v>
      </c>
      <c r="C182" t="s">
        <v>5</v>
      </c>
    </row>
    <row r="183" spans="1:3" x14ac:dyDescent="0.35">
      <c r="A183" t="s">
        <v>268</v>
      </c>
      <c r="B183" t="s">
        <v>270</v>
      </c>
      <c r="C183" t="s">
        <v>32</v>
      </c>
    </row>
    <row r="184" spans="1:3" x14ac:dyDescent="0.35">
      <c r="A184" t="s">
        <v>271</v>
      </c>
      <c r="B184">
        <v>605100015</v>
      </c>
      <c r="C184" t="s">
        <v>7</v>
      </c>
    </row>
    <row r="185" spans="1:3" x14ac:dyDescent="0.35">
      <c r="A185" t="s">
        <v>272</v>
      </c>
      <c r="B185" t="s">
        <v>273</v>
      </c>
      <c r="C185" t="s">
        <v>5</v>
      </c>
    </row>
    <row r="186" spans="1:3" x14ac:dyDescent="0.35">
      <c r="A186" t="s">
        <v>274</v>
      </c>
      <c r="B186" t="s">
        <v>275</v>
      </c>
      <c r="C186" t="s">
        <v>5</v>
      </c>
    </row>
    <row r="187" spans="1:3" x14ac:dyDescent="0.35">
      <c r="A187" t="s">
        <v>276</v>
      </c>
      <c r="B187">
        <v>605080001</v>
      </c>
      <c r="C187" t="s">
        <v>7</v>
      </c>
    </row>
    <row r="188" spans="1:3" x14ac:dyDescent="0.35">
      <c r="A188" t="s">
        <v>277</v>
      </c>
      <c r="B188" t="s">
        <v>278</v>
      </c>
      <c r="C188" t="s">
        <v>5</v>
      </c>
    </row>
    <row r="189" spans="1:3" x14ac:dyDescent="0.35">
      <c r="A189" t="s">
        <v>279</v>
      </c>
      <c r="B189" t="s">
        <v>280</v>
      </c>
      <c r="C189" t="s">
        <v>5</v>
      </c>
    </row>
    <row r="190" spans="1:3" x14ac:dyDescent="0.35">
      <c r="A190" t="s">
        <v>281</v>
      </c>
      <c r="B190" t="s">
        <v>282</v>
      </c>
      <c r="C190" t="s">
        <v>5</v>
      </c>
    </row>
    <row r="191" spans="1:3" x14ac:dyDescent="0.35">
      <c r="A191" t="s">
        <v>283</v>
      </c>
      <c r="B191" t="s">
        <v>284</v>
      </c>
      <c r="C191" t="s">
        <v>5</v>
      </c>
    </row>
    <row r="192" spans="1:3" x14ac:dyDescent="0.35">
      <c r="A192" t="s">
        <v>285</v>
      </c>
      <c r="B192" t="s">
        <v>286</v>
      </c>
      <c r="C192" t="s">
        <v>5</v>
      </c>
    </row>
    <row r="193" spans="1:3" x14ac:dyDescent="0.35">
      <c r="A193" t="s">
        <v>287</v>
      </c>
      <c r="B193">
        <v>604020001</v>
      </c>
      <c r="C193" t="s">
        <v>7</v>
      </c>
    </row>
    <row r="194" spans="1:3" x14ac:dyDescent="0.35">
      <c r="A194" t="s">
        <v>287</v>
      </c>
      <c r="B194" t="s">
        <v>288</v>
      </c>
      <c r="C194" t="s">
        <v>5</v>
      </c>
    </row>
    <row r="195" spans="1:3" x14ac:dyDescent="0.35">
      <c r="A195" t="s">
        <v>289</v>
      </c>
      <c r="B195">
        <v>604020002</v>
      </c>
      <c r="C195" t="s">
        <v>7</v>
      </c>
    </row>
    <row r="196" spans="1:3" x14ac:dyDescent="0.35">
      <c r="A196" t="s">
        <v>290</v>
      </c>
      <c r="B196" t="s">
        <v>291</v>
      </c>
      <c r="C196" t="s">
        <v>5</v>
      </c>
    </row>
    <row r="197" spans="1:3" x14ac:dyDescent="0.35">
      <c r="A197" t="s">
        <v>292</v>
      </c>
      <c r="B197">
        <v>604060001</v>
      </c>
      <c r="C197" t="s">
        <v>7</v>
      </c>
    </row>
    <row r="198" spans="1:3" x14ac:dyDescent="0.35">
      <c r="A198" t="s">
        <v>292</v>
      </c>
      <c r="B198" t="s">
        <v>293</v>
      </c>
      <c r="C198" t="s">
        <v>5</v>
      </c>
    </row>
    <row r="199" spans="1:3" x14ac:dyDescent="0.35">
      <c r="A199" t="s">
        <v>294</v>
      </c>
      <c r="B199" t="s">
        <v>295</v>
      </c>
      <c r="C199" t="s">
        <v>5</v>
      </c>
    </row>
    <row r="200" spans="1:3" x14ac:dyDescent="0.35">
      <c r="A200" t="s">
        <v>296</v>
      </c>
      <c r="B200" t="s">
        <v>297</v>
      </c>
      <c r="C200" t="s">
        <v>5</v>
      </c>
    </row>
    <row r="201" spans="1:3" x14ac:dyDescent="0.35">
      <c r="A201" t="s">
        <v>298</v>
      </c>
      <c r="B201">
        <v>602010002</v>
      </c>
      <c r="C201" t="s">
        <v>7</v>
      </c>
    </row>
    <row r="202" spans="1:3" x14ac:dyDescent="0.35">
      <c r="A202" t="s">
        <v>299</v>
      </c>
      <c r="B202" t="s">
        <v>300</v>
      </c>
      <c r="C202" t="s">
        <v>50</v>
      </c>
    </row>
    <row r="203" spans="1:3" x14ac:dyDescent="0.35">
      <c r="A203" t="s">
        <v>301</v>
      </c>
      <c r="B203">
        <v>605110001</v>
      </c>
      <c r="C203" t="s">
        <v>7</v>
      </c>
    </row>
    <row r="204" spans="1:3" x14ac:dyDescent="0.35">
      <c r="A204" t="s">
        <v>301</v>
      </c>
      <c r="B204" t="s">
        <v>302</v>
      </c>
      <c r="C204" t="s">
        <v>50</v>
      </c>
    </row>
    <row r="205" spans="1:3" x14ac:dyDescent="0.35">
      <c r="A205" t="s">
        <v>303</v>
      </c>
      <c r="B205" t="s">
        <v>304</v>
      </c>
      <c r="C205" t="s">
        <v>5</v>
      </c>
    </row>
    <row r="206" spans="1:3" x14ac:dyDescent="0.35">
      <c r="A206" t="s">
        <v>305</v>
      </c>
      <c r="B206">
        <v>614240020</v>
      </c>
      <c r="C206" t="s">
        <v>7</v>
      </c>
    </row>
    <row r="207" spans="1:3" x14ac:dyDescent="0.35">
      <c r="A207" t="s">
        <v>306</v>
      </c>
      <c r="B207">
        <v>614240003</v>
      </c>
      <c r="C207" t="s">
        <v>7</v>
      </c>
    </row>
    <row r="208" spans="1:3" x14ac:dyDescent="0.35">
      <c r="A208" t="s">
        <v>307</v>
      </c>
      <c r="B208">
        <v>605140006</v>
      </c>
      <c r="C208" t="s">
        <v>7</v>
      </c>
    </row>
    <row r="209" spans="1:3" x14ac:dyDescent="0.35">
      <c r="A209" t="s">
        <v>307</v>
      </c>
      <c r="B209" t="s">
        <v>308</v>
      </c>
      <c r="C209" t="s">
        <v>5</v>
      </c>
    </row>
    <row r="210" spans="1:3" x14ac:dyDescent="0.35">
      <c r="A210" t="s">
        <v>309</v>
      </c>
      <c r="B210" t="s">
        <v>310</v>
      </c>
      <c r="C210" t="s">
        <v>5</v>
      </c>
    </row>
    <row r="211" spans="1:3" x14ac:dyDescent="0.35">
      <c r="A211" t="s">
        <v>311</v>
      </c>
      <c r="B211">
        <v>604100051</v>
      </c>
      <c r="C211" t="s">
        <v>7</v>
      </c>
    </row>
    <row r="212" spans="1:3" x14ac:dyDescent="0.35">
      <c r="A212" t="s">
        <v>312</v>
      </c>
      <c r="B212" t="s">
        <v>313</v>
      </c>
      <c r="C212" t="s">
        <v>5</v>
      </c>
    </row>
    <row r="213" spans="1:3" x14ac:dyDescent="0.35">
      <c r="A213" t="s">
        <v>314</v>
      </c>
      <c r="B213" t="s">
        <v>315</v>
      </c>
      <c r="C213" t="s">
        <v>5</v>
      </c>
    </row>
    <row r="214" spans="1:3" x14ac:dyDescent="0.35">
      <c r="A214" t="s">
        <v>316</v>
      </c>
      <c r="B214" t="s">
        <v>317</v>
      </c>
      <c r="C214" t="s">
        <v>5</v>
      </c>
    </row>
    <row r="215" spans="1:3" x14ac:dyDescent="0.35">
      <c r="A215" t="s">
        <v>318</v>
      </c>
      <c r="B215">
        <v>604190007</v>
      </c>
      <c r="C215" t="s">
        <v>7</v>
      </c>
    </row>
    <row r="216" spans="1:3" x14ac:dyDescent="0.35">
      <c r="A216" t="s">
        <v>319</v>
      </c>
      <c r="B216">
        <v>604190008</v>
      </c>
      <c r="C216" t="s">
        <v>7</v>
      </c>
    </row>
    <row r="217" spans="1:3" x14ac:dyDescent="0.35">
      <c r="A217" t="s">
        <v>320</v>
      </c>
      <c r="B217">
        <v>605040006</v>
      </c>
      <c r="C217" t="s">
        <v>7</v>
      </c>
    </row>
    <row r="218" spans="1:3" x14ac:dyDescent="0.35">
      <c r="A218" t="s">
        <v>320</v>
      </c>
      <c r="B218" t="s">
        <v>321</v>
      </c>
      <c r="C218" t="s">
        <v>5</v>
      </c>
    </row>
    <row r="219" spans="1:3" x14ac:dyDescent="0.35">
      <c r="A219" t="s">
        <v>322</v>
      </c>
      <c r="B219">
        <v>614240004</v>
      </c>
      <c r="C219" t="s">
        <v>7</v>
      </c>
    </row>
    <row r="220" spans="1:3" x14ac:dyDescent="0.35">
      <c r="A220" t="s">
        <v>322</v>
      </c>
      <c r="B220" t="s">
        <v>323</v>
      </c>
      <c r="C220" t="s">
        <v>32</v>
      </c>
    </row>
    <row r="221" spans="1:3" x14ac:dyDescent="0.35">
      <c r="A221" t="s">
        <v>322</v>
      </c>
      <c r="B221" t="s">
        <v>324</v>
      </c>
      <c r="C221" t="s">
        <v>50</v>
      </c>
    </row>
    <row r="222" spans="1:3" x14ac:dyDescent="0.35">
      <c r="A222" t="s">
        <v>325</v>
      </c>
      <c r="B222">
        <v>317170006</v>
      </c>
      <c r="C222" t="s">
        <v>7</v>
      </c>
    </row>
    <row r="223" spans="1:3" x14ac:dyDescent="0.35">
      <c r="A223" t="s">
        <v>326</v>
      </c>
      <c r="B223" t="s">
        <v>327</v>
      </c>
      <c r="C223" t="s">
        <v>5</v>
      </c>
    </row>
    <row r="224" spans="1:3" x14ac:dyDescent="0.35">
      <c r="A224" t="s">
        <v>328</v>
      </c>
      <c r="B224" t="s">
        <v>329</v>
      </c>
      <c r="C224" t="s">
        <v>5</v>
      </c>
    </row>
    <row r="225" spans="1:3" x14ac:dyDescent="0.35">
      <c r="A225" t="s">
        <v>328</v>
      </c>
      <c r="B225" t="s">
        <v>330</v>
      </c>
      <c r="C225" t="s">
        <v>32</v>
      </c>
    </row>
    <row r="226" spans="1:3" x14ac:dyDescent="0.35">
      <c r="A226" t="s">
        <v>331</v>
      </c>
      <c r="B226" t="s">
        <v>332</v>
      </c>
      <c r="C226" t="s">
        <v>5</v>
      </c>
    </row>
    <row r="227" spans="1:3" x14ac:dyDescent="0.35">
      <c r="A227" t="s">
        <v>333</v>
      </c>
      <c r="B227" t="s">
        <v>334</v>
      </c>
      <c r="C227" t="s">
        <v>5</v>
      </c>
    </row>
    <row r="228" spans="1:3" x14ac:dyDescent="0.35">
      <c r="A228" t="s">
        <v>335</v>
      </c>
      <c r="B228">
        <v>603120005</v>
      </c>
      <c r="C228" t="s">
        <v>7</v>
      </c>
    </row>
    <row r="229" spans="1:3" x14ac:dyDescent="0.35">
      <c r="A229" t="s">
        <v>336</v>
      </c>
      <c r="B229">
        <v>604150002</v>
      </c>
      <c r="C229" t="s">
        <v>7</v>
      </c>
    </row>
    <row r="230" spans="1:3" x14ac:dyDescent="0.35">
      <c r="A230" t="s">
        <v>337</v>
      </c>
      <c r="B230">
        <v>604060002</v>
      </c>
      <c r="C230" t="s">
        <v>7</v>
      </c>
    </row>
    <row r="231" spans="1:3" x14ac:dyDescent="0.35">
      <c r="A231" t="s">
        <v>337</v>
      </c>
      <c r="B231" t="s">
        <v>338</v>
      </c>
      <c r="C231" t="s">
        <v>5</v>
      </c>
    </row>
    <row r="232" spans="1:3" x14ac:dyDescent="0.35">
      <c r="A232" t="s">
        <v>339</v>
      </c>
      <c r="B232">
        <v>614220002</v>
      </c>
      <c r="C232" t="s">
        <v>7</v>
      </c>
    </row>
    <row r="233" spans="1:3" x14ac:dyDescent="0.35">
      <c r="A233" t="s">
        <v>340</v>
      </c>
      <c r="B233">
        <v>320040005</v>
      </c>
      <c r="C233" t="s">
        <v>7</v>
      </c>
    </row>
    <row r="234" spans="1:3" x14ac:dyDescent="0.35">
      <c r="A234" t="s">
        <v>341</v>
      </c>
      <c r="B234">
        <v>602050005</v>
      </c>
      <c r="C234" t="s">
        <v>7</v>
      </c>
    </row>
    <row r="235" spans="1:3" x14ac:dyDescent="0.35">
      <c r="A235" t="s">
        <v>342</v>
      </c>
      <c r="B235">
        <v>317080004</v>
      </c>
      <c r="C235" t="s">
        <v>7</v>
      </c>
    </row>
    <row r="236" spans="1:3" x14ac:dyDescent="0.35">
      <c r="A236" t="s">
        <v>343</v>
      </c>
      <c r="B236">
        <v>317090005</v>
      </c>
      <c r="C236" t="s">
        <v>7</v>
      </c>
    </row>
    <row r="237" spans="1:3" x14ac:dyDescent="0.35">
      <c r="A237" t="s">
        <v>344</v>
      </c>
      <c r="B237" t="s">
        <v>345</v>
      </c>
      <c r="C237" t="s">
        <v>5</v>
      </c>
    </row>
    <row r="238" spans="1:3" x14ac:dyDescent="0.35">
      <c r="A238" t="s">
        <v>346</v>
      </c>
      <c r="B238" t="s">
        <v>347</v>
      </c>
      <c r="C238" t="s">
        <v>5</v>
      </c>
    </row>
    <row r="239" spans="1:3" x14ac:dyDescent="0.35">
      <c r="A239" t="s">
        <v>348</v>
      </c>
      <c r="B239">
        <v>317080008</v>
      </c>
      <c r="C239" t="s">
        <v>7</v>
      </c>
    </row>
    <row r="240" spans="1:3" x14ac:dyDescent="0.35">
      <c r="A240" t="s">
        <v>349</v>
      </c>
      <c r="B240" t="s">
        <v>350</v>
      </c>
      <c r="C240" t="s">
        <v>5</v>
      </c>
    </row>
    <row r="241" spans="1:3" x14ac:dyDescent="0.35">
      <c r="A241" t="s">
        <v>351</v>
      </c>
      <c r="B241" t="s">
        <v>352</v>
      </c>
      <c r="C241" t="s">
        <v>5</v>
      </c>
    </row>
    <row r="242" spans="1:3" x14ac:dyDescent="0.35">
      <c r="A242" t="s">
        <v>353</v>
      </c>
      <c r="B242">
        <v>111050005</v>
      </c>
      <c r="C242" t="s">
        <v>7</v>
      </c>
    </row>
    <row r="243" spans="1:3" x14ac:dyDescent="0.35">
      <c r="A243" t="s">
        <v>354</v>
      </c>
      <c r="B243">
        <v>117020008</v>
      </c>
      <c r="C243" t="s">
        <v>7</v>
      </c>
    </row>
    <row r="244" spans="1:3" x14ac:dyDescent="0.35">
      <c r="A244" t="s">
        <v>355</v>
      </c>
      <c r="B244" t="s">
        <v>356</v>
      </c>
      <c r="C244" t="s">
        <v>5</v>
      </c>
    </row>
    <row r="245" spans="1:3" x14ac:dyDescent="0.35">
      <c r="A245" t="s">
        <v>357</v>
      </c>
      <c r="B245" t="s">
        <v>358</v>
      </c>
      <c r="C245" t="s">
        <v>5</v>
      </c>
    </row>
    <row r="246" spans="1:3" x14ac:dyDescent="0.35">
      <c r="A246" t="s">
        <v>359</v>
      </c>
      <c r="B246">
        <v>609020008</v>
      </c>
      <c r="C246" t="s">
        <v>7</v>
      </c>
    </row>
    <row r="247" spans="1:3" x14ac:dyDescent="0.35">
      <c r="A247" t="s">
        <v>360</v>
      </c>
      <c r="B247" t="s">
        <v>361</v>
      </c>
      <c r="C247" t="s">
        <v>32</v>
      </c>
    </row>
    <row r="248" spans="1:3" x14ac:dyDescent="0.35">
      <c r="A248" t="s">
        <v>362</v>
      </c>
      <c r="B248" t="s">
        <v>363</v>
      </c>
      <c r="C248" t="s">
        <v>5</v>
      </c>
    </row>
    <row r="249" spans="1:3" x14ac:dyDescent="0.35">
      <c r="A249" t="s">
        <v>364</v>
      </c>
      <c r="B249" t="s">
        <v>365</v>
      </c>
      <c r="C249" t="s">
        <v>5</v>
      </c>
    </row>
    <row r="250" spans="1:3" x14ac:dyDescent="0.35">
      <c r="A250" t="s">
        <v>366</v>
      </c>
      <c r="B250">
        <v>602010003</v>
      </c>
      <c r="C250" t="s">
        <v>7</v>
      </c>
    </row>
    <row r="251" spans="1:3" x14ac:dyDescent="0.35">
      <c r="A251" t="s">
        <v>367</v>
      </c>
      <c r="B251" t="s">
        <v>368</v>
      </c>
      <c r="C251" t="s">
        <v>5</v>
      </c>
    </row>
    <row r="252" spans="1:3" x14ac:dyDescent="0.35">
      <c r="A252" t="s">
        <v>369</v>
      </c>
      <c r="B252" t="s">
        <v>370</v>
      </c>
      <c r="C252" t="s">
        <v>5</v>
      </c>
    </row>
    <row r="253" spans="1:3" x14ac:dyDescent="0.35">
      <c r="A253" t="s">
        <v>371</v>
      </c>
      <c r="B253" t="s">
        <v>372</v>
      </c>
      <c r="C253" t="s">
        <v>5</v>
      </c>
    </row>
    <row r="254" spans="1:3" x14ac:dyDescent="0.35">
      <c r="A254" t="s">
        <v>373</v>
      </c>
      <c r="B254" t="s">
        <v>374</v>
      </c>
      <c r="C254" t="s">
        <v>5</v>
      </c>
    </row>
    <row r="255" spans="1:3" x14ac:dyDescent="0.35">
      <c r="A255" t="s">
        <v>375</v>
      </c>
      <c r="B255" t="s">
        <v>376</v>
      </c>
      <c r="C255" t="s">
        <v>5</v>
      </c>
    </row>
    <row r="256" spans="1:3" x14ac:dyDescent="0.35">
      <c r="A256" t="s">
        <v>377</v>
      </c>
      <c r="B256">
        <v>111050007</v>
      </c>
      <c r="C256" t="s">
        <v>7</v>
      </c>
    </row>
    <row r="257" spans="1:3" x14ac:dyDescent="0.35">
      <c r="A257" t="s">
        <v>378</v>
      </c>
      <c r="B257">
        <v>316180002</v>
      </c>
      <c r="C257" t="s">
        <v>7</v>
      </c>
    </row>
    <row r="258" spans="1:3" x14ac:dyDescent="0.35">
      <c r="A258" t="s">
        <v>378</v>
      </c>
      <c r="B258" t="s">
        <v>379</v>
      </c>
      <c r="C258" t="s">
        <v>50</v>
      </c>
    </row>
    <row r="259" spans="1:3" x14ac:dyDescent="0.35">
      <c r="A259" t="s">
        <v>380</v>
      </c>
      <c r="B259" t="s">
        <v>381</v>
      </c>
      <c r="C259" t="s">
        <v>32</v>
      </c>
    </row>
    <row r="260" spans="1:3" x14ac:dyDescent="0.35">
      <c r="A260" t="s">
        <v>382</v>
      </c>
      <c r="B260" t="s">
        <v>383</v>
      </c>
      <c r="C260" t="s">
        <v>5</v>
      </c>
    </row>
    <row r="261" spans="1:3" x14ac:dyDescent="0.35">
      <c r="A261" t="s">
        <v>384</v>
      </c>
      <c r="B261" t="s">
        <v>385</v>
      </c>
      <c r="C261" t="s">
        <v>5</v>
      </c>
    </row>
    <row r="262" spans="1:3" x14ac:dyDescent="0.35">
      <c r="A262" t="s">
        <v>386</v>
      </c>
      <c r="B262" t="s">
        <v>387</v>
      </c>
      <c r="C262" t="s">
        <v>5</v>
      </c>
    </row>
    <row r="263" spans="1:3" x14ac:dyDescent="0.35">
      <c r="A263" t="s">
        <v>388</v>
      </c>
      <c r="B263" t="s">
        <v>389</v>
      </c>
      <c r="C263" t="s">
        <v>5</v>
      </c>
    </row>
    <row r="264" spans="1:3" x14ac:dyDescent="0.35">
      <c r="A264" t="s">
        <v>390</v>
      </c>
      <c r="B264" t="s">
        <v>391</v>
      </c>
      <c r="C264" t="s">
        <v>5</v>
      </c>
    </row>
    <row r="265" spans="1:3" x14ac:dyDescent="0.35">
      <c r="A265" t="s">
        <v>392</v>
      </c>
      <c r="B265">
        <v>621010004</v>
      </c>
      <c r="C265" t="s">
        <v>7</v>
      </c>
    </row>
    <row r="266" spans="1:3" x14ac:dyDescent="0.35">
      <c r="A266" t="s">
        <v>393</v>
      </c>
      <c r="B266">
        <v>607150002</v>
      </c>
      <c r="C266" t="s">
        <v>7</v>
      </c>
    </row>
    <row r="267" spans="1:3" x14ac:dyDescent="0.35">
      <c r="A267" t="s">
        <v>394</v>
      </c>
      <c r="B267">
        <v>111190001</v>
      </c>
      <c r="C267" t="s">
        <v>7</v>
      </c>
    </row>
    <row r="268" spans="1:3" x14ac:dyDescent="0.35">
      <c r="A268" t="s">
        <v>394</v>
      </c>
      <c r="B268">
        <v>306110001</v>
      </c>
      <c r="C268" t="s">
        <v>7</v>
      </c>
    </row>
    <row r="269" spans="1:3" x14ac:dyDescent="0.35">
      <c r="A269" t="s">
        <v>395</v>
      </c>
      <c r="B269">
        <v>609010007</v>
      </c>
      <c r="C269" t="s">
        <v>7</v>
      </c>
    </row>
    <row r="270" spans="1:3" x14ac:dyDescent="0.35">
      <c r="A270" t="s">
        <v>395</v>
      </c>
      <c r="B270" t="s">
        <v>396</v>
      </c>
      <c r="C270" t="s">
        <v>5</v>
      </c>
    </row>
    <row r="271" spans="1:3" x14ac:dyDescent="0.35">
      <c r="A271" t="s">
        <v>397</v>
      </c>
      <c r="B271">
        <v>604040001</v>
      </c>
      <c r="C271" t="s">
        <v>7</v>
      </c>
    </row>
    <row r="272" spans="1:3" x14ac:dyDescent="0.35">
      <c r="A272" t="s">
        <v>398</v>
      </c>
      <c r="B272" t="s">
        <v>399</v>
      </c>
      <c r="C272" t="s">
        <v>5</v>
      </c>
    </row>
    <row r="273" spans="1:3" x14ac:dyDescent="0.35">
      <c r="A273" t="s">
        <v>400</v>
      </c>
      <c r="B273">
        <v>605030002</v>
      </c>
      <c r="C273" t="s">
        <v>7</v>
      </c>
    </row>
    <row r="274" spans="1:3" x14ac:dyDescent="0.35">
      <c r="A274" t="s">
        <v>400</v>
      </c>
      <c r="B274" t="s">
        <v>401</v>
      </c>
      <c r="C274" t="s">
        <v>32</v>
      </c>
    </row>
    <row r="275" spans="1:3" x14ac:dyDescent="0.35">
      <c r="A275" t="s">
        <v>402</v>
      </c>
      <c r="B275" t="s">
        <v>403</v>
      </c>
      <c r="C275" t="s">
        <v>50</v>
      </c>
    </row>
    <row r="276" spans="1:3" x14ac:dyDescent="0.35">
      <c r="A276" t="s">
        <v>404</v>
      </c>
      <c r="B276">
        <v>609020021</v>
      </c>
      <c r="C276" t="s">
        <v>7</v>
      </c>
    </row>
    <row r="277" spans="1:3" x14ac:dyDescent="0.35">
      <c r="A277" t="s">
        <v>405</v>
      </c>
      <c r="B277">
        <v>309280006</v>
      </c>
      <c r="C277" t="s">
        <v>7</v>
      </c>
    </row>
    <row r="278" spans="1:3" x14ac:dyDescent="0.35">
      <c r="A278" t="s">
        <v>406</v>
      </c>
      <c r="B278">
        <v>604060003</v>
      </c>
      <c r="C278" t="s">
        <v>7</v>
      </c>
    </row>
    <row r="279" spans="1:3" x14ac:dyDescent="0.35">
      <c r="A279" t="s">
        <v>406</v>
      </c>
      <c r="B279" t="s">
        <v>407</v>
      </c>
      <c r="C279" t="s">
        <v>5</v>
      </c>
    </row>
    <row r="280" spans="1:3" x14ac:dyDescent="0.35">
      <c r="A280" t="s">
        <v>408</v>
      </c>
      <c r="B280" t="s">
        <v>409</v>
      </c>
      <c r="C280" t="s">
        <v>32</v>
      </c>
    </row>
    <row r="281" spans="1:3" x14ac:dyDescent="0.35">
      <c r="A281" t="s">
        <v>410</v>
      </c>
      <c r="B281">
        <v>603180006</v>
      </c>
      <c r="C281" t="s">
        <v>7</v>
      </c>
    </row>
    <row r="282" spans="1:3" x14ac:dyDescent="0.35">
      <c r="A282" t="s">
        <v>411</v>
      </c>
      <c r="B282">
        <v>603180002</v>
      </c>
      <c r="C282" t="s">
        <v>7</v>
      </c>
    </row>
    <row r="283" spans="1:3" x14ac:dyDescent="0.35">
      <c r="A283" t="s">
        <v>412</v>
      </c>
      <c r="B283">
        <v>604040002</v>
      </c>
      <c r="C283" t="s">
        <v>7</v>
      </c>
    </row>
    <row r="284" spans="1:3" x14ac:dyDescent="0.35">
      <c r="A284" t="s">
        <v>412</v>
      </c>
      <c r="B284" t="s">
        <v>413</v>
      </c>
      <c r="C284" t="s">
        <v>5</v>
      </c>
    </row>
    <row r="285" spans="1:3" x14ac:dyDescent="0.35">
      <c r="A285" t="s">
        <v>414</v>
      </c>
      <c r="B285" t="s">
        <v>415</v>
      </c>
      <c r="C285" t="s">
        <v>32</v>
      </c>
    </row>
    <row r="286" spans="1:3" x14ac:dyDescent="0.35">
      <c r="A286" t="s">
        <v>416</v>
      </c>
      <c r="B286" t="s">
        <v>417</v>
      </c>
      <c r="C286" t="s">
        <v>5</v>
      </c>
    </row>
    <row r="287" spans="1:3" x14ac:dyDescent="0.35">
      <c r="A287" t="s">
        <v>418</v>
      </c>
      <c r="B287">
        <v>602050006</v>
      </c>
      <c r="C287" t="s">
        <v>7</v>
      </c>
    </row>
    <row r="288" spans="1:3" x14ac:dyDescent="0.35">
      <c r="A288" t="s">
        <v>418</v>
      </c>
      <c r="B288">
        <v>607140003</v>
      </c>
      <c r="C288" t="s">
        <v>7</v>
      </c>
    </row>
    <row r="289" spans="1:3" x14ac:dyDescent="0.35">
      <c r="A289" t="s">
        <v>418</v>
      </c>
      <c r="B289" t="s">
        <v>419</v>
      </c>
      <c r="C289" t="s">
        <v>5</v>
      </c>
    </row>
    <row r="290" spans="1:3" x14ac:dyDescent="0.35">
      <c r="A290" t="s">
        <v>418</v>
      </c>
      <c r="B290" t="s">
        <v>420</v>
      </c>
      <c r="C290" t="s">
        <v>32</v>
      </c>
    </row>
    <row r="291" spans="1:3" x14ac:dyDescent="0.35">
      <c r="A291" t="s">
        <v>421</v>
      </c>
      <c r="B291">
        <v>604050003</v>
      </c>
      <c r="C291" t="s">
        <v>7</v>
      </c>
    </row>
    <row r="292" spans="1:3" x14ac:dyDescent="0.35">
      <c r="A292" t="s">
        <v>422</v>
      </c>
      <c r="B292" t="s">
        <v>423</v>
      </c>
      <c r="C292" t="s">
        <v>5</v>
      </c>
    </row>
    <row r="293" spans="1:3" x14ac:dyDescent="0.35">
      <c r="A293" t="s">
        <v>424</v>
      </c>
      <c r="B293">
        <v>605120004</v>
      </c>
      <c r="C293" t="s">
        <v>7</v>
      </c>
    </row>
    <row r="294" spans="1:3" x14ac:dyDescent="0.35">
      <c r="A294" t="s">
        <v>425</v>
      </c>
      <c r="B294">
        <v>604080005</v>
      </c>
      <c r="C294" t="s">
        <v>7</v>
      </c>
    </row>
    <row r="295" spans="1:3" x14ac:dyDescent="0.35">
      <c r="A295" t="s">
        <v>425</v>
      </c>
      <c r="B295" t="s">
        <v>426</v>
      </c>
      <c r="C295" t="s">
        <v>50</v>
      </c>
    </row>
    <row r="296" spans="1:3" x14ac:dyDescent="0.35">
      <c r="A296" t="s">
        <v>425</v>
      </c>
      <c r="B296" t="s">
        <v>427</v>
      </c>
      <c r="C296" t="s">
        <v>5</v>
      </c>
    </row>
    <row r="297" spans="1:3" x14ac:dyDescent="0.35">
      <c r="A297" t="s">
        <v>428</v>
      </c>
      <c r="B297" t="s">
        <v>429</v>
      </c>
      <c r="C297" t="s">
        <v>32</v>
      </c>
    </row>
    <row r="298" spans="1:3" x14ac:dyDescent="0.35">
      <c r="A298" t="s">
        <v>430</v>
      </c>
      <c r="B298" t="s">
        <v>431</v>
      </c>
      <c r="C298" t="s">
        <v>5</v>
      </c>
    </row>
    <row r="299" spans="1:3" x14ac:dyDescent="0.35">
      <c r="A299" t="s">
        <v>432</v>
      </c>
      <c r="B299" t="s">
        <v>433</v>
      </c>
      <c r="C299" t="s">
        <v>50</v>
      </c>
    </row>
    <row r="300" spans="1:3" x14ac:dyDescent="0.35">
      <c r="A300" t="s">
        <v>434</v>
      </c>
      <c r="B300" t="s">
        <v>435</v>
      </c>
      <c r="C300" t="s">
        <v>5</v>
      </c>
    </row>
    <row r="301" spans="1:3" x14ac:dyDescent="0.35">
      <c r="A301" t="s">
        <v>436</v>
      </c>
      <c r="B301" t="s">
        <v>437</v>
      </c>
      <c r="C301" t="s">
        <v>5</v>
      </c>
    </row>
    <row r="302" spans="1:3" x14ac:dyDescent="0.35">
      <c r="A302" t="s">
        <v>438</v>
      </c>
      <c r="B302" t="s">
        <v>439</v>
      </c>
      <c r="C302" t="s">
        <v>5</v>
      </c>
    </row>
    <row r="303" spans="1:3" x14ac:dyDescent="0.35">
      <c r="A303" t="s">
        <v>440</v>
      </c>
      <c r="B303">
        <v>605090001</v>
      </c>
      <c r="C303" t="s">
        <v>7</v>
      </c>
    </row>
    <row r="304" spans="1:3" x14ac:dyDescent="0.35">
      <c r="A304" t="s">
        <v>441</v>
      </c>
      <c r="B304">
        <v>111050009</v>
      </c>
      <c r="C304" t="s">
        <v>7</v>
      </c>
    </row>
    <row r="305" spans="1:3" x14ac:dyDescent="0.35">
      <c r="A305" t="s">
        <v>442</v>
      </c>
      <c r="B305" t="s">
        <v>443</v>
      </c>
      <c r="C305" t="s">
        <v>5</v>
      </c>
    </row>
    <row r="306" spans="1:3" x14ac:dyDescent="0.35">
      <c r="A306" t="s">
        <v>444</v>
      </c>
      <c r="B306">
        <v>609050008</v>
      </c>
      <c r="C306" t="s">
        <v>7</v>
      </c>
    </row>
    <row r="307" spans="1:3" x14ac:dyDescent="0.35">
      <c r="A307" t="s">
        <v>445</v>
      </c>
      <c r="B307">
        <v>605120005</v>
      </c>
      <c r="C307" t="s">
        <v>7</v>
      </c>
    </row>
    <row r="308" spans="1:3" x14ac:dyDescent="0.35">
      <c r="A308" t="s">
        <v>445</v>
      </c>
      <c r="B308">
        <v>607120012</v>
      </c>
      <c r="C308" t="s">
        <v>7</v>
      </c>
    </row>
    <row r="309" spans="1:3" x14ac:dyDescent="0.35">
      <c r="A309" t="s">
        <v>446</v>
      </c>
      <c r="B309" t="s">
        <v>447</v>
      </c>
      <c r="C309" t="s">
        <v>5</v>
      </c>
    </row>
    <row r="310" spans="1:3" x14ac:dyDescent="0.35">
      <c r="A310" t="s">
        <v>448</v>
      </c>
      <c r="B310" t="s">
        <v>449</v>
      </c>
      <c r="C310" t="s">
        <v>5</v>
      </c>
    </row>
    <row r="311" spans="1:3" x14ac:dyDescent="0.35">
      <c r="A311" t="s">
        <v>450</v>
      </c>
      <c r="B311">
        <v>609010008</v>
      </c>
      <c r="C311" t="s">
        <v>7</v>
      </c>
    </row>
    <row r="312" spans="1:3" x14ac:dyDescent="0.35">
      <c r="A312" t="s">
        <v>451</v>
      </c>
      <c r="B312">
        <v>604160001</v>
      </c>
      <c r="C312" t="s">
        <v>7</v>
      </c>
    </row>
    <row r="313" spans="1:3" x14ac:dyDescent="0.35">
      <c r="A313" t="s">
        <v>452</v>
      </c>
      <c r="B313" t="s">
        <v>453</v>
      </c>
      <c r="C313" t="s">
        <v>32</v>
      </c>
    </row>
    <row r="314" spans="1:3" x14ac:dyDescent="0.35">
      <c r="A314" t="s">
        <v>452</v>
      </c>
      <c r="B314" t="s">
        <v>454</v>
      </c>
      <c r="C314" t="s">
        <v>5</v>
      </c>
    </row>
    <row r="315" spans="1:3" x14ac:dyDescent="0.35">
      <c r="A315" t="s">
        <v>455</v>
      </c>
      <c r="B315" t="s">
        <v>456</v>
      </c>
      <c r="C315" t="s">
        <v>5</v>
      </c>
    </row>
    <row r="316" spans="1:3" x14ac:dyDescent="0.35">
      <c r="A316" t="s">
        <v>457</v>
      </c>
      <c r="B316">
        <v>605010002</v>
      </c>
      <c r="C316" t="s">
        <v>7</v>
      </c>
    </row>
    <row r="317" spans="1:3" x14ac:dyDescent="0.35">
      <c r="A317" t="s">
        <v>457</v>
      </c>
      <c r="B317" t="s">
        <v>458</v>
      </c>
      <c r="C317" t="s">
        <v>32</v>
      </c>
    </row>
    <row r="318" spans="1:3" x14ac:dyDescent="0.35">
      <c r="A318" t="s">
        <v>459</v>
      </c>
      <c r="B318">
        <v>316080004</v>
      </c>
      <c r="C318" t="s">
        <v>7</v>
      </c>
    </row>
    <row r="319" spans="1:3" x14ac:dyDescent="0.35">
      <c r="A319" t="s">
        <v>460</v>
      </c>
      <c r="B319" t="s">
        <v>461</v>
      </c>
      <c r="C319" t="s">
        <v>5</v>
      </c>
    </row>
    <row r="320" spans="1:3" x14ac:dyDescent="0.35">
      <c r="A320" t="s">
        <v>462</v>
      </c>
      <c r="B320" t="s">
        <v>463</v>
      </c>
      <c r="C320" t="s">
        <v>5</v>
      </c>
    </row>
    <row r="321" spans="1:3" x14ac:dyDescent="0.35">
      <c r="A321" t="s">
        <v>464</v>
      </c>
      <c r="B321">
        <v>621070003</v>
      </c>
      <c r="C321" t="s">
        <v>7</v>
      </c>
    </row>
    <row r="322" spans="1:3" x14ac:dyDescent="0.35">
      <c r="A322" t="s">
        <v>464</v>
      </c>
      <c r="B322" t="s">
        <v>465</v>
      </c>
      <c r="C322" t="s">
        <v>5</v>
      </c>
    </row>
    <row r="323" spans="1:3" x14ac:dyDescent="0.35">
      <c r="A323" t="s">
        <v>466</v>
      </c>
      <c r="B323" t="s">
        <v>467</v>
      </c>
      <c r="C323" t="s">
        <v>5</v>
      </c>
    </row>
    <row r="324" spans="1:3" x14ac:dyDescent="0.35">
      <c r="A324" t="s">
        <v>468</v>
      </c>
      <c r="B324">
        <v>604110002</v>
      </c>
      <c r="C324" t="s">
        <v>7</v>
      </c>
    </row>
    <row r="325" spans="1:3" x14ac:dyDescent="0.35">
      <c r="A325" t="s">
        <v>469</v>
      </c>
      <c r="B325" t="s">
        <v>470</v>
      </c>
      <c r="C325" t="s">
        <v>5</v>
      </c>
    </row>
    <row r="326" spans="1:3" x14ac:dyDescent="0.35">
      <c r="A326" t="s">
        <v>471</v>
      </c>
      <c r="B326">
        <v>614020019</v>
      </c>
      <c r="C326" t="s">
        <v>7</v>
      </c>
    </row>
    <row r="327" spans="1:3" x14ac:dyDescent="0.35">
      <c r="A327" t="s">
        <v>472</v>
      </c>
      <c r="B327">
        <v>621070004</v>
      </c>
      <c r="C327" t="s">
        <v>7</v>
      </c>
    </row>
    <row r="328" spans="1:3" x14ac:dyDescent="0.35">
      <c r="A328" t="s">
        <v>473</v>
      </c>
      <c r="B328">
        <v>603060021</v>
      </c>
      <c r="C328" t="s">
        <v>7</v>
      </c>
    </row>
    <row r="329" spans="1:3" x14ac:dyDescent="0.35">
      <c r="A329" t="s">
        <v>473</v>
      </c>
      <c r="B329">
        <v>609050009</v>
      </c>
      <c r="C329" t="s">
        <v>7</v>
      </c>
    </row>
    <row r="330" spans="1:3" x14ac:dyDescent="0.35">
      <c r="A330" t="s">
        <v>473</v>
      </c>
      <c r="B330" t="s">
        <v>474</v>
      </c>
      <c r="C330" t="s">
        <v>5</v>
      </c>
    </row>
    <row r="331" spans="1:3" x14ac:dyDescent="0.35">
      <c r="A331" t="s">
        <v>475</v>
      </c>
      <c r="B331">
        <v>621050007</v>
      </c>
      <c r="C331" t="s">
        <v>7</v>
      </c>
    </row>
    <row r="332" spans="1:3" x14ac:dyDescent="0.35">
      <c r="A332" t="s">
        <v>476</v>
      </c>
      <c r="B332">
        <v>621080005</v>
      </c>
      <c r="C332" t="s">
        <v>7</v>
      </c>
    </row>
    <row r="333" spans="1:3" x14ac:dyDescent="0.35">
      <c r="A333" t="s">
        <v>477</v>
      </c>
      <c r="B333">
        <v>605160001</v>
      </c>
      <c r="C333" t="s">
        <v>7</v>
      </c>
    </row>
    <row r="334" spans="1:3" x14ac:dyDescent="0.35">
      <c r="A334" t="s">
        <v>478</v>
      </c>
      <c r="B334" t="s">
        <v>479</v>
      </c>
      <c r="C334" t="s">
        <v>5</v>
      </c>
    </row>
    <row r="335" spans="1:3" x14ac:dyDescent="0.35">
      <c r="A335" t="s">
        <v>480</v>
      </c>
      <c r="B335" t="s">
        <v>481</v>
      </c>
      <c r="C335" t="s">
        <v>5</v>
      </c>
    </row>
    <row r="336" spans="1:3" x14ac:dyDescent="0.35">
      <c r="A336" t="s">
        <v>482</v>
      </c>
      <c r="B336">
        <v>309050004</v>
      </c>
      <c r="C336" t="s">
        <v>7</v>
      </c>
    </row>
    <row r="337" spans="1:3" x14ac:dyDescent="0.35">
      <c r="A337" t="s">
        <v>482</v>
      </c>
      <c r="B337" t="s">
        <v>483</v>
      </c>
      <c r="C337" t="s">
        <v>5</v>
      </c>
    </row>
    <row r="338" spans="1:3" x14ac:dyDescent="0.35">
      <c r="A338" t="s">
        <v>484</v>
      </c>
      <c r="B338" t="s">
        <v>485</v>
      </c>
      <c r="C338" t="s">
        <v>5</v>
      </c>
    </row>
    <row r="339" spans="1:3" x14ac:dyDescent="0.35">
      <c r="A339" t="s">
        <v>486</v>
      </c>
      <c r="B339" t="s">
        <v>487</v>
      </c>
      <c r="C339" t="s">
        <v>5</v>
      </c>
    </row>
    <row r="340" spans="1:3" x14ac:dyDescent="0.35">
      <c r="A340" t="s">
        <v>488</v>
      </c>
      <c r="B340">
        <v>306110002</v>
      </c>
      <c r="C340" t="s">
        <v>7</v>
      </c>
    </row>
    <row r="341" spans="1:3" x14ac:dyDescent="0.35">
      <c r="A341" t="s">
        <v>489</v>
      </c>
      <c r="B341">
        <v>604020003</v>
      </c>
      <c r="C341" t="s">
        <v>7</v>
      </c>
    </row>
    <row r="342" spans="1:3" x14ac:dyDescent="0.35">
      <c r="A342" t="s">
        <v>490</v>
      </c>
      <c r="B342">
        <v>612050002</v>
      </c>
      <c r="C342" t="s">
        <v>7</v>
      </c>
    </row>
    <row r="343" spans="1:3" x14ac:dyDescent="0.35">
      <c r="A343" t="s">
        <v>490</v>
      </c>
      <c r="B343" t="s">
        <v>491</v>
      </c>
      <c r="C343" t="s">
        <v>5</v>
      </c>
    </row>
    <row r="344" spans="1:3" x14ac:dyDescent="0.35">
      <c r="A344" t="s">
        <v>492</v>
      </c>
      <c r="B344">
        <v>614240005</v>
      </c>
      <c r="C344" t="s">
        <v>7</v>
      </c>
    </row>
    <row r="345" spans="1:3" x14ac:dyDescent="0.35">
      <c r="A345" t="s">
        <v>493</v>
      </c>
      <c r="B345">
        <v>605080006</v>
      </c>
      <c r="C345" t="s">
        <v>7</v>
      </c>
    </row>
    <row r="346" spans="1:3" x14ac:dyDescent="0.35">
      <c r="A346" t="s">
        <v>493</v>
      </c>
      <c r="B346" t="s">
        <v>494</v>
      </c>
      <c r="C346" t="s">
        <v>5</v>
      </c>
    </row>
    <row r="347" spans="1:3" x14ac:dyDescent="0.35">
      <c r="A347" t="s">
        <v>495</v>
      </c>
      <c r="B347">
        <v>604070001</v>
      </c>
      <c r="C347" t="s">
        <v>7</v>
      </c>
    </row>
    <row r="348" spans="1:3" x14ac:dyDescent="0.35">
      <c r="A348" t="s">
        <v>495</v>
      </c>
      <c r="B348" t="s">
        <v>496</v>
      </c>
      <c r="C348" t="s">
        <v>5</v>
      </c>
    </row>
    <row r="349" spans="1:3" x14ac:dyDescent="0.35">
      <c r="A349" t="s">
        <v>497</v>
      </c>
      <c r="B349" t="s">
        <v>498</v>
      </c>
      <c r="C349" t="s">
        <v>5</v>
      </c>
    </row>
    <row r="350" spans="1:3" x14ac:dyDescent="0.35">
      <c r="A350" t="s">
        <v>499</v>
      </c>
      <c r="B350" t="s">
        <v>500</v>
      </c>
      <c r="C350" t="s">
        <v>5</v>
      </c>
    </row>
    <row r="351" spans="1:3" x14ac:dyDescent="0.35">
      <c r="A351" t="s">
        <v>501</v>
      </c>
      <c r="B351">
        <v>604030016</v>
      </c>
      <c r="C351" t="s">
        <v>7</v>
      </c>
    </row>
    <row r="352" spans="1:3" x14ac:dyDescent="0.35">
      <c r="A352" t="s">
        <v>502</v>
      </c>
      <c r="B352">
        <v>605050001</v>
      </c>
      <c r="C352" t="s">
        <v>7</v>
      </c>
    </row>
    <row r="353" spans="1:3" x14ac:dyDescent="0.35">
      <c r="A353" t="s">
        <v>503</v>
      </c>
      <c r="B353" t="s">
        <v>504</v>
      </c>
      <c r="C353" t="s">
        <v>5</v>
      </c>
    </row>
    <row r="354" spans="1:3" x14ac:dyDescent="0.35">
      <c r="A354" t="s">
        <v>505</v>
      </c>
      <c r="B354">
        <v>607080015</v>
      </c>
      <c r="C354" t="s">
        <v>7</v>
      </c>
    </row>
    <row r="355" spans="1:3" x14ac:dyDescent="0.35">
      <c r="A355" t="s">
        <v>505</v>
      </c>
      <c r="B355" t="s">
        <v>506</v>
      </c>
      <c r="C355" t="s">
        <v>5</v>
      </c>
    </row>
    <row r="356" spans="1:3" x14ac:dyDescent="0.35">
      <c r="A356" t="s">
        <v>507</v>
      </c>
      <c r="B356">
        <v>604070003</v>
      </c>
      <c r="C356" t="s">
        <v>7</v>
      </c>
    </row>
    <row r="357" spans="1:3" x14ac:dyDescent="0.35">
      <c r="A357" t="s">
        <v>508</v>
      </c>
      <c r="B357">
        <v>309080005</v>
      </c>
      <c r="C357" t="s">
        <v>7</v>
      </c>
    </row>
    <row r="358" spans="1:3" x14ac:dyDescent="0.35">
      <c r="A358" t="s">
        <v>509</v>
      </c>
      <c r="B358" t="s">
        <v>510</v>
      </c>
      <c r="C358" t="s">
        <v>5</v>
      </c>
    </row>
    <row r="359" spans="1:3" x14ac:dyDescent="0.35">
      <c r="A359" t="s">
        <v>511</v>
      </c>
      <c r="B359" t="s">
        <v>512</v>
      </c>
      <c r="C359" t="s">
        <v>5</v>
      </c>
    </row>
    <row r="360" spans="1:3" x14ac:dyDescent="0.35">
      <c r="A360" t="s">
        <v>513</v>
      </c>
      <c r="B360">
        <v>605090002</v>
      </c>
      <c r="C360" t="s">
        <v>7</v>
      </c>
    </row>
    <row r="361" spans="1:3" x14ac:dyDescent="0.35">
      <c r="A361" t="s">
        <v>514</v>
      </c>
      <c r="B361" t="s">
        <v>515</v>
      </c>
      <c r="C361" t="s">
        <v>5</v>
      </c>
    </row>
    <row r="362" spans="1:3" x14ac:dyDescent="0.35">
      <c r="A362" t="s">
        <v>516</v>
      </c>
      <c r="B362" t="s">
        <v>517</v>
      </c>
      <c r="C362" t="s">
        <v>5</v>
      </c>
    </row>
    <row r="363" spans="1:3" x14ac:dyDescent="0.35">
      <c r="A363" t="s">
        <v>518</v>
      </c>
      <c r="B363">
        <v>605020011</v>
      </c>
      <c r="C363" t="s">
        <v>7</v>
      </c>
    </row>
    <row r="364" spans="1:3" x14ac:dyDescent="0.35">
      <c r="A364" t="s">
        <v>518</v>
      </c>
      <c r="B364" t="s">
        <v>519</v>
      </c>
      <c r="C364" t="s">
        <v>32</v>
      </c>
    </row>
    <row r="365" spans="1:3" x14ac:dyDescent="0.35">
      <c r="A365" t="s">
        <v>518</v>
      </c>
      <c r="B365" t="s">
        <v>520</v>
      </c>
      <c r="C365" t="s">
        <v>5</v>
      </c>
    </row>
    <row r="366" spans="1:3" x14ac:dyDescent="0.35">
      <c r="A366" t="s">
        <v>521</v>
      </c>
      <c r="B366">
        <v>604130034</v>
      </c>
      <c r="C366" t="s">
        <v>7</v>
      </c>
    </row>
    <row r="367" spans="1:3" x14ac:dyDescent="0.35">
      <c r="A367" t="s">
        <v>522</v>
      </c>
      <c r="B367" t="s">
        <v>523</v>
      </c>
      <c r="C367" t="s">
        <v>5</v>
      </c>
    </row>
    <row r="368" spans="1:3" x14ac:dyDescent="0.35">
      <c r="A368" t="s">
        <v>524</v>
      </c>
      <c r="B368">
        <v>607010024</v>
      </c>
      <c r="C368" t="s">
        <v>7</v>
      </c>
    </row>
    <row r="369" spans="1:3" x14ac:dyDescent="0.35">
      <c r="A369" t="s">
        <v>524</v>
      </c>
      <c r="B369" t="s">
        <v>525</v>
      </c>
      <c r="C369" t="s">
        <v>32</v>
      </c>
    </row>
    <row r="370" spans="1:3" x14ac:dyDescent="0.35">
      <c r="A370" t="s">
        <v>526</v>
      </c>
      <c r="B370">
        <v>607190009</v>
      </c>
      <c r="C370" t="s">
        <v>7</v>
      </c>
    </row>
    <row r="371" spans="1:3" x14ac:dyDescent="0.35">
      <c r="A371" t="s">
        <v>526</v>
      </c>
      <c r="B371" t="s">
        <v>527</v>
      </c>
      <c r="C371" t="s">
        <v>5</v>
      </c>
    </row>
    <row r="372" spans="1:3" x14ac:dyDescent="0.35">
      <c r="A372" t="s">
        <v>528</v>
      </c>
      <c r="B372" t="s">
        <v>529</v>
      </c>
      <c r="C372" t="s">
        <v>5</v>
      </c>
    </row>
    <row r="373" spans="1:3" x14ac:dyDescent="0.35">
      <c r="A373" t="s">
        <v>530</v>
      </c>
      <c r="B373">
        <v>117020012</v>
      </c>
      <c r="C373" t="s">
        <v>7</v>
      </c>
    </row>
    <row r="374" spans="1:3" x14ac:dyDescent="0.35">
      <c r="A374" t="s">
        <v>531</v>
      </c>
      <c r="B374">
        <v>604050002</v>
      </c>
      <c r="C374" t="s">
        <v>7</v>
      </c>
    </row>
    <row r="375" spans="1:3" x14ac:dyDescent="0.35">
      <c r="A375" t="s">
        <v>532</v>
      </c>
      <c r="B375">
        <v>602030005</v>
      </c>
      <c r="C375" t="s">
        <v>7</v>
      </c>
    </row>
    <row r="376" spans="1:3" x14ac:dyDescent="0.35">
      <c r="A376" t="s">
        <v>533</v>
      </c>
      <c r="B376">
        <v>612060002</v>
      </c>
      <c r="C376" t="s">
        <v>7</v>
      </c>
    </row>
    <row r="377" spans="1:3" x14ac:dyDescent="0.35">
      <c r="A377" t="s">
        <v>534</v>
      </c>
      <c r="B377" t="s">
        <v>535</v>
      </c>
      <c r="C377" t="s">
        <v>5</v>
      </c>
    </row>
    <row r="378" spans="1:3" x14ac:dyDescent="0.35">
      <c r="A378" t="s">
        <v>536</v>
      </c>
      <c r="B378" t="s">
        <v>537</v>
      </c>
      <c r="C378" t="s">
        <v>5</v>
      </c>
    </row>
    <row r="379" spans="1:3" x14ac:dyDescent="0.35">
      <c r="A379" t="s">
        <v>538</v>
      </c>
      <c r="B379">
        <v>317220003</v>
      </c>
      <c r="C379" t="s">
        <v>7</v>
      </c>
    </row>
    <row r="380" spans="1:3" x14ac:dyDescent="0.35">
      <c r="A380" t="s">
        <v>538</v>
      </c>
      <c r="B380" t="s">
        <v>539</v>
      </c>
      <c r="C380" t="s">
        <v>50</v>
      </c>
    </row>
    <row r="381" spans="1:3" x14ac:dyDescent="0.35">
      <c r="A381" t="s">
        <v>540</v>
      </c>
      <c r="B381">
        <v>603120002</v>
      </c>
      <c r="C381" t="s">
        <v>7</v>
      </c>
    </row>
    <row r="382" spans="1:3" x14ac:dyDescent="0.35">
      <c r="A382" t="s">
        <v>541</v>
      </c>
      <c r="B382">
        <v>306080006</v>
      </c>
      <c r="C382" t="s">
        <v>7</v>
      </c>
    </row>
    <row r="383" spans="1:3" x14ac:dyDescent="0.35">
      <c r="A383" t="s">
        <v>542</v>
      </c>
      <c r="B383">
        <v>320040007</v>
      </c>
      <c r="C383" t="s">
        <v>7</v>
      </c>
    </row>
    <row r="384" spans="1:3" x14ac:dyDescent="0.35">
      <c r="A384" t="s">
        <v>542</v>
      </c>
      <c r="B384">
        <v>612030001</v>
      </c>
      <c r="C384" t="s">
        <v>7</v>
      </c>
    </row>
    <row r="385" spans="1:3" x14ac:dyDescent="0.35">
      <c r="A385" t="s">
        <v>542</v>
      </c>
      <c r="B385">
        <v>612060003</v>
      </c>
      <c r="C385" t="s">
        <v>7</v>
      </c>
    </row>
    <row r="386" spans="1:3" x14ac:dyDescent="0.35">
      <c r="A386" t="s">
        <v>542</v>
      </c>
      <c r="B386">
        <v>614060001</v>
      </c>
      <c r="C386" t="s">
        <v>7</v>
      </c>
    </row>
    <row r="387" spans="1:3" x14ac:dyDescent="0.35">
      <c r="A387" t="s">
        <v>542</v>
      </c>
      <c r="B387" t="s">
        <v>543</v>
      </c>
      <c r="C387" t="s">
        <v>5</v>
      </c>
    </row>
    <row r="388" spans="1:3" x14ac:dyDescent="0.35">
      <c r="A388" t="s">
        <v>544</v>
      </c>
      <c r="B388" t="s">
        <v>545</v>
      </c>
      <c r="C388" t="s">
        <v>5</v>
      </c>
    </row>
    <row r="389" spans="1:3" x14ac:dyDescent="0.35">
      <c r="A389" t="s">
        <v>546</v>
      </c>
      <c r="B389">
        <v>316280005</v>
      </c>
      <c r="C389" t="s">
        <v>7</v>
      </c>
    </row>
    <row r="390" spans="1:3" x14ac:dyDescent="0.35">
      <c r="A390" t="s">
        <v>547</v>
      </c>
      <c r="B390">
        <v>614020014</v>
      </c>
      <c r="C390" t="s">
        <v>7</v>
      </c>
    </row>
    <row r="391" spans="1:3" x14ac:dyDescent="0.35">
      <c r="A391" t="s">
        <v>548</v>
      </c>
      <c r="B391">
        <v>614030002</v>
      </c>
      <c r="C391" t="s">
        <v>7</v>
      </c>
    </row>
    <row r="392" spans="1:3" x14ac:dyDescent="0.35">
      <c r="A392" t="s">
        <v>549</v>
      </c>
      <c r="B392">
        <v>614230002</v>
      </c>
      <c r="C392" t="s">
        <v>7</v>
      </c>
    </row>
    <row r="393" spans="1:3" x14ac:dyDescent="0.35">
      <c r="A393" t="s">
        <v>550</v>
      </c>
      <c r="B393">
        <v>320050003</v>
      </c>
      <c r="C393" t="s">
        <v>7</v>
      </c>
    </row>
    <row r="394" spans="1:3" x14ac:dyDescent="0.35">
      <c r="A394" t="s">
        <v>550</v>
      </c>
      <c r="B394" t="s">
        <v>551</v>
      </c>
      <c r="C394" t="s">
        <v>5</v>
      </c>
    </row>
    <row r="395" spans="1:3" x14ac:dyDescent="0.35">
      <c r="A395" t="s">
        <v>552</v>
      </c>
      <c r="B395" t="s">
        <v>553</v>
      </c>
      <c r="C395" t="s">
        <v>5</v>
      </c>
    </row>
    <row r="396" spans="1:3" x14ac:dyDescent="0.35">
      <c r="A396" t="s">
        <v>554</v>
      </c>
      <c r="B396" t="s">
        <v>555</v>
      </c>
      <c r="C396" t="s">
        <v>5</v>
      </c>
    </row>
    <row r="397" spans="1:3" x14ac:dyDescent="0.35">
      <c r="A397" t="s">
        <v>556</v>
      </c>
      <c r="B397" t="s">
        <v>557</v>
      </c>
      <c r="C397" t="s">
        <v>5</v>
      </c>
    </row>
    <row r="398" spans="1:3" x14ac:dyDescent="0.35">
      <c r="A398" t="s">
        <v>558</v>
      </c>
      <c r="B398">
        <v>605070026</v>
      </c>
      <c r="C398" t="s">
        <v>7</v>
      </c>
    </row>
    <row r="399" spans="1:3" x14ac:dyDescent="0.35">
      <c r="A399" t="s">
        <v>559</v>
      </c>
      <c r="B399" t="s">
        <v>560</v>
      </c>
      <c r="C399" t="s">
        <v>50</v>
      </c>
    </row>
    <row r="400" spans="1:3" x14ac:dyDescent="0.35">
      <c r="A400" t="s">
        <v>561</v>
      </c>
      <c r="B400">
        <v>609050025</v>
      </c>
      <c r="C400" t="s">
        <v>7</v>
      </c>
    </row>
    <row r="401" spans="1:3" x14ac:dyDescent="0.35">
      <c r="A401" t="s">
        <v>562</v>
      </c>
      <c r="B401" t="s">
        <v>563</v>
      </c>
      <c r="C401" t="s">
        <v>5</v>
      </c>
    </row>
    <row r="402" spans="1:3" x14ac:dyDescent="0.35">
      <c r="A402" t="s">
        <v>564</v>
      </c>
      <c r="B402">
        <v>614210014</v>
      </c>
      <c r="C402" t="s">
        <v>7</v>
      </c>
    </row>
    <row r="403" spans="1:3" x14ac:dyDescent="0.35">
      <c r="A403" t="s">
        <v>565</v>
      </c>
      <c r="B403" t="s">
        <v>566</v>
      </c>
      <c r="C403" t="s">
        <v>5</v>
      </c>
    </row>
    <row r="404" spans="1:3" x14ac:dyDescent="0.35">
      <c r="A404" t="s">
        <v>567</v>
      </c>
      <c r="B404">
        <v>603130009</v>
      </c>
      <c r="C404" t="s">
        <v>7</v>
      </c>
    </row>
    <row r="405" spans="1:3" x14ac:dyDescent="0.35">
      <c r="A405" t="s">
        <v>567</v>
      </c>
      <c r="B405" t="s">
        <v>568</v>
      </c>
      <c r="C405" t="s">
        <v>5</v>
      </c>
    </row>
    <row r="406" spans="1:3" x14ac:dyDescent="0.35">
      <c r="A406" t="s">
        <v>569</v>
      </c>
      <c r="B406">
        <v>607120002</v>
      </c>
      <c r="C406" t="s">
        <v>7</v>
      </c>
    </row>
    <row r="407" spans="1:3" x14ac:dyDescent="0.35">
      <c r="A407" t="s">
        <v>569</v>
      </c>
      <c r="B407">
        <v>609020025</v>
      </c>
      <c r="C407" t="s">
        <v>7</v>
      </c>
    </row>
    <row r="408" spans="1:3" x14ac:dyDescent="0.35">
      <c r="A408" t="s">
        <v>569</v>
      </c>
      <c r="B408" t="s">
        <v>570</v>
      </c>
      <c r="C408" t="s">
        <v>5</v>
      </c>
    </row>
    <row r="409" spans="1:3" x14ac:dyDescent="0.35">
      <c r="A409" t="s">
        <v>571</v>
      </c>
      <c r="B409" t="s">
        <v>572</v>
      </c>
      <c r="C409" t="s">
        <v>5</v>
      </c>
    </row>
    <row r="410" spans="1:3" x14ac:dyDescent="0.35">
      <c r="A410" t="s">
        <v>573</v>
      </c>
      <c r="B410">
        <v>607070014</v>
      </c>
      <c r="C410" t="s">
        <v>7</v>
      </c>
    </row>
    <row r="411" spans="1:3" x14ac:dyDescent="0.35">
      <c r="A411" t="s">
        <v>574</v>
      </c>
      <c r="B411" t="s">
        <v>575</v>
      </c>
      <c r="C411" t="s">
        <v>5</v>
      </c>
    </row>
    <row r="412" spans="1:3" x14ac:dyDescent="0.35">
      <c r="A412" t="s">
        <v>576</v>
      </c>
      <c r="B412" t="s">
        <v>577</v>
      </c>
      <c r="C412" t="s">
        <v>32</v>
      </c>
    </row>
    <row r="413" spans="1:3" x14ac:dyDescent="0.35">
      <c r="A413" t="s">
        <v>578</v>
      </c>
      <c r="B413">
        <v>605130010</v>
      </c>
      <c r="C413" t="s">
        <v>7</v>
      </c>
    </row>
    <row r="414" spans="1:3" x14ac:dyDescent="0.35">
      <c r="A414" t="s">
        <v>578</v>
      </c>
      <c r="B414" t="s">
        <v>579</v>
      </c>
      <c r="C414" t="s">
        <v>50</v>
      </c>
    </row>
    <row r="415" spans="1:3" x14ac:dyDescent="0.35">
      <c r="A415" t="s">
        <v>580</v>
      </c>
      <c r="B415">
        <v>306080007</v>
      </c>
      <c r="C415" t="s">
        <v>7</v>
      </c>
    </row>
    <row r="416" spans="1:3" x14ac:dyDescent="0.35">
      <c r="A416" t="s">
        <v>581</v>
      </c>
      <c r="B416">
        <v>612170003</v>
      </c>
      <c r="C416" t="s">
        <v>7</v>
      </c>
    </row>
    <row r="417" spans="1:3" x14ac:dyDescent="0.35">
      <c r="A417" t="s">
        <v>582</v>
      </c>
      <c r="B417">
        <v>309050006</v>
      </c>
      <c r="C417" t="s">
        <v>7</v>
      </c>
    </row>
    <row r="418" spans="1:3" x14ac:dyDescent="0.35">
      <c r="A418" t="s">
        <v>582</v>
      </c>
      <c r="B418" t="s">
        <v>583</v>
      </c>
      <c r="C418" t="s">
        <v>5</v>
      </c>
    </row>
    <row r="419" spans="1:3" x14ac:dyDescent="0.35">
      <c r="A419" t="s">
        <v>584</v>
      </c>
      <c r="B419">
        <v>609030003</v>
      </c>
      <c r="C419" t="s">
        <v>7</v>
      </c>
    </row>
    <row r="420" spans="1:3" x14ac:dyDescent="0.35">
      <c r="A420" t="s">
        <v>584</v>
      </c>
      <c r="B420" t="s">
        <v>585</v>
      </c>
      <c r="C420" t="s">
        <v>5</v>
      </c>
    </row>
    <row r="421" spans="1:3" x14ac:dyDescent="0.35">
      <c r="A421" t="s">
        <v>586</v>
      </c>
      <c r="B421">
        <v>603120003</v>
      </c>
      <c r="C421" t="s">
        <v>7</v>
      </c>
    </row>
    <row r="422" spans="1:3" x14ac:dyDescent="0.35">
      <c r="A422" t="s">
        <v>586</v>
      </c>
      <c r="B422">
        <v>609040012</v>
      </c>
      <c r="C422" t="s">
        <v>7</v>
      </c>
    </row>
    <row r="423" spans="1:3" x14ac:dyDescent="0.35">
      <c r="A423" t="s">
        <v>586</v>
      </c>
      <c r="B423" t="s">
        <v>587</v>
      </c>
      <c r="C423" t="s">
        <v>50</v>
      </c>
    </row>
    <row r="424" spans="1:3" x14ac:dyDescent="0.35">
      <c r="A424" t="s">
        <v>588</v>
      </c>
      <c r="B424">
        <v>604100060</v>
      </c>
      <c r="C424" t="s">
        <v>7</v>
      </c>
    </row>
    <row r="425" spans="1:3" x14ac:dyDescent="0.35">
      <c r="A425" t="s">
        <v>589</v>
      </c>
      <c r="B425">
        <v>618080011</v>
      </c>
      <c r="C425" t="s">
        <v>7</v>
      </c>
    </row>
    <row r="426" spans="1:3" x14ac:dyDescent="0.35">
      <c r="A426" t="s">
        <v>590</v>
      </c>
      <c r="B426" t="s">
        <v>591</v>
      </c>
      <c r="C426" t="s">
        <v>5</v>
      </c>
    </row>
    <row r="427" spans="1:3" x14ac:dyDescent="0.35">
      <c r="A427" t="s">
        <v>592</v>
      </c>
      <c r="B427">
        <v>607020010</v>
      </c>
      <c r="C427" t="s">
        <v>7</v>
      </c>
    </row>
    <row r="428" spans="1:3" x14ac:dyDescent="0.35">
      <c r="A428" t="s">
        <v>592</v>
      </c>
      <c r="B428" t="s">
        <v>593</v>
      </c>
      <c r="C428" t="s">
        <v>5</v>
      </c>
    </row>
    <row r="429" spans="1:3" x14ac:dyDescent="0.35">
      <c r="A429" t="s">
        <v>594</v>
      </c>
      <c r="B429">
        <v>604200001</v>
      </c>
      <c r="C429" t="s">
        <v>7</v>
      </c>
    </row>
    <row r="430" spans="1:3" x14ac:dyDescent="0.35">
      <c r="A430" t="s">
        <v>595</v>
      </c>
      <c r="B430">
        <v>621010022</v>
      </c>
      <c r="C430" t="s">
        <v>7</v>
      </c>
    </row>
    <row r="431" spans="1:3" x14ac:dyDescent="0.35">
      <c r="A431" t="s">
        <v>596</v>
      </c>
      <c r="B431" t="s">
        <v>597</v>
      </c>
      <c r="C431" t="s">
        <v>5</v>
      </c>
    </row>
    <row r="432" spans="1:3" x14ac:dyDescent="0.35">
      <c r="A432" t="s">
        <v>598</v>
      </c>
      <c r="B432">
        <v>309050007</v>
      </c>
      <c r="C432" t="s">
        <v>7</v>
      </c>
    </row>
    <row r="433" spans="1:3" x14ac:dyDescent="0.35">
      <c r="A433" t="s">
        <v>599</v>
      </c>
      <c r="B433">
        <v>605110013</v>
      </c>
      <c r="C433" t="s">
        <v>7</v>
      </c>
    </row>
    <row r="434" spans="1:3" x14ac:dyDescent="0.35">
      <c r="A434" t="s">
        <v>599</v>
      </c>
      <c r="B434" t="s">
        <v>600</v>
      </c>
      <c r="C434" t="s">
        <v>5</v>
      </c>
    </row>
    <row r="435" spans="1:3" x14ac:dyDescent="0.35">
      <c r="A435" t="s">
        <v>601</v>
      </c>
      <c r="B435" t="s">
        <v>602</v>
      </c>
      <c r="C435" t="s">
        <v>50</v>
      </c>
    </row>
    <row r="436" spans="1:3" x14ac:dyDescent="0.35">
      <c r="A436" t="s">
        <v>603</v>
      </c>
      <c r="B436" t="s">
        <v>604</v>
      </c>
      <c r="C436" t="s">
        <v>5</v>
      </c>
    </row>
    <row r="437" spans="1:3" x14ac:dyDescent="0.35">
      <c r="A437" t="s">
        <v>605</v>
      </c>
      <c r="B437" t="s">
        <v>606</v>
      </c>
      <c r="C437" t="s">
        <v>5</v>
      </c>
    </row>
    <row r="438" spans="1:3" x14ac:dyDescent="0.35">
      <c r="A438" t="s">
        <v>607</v>
      </c>
      <c r="B438" t="s">
        <v>608</v>
      </c>
      <c r="C438" t="s">
        <v>32</v>
      </c>
    </row>
    <row r="439" spans="1:3" x14ac:dyDescent="0.35">
      <c r="A439" t="s">
        <v>607</v>
      </c>
      <c r="B439" t="s">
        <v>609</v>
      </c>
      <c r="C439" t="s">
        <v>50</v>
      </c>
    </row>
    <row r="440" spans="1:3" x14ac:dyDescent="0.35">
      <c r="A440" t="s">
        <v>610</v>
      </c>
      <c r="B440" t="s">
        <v>611</v>
      </c>
      <c r="C440" t="s">
        <v>5</v>
      </c>
    </row>
    <row r="441" spans="1:3" x14ac:dyDescent="0.35">
      <c r="A441" t="s">
        <v>612</v>
      </c>
      <c r="B441">
        <v>621030022</v>
      </c>
      <c r="C441" t="s">
        <v>7</v>
      </c>
    </row>
    <row r="442" spans="1:3" x14ac:dyDescent="0.35">
      <c r="A442" t="s">
        <v>613</v>
      </c>
      <c r="B442">
        <v>604170003</v>
      </c>
      <c r="C442" t="s">
        <v>7</v>
      </c>
    </row>
    <row r="443" spans="1:3" x14ac:dyDescent="0.35">
      <c r="A443" t="s">
        <v>613</v>
      </c>
      <c r="B443" t="s">
        <v>614</v>
      </c>
      <c r="C443" t="s">
        <v>5</v>
      </c>
    </row>
    <row r="444" spans="1:3" x14ac:dyDescent="0.35">
      <c r="A444" t="s">
        <v>615</v>
      </c>
      <c r="B444" t="s">
        <v>616</v>
      </c>
      <c r="C444" t="s">
        <v>5</v>
      </c>
    </row>
    <row r="445" spans="1:3" x14ac:dyDescent="0.35">
      <c r="A445" t="s">
        <v>617</v>
      </c>
      <c r="B445">
        <v>609050010</v>
      </c>
      <c r="C445" t="s">
        <v>7</v>
      </c>
    </row>
    <row r="446" spans="1:3" x14ac:dyDescent="0.35">
      <c r="A446" t="s">
        <v>618</v>
      </c>
      <c r="B446">
        <v>607040001</v>
      </c>
      <c r="C446" t="s">
        <v>7</v>
      </c>
    </row>
    <row r="447" spans="1:3" x14ac:dyDescent="0.35">
      <c r="A447" t="s">
        <v>619</v>
      </c>
      <c r="B447">
        <v>609010004</v>
      </c>
      <c r="C447" t="s">
        <v>7</v>
      </c>
    </row>
    <row r="448" spans="1:3" x14ac:dyDescent="0.35">
      <c r="A448" t="s">
        <v>619</v>
      </c>
      <c r="B448" t="s">
        <v>620</v>
      </c>
      <c r="C448" t="s">
        <v>32</v>
      </c>
    </row>
    <row r="449" spans="1:3" x14ac:dyDescent="0.35">
      <c r="A449" t="s">
        <v>621</v>
      </c>
      <c r="B449">
        <v>609060001</v>
      </c>
      <c r="C449" t="s">
        <v>7</v>
      </c>
    </row>
    <row r="450" spans="1:3" x14ac:dyDescent="0.35">
      <c r="A450" t="s">
        <v>622</v>
      </c>
      <c r="B450">
        <v>612230009</v>
      </c>
      <c r="C450" t="s">
        <v>7</v>
      </c>
    </row>
    <row r="451" spans="1:3" x14ac:dyDescent="0.35">
      <c r="A451" t="s">
        <v>623</v>
      </c>
      <c r="B451" t="s">
        <v>624</v>
      </c>
      <c r="C451" t="s">
        <v>5</v>
      </c>
    </row>
    <row r="452" spans="1:3" x14ac:dyDescent="0.35">
      <c r="A452" t="s">
        <v>625</v>
      </c>
      <c r="B452">
        <v>607120003</v>
      </c>
      <c r="C452" t="s">
        <v>7</v>
      </c>
    </row>
    <row r="453" spans="1:3" x14ac:dyDescent="0.35">
      <c r="A453" t="s">
        <v>626</v>
      </c>
      <c r="B453">
        <v>604170004</v>
      </c>
      <c r="C453" t="s">
        <v>7</v>
      </c>
    </row>
    <row r="454" spans="1:3" x14ac:dyDescent="0.35">
      <c r="A454" t="s">
        <v>627</v>
      </c>
      <c r="B454">
        <v>317020012</v>
      </c>
      <c r="C454" t="s">
        <v>7</v>
      </c>
    </row>
    <row r="455" spans="1:3" x14ac:dyDescent="0.35">
      <c r="A455" t="s">
        <v>628</v>
      </c>
      <c r="B455" t="s">
        <v>629</v>
      </c>
      <c r="C455" t="s">
        <v>5</v>
      </c>
    </row>
    <row r="456" spans="1:3" x14ac:dyDescent="0.35">
      <c r="A456" t="s">
        <v>630</v>
      </c>
      <c r="B456">
        <v>604200008</v>
      </c>
      <c r="C456" t="s">
        <v>7</v>
      </c>
    </row>
    <row r="457" spans="1:3" x14ac:dyDescent="0.35">
      <c r="A457" t="s">
        <v>631</v>
      </c>
      <c r="B457" t="s">
        <v>632</v>
      </c>
      <c r="C457" t="s">
        <v>5</v>
      </c>
    </row>
    <row r="458" spans="1:3" x14ac:dyDescent="0.35">
      <c r="A458" t="s">
        <v>633</v>
      </c>
      <c r="B458" t="s">
        <v>634</v>
      </c>
      <c r="C458" t="s">
        <v>5</v>
      </c>
    </row>
    <row r="459" spans="1:3" x14ac:dyDescent="0.35">
      <c r="A459" t="s">
        <v>635</v>
      </c>
      <c r="B459">
        <v>605050002</v>
      </c>
      <c r="C459" t="s">
        <v>7</v>
      </c>
    </row>
    <row r="460" spans="1:3" x14ac:dyDescent="0.35">
      <c r="A460" t="s">
        <v>636</v>
      </c>
      <c r="B460">
        <v>605050013</v>
      </c>
      <c r="C460" t="s">
        <v>7</v>
      </c>
    </row>
    <row r="461" spans="1:3" x14ac:dyDescent="0.35">
      <c r="A461" t="s">
        <v>637</v>
      </c>
      <c r="B461">
        <v>614030014</v>
      </c>
      <c r="C461" t="s">
        <v>7</v>
      </c>
    </row>
    <row r="462" spans="1:3" x14ac:dyDescent="0.35">
      <c r="A462" t="s">
        <v>638</v>
      </c>
      <c r="B462" t="s">
        <v>639</v>
      </c>
      <c r="C462" t="s">
        <v>5</v>
      </c>
    </row>
    <row r="463" spans="1:3" x14ac:dyDescent="0.35">
      <c r="A463" t="s">
        <v>640</v>
      </c>
      <c r="B463">
        <v>316280006</v>
      </c>
      <c r="C463" t="s">
        <v>7</v>
      </c>
    </row>
    <row r="464" spans="1:3" x14ac:dyDescent="0.35">
      <c r="A464" t="s">
        <v>641</v>
      </c>
      <c r="B464">
        <v>614070012</v>
      </c>
      <c r="C464" t="s">
        <v>7</v>
      </c>
    </row>
    <row r="465" spans="1:3" x14ac:dyDescent="0.35">
      <c r="A465" t="s">
        <v>642</v>
      </c>
      <c r="B465">
        <v>605110016</v>
      </c>
      <c r="C465" t="s">
        <v>7</v>
      </c>
    </row>
    <row r="466" spans="1:3" x14ac:dyDescent="0.35">
      <c r="A466" t="s">
        <v>643</v>
      </c>
      <c r="B466">
        <v>614050002</v>
      </c>
      <c r="C466" t="s">
        <v>7</v>
      </c>
    </row>
    <row r="467" spans="1:3" x14ac:dyDescent="0.35">
      <c r="A467" t="s">
        <v>644</v>
      </c>
      <c r="B467">
        <v>614050008</v>
      </c>
      <c r="C467" t="s">
        <v>7</v>
      </c>
    </row>
    <row r="468" spans="1:3" x14ac:dyDescent="0.35">
      <c r="A468" t="s">
        <v>645</v>
      </c>
      <c r="B468" t="s">
        <v>646</v>
      </c>
      <c r="C468" t="s">
        <v>5</v>
      </c>
    </row>
    <row r="469" spans="1:3" x14ac:dyDescent="0.35">
      <c r="A469" t="s">
        <v>647</v>
      </c>
      <c r="B469" t="s">
        <v>648</v>
      </c>
      <c r="C469" t="s">
        <v>5</v>
      </c>
    </row>
    <row r="470" spans="1:3" x14ac:dyDescent="0.35">
      <c r="A470" t="s">
        <v>649</v>
      </c>
      <c r="B470" t="s">
        <v>650</v>
      </c>
      <c r="C470" t="s">
        <v>5</v>
      </c>
    </row>
    <row r="471" spans="1:3" x14ac:dyDescent="0.35">
      <c r="A471" t="s">
        <v>651</v>
      </c>
      <c r="B471" t="s">
        <v>652</v>
      </c>
      <c r="C471" t="s">
        <v>32</v>
      </c>
    </row>
    <row r="472" spans="1:3" x14ac:dyDescent="0.35">
      <c r="A472" t="s">
        <v>653</v>
      </c>
      <c r="B472">
        <v>117020014</v>
      </c>
      <c r="C472" t="s">
        <v>7</v>
      </c>
    </row>
    <row r="473" spans="1:3" x14ac:dyDescent="0.35">
      <c r="A473" t="s">
        <v>653</v>
      </c>
      <c r="B473">
        <v>316130002</v>
      </c>
      <c r="C473" t="s">
        <v>7</v>
      </c>
    </row>
    <row r="474" spans="1:3" x14ac:dyDescent="0.35">
      <c r="A474" t="s">
        <v>654</v>
      </c>
      <c r="B474" t="s">
        <v>655</v>
      </c>
      <c r="C474" t="s">
        <v>50</v>
      </c>
    </row>
    <row r="475" spans="1:3" x14ac:dyDescent="0.35">
      <c r="A475" t="s">
        <v>656</v>
      </c>
      <c r="B475">
        <v>603060020</v>
      </c>
      <c r="C475" t="s">
        <v>7</v>
      </c>
    </row>
    <row r="476" spans="1:3" x14ac:dyDescent="0.35">
      <c r="A476" t="s">
        <v>656</v>
      </c>
      <c r="B476">
        <v>603190008</v>
      </c>
      <c r="C476" t="s">
        <v>7</v>
      </c>
    </row>
    <row r="477" spans="1:3" x14ac:dyDescent="0.35">
      <c r="A477" t="s">
        <v>656</v>
      </c>
      <c r="B477">
        <v>609060016</v>
      </c>
      <c r="C477" t="s">
        <v>7</v>
      </c>
    </row>
    <row r="478" spans="1:3" x14ac:dyDescent="0.35">
      <c r="A478" t="s">
        <v>656</v>
      </c>
      <c r="B478" t="s">
        <v>657</v>
      </c>
      <c r="C478" t="s">
        <v>50</v>
      </c>
    </row>
    <row r="479" spans="1:3" x14ac:dyDescent="0.35">
      <c r="A479" t="s">
        <v>658</v>
      </c>
      <c r="B479" t="s">
        <v>659</v>
      </c>
      <c r="C479" t="s">
        <v>5</v>
      </c>
    </row>
    <row r="480" spans="1:3" x14ac:dyDescent="0.35">
      <c r="A480" t="s">
        <v>660</v>
      </c>
      <c r="B480" t="s">
        <v>661</v>
      </c>
      <c r="C480" t="s">
        <v>5</v>
      </c>
    </row>
    <row r="481" spans="1:3" x14ac:dyDescent="0.35">
      <c r="A481" t="s">
        <v>662</v>
      </c>
      <c r="B481">
        <v>320140003</v>
      </c>
      <c r="C481" t="s">
        <v>7</v>
      </c>
    </row>
    <row r="482" spans="1:3" x14ac:dyDescent="0.35">
      <c r="A482" t="s">
        <v>663</v>
      </c>
      <c r="B482" t="s">
        <v>664</v>
      </c>
      <c r="C482" t="s">
        <v>5</v>
      </c>
    </row>
    <row r="483" spans="1:3" x14ac:dyDescent="0.35">
      <c r="A483" t="s">
        <v>665</v>
      </c>
      <c r="B483">
        <v>605120006</v>
      </c>
      <c r="C483" t="s">
        <v>7</v>
      </c>
    </row>
    <row r="484" spans="1:3" x14ac:dyDescent="0.35">
      <c r="A484" t="s">
        <v>665</v>
      </c>
      <c r="B484" t="s">
        <v>666</v>
      </c>
      <c r="C484" t="s">
        <v>5</v>
      </c>
    </row>
    <row r="485" spans="1:3" x14ac:dyDescent="0.35">
      <c r="A485" t="s">
        <v>667</v>
      </c>
      <c r="B485" t="s">
        <v>668</v>
      </c>
      <c r="C485" t="s">
        <v>5</v>
      </c>
    </row>
    <row r="486" spans="1:3" x14ac:dyDescent="0.35">
      <c r="A486" t="s">
        <v>669</v>
      </c>
      <c r="B486">
        <v>607080003</v>
      </c>
      <c r="C486" t="s">
        <v>7</v>
      </c>
    </row>
    <row r="487" spans="1:3" x14ac:dyDescent="0.35">
      <c r="A487" t="s">
        <v>670</v>
      </c>
      <c r="B487">
        <v>621080008</v>
      </c>
      <c r="C487" t="s">
        <v>7</v>
      </c>
    </row>
    <row r="488" spans="1:3" x14ac:dyDescent="0.35">
      <c r="A488" t="s">
        <v>671</v>
      </c>
      <c r="B488">
        <v>609020002</v>
      </c>
      <c r="C488" t="s">
        <v>7</v>
      </c>
    </row>
    <row r="489" spans="1:3" x14ac:dyDescent="0.35">
      <c r="A489" t="s">
        <v>672</v>
      </c>
      <c r="B489">
        <v>309020022</v>
      </c>
      <c r="C489" t="s">
        <v>7</v>
      </c>
    </row>
    <row r="490" spans="1:3" x14ac:dyDescent="0.35">
      <c r="A490" t="s">
        <v>673</v>
      </c>
      <c r="B490" t="s">
        <v>674</v>
      </c>
      <c r="C490" t="s">
        <v>5</v>
      </c>
    </row>
    <row r="491" spans="1:3" x14ac:dyDescent="0.35">
      <c r="A491" t="s">
        <v>675</v>
      </c>
      <c r="B491" t="s">
        <v>676</v>
      </c>
      <c r="C491" t="s">
        <v>5</v>
      </c>
    </row>
    <row r="492" spans="1:3" x14ac:dyDescent="0.35">
      <c r="A492" t="s">
        <v>677</v>
      </c>
      <c r="B492">
        <v>320230002</v>
      </c>
      <c r="C492" t="s">
        <v>7</v>
      </c>
    </row>
    <row r="493" spans="1:3" x14ac:dyDescent="0.35">
      <c r="A493" t="s">
        <v>677</v>
      </c>
      <c r="B493" t="s">
        <v>678</v>
      </c>
      <c r="C493" t="s">
        <v>32</v>
      </c>
    </row>
    <row r="494" spans="1:3" x14ac:dyDescent="0.35">
      <c r="A494" t="s">
        <v>679</v>
      </c>
      <c r="B494" t="s">
        <v>680</v>
      </c>
      <c r="C494" t="s">
        <v>5</v>
      </c>
    </row>
    <row r="495" spans="1:3" x14ac:dyDescent="0.35">
      <c r="A495" t="s">
        <v>681</v>
      </c>
      <c r="B495">
        <v>603010004</v>
      </c>
      <c r="C495" t="s">
        <v>7</v>
      </c>
    </row>
    <row r="496" spans="1:3" x14ac:dyDescent="0.35">
      <c r="A496" t="s">
        <v>682</v>
      </c>
      <c r="B496">
        <v>607050001</v>
      </c>
      <c r="C496" t="s">
        <v>7</v>
      </c>
    </row>
    <row r="497" spans="1:3" x14ac:dyDescent="0.35">
      <c r="A497" t="s">
        <v>682</v>
      </c>
      <c r="B497" t="s">
        <v>683</v>
      </c>
      <c r="C497" t="s">
        <v>5</v>
      </c>
    </row>
    <row r="498" spans="1:3" x14ac:dyDescent="0.35">
      <c r="A498" t="s">
        <v>684</v>
      </c>
      <c r="B498" t="s">
        <v>685</v>
      </c>
      <c r="C498" t="s">
        <v>5</v>
      </c>
    </row>
    <row r="499" spans="1:3" x14ac:dyDescent="0.35">
      <c r="A499" t="s">
        <v>686</v>
      </c>
      <c r="B499" t="s">
        <v>687</v>
      </c>
      <c r="C499" t="s">
        <v>32</v>
      </c>
    </row>
    <row r="500" spans="1:3" x14ac:dyDescent="0.35">
      <c r="A500" t="s">
        <v>688</v>
      </c>
      <c r="B500" t="s">
        <v>689</v>
      </c>
      <c r="C500" t="s">
        <v>32</v>
      </c>
    </row>
    <row r="501" spans="1:3" x14ac:dyDescent="0.35">
      <c r="A501" t="s">
        <v>688</v>
      </c>
      <c r="B501" t="s">
        <v>690</v>
      </c>
      <c r="C501" t="s">
        <v>50</v>
      </c>
    </row>
    <row r="502" spans="1:3" x14ac:dyDescent="0.35">
      <c r="A502" t="s">
        <v>691</v>
      </c>
      <c r="B502">
        <v>607120013</v>
      </c>
      <c r="C502" t="s">
        <v>7</v>
      </c>
    </row>
    <row r="503" spans="1:3" x14ac:dyDescent="0.35">
      <c r="A503" t="s">
        <v>692</v>
      </c>
      <c r="B503" t="s">
        <v>693</v>
      </c>
      <c r="C503" t="s">
        <v>5</v>
      </c>
    </row>
    <row r="504" spans="1:3" x14ac:dyDescent="0.35">
      <c r="A504" t="s">
        <v>694</v>
      </c>
      <c r="B504" t="s">
        <v>695</v>
      </c>
      <c r="C504" t="s">
        <v>5</v>
      </c>
    </row>
    <row r="505" spans="1:3" x14ac:dyDescent="0.35">
      <c r="A505" t="s">
        <v>696</v>
      </c>
      <c r="B505" t="s">
        <v>697</v>
      </c>
      <c r="C505" t="s">
        <v>5</v>
      </c>
    </row>
    <row r="506" spans="1:3" x14ac:dyDescent="0.35">
      <c r="A506" t="s">
        <v>698</v>
      </c>
      <c r="B506">
        <v>605110017</v>
      </c>
      <c r="C506" t="s">
        <v>7</v>
      </c>
    </row>
    <row r="507" spans="1:3" x14ac:dyDescent="0.35">
      <c r="A507" t="s">
        <v>699</v>
      </c>
      <c r="B507" t="s">
        <v>700</v>
      </c>
      <c r="C507" t="s">
        <v>5</v>
      </c>
    </row>
    <row r="508" spans="1:3" x14ac:dyDescent="0.35">
      <c r="A508" t="s">
        <v>701</v>
      </c>
      <c r="B508" t="s">
        <v>702</v>
      </c>
      <c r="C508" t="s">
        <v>32</v>
      </c>
    </row>
    <row r="509" spans="1:3" x14ac:dyDescent="0.35">
      <c r="A509" t="s">
        <v>701</v>
      </c>
      <c r="B509" t="s">
        <v>703</v>
      </c>
      <c r="C509" t="s">
        <v>50</v>
      </c>
    </row>
    <row r="510" spans="1:3" x14ac:dyDescent="0.35">
      <c r="A510" t="s">
        <v>704</v>
      </c>
      <c r="B510" t="s">
        <v>705</v>
      </c>
      <c r="C510" t="s">
        <v>5</v>
      </c>
    </row>
    <row r="511" spans="1:3" x14ac:dyDescent="0.35">
      <c r="A511" t="s">
        <v>706</v>
      </c>
      <c r="B511">
        <v>604100011</v>
      </c>
      <c r="C511" t="s">
        <v>7</v>
      </c>
    </row>
    <row r="512" spans="1:3" x14ac:dyDescent="0.35">
      <c r="A512" t="s">
        <v>707</v>
      </c>
      <c r="B512">
        <v>621080011</v>
      </c>
      <c r="C512" t="s">
        <v>7</v>
      </c>
    </row>
    <row r="513" spans="1:3" x14ac:dyDescent="0.35">
      <c r="A513" t="s">
        <v>708</v>
      </c>
      <c r="B513">
        <v>609020030</v>
      </c>
      <c r="C513" t="s">
        <v>7</v>
      </c>
    </row>
    <row r="514" spans="1:3" x14ac:dyDescent="0.35">
      <c r="A514" t="s">
        <v>708</v>
      </c>
      <c r="B514" t="s">
        <v>709</v>
      </c>
      <c r="C514" t="s">
        <v>32</v>
      </c>
    </row>
    <row r="515" spans="1:3" x14ac:dyDescent="0.35">
      <c r="A515" t="s">
        <v>710</v>
      </c>
      <c r="B515" t="s">
        <v>711</v>
      </c>
      <c r="C515" t="s">
        <v>5</v>
      </c>
    </row>
    <row r="516" spans="1:3" x14ac:dyDescent="0.35">
      <c r="A516" t="s">
        <v>712</v>
      </c>
      <c r="B516" t="s">
        <v>713</v>
      </c>
      <c r="C516" t="s">
        <v>5</v>
      </c>
    </row>
    <row r="517" spans="1:3" x14ac:dyDescent="0.35">
      <c r="A517" t="s">
        <v>712</v>
      </c>
      <c r="B517" t="s">
        <v>714</v>
      </c>
      <c r="C517" t="s">
        <v>32</v>
      </c>
    </row>
    <row r="518" spans="1:3" x14ac:dyDescent="0.35">
      <c r="A518" t="s">
        <v>715</v>
      </c>
      <c r="B518" t="s">
        <v>716</v>
      </c>
      <c r="C518" t="s">
        <v>5</v>
      </c>
    </row>
    <row r="519" spans="1:3" x14ac:dyDescent="0.35">
      <c r="A519" t="s">
        <v>717</v>
      </c>
      <c r="B519" t="s">
        <v>718</v>
      </c>
      <c r="C519" t="s">
        <v>5</v>
      </c>
    </row>
    <row r="520" spans="1:3" x14ac:dyDescent="0.35">
      <c r="A520" t="s">
        <v>719</v>
      </c>
      <c r="B520">
        <v>604080010</v>
      </c>
      <c r="C520" t="s">
        <v>7</v>
      </c>
    </row>
    <row r="521" spans="1:3" x14ac:dyDescent="0.35">
      <c r="A521" t="s">
        <v>719</v>
      </c>
      <c r="B521" t="s">
        <v>720</v>
      </c>
      <c r="C521" t="s">
        <v>32</v>
      </c>
    </row>
    <row r="522" spans="1:3" x14ac:dyDescent="0.35">
      <c r="A522" t="s">
        <v>721</v>
      </c>
      <c r="B522" t="s">
        <v>722</v>
      </c>
      <c r="C522" t="s">
        <v>50</v>
      </c>
    </row>
    <row r="523" spans="1:3" x14ac:dyDescent="0.35">
      <c r="A523" t="s">
        <v>723</v>
      </c>
      <c r="B523" t="s">
        <v>724</v>
      </c>
      <c r="C523" t="s">
        <v>5</v>
      </c>
    </row>
    <row r="524" spans="1:3" x14ac:dyDescent="0.35">
      <c r="A524" t="s">
        <v>725</v>
      </c>
      <c r="B524" t="s">
        <v>726</v>
      </c>
      <c r="C524" t="s">
        <v>5</v>
      </c>
    </row>
    <row r="525" spans="1:3" x14ac:dyDescent="0.35">
      <c r="A525" t="s">
        <v>727</v>
      </c>
      <c r="B525" t="s">
        <v>728</v>
      </c>
      <c r="C525" t="s">
        <v>5</v>
      </c>
    </row>
    <row r="526" spans="1:3" x14ac:dyDescent="0.35">
      <c r="A526" t="s">
        <v>729</v>
      </c>
      <c r="B526">
        <v>603010034</v>
      </c>
      <c r="C526" t="s">
        <v>7</v>
      </c>
    </row>
    <row r="527" spans="1:3" x14ac:dyDescent="0.35">
      <c r="A527" t="s">
        <v>730</v>
      </c>
      <c r="B527" t="s">
        <v>731</v>
      </c>
      <c r="C527" t="s">
        <v>32</v>
      </c>
    </row>
    <row r="528" spans="1:3" x14ac:dyDescent="0.35">
      <c r="A528" t="s">
        <v>730</v>
      </c>
      <c r="B528" t="s">
        <v>732</v>
      </c>
      <c r="C528" t="s">
        <v>5</v>
      </c>
    </row>
    <row r="529" spans="1:3" x14ac:dyDescent="0.35">
      <c r="A529" t="s">
        <v>733</v>
      </c>
      <c r="B529">
        <v>602070005</v>
      </c>
      <c r="C529" t="s">
        <v>7</v>
      </c>
    </row>
    <row r="530" spans="1:3" x14ac:dyDescent="0.35">
      <c r="A530" t="s">
        <v>734</v>
      </c>
      <c r="B530">
        <v>604030001</v>
      </c>
      <c r="C530" t="s">
        <v>7</v>
      </c>
    </row>
    <row r="531" spans="1:3" x14ac:dyDescent="0.35">
      <c r="A531" t="s">
        <v>735</v>
      </c>
      <c r="B531">
        <v>609040013</v>
      </c>
      <c r="C531" t="s">
        <v>7</v>
      </c>
    </row>
    <row r="532" spans="1:3" x14ac:dyDescent="0.35">
      <c r="A532" t="s">
        <v>735</v>
      </c>
      <c r="B532" t="s">
        <v>736</v>
      </c>
      <c r="C532" t="s">
        <v>5</v>
      </c>
    </row>
    <row r="533" spans="1:3" x14ac:dyDescent="0.35">
      <c r="A533" t="s">
        <v>737</v>
      </c>
      <c r="B533" t="s">
        <v>738</v>
      </c>
      <c r="C533" t="s">
        <v>5</v>
      </c>
    </row>
    <row r="534" spans="1:3" x14ac:dyDescent="0.35">
      <c r="A534" t="s">
        <v>739</v>
      </c>
      <c r="B534" t="s">
        <v>740</v>
      </c>
      <c r="C534" t="s">
        <v>32</v>
      </c>
    </row>
    <row r="535" spans="1:3" x14ac:dyDescent="0.35">
      <c r="A535" t="s">
        <v>741</v>
      </c>
      <c r="B535">
        <v>607100010</v>
      </c>
      <c r="C535" t="s">
        <v>7</v>
      </c>
    </row>
    <row r="536" spans="1:3" x14ac:dyDescent="0.35">
      <c r="A536" t="s">
        <v>742</v>
      </c>
      <c r="B536" t="s">
        <v>743</v>
      </c>
      <c r="C536" t="s">
        <v>5</v>
      </c>
    </row>
    <row r="537" spans="1:3" x14ac:dyDescent="0.35">
      <c r="A537" t="s">
        <v>744</v>
      </c>
      <c r="B537">
        <v>607110011</v>
      </c>
      <c r="C537" t="s">
        <v>7</v>
      </c>
    </row>
    <row r="538" spans="1:3" x14ac:dyDescent="0.35">
      <c r="A538" t="s">
        <v>744</v>
      </c>
      <c r="B538" t="s">
        <v>745</v>
      </c>
      <c r="C538" t="s">
        <v>5</v>
      </c>
    </row>
    <row r="539" spans="1:3" x14ac:dyDescent="0.35">
      <c r="A539" t="s">
        <v>746</v>
      </c>
      <c r="B539" t="s">
        <v>747</v>
      </c>
      <c r="C539" t="s">
        <v>5</v>
      </c>
    </row>
    <row r="540" spans="1:3" x14ac:dyDescent="0.35">
      <c r="A540" t="s">
        <v>748</v>
      </c>
      <c r="B540">
        <v>604050005</v>
      </c>
      <c r="C540" t="s">
        <v>7</v>
      </c>
    </row>
    <row r="541" spans="1:3" x14ac:dyDescent="0.35">
      <c r="A541" t="s">
        <v>749</v>
      </c>
      <c r="B541">
        <v>614020017</v>
      </c>
      <c r="C541" t="s">
        <v>7</v>
      </c>
    </row>
    <row r="542" spans="1:3" x14ac:dyDescent="0.35">
      <c r="A542" t="s">
        <v>750</v>
      </c>
      <c r="B542" t="s">
        <v>751</v>
      </c>
      <c r="C542" t="s">
        <v>5</v>
      </c>
    </row>
    <row r="543" spans="1:3" x14ac:dyDescent="0.35">
      <c r="A543" t="s">
        <v>752</v>
      </c>
      <c r="B543">
        <v>603020002</v>
      </c>
      <c r="C543" t="s">
        <v>7</v>
      </c>
    </row>
    <row r="544" spans="1:3" x14ac:dyDescent="0.35">
      <c r="A544" t="s">
        <v>752</v>
      </c>
      <c r="B544" t="s">
        <v>753</v>
      </c>
      <c r="C544" t="s">
        <v>50</v>
      </c>
    </row>
    <row r="545" spans="1:3" x14ac:dyDescent="0.35">
      <c r="A545" t="s">
        <v>754</v>
      </c>
      <c r="B545" t="s">
        <v>755</v>
      </c>
      <c r="C545" t="s">
        <v>5</v>
      </c>
    </row>
    <row r="546" spans="1:3" x14ac:dyDescent="0.35">
      <c r="A546" t="s">
        <v>756</v>
      </c>
      <c r="B546" t="s">
        <v>757</v>
      </c>
      <c r="C546" t="s">
        <v>5</v>
      </c>
    </row>
    <row r="547" spans="1:3" x14ac:dyDescent="0.35">
      <c r="A547" t="s">
        <v>758</v>
      </c>
      <c r="B547" t="s">
        <v>759</v>
      </c>
      <c r="C547" t="s">
        <v>50</v>
      </c>
    </row>
    <row r="548" spans="1:3" x14ac:dyDescent="0.35">
      <c r="A548" t="s">
        <v>760</v>
      </c>
      <c r="B548">
        <v>621060005</v>
      </c>
      <c r="C548" t="s">
        <v>7</v>
      </c>
    </row>
    <row r="549" spans="1:3" x14ac:dyDescent="0.35">
      <c r="A549" t="s">
        <v>761</v>
      </c>
      <c r="B549">
        <v>621060006</v>
      </c>
      <c r="C549" t="s">
        <v>7</v>
      </c>
    </row>
    <row r="550" spans="1:3" x14ac:dyDescent="0.35">
      <c r="A550" t="s">
        <v>762</v>
      </c>
      <c r="B550">
        <v>621060007</v>
      </c>
      <c r="C550" t="s">
        <v>7</v>
      </c>
    </row>
    <row r="551" spans="1:3" x14ac:dyDescent="0.35">
      <c r="A551" t="s">
        <v>763</v>
      </c>
      <c r="B551" t="s">
        <v>764</v>
      </c>
      <c r="C551" t="s">
        <v>5</v>
      </c>
    </row>
    <row r="552" spans="1:3" x14ac:dyDescent="0.35">
      <c r="A552" t="s">
        <v>765</v>
      </c>
      <c r="B552">
        <v>614060008</v>
      </c>
      <c r="C552" t="s">
        <v>7</v>
      </c>
    </row>
    <row r="553" spans="1:3" x14ac:dyDescent="0.35">
      <c r="A553" t="s">
        <v>765</v>
      </c>
      <c r="B553" t="s">
        <v>766</v>
      </c>
      <c r="C553" t="s">
        <v>5</v>
      </c>
    </row>
    <row r="554" spans="1:3" x14ac:dyDescent="0.35">
      <c r="A554" t="s">
        <v>767</v>
      </c>
      <c r="B554">
        <v>306080008</v>
      </c>
      <c r="C554" t="s">
        <v>7</v>
      </c>
    </row>
    <row r="555" spans="1:3" x14ac:dyDescent="0.35">
      <c r="A555" t="s">
        <v>768</v>
      </c>
      <c r="B555" t="s">
        <v>769</v>
      </c>
      <c r="C555" t="s">
        <v>5</v>
      </c>
    </row>
    <row r="556" spans="1:3" x14ac:dyDescent="0.35">
      <c r="A556" t="s">
        <v>770</v>
      </c>
      <c r="B556">
        <v>609040014</v>
      </c>
      <c r="C556" t="s">
        <v>7</v>
      </c>
    </row>
    <row r="557" spans="1:3" x14ac:dyDescent="0.35">
      <c r="A557" t="s">
        <v>770</v>
      </c>
      <c r="B557" t="s">
        <v>771</v>
      </c>
      <c r="C557" t="s">
        <v>5</v>
      </c>
    </row>
    <row r="558" spans="1:3" x14ac:dyDescent="0.35">
      <c r="A558" t="s">
        <v>772</v>
      </c>
      <c r="B558">
        <v>604030019</v>
      </c>
      <c r="C558" t="s">
        <v>7</v>
      </c>
    </row>
    <row r="559" spans="1:3" x14ac:dyDescent="0.35">
      <c r="A559" t="s">
        <v>773</v>
      </c>
      <c r="B559">
        <v>607010004</v>
      </c>
      <c r="C559" t="s">
        <v>7</v>
      </c>
    </row>
    <row r="560" spans="1:3" x14ac:dyDescent="0.35">
      <c r="A560" t="s">
        <v>773</v>
      </c>
      <c r="B560">
        <v>613200001</v>
      </c>
      <c r="C560" t="s">
        <v>7</v>
      </c>
    </row>
    <row r="561" spans="1:3" x14ac:dyDescent="0.35">
      <c r="A561" t="s">
        <v>773</v>
      </c>
      <c r="B561">
        <v>614060003</v>
      </c>
      <c r="C561" t="s">
        <v>7</v>
      </c>
    </row>
    <row r="562" spans="1:3" x14ac:dyDescent="0.35">
      <c r="A562" t="s">
        <v>773</v>
      </c>
      <c r="B562" t="s">
        <v>774</v>
      </c>
      <c r="C562" t="s">
        <v>5</v>
      </c>
    </row>
    <row r="563" spans="1:3" x14ac:dyDescent="0.35">
      <c r="A563" t="s">
        <v>773</v>
      </c>
      <c r="B563" t="s">
        <v>775</v>
      </c>
      <c r="C563" t="s">
        <v>32</v>
      </c>
    </row>
    <row r="564" spans="1:3" x14ac:dyDescent="0.35">
      <c r="A564" t="s">
        <v>776</v>
      </c>
      <c r="B564" t="s">
        <v>777</v>
      </c>
      <c r="C564" t="s">
        <v>5</v>
      </c>
    </row>
    <row r="565" spans="1:3" x14ac:dyDescent="0.35">
      <c r="A565" t="s">
        <v>778</v>
      </c>
      <c r="B565">
        <v>112220004</v>
      </c>
      <c r="C565" t="s">
        <v>7</v>
      </c>
    </row>
    <row r="566" spans="1:3" x14ac:dyDescent="0.35">
      <c r="A566" t="s">
        <v>779</v>
      </c>
      <c r="B566">
        <v>612150001</v>
      </c>
      <c r="C566" t="s">
        <v>7</v>
      </c>
    </row>
    <row r="567" spans="1:3" x14ac:dyDescent="0.35">
      <c r="A567" t="s">
        <v>779</v>
      </c>
      <c r="B567" t="s">
        <v>780</v>
      </c>
      <c r="C567" t="s">
        <v>32</v>
      </c>
    </row>
    <row r="568" spans="1:3" x14ac:dyDescent="0.35">
      <c r="A568" t="s">
        <v>781</v>
      </c>
      <c r="B568">
        <v>604030028</v>
      </c>
      <c r="C568" t="s">
        <v>7</v>
      </c>
    </row>
    <row r="569" spans="1:3" x14ac:dyDescent="0.35">
      <c r="A569" t="s">
        <v>782</v>
      </c>
      <c r="B569">
        <v>614070013</v>
      </c>
      <c r="C569" t="s">
        <v>7</v>
      </c>
    </row>
    <row r="570" spans="1:3" x14ac:dyDescent="0.35">
      <c r="A570" t="s">
        <v>783</v>
      </c>
      <c r="B570">
        <v>609010010</v>
      </c>
      <c r="C570" t="s">
        <v>7</v>
      </c>
    </row>
    <row r="571" spans="1:3" x14ac:dyDescent="0.35">
      <c r="A571" t="s">
        <v>784</v>
      </c>
      <c r="B571">
        <v>609010035</v>
      </c>
      <c r="C571" t="s">
        <v>7</v>
      </c>
    </row>
    <row r="572" spans="1:3" x14ac:dyDescent="0.35">
      <c r="A572" t="s">
        <v>784</v>
      </c>
      <c r="B572">
        <v>621050009</v>
      </c>
      <c r="C572" t="s">
        <v>7</v>
      </c>
    </row>
    <row r="573" spans="1:3" x14ac:dyDescent="0.35">
      <c r="A573" t="s">
        <v>784</v>
      </c>
      <c r="B573" t="s">
        <v>785</v>
      </c>
      <c r="C573" t="s">
        <v>5</v>
      </c>
    </row>
    <row r="574" spans="1:3" x14ac:dyDescent="0.35">
      <c r="A574" t="s">
        <v>786</v>
      </c>
      <c r="B574" t="s">
        <v>787</v>
      </c>
      <c r="C574" t="s">
        <v>5</v>
      </c>
    </row>
    <row r="575" spans="1:3" x14ac:dyDescent="0.35">
      <c r="A575" t="s">
        <v>788</v>
      </c>
      <c r="B575">
        <v>317150002</v>
      </c>
      <c r="C575" t="s">
        <v>7</v>
      </c>
    </row>
    <row r="576" spans="1:3" x14ac:dyDescent="0.35">
      <c r="A576" t="s">
        <v>789</v>
      </c>
      <c r="B576" t="s">
        <v>790</v>
      </c>
      <c r="C576" t="s">
        <v>5</v>
      </c>
    </row>
    <row r="577" spans="1:3" x14ac:dyDescent="0.35">
      <c r="A577" t="s">
        <v>791</v>
      </c>
      <c r="B577" t="s">
        <v>792</v>
      </c>
      <c r="C577" t="s">
        <v>5</v>
      </c>
    </row>
    <row r="578" spans="1:3" x14ac:dyDescent="0.35">
      <c r="A578" t="s">
        <v>793</v>
      </c>
      <c r="B578" t="s">
        <v>794</v>
      </c>
      <c r="C578" t="s">
        <v>5</v>
      </c>
    </row>
    <row r="579" spans="1:3" x14ac:dyDescent="0.35">
      <c r="A579" t="s">
        <v>795</v>
      </c>
      <c r="B579">
        <v>614240008</v>
      </c>
      <c r="C579" t="s">
        <v>7</v>
      </c>
    </row>
    <row r="580" spans="1:3" x14ac:dyDescent="0.35">
      <c r="A580" t="s">
        <v>796</v>
      </c>
      <c r="B580" t="s">
        <v>797</v>
      </c>
      <c r="C580" t="s">
        <v>5</v>
      </c>
    </row>
    <row r="581" spans="1:3" x14ac:dyDescent="0.35">
      <c r="A581" t="s">
        <v>798</v>
      </c>
      <c r="B581" t="s">
        <v>799</v>
      </c>
      <c r="C581" t="s">
        <v>5</v>
      </c>
    </row>
    <row r="582" spans="1:3" x14ac:dyDescent="0.35">
      <c r="A582" t="s">
        <v>800</v>
      </c>
      <c r="B582" t="s">
        <v>801</v>
      </c>
      <c r="C582" t="s">
        <v>5</v>
      </c>
    </row>
    <row r="583" spans="1:3" x14ac:dyDescent="0.35">
      <c r="A583" t="s">
        <v>802</v>
      </c>
      <c r="B583" t="s">
        <v>803</v>
      </c>
      <c r="C583" t="s">
        <v>5</v>
      </c>
    </row>
    <row r="584" spans="1:3" x14ac:dyDescent="0.35">
      <c r="A584" t="s">
        <v>804</v>
      </c>
      <c r="B584">
        <v>614230004</v>
      </c>
      <c r="C584" t="s">
        <v>7</v>
      </c>
    </row>
    <row r="585" spans="1:3" x14ac:dyDescent="0.35">
      <c r="A585" t="s">
        <v>805</v>
      </c>
      <c r="B585">
        <v>614150004</v>
      </c>
      <c r="C585" t="s">
        <v>7</v>
      </c>
    </row>
    <row r="586" spans="1:3" x14ac:dyDescent="0.35">
      <c r="A586" t="s">
        <v>806</v>
      </c>
      <c r="B586">
        <v>604170006</v>
      </c>
      <c r="C586" t="s">
        <v>7</v>
      </c>
    </row>
    <row r="587" spans="1:3" x14ac:dyDescent="0.35">
      <c r="A587" t="s">
        <v>807</v>
      </c>
      <c r="B587" t="s">
        <v>808</v>
      </c>
      <c r="C587" t="s">
        <v>5</v>
      </c>
    </row>
    <row r="588" spans="1:3" x14ac:dyDescent="0.35">
      <c r="A588" t="s">
        <v>809</v>
      </c>
      <c r="B588" t="s">
        <v>810</v>
      </c>
      <c r="C588" t="s">
        <v>5</v>
      </c>
    </row>
    <row r="589" spans="1:3" x14ac:dyDescent="0.35">
      <c r="A589" t="s">
        <v>811</v>
      </c>
      <c r="B589" t="s">
        <v>812</v>
      </c>
      <c r="C589" t="s">
        <v>32</v>
      </c>
    </row>
    <row r="590" spans="1:3" x14ac:dyDescent="0.35">
      <c r="A590" t="s">
        <v>813</v>
      </c>
      <c r="B590">
        <v>609010005</v>
      </c>
      <c r="C590" t="s">
        <v>7</v>
      </c>
    </row>
    <row r="591" spans="1:3" x14ac:dyDescent="0.35">
      <c r="A591" t="s">
        <v>814</v>
      </c>
      <c r="B591">
        <v>604080011</v>
      </c>
      <c r="C591" t="s">
        <v>7</v>
      </c>
    </row>
    <row r="592" spans="1:3" x14ac:dyDescent="0.35">
      <c r="A592" t="s">
        <v>815</v>
      </c>
      <c r="B592" t="s">
        <v>816</v>
      </c>
      <c r="C592" t="s">
        <v>32</v>
      </c>
    </row>
    <row r="593" spans="1:3" x14ac:dyDescent="0.35">
      <c r="A593" t="s">
        <v>817</v>
      </c>
      <c r="B593">
        <v>621040038</v>
      </c>
      <c r="C593" t="s">
        <v>7</v>
      </c>
    </row>
    <row r="594" spans="1:3" x14ac:dyDescent="0.35">
      <c r="A594" t="s">
        <v>818</v>
      </c>
      <c r="B594" t="s">
        <v>819</v>
      </c>
      <c r="C594" t="s">
        <v>5</v>
      </c>
    </row>
    <row r="595" spans="1:3" x14ac:dyDescent="0.35">
      <c r="A595" t="s">
        <v>820</v>
      </c>
      <c r="B595">
        <v>614230005</v>
      </c>
      <c r="C595" t="s">
        <v>7</v>
      </c>
    </row>
    <row r="596" spans="1:3" x14ac:dyDescent="0.35">
      <c r="A596" t="s">
        <v>821</v>
      </c>
      <c r="B596">
        <v>309230002</v>
      </c>
      <c r="C596" t="s">
        <v>7</v>
      </c>
    </row>
    <row r="597" spans="1:3" x14ac:dyDescent="0.35">
      <c r="A597" t="s">
        <v>822</v>
      </c>
      <c r="B597">
        <v>618080015</v>
      </c>
      <c r="C597" t="s">
        <v>7</v>
      </c>
    </row>
    <row r="598" spans="1:3" x14ac:dyDescent="0.35">
      <c r="A598" t="s">
        <v>823</v>
      </c>
      <c r="B598">
        <v>614060004</v>
      </c>
      <c r="C598" t="s">
        <v>7</v>
      </c>
    </row>
    <row r="599" spans="1:3" x14ac:dyDescent="0.35">
      <c r="A599" t="s">
        <v>824</v>
      </c>
      <c r="B599">
        <v>603020022</v>
      </c>
      <c r="C599" t="s">
        <v>7</v>
      </c>
    </row>
    <row r="600" spans="1:3" x14ac:dyDescent="0.35">
      <c r="A600" t="s">
        <v>825</v>
      </c>
      <c r="B600">
        <v>609020010</v>
      </c>
      <c r="C600" t="s">
        <v>7</v>
      </c>
    </row>
    <row r="601" spans="1:3" x14ac:dyDescent="0.35">
      <c r="A601" t="s">
        <v>826</v>
      </c>
      <c r="B601">
        <v>609010001</v>
      </c>
      <c r="C601" t="s">
        <v>7</v>
      </c>
    </row>
    <row r="602" spans="1:3" x14ac:dyDescent="0.35">
      <c r="A602" t="s">
        <v>827</v>
      </c>
      <c r="B602" t="s">
        <v>828</v>
      </c>
      <c r="C602" t="s">
        <v>5</v>
      </c>
    </row>
    <row r="603" spans="1:3" x14ac:dyDescent="0.35">
      <c r="A603" t="s">
        <v>829</v>
      </c>
      <c r="B603">
        <v>609040015</v>
      </c>
      <c r="C603" t="s">
        <v>7</v>
      </c>
    </row>
    <row r="604" spans="1:3" x14ac:dyDescent="0.35">
      <c r="A604" t="s">
        <v>830</v>
      </c>
      <c r="B604">
        <v>602200002</v>
      </c>
      <c r="C604" t="s">
        <v>7</v>
      </c>
    </row>
    <row r="605" spans="1:3" x14ac:dyDescent="0.35">
      <c r="A605" t="s">
        <v>831</v>
      </c>
      <c r="B605">
        <v>612250004</v>
      </c>
      <c r="C605" t="s">
        <v>7</v>
      </c>
    </row>
    <row r="606" spans="1:3" x14ac:dyDescent="0.35">
      <c r="A606" t="s">
        <v>831</v>
      </c>
      <c r="B606" t="s">
        <v>832</v>
      </c>
      <c r="C606" t="s">
        <v>5</v>
      </c>
    </row>
    <row r="607" spans="1:3" x14ac:dyDescent="0.35">
      <c r="A607" t="s">
        <v>833</v>
      </c>
      <c r="B607" t="s">
        <v>834</v>
      </c>
      <c r="C607" t="s">
        <v>32</v>
      </c>
    </row>
    <row r="608" spans="1:3" x14ac:dyDescent="0.35">
      <c r="A608" t="s">
        <v>835</v>
      </c>
      <c r="B608" t="s">
        <v>836</v>
      </c>
      <c r="C608" t="s">
        <v>50</v>
      </c>
    </row>
    <row r="609" spans="1:3" x14ac:dyDescent="0.35">
      <c r="A609" t="s">
        <v>837</v>
      </c>
      <c r="B609" t="s">
        <v>838</v>
      </c>
      <c r="C609" t="s">
        <v>5</v>
      </c>
    </row>
    <row r="610" spans="1:3" x14ac:dyDescent="0.35">
      <c r="A610" t="s">
        <v>839</v>
      </c>
      <c r="B610">
        <v>605050008</v>
      </c>
      <c r="C610" t="s">
        <v>7</v>
      </c>
    </row>
    <row r="611" spans="1:3" x14ac:dyDescent="0.35">
      <c r="A611" t="s">
        <v>839</v>
      </c>
      <c r="B611">
        <v>612020015</v>
      </c>
      <c r="C611" t="s">
        <v>7</v>
      </c>
    </row>
    <row r="612" spans="1:3" x14ac:dyDescent="0.35">
      <c r="A612" t="s">
        <v>839</v>
      </c>
      <c r="B612" t="s">
        <v>840</v>
      </c>
      <c r="C612" t="s">
        <v>5</v>
      </c>
    </row>
    <row r="613" spans="1:3" x14ac:dyDescent="0.35">
      <c r="A613" t="s">
        <v>841</v>
      </c>
      <c r="B613" t="s">
        <v>842</v>
      </c>
      <c r="C613" t="s">
        <v>5</v>
      </c>
    </row>
    <row r="614" spans="1:3" x14ac:dyDescent="0.35">
      <c r="A614" t="s">
        <v>843</v>
      </c>
      <c r="B614" t="s">
        <v>844</v>
      </c>
      <c r="C614" t="s">
        <v>5</v>
      </c>
    </row>
    <row r="615" spans="1:3" x14ac:dyDescent="0.35">
      <c r="A615" t="s">
        <v>845</v>
      </c>
      <c r="B615">
        <v>609060009</v>
      </c>
      <c r="C615" t="s">
        <v>7</v>
      </c>
    </row>
    <row r="616" spans="1:3" x14ac:dyDescent="0.35">
      <c r="A616" t="s">
        <v>846</v>
      </c>
      <c r="B616">
        <v>620100008</v>
      </c>
      <c r="C616" t="s">
        <v>7</v>
      </c>
    </row>
    <row r="617" spans="1:3" x14ac:dyDescent="0.35">
      <c r="A617" t="s">
        <v>847</v>
      </c>
      <c r="B617" t="s">
        <v>848</v>
      </c>
      <c r="C617" t="s">
        <v>5</v>
      </c>
    </row>
    <row r="618" spans="1:3" x14ac:dyDescent="0.35">
      <c r="A618" t="s">
        <v>849</v>
      </c>
      <c r="B618" t="s">
        <v>850</v>
      </c>
      <c r="C618" t="s">
        <v>5</v>
      </c>
    </row>
    <row r="619" spans="1:3" x14ac:dyDescent="0.35">
      <c r="A619" t="s">
        <v>851</v>
      </c>
      <c r="B619">
        <v>605020012</v>
      </c>
      <c r="C619" t="s">
        <v>7</v>
      </c>
    </row>
    <row r="620" spans="1:3" x14ac:dyDescent="0.35">
      <c r="A620" t="s">
        <v>851</v>
      </c>
      <c r="B620" t="s">
        <v>852</v>
      </c>
      <c r="C620" t="s">
        <v>5</v>
      </c>
    </row>
    <row r="621" spans="1:3" x14ac:dyDescent="0.35">
      <c r="A621" t="s">
        <v>853</v>
      </c>
      <c r="B621" t="s">
        <v>854</v>
      </c>
      <c r="C621" t="s">
        <v>5</v>
      </c>
    </row>
    <row r="622" spans="1:3" x14ac:dyDescent="0.35">
      <c r="A622" t="s">
        <v>855</v>
      </c>
      <c r="B622">
        <v>612010002</v>
      </c>
      <c r="C622" t="s">
        <v>7</v>
      </c>
    </row>
    <row r="623" spans="1:3" x14ac:dyDescent="0.35">
      <c r="A623" t="s">
        <v>855</v>
      </c>
      <c r="B623" t="s">
        <v>856</v>
      </c>
      <c r="C623" t="s">
        <v>5</v>
      </c>
    </row>
    <row r="624" spans="1:3" x14ac:dyDescent="0.35">
      <c r="A624" t="s">
        <v>857</v>
      </c>
      <c r="B624">
        <v>603060005</v>
      </c>
      <c r="C624" t="s">
        <v>7</v>
      </c>
    </row>
    <row r="625" spans="1:3" x14ac:dyDescent="0.35">
      <c r="A625" t="s">
        <v>857</v>
      </c>
      <c r="B625">
        <v>612020016</v>
      </c>
      <c r="C625" t="s">
        <v>7</v>
      </c>
    </row>
    <row r="626" spans="1:3" x14ac:dyDescent="0.35">
      <c r="A626" t="s">
        <v>858</v>
      </c>
      <c r="B626">
        <v>607050003</v>
      </c>
      <c r="C626" t="s">
        <v>7</v>
      </c>
    </row>
    <row r="627" spans="1:3" x14ac:dyDescent="0.35">
      <c r="A627" t="s">
        <v>859</v>
      </c>
      <c r="B627" t="s">
        <v>860</v>
      </c>
      <c r="C627" t="s">
        <v>5</v>
      </c>
    </row>
    <row r="628" spans="1:3" x14ac:dyDescent="0.35">
      <c r="A628" t="s">
        <v>861</v>
      </c>
      <c r="B628" t="s">
        <v>862</v>
      </c>
      <c r="C628" t="s">
        <v>50</v>
      </c>
    </row>
    <row r="629" spans="1:3" x14ac:dyDescent="0.35">
      <c r="A629" t="s">
        <v>863</v>
      </c>
      <c r="B629">
        <v>621050010</v>
      </c>
      <c r="C629" t="s">
        <v>7</v>
      </c>
    </row>
    <row r="630" spans="1:3" x14ac:dyDescent="0.35">
      <c r="A630" t="s">
        <v>864</v>
      </c>
      <c r="B630">
        <v>605110018</v>
      </c>
      <c r="C630" t="s">
        <v>7</v>
      </c>
    </row>
    <row r="631" spans="1:3" x14ac:dyDescent="0.35">
      <c r="A631" t="s">
        <v>865</v>
      </c>
      <c r="B631">
        <v>607190001</v>
      </c>
      <c r="C631" t="s">
        <v>7</v>
      </c>
    </row>
    <row r="632" spans="1:3" x14ac:dyDescent="0.35">
      <c r="A632" t="s">
        <v>865</v>
      </c>
      <c r="B632" t="s">
        <v>866</v>
      </c>
      <c r="C632" t="s">
        <v>50</v>
      </c>
    </row>
    <row r="633" spans="1:3" x14ac:dyDescent="0.35">
      <c r="A633" t="s">
        <v>867</v>
      </c>
      <c r="B633">
        <v>607190007</v>
      </c>
      <c r="C633" t="s">
        <v>7</v>
      </c>
    </row>
    <row r="634" spans="1:3" x14ac:dyDescent="0.35">
      <c r="A634" t="s">
        <v>867</v>
      </c>
      <c r="B634" t="s">
        <v>868</v>
      </c>
      <c r="C634" t="s">
        <v>5</v>
      </c>
    </row>
    <row r="635" spans="1:3" x14ac:dyDescent="0.35">
      <c r="A635" t="s">
        <v>869</v>
      </c>
      <c r="B635" t="s">
        <v>870</v>
      </c>
      <c r="C635" t="s">
        <v>5</v>
      </c>
    </row>
    <row r="636" spans="1:3" x14ac:dyDescent="0.35">
      <c r="A636" t="s">
        <v>869</v>
      </c>
      <c r="B636" t="s">
        <v>871</v>
      </c>
      <c r="C636" t="s">
        <v>32</v>
      </c>
    </row>
    <row r="637" spans="1:3" x14ac:dyDescent="0.35">
      <c r="A637" t="s">
        <v>872</v>
      </c>
      <c r="B637">
        <v>607080016</v>
      </c>
      <c r="C637" t="s">
        <v>7</v>
      </c>
    </row>
    <row r="638" spans="1:3" x14ac:dyDescent="0.35">
      <c r="A638" t="s">
        <v>873</v>
      </c>
      <c r="B638">
        <v>317230010</v>
      </c>
      <c r="C638" t="s">
        <v>7</v>
      </c>
    </row>
    <row r="639" spans="1:3" x14ac:dyDescent="0.35">
      <c r="A639" t="s">
        <v>873</v>
      </c>
      <c r="B639">
        <v>607080017</v>
      </c>
      <c r="C639" t="s">
        <v>7</v>
      </c>
    </row>
    <row r="640" spans="1:3" x14ac:dyDescent="0.35">
      <c r="A640" t="s">
        <v>874</v>
      </c>
      <c r="B640" t="s">
        <v>875</v>
      </c>
      <c r="C640" t="s">
        <v>5</v>
      </c>
    </row>
    <row r="641" spans="1:3" x14ac:dyDescent="0.35">
      <c r="A641" t="s">
        <v>876</v>
      </c>
      <c r="B641">
        <v>602220002</v>
      </c>
      <c r="C641" t="s">
        <v>7</v>
      </c>
    </row>
    <row r="642" spans="1:3" x14ac:dyDescent="0.35">
      <c r="A642" t="s">
        <v>877</v>
      </c>
      <c r="B642" t="s">
        <v>878</v>
      </c>
      <c r="C642" t="s">
        <v>5</v>
      </c>
    </row>
    <row r="643" spans="1:3" x14ac:dyDescent="0.35">
      <c r="A643" t="s">
        <v>879</v>
      </c>
      <c r="B643">
        <v>607080005</v>
      </c>
      <c r="C643" t="s">
        <v>7</v>
      </c>
    </row>
    <row r="644" spans="1:3" x14ac:dyDescent="0.35">
      <c r="A644" t="s">
        <v>880</v>
      </c>
      <c r="B644" t="s">
        <v>881</v>
      </c>
      <c r="C644" t="s">
        <v>32</v>
      </c>
    </row>
    <row r="645" spans="1:3" x14ac:dyDescent="0.35">
      <c r="A645" t="s">
        <v>880</v>
      </c>
      <c r="B645" t="s">
        <v>882</v>
      </c>
      <c r="C645" t="s">
        <v>32</v>
      </c>
    </row>
    <row r="646" spans="1:3" x14ac:dyDescent="0.35">
      <c r="A646" t="s">
        <v>883</v>
      </c>
      <c r="B646" t="s">
        <v>884</v>
      </c>
      <c r="C646" t="s">
        <v>50</v>
      </c>
    </row>
    <row r="647" spans="1:3" x14ac:dyDescent="0.35">
      <c r="A647" t="s">
        <v>885</v>
      </c>
      <c r="B647" t="s">
        <v>886</v>
      </c>
      <c r="C647" t="s">
        <v>5</v>
      </c>
    </row>
    <row r="648" spans="1:3" x14ac:dyDescent="0.35">
      <c r="A648" t="s">
        <v>887</v>
      </c>
      <c r="B648">
        <v>317230011</v>
      </c>
      <c r="C648" t="s">
        <v>7</v>
      </c>
    </row>
    <row r="649" spans="1:3" x14ac:dyDescent="0.35">
      <c r="A649" t="s">
        <v>888</v>
      </c>
      <c r="B649" t="s">
        <v>889</v>
      </c>
      <c r="C649" t="s">
        <v>5</v>
      </c>
    </row>
    <row r="650" spans="1:3" x14ac:dyDescent="0.35">
      <c r="A650" t="s">
        <v>890</v>
      </c>
      <c r="B650" t="s">
        <v>891</v>
      </c>
      <c r="C650" t="s">
        <v>5</v>
      </c>
    </row>
    <row r="651" spans="1:3" x14ac:dyDescent="0.35">
      <c r="A651" t="s">
        <v>892</v>
      </c>
      <c r="B651" t="s">
        <v>893</v>
      </c>
      <c r="C651" t="s">
        <v>5</v>
      </c>
    </row>
    <row r="652" spans="1:3" x14ac:dyDescent="0.35">
      <c r="A652" t="s">
        <v>894</v>
      </c>
      <c r="B652" t="s">
        <v>895</v>
      </c>
      <c r="C652" t="s">
        <v>50</v>
      </c>
    </row>
    <row r="653" spans="1:3" x14ac:dyDescent="0.35">
      <c r="A653" t="s">
        <v>896</v>
      </c>
      <c r="B653" t="s">
        <v>897</v>
      </c>
      <c r="C653" t="s">
        <v>5</v>
      </c>
    </row>
    <row r="654" spans="1:3" x14ac:dyDescent="0.35">
      <c r="A654" t="s">
        <v>898</v>
      </c>
      <c r="B654" t="s">
        <v>899</v>
      </c>
      <c r="C654" t="s">
        <v>5</v>
      </c>
    </row>
    <row r="655" spans="1:3" x14ac:dyDescent="0.35">
      <c r="A655" t="s">
        <v>900</v>
      </c>
      <c r="B655" t="s">
        <v>901</v>
      </c>
      <c r="C655" t="s">
        <v>5</v>
      </c>
    </row>
    <row r="656" spans="1:3" x14ac:dyDescent="0.35">
      <c r="A656" t="s">
        <v>902</v>
      </c>
      <c r="B656">
        <v>605110019</v>
      </c>
      <c r="C656" t="s">
        <v>7</v>
      </c>
    </row>
    <row r="657" spans="1:3" x14ac:dyDescent="0.35">
      <c r="A657" t="s">
        <v>902</v>
      </c>
      <c r="B657" t="s">
        <v>903</v>
      </c>
      <c r="C657" t="s">
        <v>32</v>
      </c>
    </row>
    <row r="658" spans="1:3" x14ac:dyDescent="0.35">
      <c r="A658" t="s">
        <v>902</v>
      </c>
      <c r="B658" t="s">
        <v>904</v>
      </c>
      <c r="C658" t="s">
        <v>50</v>
      </c>
    </row>
    <row r="659" spans="1:3" x14ac:dyDescent="0.35">
      <c r="A659" t="s">
        <v>905</v>
      </c>
      <c r="B659" t="s">
        <v>906</v>
      </c>
      <c r="C659" t="s">
        <v>5</v>
      </c>
    </row>
    <row r="660" spans="1:3" x14ac:dyDescent="0.35">
      <c r="A660" t="s">
        <v>907</v>
      </c>
      <c r="B660" t="s">
        <v>908</v>
      </c>
      <c r="C660" t="s">
        <v>5</v>
      </c>
    </row>
    <row r="661" spans="1:3" x14ac:dyDescent="0.35">
      <c r="A661" t="s">
        <v>909</v>
      </c>
      <c r="B661">
        <v>605130002</v>
      </c>
      <c r="C661" t="s">
        <v>7</v>
      </c>
    </row>
    <row r="662" spans="1:3" x14ac:dyDescent="0.35">
      <c r="A662" t="s">
        <v>909</v>
      </c>
      <c r="B662" t="s">
        <v>910</v>
      </c>
      <c r="C662" t="s">
        <v>50</v>
      </c>
    </row>
    <row r="663" spans="1:3" x14ac:dyDescent="0.35">
      <c r="A663" t="s">
        <v>911</v>
      </c>
      <c r="B663" t="s">
        <v>912</v>
      </c>
      <c r="C663" t="s">
        <v>5</v>
      </c>
    </row>
    <row r="664" spans="1:3" x14ac:dyDescent="0.35">
      <c r="A664" t="s">
        <v>913</v>
      </c>
      <c r="B664">
        <v>621040007</v>
      </c>
      <c r="C664" t="s">
        <v>7</v>
      </c>
    </row>
    <row r="665" spans="1:3" x14ac:dyDescent="0.35">
      <c r="A665" t="s">
        <v>914</v>
      </c>
      <c r="B665">
        <v>320110005</v>
      </c>
      <c r="C665" t="s">
        <v>7</v>
      </c>
    </row>
    <row r="666" spans="1:3" x14ac:dyDescent="0.35">
      <c r="A666" t="s">
        <v>915</v>
      </c>
      <c r="B666">
        <v>609050030</v>
      </c>
      <c r="C666" t="s">
        <v>7</v>
      </c>
    </row>
    <row r="667" spans="1:3" x14ac:dyDescent="0.35">
      <c r="A667" t="s">
        <v>916</v>
      </c>
      <c r="B667" t="s">
        <v>917</v>
      </c>
      <c r="C667" t="s">
        <v>5</v>
      </c>
    </row>
    <row r="668" spans="1:3" x14ac:dyDescent="0.35">
      <c r="A668" t="s">
        <v>918</v>
      </c>
      <c r="B668">
        <v>621030006</v>
      </c>
      <c r="C668" t="s">
        <v>7</v>
      </c>
    </row>
    <row r="669" spans="1:3" x14ac:dyDescent="0.35">
      <c r="A669" t="s">
        <v>919</v>
      </c>
      <c r="B669">
        <v>620130004</v>
      </c>
      <c r="C669" t="s">
        <v>7</v>
      </c>
    </row>
    <row r="670" spans="1:3" x14ac:dyDescent="0.35">
      <c r="A670" t="s">
        <v>920</v>
      </c>
      <c r="B670" t="s">
        <v>921</v>
      </c>
      <c r="C670" t="s">
        <v>5</v>
      </c>
    </row>
    <row r="671" spans="1:3" x14ac:dyDescent="0.35">
      <c r="A671" t="s">
        <v>922</v>
      </c>
      <c r="B671">
        <v>614210003</v>
      </c>
      <c r="C671" t="s">
        <v>7</v>
      </c>
    </row>
    <row r="672" spans="1:3" x14ac:dyDescent="0.35">
      <c r="A672" t="s">
        <v>923</v>
      </c>
      <c r="B672" t="s">
        <v>924</v>
      </c>
      <c r="C672" t="s">
        <v>5</v>
      </c>
    </row>
    <row r="673" spans="1:3" x14ac:dyDescent="0.35">
      <c r="A673" t="s">
        <v>925</v>
      </c>
      <c r="B673" t="s">
        <v>926</v>
      </c>
      <c r="C673" t="s">
        <v>5</v>
      </c>
    </row>
    <row r="674" spans="1:3" x14ac:dyDescent="0.35">
      <c r="A674" t="s">
        <v>927</v>
      </c>
      <c r="B674">
        <v>612230010</v>
      </c>
      <c r="C674" t="s">
        <v>7</v>
      </c>
    </row>
    <row r="675" spans="1:3" x14ac:dyDescent="0.35">
      <c r="A675" t="s">
        <v>927</v>
      </c>
      <c r="B675" t="s">
        <v>928</v>
      </c>
      <c r="C675" t="s">
        <v>32</v>
      </c>
    </row>
    <row r="676" spans="1:3" x14ac:dyDescent="0.35">
      <c r="A676" t="s">
        <v>929</v>
      </c>
      <c r="B676" t="s">
        <v>930</v>
      </c>
      <c r="C676" t="s">
        <v>5</v>
      </c>
    </row>
    <row r="677" spans="1:3" x14ac:dyDescent="0.35">
      <c r="A677" t="s">
        <v>931</v>
      </c>
      <c r="B677" t="s">
        <v>932</v>
      </c>
      <c r="C677" t="s">
        <v>5</v>
      </c>
    </row>
    <row r="678" spans="1:3" x14ac:dyDescent="0.35">
      <c r="A678" t="s">
        <v>933</v>
      </c>
      <c r="B678" t="s">
        <v>934</v>
      </c>
      <c r="C678" t="s">
        <v>5</v>
      </c>
    </row>
    <row r="679" spans="1:3" x14ac:dyDescent="0.35">
      <c r="A679" t="s">
        <v>935</v>
      </c>
      <c r="B679" t="s">
        <v>936</v>
      </c>
      <c r="C679" t="s">
        <v>50</v>
      </c>
    </row>
    <row r="680" spans="1:3" x14ac:dyDescent="0.35">
      <c r="A680" t="s">
        <v>937</v>
      </c>
      <c r="B680">
        <v>614250006</v>
      </c>
      <c r="C680" t="s">
        <v>7</v>
      </c>
    </row>
    <row r="681" spans="1:3" x14ac:dyDescent="0.35">
      <c r="A681" t="s">
        <v>938</v>
      </c>
      <c r="B681" t="s">
        <v>939</v>
      </c>
      <c r="C681" t="s">
        <v>5</v>
      </c>
    </row>
    <row r="682" spans="1:3" x14ac:dyDescent="0.35">
      <c r="A682" t="s">
        <v>940</v>
      </c>
      <c r="B682" t="s">
        <v>941</v>
      </c>
      <c r="C682" t="s">
        <v>5</v>
      </c>
    </row>
    <row r="683" spans="1:3" x14ac:dyDescent="0.35">
      <c r="A683" t="s">
        <v>942</v>
      </c>
      <c r="B683">
        <v>306240006</v>
      </c>
      <c r="C683" t="s">
        <v>7</v>
      </c>
    </row>
    <row r="684" spans="1:3" x14ac:dyDescent="0.35">
      <c r="A684" t="s">
        <v>943</v>
      </c>
      <c r="B684">
        <v>614270001</v>
      </c>
      <c r="C684" t="s">
        <v>7</v>
      </c>
    </row>
    <row r="685" spans="1:3" x14ac:dyDescent="0.35">
      <c r="A685" t="s">
        <v>944</v>
      </c>
      <c r="B685" t="s">
        <v>945</v>
      </c>
      <c r="C685" t="s">
        <v>32</v>
      </c>
    </row>
    <row r="686" spans="1:3" x14ac:dyDescent="0.35">
      <c r="A686" t="s">
        <v>944</v>
      </c>
      <c r="B686" t="s">
        <v>946</v>
      </c>
      <c r="C686" t="s">
        <v>5</v>
      </c>
    </row>
    <row r="687" spans="1:3" x14ac:dyDescent="0.35">
      <c r="A687" t="s">
        <v>947</v>
      </c>
      <c r="B687">
        <v>316050012</v>
      </c>
      <c r="C687" t="s">
        <v>7</v>
      </c>
    </row>
    <row r="688" spans="1:3" x14ac:dyDescent="0.35">
      <c r="A688" t="s">
        <v>947</v>
      </c>
      <c r="B688" t="s">
        <v>948</v>
      </c>
      <c r="C688" t="s">
        <v>50</v>
      </c>
    </row>
    <row r="689" spans="1:3" x14ac:dyDescent="0.35">
      <c r="A689" t="s">
        <v>949</v>
      </c>
      <c r="B689">
        <v>614050010</v>
      </c>
      <c r="C689" t="s">
        <v>7</v>
      </c>
    </row>
    <row r="690" spans="1:3" x14ac:dyDescent="0.35">
      <c r="A690" t="s">
        <v>950</v>
      </c>
      <c r="B690">
        <v>614290001</v>
      </c>
      <c r="C690" t="s">
        <v>7</v>
      </c>
    </row>
    <row r="691" spans="1:3" x14ac:dyDescent="0.35">
      <c r="A691" t="s">
        <v>951</v>
      </c>
      <c r="B691">
        <v>614070001</v>
      </c>
      <c r="C691" t="s">
        <v>7</v>
      </c>
    </row>
    <row r="692" spans="1:3" x14ac:dyDescent="0.35">
      <c r="A692" t="s">
        <v>952</v>
      </c>
      <c r="B692">
        <v>604010002</v>
      </c>
      <c r="C692" t="s">
        <v>7</v>
      </c>
    </row>
    <row r="693" spans="1:3" x14ac:dyDescent="0.35">
      <c r="A693" t="s">
        <v>952</v>
      </c>
      <c r="B693">
        <v>604080050</v>
      </c>
      <c r="C693" t="s">
        <v>7</v>
      </c>
    </row>
    <row r="694" spans="1:3" x14ac:dyDescent="0.35">
      <c r="A694" t="s">
        <v>953</v>
      </c>
      <c r="B694">
        <v>605130011</v>
      </c>
      <c r="C694" t="s">
        <v>7</v>
      </c>
    </row>
    <row r="695" spans="1:3" x14ac:dyDescent="0.35">
      <c r="A695" t="s">
        <v>953</v>
      </c>
      <c r="B695" t="s">
        <v>954</v>
      </c>
      <c r="C695" t="s">
        <v>50</v>
      </c>
    </row>
    <row r="696" spans="1:3" x14ac:dyDescent="0.35">
      <c r="A696" t="s">
        <v>955</v>
      </c>
      <c r="B696" t="s">
        <v>956</v>
      </c>
      <c r="C696" t="s">
        <v>32</v>
      </c>
    </row>
    <row r="697" spans="1:3" x14ac:dyDescent="0.35">
      <c r="A697" t="s">
        <v>955</v>
      </c>
      <c r="B697" t="s">
        <v>957</v>
      </c>
      <c r="C697" t="s">
        <v>5</v>
      </c>
    </row>
    <row r="698" spans="1:3" x14ac:dyDescent="0.35">
      <c r="A698" t="s">
        <v>958</v>
      </c>
      <c r="B698" t="s">
        <v>959</v>
      </c>
      <c r="C698" t="s">
        <v>5</v>
      </c>
    </row>
    <row r="699" spans="1:3" x14ac:dyDescent="0.35">
      <c r="A699" t="s">
        <v>960</v>
      </c>
      <c r="B699" t="s">
        <v>961</v>
      </c>
      <c r="C699" t="s">
        <v>32</v>
      </c>
    </row>
    <row r="700" spans="1:3" x14ac:dyDescent="0.35">
      <c r="A700" t="s">
        <v>962</v>
      </c>
      <c r="B700" t="s">
        <v>963</v>
      </c>
      <c r="C700" t="s">
        <v>5</v>
      </c>
    </row>
    <row r="701" spans="1:3" x14ac:dyDescent="0.35">
      <c r="A701" t="s">
        <v>964</v>
      </c>
      <c r="B701" t="s">
        <v>965</v>
      </c>
      <c r="C701" t="s">
        <v>32</v>
      </c>
    </row>
    <row r="702" spans="1:3" x14ac:dyDescent="0.35">
      <c r="A702" t="s">
        <v>964</v>
      </c>
      <c r="B702" t="s">
        <v>966</v>
      </c>
      <c r="C702" t="s">
        <v>5</v>
      </c>
    </row>
    <row r="703" spans="1:3" x14ac:dyDescent="0.35">
      <c r="A703" t="s">
        <v>967</v>
      </c>
      <c r="B703">
        <v>603160001</v>
      </c>
      <c r="C703" t="s">
        <v>7</v>
      </c>
    </row>
    <row r="704" spans="1:3" x14ac:dyDescent="0.35">
      <c r="A704" t="s">
        <v>968</v>
      </c>
      <c r="B704" t="s">
        <v>969</v>
      </c>
      <c r="C704" t="s">
        <v>5</v>
      </c>
    </row>
    <row r="705" spans="1:3" x14ac:dyDescent="0.35">
      <c r="A705" t="s">
        <v>970</v>
      </c>
      <c r="B705" t="s">
        <v>971</v>
      </c>
      <c r="C705" t="s">
        <v>5</v>
      </c>
    </row>
    <row r="706" spans="1:3" x14ac:dyDescent="0.35">
      <c r="A706" t="s">
        <v>972</v>
      </c>
      <c r="B706">
        <v>604130032</v>
      </c>
      <c r="C706" t="s">
        <v>7</v>
      </c>
    </row>
    <row r="707" spans="1:3" x14ac:dyDescent="0.35">
      <c r="A707" t="s">
        <v>973</v>
      </c>
      <c r="B707">
        <v>614050011</v>
      </c>
      <c r="C707" t="s">
        <v>7</v>
      </c>
    </row>
    <row r="708" spans="1:3" x14ac:dyDescent="0.35">
      <c r="A708" t="s">
        <v>974</v>
      </c>
      <c r="B708">
        <v>612150016</v>
      </c>
      <c r="C708" t="s">
        <v>7</v>
      </c>
    </row>
    <row r="709" spans="1:3" x14ac:dyDescent="0.35">
      <c r="A709" t="s">
        <v>975</v>
      </c>
      <c r="B709">
        <v>604220016</v>
      </c>
      <c r="C709" t="s">
        <v>7</v>
      </c>
    </row>
    <row r="710" spans="1:3" x14ac:dyDescent="0.35">
      <c r="A710" t="s">
        <v>975</v>
      </c>
      <c r="B710">
        <v>621010007</v>
      </c>
      <c r="C710" t="s">
        <v>7</v>
      </c>
    </row>
    <row r="711" spans="1:3" x14ac:dyDescent="0.35">
      <c r="A711" t="s">
        <v>976</v>
      </c>
      <c r="B711" t="s">
        <v>977</v>
      </c>
      <c r="C711" t="s">
        <v>5</v>
      </c>
    </row>
    <row r="712" spans="1:3" x14ac:dyDescent="0.35">
      <c r="A712" t="s">
        <v>978</v>
      </c>
      <c r="B712" t="s">
        <v>979</v>
      </c>
      <c r="C712" t="s">
        <v>5</v>
      </c>
    </row>
    <row r="713" spans="1:3" x14ac:dyDescent="0.35">
      <c r="A713" t="s">
        <v>978</v>
      </c>
      <c r="B713" t="s">
        <v>980</v>
      </c>
      <c r="C713" t="s">
        <v>50</v>
      </c>
    </row>
    <row r="714" spans="1:3" x14ac:dyDescent="0.35">
      <c r="A714" t="s">
        <v>981</v>
      </c>
      <c r="B714" t="s">
        <v>982</v>
      </c>
      <c r="C714" t="s">
        <v>32</v>
      </c>
    </row>
    <row r="715" spans="1:3" x14ac:dyDescent="0.35">
      <c r="A715" t="s">
        <v>983</v>
      </c>
      <c r="B715" t="s">
        <v>984</v>
      </c>
      <c r="C715" t="s">
        <v>50</v>
      </c>
    </row>
    <row r="716" spans="1:3" x14ac:dyDescent="0.35">
      <c r="A716" t="s">
        <v>985</v>
      </c>
      <c r="B716" t="s">
        <v>986</v>
      </c>
      <c r="C716" t="s">
        <v>5</v>
      </c>
    </row>
    <row r="717" spans="1:3" x14ac:dyDescent="0.35">
      <c r="A717" t="s">
        <v>987</v>
      </c>
      <c r="B717">
        <v>614150005</v>
      </c>
      <c r="C717" t="s">
        <v>7</v>
      </c>
    </row>
    <row r="718" spans="1:3" x14ac:dyDescent="0.35">
      <c r="A718" t="s">
        <v>987</v>
      </c>
      <c r="B718">
        <v>614220003</v>
      </c>
      <c r="C718" t="s">
        <v>7</v>
      </c>
    </row>
    <row r="719" spans="1:3" x14ac:dyDescent="0.35">
      <c r="A719" t="s">
        <v>988</v>
      </c>
      <c r="B719" t="s">
        <v>989</v>
      </c>
      <c r="C719" t="s">
        <v>5</v>
      </c>
    </row>
    <row r="720" spans="1:3" x14ac:dyDescent="0.35">
      <c r="A720" t="s">
        <v>990</v>
      </c>
      <c r="B720" t="s">
        <v>991</v>
      </c>
      <c r="C720" t="s">
        <v>5</v>
      </c>
    </row>
    <row r="721" spans="1:3" x14ac:dyDescent="0.35">
      <c r="A721" t="s">
        <v>992</v>
      </c>
      <c r="B721" t="s">
        <v>993</v>
      </c>
      <c r="C721" t="s">
        <v>5</v>
      </c>
    </row>
    <row r="722" spans="1:3" x14ac:dyDescent="0.35">
      <c r="A722" t="s">
        <v>994</v>
      </c>
      <c r="B722">
        <v>621050012</v>
      </c>
      <c r="C722" t="s">
        <v>7</v>
      </c>
    </row>
    <row r="723" spans="1:3" x14ac:dyDescent="0.35">
      <c r="A723" t="s">
        <v>995</v>
      </c>
      <c r="B723">
        <v>605100024</v>
      </c>
      <c r="C723" t="s">
        <v>7</v>
      </c>
    </row>
    <row r="724" spans="1:3" x14ac:dyDescent="0.35">
      <c r="A724" t="s">
        <v>995</v>
      </c>
      <c r="B724">
        <v>607110002</v>
      </c>
      <c r="C724" t="s">
        <v>7</v>
      </c>
    </row>
    <row r="725" spans="1:3" x14ac:dyDescent="0.35">
      <c r="A725" t="s">
        <v>995</v>
      </c>
      <c r="B725" t="s">
        <v>996</v>
      </c>
      <c r="C725" t="s">
        <v>32</v>
      </c>
    </row>
    <row r="726" spans="1:3" x14ac:dyDescent="0.35">
      <c r="A726" t="s">
        <v>995</v>
      </c>
      <c r="B726" t="s">
        <v>997</v>
      </c>
      <c r="C726" t="s">
        <v>50</v>
      </c>
    </row>
    <row r="727" spans="1:3" x14ac:dyDescent="0.35">
      <c r="A727" t="s">
        <v>995</v>
      </c>
      <c r="B727" t="s">
        <v>998</v>
      </c>
      <c r="C727" t="s">
        <v>32</v>
      </c>
    </row>
    <row r="728" spans="1:3" x14ac:dyDescent="0.35">
      <c r="A728" t="s">
        <v>999</v>
      </c>
      <c r="B728">
        <v>607110003</v>
      </c>
      <c r="C728" t="s">
        <v>7</v>
      </c>
    </row>
    <row r="729" spans="1:3" x14ac:dyDescent="0.35">
      <c r="A729" t="s">
        <v>1000</v>
      </c>
      <c r="B729" t="s">
        <v>1001</v>
      </c>
      <c r="C729" t="s">
        <v>50</v>
      </c>
    </row>
    <row r="730" spans="1:3" x14ac:dyDescent="0.35">
      <c r="A730" t="s">
        <v>1002</v>
      </c>
      <c r="B730" t="s">
        <v>1003</v>
      </c>
      <c r="C730" t="s">
        <v>50</v>
      </c>
    </row>
    <row r="731" spans="1:3" x14ac:dyDescent="0.35">
      <c r="A731" t="s">
        <v>1004</v>
      </c>
      <c r="B731">
        <v>607030001</v>
      </c>
      <c r="C731" t="s">
        <v>7</v>
      </c>
    </row>
    <row r="732" spans="1:3" x14ac:dyDescent="0.35">
      <c r="A732" t="s">
        <v>1004</v>
      </c>
      <c r="B732" t="s">
        <v>1005</v>
      </c>
      <c r="C732" t="s">
        <v>5</v>
      </c>
    </row>
    <row r="733" spans="1:3" x14ac:dyDescent="0.35">
      <c r="A733" t="s">
        <v>1006</v>
      </c>
      <c r="B733" t="s">
        <v>1007</v>
      </c>
      <c r="C733" t="s">
        <v>50</v>
      </c>
    </row>
    <row r="734" spans="1:3" x14ac:dyDescent="0.35">
      <c r="A734" t="s">
        <v>1008</v>
      </c>
      <c r="B734" t="s">
        <v>1009</v>
      </c>
      <c r="C734" t="s">
        <v>5</v>
      </c>
    </row>
    <row r="735" spans="1:3" x14ac:dyDescent="0.35">
      <c r="A735" t="s">
        <v>1010</v>
      </c>
      <c r="B735">
        <v>605110020</v>
      </c>
      <c r="C735" t="s">
        <v>7</v>
      </c>
    </row>
    <row r="736" spans="1:3" x14ac:dyDescent="0.35">
      <c r="A736" t="s">
        <v>1011</v>
      </c>
      <c r="B736">
        <v>309330009</v>
      </c>
      <c r="C736" t="s">
        <v>7</v>
      </c>
    </row>
    <row r="737" spans="1:3" x14ac:dyDescent="0.35">
      <c r="A737" t="s">
        <v>1011</v>
      </c>
      <c r="B737" t="s">
        <v>1012</v>
      </c>
      <c r="C737" t="s">
        <v>5</v>
      </c>
    </row>
    <row r="738" spans="1:3" x14ac:dyDescent="0.35">
      <c r="A738" t="s">
        <v>1013</v>
      </c>
      <c r="B738">
        <v>607040004</v>
      </c>
      <c r="C738" t="s">
        <v>7</v>
      </c>
    </row>
    <row r="739" spans="1:3" x14ac:dyDescent="0.35">
      <c r="A739" t="s">
        <v>1014</v>
      </c>
      <c r="B739" t="s">
        <v>1015</v>
      </c>
      <c r="C739" t="s">
        <v>5</v>
      </c>
    </row>
    <row r="740" spans="1:3" x14ac:dyDescent="0.35">
      <c r="A740" t="s">
        <v>1016</v>
      </c>
      <c r="B740" t="s">
        <v>1017</v>
      </c>
      <c r="C740" t="s">
        <v>50</v>
      </c>
    </row>
    <row r="741" spans="1:3" x14ac:dyDescent="0.35">
      <c r="A741" t="s">
        <v>1018</v>
      </c>
      <c r="B741">
        <v>621040008</v>
      </c>
      <c r="C741" t="s">
        <v>7</v>
      </c>
    </row>
    <row r="742" spans="1:3" x14ac:dyDescent="0.35">
      <c r="A742" t="s">
        <v>1019</v>
      </c>
      <c r="B742" t="s">
        <v>1020</v>
      </c>
      <c r="C742" t="s">
        <v>5</v>
      </c>
    </row>
    <row r="743" spans="1:3" x14ac:dyDescent="0.35">
      <c r="A743" t="s">
        <v>1021</v>
      </c>
      <c r="B743">
        <v>603060027</v>
      </c>
      <c r="C743" t="s">
        <v>7</v>
      </c>
    </row>
    <row r="744" spans="1:3" x14ac:dyDescent="0.35">
      <c r="A744" t="s">
        <v>1022</v>
      </c>
      <c r="B744" t="s">
        <v>1023</v>
      </c>
      <c r="C744" t="s">
        <v>5</v>
      </c>
    </row>
    <row r="745" spans="1:3" x14ac:dyDescent="0.35">
      <c r="A745" t="s">
        <v>1024</v>
      </c>
      <c r="B745" t="s">
        <v>1025</v>
      </c>
      <c r="C745" t="s">
        <v>32</v>
      </c>
    </row>
    <row r="746" spans="1:3" x14ac:dyDescent="0.35">
      <c r="A746" t="s">
        <v>1026</v>
      </c>
      <c r="B746" t="s">
        <v>1027</v>
      </c>
      <c r="C746" t="s">
        <v>5</v>
      </c>
    </row>
    <row r="747" spans="1:3" x14ac:dyDescent="0.35">
      <c r="A747" t="s">
        <v>1028</v>
      </c>
      <c r="B747">
        <v>603060006</v>
      </c>
      <c r="C747" t="s">
        <v>7</v>
      </c>
    </row>
    <row r="748" spans="1:3" x14ac:dyDescent="0.35">
      <c r="A748" t="s">
        <v>1028</v>
      </c>
      <c r="B748" t="s">
        <v>1029</v>
      </c>
      <c r="C748" t="s">
        <v>32</v>
      </c>
    </row>
    <row r="749" spans="1:3" x14ac:dyDescent="0.35">
      <c r="A749" t="s">
        <v>1028</v>
      </c>
      <c r="B749" t="s">
        <v>1030</v>
      </c>
      <c r="C749" t="s">
        <v>5</v>
      </c>
    </row>
    <row r="750" spans="1:3" x14ac:dyDescent="0.35">
      <c r="A750" t="s">
        <v>1031</v>
      </c>
      <c r="B750" t="s">
        <v>1032</v>
      </c>
      <c r="C750" t="s">
        <v>5</v>
      </c>
    </row>
    <row r="751" spans="1:3" x14ac:dyDescent="0.35">
      <c r="A751" t="s">
        <v>1033</v>
      </c>
      <c r="B751">
        <v>604190015</v>
      </c>
      <c r="C751" t="s">
        <v>7</v>
      </c>
    </row>
    <row r="752" spans="1:3" x14ac:dyDescent="0.35">
      <c r="A752" t="s">
        <v>1034</v>
      </c>
      <c r="B752">
        <v>605040007</v>
      </c>
      <c r="C752" t="s">
        <v>7</v>
      </c>
    </row>
    <row r="753" spans="1:3" x14ac:dyDescent="0.35">
      <c r="A753" t="s">
        <v>1034</v>
      </c>
      <c r="B753" t="s">
        <v>1035</v>
      </c>
      <c r="C753" t="s">
        <v>5</v>
      </c>
    </row>
    <row r="754" spans="1:3" x14ac:dyDescent="0.35">
      <c r="A754" t="s">
        <v>1036</v>
      </c>
      <c r="B754">
        <v>612030002</v>
      </c>
      <c r="C754" t="s">
        <v>7</v>
      </c>
    </row>
    <row r="755" spans="1:3" x14ac:dyDescent="0.35">
      <c r="A755" t="s">
        <v>1036</v>
      </c>
      <c r="B755" t="s">
        <v>1037</v>
      </c>
      <c r="C755" t="s">
        <v>5</v>
      </c>
    </row>
    <row r="756" spans="1:3" x14ac:dyDescent="0.35">
      <c r="A756" t="s">
        <v>1038</v>
      </c>
      <c r="B756" t="s">
        <v>1039</v>
      </c>
      <c r="C756" t="s">
        <v>5</v>
      </c>
    </row>
    <row r="757" spans="1:3" x14ac:dyDescent="0.35">
      <c r="A757" t="s">
        <v>1040</v>
      </c>
      <c r="B757" t="s">
        <v>1041</v>
      </c>
      <c r="C757" t="s">
        <v>5</v>
      </c>
    </row>
    <row r="758" spans="1:3" x14ac:dyDescent="0.35">
      <c r="A758" t="s">
        <v>1042</v>
      </c>
      <c r="B758">
        <v>609030004</v>
      </c>
      <c r="C758" t="s">
        <v>7</v>
      </c>
    </row>
    <row r="759" spans="1:3" x14ac:dyDescent="0.35">
      <c r="A759" t="s">
        <v>1043</v>
      </c>
      <c r="B759">
        <v>605160006</v>
      </c>
      <c r="C759" t="s">
        <v>7</v>
      </c>
    </row>
    <row r="760" spans="1:3" x14ac:dyDescent="0.35">
      <c r="A760" t="s">
        <v>1043</v>
      </c>
      <c r="B760" t="s">
        <v>1044</v>
      </c>
      <c r="C760" t="s">
        <v>5</v>
      </c>
    </row>
    <row r="761" spans="1:3" x14ac:dyDescent="0.35">
      <c r="A761" t="s">
        <v>1045</v>
      </c>
      <c r="B761">
        <v>605100035</v>
      </c>
      <c r="C761" t="s">
        <v>7</v>
      </c>
    </row>
    <row r="762" spans="1:3" x14ac:dyDescent="0.35">
      <c r="A762" t="s">
        <v>1046</v>
      </c>
      <c r="B762">
        <v>621060008</v>
      </c>
      <c r="C762" t="s">
        <v>7</v>
      </c>
    </row>
    <row r="763" spans="1:3" x14ac:dyDescent="0.35">
      <c r="A763" t="s">
        <v>1047</v>
      </c>
      <c r="B763">
        <v>621010009</v>
      </c>
      <c r="C763" t="s">
        <v>7</v>
      </c>
    </row>
    <row r="764" spans="1:3" x14ac:dyDescent="0.35">
      <c r="A764" t="s">
        <v>1048</v>
      </c>
      <c r="B764">
        <v>609020043</v>
      </c>
      <c r="C764" t="s">
        <v>7</v>
      </c>
    </row>
    <row r="765" spans="1:3" x14ac:dyDescent="0.35">
      <c r="A765" t="s">
        <v>1049</v>
      </c>
      <c r="B765" t="s">
        <v>1050</v>
      </c>
      <c r="C765" t="s">
        <v>5</v>
      </c>
    </row>
    <row r="766" spans="1:3" x14ac:dyDescent="0.35">
      <c r="A766" t="s">
        <v>1051</v>
      </c>
      <c r="B766">
        <v>607160005</v>
      </c>
      <c r="C766" t="s">
        <v>7</v>
      </c>
    </row>
    <row r="767" spans="1:3" x14ac:dyDescent="0.35">
      <c r="A767" t="s">
        <v>1052</v>
      </c>
      <c r="B767">
        <v>609020012</v>
      </c>
      <c r="C767" t="s">
        <v>7</v>
      </c>
    </row>
    <row r="768" spans="1:3" x14ac:dyDescent="0.35">
      <c r="A768" t="s">
        <v>1053</v>
      </c>
      <c r="B768" t="s">
        <v>1054</v>
      </c>
      <c r="C768" t="s">
        <v>5</v>
      </c>
    </row>
    <row r="769" spans="1:3" x14ac:dyDescent="0.35">
      <c r="A769" t="s">
        <v>1055</v>
      </c>
      <c r="B769" t="s">
        <v>1056</v>
      </c>
      <c r="C769" t="s">
        <v>5</v>
      </c>
    </row>
    <row r="770" spans="1:3" x14ac:dyDescent="0.35">
      <c r="A770" t="s">
        <v>1057</v>
      </c>
      <c r="B770">
        <v>621070006</v>
      </c>
      <c r="C770" t="s">
        <v>7</v>
      </c>
    </row>
    <row r="771" spans="1:3" x14ac:dyDescent="0.35">
      <c r="A771" t="s">
        <v>1058</v>
      </c>
      <c r="B771">
        <v>609020006</v>
      </c>
      <c r="C771" t="s">
        <v>7</v>
      </c>
    </row>
    <row r="772" spans="1:3" x14ac:dyDescent="0.35">
      <c r="A772" t="s">
        <v>1059</v>
      </c>
      <c r="B772" t="s">
        <v>1060</v>
      </c>
      <c r="C772" t="s">
        <v>5</v>
      </c>
    </row>
    <row r="773" spans="1:3" x14ac:dyDescent="0.35">
      <c r="A773" t="s">
        <v>1061</v>
      </c>
      <c r="B773" t="s">
        <v>1062</v>
      </c>
      <c r="C773" t="s">
        <v>5</v>
      </c>
    </row>
    <row r="774" spans="1:3" x14ac:dyDescent="0.35">
      <c r="A774" t="s">
        <v>1063</v>
      </c>
      <c r="B774" t="s">
        <v>1064</v>
      </c>
      <c r="C774" t="s">
        <v>5</v>
      </c>
    </row>
    <row r="775" spans="1:3" x14ac:dyDescent="0.35">
      <c r="A775" t="s">
        <v>1065</v>
      </c>
      <c r="B775" t="s">
        <v>1066</v>
      </c>
      <c r="C775" t="s">
        <v>5</v>
      </c>
    </row>
    <row r="776" spans="1:3" x14ac:dyDescent="0.35">
      <c r="A776" t="s">
        <v>1067</v>
      </c>
      <c r="B776">
        <v>614210019</v>
      </c>
      <c r="C776" t="s">
        <v>7</v>
      </c>
    </row>
    <row r="777" spans="1:3" x14ac:dyDescent="0.35">
      <c r="A777" t="s">
        <v>1068</v>
      </c>
      <c r="B777">
        <v>604090002</v>
      </c>
      <c r="C777" t="s">
        <v>7</v>
      </c>
    </row>
    <row r="778" spans="1:3" x14ac:dyDescent="0.35">
      <c r="A778" t="s">
        <v>1069</v>
      </c>
      <c r="B778">
        <v>604090014</v>
      </c>
      <c r="C778" t="s">
        <v>7</v>
      </c>
    </row>
    <row r="779" spans="1:3" x14ac:dyDescent="0.35">
      <c r="A779" t="s">
        <v>1070</v>
      </c>
      <c r="B779">
        <v>604090003</v>
      </c>
      <c r="C779" t="s">
        <v>7</v>
      </c>
    </row>
    <row r="780" spans="1:3" x14ac:dyDescent="0.35">
      <c r="A780" t="s">
        <v>1071</v>
      </c>
      <c r="B780">
        <v>604090004</v>
      </c>
      <c r="C780" t="s">
        <v>7</v>
      </c>
    </row>
    <row r="781" spans="1:3" x14ac:dyDescent="0.35">
      <c r="A781" t="s">
        <v>1071</v>
      </c>
      <c r="B781" t="s">
        <v>1072</v>
      </c>
      <c r="C781" t="s">
        <v>32</v>
      </c>
    </row>
    <row r="782" spans="1:3" x14ac:dyDescent="0.35">
      <c r="A782" t="s">
        <v>1073</v>
      </c>
      <c r="B782" t="s">
        <v>1074</v>
      </c>
      <c r="C782" t="s">
        <v>5</v>
      </c>
    </row>
    <row r="783" spans="1:3" x14ac:dyDescent="0.35">
      <c r="A783" t="s">
        <v>1075</v>
      </c>
      <c r="B783" t="s">
        <v>1076</v>
      </c>
      <c r="C783" t="s">
        <v>5</v>
      </c>
    </row>
    <row r="784" spans="1:3" x14ac:dyDescent="0.35">
      <c r="A784" t="s">
        <v>1077</v>
      </c>
      <c r="B784">
        <v>621010010</v>
      </c>
      <c r="C784" t="s">
        <v>7</v>
      </c>
    </row>
    <row r="785" spans="1:3" x14ac:dyDescent="0.35">
      <c r="A785" t="s">
        <v>1077</v>
      </c>
      <c r="B785" t="s">
        <v>1078</v>
      </c>
      <c r="C785" t="s">
        <v>5</v>
      </c>
    </row>
    <row r="786" spans="1:3" x14ac:dyDescent="0.35">
      <c r="A786" t="s">
        <v>1079</v>
      </c>
      <c r="B786" t="s">
        <v>1080</v>
      </c>
      <c r="C786" t="s">
        <v>5</v>
      </c>
    </row>
    <row r="787" spans="1:3" x14ac:dyDescent="0.35">
      <c r="A787" t="s">
        <v>1081</v>
      </c>
      <c r="B787">
        <v>614030010</v>
      </c>
      <c r="C787" t="s">
        <v>7</v>
      </c>
    </row>
    <row r="788" spans="1:3" x14ac:dyDescent="0.35">
      <c r="A788" t="s">
        <v>1082</v>
      </c>
      <c r="B788" t="s">
        <v>1083</v>
      </c>
      <c r="C788" t="s">
        <v>5</v>
      </c>
    </row>
    <row r="789" spans="1:3" x14ac:dyDescent="0.35">
      <c r="A789" t="s">
        <v>1084</v>
      </c>
      <c r="B789" t="s">
        <v>1085</v>
      </c>
      <c r="C789" t="s">
        <v>5</v>
      </c>
    </row>
    <row r="790" spans="1:3" x14ac:dyDescent="0.35">
      <c r="A790" t="s">
        <v>1086</v>
      </c>
      <c r="B790" t="s">
        <v>1087</v>
      </c>
      <c r="C790" t="s">
        <v>5</v>
      </c>
    </row>
    <row r="791" spans="1:3" x14ac:dyDescent="0.35">
      <c r="A791" t="s">
        <v>1088</v>
      </c>
      <c r="B791">
        <v>604010013</v>
      </c>
      <c r="C791" t="s">
        <v>7</v>
      </c>
    </row>
    <row r="792" spans="1:3" x14ac:dyDescent="0.35">
      <c r="A792" t="s">
        <v>1088</v>
      </c>
      <c r="B792" t="s">
        <v>1089</v>
      </c>
      <c r="C792" t="s">
        <v>32</v>
      </c>
    </row>
    <row r="793" spans="1:3" x14ac:dyDescent="0.35">
      <c r="A793" t="s">
        <v>1088</v>
      </c>
      <c r="B793" t="s">
        <v>1090</v>
      </c>
      <c r="C793" t="s">
        <v>5</v>
      </c>
    </row>
    <row r="794" spans="1:3" x14ac:dyDescent="0.35">
      <c r="A794" t="s">
        <v>1091</v>
      </c>
      <c r="B794" t="s">
        <v>1092</v>
      </c>
      <c r="C794" t="s">
        <v>5</v>
      </c>
    </row>
    <row r="795" spans="1:3" x14ac:dyDescent="0.35">
      <c r="A795" t="s">
        <v>1093</v>
      </c>
      <c r="B795">
        <v>604070004</v>
      </c>
      <c r="C795" t="s">
        <v>7</v>
      </c>
    </row>
    <row r="796" spans="1:3" x14ac:dyDescent="0.35">
      <c r="A796" t="s">
        <v>1094</v>
      </c>
      <c r="B796">
        <v>604170007</v>
      </c>
      <c r="C796" t="s">
        <v>7</v>
      </c>
    </row>
    <row r="797" spans="1:3" x14ac:dyDescent="0.35">
      <c r="A797" t="s">
        <v>1095</v>
      </c>
      <c r="B797">
        <v>609050001</v>
      </c>
      <c r="C797" t="s">
        <v>7</v>
      </c>
    </row>
    <row r="798" spans="1:3" x14ac:dyDescent="0.35">
      <c r="A798" t="s">
        <v>1096</v>
      </c>
      <c r="B798" t="s">
        <v>1097</v>
      </c>
      <c r="C798" t="s">
        <v>5</v>
      </c>
    </row>
    <row r="799" spans="1:3" x14ac:dyDescent="0.35">
      <c r="A799" t="s">
        <v>1098</v>
      </c>
      <c r="B799" t="s">
        <v>1099</v>
      </c>
      <c r="C799" t="s">
        <v>5</v>
      </c>
    </row>
    <row r="800" spans="1:3" x14ac:dyDescent="0.35">
      <c r="A800" t="s">
        <v>1100</v>
      </c>
      <c r="B800" t="s">
        <v>1101</v>
      </c>
      <c r="C800" t="s">
        <v>5</v>
      </c>
    </row>
    <row r="801" spans="1:3" x14ac:dyDescent="0.35">
      <c r="A801" t="s">
        <v>1102</v>
      </c>
      <c r="B801" t="s">
        <v>1103</v>
      </c>
      <c r="C801" t="s">
        <v>5</v>
      </c>
    </row>
    <row r="802" spans="1:3" x14ac:dyDescent="0.35">
      <c r="A802" t="s">
        <v>1104</v>
      </c>
      <c r="B802">
        <v>607090012</v>
      </c>
      <c r="C802" t="s">
        <v>7</v>
      </c>
    </row>
    <row r="803" spans="1:3" x14ac:dyDescent="0.35">
      <c r="A803" t="s">
        <v>1105</v>
      </c>
      <c r="B803">
        <v>612210001</v>
      </c>
      <c r="C803" t="s">
        <v>7</v>
      </c>
    </row>
    <row r="804" spans="1:3" x14ac:dyDescent="0.35">
      <c r="A804" t="s">
        <v>1105</v>
      </c>
      <c r="B804" t="s">
        <v>1106</v>
      </c>
      <c r="C804" t="s">
        <v>5</v>
      </c>
    </row>
    <row r="805" spans="1:3" x14ac:dyDescent="0.35">
      <c r="A805" t="s">
        <v>1107</v>
      </c>
      <c r="B805" t="s">
        <v>1108</v>
      </c>
      <c r="C805" t="s">
        <v>5</v>
      </c>
    </row>
    <row r="806" spans="1:3" x14ac:dyDescent="0.35">
      <c r="A806" t="s">
        <v>1109</v>
      </c>
      <c r="B806">
        <v>604190002</v>
      </c>
      <c r="C806" t="s">
        <v>7</v>
      </c>
    </row>
    <row r="807" spans="1:3" x14ac:dyDescent="0.35">
      <c r="A807" t="s">
        <v>1110</v>
      </c>
      <c r="B807" t="s">
        <v>1111</v>
      </c>
      <c r="C807" t="s">
        <v>50</v>
      </c>
    </row>
    <row r="808" spans="1:3" x14ac:dyDescent="0.35">
      <c r="A808" t="s">
        <v>1112</v>
      </c>
      <c r="B808">
        <v>604110003</v>
      </c>
      <c r="C808" t="s">
        <v>7</v>
      </c>
    </row>
    <row r="809" spans="1:3" x14ac:dyDescent="0.35">
      <c r="A809" t="s">
        <v>1112</v>
      </c>
      <c r="B809" t="s">
        <v>1113</v>
      </c>
      <c r="C809" t="s">
        <v>5</v>
      </c>
    </row>
    <row r="810" spans="1:3" x14ac:dyDescent="0.35">
      <c r="A810" t="s">
        <v>1114</v>
      </c>
      <c r="B810" t="s">
        <v>1115</v>
      </c>
      <c r="C810" t="s">
        <v>5</v>
      </c>
    </row>
    <row r="811" spans="1:3" x14ac:dyDescent="0.35">
      <c r="A811" t="s">
        <v>1116</v>
      </c>
      <c r="B811">
        <v>603130002</v>
      </c>
      <c r="C811" t="s">
        <v>7</v>
      </c>
    </row>
    <row r="812" spans="1:3" x14ac:dyDescent="0.35">
      <c r="A812" t="s">
        <v>1117</v>
      </c>
      <c r="B812">
        <v>603130028</v>
      </c>
      <c r="C812" t="s">
        <v>7</v>
      </c>
    </row>
    <row r="813" spans="1:3" x14ac:dyDescent="0.35">
      <c r="A813" t="s">
        <v>1118</v>
      </c>
      <c r="B813">
        <v>621050047</v>
      </c>
      <c r="C813" t="s">
        <v>7</v>
      </c>
    </row>
    <row r="814" spans="1:3" x14ac:dyDescent="0.35">
      <c r="A814" t="s">
        <v>1119</v>
      </c>
      <c r="B814">
        <v>604030011</v>
      </c>
      <c r="C814" t="s">
        <v>7</v>
      </c>
    </row>
    <row r="815" spans="1:3" x14ac:dyDescent="0.35">
      <c r="A815" t="s">
        <v>1119</v>
      </c>
      <c r="B815">
        <v>604060007</v>
      </c>
      <c r="C815" t="s">
        <v>7</v>
      </c>
    </row>
    <row r="816" spans="1:3" x14ac:dyDescent="0.35">
      <c r="A816" t="s">
        <v>1119</v>
      </c>
      <c r="B816">
        <v>614070002</v>
      </c>
      <c r="C816" t="s">
        <v>7</v>
      </c>
    </row>
    <row r="817" spans="1:3" x14ac:dyDescent="0.35">
      <c r="A817" t="s">
        <v>1119</v>
      </c>
      <c r="B817" t="s">
        <v>1120</v>
      </c>
      <c r="C817" t="s">
        <v>5</v>
      </c>
    </row>
    <row r="818" spans="1:3" x14ac:dyDescent="0.35">
      <c r="A818" t="s">
        <v>1121</v>
      </c>
      <c r="B818" t="s">
        <v>1122</v>
      </c>
      <c r="C818" t="s">
        <v>5</v>
      </c>
    </row>
    <row r="819" spans="1:3" x14ac:dyDescent="0.35">
      <c r="A819" t="s">
        <v>1123</v>
      </c>
      <c r="B819" t="s">
        <v>1124</v>
      </c>
      <c r="C819" t="s">
        <v>5</v>
      </c>
    </row>
    <row r="820" spans="1:3" x14ac:dyDescent="0.35">
      <c r="A820" t="s">
        <v>1125</v>
      </c>
      <c r="B820">
        <v>607050008</v>
      </c>
      <c r="C820" t="s">
        <v>7</v>
      </c>
    </row>
    <row r="821" spans="1:3" x14ac:dyDescent="0.35">
      <c r="A821" t="s">
        <v>1126</v>
      </c>
      <c r="B821">
        <v>604130022</v>
      </c>
      <c r="C821" t="s">
        <v>7</v>
      </c>
    </row>
    <row r="822" spans="1:3" x14ac:dyDescent="0.35">
      <c r="A822" t="s">
        <v>1126</v>
      </c>
      <c r="B822" t="s">
        <v>1127</v>
      </c>
      <c r="C822" t="s">
        <v>32</v>
      </c>
    </row>
    <row r="823" spans="1:3" x14ac:dyDescent="0.35">
      <c r="A823" t="s">
        <v>1128</v>
      </c>
      <c r="B823">
        <v>604130005</v>
      </c>
      <c r="C823" t="s">
        <v>7</v>
      </c>
    </row>
    <row r="824" spans="1:3" x14ac:dyDescent="0.35">
      <c r="A824" t="s">
        <v>1129</v>
      </c>
      <c r="B824">
        <v>621050013</v>
      </c>
      <c r="C824" t="s">
        <v>7</v>
      </c>
    </row>
    <row r="825" spans="1:3" x14ac:dyDescent="0.35">
      <c r="A825" t="s">
        <v>1129</v>
      </c>
      <c r="B825" t="s">
        <v>1130</v>
      </c>
      <c r="C825" t="s">
        <v>5</v>
      </c>
    </row>
    <row r="826" spans="1:3" x14ac:dyDescent="0.35">
      <c r="A826" t="s">
        <v>1131</v>
      </c>
      <c r="B826">
        <v>602170005</v>
      </c>
      <c r="C826" t="s">
        <v>7</v>
      </c>
    </row>
    <row r="827" spans="1:3" x14ac:dyDescent="0.35">
      <c r="A827" t="s">
        <v>1132</v>
      </c>
      <c r="B827">
        <v>605170002</v>
      </c>
      <c r="C827" t="s">
        <v>7</v>
      </c>
    </row>
    <row r="828" spans="1:3" x14ac:dyDescent="0.35">
      <c r="A828" t="s">
        <v>1133</v>
      </c>
      <c r="B828">
        <v>602070006</v>
      </c>
      <c r="C828" t="s">
        <v>7</v>
      </c>
    </row>
    <row r="829" spans="1:3" x14ac:dyDescent="0.35">
      <c r="A829" t="s">
        <v>1134</v>
      </c>
      <c r="B829" t="s">
        <v>1135</v>
      </c>
      <c r="C829" t="s">
        <v>5</v>
      </c>
    </row>
    <row r="830" spans="1:3" x14ac:dyDescent="0.35">
      <c r="A830" t="s">
        <v>1136</v>
      </c>
      <c r="B830">
        <v>614170014</v>
      </c>
      <c r="C830" t="s">
        <v>7</v>
      </c>
    </row>
    <row r="831" spans="1:3" x14ac:dyDescent="0.35">
      <c r="A831" t="s">
        <v>1136</v>
      </c>
      <c r="B831" t="s">
        <v>1137</v>
      </c>
      <c r="C831" t="s">
        <v>5</v>
      </c>
    </row>
    <row r="832" spans="1:3" x14ac:dyDescent="0.35">
      <c r="A832" t="s">
        <v>1138</v>
      </c>
      <c r="B832" t="s">
        <v>1139</v>
      </c>
      <c r="C832" t="s">
        <v>32</v>
      </c>
    </row>
    <row r="833" spans="1:3" x14ac:dyDescent="0.35">
      <c r="A833" t="s">
        <v>1138</v>
      </c>
      <c r="B833" t="s">
        <v>1140</v>
      </c>
      <c r="C833" t="s">
        <v>5</v>
      </c>
    </row>
    <row r="834" spans="1:3" x14ac:dyDescent="0.35">
      <c r="A834" t="s">
        <v>1141</v>
      </c>
      <c r="B834">
        <v>614020018</v>
      </c>
      <c r="C834" t="s">
        <v>7</v>
      </c>
    </row>
    <row r="835" spans="1:3" x14ac:dyDescent="0.35">
      <c r="A835" t="s">
        <v>1142</v>
      </c>
      <c r="B835">
        <v>614250002</v>
      </c>
      <c r="C835" t="s">
        <v>7</v>
      </c>
    </row>
    <row r="836" spans="1:3" x14ac:dyDescent="0.35">
      <c r="A836" t="s">
        <v>1143</v>
      </c>
      <c r="B836" t="s">
        <v>1144</v>
      </c>
      <c r="C836" t="s">
        <v>5</v>
      </c>
    </row>
    <row r="837" spans="1:3" x14ac:dyDescent="0.35">
      <c r="A837" t="s">
        <v>1145</v>
      </c>
      <c r="B837" t="s">
        <v>1146</v>
      </c>
      <c r="C837" t="s">
        <v>32</v>
      </c>
    </row>
    <row r="838" spans="1:3" x14ac:dyDescent="0.35">
      <c r="A838" t="s">
        <v>1145</v>
      </c>
      <c r="B838" t="s">
        <v>1147</v>
      </c>
      <c r="C838" t="s">
        <v>50</v>
      </c>
    </row>
    <row r="839" spans="1:3" x14ac:dyDescent="0.35">
      <c r="A839" t="s">
        <v>1148</v>
      </c>
      <c r="B839">
        <v>603020017</v>
      </c>
      <c r="C839" t="s">
        <v>7</v>
      </c>
    </row>
    <row r="840" spans="1:3" x14ac:dyDescent="0.35">
      <c r="A840" t="s">
        <v>1149</v>
      </c>
      <c r="B840" t="s">
        <v>1150</v>
      </c>
      <c r="C840" t="s">
        <v>5</v>
      </c>
    </row>
    <row r="841" spans="1:3" x14ac:dyDescent="0.35">
      <c r="A841" t="s">
        <v>1151</v>
      </c>
      <c r="B841">
        <v>316060006</v>
      </c>
      <c r="C841" t="s">
        <v>7</v>
      </c>
    </row>
    <row r="842" spans="1:3" x14ac:dyDescent="0.35">
      <c r="A842" t="s">
        <v>1152</v>
      </c>
      <c r="B842">
        <v>621060009</v>
      </c>
      <c r="C842" t="s">
        <v>7</v>
      </c>
    </row>
    <row r="843" spans="1:3" x14ac:dyDescent="0.35">
      <c r="A843" t="s">
        <v>1153</v>
      </c>
      <c r="B843">
        <v>604030002</v>
      </c>
      <c r="C843" t="s">
        <v>7</v>
      </c>
    </row>
    <row r="844" spans="1:3" x14ac:dyDescent="0.35">
      <c r="A844" t="s">
        <v>1154</v>
      </c>
      <c r="B844" t="s">
        <v>1155</v>
      </c>
      <c r="C844" t="s">
        <v>50</v>
      </c>
    </row>
    <row r="845" spans="1:3" x14ac:dyDescent="0.35">
      <c r="A845" t="s">
        <v>1156</v>
      </c>
      <c r="B845" t="s">
        <v>1157</v>
      </c>
      <c r="C845" t="s">
        <v>32</v>
      </c>
    </row>
    <row r="846" spans="1:3" x14ac:dyDescent="0.35">
      <c r="A846" t="s">
        <v>1158</v>
      </c>
      <c r="B846" t="s">
        <v>1159</v>
      </c>
      <c r="C846" t="s">
        <v>5</v>
      </c>
    </row>
    <row r="847" spans="1:3" x14ac:dyDescent="0.35">
      <c r="A847" t="s">
        <v>1160</v>
      </c>
      <c r="B847" t="s">
        <v>1161</v>
      </c>
      <c r="C847" t="s">
        <v>5</v>
      </c>
    </row>
    <row r="848" spans="1:3" x14ac:dyDescent="0.35">
      <c r="A848" t="s">
        <v>1162</v>
      </c>
      <c r="B848" t="s">
        <v>1163</v>
      </c>
      <c r="C848" t="s">
        <v>5</v>
      </c>
    </row>
    <row r="849" spans="1:3" x14ac:dyDescent="0.35">
      <c r="A849" t="s">
        <v>1164</v>
      </c>
      <c r="B849" t="s">
        <v>1165</v>
      </c>
      <c r="C849" t="s">
        <v>5</v>
      </c>
    </row>
    <row r="850" spans="1:3" x14ac:dyDescent="0.35">
      <c r="A850" t="s">
        <v>1166</v>
      </c>
      <c r="B850" t="s">
        <v>1167</v>
      </c>
      <c r="C850" t="s">
        <v>5</v>
      </c>
    </row>
    <row r="851" spans="1:3" x14ac:dyDescent="0.35">
      <c r="A851" t="s">
        <v>1168</v>
      </c>
      <c r="B851" t="s">
        <v>1169</v>
      </c>
      <c r="C851" t="s">
        <v>5</v>
      </c>
    </row>
    <row r="852" spans="1:3" x14ac:dyDescent="0.35">
      <c r="A852" t="s">
        <v>1170</v>
      </c>
      <c r="B852">
        <v>604060044</v>
      </c>
      <c r="C852" t="s">
        <v>7</v>
      </c>
    </row>
    <row r="853" spans="1:3" x14ac:dyDescent="0.35">
      <c r="A853" t="s">
        <v>1170</v>
      </c>
      <c r="B853">
        <v>605130028</v>
      </c>
      <c r="C853" t="s">
        <v>7</v>
      </c>
    </row>
    <row r="854" spans="1:3" x14ac:dyDescent="0.35">
      <c r="A854" t="s">
        <v>1170</v>
      </c>
      <c r="B854" t="s">
        <v>1171</v>
      </c>
      <c r="C854" t="s">
        <v>5</v>
      </c>
    </row>
    <row r="855" spans="1:3" x14ac:dyDescent="0.35">
      <c r="A855" t="s">
        <v>1172</v>
      </c>
      <c r="B855">
        <v>604050007</v>
      </c>
      <c r="C855" t="s">
        <v>7</v>
      </c>
    </row>
    <row r="856" spans="1:3" x14ac:dyDescent="0.35">
      <c r="A856" t="s">
        <v>1173</v>
      </c>
      <c r="B856" t="s">
        <v>1174</v>
      </c>
      <c r="C856" t="s">
        <v>5</v>
      </c>
    </row>
    <row r="857" spans="1:3" x14ac:dyDescent="0.35">
      <c r="A857" t="s">
        <v>1175</v>
      </c>
      <c r="B857" t="s">
        <v>1176</v>
      </c>
      <c r="C857" t="s">
        <v>5</v>
      </c>
    </row>
    <row r="858" spans="1:3" x14ac:dyDescent="0.35">
      <c r="A858" t="s">
        <v>1177</v>
      </c>
      <c r="B858">
        <v>117080021</v>
      </c>
      <c r="C858" t="s">
        <v>7</v>
      </c>
    </row>
    <row r="859" spans="1:3" x14ac:dyDescent="0.35">
      <c r="A859" t="s">
        <v>1178</v>
      </c>
      <c r="B859">
        <v>614210004</v>
      </c>
      <c r="C859" t="s">
        <v>7</v>
      </c>
    </row>
    <row r="860" spans="1:3" x14ac:dyDescent="0.35">
      <c r="A860" t="s">
        <v>1179</v>
      </c>
      <c r="B860">
        <v>614210005</v>
      </c>
      <c r="C860" t="s">
        <v>7</v>
      </c>
    </row>
    <row r="861" spans="1:3" x14ac:dyDescent="0.35">
      <c r="A861" t="s">
        <v>1180</v>
      </c>
      <c r="B861">
        <v>609010012</v>
      </c>
      <c r="C861" t="s">
        <v>7</v>
      </c>
    </row>
    <row r="862" spans="1:3" x14ac:dyDescent="0.35">
      <c r="A862" t="s">
        <v>1181</v>
      </c>
      <c r="B862">
        <v>614060005</v>
      </c>
      <c r="C862" t="s">
        <v>7</v>
      </c>
    </row>
    <row r="863" spans="1:3" x14ac:dyDescent="0.35">
      <c r="A863" t="s">
        <v>1182</v>
      </c>
      <c r="B863">
        <v>604170008</v>
      </c>
      <c r="C863" t="s">
        <v>7</v>
      </c>
    </row>
    <row r="864" spans="1:3" x14ac:dyDescent="0.35">
      <c r="A864" t="s">
        <v>1182</v>
      </c>
      <c r="B864" t="s">
        <v>1183</v>
      </c>
      <c r="C864" t="s">
        <v>5</v>
      </c>
    </row>
    <row r="865" spans="1:3" x14ac:dyDescent="0.35">
      <c r="A865" t="s">
        <v>1184</v>
      </c>
      <c r="B865">
        <v>612210002</v>
      </c>
      <c r="C865" t="s">
        <v>7</v>
      </c>
    </row>
    <row r="866" spans="1:3" x14ac:dyDescent="0.35">
      <c r="A866" t="s">
        <v>1184</v>
      </c>
      <c r="B866" t="s">
        <v>1185</v>
      </c>
      <c r="C866" t="s">
        <v>32</v>
      </c>
    </row>
    <row r="867" spans="1:3" x14ac:dyDescent="0.35">
      <c r="A867" t="s">
        <v>1186</v>
      </c>
      <c r="B867" t="s">
        <v>1187</v>
      </c>
      <c r="C867" t="s">
        <v>5</v>
      </c>
    </row>
    <row r="868" spans="1:3" x14ac:dyDescent="0.35">
      <c r="A868" t="s">
        <v>1188</v>
      </c>
      <c r="B868" t="s">
        <v>1189</v>
      </c>
      <c r="C868" t="s">
        <v>5</v>
      </c>
    </row>
    <row r="869" spans="1:3" x14ac:dyDescent="0.35">
      <c r="A869" t="s">
        <v>1190</v>
      </c>
      <c r="B869">
        <v>309080007</v>
      </c>
      <c r="C869" t="s">
        <v>7</v>
      </c>
    </row>
    <row r="870" spans="1:3" x14ac:dyDescent="0.35">
      <c r="A870" t="s">
        <v>1191</v>
      </c>
      <c r="B870" t="s">
        <v>1192</v>
      </c>
      <c r="C870" t="s">
        <v>32</v>
      </c>
    </row>
    <row r="871" spans="1:3" x14ac:dyDescent="0.35">
      <c r="A871" t="s">
        <v>1193</v>
      </c>
      <c r="B871">
        <v>603060030</v>
      </c>
      <c r="C871" t="s">
        <v>7</v>
      </c>
    </row>
    <row r="872" spans="1:3" x14ac:dyDescent="0.35">
      <c r="A872" t="s">
        <v>1193</v>
      </c>
      <c r="B872">
        <v>605100016</v>
      </c>
      <c r="C872" t="s">
        <v>7</v>
      </c>
    </row>
    <row r="873" spans="1:3" x14ac:dyDescent="0.35">
      <c r="A873" t="s">
        <v>1193</v>
      </c>
      <c r="B873" t="s">
        <v>1194</v>
      </c>
      <c r="C873" t="s">
        <v>5</v>
      </c>
    </row>
    <row r="874" spans="1:3" x14ac:dyDescent="0.35">
      <c r="A874" t="s">
        <v>1195</v>
      </c>
      <c r="B874" t="s">
        <v>1196</v>
      </c>
      <c r="C874" t="s">
        <v>32</v>
      </c>
    </row>
    <row r="875" spans="1:3" x14ac:dyDescent="0.35">
      <c r="A875" t="s">
        <v>1197</v>
      </c>
      <c r="B875">
        <v>317080012</v>
      </c>
      <c r="C875" t="s">
        <v>7</v>
      </c>
    </row>
    <row r="876" spans="1:3" x14ac:dyDescent="0.35">
      <c r="A876" t="s">
        <v>1198</v>
      </c>
      <c r="B876" t="s">
        <v>1199</v>
      </c>
      <c r="C876" t="s">
        <v>5</v>
      </c>
    </row>
    <row r="877" spans="1:3" x14ac:dyDescent="0.35">
      <c r="A877" t="s">
        <v>1200</v>
      </c>
      <c r="B877">
        <v>605030004</v>
      </c>
      <c r="C877" t="s">
        <v>7</v>
      </c>
    </row>
    <row r="878" spans="1:3" x14ac:dyDescent="0.35">
      <c r="A878" t="s">
        <v>1201</v>
      </c>
      <c r="B878" t="s">
        <v>1202</v>
      </c>
      <c r="C878" t="s">
        <v>5</v>
      </c>
    </row>
    <row r="879" spans="1:3" x14ac:dyDescent="0.35">
      <c r="A879" t="s">
        <v>1203</v>
      </c>
      <c r="B879" t="s">
        <v>1204</v>
      </c>
      <c r="C879" t="s">
        <v>5</v>
      </c>
    </row>
    <row r="880" spans="1:3" x14ac:dyDescent="0.35">
      <c r="A880" t="s">
        <v>1205</v>
      </c>
      <c r="B880">
        <v>607070016</v>
      </c>
      <c r="C880" t="s">
        <v>7</v>
      </c>
    </row>
    <row r="881" spans="1:3" x14ac:dyDescent="0.35">
      <c r="A881" t="s">
        <v>1206</v>
      </c>
      <c r="B881">
        <v>602110004</v>
      </c>
      <c r="C881" t="s">
        <v>7</v>
      </c>
    </row>
    <row r="882" spans="1:3" x14ac:dyDescent="0.35">
      <c r="A882" t="s">
        <v>1207</v>
      </c>
      <c r="B882">
        <v>601010007</v>
      </c>
      <c r="C882" t="s">
        <v>7</v>
      </c>
    </row>
    <row r="883" spans="1:3" x14ac:dyDescent="0.35">
      <c r="A883" t="s">
        <v>1208</v>
      </c>
      <c r="B883" t="s">
        <v>1209</v>
      </c>
      <c r="C883" t="s">
        <v>5</v>
      </c>
    </row>
    <row r="884" spans="1:3" x14ac:dyDescent="0.35">
      <c r="A884" t="s">
        <v>1210</v>
      </c>
      <c r="B884" t="s">
        <v>1211</v>
      </c>
      <c r="C884" t="s">
        <v>5</v>
      </c>
    </row>
    <row r="885" spans="1:3" x14ac:dyDescent="0.35">
      <c r="A885" t="s">
        <v>1212</v>
      </c>
      <c r="B885">
        <v>609040003</v>
      </c>
      <c r="C885" t="s">
        <v>7</v>
      </c>
    </row>
    <row r="886" spans="1:3" x14ac:dyDescent="0.35">
      <c r="A886" t="s">
        <v>1213</v>
      </c>
      <c r="B886" t="s">
        <v>1214</v>
      </c>
      <c r="C886" t="s">
        <v>5</v>
      </c>
    </row>
    <row r="887" spans="1:3" x14ac:dyDescent="0.35">
      <c r="A887" t="s">
        <v>1215</v>
      </c>
      <c r="B887" t="s">
        <v>1216</v>
      </c>
      <c r="C887" t="s">
        <v>5</v>
      </c>
    </row>
    <row r="888" spans="1:3" x14ac:dyDescent="0.35">
      <c r="A888" t="s">
        <v>1217</v>
      </c>
      <c r="B888" t="s">
        <v>1218</v>
      </c>
      <c r="C888" t="s">
        <v>5</v>
      </c>
    </row>
    <row r="889" spans="1:3" x14ac:dyDescent="0.35">
      <c r="A889" t="s">
        <v>1219</v>
      </c>
      <c r="B889">
        <v>603010009</v>
      </c>
      <c r="C889" t="s">
        <v>7</v>
      </c>
    </row>
    <row r="890" spans="1:3" x14ac:dyDescent="0.35">
      <c r="A890" t="s">
        <v>1220</v>
      </c>
      <c r="B890">
        <v>605170011</v>
      </c>
      <c r="C890" t="s">
        <v>7</v>
      </c>
    </row>
    <row r="891" spans="1:3" x14ac:dyDescent="0.35">
      <c r="A891" t="s">
        <v>1221</v>
      </c>
      <c r="B891" t="s">
        <v>1222</v>
      </c>
      <c r="C891" t="s">
        <v>5</v>
      </c>
    </row>
    <row r="892" spans="1:3" x14ac:dyDescent="0.35">
      <c r="A892" t="s">
        <v>1223</v>
      </c>
      <c r="B892" t="s">
        <v>1224</v>
      </c>
      <c r="C892" t="s">
        <v>5</v>
      </c>
    </row>
    <row r="893" spans="1:3" x14ac:dyDescent="0.35">
      <c r="A893" t="s">
        <v>1225</v>
      </c>
      <c r="B893">
        <v>604100017</v>
      </c>
      <c r="C893" t="s">
        <v>7</v>
      </c>
    </row>
    <row r="894" spans="1:3" x14ac:dyDescent="0.35">
      <c r="A894" t="s">
        <v>1226</v>
      </c>
      <c r="B894" t="s">
        <v>1227</v>
      </c>
      <c r="C894" t="s">
        <v>5</v>
      </c>
    </row>
    <row r="895" spans="1:3" x14ac:dyDescent="0.35">
      <c r="A895" t="s">
        <v>1228</v>
      </c>
      <c r="B895" t="s">
        <v>1229</v>
      </c>
      <c r="C895" t="s">
        <v>5</v>
      </c>
    </row>
    <row r="896" spans="1:3" x14ac:dyDescent="0.35">
      <c r="A896" t="s">
        <v>1230</v>
      </c>
      <c r="B896" t="s">
        <v>1231</v>
      </c>
      <c r="C896" t="s">
        <v>5</v>
      </c>
    </row>
    <row r="897" spans="1:3" x14ac:dyDescent="0.35">
      <c r="A897" t="s">
        <v>1232</v>
      </c>
      <c r="B897" t="s">
        <v>1233</v>
      </c>
      <c r="C897" t="s">
        <v>5</v>
      </c>
    </row>
    <row r="898" spans="1:3" x14ac:dyDescent="0.35">
      <c r="A898" t="s">
        <v>1234</v>
      </c>
      <c r="B898">
        <v>604030025</v>
      </c>
      <c r="C898" t="s">
        <v>7</v>
      </c>
    </row>
    <row r="899" spans="1:3" x14ac:dyDescent="0.35">
      <c r="A899" t="s">
        <v>1235</v>
      </c>
      <c r="B899" t="s">
        <v>1236</v>
      </c>
      <c r="C899" t="s">
        <v>5</v>
      </c>
    </row>
    <row r="900" spans="1:3" x14ac:dyDescent="0.35">
      <c r="A900" t="s">
        <v>1237</v>
      </c>
      <c r="B900" t="s">
        <v>1238</v>
      </c>
      <c r="C900" t="s">
        <v>5</v>
      </c>
    </row>
    <row r="901" spans="1:3" x14ac:dyDescent="0.35">
      <c r="A901" t="s">
        <v>1239</v>
      </c>
      <c r="B901">
        <v>605020022</v>
      </c>
      <c r="C901" t="s">
        <v>7</v>
      </c>
    </row>
    <row r="902" spans="1:3" x14ac:dyDescent="0.35">
      <c r="A902" t="s">
        <v>1240</v>
      </c>
      <c r="B902" t="s">
        <v>1241</v>
      </c>
      <c r="C902" t="s">
        <v>5</v>
      </c>
    </row>
    <row r="903" spans="1:3" x14ac:dyDescent="0.35">
      <c r="A903" t="s">
        <v>1242</v>
      </c>
      <c r="B903" t="s">
        <v>1243</v>
      </c>
      <c r="C903" t="s">
        <v>5</v>
      </c>
    </row>
    <row r="904" spans="1:3" x14ac:dyDescent="0.35">
      <c r="A904" t="s">
        <v>1244</v>
      </c>
      <c r="B904">
        <v>605160007</v>
      </c>
      <c r="C904" t="s">
        <v>7</v>
      </c>
    </row>
    <row r="905" spans="1:3" x14ac:dyDescent="0.35">
      <c r="A905" t="s">
        <v>1244</v>
      </c>
      <c r="B905" t="s">
        <v>1245</v>
      </c>
      <c r="C905" t="s">
        <v>5</v>
      </c>
    </row>
    <row r="906" spans="1:3" x14ac:dyDescent="0.35">
      <c r="A906" t="s">
        <v>1246</v>
      </c>
      <c r="B906">
        <v>604170009</v>
      </c>
      <c r="C906" t="s">
        <v>7</v>
      </c>
    </row>
    <row r="907" spans="1:3" x14ac:dyDescent="0.35">
      <c r="A907" t="s">
        <v>1247</v>
      </c>
      <c r="B907" t="s">
        <v>1248</v>
      </c>
      <c r="C907" t="s">
        <v>5</v>
      </c>
    </row>
    <row r="908" spans="1:3" x14ac:dyDescent="0.35">
      <c r="A908" t="s">
        <v>1249</v>
      </c>
      <c r="B908" t="s">
        <v>1250</v>
      </c>
      <c r="C908" t="s">
        <v>5</v>
      </c>
    </row>
    <row r="909" spans="1:3" x14ac:dyDescent="0.35">
      <c r="A909" t="s">
        <v>1251</v>
      </c>
      <c r="B909" t="s">
        <v>1252</v>
      </c>
      <c r="C909" t="s">
        <v>5</v>
      </c>
    </row>
    <row r="910" spans="1:3" x14ac:dyDescent="0.35">
      <c r="A910" t="s">
        <v>1253</v>
      </c>
      <c r="B910" t="s">
        <v>1254</v>
      </c>
      <c r="C910" t="s">
        <v>5</v>
      </c>
    </row>
    <row r="911" spans="1:3" x14ac:dyDescent="0.35">
      <c r="A911" t="s">
        <v>1255</v>
      </c>
      <c r="B911">
        <v>609040016</v>
      </c>
      <c r="C911" t="s">
        <v>7</v>
      </c>
    </row>
    <row r="912" spans="1:3" x14ac:dyDescent="0.35">
      <c r="A912" t="s">
        <v>1256</v>
      </c>
      <c r="B912" t="s">
        <v>1257</v>
      </c>
      <c r="C912" t="s">
        <v>5</v>
      </c>
    </row>
    <row r="913" spans="1:3" x14ac:dyDescent="0.35">
      <c r="A913" t="s">
        <v>1258</v>
      </c>
      <c r="B913" t="s">
        <v>1259</v>
      </c>
      <c r="C913" t="s">
        <v>5</v>
      </c>
    </row>
    <row r="914" spans="1:3" x14ac:dyDescent="0.35">
      <c r="A914" t="s">
        <v>1260</v>
      </c>
      <c r="B914">
        <v>602110005</v>
      </c>
      <c r="C914" t="s">
        <v>7</v>
      </c>
    </row>
    <row r="915" spans="1:3" x14ac:dyDescent="0.35">
      <c r="A915" t="s">
        <v>1260</v>
      </c>
      <c r="B915">
        <v>621030007</v>
      </c>
      <c r="C915" t="s">
        <v>7</v>
      </c>
    </row>
    <row r="916" spans="1:3" x14ac:dyDescent="0.35">
      <c r="A916" t="s">
        <v>1261</v>
      </c>
      <c r="B916" t="s">
        <v>1262</v>
      </c>
      <c r="C916" t="s">
        <v>32</v>
      </c>
    </row>
    <row r="917" spans="1:3" x14ac:dyDescent="0.35">
      <c r="A917" t="s">
        <v>1263</v>
      </c>
      <c r="B917" t="s">
        <v>1264</v>
      </c>
      <c r="C917" t="s">
        <v>5</v>
      </c>
    </row>
    <row r="918" spans="1:3" x14ac:dyDescent="0.35">
      <c r="A918" t="s">
        <v>1265</v>
      </c>
      <c r="B918">
        <v>609010013</v>
      </c>
      <c r="C918" t="s">
        <v>7</v>
      </c>
    </row>
    <row r="919" spans="1:3" x14ac:dyDescent="0.35">
      <c r="A919" t="s">
        <v>1266</v>
      </c>
      <c r="B919" t="s">
        <v>1267</v>
      </c>
      <c r="C919" t="s">
        <v>50</v>
      </c>
    </row>
    <row r="920" spans="1:3" x14ac:dyDescent="0.35">
      <c r="A920" t="s">
        <v>1268</v>
      </c>
      <c r="B920" t="s">
        <v>1269</v>
      </c>
      <c r="C920" t="s">
        <v>32</v>
      </c>
    </row>
    <row r="921" spans="1:3" x14ac:dyDescent="0.35">
      <c r="A921" t="s">
        <v>1270</v>
      </c>
      <c r="B921" t="s">
        <v>1271</v>
      </c>
      <c r="C921" t="s">
        <v>5</v>
      </c>
    </row>
    <row r="922" spans="1:3" x14ac:dyDescent="0.35">
      <c r="A922" t="s">
        <v>1272</v>
      </c>
      <c r="B922" t="s">
        <v>1273</v>
      </c>
      <c r="C922" t="s">
        <v>5</v>
      </c>
    </row>
    <row r="923" spans="1:3" x14ac:dyDescent="0.35">
      <c r="A923" t="s">
        <v>1274</v>
      </c>
      <c r="B923">
        <v>604100016</v>
      </c>
      <c r="C923" t="s">
        <v>7</v>
      </c>
    </row>
    <row r="924" spans="1:3" x14ac:dyDescent="0.35">
      <c r="A924" t="s">
        <v>1275</v>
      </c>
      <c r="B924">
        <v>605110051</v>
      </c>
      <c r="C924" t="s">
        <v>7</v>
      </c>
    </row>
    <row r="925" spans="1:3" x14ac:dyDescent="0.35">
      <c r="A925" t="s">
        <v>1276</v>
      </c>
      <c r="B925">
        <v>604140019</v>
      </c>
      <c r="C925" t="s">
        <v>7</v>
      </c>
    </row>
    <row r="926" spans="1:3" x14ac:dyDescent="0.35">
      <c r="A926" t="s">
        <v>1277</v>
      </c>
      <c r="B926">
        <v>604090005</v>
      </c>
      <c r="C926" t="s">
        <v>7</v>
      </c>
    </row>
    <row r="927" spans="1:3" x14ac:dyDescent="0.35">
      <c r="A927" t="s">
        <v>1277</v>
      </c>
      <c r="B927" t="s">
        <v>1278</v>
      </c>
      <c r="C927" t="s">
        <v>32</v>
      </c>
    </row>
    <row r="928" spans="1:3" x14ac:dyDescent="0.35">
      <c r="A928" t="s">
        <v>1277</v>
      </c>
      <c r="B928" t="s">
        <v>1279</v>
      </c>
      <c r="C928" t="s">
        <v>5</v>
      </c>
    </row>
    <row r="929" spans="1:3" x14ac:dyDescent="0.35">
      <c r="A929" t="s">
        <v>1280</v>
      </c>
      <c r="B929" t="s">
        <v>1281</v>
      </c>
      <c r="C929" t="s">
        <v>5</v>
      </c>
    </row>
    <row r="930" spans="1:3" x14ac:dyDescent="0.35">
      <c r="A930" t="s">
        <v>1282</v>
      </c>
      <c r="B930">
        <v>621050014</v>
      </c>
      <c r="C930" t="s">
        <v>7</v>
      </c>
    </row>
    <row r="931" spans="1:3" x14ac:dyDescent="0.35">
      <c r="A931" t="s">
        <v>1283</v>
      </c>
      <c r="B931">
        <v>618100033</v>
      </c>
      <c r="C931" t="s">
        <v>7</v>
      </c>
    </row>
    <row r="932" spans="1:3" x14ac:dyDescent="0.35">
      <c r="A932" t="s">
        <v>1284</v>
      </c>
      <c r="B932">
        <v>604060009</v>
      </c>
      <c r="C932" t="s">
        <v>7</v>
      </c>
    </row>
    <row r="933" spans="1:3" x14ac:dyDescent="0.35">
      <c r="A933" t="s">
        <v>1284</v>
      </c>
      <c r="B933" t="s">
        <v>1285</v>
      </c>
      <c r="C933" t="s">
        <v>5</v>
      </c>
    </row>
    <row r="934" spans="1:3" x14ac:dyDescent="0.35">
      <c r="A934" t="s">
        <v>1286</v>
      </c>
      <c r="B934" t="s">
        <v>1287</v>
      </c>
      <c r="C934" t="s">
        <v>5</v>
      </c>
    </row>
    <row r="935" spans="1:3" x14ac:dyDescent="0.35">
      <c r="A935" t="s">
        <v>1288</v>
      </c>
      <c r="B935">
        <v>618010007</v>
      </c>
      <c r="C935" t="s">
        <v>7</v>
      </c>
    </row>
    <row r="936" spans="1:3" x14ac:dyDescent="0.35">
      <c r="A936" t="s">
        <v>1289</v>
      </c>
      <c r="B936">
        <v>603110005</v>
      </c>
      <c r="C936" t="s">
        <v>7</v>
      </c>
    </row>
    <row r="937" spans="1:3" x14ac:dyDescent="0.35">
      <c r="A937" t="s">
        <v>1290</v>
      </c>
      <c r="B937">
        <v>604130028</v>
      </c>
      <c r="C937" t="s">
        <v>7</v>
      </c>
    </row>
    <row r="938" spans="1:3" x14ac:dyDescent="0.35">
      <c r="A938" t="s">
        <v>1290</v>
      </c>
      <c r="B938">
        <v>605110002</v>
      </c>
      <c r="C938" t="s">
        <v>7</v>
      </c>
    </row>
    <row r="939" spans="1:3" x14ac:dyDescent="0.35">
      <c r="A939" t="s">
        <v>1290</v>
      </c>
      <c r="B939">
        <v>609030005</v>
      </c>
      <c r="C939" t="s">
        <v>7</v>
      </c>
    </row>
    <row r="940" spans="1:3" x14ac:dyDescent="0.35">
      <c r="A940" t="s">
        <v>1290</v>
      </c>
      <c r="B940">
        <v>621030008</v>
      </c>
      <c r="C940" t="s">
        <v>7</v>
      </c>
    </row>
    <row r="941" spans="1:3" x14ac:dyDescent="0.35">
      <c r="A941" t="s">
        <v>1290</v>
      </c>
      <c r="B941" t="s">
        <v>1291</v>
      </c>
      <c r="C941" t="s">
        <v>5</v>
      </c>
    </row>
    <row r="942" spans="1:3" x14ac:dyDescent="0.35">
      <c r="A942" t="s">
        <v>1292</v>
      </c>
      <c r="B942">
        <v>604200003</v>
      </c>
      <c r="C942" t="s">
        <v>7</v>
      </c>
    </row>
    <row r="943" spans="1:3" x14ac:dyDescent="0.35">
      <c r="A943" t="s">
        <v>1293</v>
      </c>
      <c r="B943">
        <v>604200004</v>
      </c>
      <c r="C943" t="s">
        <v>7</v>
      </c>
    </row>
    <row r="944" spans="1:3" x14ac:dyDescent="0.35">
      <c r="A944" t="s">
        <v>1294</v>
      </c>
      <c r="B944">
        <v>605150004</v>
      </c>
      <c r="C944" t="s">
        <v>7</v>
      </c>
    </row>
    <row r="945" spans="1:3" x14ac:dyDescent="0.35">
      <c r="A945" t="s">
        <v>1295</v>
      </c>
      <c r="B945">
        <v>603110015</v>
      </c>
      <c r="C945" t="s">
        <v>7</v>
      </c>
    </row>
    <row r="946" spans="1:3" x14ac:dyDescent="0.35">
      <c r="A946" t="s">
        <v>1295</v>
      </c>
      <c r="B946" t="s">
        <v>1296</v>
      </c>
      <c r="C946" t="s">
        <v>5</v>
      </c>
    </row>
    <row r="947" spans="1:3" x14ac:dyDescent="0.35">
      <c r="A947" t="s">
        <v>1297</v>
      </c>
      <c r="B947" t="s">
        <v>1298</v>
      </c>
      <c r="C947" t="s">
        <v>5</v>
      </c>
    </row>
    <row r="948" spans="1:3" x14ac:dyDescent="0.35">
      <c r="A948" t="s">
        <v>1299</v>
      </c>
      <c r="B948">
        <v>604140001</v>
      </c>
      <c r="C948" t="s">
        <v>7</v>
      </c>
    </row>
    <row r="949" spans="1:3" x14ac:dyDescent="0.35">
      <c r="A949" t="s">
        <v>1300</v>
      </c>
      <c r="B949" t="s">
        <v>1301</v>
      </c>
      <c r="C949" t="s">
        <v>5</v>
      </c>
    </row>
    <row r="950" spans="1:3" x14ac:dyDescent="0.35">
      <c r="A950" t="s">
        <v>1302</v>
      </c>
      <c r="B950">
        <v>603060040</v>
      </c>
      <c r="C950" t="s">
        <v>7</v>
      </c>
    </row>
    <row r="951" spans="1:3" x14ac:dyDescent="0.35">
      <c r="A951" t="s">
        <v>1303</v>
      </c>
      <c r="B951" t="s">
        <v>1304</v>
      </c>
      <c r="C951" t="s">
        <v>5</v>
      </c>
    </row>
    <row r="952" spans="1:3" x14ac:dyDescent="0.35">
      <c r="A952" t="s">
        <v>1305</v>
      </c>
      <c r="B952" t="s">
        <v>1306</v>
      </c>
      <c r="C952" t="s">
        <v>5</v>
      </c>
    </row>
    <row r="953" spans="1:3" x14ac:dyDescent="0.35">
      <c r="A953" t="s">
        <v>1307</v>
      </c>
      <c r="B953" t="s">
        <v>1308</v>
      </c>
      <c r="C953" t="s">
        <v>5</v>
      </c>
    </row>
    <row r="954" spans="1:3" x14ac:dyDescent="0.35">
      <c r="A954" t="s">
        <v>1309</v>
      </c>
      <c r="B954" t="s">
        <v>1310</v>
      </c>
      <c r="C954" t="s">
        <v>5</v>
      </c>
    </row>
    <row r="955" spans="1:3" x14ac:dyDescent="0.35">
      <c r="A955" t="s">
        <v>1311</v>
      </c>
      <c r="B955">
        <v>604140009</v>
      </c>
      <c r="C955" t="s">
        <v>7</v>
      </c>
    </row>
    <row r="956" spans="1:3" x14ac:dyDescent="0.35">
      <c r="A956" t="s">
        <v>1312</v>
      </c>
      <c r="B956" t="s">
        <v>1313</v>
      </c>
      <c r="C956" t="s">
        <v>5</v>
      </c>
    </row>
    <row r="957" spans="1:3" x14ac:dyDescent="0.35">
      <c r="A957" t="s">
        <v>1314</v>
      </c>
      <c r="B957" t="s">
        <v>1315</v>
      </c>
      <c r="C957" t="s">
        <v>5</v>
      </c>
    </row>
    <row r="958" spans="1:3" x14ac:dyDescent="0.35">
      <c r="A958" t="s">
        <v>1316</v>
      </c>
      <c r="B958">
        <v>605120007</v>
      </c>
      <c r="C958" t="s">
        <v>7</v>
      </c>
    </row>
    <row r="959" spans="1:3" x14ac:dyDescent="0.35">
      <c r="A959" t="s">
        <v>1316</v>
      </c>
      <c r="B959" t="s">
        <v>1317</v>
      </c>
      <c r="C959" t="s">
        <v>5</v>
      </c>
    </row>
    <row r="960" spans="1:3" x14ac:dyDescent="0.35">
      <c r="A960" t="s">
        <v>1318</v>
      </c>
      <c r="B960" t="s">
        <v>1319</v>
      </c>
      <c r="C960" t="s">
        <v>32</v>
      </c>
    </row>
    <row r="961" spans="1:3" x14ac:dyDescent="0.35">
      <c r="A961" t="s">
        <v>1320</v>
      </c>
      <c r="B961" t="s">
        <v>1321</v>
      </c>
      <c r="C961" t="s">
        <v>5</v>
      </c>
    </row>
    <row r="962" spans="1:3" x14ac:dyDescent="0.35">
      <c r="A962" t="s">
        <v>1322</v>
      </c>
      <c r="B962" t="s">
        <v>1323</v>
      </c>
      <c r="C962" t="s">
        <v>5</v>
      </c>
    </row>
    <row r="963" spans="1:3" x14ac:dyDescent="0.35">
      <c r="A963" t="s">
        <v>1324</v>
      </c>
      <c r="B963" t="s">
        <v>1325</v>
      </c>
      <c r="C963" t="s">
        <v>5</v>
      </c>
    </row>
    <row r="964" spans="1:3" x14ac:dyDescent="0.35">
      <c r="A964" t="s">
        <v>1326</v>
      </c>
      <c r="B964">
        <v>604130006</v>
      </c>
      <c r="C964" t="s">
        <v>7</v>
      </c>
    </row>
    <row r="965" spans="1:3" x14ac:dyDescent="0.35">
      <c r="A965" t="s">
        <v>1327</v>
      </c>
      <c r="B965" t="s">
        <v>1328</v>
      </c>
      <c r="C965" t="s">
        <v>5</v>
      </c>
    </row>
    <row r="966" spans="1:3" x14ac:dyDescent="0.35">
      <c r="A966" t="s">
        <v>1329</v>
      </c>
      <c r="B966">
        <v>604130007</v>
      </c>
      <c r="C966" t="s">
        <v>7</v>
      </c>
    </row>
    <row r="967" spans="1:3" x14ac:dyDescent="0.35">
      <c r="A967" t="s">
        <v>1329</v>
      </c>
      <c r="B967">
        <v>609010054</v>
      </c>
      <c r="C967" t="s">
        <v>7</v>
      </c>
    </row>
    <row r="968" spans="1:3" x14ac:dyDescent="0.35">
      <c r="A968" t="s">
        <v>1329</v>
      </c>
      <c r="B968">
        <v>614060010</v>
      </c>
      <c r="C968" t="s">
        <v>7</v>
      </c>
    </row>
    <row r="969" spans="1:3" x14ac:dyDescent="0.35">
      <c r="A969" t="s">
        <v>1330</v>
      </c>
      <c r="B969" t="s">
        <v>1331</v>
      </c>
      <c r="C969" t="s">
        <v>5</v>
      </c>
    </row>
    <row r="970" spans="1:3" x14ac:dyDescent="0.35">
      <c r="A970" t="s">
        <v>1332</v>
      </c>
      <c r="B970">
        <v>621080014</v>
      </c>
      <c r="C970" t="s">
        <v>7</v>
      </c>
    </row>
    <row r="971" spans="1:3" x14ac:dyDescent="0.35">
      <c r="A971" t="s">
        <v>1332</v>
      </c>
      <c r="B971" t="s">
        <v>1333</v>
      </c>
      <c r="C971" t="s">
        <v>5</v>
      </c>
    </row>
    <row r="972" spans="1:3" x14ac:dyDescent="0.35">
      <c r="A972" t="s">
        <v>1334</v>
      </c>
      <c r="B972" t="s">
        <v>1335</v>
      </c>
      <c r="C972" t="s">
        <v>5</v>
      </c>
    </row>
    <row r="973" spans="1:3" x14ac:dyDescent="0.35">
      <c r="A973" t="s">
        <v>1336</v>
      </c>
      <c r="B973">
        <v>609040037</v>
      </c>
      <c r="C973" t="s">
        <v>7</v>
      </c>
    </row>
    <row r="974" spans="1:3" x14ac:dyDescent="0.35">
      <c r="A974" t="s">
        <v>1336</v>
      </c>
      <c r="B974" t="s">
        <v>1337</v>
      </c>
      <c r="C974" t="s">
        <v>5</v>
      </c>
    </row>
    <row r="975" spans="1:3" x14ac:dyDescent="0.35">
      <c r="A975" t="s">
        <v>1338</v>
      </c>
      <c r="B975">
        <v>609030015</v>
      </c>
      <c r="C975" t="s">
        <v>7</v>
      </c>
    </row>
    <row r="976" spans="1:3" x14ac:dyDescent="0.35">
      <c r="A976" t="s">
        <v>1339</v>
      </c>
      <c r="B976">
        <v>604100018</v>
      </c>
      <c r="C976" t="s">
        <v>7</v>
      </c>
    </row>
    <row r="977" spans="1:3" x14ac:dyDescent="0.35">
      <c r="A977" t="s">
        <v>1340</v>
      </c>
      <c r="B977" t="s">
        <v>1341</v>
      </c>
      <c r="C977" t="s">
        <v>5</v>
      </c>
    </row>
    <row r="978" spans="1:3" x14ac:dyDescent="0.35">
      <c r="A978" t="s">
        <v>1342</v>
      </c>
      <c r="B978">
        <v>612070001</v>
      </c>
      <c r="C978" t="s">
        <v>7</v>
      </c>
    </row>
    <row r="979" spans="1:3" x14ac:dyDescent="0.35">
      <c r="A979" t="s">
        <v>1343</v>
      </c>
      <c r="B979" t="s">
        <v>1344</v>
      </c>
      <c r="C979" t="s">
        <v>5</v>
      </c>
    </row>
    <row r="980" spans="1:3" x14ac:dyDescent="0.35">
      <c r="A980" t="s">
        <v>1345</v>
      </c>
      <c r="B980" t="s">
        <v>1346</v>
      </c>
      <c r="C980" t="s">
        <v>50</v>
      </c>
    </row>
    <row r="981" spans="1:3" x14ac:dyDescent="0.35">
      <c r="A981" t="s">
        <v>1347</v>
      </c>
      <c r="B981" t="s">
        <v>1348</v>
      </c>
      <c r="C981" t="s">
        <v>5</v>
      </c>
    </row>
    <row r="982" spans="1:3" x14ac:dyDescent="0.35">
      <c r="A982" t="s">
        <v>1349</v>
      </c>
      <c r="B982">
        <v>605040008</v>
      </c>
      <c r="C982" t="s">
        <v>7</v>
      </c>
    </row>
    <row r="983" spans="1:3" x14ac:dyDescent="0.35">
      <c r="A983" t="s">
        <v>1349</v>
      </c>
      <c r="B983" t="s">
        <v>1350</v>
      </c>
      <c r="C983" t="s">
        <v>5</v>
      </c>
    </row>
    <row r="984" spans="1:3" x14ac:dyDescent="0.35">
      <c r="A984" t="s">
        <v>1351</v>
      </c>
      <c r="B984">
        <v>605120008</v>
      </c>
      <c r="C984" t="s">
        <v>7</v>
      </c>
    </row>
    <row r="985" spans="1:3" x14ac:dyDescent="0.35">
      <c r="A985" t="s">
        <v>1352</v>
      </c>
      <c r="B985">
        <v>604030003</v>
      </c>
      <c r="C985" t="s">
        <v>7</v>
      </c>
    </row>
    <row r="986" spans="1:3" x14ac:dyDescent="0.35">
      <c r="A986" t="s">
        <v>1353</v>
      </c>
      <c r="B986" t="s">
        <v>1354</v>
      </c>
      <c r="C986" t="s">
        <v>5</v>
      </c>
    </row>
    <row r="987" spans="1:3" x14ac:dyDescent="0.35">
      <c r="A987" t="s">
        <v>1355</v>
      </c>
      <c r="B987" t="s">
        <v>1356</v>
      </c>
      <c r="C987" t="s">
        <v>5</v>
      </c>
    </row>
    <row r="988" spans="1:3" x14ac:dyDescent="0.35">
      <c r="A988" t="s">
        <v>1357</v>
      </c>
      <c r="B988">
        <v>603140007</v>
      </c>
      <c r="C988" t="s">
        <v>7</v>
      </c>
    </row>
    <row r="989" spans="1:3" x14ac:dyDescent="0.35">
      <c r="A989" t="s">
        <v>1357</v>
      </c>
      <c r="B989" t="s">
        <v>1358</v>
      </c>
      <c r="C989" t="s">
        <v>5</v>
      </c>
    </row>
    <row r="990" spans="1:3" x14ac:dyDescent="0.35">
      <c r="A990" t="s">
        <v>1359</v>
      </c>
      <c r="B990" t="s">
        <v>1360</v>
      </c>
      <c r="C990" t="s">
        <v>50</v>
      </c>
    </row>
    <row r="991" spans="1:3" x14ac:dyDescent="0.35">
      <c r="A991" t="s">
        <v>1361</v>
      </c>
      <c r="B991">
        <v>621040010</v>
      </c>
      <c r="C991" t="s">
        <v>7</v>
      </c>
    </row>
    <row r="992" spans="1:3" x14ac:dyDescent="0.35">
      <c r="A992" t="s">
        <v>1362</v>
      </c>
      <c r="B992">
        <v>621080015</v>
      </c>
      <c r="C992" t="s">
        <v>7</v>
      </c>
    </row>
    <row r="993" spans="1:3" x14ac:dyDescent="0.35">
      <c r="A993" t="s">
        <v>1362</v>
      </c>
      <c r="B993" t="s">
        <v>1363</v>
      </c>
      <c r="C993" t="s">
        <v>5</v>
      </c>
    </row>
    <row r="994" spans="1:3" x14ac:dyDescent="0.35">
      <c r="A994" t="s">
        <v>1364</v>
      </c>
      <c r="B994" t="s">
        <v>1365</v>
      </c>
      <c r="C994" t="s">
        <v>32</v>
      </c>
    </row>
    <row r="995" spans="1:3" x14ac:dyDescent="0.35">
      <c r="A995" t="s">
        <v>1366</v>
      </c>
      <c r="B995">
        <v>609040017</v>
      </c>
      <c r="C995" t="s">
        <v>7</v>
      </c>
    </row>
    <row r="996" spans="1:3" x14ac:dyDescent="0.35">
      <c r="A996" t="s">
        <v>1367</v>
      </c>
      <c r="B996">
        <v>614210006</v>
      </c>
      <c r="C996" t="s">
        <v>7</v>
      </c>
    </row>
    <row r="997" spans="1:3" x14ac:dyDescent="0.35">
      <c r="A997" t="s">
        <v>1367</v>
      </c>
      <c r="B997" t="s">
        <v>1368</v>
      </c>
      <c r="C997" t="s">
        <v>5</v>
      </c>
    </row>
    <row r="998" spans="1:3" x14ac:dyDescent="0.35">
      <c r="A998" t="s">
        <v>1369</v>
      </c>
      <c r="B998">
        <v>607100006</v>
      </c>
      <c r="C998" t="s">
        <v>7</v>
      </c>
    </row>
    <row r="999" spans="1:3" x14ac:dyDescent="0.35">
      <c r="A999" t="s">
        <v>1369</v>
      </c>
      <c r="B999" t="s">
        <v>1370</v>
      </c>
      <c r="C999" t="s">
        <v>5</v>
      </c>
    </row>
    <row r="1000" spans="1:3" x14ac:dyDescent="0.35">
      <c r="A1000" t="s">
        <v>1371</v>
      </c>
      <c r="B1000">
        <v>621050046</v>
      </c>
      <c r="C1000" t="s">
        <v>7</v>
      </c>
    </row>
    <row r="1001" spans="1:3" x14ac:dyDescent="0.35">
      <c r="A1001" t="s">
        <v>1372</v>
      </c>
      <c r="B1001" t="s">
        <v>1373</v>
      </c>
      <c r="C1001" t="s">
        <v>32</v>
      </c>
    </row>
    <row r="1002" spans="1:3" x14ac:dyDescent="0.35">
      <c r="A1002" t="s">
        <v>1374</v>
      </c>
      <c r="B1002">
        <v>609020013</v>
      </c>
      <c r="C1002" t="s">
        <v>7</v>
      </c>
    </row>
    <row r="1003" spans="1:3" x14ac:dyDescent="0.35">
      <c r="A1003" t="s">
        <v>1375</v>
      </c>
      <c r="B1003" t="s">
        <v>1376</v>
      </c>
      <c r="C1003" t="s">
        <v>5</v>
      </c>
    </row>
    <row r="1004" spans="1:3" x14ac:dyDescent="0.35">
      <c r="A1004" t="s">
        <v>1377</v>
      </c>
      <c r="B1004">
        <v>607080006</v>
      </c>
      <c r="C1004" t="s">
        <v>7</v>
      </c>
    </row>
    <row r="1005" spans="1:3" x14ac:dyDescent="0.35">
      <c r="A1005" t="s">
        <v>1377</v>
      </c>
      <c r="B1005" t="s">
        <v>1378</v>
      </c>
      <c r="C1005" t="s">
        <v>5</v>
      </c>
    </row>
    <row r="1006" spans="1:3" x14ac:dyDescent="0.35">
      <c r="A1006" t="s">
        <v>1379</v>
      </c>
      <c r="B1006" t="s">
        <v>1380</v>
      </c>
      <c r="C1006" t="s">
        <v>50</v>
      </c>
    </row>
    <row r="1007" spans="1:3" x14ac:dyDescent="0.35">
      <c r="A1007" t="s">
        <v>1381</v>
      </c>
      <c r="B1007" t="s">
        <v>1382</v>
      </c>
      <c r="C1007" t="s">
        <v>50</v>
      </c>
    </row>
    <row r="1008" spans="1:3" x14ac:dyDescent="0.35">
      <c r="A1008" t="s">
        <v>1383</v>
      </c>
      <c r="B1008">
        <v>618090014</v>
      </c>
      <c r="C1008" t="s">
        <v>7</v>
      </c>
    </row>
    <row r="1009" spans="1:3" x14ac:dyDescent="0.35">
      <c r="A1009" t="s">
        <v>1384</v>
      </c>
      <c r="B1009">
        <v>607080007</v>
      </c>
      <c r="C1009" t="s">
        <v>7</v>
      </c>
    </row>
    <row r="1010" spans="1:3" x14ac:dyDescent="0.35">
      <c r="A1010" t="s">
        <v>1384</v>
      </c>
      <c r="B1010" t="s">
        <v>1385</v>
      </c>
      <c r="C1010" t="s">
        <v>5</v>
      </c>
    </row>
    <row r="1011" spans="1:3" x14ac:dyDescent="0.35">
      <c r="A1011" t="s">
        <v>1386</v>
      </c>
      <c r="B1011" t="s">
        <v>1387</v>
      </c>
      <c r="C1011" t="s">
        <v>5</v>
      </c>
    </row>
    <row r="1012" spans="1:3" x14ac:dyDescent="0.35">
      <c r="A1012" t="s">
        <v>1388</v>
      </c>
      <c r="B1012">
        <v>604010009</v>
      </c>
      <c r="C1012" t="s">
        <v>7</v>
      </c>
    </row>
    <row r="1013" spans="1:3" x14ac:dyDescent="0.35">
      <c r="A1013" t="s">
        <v>1389</v>
      </c>
      <c r="B1013" t="s">
        <v>1390</v>
      </c>
      <c r="C1013" t="s">
        <v>5</v>
      </c>
    </row>
    <row r="1014" spans="1:3" x14ac:dyDescent="0.35">
      <c r="A1014" t="s">
        <v>1391</v>
      </c>
      <c r="B1014" t="s">
        <v>1392</v>
      </c>
      <c r="C1014" t="s">
        <v>50</v>
      </c>
    </row>
    <row r="1015" spans="1:3" x14ac:dyDescent="0.35">
      <c r="A1015" t="s">
        <v>1393</v>
      </c>
      <c r="B1015" t="s">
        <v>1394</v>
      </c>
      <c r="C1015" t="s">
        <v>50</v>
      </c>
    </row>
    <row r="1016" spans="1:3" x14ac:dyDescent="0.35">
      <c r="A1016" t="s">
        <v>1395</v>
      </c>
      <c r="B1016" t="s">
        <v>1396</v>
      </c>
      <c r="C1016" t="s">
        <v>50</v>
      </c>
    </row>
    <row r="1017" spans="1:3" x14ac:dyDescent="0.35">
      <c r="A1017" t="s">
        <v>1397</v>
      </c>
      <c r="B1017" t="s">
        <v>1398</v>
      </c>
      <c r="C1017" t="s">
        <v>50</v>
      </c>
    </row>
    <row r="1018" spans="1:3" x14ac:dyDescent="0.35">
      <c r="A1018" t="s">
        <v>1399</v>
      </c>
      <c r="B1018">
        <v>603020005</v>
      </c>
      <c r="C1018" t="s">
        <v>7</v>
      </c>
    </row>
    <row r="1019" spans="1:3" x14ac:dyDescent="0.35">
      <c r="A1019" t="s">
        <v>1400</v>
      </c>
      <c r="B1019" t="s">
        <v>1401</v>
      </c>
      <c r="C1019" t="s">
        <v>5</v>
      </c>
    </row>
    <row r="1020" spans="1:3" x14ac:dyDescent="0.35">
      <c r="A1020" t="s">
        <v>1402</v>
      </c>
      <c r="B1020" t="s">
        <v>1403</v>
      </c>
      <c r="C1020" t="s">
        <v>50</v>
      </c>
    </row>
    <row r="1021" spans="1:3" x14ac:dyDescent="0.35">
      <c r="A1021" t="s">
        <v>1404</v>
      </c>
      <c r="B1021" t="s">
        <v>1405</v>
      </c>
      <c r="C1021" t="s">
        <v>5</v>
      </c>
    </row>
    <row r="1022" spans="1:3" x14ac:dyDescent="0.35">
      <c r="A1022" t="s">
        <v>1406</v>
      </c>
      <c r="B1022" t="s">
        <v>1407</v>
      </c>
      <c r="C1022" t="s">
        <v>5</v>
      </c>
    </row>
    <row r="1023" spans="1:3" x14ac:dyDescent="0.35">
      <c r="A1023" t="s">
        <v>1408</v>
      </c>
      <c r="B1023" t="s">
        <v>1409</v>
      </c>
      <c r="C1023" t="s">
        <v>32</v>
      </c>
    </row>
    <row r="1024" spans="1:3" x14ac:dyDescent="0.35">
      <c r="A1024" t="s">
        <v>1410</v>
      </c>
      <c r="B1024">
        <v>117020015</v>
      </c>
      <c r="C1024" t="s">
        <v>7</v>
      </c>
    </row>
    <row r="1025" spans="1:3" x14ac:dyDescent="0.35">
      <c r="A1025" t="s">
        <v>1411</v>
      </c>
      <c r="B1025" t="s">
        <v>1412</v>
      </c>
      <c r="C1025" t="s">
        <v>5</v>
      </c>
    </row>
    <row r="1026" spans="1:3" x14ac:dyDescent="0.35">
      <c r="A1026" t="s">
        <v>1413</v>
      </c>
      <c r="B1026" t="s">
        <v>1414</v>
      </c>
      <c r="C1026" t="s">
        <v>32</v>
      </c>
    </row>
    <row r="1027" spans="1:3" x14ac:dyDescent="0.35">
      <c r="A1027" t="s">
        <v>1413</v>
      </c>
      <c r="B1027" t="s">
        <v>1415</v>
      </c>
      <c r="C1027" t="s">
        <v>50</v>
      </c>
    </row>
    <row r="1028" spans="1:3" x14ac:dyDescent="0.35">
      <c r="A1028" t="s">
        <v>1416</v>
      </c>
      <c r="B1028">
        <v>306110003</v>
      </c>
      <c r="C1028" t="s">
        <v>7</v>
      </c>
    </row>
    <row r="1029" spans="1:3" x14ac:dyDescent="0.35">
      <c r="A1029" t="s">
        <v>1417</v>
      </c>
      <c r="B1029">
        <v>621050017</v>
      </c>
      <c r="C1029" t="s">
        <v>7</v>
      </c>
    </row>
    <row r="1030" spans="1:3" x14ac:dyDescent="0.35">
      <c r="A1030" t="s">
        <v>1417</v>
      </c>
      <c r="B1030" t="s">
        <v>1418</v>
      </c>
      <c r="C1030" t="s">
        <v>5</v>
      </c>
    </row>
    <row r="1031" spans="1:3" x14ac:dyDescent="0.35">
      <c r="A1031" t="s">
        <v>1419</v>
      </c>
      <c r="B1031">
        <v>621030009</v>
      </c>
      <c r="C1031" t="s">
        <v>7</v>
      </c>
    </row>
    <row r="1032" spans="1:3" x14ac:dyDescent="0.35">
      <c r="A1032" t="s">
        <v>1420</v>
      </c>
      <c r="B1032">
        <v>604130008</v>
      </c>
      <c r="C1032" t="s">
        <v>7</v>
      </c>
    </row>
    <row r="1033" spans="1:3" x14ac:dyDescent="0.35">
      <c r="A1033" t="s">
        <v>1421</v>
      </c>
      <c r="B1033">
        <v>604140002</v>
      </c>
      <c r="C1033" t="s">
        <v>7</v>
      </c>
    </row>
    <row r="1034" spans="1:3" x14ac:dyDescent="0.35">
      <c r="A1034" t="s">
        <v>1422</v>
      </c>
      <c r="B1034" t="s">
        <v>1423</v>
      </c>
      <c r="C1034" t="s">
        <v>5</v>
      </c>
    </row>
    <row r="1035" spans="1:3" x14ac:dyDescent="0.35">
      <c r="A1035" t="s">
        <v>1424</v>
      </c>
      <c r="B1035" t="s">
        <v>1425</v>
      </c>
      <c r="C1035" t="s">
        <v>5</v>
      </c>
    </row>
    <row r="1036" spans="1:3" x14ac:dyDescent="0.35">
      <c r="A1036" t="s">
        <v>1426</v>
      </c>
      <c r="B1036" t="s">
        <v>1427</v>
      </c>
      <c r="C1036" t="s">
        <v>5</v>
      </c>
    </row>
    <row r="1037" spans="1:3" x14ac:dyDescent="0.35">
      <c r="A1037" t="s">
        <v>1428</v>
      </c>
      <c r="B1037" t="s">
        <v>1429</v>
      </c>
      <c r="C1037" t="s">
        <v>5</v>
      </c>
    </row>
    <row r="1038" spans="1:3" x14ac:dyDescent="0.35">
      <c r="A1038" t="s">
        <v>1430</v>
      </c>
      <c r="B1038">
        <v>614050009</v>
      </c>
      <c r="C1038" t="s">
        <v>7</v>
      </c>
    </row>
    <row r="1039" spans="1:3" x14ac:dyDescent="0.35">
      <c r="A1039" t="s">
        <v>1431</v>
      </c>
      <c r="B1039" t="s">
        <v>1432</v>
      </c>
      <c r="C1039" t="s">
        <v>32</v>
      </c>
    </row>
    <row r="1040" spans="1:3" x14ac:dyDescent="0.35">
      <c r="A1040" t="s">
        <v>1433</v>
      </c>
      <c r="B1040">
        <v>604130009</v>
      </c>
      <c r="C1040" t="s">
        <v>7</v>
      </c>
    </row>
    <row r="1041" spans="1:3" x14ac:dyDescent="0.35">
      <c r="A1041" t="s">
        <v>1433</v>
      </c>
      <c r="B1041" t="s">
        <v>1434</v>
      </c>
      <c r="C1041" t="s">
        <v>5</v>
      </c>
    </row>
    <row r="1042" spans="1:3" x14ac:dyDescent="0.35">
      <c r="A1042" t="s">
        <v>1435</v>
      </c>
      <c r="B1042">
        <v>605100017</v>
      </c>
      <c r="C1042" t="s">
        <v>7</v>
      </c>
    </row>
    <row r="1043" spans="1:3" x14ac:dyDescent="0.35">
      <c r="A1043" t="s">
        <v>1435</v>
      </c>
      <c r="B1043" t="s">
        <v>1436</v>
      </c>
      <c r="C1043" t="s">
        <v>32</v>
      </c>
    </row>
    <row r="1044" spans="1:3" x14ac:dyDescent="0.35">
      <c r="A1044" t="s">
        <v>1437</v>
      </c>
      <c r="B1044" t="s">
        <v>1438</v>
      </c>
      <c r="C1044" t="s">
        <v>5</v>
      </c>
    </row>
    <row r="1045" spans="1:3" x14ac:dyDescent="0.35">
      <c r="A1045" t="s">
        <v>1439</v>
      </c>
      <c r="B1045">
        <v>612030006</v>
      </c>
      <c r="C1045" t="s">
        <v>7</v>
      </c>
    </row>
    <row r="1046" spans="1:3" x14ac:dyDescent="0.35">
      <c r="A1046" t="s">
        <v>1439</v>
      </c>
      <c r="B1046" t="s">
        <v>1440</v>
      </c>
      <c r="C1046" t="s">
        <v>5</v>
      </c>
    </row>
    <row r="1047" spans="1:3" x14ac:dyDescent="0.35">
      <c r="A1047" t="s">
        <v>1441</v>
      </c>
      <c r="B1047">
        <v>117010004</v>
      </c>
      <c r="C1047" t="s">
        <v>7</v>
      </c>
    </row>
    <row r="1048" spans="1:3" x14ac:dyDescent="0.35">
      <c r="A1048" t="s">
        <v>1442</v>
      </c>
      <c r="B1048">
        <v>605160008</v>
      </c>
      <c r="C1048" t="s">
        <v>7</v>
      </c>
    </row>
    <row r="1049" spans="1:3" x14ac:dyDescent="0.35">
      <c r="A1049" t="s">
        <v>1442</v>
      </c>
      <c r="B1049" t="s">
        <v>1443</v>
      </c>
      <c r="C1049" t="s">
        <v>5</v>
      </c>
    </row>
    <row r="1050" spans="1:3" x14ac:dyDescent="0.35">
      <c r="A1050" t="s">
        <v>1444</v>
      </c>
      <c r="B1050" t="s">
        <v>1445</v>
      </c>
      <c r="C1050" t="s">
        <v>5</v>
      </c>
    </row>
    <row r="1051" spans="1:3" x14ac:dyDescent="0.35">
      <c r="A1051" t="s">
        <v>1446</v>
      </c>
      <c r="B1051">
        <v>309290008</v>
      </c>
      <c r="C1051" t="s">
        <v>7</v>
      </c>
    </row>
    <row r="1052" spans="1:3" x14ac:dyDescent="0.35">
      <c r="A1052" t="s">
        <v>1447</v>
      </c>
      <c r="B1052">
        <v>317070011</v>
      </c>
      <c r="C1052" t="s">
        <v>7</v>
      </c>
    </row>
    <row r="1053" spans="1:3" x14ac:dyDescent="0.35">
      <c r="A1053" t="s">
        <v>1448</v>
      </c>
      <c r="B1053">
        <v>111050012</v>
      </c>
      <c r="C1053" t="s">
        <v>7</v>
      </c>
    </row>
    <row r="1054" spans="1:3" x14ac:dyDescent="0.35">
      <c r="A1054" t="s">
        <v>1448</v>
      </c>
      <c r="B1054" t="s">
        <v>1449</v>
      </c>
      <c r="C1054" t="s">
        <v>5</v>
      </c>
    </row>
    <row r="1055" spans="1:3" x14ac:dyDescent="0.35">
      <c r="A1055" t="s">
        <v>1450</v>
      </c>
      <c r="B1055">
        <v>306110004</v>
      </c>
      <c r="C1055" t="s">
        <v>7</v>
      </c>
    </row>
    <row r="1056" spans="1:3" x14ac:dyDescent="0.35">
      <c r="A1056" t="s">
        <v>1451</v>
      </c>
      <c r="B1056">
        <v>621070007</v>
      </c>
      <c r="C1056" t="s">
        <v>7</v>
      </c>
    </row>
    <row r="1057" spans="1:3" x14ac:dyDescent="0.35">
      <c r="A1057" t="s">
        <v>1452</v>
      </c>
      <c r="B1057">
        <v>607060003</v>
      </c>
      <c r="C1057" t="s">
        <v>7</v>
      </c>
    </row>
    <row r="1058" spans="1:3" x14ac:dyDescent="0.35">
      <c r="A1058" t="s">
        <v>1453</v>
      </c>
      <c r="B1058" t="s">
        <v>1454</v>
      </c>
      <c r="C1058" t="s">
        <v>5</v>
      </c>
    </row>
    <row r="1059" spans="1:3" x14ac:dyDescent="0.35">
      <c r="A1059" t="s">
        <v>1453</v>
      </c>
      <c r="B1059" t="s">
        <v>1455</v>
      </c>
      <c r="C1059" t="s">
        <v>32</v>
      </c>
    </row>
    <row r="1060" spans="1:3" x14ac:dyDescent="0.35">
      <c r="A1060" t="s">
        <v>1456</v>
      </c>
      <c r="B1060">
        <v>614150028</v>
      </c>
      <c r="C1060" t="s">
        <v>7</v>
      </c>
    </row>
    <row r="1061" spans="1:3" x14ac:dyDescent="0.35">
      <c r="A1061" t="s">
        <v>1457</v>
      </c>
      <c r="B1061">
        <v>605070010</v>
      </c>
      <c r="C1061" t="s">
        <v>7</v>
      </c>
    </row>
    <row r="1062" spans="1:3" x14ac:dyDescent="0.35">
      <c r="A1062" t="s">
        <v>1457</v>
      </c>
      <c r="B1062">
        <v>605100041</v>
      </c>
      <c r="C1062" t="s">
        <v>7</v>
      </c>
    </row>
    <row r="1063" spans="1:3" x14ac:dyDescent="0.35">
      <c r="A1063" t="s">
        <v>1457</v>
      </c>
      <c r="B1063" t="s">
        <v>1458</v>
      </c>
      <c r="C1063" t="s">
        <v>5</v>
      </c>
    </row>
    <row r="1064" spans="1:3" x14ac:dyDescent="0.35">
      <c r="A1064" t="s">
        <v>1457</v>
      </c>
      <c r="B1064" t="s">
        <v>1459</v>
      </c>
      <c r="C1064" t="s">
        <v>32</v>
      </c>
    </row>
    <row r="1065" spans="1:3" x14ac:dyDescent="0.35">
      <c r="A1065" t="s">
        <v>1460</v>
      </c>
      <c r="B1065" t="s">
        <v>1461</v>
      </c>
      <c r="C1065" t="s">
        <v>32</v>
      </c>
    </row>
    <row r="1066" spans="1:3" x14ac:dyDescent="0.35">
      <c r="A1066" t="s">
        <v>1462</v>
      </c>
      <c r="B1066" t="s">
        <v>1463</v>
      </c>
      <c r="C1066" t="s">
        <v>5</v>
      </c>
    </row>
    <row r="1067" spans="1:3" x14ac:dyDescent="0.35">
      <c r="A1067" t="s">
        <v>1464</v>
      </c>
      <c r="B1067" t="s">
        <v>1465</v>
      </c>
      <c r="C1067" t="s">
        <v>50</v>
      </c>
    </row>
    <row r="1068" spans="1:3" x14ac:dyDescent="0.35">
      <c r="A1068" t="s">
        <v>1466</v>
      </c>
      <c r="B1068" t="s">
        <v>1467</v>
      </c>
      <c r="C1068" t="s">
        <v>5</v>
      </c>
    </row>
    <row r="1069" spans="1:3" x14ac:dyDescent="0.35">
      <c r="A1069" t="s">
        <v>1468</v>
      </c>
      <c r="B1069">
        <v>621050018</v>
      </c>
      <c r="C1069" t="s">
        <v>7</v>
      </c>
    </row>
    <row r="1070" spans="1:3" x14ac:dyDescent="0.35">
      <c r="A1070" t="s">
        <v>1469</v>
      </c>
      <c r="B1070">
        <v>605070001</v>
      </c>
      <c r="C1070" t="s">
        <v>7</v>
      </c>
    </row>
    <row r="1071" spans="1:3" x14ac:dyDescent="0.35">
      <c r="A1071" t="s">
        <v>1470</v>
      </c>
      <c r="B1071">
        <v>621080016</v>
      </c>
      <c r="C1071" t="s">
        <v>7</v>
      </c>
    </row>
    <row r="1072" spans="1:3" x14ac:dyDescent="0.35">
      <c r="A1072" t="s">
        <v>1471</v>
      </c>
      <c r="B1072" t="s">
        <v>1472</v>
      </c>
      <c r="C1072" t="s">
        <v>50</v>
      </c>
    </row>
    <row r="1073" spans="1:3" x14ac:dyDescent="0.35">
      <c r="A1073" t="s">
        <v>1473</v>
      </c>
      <c r="B1073">
        <v>607120007</v>
      </c>
      <c r="C1073" t="s">
        <v>7</v>
      </c>
    </row>
    <row r="1074" spans="1:3" x14ac:dyDescent="0.35">
      <c r="A1074" t="s">
        <v>1474</v>
      </c>
      <c r="B1074">
        <v>604060026</v>
      </c>
      <c r="C1074" t="s">
        <v>7</v>
      </c>
    </row>
    <row r="1075" spans="1:3" x14ac:dyDescent="0.35">
      <c r="A1075" t="s">
        <v>1474</v>
      </c>
      <c r="B1075" t="s">
        <v>1475</v>
      </c>
      <c r="C1075" t="s">
        <v>5</v>
      </c>
    </row>
    <row r="1076" spans="1:3" x14ac:dyDescent="0.35">
      <c r="A1076" t="s">
        <v>1476</v>
      </c>
      <c r="B1076">
        <v>604030013</v>
      </c>
      <c r="C1076" t="s">
        <v>7</v>
      </c>
    </row>
    <row r="1077" spans="1:3" x14ac:dyDescent="0.35">
      <c r="A1077" t="s">
        <v>1477</v>
      </c>
      <c r="B1077">
        <v>621080017</v>
      </c>
      <c r="C1077" t="s">
        <v>7</v>
      </c>
    </row>
    <row r="1078" spans="1:3" x14ac:dyDescent="0.35">
      <c r="A1078" t="s">
        <v>1478</v>
      </c>
      <c r="B1078" t="s">
        <v>1479</v>
      </c>
      <c r="C1078" t="s">
        <v>5</v>
      </c>
    </row>
    <row r="1079" spans="1:3" x14ac:dyDescent="0.35">
      <c r="A1079" t="s">
        <v>1480</v>
      </c>
      <c r="B1079" t="s">
        <v>1481</v>
      </c>
      <c r="C1079" t="s">
        <v>5</v>
      </c>
    </row>
    <row r="1080" spans="1:3" x14ac:dyDescent="0.35">
      <c r="A1080" t="s">
        <v>1482</v>
      </c>
      <c r="B1080" t="s">
        <v>1483</v>
      </c>
      <c r="C1080" t="s">
        <v>5</v>
      </c>
    </row>
    <row r="1081" spans="1:3" x14ac:dyDescent="0.35">
      <c r="A1081" t="s">
        <v>1484</v>
      </c>
      <c r="B1081" t="s">
        <v>1485</v>
      </c>
      <c r="C1081" t="s">
        <v>5</v>
      </c>
    </row>
    <row r="1082" spans="1:3" x14ac:dyDescent="0.35">
      <c r="A1082" t="s">
        <v>1486</v>
      </c>
      <c r="B1082" t="s">
        <v>1487</v>
      </c>
      <c r="C1082" t="s">
        <v>5</v>
      </c>
    </row>
    <row r="1083" spans="1:3" x14ac:dyDescent="0.35">
      <c r="A1083" t="s">
        <v>1488</v>
      </c>
      <c r="B1083" t="s">
        <v>1489</v>
      </c>
      <c r="C1083" t="s">
        <v>5</v>
      </c>
    </row>
    <row r="1084" spans="1:3" x14ac:dyDescent="0.35">
      <c r="A1084" t="s">
        <v>1490</v>
      </c>
      <c r="B1084" t="s">
        <v>1491</v>
      </c>
      <c r="C1084" t="s">
        <v>5</v>
      </c>
    </row>
    <row r="1085" spans="1:3" x14ac:dyDescent="0.35">
      <c r="A1085" t="s">
        <v>1492</v>
      </c>
      <c r="B1085">
        <v>117080006</v>
      </c>
      <c r="C1085" t="s">
        <v>7</v>
      </c>
    </row>
    <row r="1086" spans="1:3" x14ac:dyDescent="0.35">
      <c r="A1086" t="s">
        <v>1493</v>
      </c>
      <c r="B1086" t="s">
        <v>1494</v>
      </c>
      <c r="C1086" t="s">
        <v>50</v>
      </c>
    </row>
    <row r="1087" spans="1:3" x14ac:dyDescent="0.35">
      <c r="A1087" t="s">
        <v>1495</v>
      </c>
      <c r="B1087">
        <v>602050019</v>
      </c>
      <c r="C1087" t="s">
        <v>7</v>
      </c>
    </row>
    <row r="1088" spans="1:3" x14ac:dyDescent="0.35">
      <c r="A1088" t="s">
        <v>1496</v>
      </c>
      <c r="B1088">
        <v>605020003</v>
      </c>
      <c r="C1088" t="s">
        <v>7</v>
      </c>
    </row>
    <row r="1089" spans="1:3" x14ac:dyDescent="0.35">
      <c r="A1089" t="s">
        <v>1496</v>
      </c>
      <c r="B1089" t="s">
        <v>1497</v>
      </c>
      <c r="C1089" t="s">
        <v>32</v>
      </c>
    </row>
    <row r="1090" spans="1:3" x14ac:dyDescent="0.35">
      <c r="A1090" t="s">
        <v>1496</v>
      </c>
      <c r="B1090" t="s">
        <v>1498</v>
      </c>
      <c r="C1090" t="s">
        <v>5</v>
      </c>
    </row>
    <row r="1091" spans="1:3" x14ac:dyDescent="0.35">
      <c r="A1091" t="s">
        <v>1499</v>
      </c>
      <c r="B1091">
        <v>607060004</v>
      </c>
      <c r="C1091" t="s">
        <v>7</v>
      </c>
    </row>
    <row r="1092" spans="1:3" x14ac:dyDescent="0.35">
      <c r="A1092" t="s">
        <v>1499</v>
      </c>
      <c r="B1092" t="s">
        <v>1500</v>
      </c>
      <c r="C1092" t="s">
        <v>32</v>
      </c>
    </row>
    <row r="1093" spans="1:3" x14ac:dyDescent="0.35">
      <c r="A1093" t="s">
        <v>1501</v>
      </c>
      <c r="B1093">
        <v>605010006</v>
      </c>
      <c r="C1093" t="s">
        <v>7</v>
      </c>
    </row>
    <row r="1094" spans="1:3" x14ac:dyDescent="0.35">
      <c r="A1094" t="s">
        <v>1502</v>
      </c>
      <c r="B1094">
        <v>605070023</v>
      </c>
      <c r="C1094" t="s">
        <v>7</v>
      </c>
    </row>
    <row r="1095" spans="1:3" x14ac:dyDescent="0.35">
      <c r="A1095" t="s">
        <v>1502</v>
      </c>
      <c r="B1095" t="s">
        <v>1503</v>
      </c>
      <c r="C1095" t="s">
        <v>5</v>
      </c>
    </row>
    <row r="1096" spans="1:3" x14ac:dyDescent="0.35">
      <c r="A1096" t="s">
        <v>1504</v>
      </c>
      <c r="B1096">
        <v>602070007</v>
      </c>
      <c r="C1096" t="s">
        <v>7</v>
      </c>
    </row>
    <row r="1097" spans="1:3" x14ac:dyDescent="0.35">
      <c r="A1097" t="s">
        <v>1505</v>
      </c>
      <c r="B1097">
        <v>609050024</v>
      </c>
      <c r="C1097" t="s">
        <v>7</v>
      </c>
    </row>
    <row r="1098" spans="1:3" x14ac:dyDescent="0.35">
      <c r="A1098" t="s">
        <v>1506</v>
      </c>
      <c r="B1098">
        <v>609060011</v>
      </c>
      <c r="C1098" t="s">
        <v>7</v>
      </c>
    </row>
    <row r="1099" spans="1:3" x14ac:dyDescent="0.35">
      <c r="A1099" t="s">
        <v>1507</v>
      </c>
      <c r="B1099">
        <v>618020007</v>
      </c>
      <c r="C1099" t="s">
        <v>7</v>
      </c>
    </row>
    <row r="1100" spans="1:3" x14ac:dyDescent="0.35">
      <c r="A1100" t="s">
        <v>1508</v>
      </c>
      <c r="B1100">
        <v>604020004</v>
      </c>
      <c r="C1100" t="s">
        <v>7</v>
      </c>
    </row>
    <row r="1101" spans="1:3" x14ac:dyDescent="0.35">
      <c r="A1101" t="s">
        <v>1509</v>
      </c>
      <c r="B1101">
        <v>604100019</v>
      </c>
      <c r="C1101" t="s">
        <v>7</v>
      </c>
    </row>
    <row r="1102" spans="1:3" x14ac:dyDescent="0.35">
      <c r="A1102" t="s">
        <v>1509</v>
      </c>
      <c r="B1102" t="s">
        <v>1510</v>
      </c>
      <c r="C1102" t="s">
        <v>32</v>
      </c>
    </row>
    <row r="1103" spans="1:3" x14ac:dyDescent="0.35">
      <c r="A1103" t="s">
        <v>1509</v>
      </c>
      <c r="B1103" t="s">
        <v>1511</v>
      </c>
      <c r="C1103" t="s">
        <v>50</v>
      </c>
    </row>
    <row r="1104" spans="1:3" x14ac:dyDescent="0.35">
      <c r="A1104" t="s">
        <v>1512</v>
      </c>
      <c r="B1104" t="s">
        <v>1513</v>
      </c>
      <c r="C1104" t="s">
        <v>5</v>
      </c>
    </row>
    <row r="1105" spans="1:3" x14ac:dyDescent="0.35">
      <c r="A1105" t="s">
        <v>1514</v>
      </c>
      <c r="B1105" t="s">
        <v>1515</v>
      </c>
      <c r="C1105" t="s">
        <v>5</v>
      </c>
    </row>
    <row r="1106" spans="1:3" x14ac:dyDescent="0.35">
      <c r="A1106" t="s">
        <v>1516</v>
      </c>
      <c r="B1106" t="s">
        <v>1517</v>
      </c>
      <c r="C1106" t="s">
        <v>5</v>
      </c>
    </row>
    <row r="1107" spans="1:3" x14ac:dyDescent="0.35">
      <c r="A1107" t="s">
        <v>1518</v>
      </c>
      <c r="B1107" t="s">
        <v>1519</v>
      </c>
      <c r="C1107" t="s">
        <v>50</v>
      </c>
    </row>
    <row r="1108" spans="1:3" x14ac:dyDescent="0.35">
      <c r="A1108" t="s">
        <v>1520</v>
      </c>
      <c r="B1108" t="s">
        <v>1521</v>
      </c>
      <c r="C1108" t="s">
        <v>5</v>
      </c>
    </row>
    <row r="1109" spans="1:3" x14ac:dyDescent="0.35">
      <c r="A1109" t="s">
        <v>1522</v>
      </c>
      <c r="B1109" t="s">
        <v>1523</v>
      </c>
      <c r="C1109" t="s">
        <v>5</v>
      </c>
    </row>
    <row r="1110" spans="1:3" x14ac:dyDescent="0.35">
      <c r="A1110" t="s">
        <v>1524</v>
      </c>
      <c r="B1110">
        <v>621010011</v>
      </c>
      <c r="C1110" t="s">
        <v>7</v>
      </c>
    </row>
    <row r="1111" spans="1:3" x14ac:dyDescent="0.35">
      <c r="A1111" t="s">
        <v>1525</v>
      </c>
      <c r="B1111" t="s">
        <v>1526</v>
      </c>
      <c r="C1111" t="s">
        <v>5</v>
      </c>
    </row>
    <row r="1112" spans="1:3" x14ac:dyDescent="0.35">
      <c r="A1112" t="s">
        <v>1527</v>
      </c>
      <c r="B1112" t="s">
        <v>1528</v>
      </c>
      <c r="C1112" t="s">
        <v>5</v>
      </c>
    </row>
    <row r="1113" spans="1:3" x14ac:dyDescent="0.35">
      <c r="A1113" t="s">
        <v>1529</v>
      </c>
      <c r="B1113" t="s">
        <v>1530</v>
      </c>
      <c r="C1113" t="s">
        <v>5</v>
      </c>
    </row>
    <row r="1114" spans="1:3" x14ac:dyDescent="0.35">
      <c r="A1114" t="s">
        <v>1531</v>
      </c>
      <c r="B1114">
        <v>621070009</v>
      </c>
      <c r="C1114" t="s">
        <v>7</v>
      </c>
    </row>
    <row r="1115" spans="1:3" x14ac:dyDescent="0.35">
      <c r="A1115" t="s">
        <v>1532</v>
      </c>
      <c r="B1115" t="s">
        <v>1533</v>
      </c>
      <c r="C1115" t="s">
        <v>5</v>
      </c>
    </row>
    <row r="1116" spans="1:3" x14ac:dyDescent="0.35">
      <c r="A1116" t="s">
        <v>1534</v>
      </c>
      <c r="B1116" t="s">
        <v>1535</v>
      </c>
      <c r="C1116" t="s">
        <v>5</v>
      </c>
    </row>
    <row r="1117" spans="1:3" x14ac:dyDescent="0.35">
      <c r="A1117" t="s">
        <v>1536</v>
      </c>
      <c r="B1117" t="s">
        <v>1537</v>
      </c>
      <c r="C1117" t="s">
        <v>5</v>
      </c>
    </row>
    <row r="1118" spans="1:3" x14ac:dyDescent="0.35">
      <c r="A1118" t="s">
        <v>1538</v>
      </c>
      <c r="B1118">
        <v>621060011</v>
      </c>
      <c r="C1118" t="s">
        <v>7</v>
      </c>
    </row>
    <row r="1119" spans="1:3" x14ac:dyDescent="0.35">
      <c r="A1119" t="s">
        <v>1539</v>
      </c>
      <c r="B1119" t="s">
        <v>1540</v>
      </c>
      <c r="C1119" t="s">
        <v>5</v>
      </c>
    </row>
    <row r="1120" spans="1:3" x14ac:dyDescent="0.35">
      <c r="A1120" t="s">
        <v>1541</v>
      </c>
      <c r="B1120">
        <v>604060010</v>
      </c>
      <c r="C1120" t="s">
        <v>7</v>
      </c>
    </row>
    <row r="1121" spans="1:3" x14ac:dyDescent="0.35">
      <c r="A1121" t="s">
        <v>1542</v>
      </c>
      <c r="B1121" t="s">
        <v>1543</v>
      </c>
      <c r="C1121" t="s">
        <v>5</v>
      </c>
    </row>
    <row r="1122" spans="1:3" x14ac:dyDescent="0.35">
      <c r="A1122" t="s">
        <v>1544</v>
      </c>
      <c r="B1122" t="s">
        <v>1545</v>
      </c>
      <c r="C1122" t="s">
        <v>5</v>
      </c>
    </row>
    <row r="1123" spans="1:3" x14ac:dyDescent="0.35">
      <c r="A1123" t="s">
        <v>1546</v>
      </c>
      <c r="B1123" t="s">
        <v>1547</v>
      </c>
      <c r="C1123" t="s">
        <v>5</v>
      </c>
    </row>
    <row r="1124" spans="1:3" x14ac:dyDescent="0.35">
      <c r="A1124" t="s">
        <v>1548</v>
      </c>
      <c r="B1124">
        <v>306240008</v>
      </c>
      <c r="C1124" t="s">
        <v>7</v>
      </c>
    </row>
    <row r="1125" spans="1:3" x14ac:dyDescent="0.35">
      <c r="A1125" t="s">
        <v>1549</v>
      </c>
      <c r="B1125" t="s">
        <v>1550</v>
      </c>
      <c r="C1125" t="s">
        <v>5</v>
      </c>
    </row>
    <row r="1126" spans="1:3" x14ac:dyDescent="0.35">
      <c r="A1126" t="s">
        <v>1551</v>
      </c>
      <c r="B1126" t="s">
        <v>1552</v>
      </c>
      <c r="C1126" t="s">
        <v>5</v>
      </c>
    </row>
    <row r="1127" spans="1:3" x14ac:dyDescent="0.35">
      <c r="A1127" t="s">
        <v>1553</v>
      </c>
      <c r="B1127">
        <v>111100002</v>
      </c>
      <c r="C1127" t="s">
        <v>7</v>
      </c>
    </row>
    <row r="1128" spans="1:3" x14ac:dyDescent="0.35">
      <c r="A1128" t="s">
        <v>1554</v>
      </c>
      <c r="B1128" t="s">
        <v>1555</v>
      </c>
      <c r="C1128" t="s">
        <v>5</v>
      </c>
    </row>
    <row r="1129" spans="1:3" x14ac:dyDescent="0.35">
      <c r="A1129" t="s">
        <v>1556</v>
      </c>
      <c r="B1129" t="s">
        <v>1557</v>
      </c>
      <c r="C1129" t="s">
        <v>5</v>
      </c>
    </row>
    <row r="1130" spans="1:3" x14ac:dyDescent="0.35">
      <c r="A1130" t="s">
        <v>1558</v>
      </c>
      <c r="B1130">
        <v>117020020</v>
      </c>
      <c r="C1130" t="s">
        <v>7</v>
      </c>
    </row>
    <row r="1131" spans="1:3" x14ac:dyDescent="0.35">
      <c r="A1131" t="s">
        <v>1559</v>
      </c>
      <c r="B1131">
        <v>620130014</v>
      </c>
      <c r="C1131" t="s">
        <v>7</v>
      </c>
    </row>
    <row r="1132" spans="1:3" x14ac:dyDescent="0.35">
      <c r="A1132" t="s">
        <v>1560</v>
      </c>
      <c r="B1132">
        <v>602070008</v>
      </c>
      <c r="C1132" t="s">
        <v>7</v>
      </c>
    </row>
    <row r="1133" spans="1:3" x14ac:dyDescent="0.35">
      <c r="A1133" t="s">
        <v>1561</v>
      </c>
      <c r="B1133">
        <v>604030014</v>
      </c>
      <c r="C1133" t="s">
        <v>7</v>
      </c>
    </row>
    <row r="1134" spans="1:3" x14ac:dyDescent="0.35">
      <c r="A1134" t="s">
        <v>1562</v>
      </c>
      <c r="B1134">
        <v>609010015</v>
      </c>
      <c r="C1134" t="s">
        <v>7</v>
      </c>
    </row>
    <row r="1135" spans="1:3" x14ac:dyDescent="0.35">
      <c r="A1135" t="s">
        <v>1563</v>
      </c>
      <c r="B1135">
        <v>605020004</v>
      </c>
      <c r="C1135" t="s">
        <v>7</v>
      </c>
    </row>
    <row r="1136" spans="1:3" x14ac:dyDescent="0.35">
      <c r="A1136" t="s">
        <v>1564</v>
      </c>
      <c r="B1136">
        <v>117080009</v>
      </c>
      <c r="C1136" t="s">
        <v>7</v>
      </c>
    </row>
    <row r="1137" spans="1:3" x14ac:dyDescent="0.35">
      <c r="A1137" t="s">
        <v>1565</v>
      </c>
      <c r="B1137">
        <v>605030005</v>
      </c>
      <c r="C1137" t="s">
        <v>7</v>
      </c>
    </row>
    <row r="1138" spans="1:3" x14ac:dyDescent="0.35">
      <c r="A1138" t="s">
        <v>1565</v>
      </c>
      <c r="B1138" t="s">
        <v>1566</v>
      </c>
      <c r="C1138" t="s">
        <v>5</v>
      </c>
    </row>
    <row r="1139" spans="1:3" x14ac:dyDescent="0.35">
      <c r="A1139" t="s">
        <v>1567</v>
      </c>
      <c r="B1139">
        <v>607160006</v>
      </c>
      <c r="C1139" t="s">
        <v>7</v>
      </c>
    </row>
    <row r="1140" spans="1:3" x14ac:dyDescent="0.35">
      <c r="A1140" t="s">
        <v>1567</v>
      </c>
      <c r="B1140">
        <v>609050033</v>
      </c>
      <c r="C1140" t="s">
        <v>7</v>
      </c>
    </row>
    <row r="1141" spans="1:3" x14ac:dyDescent="0.35">
      <c r="A1141" t="s">
        <v>1568</v>
      </c>
      <c r="B1141">
        <v>604010015</v>
      </c>
      <c r="C1141" t="s">
        <v>7</v>
      </c>
    </row>
    <row r="1142" spans="1:3" x14ac:dyDescent="0.35">
      <c r="A1142" t="s">
        <v>1569</v>
      </c>
      <c r="B1142">
        <v>607060005</v>
      </c>
      <c r="C1142" t="s">
        <v>7</v>
      </c>
    </row>
    <row r="1143" spans="1:3" x14ac:dyDescent="0.35">
      <c r="A1143" t="s">
        <v>1569</v>
      </c>
      <c r="B1143" t="s">
        <v>1570</v>
      </c>
      <c r="C1143" t="s">
        <v>5</v>
      </c>
    </row>
    <row r="1144" spans="1:3" x14ac:dyDescent="0.35">
      <c r="A1144" t="s">
        <v>1571</v>
      </c>
      <c r="B1144" t="s">
        <v>1572</v>
      </c>
      <c r="C1144" t="s">
        <v>32</v>
      </c>
    </row>
    <row r="1145" spans="1:3" x14ac:dyDescent="0.35">
      <c r="A1145" t="s">
        <v>1573</v>
      </c>
      <c r="B1145" t="s">
        <v>1574</v>
      </c>
      <c r="C1145" t="s">
        <v>5</v>
      </c>
    </row>
    <row r="1146" spans="1:3" x14ac:dyDescent="0.35">
      <c r="A1146" t="s">
        <v>1575</v>
      </c>
      <c r="B1146">
        <v>607120016</v>
      </c>
      <c r="C1146" t="s">
        <v>7</v>
      </c>
    </row>
    <row r="1147" spans="1:3" x14ac:dyDescent="0.35">
      <c r="A1147" t="s">
        <v>1575</v>
      </c>
      <c r="B1147" t="s">
        <v>1576</v>
      </c>
      <c r="C1147" t="s">
        <v>5</v>
      </c>
    </row>
    <row r="1148" spans="1:3" x14ac:dyDescent="0.35">
      <c r="A1148" t="s">
        <v>1577</v>
      </c>
      <c r="B1148" t="s">
        <v>1578</v>
      </c>
      <c r="C1148" t="s">
        <v>32</v>
      </c>
    </row>
    <row r="1149" spans="1:3" x14ac:dyDescent="0.35">
      <c r="A1149" t="s">
        <v>1579</v>
      </c>
      <c r="B1149">
        <v>607070006</v>
      </c>
      <c r="C1149" t="s">
        <v>7</v>
      </c>
    </row>
    <row r="1150" spans="1:3" x14ac:dyDescent="0.35">
      <c r="A1150" t="s">
        <v>1580</v>
      </c>
      <c r="B1150">
        <v>609040006</v>
      </c>
      <c r="C1150" t="s">
        <v>7</v>
      </c>
    </row>
    <row r="1151" spans="1:3" x14ac:dyDescent="0.35">
      <c r="A1151" t="s">
        <v>1581</v>
      </c>
      <c r="B1151">
        <v>609040005</v>
      </c>
      <c r="C1151" t="s">
        <v>7</v>
      </c>
    </row>
    <row r="1152" spans="1:3" x14ac:dyDescent="0.35">
      <c r="A1152" t="s">
        <v>1582</v>
      </c>
      <c r="B1152">
        <v>612050013</v>
      </c>
      <c r="C1152" t="s">
        <v>7</v>
      </c>
    </row>
    <row r="1153" spans="1:3" x14ac:dyDescent="0.35">
      <c r="A1153" t="s">
        <v>1583</v>
      </c>
      <c r="B1153">
        <v>609060007</v>
      </c>
      <c r="C1153" t="s">
        <v>7</v>
      </c>
    </row>
    <row r="1154" spans="1:3" x14ac:dyDescent="0.35">
      <c r="A1154" t="s">
        <v>1583</v>
      </c>
      <c r="B1154" t="s">
        <v>1584</v>
      </c>
      <c r="C1154" t="s">
        <v>5</v>
      </c>
    </row>
    <row r="1155" spans="1:3" x14ac:dyDescent="0.35">
      <c r="A1155" t="s">
        <v>1585</v>
      </c>
      <c r="B1155">
        <v>621030025</v>
      </c>
      <c r="C1155" t="s">
        <v>7</v>
      </c>
    </row>
    <row r="1156" spans="1:3" x14ac:dyDescent="0.35">
      <c r="A1156" t="s">
        <v>1586</v>
      </c>
      <c r="B1156">
        <v>111050015</v>
      </c>
      <c r="C1156" t="s">
        <v>7</v>
      </c>
    </row>
    <row r="1157" spans="1:3" x14ac:dyDescent="0.35">
      <c r="A1157" t="s">
        <v>1587</v>
      </c>
      <c r="B1157" t="s">
        <v>1588</v>
      </c>
      <c r="C1157" t="s">
        <v>5</v>
      </c>
    </row>
    <row r="1158" spans="1:3" x14ac:dyDescent="0.35">
      <c r="A1158" t="s">
        <v>1589</v>
      </c>
      <c r="B1158">
        <v>605130013</v>
      </c>
      <c r="C1158" t="s">
        <v>7</v>
      </c>
    </row>
    <row r="1159" spans="1:3" x14ac:dyDescent="0.35">
      <c r="A1159" t="s">
        <v>1590</v>
      </c>
      <c r="B1159" t="s">
        <v>1591</v>
      </c>
      <c r="C1159" t="s">
        <v>5</v>
      </c>
    </row>
    <row r="1160" spans="1:3" x14ac:dyDescent="0.35">
      <c r="A1160" t="s">
        <v>1592</v>
      </c>
      <c r="B1160">
        <v>604060011</v>
      </c>
      <c r="C1160" t="s">
        <v>7</v>
      </c>
    </row>
    <row r="1161" spans="1:3" x14ac:dyDescent="0.35">
      <c r="A1161" t="s">
        <v>1592</v>
      </c>
      <c r="B1161" t="s">
        <v>1593</v>
      </c>
      <c r="C1161" t="s">
        <v>5</v>
      </c>
    </row>
    <row r="1162" spans="1:3" x14ac:dyDescent="0.35">
      <c r="A1162" t="s">
        <v>1594</v>
      </c>
      <c r="B1162">
        <v>603190004</v>
      </c>
      <c r="C1162" t="s">
        <v>7</v>
      </c>
    </row>
    <row r="1163" spans="1:3" x14ac:dyDescent="0.35">
      <c r="A1163" t="s">
        <v>1595</v>
      </c>
      <c r="B1163">
        <v>604060012</v>
      </c>
      <c r="C1163" t="s">
        <v>7</v>
      </c>
    </row>
    <row r="1164" spans="1:3" x14ac:dyDescent="0.35">
      <c r="A1164" t="s">
        <v>1596</v>
      </c>
      <c r="B1164">
        <v>607090005</v>
      </c>
      <c r="C1164" t="s">
        <v>7</v>
      </c>
    </row>
    <row r="1165" spans="1:3" x14ac:dyDescent="0.35">
      <c r="A1165" t="s">
        <v>1597</v>
      </c>
      <c r="B1165" t="s">
        <v>1598</v>
      </c>
      <c r="C1165" t="s">
        <v>5</v>
      </c>
    </row>
    <row r="1166" spans="1:3" x14ac:dyDescent="0.35">
      <c r="A1166" t="s">
        <v>1599</v>
      </c>
      <c r="B1166" t="s">
        <v>1600</v>
      </c>
      <c r="C1166" t="s">
        <v>50</v>
      </c>
    </row>
    <row r="1167" spans="1:3" x14ac:dyDescent="0.35">
      <c r="A1167" t="s">
        <v>1601</v>
      </c>
      <c r="B1167">
        <v>317080013</v>
      </c>
      <c r="C1167" t="s">
        <v>7</v>
      </c>
    </row>
    <row r="1168" spans="1:3" x14ac:dyDescent="0.35">
      <c r="A1168" t="s">
        <v>1602</v>
      </c>
      <c r="B1168" t="s">
        <v>1603</v>
      </c>
      <c r="C1168" t="s">
        <v>5</v>
      </c>
    </row>
    <row r="1169" spans="1:3" x14ac:dyDescent="0.35">
      <c r="A1169" t="s">
        <v>1604</v>
      </c>
      <c r="B1169">
        <v>609020026</v>
      </c>
      <c r="C1169" t="s">
        <v>7</v>
      </c>
    </row>
    <row r="1170" spans="1:3" x14ac:dyDescent="0.35">
      <c r="A1170" t="s">
        <v>1604</v>
      </c>
      <c r="B1170" t="s">
        <v>1605</v>
      </c>
      <c r="C1170" t="s">
        <v>5</v>
      </c>
    </row>
    <row r="1171" spans="1:3" x14ac:dyDescent="0.35">
      <c r="A1171" t="s">
        <v>1606</v>
      </c>
      <c r="B1171">
        <v>602050020</v>
      </c>
      <c r="C1171" t="s">
        <v>7</v>
      </c>
    </row>
    <row r="1172" spans="1:3" x14ac:dyDescent="0.35">
      <c r="A1172" t="s">
        <v>1607</v>
      </c>
      <c r="B1172">
        <v>605100006</v>
      </c>
      <c r="C1172" t="s">
        <v>7</v>
      </c>
    </row>
    <row r="1173" spans="1:3" x14ac:dyDescent="0.35">
      <c r="A1173" t="s">
        <v>1608</v>
      </c>
      <c r="B1173" t="s">
        <v>1609</v>
      </c>
      <c r="C1173" t="s">
        <v>5</v>
      </c>
    </row>
    <row r="1174" spans="1:3" x14ac:dyDescent="0.35">
      <c r="A1174" t="s">
        <v>1610</v>
      </c>
      <c r="B1174">
        <v>609040019</v>
      </c>
      <c r="C1174" t="s">
        <v>7</v>
      </c>
    </row>
    <row r="1175" spans="1:3" x14ac:dyDescent="0.35">
      <c r="A1175" t="s">
        <v>1611</v>
      </c>
      <c r="B1175" t="s">
        <v>1612</v>
      </c>
      <c r="C1175" t="s">
        <v>5</v>
      </c>
    </row>
    <row r="1176" spans="1:3" x14ac:dyDescent="0.35">
      <c r="A1176" t="s">
        <v>1613</v>
      </c>
      <c r="B1176">
        <v>603020006</v>
      </c>
      <c r="C1176" t="s">
        <v>7</v>
      </c>
    </row>
    <row r="1177" spans="1:3" x14ac:dyDescent="0.35">
      <c r="A1177" t="s">
        <v>1614</v>
      </c>
      <c r="B1177" t="s">
        <v>1615</v>
      </c>
      <c r="C1177" t="s">
        <v>5</v>
      </c>
    </row>
    <row r="1178" spans="1:3" x14ac:dyDescent="0.35">
      <c r="A1178" t="s">
        <v>1616</v>
      </c>
      <c r="B1178" t="s">
        <v>1617</v>
      </c>
      <c r="C1178" t="s">
        <v>32</v>
      </c>
    </row>
    <row r="1179" spans="1:3" x14ac:dyDescent="0.35">
      <c r="A1179" t="s">
        <v>1618</v>
      </c>
      <c r="B1179">
        <v>609040039</v>
      </c>
      <c r="C1179" t="s">
        <v>7</v>
      </c>
    </row>
    <row r="1180" spans="1:3" x14ac:dyDescent="0.35">
      <c r="A1180" t="s">
        <v>1618</v>
      </c>
      <c r="B1180" t="s">
        <v>1619</v>
      </c>
      <c r="C1180" t="s">
        <v>5</v>
      </c>
    </row>
    <row r="1181" spans="1:3" x14ac:dyDescent="0.35">
      <c r="A1181" t="s">
        <v>1620</v>
      </c>
      <c r="B1181">
        <v>604150003</v>
      </c>
      <c r="C1181" t="s">
        <v>7</v>
      </c>
    </row>
    <row r="1182" spans="1:3" x14ac:dyDescent="0.35">
      <c r="A1182" t="s">
        <v>1621</v>
      </c>
      <c r="B1182" t="s">
        <v>1622</v>
      </c>
      <c r="C1182" t="s">
        <v>5</v>
      </c>
    </row>
    <row r="1183" spans="1:3" x14ac:dyDescent="0.35">
      <c r="A1183" t="s">
        <v>1623</v>
      </c>
      <c r="B1183" t="s">
        <v>1624</v>
      </c>
      <c r="C1183" t="s">
        <v>5</v>
      </c>
    </row>
    <row r="1184" spans="1:3" x14ac:dyDescent="0.35">
      <c r="A1184" t="s">
        <v>1625</v>
      </c>
      <c r="B1184" t="s">
        <v>1626</v>
      </c>
      <c r="C1184" t="s">
        <v>5</v>
      </c>
    </row>
    <row r="1185" spans="1:3" x14ac:dyDescent="0.35">
      <c r="A1185" t="s">
        <v>1627</v>
      </c>
      <c r="B1185" t="s">
        <v>1628</v>
      </c>
      <c r="C1185" t="s">
        <v>32</v>
      </c>
    </row>
    <row r="1186" spans="1:3" x14ac:dyDescent="0.35">
      <c r="A1186" t="s">
        <v>1629</v>
      </c>
      <c r="B1186" t="s">
        <v>1630</v>
      </c>
      <c r="C1186" t="s">
        <v>5</v>
      </c>
    </row>
    <row r="1187" spans="1:3" x14ac:dyDescent="0.35">
      <c r="A1187" t="s">
        <v>1631</v>
      </c>
      <c r="B1187">
        <v>604050010</v>
      </c>
      <c r="C1187" t="s">
        <v>7</v>
      </c>
    </row>
    <row r="1188" spans="1:3" x14ac:dyDescent="0.35">
      <c r="A1188" t="s">
        <v>1632</v>
      </c>
      <c r="B1188">
        <v>621050051</v>
      </c>
      <c r="C1188" t="s">
        <v>7</v>
      </c>
    </row>
    <row r="1189" spans="1:3" x14ac:dyDescent="0.35">
      <c r="A1189" t="s">
        <v>1633</v>
      </c>
      <c r="B1189" t="s">
        <v>1634</v>
      </c>
      <c r="C1189" t="s">
        <v>5</v>
      </c>
    </row>
    <row r="1190" spans="1:3" x14ac:dyDescent="0.35">
      <c r="A1190" t="s">
        <v>1635</v>
      </c>
      <c r="B1190" t="s">
        <v>1636</v>
      </c>
      <c r="C1190" t="s">
        <v>50</v>
      </c>
    </row>
    <row r="1191" spans="1:3" x14ac:dyDescent="0.35">
      <c r="A1191" t="s">
        <v>1637</v>
      </c>
      <c r="B1191" t="s">
        <v>1638</v>
      </c>
      <c r="C1191" t="s">
        <v>5</v>
      </c>
    </row>
    <row r="1192" spans="1:3" x14ac:dyDescent="0.35">
      <c r="A1192" t="s">
        <v>1639</v>
      </c>
      <c r="B1192" t="s">
        <v>1640</v>
      </c>
      <c r="C1192" t="s">
        <v>50</v>
      </c>
    </row>
    <row r="1193" spans="1:3" x14ac:dyDescent="0.35">
      <c r="A1193" t="s">
        <v>1641</v>
      </c>
      <c r="B1193">
        <v>612060006</v>
      </c>
      <c r="C1193" t="s">
        <v>7</v>
      </c>
    </row>
    <row r="1194" spans="1:3" x14ac:dyDescent="0.35">
      <c r="A1194" t="s">
        <v>1641</v>
      </c>
      <c r="B1194" t="s">
        <v>1642</v>
      </c>
      <c r="C1194" t="s">
        <v>5</v>
      </c>
    </row>
    <row r="1195" spans="1:3" x14ac:dyDescent="0.35">
      <c r="A1195" t="s">
        <v>1643</v>
      </c>
      <c r="B1195">
        <v>602130003</v>
      </c>
      <c r="C1195" t="s">
        <v>7</v>
      </c>
    </row>
    <row r="1196" spans="1:3" x14ac:dyDescent="0.35">
      <c r="A1196" t="s">
        <v>1644</v>
      </c>
      <c r="B1196">
        <v>609050013</v>
      </c>
      <c r="C1196" t="s">
        <v>7</v>
      </c>
    </row>
    <row r="1197" spans="1:3" x14ac:dyDescent="0.35">
      <c r="A1197" t="s">
        <v>1644</v>
      </c>
      <c r="B1197" t="s">
        <v>1645</v>
      </c>
      <c r="C1197" t="s">
        <v>5</v>
      </c>
    </row>
    <row r="1198" spans="1:3" x14ac:dyDescent="0.35">
      <c r="A1198" t="s">
        <v>1646</v>
      </c>
      <c r="B1198" t="s">
        <v>1647</v>
      </c>
      <c r="C1198" t="s">
        <v>5</v>
      </c>
    </row>
    <row r="1199" spans="1:3" x14ac:dyDescent="0.35">
      <c r="A1199" t="s">
        <v>1648</v>
      </c>
      <c r="B1199">
        <v>621040017</v>
      </c>
      <c r="C1199" t="s">
        <v>7</v>
      </c>
    </row>
    <row r="1200" spans="1:3" x14ac:dyDescent="0.35">
      <c r="A1200" t="s">
        <v>1649</v>
      </c>
      <c r="B1200">
        <v>604060029</v>
      </c>
      <c r="C1200" t="s">
        <v>7</v>
      </c>
    </row>
    <row r="1201" spans="1:3" x14ac:dyDescent="0.35">
      <c r="A1201" t="s">
        <v>1650</v>
      </c>
      <c r="B1201" t="s">
        <v>1651</v>
      </c>
      <c r="C1201" t="s">
        <v>5</v>
      </c>
    </row>
    <row r="1202" spans="1:3" x14ac:dyDescent="0.35">
      <c r="A1202" t="s">
        <v>1652</v>
      </c>
      <c r="B1202" t="s">
        <v>1653</v>
      </c>
      <c r="C1202" t="s">
        <v>50</v>
      </c>
    </row>
    <row r="1203" spans="1:3" x14ac:dyDescent="0.35">
      <c r="A1203" t="s">
        <v>1654</v>
      </c>
      <c r="B1203" t="s">
        <v>1655</v>
      </c>
      <c r="C1203" t="s">
        <v>5</v>
      </c>
    </row>
    <row r="1204" spans="1:3" x14ac:dyDescent="0.35">
      <c r="A1204" t="s">
        <v>1656</v>
      </c>
      <c r="B1204">
        <v>605080011</v>
      </c>
      <c r="C1204" t="s">
        <v>7</v>
      </c>
    </row>
    <row r="1205" spans="1:3" x14ac:dyDescent="0.35">
      <c r="A1205" t="s">
        <v>1656</v>
      </c>
      <c r="B1205" t="s">
        <v>1657</v>
      </c>
      <c r="C1205" t="s">
        <v>5</v>
      </c>
    </row>
    <row r="1206" spans="1:3" x14ac:dyDescent="0.35">
      <c r="A1206" t="s">
        <v>1658</v>
      </c>
      <c r="B1206" t="s">
        <v>1659</v>
      </c>
      <c r="C1206" t="s">
        <v>5</v>
      </c>
    </row>
    <row r="1207" spans="1:3" x14ac:dyDescent="0.35">
      <c r="A1207" t="s">
        <v>1660</v>
      </c>
      <c r="B1207" t="s">
        <v>1661</v>
      </c>
      <c r="C1207" t="s">
        <v>5</v>
      </c>
    </row>
    <row r="1208" spans="1:3" x14ac:dyDescent="0.35">
      <c r="A1208" t="s">
        <v>1662</v>
      </c>
      <c r="B1208" t="s">
        <v>1663</v>
      </c>
      <c r="C1208" t="s">
        <v>5</v>
      </c>
    </row>
    <row r="1209" spans="1:3" x14ac:dyDescent="0.35">
      <c r="A1209" t="s">
        <v>1664</v>
      </c>
      <c r="B1209" t="s">
        <v>1665</v>
      </c>
      <c r="C1209" t="s">
        <v>32</v>
      </c>
    </row>
    <row r="1210" spans="1:3" x14ac:dyDescent="0.35">
      <c r="A1210" t="s">
        <v>1666</v>
      </c>
      <c r="B1210">
        <v>605170012</v>
      </c>
      <c r="C1210" t="s">
        <v>7</v>
      </c>
    </row>
    <row r="1211" spans="1:3" x14ac:dyDescent="0.35">
      <c r="A1211" t="s">
        <v>1667</v>
      </c>
      <c r="B1211">
        <v>607010027</v>
      </c>
      <c r="C1211" t="s">
        <v>7</v>
      </c>
    </row>
    <row r="1212" spans="1:3" x14ac:dyDescent="0.35">
      <c r="A1212" t="s">
        <v>1667</v>
      </c>
      <c r="B1212" t="s">
        <v>1668</v>
      </c>
      <c r="C1212" t="s">
        <v>32</v>
      </c>
    </row>
    <row r="1213" spans="1:3" x14ac:dyDescent="0.35">
      <c r="A1213" t="s">
        <v>1667</v>
      </c>
      <c r="B1213" t="s">
        <v>1669</v>
      </c>
      <c r="C1213" t="s">
        <v>5</v>
      </c>
    </row>
    <row r="1214" spans="1:3" x14ac:dyDescent="0.35">
      <c r="A1214" t="s">
        <v>1670</v>
      </c>
      <c r="B1214" t="s">
        <v>1671</v>
      </c>
      <c r="C1214" t="s">
        <v>50</v>
      </c>
    </row>
    <row r="1215" spans="1:3" x14ac:dyDescent="0.35">
      <c r="A1215" t="s">
        <v>1672</v>
      </c>
      <c r="B1215" t="s">
        <v>1673</v>
      </c>
      <c r="C1215" t="s">
        <v>5</v>
      </c>
    </row>
    <row r="1216" spans="1:3" x14ac:dyDescent="0.35">
      <c r="A1216" t="s">
        <v>1674</v>
      </c>
      <c r="B1216" t="s">
        <v>1675</v>
      </c>
      <c r="C1216" t="s">
        <v>5</v>
      </c>
    </row>
    <row r="1217" spans="1:3" x14ac:dyDescent="0.35">
      <c r="A1217" t="s">
        <v>1676</v>
      </c>
      <c r="B1217">
        <v>605110004</v>
      </c>
      <c r="C1217" t="s">
        <v>7</v>
      </c>
    </row>
    <row r="1218" spans="1:3" x14ac:dyDescent="0.35">
      <c r="A1218" t="s">
        <v>1677</v>
      </c>
      <c r="B1218" t="s">
        <v>1678</v>
      </c>
      <c r="C1218" t="s">
        <v>50</v>
      </c>
    </row>
    <row r="1219" spans="1:3" x14ac:dyDescent="0.35">
      <c r="A1219" t="s">
        <v>1679</v>
      </c>
      <c r="B1219">
        <v>604090007</v>
      </c>
      <c r="C1219" t="s">
        <v>7</v>
      </c>
    </row>
    <row r="1220" spans="1:3" x14ac:dyDescent="0.35">
      <c r="A1220" t="s">
        <v>1679</v>
      </c>
      <c r="B1220" t="s">
        <v>1680</v>
      </c>
      <c r="C1220" t="s">
        <v>5</v>
      </c>
    </row>
    <row r="1221" spans="1:3" x14ac:dyDescent="0.35">
      <c r="A1221" t="s">
        <v>1681</v>
      </c>
      <c r="B1221" t="s">
        <v>1682</v>
      </c>
      <c r="C1221" t="s">
        <v>5</v>
      </c>
    </row>
    <row r="1222" spans="1:3" x14ac:dyDescent="0.35">
      <c r="A1222" t="s">
        <v>1683</v>
      </c>
      <c r="B1222">
        <v>614150022</v>
      </c>
      <c r="C1222" t="s">
        <v>7</v>
      </c>
    </row>
    <row r="1223" spans="1:3" x14ac:dyDescent="0.35">
      <c r="A1223" t="s">
        <v>1684</v>
      </c>
      <c r="B1223">
        <v>604040016</v>
      </c>
      <c r="C1223" t="s">
        <v>7</v>
      </c>
    </row>
    <row r="1224" spans="1:3" x14ac:dyDescent="0.35">
      <c r="A1224" t="s">
        <v>1685</v>
      </c>
      <c r="B1224">
        <v>607070019</v>
      </c>
      <c r="C1224" t="s">
        <v>7</v>
      </c>
    </row>
    <row r="1225" spans="1:3" x14ac:dyDescent="0.35">
      <c r="A1225" t="s">
        <v>1686</v>
      </c>
      <c r="B1225" t="s">
        <v>1687</v>
      </c>
      <c r="C1225" t="s">
        <v>5</v>
      </c>
    </row>
    <row r="1226" spans="1:3" x14ac:dyDescent="0.35">
      <c r="A1226" t="s">
        <v>1688</v>
      </c>
      <c r="B1226" t="s">
        <v>1689</v>
      </c>
      <c r="C1226" t="s">
        <v>5</v>
      </c>
    </row>
    <row r="1227" spans="1:3" x14ac:dyDescent="0.35">
      <c r="A1227" t="s">
        <v>1690</v>
      </c>
      <c r="B1227">
        <v>604060031</v>
      </c>
      <c r="C1227" t="s">
        <v>7</v>
      </c>
    </row>
    <row r="1228" spans="1:3" x14ac:dyDescent="0.35">
      <c r="A1228" t="s">
        <v>1691</v>
      </c>
      <c r="B1228" t="s">
        <v>1692</v>
      </c>
      <c r="C1228" t="s">
        <v>5</v>
      </c>
    </row>
    <row r="1229" spans="1:3" x14ac:dyDescent="0.35">
      <c r="A1229" t="s">
        <v>1693</v>
      </c>
      <c r="B1229">
        <v>605070011</v>
      </c>
      <c r="C1229" t="s">
        <v>7</v>
      </c>
    </row>
    <row r="1230" spans="1:3" x14ac:dyDescent="0.35">
      <c r="A1230" t="s">
        <v>1693</v>
      </c>
      <c r="B1230" t="s">
        <v>1694</v>
      </c>
      <c r="C1230" t="s">
        <v>5</v>
      </c>
    </row>
    <row r="1231" spans="1:3" x14ac:dyDescent="0.35">
      <c r="A1231" t="s">
        <v>1695</v>
      </c>
      <c r="B1231" t="s">
        <v>1696</v>
      </c>
      <c r="C1231" t="s">
        <v>32</v>
      </c>
    </row>
    <row r="1232" spans="1:3" x14ac:dyDescent="0.35">
      <c r="A1232" t="s">
        <v>1697</v>
      </c>
      <c r="B1232">
        <v>605070003</v>
      </c>
      <c r="C1232" t="s">
        <v>7</v>
      </c>
    </row>
    <row r="1233" spans="1:3" x14ac:dyDescent="0.35">
      <c r="A1233" t="s">
        <v>1697</v>
      </c>
      <c r="B1233">
        <v>605070012</v>
      </c>
      <c r="C1233" t="s">
        <v>7</v>
      </c>
    </row>
    <row r="1234" spans="1:3" x14ac:dyDescent="0.35">
      <c r="A1234" t="s">
        <v>1698</v>
      </c>
      <c r="B1234" t="s">
        <v>1699</v>
      </c>
      <c r="C1234" t="s">
        <v>32</v>
      </c>
    </row>
    <row r="1235" spans="1:3" x14ac:dyDescent="0.35">
      <c r="A1235" t="s">
        <v>1698</v>
      </c>
      <c r="B1235" t="s">
        <v>1700</v>
      </c>
      <c r="C1235" t="s">
        <v>50</v>
      </c>
    </row>
    <row r="1236" spans="1:3" x14ac:dyDescent="0.35">
      <c r="A1236" t="s">
        <v>1701</v>
      </c>
      <c r="B1236" t="s">
        <v>1702</v>
      </c>
      <c r="C1236" t="s">
        <v>5</v>
      </c>
    </row>
    <row r="1237" spans="1:3" x14ac:dyDescent="0.35">
      <c r="A1237" t="s">
        <v>1703</v>
      </c>
      <c r="B1237">
        <v>621050021</v>
      </c>
      <c r="C1237" t="s">
        <v>7</v>
      </c>
    </row>
    <row r="1238" spans="1:3" x14ac:dyDescent="0.35">
      <c r="A1238" t="s">
        <v>1704</v>
      </c>
      <c r="B1238">
        <v>605030021</v>
      </c>
      <c r="C1238" t="s">
        <v>7</v>
      </c>
    </row>
    <row r="1239" spans="1:3" x14ac:dyDescent="0.35">
      <c r="A1239" t="s">
        <v>1704</v>
      </c>
      <c r="B1239" t="s">
        <v>1705</v>
      </c>
      <c r="C1239" t="s">
        <v>32</v>
      </c>
    </row>
    <row r="1240" spans="1:3" x14ac:dyDescent="0.35">
      <c r="A1240" t="s">
        <v>1706</v>
      </c>
      <c r="B1240" t="s">
        <v>1707</v>
      </c>
      <c r="C1240" t="s">
        <v>5</v>
      </c>
    </row>
    <row r="1241" spans="1:3" x14ac:dyDescent="0.35">
      <c r="A1241" t="s">
        <v>1708</v>
      </c>
      <c r="B1241" t="s">
        <v>1709</v>
      </c>
      <c r="C1241" t="s">
        <v>32</v>
      </c>
    </row>
    <row r="1242" spans="1:3" x14ac:dyDescent="0.35">
      <c r="A1242" t="s">
        <v>1708</v>
      </c>
      <c r="B1242" t="s">
        <v>1710</v>
      </c>
      <c r="C1242" t="s">
        <v>50</v>
      </c>
    </row>
    <row r="1243" spans="1:3" x14ac:dyDescent="0.35">
      <c r="A1243" t="s">
        <v>1711</v>
      </c>
      <c r="B1243">
        <v>605150021</v>
      </c>
      <c r="C1243" t="s">
        <v>7</v>
      </c>
    </row>
    <row r="1244" spans="1:3" x14ac:dyDescent="0.35">
      <c r="A1244" t="s">
        <v>1711</v>
      </c>
      <c r="B1244" t="s">
        <v>1712</v>
      </c>
      <c r="C1244" t="s">
        <v>5</v>
      </c>
    </row>
    <row r="1245" spans="1:3" x14ac:dyDescent="0.35">
      <c r="A1245" t="s">
        <v>1713</v>
      </c>
      <c r="B1245">
        <v>603060007</v>
      </c>
      <c r="C1245" t="s">
        <v>7</v>
      </c>
    </row>
    <row r="1246" spans="1:3" x14ac:dyDescent="0.35">
      <c r="A1246" t="s">
        <v>1714</v>
      </c>
      <c r="B1246" t="s">
        <v>1715</v>
      </c>
      <c r="C1246" t="s">
        <v>5</v>
      </c>
    </row>
    <row r="1247" spans="1:3" x14ac:dyDescent="0.35">
      <c r="A1247" t="s">
        <v>1716</v>
      </c>
      <c r="B1247">
        <v>609010016</v>
      </c>
      <c r="C1247" t="s">
        <v>7</v>
      </c>
    </row>
    <row r="1248" spans="1:3" x14ac:dyDescent="0.35">
      <c r="A1248" t="s">
        <v>1717</v>
      </c>
      <c r="B1248">
        <v>603010012</v>
      </c>
      <c r="C1248" t="s">
        <v>7</v>
      </c>
    </row>
    <row r="1249" spans="1:3" x14ac:dyDescent="0.35">
      <c r="A1249" t="s">
        <v>1717</v>
      </c>
      <c r="B1249">
        <v>614210020</v>
      </c>
      <c r="C1249" t="s">
        <v>7</v>
      </c>
    </row>
    <row r="1250" spans="1:3" x14ac:dyDescent="0.35">
      <c r="A1250" t="s">
        <v>1718</v>
      </c>
      <c r="B1250">
        <v>605070004</v>
      </c>
      <c r="C1250" t="s">
        <v>7</v>
      </c>
    </row>
    <row r="1251" spans="1:3" x14ac:dyDescent="0.35">
      <c r="A1251" t="s">
        <v>1718</v>
      </c>
      <c r="B1251" t="s">
        <v>1719</v>
      </c>
      <c r="C1251" t="s">
        <v>5</v>
      </c>
    </row>
    <row r="1252" spans="1:3" x14ac:dyDescent="0.35">
      <c r="A1252" t="s">
        <v>1720</v>
      </c>
      <c r="B1252">
        <v>607150017</v>
      </c>
      <c r="C1252" t="s">
        <v>7</v>
      </c>
    </row>
    <row r="1253" spans="1:3" x14ac:dyDescent="0.35">
      <c r="A1253" t="s">
        <v>1720</v>
      </c>
      <c r="B1253" t="s">
        <v>1721</v>
      </c>
      <c r="C1253" t="s">
        <v>5</v>
      </c>
    </row>
    <row r="1254" spans="1:3" x14ac:dyDescent="0.35">
      <c r="A1254" t="s">
        <v>1722</v>
      </c>
      <c r="B1254">
        <v>612030008</v>
      </c>
      <c r="C1254" t="s">
        <v>7</v>
      </c>
    </row>
    <row r="1255" spans="1:3" x14ac:dyDescent="0.35">
      <c r="A1255" t="s">
        <v>1722</v>
      </c>
      <c r="B1255" t="s">
        <v>1723</v>
      </c>
      <c r="C1255" t="s">
        <v>5</v>
      </c>
    </row>
    <row r="1256" spans="1:3" x14ac:dyDescent="0.35">
      <c r="A1256" t="s">
        <v>1724</v>
      </c>
      <c r="B1256" t="s">
        <v>1725</v>
      </c>
      <c r="C1256" t="s">
        <v>50</v>
      </c>
    </row>
    <row r="1257" spans="1:3" x14ac:dyDescent="0.35">
      <c r="A1257" t="s">
        <v>1726</v>
      </c>
      <c r="B1257">
        <v>603020007</v>
      </c>
      <c r="C1257" t="s">
        <v>7</v>
      </c>
    </row>
    <row r="1258" spans="1:3" x14ac:dyDescent="0.35">
      <c r="A1258" t="s">
        <v>1726</v>
      </c>
      <c r="B1258" t="s">
        <v>1727</v>
      </c>
      <c r="C1258" t="s">
        <v>5</v>
      </c>
    </row>
    <row r="1259" spans="1:3" x14ac:dyDescent="0.35">
      <c r="A1259" t="s">
        <v>1728</v>
      </c>
      <c r="B1259" t="s">
        <v>1729</v>
      </c>
      <c r="C1259" t="s">
        <v>5</v>
      </c>
    </row>
    <row r="1260" spans="1:3" x14ac:dyDescent="0.35">
      <c r="A1260" t="s">
        <v>1730</v>
      </c>
      <c r="B1260" t="s">
        <v>1731</v>
      </c>
      <c r="C1260" t="s">
        <v>5</v>
      </c>
    </row>
    <row r="1261" spans="1:3" x14ac:dyDescent="0.35">
      <c r="A1261" t="s">
        <v>1732</v>
      </c>
      <c r="B1261" t="s">
        <v>1733</v>
      </c>
      <c r="C1261" t="s">
        <v>5</v>
      </c>
    </row>
    <row r="1262" spans="1:3" x14ac:dyDescent="0.35">
      <c r="A1262" t="s">
        <v>1734</v>
      </c>
      <c r="B1262">
        <v>605160002</v>
      </c>
      <c r="C1262" t="s">
        <v>7</v>
      </c>
    </row>
    <row r="1263" spans="1:3" x14ac:dyDescent="0.35">
      <c r="A1263" t="s">
        <v>1735</v>
      </c>
      <c r="B1263">
        <v>607110010</v>
      </c>
      <c r="C1263" t="s">
        <v>7</v>
      </c>
    </row>
    <row r="1264" spans="1:3" x14ac:dyDescent="0.35">
      <c r="A1264" t="s">
        <v>1735</v>
      </c>
      <c r="B1264" t="s">
        <v>1736</v>
      </c>
      <c r="C1264" t="s">
        <v>5</v>
      </c>
    </row>
    <row r="1265" spans="1:3" x14ac:dyDescent="0.35">
      <c r="A1265" t="s">
        <v>1737</v>
      </c>
      <c r="B1265">
        <v>618090003</v>
      </c>
      <c r="C1265" t="s">
        <v>7</v>
      </c>
    </row>
    <row r="1266" spans="1:3" x14ac:dyDescent="0.35">
      <c r="A1266" t="s">
        <v>1738</v>
      </c>
      <c r="B1266">
        <v>607070021</v>
      </c>
      <c r="C1266" t="s">
        <v>7</v>
      </c>
    </row>
    <row r="1267" spans="1:3" x14ac:dyDescent="0.35">
      <c r="A1267" t="s">
        <v>1738</v>
      </c>
      <c r="B1267" t="s">
        <v>1739</v>
      </c>
      <c r="C1267" t="s">
        <v>5</v>
      </c>
    </row>
    <row r="1268" spans="1:3" x14ac:dyDescent="0.35">
      <c r="A1268" t="s">
        <v>1740</v>
      </c>
      <c r="B1268" t="s">
        <v>1741</v>
      </c>
      <c r="C1268" t="s">
        <v>5</v>
      </c>
    </row>
    <row r="1269" spans="1:3" x14ac:dyDescent="0.35">
      <c r="A1269" t="s">
        <v>1742</v>
      </c>
      <c r="B1269">
        <v>603060019</v>
      </c>
      <c r="C1269" t="s">
        <v>7</v>
      </c>
    </row>
    <row r="1270" spans="1:3" x14ac:dyDescent="0.35">
      <c r="A1270" t="s">
        <v>1743</v>
      </c>
      <c r="B1270">
        <v>602230003</v>
      </c>
      <c r="C1270" t="s">
        <v>7</v>
      </c>
    </row>
    <row r="1271" spans="1:3" x14ac:dyDescent="0.35">
      <c r="A1271" t="s">
        <v>1743</v>
      </c>
      <c r="B1271" t="s">
        <v>1744</v>
      </c>
      <c r="C1271" t="s">
        <v>5</v>
      </c>
    </row>
    <row r="1272" spans="1:3" x14ac:dyDescent="0.35">
      <c r="A1272" t="s">
        <v>1745</v>
      </c>
      <c r="B1272" t="s">
        <v>1746</v>
      </c>
      <c r="C1272" t="s">
        <v>5</v>
      </c>
    </row>
    <row r="1273" spans="1:3" x14ac:dyDescent="0.35">
      <c r="A1273" t="s">
        <v>1747</v>
      </c>
      <c r="B1273" t="s">
        <v>1748</v>
      </c>
      <c r="C1273" t="s">
        <v>5</v>
      </c>
    </row>
    <row r="1274" spans="1:3" x14ac:dyDescent="0.35">
      <c r="A1274" t="s">
        <v>1749</v>
      </c>
      <c r="B1274">
        <v>614070003</v>
      </c>
      <c r="C1274" t="s">
        <v>7</v>
      </c>
    </row>
    <row r="1275" spans="1:3" x14ac:dyDescent="0.35">
      <c r="A1275" t="s">
        <v>1750</v>
      </c>
      <c r="B1275" t="s">
        <v>1751</v>
      </c>
      <c r="C1275" t="s">
        <v>5</v>
      </c>
    </row>
    <row r="1276" spans="1:3" x14ac:dyDescent="0.35">
      <c r="A1276" t="s">
        <v>1752</v>
      </c>
      <c r="B1276">
        <v>603090007</v>
      </c>
      <c r="C1276" t="s">
        <v>7</v>
      </c>
    </row>
    <row r="1277" spans="1:3" x14ac:dyDescent="0.35">
      <c r="A1277" t="s">
        <v>1753</v>
      </c>
      <c r="B1277">
        <v>605130014</v>
      </c>
      <c r="C1277" t="s">
        <v>7</v>
      </c>
    </row>
    <row r="1278" spans="1:3" x14ac:dyDescent="0.35">
      <c r="A1278" t="s">
        <v>1753</v>
      </c>
      <c r="B1278" t="s">
        <v>1754</v>
      </c>
      <c r="C1278" t="s">
        <v>50</v>
      </c>
    </row>
    <row r="1279" spans="1:3" x14ac:dyDescent="0.35">
      <c r="A1279" t="s">
        <v>1755</v>
      </c>
      <c r="B1279" t="s">
        <v>1756</v>
      </c>
      <c r="C1279" t="s">
        <v>5</v>
      </c>
    </row>
    <row r="1280" spans="1:3" x14ac:dyDescent="0.35">
      <c r="A1280" t="s">
        <v>1757</v>
      </c>
      <c r="B1280" t="s">
        <v>1758</v>
      </c>
      <c r="C1280" t="s">
        <v>5</v>
      </c>
    </row>
    <row r="1281" spans="1:3" x14ac:dyDescent="0.35">
      <c r="A1281" t="s">
        <v>1759</v>
      </c>
      <c r="B1281" t="s">
        <v>1760</v>
      </c>
      <c r="C1281" t="s">
        <v>5</v>
      </c>
    </row>
    <row r="1282" spans="1:3" x14ac:dyDescent="0.35">
      <c r="A1282" t="s">
        <v>1761</v>
      </c>
      <c r="B1282">
        <v>605140007</v>
      </c>
      <c r="C1282" t="s">
        <v>7</v>
      </c>
    </row>
    <row r="1283" spans="1:3" x14ac:dyDescent="0.35">
      <c r="A1283" t="s">
        <v>1761</v>
      </c>
      <c r="B1283" t="s">
        <v>1762</v>
      </c>
      <c r="C1283" t="s">
        <v>5</v>
      </c>
    </row>
    <row r="1284" spans="1:3" x14ac:dyDescent="0.35">
      <c r="A1284" t="s">
        <v>1763</v>
      </c>
      <c r="B1284">
        <v>609060003</v>
      </c>
      <c r="C1284" t="s">
        <v>7</v>
      </c>
    </row>
    <row r="1285" spans="1:3" x14ac:dyDescent="0.35">
      <c r="A1285" t="s">
        <v>1763</v>
      </c>
      <c r="B1285" t="s">
        <v>1764</v>
      </c>
      <c r="C1285" t="s">
        <v>5</v>
      </c>
    </row>
    <row r="1286" spans="1:3" x14ac:dyDescent="0.35">
      <c r="A1286" t="s">
        <v>1763</v>
      </c>
      <c r="B1286" t="s">
        <v>1765</v>
      </c>
      <c r="C1286" t="s">
        <v>32</v>
      </c>
    </row>
    <row r="1287" spans="1:3" x14ac:dyDescent="0.35">
      <c r="A1287" t="s">
        <v>1763</v>
      </c>
      <c r="B1287" t="s">
        <v>1766</v>
      </c>
      <c r="C1287" t="s">
        <v>32</v>
      </c>
    </row>
    <row r="1288" spans="1:3" x14ac:dyDescent="0.35">
      <c r="A1288" t="s">
        <v>1767</v>
      </c>
      <c r="B1288">
        <v>604150004</v>
      </c>
      <c r="C1288" t="s">
        <v>7</v>
      </c>
    </row>
    <row r="1289" spans="1:3" x14ac:dyDescent="0.35">
      <c r="A1289" t="s">
        <v>1767</v>
      </c>
      <c r="B1289" t="s">
        <v>1768</v>
      </c>
      <c r="C1289" t="s">
        <v>5</v>
      </c>
    </row>
    <row r="1290" spans="1:3" x14ac:dyDescent="0.35">
      <c r="A1290" t="s">
        <v>1769</v>
      </c>
      <c r="B1290" t="s">
        <v>1770</v>
      </c>
      <c r="C1290" t="s">
        <v>5</v>
      </c>
    </row>
    <row r="1291" spans="1:3" x14ac:dyDescent="0.35">
      <c r="A1291" t="s">
        <v>1771</v>
      </c>
      <c r="B1291" t="s">
        <v>1772</v>
      </c>
      <c r="C1291" t="s">
        <v>5</v>
      </c>
    </row>
    <row r="1292" spans="1:3" x14ac:dyDescent="0.35">
      <c r="A1292" t="s">
        <v>1773</v>
      </c>
      <c r="B1292" t="s">
        <v>1774</v>
      </c>
      <c r="C1292" t="s">
        <v>5</v>
      </c>
    </row>
    <row r="1293" spans="1:3" x14ac:dyDescent="0.35">
      <c r="A1293" t="s">
        <v>1775</v>
      </c>
      <c r="B1293" t="s">
        <v>1776</v>
      </c>
      <c r="C1293" t="s">
        <v>5</v>
      </c>
    </row>
    <row r="1294" spans="1:3" x14ac:dyDescent="0.35">
      <c r="A1294" t="s">
        <v>1777</v>
      </c>
      <c r="B1294" t="s">
        <v>1778</v>
      </c>
      <c r="C1294" t="s">
        <v>5</v>
      </c>
    </row>
    <row r="1295" spans="1:3" x14ac:dyDescent="0.35">
      <c r="A1295" t="s">
        <v>1779</v>
      </c>
      <c r="B1295" t="s">
        <v>1780</v>
      </c>
      <c r="C1295" t="s">
        <v>50</v>
      </c>
    </row>
    <row r="1296" spans="1:3" x14ac:dyDescent="0.35">
      <c r="A1296" t="s">
        <v>1781</v>
      </c>
      <c r="B1296" t="s">
        <v>1782</v>
      </c>
      <c r="C1296" t="s">
        <v>5</v>
      </c>
    </row>
    <row r="1297" spans="1:3" x14ac:dyDescent="0.35">
      <c r="A1297" t="s">
        <v>1783</v>
      </c>
      <c r="B1297" t="s">
        <v>1784</v>
      </c>
      <c r="C1297" t="s">
        <v>5</v>
      </c>
    </row>
    <row r="1298" spans="1:3" x14ac:dyDescent="0.35">
      <c r="A1298" t="s">
        <v>1785</v>
      </c>
      <c r="B1298">
        <v>605030022</v>
      </c>
      <c r="C1298" t="s">
        <v>7</v>
      </c>
    </row>
    <row r="1299" spans="1:3" x14ac:dyDescent="0.35">
      <c r="A1299" t="s">
        <v>1785</v>
      </c>
      <c r="B1299" t="s">
        <v>1786</v>
      </c>
      <c r="C1299" t="s">
        <v>32</v>
      </c>
    </row>
    <row r="1300" spans="1:3" x14ac:dyDescent="0.35">
      <c r="A1300" t="s">
        <v>1785</v>
      </c>
      <c r="B1300" t="s">
        <v>1787</v>
      </c>
      <c r="C1300" t="s">
        <v>5</v>
      </c>
    </row>
    <row r="1301" spans="1:3" x14ac:dyDescent="0.35">
      <c r="A1301" t="s">
        <v>1788</v>
      </c>
      <c r="B1301" t="s">
        <v>1789</v>
      </c>
      <c r="C1301" t="s">
        <v>5</v>
      </c>
    </row>
    <row r="1302" spans="1:3" x14ac:dyDescent="0.35">
      <c r="A1302" t="s">
        <v>1790</v>
      </c>
      <c r="B1302" t="s">
        <v>1791</v>
      </c>
      <c r="C1302" t="s">
        <v>32</v>
      </c>
    </row>
    <row r="1303" spans="1:3" x14ac:dyDescent="0.35">
      <c r="A1303" t="s">
        <v>1792</v>
      </c>
      <c r="B1303" t="s">
        <v>1793</v>
      </c>
      <c r="C1303" t="s">
        <v>5</v>
      </c>
    </row>
    <row r="1304" spans="1:3" x14ac:dyDescent="0.35">
      <c r="A1304" t="s">
        <v>1794</v>
      </c>
      <c r="B1304" t="s">
        <v>1795</v>
      </c>
      <c r="C1304" t="s">
        <v>5</v>
      </c>
    </row>
    <row r="1305" spans="1:3" x14ac:dyDescent="0.35">
      <c r="A1305" t="s">
        <v>1796</v>
      </c>
      <c r="B1305" t="s">
        <v>1797</v>
      </c>
      <c r="C1305" t="s">
        <v>5</v>
      </c>
    </row>
    <row r="1306" spans="1:3" x14ac:dyDescent="0.35">
      <c r="A1306" t="s">
        <v>1798</v>
      </c>
      <c r="B1306">
        <v>605160010</v>
      </c>
      <c r="C1306" t="s">
        <v>7</v>
      </c>
    </row>
    <row r="1307" spans="1:3" x14ac:dyDescent="0.35">
      <c r="A1307" t="s">
        <v>1799</v>
      </c>
      <c r="B1307">
        <v>605100008</v>
      </c>
      <c r="C1307" t="s">
        <v>7</v>
      </c>
    </row>
    <row r="1308" spans="1:3" x14ac:dyDescent="0.35">
      <c r="A1308" t="s">
        <v>1799</v>
      </c>
      <c r="B1308" t="s">
        <v>1800</v>
      </c>
      <c r="C1308" t="s">
        <v>5</v>
      </c>
    </row>
    <row r="1309" spans="1:3" x14ac:dyDescent="0.35">
      <c r="A1309" t="s">
        <v>1801</v>
      </c>
      <c r="B1309">
        <v>612020012</v>
      </c>
      <c r="C1309" t="s">
        <v>7</v>
      </c>
    </row>
    <row r="1310" spans="1:3" x14ac:dyDescent="0.35">
      <c r="A1310" t="s">
        <v>1802</v>
      </c>
      <c r="B1310" t="s">
        <v>1803</v>
      </c>
      <c r="C1310" t="s">
        <v>5</v>
      </c>
    </row>
    <row r="1311" spans="1:3" x14ac:dyDescent="0.35">
      <c r="A1311" t="s">
        <v>1804</v>
      </c>
      <c r="B1311" t="s">
        <v>1805</v>
      </c>
      <c r="C1311" t="s">
        <v>5</v>
      </c>
    </row>
    <row r="1312" spans="1:3" x14ac:dyDescent="0.35">
      <c r="A1312" t="s">
        <v>1806</v>
      </c>
      <c r="B1312">
        <v>604080017</v>
      </c>
      <c r="C1312" t="s">
        <v>7</v>
      </c>
    </row>
    <row r="1313" spans="1:3" x14ac:dyDescent="0.35">
      <c r="A1313" t="s">
        <v>1807</v>
      </c>
      <c r="B1313">
        <v>618010025</v>
      </c>
      <c r="C1313" t="s">
        <v>7</v>
      </c>
    </row>
    <row r="1314" spans="1:3" x14ac:dyDescent="0.35">
      <c r="A1314" t="s">
        <v>1808</v>
      </c>
      <c r="B1314" t="s">
        <v>1809</v>
      </c>
      <c r="C1314" t="s">
        <v>5</v>
      </c>
    </row>
    <row r="1315" spans="1:3" x14ac:dyDescent="0.35">
      <c r="A1315" t="s">
        <v>1810</v>
      </c>
      <c r="B1315">
        <v>605171003</v>
      </c>
      <c r="C1315" t="s">
        <v>7</v>
      </c>
    </row>
    <row r="1316" spans="1:3" x14ac:dyDescent="0.35">
      <c r="A1316" t="s">
        <v>1811</v>
      </c>
      <c r="B1316">
        <v>602240008</v>
      </c>
      <c r="C1316" t="s">
        <v>7</v>
      </c>
    </row>
    <row r="1317" spans="1:3" x14ac:dyDescent="0.35">
      <c r="A1317" t="s">
        <v>1812</v>
      </c>
      <c r="B1317">
        <v>609010006</v>
      </c>
      <c r="C1317" t="s">
        <v>7</v>
      </c>
    </row>
    <row r="1318" spans="1:3" x14ac:dyDescent="0.35">
      <c r="A1318" t="s">
        <v>1813</v>
      </c>
      <c r="B1318" t="s">
        <v>1814</v>
      </c>
      <c r="C1318" t="s">
        <v>5</v>
      </c>
    </row>
    <row r="1319" spans="1:3" x14ac:dyDescent="0.35">
      <c r="A1319" t="s">
        <v>1815</v>
      </c>
      <c r="B1319" t="s">
        <v>1816</v>
      </c>
      <c r="C1319" t="s">
        <v>5</v>
      </c>
    </row>
    <row r="1320" spans="1:3" x14ac:dyDescent="0.35">
      <c r="A1320" t="s">
        <v>1817</v>
      </c>
      <c r="B1320" t="s">
        <v>1818</v>
      </c>
      <c r="C1320" t="s">
        <v>5</v>
      </c>
    </row>
    <row r="1321" spans="1:3" x14ac:dyDescent="0.35">
      <c r="A1321" t="s">
        <v>1819</v>
      </c>
      <c r="B1321" t="s">
        <v>1820</v>
      </c>
      <c r="C1321" t="s">
        <v>5</v>
      </c>
    </row>
    <row r="1322" spans="1:3" x14ac:dyDescent="0.35">
      <c r="A1322" t="s">
        <v>1821</v>
      </c>
      <c r="B1322" t="s">
        <v>1822</v>
      </c>
      <c r="C1322" t="s">
        <v>5</v>
      </c>
    </row>
    <row r="1323" spans="1:3" x14ac:dyDescent="0.35">
      <c r="A1323" t="s">
        <v>1823</v>
      </c>
      <c r="B1323" t="s">
        <v>1824</v>
      </c>
      <c r="C1323" t="s">
        <v>5</v>
      </c>
    </row>
    <row r="1324" spans="1:3" x14ac:dyDescent="0.35">
      <c r="A1324" t="s">
        <v>1825</v>
      </c>
      <c r="B1324">
        <v>605050005</v>
      </c>
      <c r="C1324" t="s">
        <v>7</v>
      </c>
    </row>
    <row r="1325" spans="1:3" x14ac:dyDescent="0.35">
      <c r="A1325" t="s">
        <v>1826</v>
      </c>
      <c r="B1325">
        <v>309230003</v>
      </c>
      <c r="C1325" t="s">
        <v>7</v>
      </c>
    </row>
    <row r="1326" spans="1:3" x14ac:dyDescent="0.35">
      <c r="A1326" t="s">
        <v>1827</v>
      </c>
      <c r="B1326">
        <v>320070002</v>
      </c>
      <c r="C1326" t="s">
        <v>7</v>
      </c>
    </row>
    <row r="1327" spans="1:3" x14ac:dyDescent="0.35">
      <c r="A1327" t="s">
        <v>1827</v>
      </c>
      <c r="B1327" t="s">
        <v>1828</v>
      </c>
      <c r="C1327" t="s">
        <v>5</v>
      </c>
    </row>
    <row r="1328" spans="1:3" x14ac:dyDescent="0.35">
      <c r="A1328" t="s">
        <v>1829</v>
      </c>
      <c r="B1328" t="s">
        <v>1830</v>
      </c>
      <c r="C1328" t="s">
        <v>5</v>
      </c>
    </row>
    <row r="1329" spans="1:3" x14ac:dyDescent="0.35">
      <c r="A1329" t="s">
        <v>1831</v>
      </c>
      <c r="B1329" t="s">
        <v>1832</v>
      </c>
      <c r="C1329" t="s">
        <v>5</v>
      </c>
    </row>
    <row r="1330" spans="1:3" x14ac:dyDescent="0.35">
      <c r="A1330" t="s">
        <v>1833</v>
      </c>
      <c r="B1330" t="s">
        <v>1834</v>
      </c>
      <c r="C1330" t="s">
        <v>5</v>
      </c>
    </row>
    <row r="1331" spans="1:3" x14ac:dyDescent="0.35">
      <c r="A1331" t="s">
        <v>1835</v>
      </c>
      <c r="B1331" t="s">
        <v>1836</v>
      </c>
      <c r="C1331" t="s">
        <v>5</v>
      </c>
    </row>
    <row r="1332" spans="1:3" x14ac:dyDescent="0.35">
      <c r="A1332" t="s">
        <v>1837</v>
      </c>
      <c r="B1332" t="s">
        <v>1838</v>
      </c>
      <c r="C1332" t="s">
        <v>5</v>
      </c>
    </row>
    <row r="1333" spans="1:3" x14ac:dyDescent="0.35">
      <c r="A1333" t="s">
        <v>1839</v>
      </c>
      <c r="B1333" t="s">
        <v>1840</v>
      </c>
      <c r="C1333" t="s">
        <v>5</v>
      </c>
    </row>
    <row r="1334" spans="1:3" x14ac:dyDescent="0.35">
      <c r="A1334" t="s">
        <v>1839</v>
      </c>
      <c r="B1334" t="s">
        <v>1841</v>
      </c>
      <c r="C1334" t="s">
        <v>32</v>
      </c>
    </row>
    <row r="1335" spans="1:3" x14ac:dyDescent="0.35">
      <c r="A1335" t="s">
        <v>1842</v>
      </c>
      <c r="B1335">
        <v>607140007</v>
      </c>
      <c r="C1335" t="s">
        <v>7</v>
      </c>
    </row>
    <row r="1336" spans="1:3" x14ac:dyDescent="0.35">
      <c r="A1336" t="s">
        <v>1843</v>
      </c>
      <c r="B1336">
        <v>607140008</v>
      </c>
      <c r="C1336" t="s">
        <v>7</v>
      </c>
    </row>
    <row r="1337" spans="1:3" x14ac:dyDescent="0.35">
      <c r="A1337" t="s">
        <v>1844</v>
      </c>
      <c r="B1337">
        <v>605140002</v>
      </c>
      <c r="C1337" t="s">
        <v>7</v>
      </c>
    </row>
    <row r="1338" spans="1:3" x14ac:dyDescent="0.35">
      <c r="A1338" t="s">
        <v>1845</v>
      </c>
      <c r="B1338">
        <v>605100019</v>
      </c>
      <c r="C1338" t="s">
        <v>7</v>
      </c>
    </row>
    <row r="1339" spans="1:3" x14ac:dyDescent="0.35">
      <c r="A1339" t="s">
        <v>1846</v>
      </c>
      <c r="B1339" t="s">
        <v>1847</v>
      </c>
      <c r="C1339" t="s">
        <v>5</v>
      </c>
    </row>
    <row r="1340" spans="1:3" x14ac:dyDescent="0.35">
      <c r="A1340" t="s">
        <v>1848</v>
      </c>
      <c r="B1340" t="s">
        <v>1849</v>
      </c>
      <c r="C1340" t="s">
        <v>32</v>
      </c>
    </row>
    <row r="1341" spans="1:3" x14ac:dyDescent="0.35">
      <c r="A1341" t="s">
        <v>1848</v>
      </c>
      <c r="B1341" t="s">
        <v>1850</v>
      </c>
      <c r="C1341" t="s">
        <v>50</v>
      </c>
    </row>
    <row r="1342" spans="1:3" x14ac:dyDescent="0.35">
      <c r="A1342" t="s">
        <v>1851</v>
      </c>
      <c r="B1342" t="s">
        <v>1852</v>
      </c>
      <c r="C1342" t="s">
        <v>5</v>
      </c>
    </row>
    <row r="1343" spans="1:3" x14ac:dyDescent="0.35">
      <c r="A1343" t="s">
        <v>1853</v>
      </c>
      <c r="B1343" t="s">
        <v>1854</v>
      </c>
      <c r="C1343" t="s">
        <v>32</v>
      </c>
    </row>
    <row r="1344" spans="1:3" x14ac:dyDescent="0.35">
      <c r="A1344" t="s">
        <v>1853</v>
      </c>
      <c r="B1344" t="s">
        <v>1855</v>
      </c>
      <c r="C1344" t="s">
        <v>50</v>
      </c>
    </row>
    <row r="1345" spans="1:3" x14ac:dyDescent="0.35">
      <c r="A1345" t="s">
        <v>1856</v>
      </c>
      <c r="B1345">
        <v>607070022</v>
      </c>
      <c r="C1345" t="s">
        <v>7</v>
      </c>
    </row>
    <row r="1346" spans="1:3" x14ac:dyDescent="0.35">
      <c r="A1346" t="s">
        <v>1857</v>
      </c>
      <c r="B1346" t="s">
        <v>1858</v>
      </c>
      <c r="C1346" t="s">
        <v>5</v>
      </c>
    </row>
    <row r="1347" spans="1:3" x14ac:dyDescent="0.35">
      <c r="A1347" t="s">
        <v>1859</v>
      </c>
      <c r="B1347" t="s">
        <v>1860</v>
      </c>
      <c r="C1347" t="s">
        <v>5</v>
      </c>
    </row>
    <row r="1348" spans="1:3" x14ac:dyDescent="0.35">
      <c r="A1348" t="s">
        <v>1861</v>
      </c>
      <c r="B1348" t="s">
        <v>1862</v>
      </c>
      <c r="C1348" t="s">
        <v>5</v>
      </c>
    </row>
    <row r="1349" spans="1:3" x14ac:dyDescent="0.35">
      <c r="A1349" t="s">
        <v>1863</v>
      </c>
      <c r="B1349" t="s">
        <v>1864</v>
      </c>
      <c r="C1349" t="s">
        <v>5</v>
      </c>
    </row>
    <row r="1350" spans="1:3" x14ac:dyDescent="0.35">
      <c r="A1350" t="s">
        <v>1865</v>
      </c>
      <c r="B1350">
        <v>604080018</v>
      </c>
      <c r="C1350" t="s">
        <v>7</v>
      </c>
    </row>
    <row r="1351" spans="1:3" x14ac:dyDescent="0.35">
      <c r="A1351" t="s">
        <v>1866</v>
      </c>
      <c r="B1351">
        <v>604080019</v>
      </c>
      <c r="C1351" t="s">
        <v>7</v>
      </c>
    </row>
    <row r="1352" spans="1:3" x14ac:dyDescent="0.35">
      <c r="A1352" t="s">
        <v>1867</v>
      </c>
      <c r="B1352" t="s">
        <v>1868</v>
      </c>
      <c r="C1352" t="s">
        <v>5</v>
      </c>
    </row>
    <row r="1353" spans="1:3" x14ac:dyDescent="0.35">
      <c r="A1353" t="s">
        <v>1869</v>
      </c>
      <c r="B1353">
        <v>612150013</v>
      </c>
      <c r="C1353" t="s">
        <v>7</v>
      </c>
    </row>
    <row r="1354" spans="1:3" x14ac:dyDescent="0.35">
      <c r="A1354" t="s">
        <v>1870</v>
      </c>
      <c r="B1354">
        <v>605080025</v>
      </c>
      <c r="C1354" t="s">
        <v>7</v>
      </c>
    </row>
    <row r="1355" spans="1:3" x14ac:dyDescent="0.35">
      <c r="A1355" t="s">
        <v>1870</v>
      </c>
      <c r="B1355" t="s">
        <v>1871</v>
      </c>
      <c r="C1355" t="s">
        <v>5</v>
      </c>
    </row>
    <row r="1356" spans="1:3" x14ac:dyDescent="0.35">
      <c r="A1356" t="s">
        <v>1872</v>
      </c>
      <c r="B1356">
        <v>605080007</v>
      </c>
      <c r="C1356" t="s">
        <v>7</v>
      </c>
    </row>
    <row r="1357" spans="1:3" x14ac:dyDescent="0.35">
      <c r="A1357" t="s">
        <v>1872</v>
      </c>
      <c r="B1357" t="s">
        <v>1873</v>
      </c>
      <c r="C1357" t="s">
        <v>5</v>
      </c>
    </row>
    <row r="1358" spans="1:3" x14ac:dyDescent="0.35">
      <c r="A1358" t="s">
        <v>1874</v>
      </c>
      <c r="B1358" t="s">
        <v>1875</v>
      </c>
      <c r="C1358" t="s">
        <v>5</v>
      </c>
    </row>
    <row r="1359" spans="1:3" x14ac:dyDescent="0.35">
      <c r="A1359" t="s">
        <v>1876</v>
      </c>
      <c r="B1359">
        <v>602100007</v>
      </c>
      <c r="C1359" t="s">
        <v>7</v>
      </c>
    </row>
    <row r="1360" spans="1:3" x14ac:dyDescent="0.35">
      <c r="A1360" t="s">
        <v>1877</v>
      </c>
      <c r="B1360">
        <v>604040007</v>
      </c>
      <c r="C1360" t="s">
        <v>7</v>
      </c>
    </row>
    <row r="1361" spans="1:3" x14ac:dyDescent="0.35">
      <c r="A1361" t="s">
        <v>1877</v>
      </c>
      <c r="B1361">
        <v>605010003</v>
      </c>
      <c r="C1361" t="s">
        <v>7</v>
      </c>
    </row>
    <row r="1362" spans="1:3" x14ac:dyDescent="0.35">
      <c r="A1362" t="s">
        <v>1877</v>
      </c>
      <c r="B1362" t="s">
        <v>1878</v>
      </c>
      <c r="C1362" t="s">
        <v>5</v>
      </c>
    </row>
    <row r="1363" spans="1:3" x14ac:dyDescent="0.35">
      <c r="A1363" t="s">
        <v>1879</v>
      </c>
      <c r="B1363" t="s">
        <v>1880</v>
      </c>
      <c r="C1363" t="s">
        <v>5</v>
      </c>
    </row>
    <row r="1364" spans="1:3" x14ac:dyDescent="0.35">
      <c r="A1364" t="s">
        <v>1881</v>
      </c>
      <c r="B1364">
        <v>604140003</v>
      </c>
      <c r="C1364" t="s">
        <v>7</v>
      </c>
    </row>
    <row r="1365" spans="1:3" x14ac:dyDescent="0.35">
      <c r="A1365" t="s">
        <v>1881</v>
      </c>
      <c r="B1365">
        <v>605030007</v>
      </c>
      <c r="C1365" t="s">
        <v>7</v>
      </c>
    </row>
    <row r="1366" spans="1:3" x14ac:dyDescent="0.35">
      <c r="A1366" t="s">
        <v>1881</v>
      </c>
      <c r="B1366" t="s">
        <v>1882</v>
      </c>
      <c r="C1366" t="s">
        <v>5</v>
      </c>
    </row>
    <row r="1367" spans="1:3" x14ac:dyDescent="0.35">
      <c r="A1367" t="s">
        <v>1883</v>
      </c>
      <c r="B1367" t="s">
        <v>1884</v>
      </c>
      <c r="C1367" t="s">
        <v>5</v>
      </c>
    </row>
    <row r="1368" spans="1:3" x14ac:dyDescent="0.35">
      <c r="A1368" t="s">
        <v>1885</v>
      </c>
      <c r="B1368" t="s">
        <v>1886</v>
      </c>
      <c r="C1368" t="s">
        <v>5</v>
      </c>
    </row>
    <row r="1369" spans="1:3" x14ac:dyDescent="0.35">
      <c r="A1369" t="s">
        <v>1887</v>
      </c>
      <c r="B1369" t="s">
        <v>1888</v>
      </c>
      <c r="C1369" t="s">
        <v>5</v>
      </c>
    </row>
    <row r="1370" spans="1:3" x14ac:dyDescent="0.35">
      <c r="A1370" t="s">
        <v>1889</v>
      </c>
      <c r="B1370">
        <v>605070013</v>
      </c>
      <c r="C1370" t="s">
        <v>7</v>
      </c>
    </row>
    <row r="1371" spans="1:3" x14ac:dyDescent="0.35">
      <c r="A1371" t="s">
        <v>1890</v>
      </c>
      <c r="B1371">
        <v>605170019</v>
      </c>
      <c r="C1371" t="s">
        <v>7</v>
      </c>
    </row>
    <row r="1372" spans="1:3" x14ac:dyDescent="0.35">
      <c r="A1372" t="s">
        <v>1891</v>
      </c>
      <c r="B1372">
        <v>605170004</v>
      </c>
      <c r="C1372" t="s">
        <v>7</v>
      </c>
    </row>
    <row r="1373" spans="1:3" x14ac:dyDescent="0.35">
      <c r="A1373" t="s">
        <v>1892</v>
      </c>
      <c r="B1373">
        <v>602070010</v>
      </c>
      <c r="C1373" t="s">
        <v>7</v>
      </c>
    </row>
    <row r="1374" spans="1:3" x14ac:dyDescent="0.35">
      <c r="A1374" t="s">
        <v>1893</v>
      </c>
      <c r="B1374">
        <v>603060010</v>
      </c>
      <c r="C1374" t="s">
        <v>7</v>
      </c>
    </row>
    <row r="1375" spans="1:3" x14ac:dyDescent="0.35">
      <c r="A1375" t="s">
        <v>1893</v>
      </c>
      <c r="B1375">
        <v>614060006</v>
      </c>
      <c r="C1375" t="s">
        <v>7</v>
      </c>
    </row>
    <row r="1376" spans="1:3" x14ac:dyDescent="0.35">
      <c r="A1376" t="s">
        <v>1894</v>
      </c>
      <c r="B1376">
        <v>604050017</v>
      </c>
      <c r="C1376" t="s">
        <v>7</v>
      </c>
    </row>
    <row r="1377" spans="1:3" x14ac:dyDescent="0.35">
      <c r="A1377" t="s">
        <v>1895</v>
      </c>
      <c r="B1377">
        <v>605020005</v>
      </c>
      <c r="C1377" t="s">
        <v>7</v>
      </c>
    </row>
    <row r="1378" spans="1:3" x14ac:dyDescent="0.35">
      <c r="A1378" t="s">
        <v>1895</v>
      </c>
      <c r="B1378">
        <v>612170023</v>
      </c>
      <c r="C1378" t="s">
        <v>7</v>
      </c>
    </row>
    <row r="1379" spans="1:3" x14ac:dyDescent="0.35">
      <c r="A1379" t="s">
        <v>1895</v>
      </c>
      <c r="B1379" t="s">
        <v>1896</v>
      </c>
      <c r="C1379" t="s">
        <v>5</v>
      </c>
    </row>
    <row r="1380" spans="1:3" x14ac:dyDescent="0.35">
      <c r="A1380" t="s">
        <v>1897</v>
      </c>
      <c r="B1380">
        <v>621050023</v>
      </c>
      <c r="C1380" t="s">
        <v>7</v>
      </c>
    </row>
    <row r="1381" spans="1:3" x14ac:dyDescent="0.35">
      <c r="A1381" t="s">
        <v>1898</v>
      </c>
      <c r="B1381" t="s">
        <v>1899</v>
      </c>
      <c r="C1381" t="s">
        <v>5</v>
      </c>
    </row>
    <row r="1382" spans="1:3" x14ac:dyDescent="0.35">
      <c r="A1382" t="s">
        <v>1900</v>
      </c>
      <c r="B1382" t="s">
        <v>1901</v>
      </c>
      <c r="C1382" t="s">
        <v>5</v>
      </c>
    </row>
    <row r="1383" spans="1:3" x14ac:dyDescent="0.35">
      <c r="A1383" t="s">
        <v>1902</v>
      </c>
      <c r="B1383" t="s">
        <v>1903</v>
      </c>
      <c r="C1383" t="s">
        <v>50</v>
      </c>
    </row>
    <row r="1384" spans="1:3" x14ac:dyDescent="0.35">
      <c r="A1384" t="s">
        <v>1904</v>
      </c>
      <c r="B1384" t="s">
        <v>1905</v>
      </c>
      <c r="C1384" t="s">
        <v>5</v>
      </c>
    </row>
    <row r="1385" spans="1:3" x14ac:dyDescent="0.35">
      <c r="A1385" t="s">
        <v>1906</v>
      </c>
      <c r="B1385" t="s">
        <v>1907</v>
      </c>
      <c r="C1385" t="s">
        <v>32</v>
      </c>
    </row>
    <row r="1386" spans="1:3" x14ac:dyDescent="0.35">
      <c r="A1386" t="s">
        <v>1908</v>
      </c>
      <c r="B1386" t="s">
        <v>1909</v>
      </c>
      <c r="C1386" t="s">
        <v>5</v>
      </c>
    </row>
    <row r="1387" spans="1:3" x14ac:dyDescent="0.35">
      <c r="A1387" t="s">
        <v>1910</v>
      </c>
      <c r="B1387">
        <v>607080018</v>
      </c>
      <c r="C1387" t="s">
        <v>7</v>
      </c>
    </row>
    <row r="1388" spans="1:3" x14ac:dyDescent="0.35">
      <c r="A1388" t="s">
        <v>1911</v>
      </c>
      <c r="B1388">
        <v>604170011</v>
      </c>
      <c r="C1388" t="s">
        <v>7</v>
      </c>
    </row>
    <row r="1389" spans="1:3" x14ac:dyDescent="0.35">
      <c r="A1389" t="s">
        <v>1912</v>
      </c>
      <c r="B1389" t="s">
        <v>1913</v>
      </c>
      <c r="C1389" t="s">
        <v>5</v>
      </c>
    </row>
    <row r="1390" spans="1:3" x14ac:dyDescent="0.35">
      <c r="A1390" t="s">
        <v>1914</v>
      </c>
      <c r="B1390" t="s">
        <v>1915</v>
      </c>
      <c r="C1390" t="s">
        <v>32</v>
      </c>
    </row>
    <row r="1391" spans="1:3" x14ac:dyDescent="0.35">
      <c r="A1391" t="s">
        <v>1914</v>
      </c>
      <c r="B1391" t="s">
        <v>1916</v>
      </c>
      <c r="C1391" t="s">
        <v>50</v>
      </c>
    </row>
    <row r="1392" spans="1:3" x14ac:dyDescent="0.35">
      <c r="A1392" t="s">
        <v>1917</v>
      </c>
      <c r="B1392">
        <v>605110023</v>
      </c>
      <c r="C1392" t="s">
        <v>7</v>
      </c>
    </row>
    <row r="1393" spans="1:3" x14ac:dyDescent="0.35">
      <c r="A1393" t="s">
        <v>1918</v>
      </c>
      <c r="B1393" t="s">
        <v>1919</v>
      </c>
      <c r="C1393" t="s">
        <v>5</v>
      </c>
    </row>
    <row r="1394" spans="1:3" x14ac:dyDescent="0.35">
      <c r="A1394" t="s">
        <v>1920</v>
      </c>
      <c r="B1394" t="s">
        <v>1921</v>
      </c>
      <c r="C1394" t="s">
        <v>5</v>
      </c>
    </row>
    <row r="1395" spans="1:3" x14ac:dyDescent="0.35">
      <c r="A1395" t="s">
        <v>1922</v>
      </c>
      <c r="B1395">
        <v>618060002</v>
      </c>
      <c r="C1395" t="s">
        <v>7</v>
      </c>
    </row>
    <row r="1396" spans="1:3" x14ac:dyDescent="0.35">
      <c r="A1396" t="s">
        <v>1922</v>
      </c>
      <c r="B1396" t="s">
        <v>1923</v>
      </c>
      <c r="C1396" t="s">
        <v>5</v>
      </c>
    </row>
    <row r="1397" spans="1:3" x14ac:dyDescent="0.35">
      <c r="A1397" t="s">
        <v>1924</v>
      </c>
      <c r="B1397" t="s">
        <v>1925</v>
      </c>
      <c r="C1397" t="s">
        <v>5</v>
      </c>
    </row>
    <row r="1398" spans="1:3" x14ac:dyDescent="0.35">
      <c r="A1398" t="s">
        <v>1926</v>
      </c>
      <c r="B1398">
        <v>604110004</v>
      </c>
      <c r="C1398" t="s">
        <v>7</v>
      </c>
    </row>
    <row r="1399" spans="1:3" x14ac:dyDescent="0.35">
      <c r="A1399" t="s">
        <v>1927</v>
      </c>
      <c r="B1399">
        <v>605090003</v>
      </c>
      <c r="C1399" t="s">
        <v>7</v>
      </c>
    </row>
    <row r="1400" spans="1:3" x14ac:dyDescent="0.35">
      <c r="A1400" t="s">
        <v>1928</v>
      </c>
      <c r="B1400" t="s">
        <v>1929</v>
      </c>
      <c r="C1400" t="s">
        <v>5</v>
      </c>
    </row>
    <row r="1401" spans="1:3" x14ac:dyDescent="0.35">
      <c r="A1401" t="s">
        <v>1930</v>
      </c>
      <c r="B1401">
        <v>609010017</v>
      </c>
      <c r="C1401" t="s">
        <v>7</v>
      </c>
    </row>
    <row r="1402" spans="1:3" x14ac:dyDescent="0.35">
      <c r="A1402" t="s">
        <v>1931</v>
      </c>
      <c r="B1402" t="s">
        <v>1932</v>
      </c>
      <c r="C1402" t="s">
        <v>5</v>
      </c>
    </row>
    <row r="1403" spans="1:3" x14ac:dyDescent="0.35">
      <c r="A1403" t="s">
        <v>1933</v>
      </c>
      <c r="B1403" t="s">
        <v>1934</v>
      </c>
      <c r="C1403" t="s">
        <v>5</v>
      </c>
    </row>
    <row r="1404" spans="1:3" x14ac:dyDescent="0.35">
      <c r="A1404" t="s">
        <v>1935</v>
      </c>
      <c r="B1404">
        <v>605080002</v>
      </c>
      <c r="C1404" t="s">
        <v>7</v>
      </c>
    </row>
    <row r="1405" spans="1:3" x14ac:dyDescent="0.35">
      <c r="A1405" t="s">
        <v>1936</v>
      </c>
      <c r="B1405" t="s">
        <v>1937</v>
      </c>
      <c r="C1405" t="s">
        <v>5</v>
      </c>
    </row>
    <row r="1406" spans="1:3" x14ac:dyDescent="0.35">
      <c r="A1406" t="s">
        <v>1938</v>
      </c>
      <c r="B1406" t="s">
        <v>1939</v>
      </c>
      <c r="C1406" t="s">
        <v>32</v>
      </c>
    </row>
    <row r="1407" spans="1:3" x14ac:dyDescent="0.35">
      <c r="A1407" t="s">
        <v>1940</v>
      </c>
      <c r="B1407">
        <v>604100058</v>
      </c>
      <c r="C1407" t="s">
        <v>7</v>
      </c>
    </row>
    <row r="1408" spans="1:3" x14ac:dyDescent="0.35">
      <c r="A1408" t="s">
        <v>1941</v>
      </c>
      <c r="B1408">
        <v>605130015</v>
      </c>
      <c r="C1408" t="s">
        <v>7</v>
      </c>
    </row>
    <row r="1409" spans="1:3" x14ac:dyDescent="0.35">
      <c r="A1409" t="s">
        <v>1942</v>
      </c>
      <c r="B1409" t="s">
        <v>1943</v>
      </c>
      <c r="C1409" t="s">
        <v>5</v>
      </c>
    </row>
    <row r="1410" spans="1:3" x14ac:dyDescent="0.35">
      <c r="A1410" t="s">
        <v>1944</v>
      </c>
      <c r="B1410" t="s">
        <v>1945</v>
      </c>
      <c r="C1410" t="s">
        <v>5</v>
      </c>
    </row>
    <row r="1411" spans="1:3" x14ac:dyDescent="0.35">
      <c r="A1411" t="s">
        <v>1946</v>
      </c>
      <c r="B1411">
        <v>609060015</v>
      </c>
      <c r="C1411" t="s">
        <v>7</v>
      </c>
    </row>
    <row r="1412" spans="1:3" x14ac:dyDescent="0.35">
      <c r="A1412" t="s">
        <v>1946</v>
      </c>
      <c r="B1412" t="s">
        <v>1947</v>
      </c>
      <c r="C1412" t="s">
        <v>32</v>
      </c>
    </row>
    <row r="1413" spans="1:3" x14ac:dyDescent="0.35">
      <c r="A1413" t="s">
        <v>1948</v>
      </c>
      <c r="B1413">
        <v>607070024</v>
      </c>
      <c r="C1413" t="s">
        <v>7</v>
      </c>
    </row>
    <row r="1414" spans="1:3" x14ac:dyDescent="0.35">
      <c r="A1414" t="s">
        <v>1949</v>
      </c>
      <c r="B1414" t="s">
        <v>1950</v>
      </c>
      <c r="C1414" t="s">
        <v>5</v>
      </c>
    </row>
    <row r="1415" spans="1:3" x14ac:dyDescent="0.35">
      <c r="A1415" t="s">
        <v>1951</v>
      </c>
      <c r="B1415" t="s">
        <v>1952</v>
      </c>
      <c r="C1415" t="s">
        <v>5</v>
      </c>
    </row>
    <row r="1416" spans="1:3" x14ac:dyDescent="0.35">
      <c r="A1416" t="s">
        <v>1953</v>
      </c>
      <c r="B1416">
        <v>618040007</v>
      </c>
      <c r="C1416" t="s">
        <v>7</v>
      </c>
    </row>
    <row r="1417" spans="1:3" x14ac:dyDescent="0.35">
      <c r="A1417" t="s">
        <v>1954</v>
      </c>
      <c r="B1417">
        <v>612150004</v>
      </c>
      <c r="C1417" t="s">
        <v>7</v>
      </c>
    </row>
    <row r="1418" spans="1:3" x14ac:dyDescent="0.35">
      <c r="A1418" t="s">
        <v>1954</v>
      </c>
      <c r="B1418" t="s">
        <v>1955</v>
      </c>
      <c r="C1418" t="s">
        <v>5</v>
      </c>
    </row>
    <row r="1419" spans="1:3" x14ac:dyDescent="0.35">
      <c r="A1419" t="s">
        <v>1956</v>
      </c>
      <c r="B1419">
        <v>621030021</v>
      </c>
      <c r="C1419" t="s">
        <v>7</v>
      </c>
    </row>
    <row r="1420" spans="1:3" x14ac:dyDescent="0.35">
      <c r="A1420" t="s">
        <v>1957</v>
      </c>
      <c r="B1420" t="s">
        <v>1958</v>
      </c>
      <c r="C1420" t="s">
        <v>5</v>
      </c>
    </row>
    <row r="1421" spans="1:3" x14ac:dyDescent="0.35">
      <c r="A1421" t="s">
        <v>1959</v>
      </c>
      <c r="B1421" t="s">
        <v>1960</v>
      </c>
      <c r="C1421" t="s">
        <v>5</v>
      </c>
    </row>
    <row r="1422" spans="1:3" x14ac:dyDescent="0.35">
      <c r="A1422" t="s">
        <v>1961</v>
      </c>
      <c r="B1422">
        <v>621070011</v>
      </c>
      <c r="C1422" t="s">
        <v>7</v>
      </c>
    </row>
    <row r="1423" spans="1:3" x14ac:dyDescent="0.35">
      <c r="A1423" t="s">
        <v>1962</v>
      </c>
      <c r="B1423" t="s">
        <v>1963</v>
      </c>
      <c r="C1423" t="s">
        <v>5</v>
      </c>
    </row>
    <row r="1424" spans="1:3" x14ac:dyDescent="0.35">
      <c r="A1424" t="s">
        <v>1964</v>
      </c>
      <c r="B1424" t="s">
        <v>1965</v>
      </c>
      <c r="C1424" t="s">
        <v>5</v>
      </c>
    </row>
    <row r="1425" spans="1:3" x14ac:dyDescent="0.35">
      <c r="A1425" t="s">
        <v>1966</v>
      </c>
      <c r="B1425" t="s">
        <v>1967</v>
      </c>
      <c r="C1425" t="s">
        <v>5</v>
      </c>
    </row>
    <row r="1426" spans="1:3" x14ac:dyDescent="0.35">
      <c r="A1426" t="s">
        <v>1968</v>
      </c>
      <c r="B1426" t="s">
        <v>1969</v>
      </c>
      <c r="C1426" t="s">
        <v>32</v>
      </c>
    </row>
    <row r="1427" spans="1:3" x14ac:dyDescent="0.35">
      <c r="A1427" t="s">
        <v>1970</v>
      </c>
      <c r="B1427" t="s">
        <v>1971</v>
      </c>
      <c r="C1427" t="s">
        <v>5</v>
      </c>
    </row>
    <row r="1428" spans="1:3" x14ac:dyDescent="0.35">
      <c r="A1428" t="s">
        <v>1972</v>
      </c>
      <c r="B1428" t="s">
        <v>1973</v>
      </c>
      <c r="C1428" t="s">
        <v>5</v>
      </c>
    </row>
    <row r="1429" spans="1:3" x14ac:dyDescent="0.35">
      <c r="A1429" t="s">
        <v>1974</v>
      </c>
      <c r="B1429" t="s">
        <v>1975</v>
      </c>
      <c r="C1429" t="s">
        <v>5</v>
      </c>
    </row>
    <row r="1430" spans="1:3" x14ac:dyDescent="0.35">
      <c r="A1430" t="s">
        <v>1976</v>
      </c>
      <c r="B1430">
        <v>603060011</v>
      </c>
      <c r="C1430" t="s">
        <v>7</v>
      </c>
    </row>
    <row r="1431" spans="1:3" x14ac:dyDescent="0.35">
      <c r="A1431" t="s">
        <v>1976</v>
      </c>
      <c r="B1431">
        <v>607090010</v>
      </c>
      <c r="C1431" t="s">
        <v>7</v>
      </c>
    </row>
    <row r="1432" spans="1:3" x14ac:dyDescent="0.35">
      <c r="A1432" t="s">
        <v>1976</v>
      </c>
      <c r="B1432" t="s">
        <v>1977</v>
      </c>
      <c r="C1432" t="s">
        <v>50</v>
      </c>
    </row>
    <row r="1433" spans="1:3" x14ac:dyDescent="0.35">
      <c r="A1433" t="s">
        <v>1978</v>
      </c>
      <c r="B1433" t="s">
        <v>1979</v>
      </c>
      <c r="C1433" t="s">
        <v>5</v>
      </c>
    </row>
    <row r="1434" spans="1:3" x14ac:dyDescent="0.35">
      <c r="A1434" t="s">
        <v>1980</v>
      </c>
      <c r="B1434" t="s">
        <v>1981</v>
      </c>
      <c r="C1434" t="s">
        <v>5</v>
      </c>
    </row>
    <row r="1435" spans="1:3" x14ac:dyDescent="0.35">
      <c r="A1435" t="s">
        <v>1982</v>
      </c>
      <c r="B1435" t="s">
        <v>1983</v>
      </c>
      <c r="C1435" t="s">
        <v>5</v>
      </c>
    </row>
    <row r="1436" spans="1:3" x14ac:dyDescent="0.35">
      <c r="A1436" t="s">
        <v>1984</v>
      </c>
      <c r="B1436" t="s">
        <v>1985</v>
      </c>
      <c r="C1436" t="s">
        <v>5</v>
      </c>
    </row>
    <row r="1437" spans="1:3" x14ac:dyDescent="0.35">
      <c r="A1437" t="s">
        <v>1986</v>
      </c>
      <c r="B1437" t="s">
        <v>1987</v>
      </c>
      <c r="C1437" t="s">
        <v>5</v>
      </c>
    </row>
    <row r="1438" spans="1:3" x14ac:dyDescent="0.35">
      <c r="A1438" t="s">
        <v>1988</v>
      </c>
      <c r="B1438">
        <v>603010013</v>
      </c>
      <c r="C1438" t="s">
        <v>7</v>
      </c>
    </row>
    <row r="1439" spans="1:3" x14ac:dyDescent="0.35">
      <c r="A1439" t="s">
        <v>1989</v>
      </c>
      <c r="B1439" t="s">
        <v>1990</v>
      </c>
      <c r="C1439" t="s">
        <v>5</v>
      </c>
    </row>
    <row r="1440" spans="1:3" x14ac:dyDescent="0.35">
      <c r="A1440" t="s">
        <v>1991</v>
      </c>
      <c r="B1440">
        <v>621080021</v>
      </c>
      <c r="C1440" t="s">
        <v>7</v>
      </c>
    </row>
    <row r="1441" spans="1:3" x14ac:dyDescent="0.35">
      <c r="A1441" t="s">
        <v>1992</v>
      </c>
      <c r="B1441" t="s">
        <v>1993</v>
      </c>
      <c r="C1441" t="s">
        <v>50</v>
      </c>
    </row>
    <row r="1442" spans="1:3" x14ac:dyDescent="0.35">
      <c r="A1442" t="s">
        <v>1994</v>
      </c>
      <c r="B1442" t="s">
        <v>1995</v>
      </c>
      <c r="C1442" t="s">
        <v>5</v>
      </c>
    </row>
    <row r="1443" spans="1:3" x14ac:dyDescent="0.35">
      <c r="A1443" t="s">
        <v>1996</v>
      </c>
      <c r="B1443" t="s">
        <v>1997</v>
      </c>
      <c r="C1443" t="s">
        <v>5</v>
      </c>
    </row>
    <row r="1444" spans="1:3" x14ac:dyDescent="0.35">
      <c r="A1444" t="s">
        <v>1998</v>
      </c>
      <c r="B1444" t="s">
        <v>1999</v>
      </c>
      <c r="C1444" t="s">
        <v>5</v>
      </c>
    </row>
    <row r="1445" spans="1:3" x14ac:dyDescent="0.35">
      <c r="A1445" t="s">
        <v>2000</v>
      </c>
      <c r="B1445">
        <v>614250003</v>
      </c>
      <c r="C1445" t="s">
        <v>7</v>
      </c>
    </row>
    <row r="1446" spans="1:3" x14ac:dyDescent="0.35">
      <c r="A1446" t="s">
        <v>2001</v>
      </c>
      <c r="B1446">
        <v>621080022</v>
      </c>
      <c r="C1446" t="s">
        <v>7</v>
      </c>
    </row>
    <row r="1447" spans="1:3" x14ac:dyDescent="0.35">
      <c r="A1447" t="s">
        <v>2001</v>
      </c>
      <c r="B1447" t="s">
        <v>2002</v>
      </c>
      <c r="C1447" t="s">
        <v>5</v>
      </c>
    </row>
    <row r="1448" spans="1:3" x14ac:dyDescent="0.35">
      <c r="A1448" t="s">
        <v>2003</v>
      </c>
      <c r="B1448">
        <v>621050024</v>
      </c>
      <c r="C1448" t="s">
        <v>7</v>
      </c>
    </row>
    <row r="1449" spans="1:3" x14ac:dyDescent="0.35">
      <c r="A1449" t="s">
        <v>2004</v>
      </c>
      <c r="B1449" t="s">
        <v>2005</v>
      </c>
      <c r="C1449" t="s">
        <v>5</v>
      </c>
    </row>
    <row r="1450" spans="1:3" x14ac:dyDescent="0.35">
      <c r="A1450" t="s">
        <v>2006</v>
      </c>
      <c r="B1450">
        <v>614010004</v>
      </c>
      <c r="C1450" t="s">
        <v>7</v>
      </c>
    </row>
    <row r="1451" spans="1:3" x14ac:dyDescent="0.35">
      <c r="A1451" t="s">
        <v>2007</v>
      </c>
      <c r="B1451" t="s">
        <v>2008</v>
      </c>
      <c r="C1451" t="s">
        <v>5</v>
      </c>
    </row>
    <row r="1452" spans="1:3" x14ac:dyDescent="0.35">
      <c r="A1452" t="s">
        <v>2009</v>
      </c>
      <c r="B1452" t="s">
        <v>2010</v>
      </c>
      <c r="C1452" t="s">
        <v>5</v>
      </c>
    </row>
    <row r="1453" spans="1:3" x14ac:dyDescent="0.35">
      <c r="A1453" t="s">
        <v>2011</v>
      </c>
      <c r="B1453">
        <v>605090009</v>
      </c>
      <c r="C1453" t="s">
        <v>7</v>
      </c>
    </row>
    <row r="1454" spans="1:3" x14ac:dyDescent="0.35">
      <c r="A1454" t="s">
        <v>2012</v>
      </c>
      <c r="B1454">
        <v>605090004</v>
      </c>
      <c r="C1454" t="s">
        <v>7</v>
      </c>
    </row>
    <row r="1455" spans="1:3" x14ac:dyDescent="0.35">
      <c r="A1455" t="s">
        <v>2013</v>
      </c>
      <c r="B1455">
        <v>612070003</v>
      </c>
      <c r="C1455" t="s">
        <v>7</v>
      </c>
    </row>
    <row r="1456" spans="1:3" x14ac:dyDescent="0.35">
      <c r="A1456" t="s">
        <v>2014</v>
      </c>
      <c r="B1456" t="s">
        <v>2015</v>
      </c>
      <c r="C1456" t="s">
        <v>5</v>
      </c>
    </row>
    <row r="1457" spans="1:3" x14ac:dyDescent="0.35">
      <c r="A1457" t="s">
        <v>2016</v>
      </c>
      <c r="B1457">
        <v>320140005</v>
      </c>
      <c r="C1457" t="s">
        <v>7</v>
      </c>
    </row>
    <row r="1458" spans="1:3" x14ac:dyDescent="0.35">
      <c r="A1458" t="s">
        <v>2017</v>
      </c>
      <c r="B1458">
        <v>603090018</v>
      </c>
      <c r="C1458" t="s">
        <v>7</v>
      </c>
    </row>
    <row r="1459" spans="1:3" x14ac:dyDescent="0.35">
      <c r="A1459" t="s">
        <v>2017</v>
      </c>
      <c r="B1459">
        <v>605110005</v>
      </c>
      <c r="C1459" t="s">
        <v>7</v>
      </c>
    </row>
    <row r="1460" spans="1:3" x14ac:dyDescent="0.35">
      <c r="A1460" t="s">
        <v>2017</v>
      </c>
      <c r="B1460">
        <v>607190008</v>
      </c>
      <c r="C1460" t="s">
        <v>7</v>
      </c>
    </row>
    <row r="1461" spans="1:3" x14ac:dyDescent="0.35">
      <c r="A1461" t="s">
        <v>2017</v>
      </c>
      <c r="B1461">
        <v>612060009</v>
      </c>
      <c r="C1461" t="s">
        <v>7</v>
      </c>
    </row>
    <row r="1462" spans="1:3" x14ac:dyDescent="0.35">
      <c r="A1462" t="s">
        <v>2017</v>
      </c>
      <c r="B1462">
        <v>621080023</v>
      </c>
      <c r="C1462" t="s">
        <v>7</v>
      </c>
    </row>
    <row r="1463" spans="1:3" x14ac:dyDescent="0.35">
      <c r="A1463" t="s">
        <v>2017</v>
      </c>
      <c r="B1463" t="s">
        <v>2018</v>
      </c>
      <c r="C1463" t="s">
        <v>32</v>
      </c>
    </row>
    <row r="1464" spans="1:3" x14ac:dyDescent="0.35">
      <c r="A1464" t="s">
        <v>2017</v>
      </c>
      <c r="B1464" t="s">
        <v>2019</v>
      </c>
      <c r="C1464" t="s">
        <v>32</v>
      </c>
    </row>
    <row r="1465" spans="1:3" x14ac:dyDescent="0.35">
      <c r="A1465" t="s">
        <v>2017</v>
      </c>
      <c r="B1465" t="s">
        <v>2020</v>
      </c>
      <c r="C1465" t="s">
        <v>50</v>
      </c>
    </row>
    <row r="1466" spans="1:3" x14ac:dyDescent="0.35">
      <c r="A1466" t="s">
        <v>2021</v>
      </c>
      <c r="B1466">
        <v>604130010</v>
      </c>
      <c r="C1466" t="s">
        <v>7</v>
      </c>
    </row>
    <row r="1467" spans="1:3" x14ac:dyDescent="0.35">
      <c r="A1467" t="s">
        <v>2022</v>
      </c>
      <c r="B1467" t="s">
        <v>2023</v>
      </c>
      <c r="C1467" t="s">
        <v>50</v>
      </c>
    </row>
    <row r="1468" spans="1:3" x14ac:dyDescent="0.35">
      <c r="A1468" t="s">
        <v>2024</v>
      </c>
      <c r="B1468" t="s">
        <v>2025</v>
      </c>
      <c r="C1468" t="s">
        <v>5</v>
      </c>
    </row>
    <row r="1469" spans="1:3" x14ac:dyDescent="0.35">
      <c r="A1469" t="s">
        <v>2026</v>
      </c>
      <c r="B1469" t="s">
        <v>2027</v>
      </c>
      <c r="C1469" t="s">
        <v>5</v>
      </c>
    </row>
    <row r="1470" spans="1:3" x14ac:dyDescent="0.35">
      <c r="A1470" t="s">
        <v>2028</v>
      </c>
      <c r="B1470" t="s">
        <v>2029</v>
      </c>
      <c r="C1470" t="s">
        <v>5</v>
      </c>
    </row>
    <row r="1471" spans="1:3" x14ac:dyDescent="0.35">
      <c r="A1471" t="s">
        <v>2030</v>
      </c>
      <c r="B1471" t="s">
        <v>2031</v>
      </c>
      <c r="C1471" t="s">
        <v>5</v>
      </c>
    </row>
    <row r="1472" spans="1:3" x14ac:dyDescent="0.35">
      <c r="A1472" t="s">
        <v>2032</v>
      </c>
      <c r="B1472" t="s">
        <v>2033</v>
      </c>
      <c r="C1472" t="s">
        <v>5</v>
      </c>
    </row>
    <row r="1473" spans="1:3" x14ac:dyDescent="0.35">
      <c r="A1473" t="s">
        <v>2034</v>
      </c>
      <c r="B1473" t="s">
        <v>2035</v>
      </c>
      <c r="C1473" t="s">
        <v>5</v>
      </c>
    </row>
    <row r="1474" spans="1:3" x14ac:dyDescent="0.35">
      <c r="A1474" t="s">
        <v>2036</v>
      </c>
      <c r="B1474" t="s">
        <v>2037</v>
      </c>
      <c r="C1474" t="s">
        <v>5</v>
      </c>
    </row>
    <row r="1475" spans="1:3" x14ac:dyDescent="0.35">
      <c r="A1475" t="s">
        <v>2038</v>
      </c>
      <c r="B1475" t="s">
        <v>2039</v>
      </c>
      <c r="C1475" t="s">
        <v>5</v>
      </c>
    </row>
    <row r="1476" spans="1:3" x14ac:dyDescent="0.35">
      <c r="A1476" t="s">
        <v>2040</v>
      </c>
      <c r="B1476" t="s">
        <v>2041</v>
      </c>
      <c r="C1476" t="s">
        <v>5</v>
      </c>
    </row>
    <row r="1477" spans="1:3" x14ac:dyDescent="0.35">
      <c r="A1477" t="s">
        <v>2042</v>
      </c>
      <c r="B1477" t="s">
        <v>2043</v>
      </c>
      <c r="C1477" t="s">
        <v>5</v>
      </c>
    </row>
    <row r="1478" spans="1:3" x14ac:dyDescent="0.35">
      <c r="A1478" t="s">
        <v>2044</v>
      </c>
      <c r="B1478">
        <v>605070014</v>
      </c>
      <c r="C1478" t="s">
        <v>7</v>
      </c>
    </row>
    <row r="1479" spans="1:3" x14ac:dyDescent="0.35">
      <c r="A1479" t="s">
        <v>2045</v>
      </c>
      <c r="B1479" t="s">
        <v>2046</v>
      </c>
      <c r="C1479" t="s">
        <v>5</v>
      </c>
    </row>
    <row r="1480" spans="1:3" x14ac:dyDescent="0.35">
      <c r="A1480" t="s">
        <v>2047</v>
      </c>
      <c r="B1480" t="s">
        <v>2048</v>
      </c>
      <c r="C1480" t="s">
        <v>5</v>
      </c>
    </row>
    <row r="1481" spans="1:3" x14ac:dyDescent="0.35">
      <c r="A1481" t="s">
        <v>2049</v>
      </c>
      <c r="B1481" t="s">
        <v>2050</v>
      </c>
      <c r="C1481" t="s">
        <v>5</v>
      </c>
    </row>
    <row r="1482" spans="1:3" x14ac:dyDescent="0.35">
      <c r="A1482" t="s">
        <v>2051</v>
      </c>
      <c r="B1482">
        <v>605130016</v>
      </c>
      <c r="C1482" t="s">
        <v>7</v>
      </c>
    </row>
    <row r="1483" spans="1:3" x14ac:dyDescent="0.35">
      <c r="A1483" t="s">
        <v>2052</v>
      </c>
      <c r="B1483">
        <v>612030009</v>
      </c>
      <c r="C1483" t="s">
        <v>7</v>
      </c>
    </row>
    <row r="1484" spans="1:3" x14ac:dyDescent="0.35">
      <c r="A1484" t="s">
        <v>2052</v>
      </c>
      <c r="B1484" t="s">
        <v>2053</v>
      </c>
      <c r="C1484" t="s">
        <v>5</v>
      </c>
    </row>
    <row r="1485" spans="1:3" x14ac:dyDescent="0.35">
      <c r="A1485" t="s">
        <v>2054</v>
      </c>
      <c r="B1485">
        <v>604070008</v>
      </c>
      <c r="C1485" t="s">
        <v>7</v>
      </c>
    </row>
    <row r="1486" spans="1:3" x14ac:dyDescent="0.35">
      <c r="A1486" t="s">
        <v>2054</v>
      </c>
      <c r="B1486" t="s">
        <v>2055</v>
      </c>
      <c r="C1486" t="s">
        <v>5</v>
      </c>
    </row>
    <row r="1487" spans="1:3" x14ac:dyDescent="0.35">
      <c r="A1487" t="s">
        <v>2056</v>
      </c>
      <c r="B1487" t="s">
        <v>2057</v>
      </c>
      <c r="C1487" t="s">
        <v>5</v>
      </c>
    </row>
    <row r="1488" spans="1:3" x14ac:dyDescent="0.35">
      <c r="A1488" t="s">
        <v>2058</v>
      </c>
      <c r="B1488">
        <v>605130005</v>
      </c>
      <c r="C1488" t="s">
        <v>7</v>
      </c>
    </row>
    <row r="1489" spans="1:3" x14ac:dyDescent="0.35">
      <c r="A1489" t="s">
        <v>2059</v>
      </c>
      <c r="B1489">
        <v>320170009</v>
      </c>
      <c r="C1489" t="s">
        <v>7</v>
      </c>
    </row>
    <row r="1490" spans="1:3" x14ac:dyDescent="0.35">
      <c r="A1490" t="s">
        <v>2059</v>
      </c>
      <c r="B1490" t="s">
        <v>2060</v>
      </c>
      <c r="C1490" t="s">
        <v>5</v>
      </c>
    </row>
    <row r="1491" spans="1:3" x14ac:dyDescent="0.35">
      <c r="A1491" t="s">
        <v>2061</v>
      </c>
      <c r="B1491" t="s">
        <v>2062</v>
      </c>
      <c r="C1491" t="s">
        <v>50</v>
      </c>
    </row>
    <row r="1492" spans="1:3" x14ac:dyDescent="0.35">
      <c r="A1492" t="s">
        <v>2063</v>
      </c>
      <c r="B1492" t="s">
        <v>2064</v>
      </c>
      <c r="C1492" t="s">
        <v>5</v>
      </c>
    </row>
    <row r="1493" spans="1:3" x14ac:dyDescent="0.35">
      <c r="A1493" t="s">
        <v>2065</v>
      </c>
      <c r="B1493">
        <v>603060012</v>
      </c>
      <c r="C1493" t="s">
        <v>7</v>
      </c>
    </row>
    <row r="1494" spans="1:3" x14ac:dyDescent="0.35">
      <c r="A1494" t="s">
        <v>2065</v>
      </c>
      <c r="B1494">
        <v>612260004</v>
      </c>
      <c r="C1494" t="s">
        <v>7</v>
      </c>
    </row>
    <row r="1495" spans="1:3" x14ac:dyDescent="0.35">
      <c r="A1495" t="s">
        <v>2065</v>
      </c>
      <c r="B1495" t="s">
        <v>2066</v>
      </c>
      <c r="C1495" t="s">
        <v>32</v>
      </c>
    </row>
    <row r="1496" spans="1:3" x14ac:dyDescent="0.35">
      <c r="A1496" t="s">
        <v>2065</v>
      </c>
      <c r="B1496" t="s">
        <v>2067</v>
      </c>
      <c r="C1496" t="s">
        <v>50</v>
      </c>
    </row>
    <row r="1497" spans="1:3" x14ac:dyDescent="0.35">
      <c r="A1497" t="s">
        <v>2068</v>
      </c>
      <c r="B1497" t="s">
        <v>2069</v>
      </c>
      <c r="C1497" t="s">
        <v>5</v>
      </c>
    </row>
    <row r="1498" spans="1:3" x14ac:dyDescent="0.35">
      <c r="A1498" t="s">
        <v>2070</v>
      </c>
      <c r="B1498" t="s">
        <v>2071</v>
      </c>
      <c r="C1498" t="s">
        <v>50</v>
      </c>
    </row>
    <row r="1499" spans="1:3" x14ac:dyDescent="0.35">
      <c r="A1499" t="s">
        <v>2072</v>
      </c>
      <c r="B1499" t="s">
        <v>2073</v>
      </c>
      <c r="C1499" t="s">
        <v>5</v>
      </c>
    </row>
    <row r="1500" spans="1:3" x14ac:dyDescent="0.35">
      <c r="A1500" t="s">
        <v>2074</v>
      </c>
      <c r="B1500" t="s">
        <v>2075</v>
      </c>
      <c r="C1500" t="s">
        <v>32</v>
      </c>
    </row>
    <row r="1501" spans="1:3" x14ac:dyDescent="0.35">
      <c r="A1501" t="s">
        <v>2074</v>
      </c>
      <c r="B1501" t="s">
        <v>2076</v>
      </c>
      <c r="C1501" t="s">
        <v>50</v>
      </c>
    </row>
    <row r="1502" spans="1:3" x14ac:dyDescent="0.35">
      <c r="A1502" t="s">
        <v>2077</v>
      </c>
      <c r="B1502">
        <v>605130019</v>
      </c>
      <c r="C1502" t="s">
        <v>7</v>
      </c>
    </row>
    <row r="1503" spans="1:3" x14ac:dyDescent="0.35">
      <c r="A1503" t="s">
        <v>2078</v>
      </c>
      <c r="B1503">
        <v>607190003</v>
      </c>
      <c r="C1503" t="s">
        <v>7</v>
      </c>
    </row>
    <row r="1504" spans="1:3" x14ac:dyDescent="0.35">
      <c r="A1504" t="s">
        <v>2078</v>
      </c>
      <c r="B1504" t="s">
        <v>2079</v>
      </c>
      <c r="C1504" t="s">
        <v>5</v>
      </c>
    </row>
    <row r="1505" spans="1:3" x14ac:dyDescent="0.35">
      <c r="A1505" t="s">
        <v>2080</v>
      </c>
      <c r="B1505" t="s">
        <v>2081</v>
      </c>
      <c r="C1505" t="s">
        <v>50</v>
      </c>
    </row>
    <row r="1506" spans="1:3" x14ac:dyDescent="0.35">
      <c r="A1506" t="s">
        <v>2082</v>
      </c>
      <c r="B1506">
        <v>605160003</v>
      </c>
      <c r="C1506" t="s">
        <v>7</v>
      </c>
    </row>
    <row r="1507" spans="1:3" x14ac:dyDescent="0.35">
      <c r="A1507" t="s">
        <v>2082</v>
      </c>
      <c r="B1507" t="s">
        <v>2083</v>
      </c>
      <c r="C1507" t="s">
        <v>5</v>
      </c>
    </row>
    <row r="1508" spans="1:3" x14ac:dyDescent="0.35">
      <c r="A1508" t="s">
        <v>2084</v>
      </c>
      <c r="B1508" t="s">
        <v>2085</v>
      </c>
      <c r="C1508" t="s">
        <v>5</v>
      </c>
    </row>
    <row r="1509" spans="1:3" x14ac:dyDescent="0.35">
      <c r="A1509" t="s">
        <v>2086</v>
      </c>
      <c r="B1509" t="s">
        <v>2087</v>
      </c>
      <c r="C1509" t="s">
        <v>5</v>
      </c>
    </row>
    <row r="1510" spans="1:3" x14ac:dyDescent="0.35">
      <c r="A1510" t="s">
        <v>2088</v>
      </c>
      <c r="B1510" t="s">
        <v>2089</v>
      </c>
      <c r="C1510" t="s">
        <v>5</v>
      </c>
    </row>
    <row r="1511" spans="1:3" x14ac:dyDescent="0.35">
      <c r="A1511" t="s">
        <v>2090</v>
      </c>
      <c r="B1511" t="s">
        <v>2091</v>
      </c>
      <c r="C1511" t="s">
        <v>5</v>
      </c>
    </row>
    <row r="1512" spans="1:3" x14ac:dyDescent="0.35">
      <c r="A1512" t="s">
        <v>2092</v>
      </c>
      <c r="B1512" t="s">
        <v>2093</v>
      </c>
      <c r="C1512" t="s">
        <v>5</v>
      </c>
    </row>
    <row r="1513" spans="1:3" x14ac:dyDescent="0.35">
      <c r="A1513" t="s">
        <v>2094</v>
      </c>
      <c r="B1513">
        <v>621040014</v>
      </c>
      <c r="C1513" t="s">
        <v>7</v>
      </c>
    </row>
    <row r="1514" spans="1:3" x14ac:dyDescent="0.35">
      <c r="A1514" t="s">
        <v>2095</v>
      </c>
      <c r="B1514" t="s">
        <v>2096</v>
      </c>
      <c r="C1514" t="s">
        <v>5</v>
      </c>
    </row>
    <row r="1515" spans="1:3" x14ac:dyDescent="0.35">
      <c r="A1515" t="s">
        <v>2097</v>
      </c>
      <c r="B1515">
        <v>601010033</v>
      </c>
      <c r="C1515" t="s">
        <v>7</v>
      </c>
    </row>
    <row r="1516" spans="1:3" x14ac:dyDescent="0.35">
      <c r="A1516" t="s">
        <v>2098</v>
      </c>
      <c r="B1516" t="s">
        <v>2099</v>
      </c>
      <c r="C1516" t="s">
        <v>5</v>
      </c>
    </row>
    <row r="1517" spans="1:3" x14ac:dyDescent="0.35">
      <c r="A1517" t="s">
        <v>2100</v>
      </c>
      <c r="B1517" t="s">
        <v>2101</v>
      </c>
      <c r="C1517" t="s">
        <v>32</v>
      </c>
    </row>
    <row r="1518" spans="1:3" x14ac:dyDescent="0.35">
      <c r="A1518" t="s">
        <v>2102</v>
      </c>
      <c r="B1518">
        <v>317230016</v>
      </c>
      <c r="C1518" t="s">
        <v>7</v>
      </c>
    </row>
    <row r="1519" spans="1:3" x14ac:dyDescent="0.35">
      <c r="A1519" t="s">
        <v>2103</v>
      </c>
      <c r="B1519">
        <v>316270003</v>
      </c>
      <c r="C1519" t="s">
        <v>7</v>
      </c>
    </row>
    <row r="1520" spans="1:3" x14ac:dyDescent="0.35">
      <c r="A1520" t="s">
        <v>2104</v>
      </c>
      <c r="B1520" t="s">
        <v>2105</v>
      </c>
      <c r="C1520" t="s">
        <v>5</v>
      </c>
    </row>
    <row r="1521" spans="1:3" x14ac:dyDescent="0.35">
      <c r="A1521" t="s">
        <v>2106</v>
      </c>
      <c r="B1521" t="s">
        <v>2107</v>
      </c>
      <c r="C1521" t="s">
        <v>5</v>
      </c>
    </row>
    <row r="1522" spans="1:3" x14ac:dyDescent="0.35">
      <c r="A1522" t="s">
        <v>2108</v>
      </c>
      <c r="B1522" t="s">
        <v>2109</v>
      </c>
      <c r="C1522" t="s">
        <v>32</v>
      </c>
    </row>
    <row r="1523" spans="1:3" x14ac:dyDescent="0.35">
      <c r="A1523" t="s">
        <v>2110</v>
      </c>
      <c r="B1523" t="s">
        <v>2111</v>
      </c>
      <c r="C1523" t="s">
        <v>50</v>
      </c>
    </row>
    <row r="1524" spans="1:3" x14ac:dyDescent="0.35">
      <c r="A1524" t="s">
        <v>2112</v>
      </c>
      <c r="B1524">
        <v>605110025</v>
      </c>
      <c r="C1524" t="s">
        <v>7</v>
      </c>
    </row>
    <row r="1525" spans="1:3" x14ac:dyDescent="0.35">
      <c r="A1525" t="s">
        <v>2113</v>
      </c>
      <c r="B1525" t="s">
        <v>2114</v>
      </c>
      <c r="C1525" t="s">
        <v>5</v>
      </c>
    </row>
    <row r="1526" spans="1:3" x14ac:dyDescent="0.35">
      <c r="A1526" t="s">
        <v>2115</v>
      </c>
      <c r="B1526" t="s">
        <v>2116</v>
      </c>
      <c r="C1526" t="s">
        <v>32</v>
      </c>
    </row>
    <row r="1527" spans="1:3" x14ac:dyDescent="0.35">
      <c r="A1527" t="s">
        <v>2117</v>
      </c>
      <c r="B1527" t="s">
        <v>2118</v>
      </c>
      <c r="C1527" t="s">
        <v>32</v>
      </c>
    </row>
    <row r="1528" spans="1:3" x14ac:dyDescent="0.35">
      <c r="A1528" t="s">
        <v>2117</v>
      </c>
      <c r="B1528" t="s">
        <v>2119</v>
      </c>
      <c r="C1528" t="s">
        <v>50</v>
      </c>
    </row>
    <row r="1529" spans="1:3" x14ac:dyDescent="0.35">
      <c r="A1529" t="s">
        <v>2120</v>
      </c>
      <c r="B1529">
        <v>609050015</v>
      </c>
      <c r="C1529" t="s">
        <v>7</v>
      </c>
    </row>
    <row r="1530" spans="1:3" x14ac:dyDescent="0.35">
      <c r="A1530" t="s">
        <v>2121</v>
      </c>
      <c r="B1530">
        <v>605160014</v>
      </c>
      <c r="C1530" t="s">
        <v>7</v>
      </c>
    </row>
    <row r="1531" spans="1:3" x14ac:dyDescent="0.35">
      <c r="A1531" t="s">
        <v>2122</v>
      </c>
      <c r="B1531" t="s">
        <v>2123</v>
      </c>
      <c r="C1531" t="s">
        <v>5</v>
      </c>
    </row>
    <row r="1532" spans="1:3" x14ac:dyDescent="0.35">
      <c r="A1532" t="s">
        <v>2124</v>
      </c>
      <c r="B1532" t="s">
        <v>2125</v>
      </c>
      <c r="C1532" t="s">
        <v>5</v>
      </c>
    </row>
    <row r="1533" spans="1:3" x14ac:dyDescent="0.35">
      <c r="A1533" t="s">
        <v>2126</v>
      </c>
      <c r="B1533" t="s">
        <v>2127</v>
      </c>
      <c r="C1533" t="s">
        <v>50</v>
      </c>
    </row>
    <row r="1534" spans="1:3" x14ac:dyDescent="0.35">
      <c r="A1534" t="s">
        <v>2128</v>
      </c>
      <c r="B1534" t="s">
        <v>2129</v>
      </c>
      <c r="C1534" t="s">
        <v>32</v>
      </c>
    </row>
    <row r="1535" spans="1:3" x14ac:dyDescent="0.35">
      <c r="A1535" t="s">
        <v>2130</v>
      </c>
      <c r="B1535">
        <v>605120011</v>
      </c>
      <c r="C1535" t="s">
        <v>7</v>
      </c>
    </row>
    <row r="1536" spans="1:3" x14ac:dyDescent="0.35">
      <c r="A1536" t="s">
        <v>2131</v>
      </c>
      <c r="B1536" t="s">
        <v>2132</v>
      </c>
      <c r="C1536" t="s">
        <v>5</v>
      </c>
    </row>
    <row r="1537" spans="1:3" x14ac:dyDescent="0.35">
      <c r="A1537" t="s">
        <v>2133</v>
      </c>
      <c r="B1537" t="s">
        <v>2134</v>
      </c>
      <c r="C1537" t="s">
        <v>5</v>
      </c>
    </row>
    <row r="1538" spans="1:3" x14ac:dyDescent="0.35">
      <c r="A1538" t="s">
        <v>2135</v>
      </c>
      <c r="B1538">
        <v>605130017</v>
      </c>
      <c r="C1538" t="s">
        <v>7</v>
      </c>
    </row>
    <row r="1539" spans="1:3" x14ac:dyDescent="0.35">
      <c r="A1539" t="s">
        <v>2135</v>
      </c>
      <c r="B1539" t="s">
        <v>2136</v>
      </c>
      <c r="C1539" t="s">
        <v>5</v>
      </c>
    </row>
    <row r="1540" spans="1:3" x14ac:dyDescent="0.35">
      <c r="A1540" t="s">
        <v>2137</v>
      </c>
      <c r="B1540">
        <v>609020014</v>
      </c>
      <c r="C1540" t="s">
        <v>7</v>
      </c>
    </row>
    <row r="1541" spans="1:3" x14ac:dyDescent="0.35">
      <c r="A1541" t="s">
        <v>2137</v>
      </c>
      <c r="B1541" t="s">
        <v>2138</v>
      </c>
      <c r="C1541" t="s">
        <v>5</v>
      </c>
    </row>
    <row r="1542" spans="1:3" x14ac:dyDescent="0.35">
      <c r="A1542" t="s">
        <v>2139</v>
      </c>
      <c r="B1542" t="s">
        <v>2140</v>
      </c>
      <c r="C1542" t="s">
        <v>32</v>
      </c>
    </row>
    <row r="1543" spans="1:3" x14ac:dyDescent="0.35">
      <c r="A1543" t="s">
        <v>2141</v>
      </c>
      <c r="B1543" t="s">
        <v>2142</v>
      </c>
      <c r="C1543" t="s">
        <v>5</v>
      </c>
    </row>
    <row r="1544" spans="1:3" x14ac:dyDescent="0.35">
      <c r="A1544" t="s">
        <v>2143</v>
      </c>
      <c r="B1544" t="s">
        <v>2144</v>
      </c>
      <c r="C1544" t="s">
        <v>32</v>
      </c>
    </row>
    <row r="1545" spans="1:3" x14ac:dyDescent="0.35">
      <c r="A1545" t="s">
        <v>2143</v>
      </c>
      <c r="B1545" t="s">
        <v>2145</v>
      </c>
      <c r="C1545" t="s">
        <v>5</v>
      </c>
    </row>
    <row r="1546" spans="1:3" x14ac:dyDescent="0.35">
      <c r="A1546" t="s">
        <v>2146</v>
      </c>
      <c r="B1546" t="s">
        <v>2147</v>
      </c>
      <c r="C1546" t="s">
        <v>5</v>
      </c>
    </row>
    <row r="1547" spans="1:3" x14ac:dyDescent="0.35">
      <c r="A1547" t="s">
        <v>2148</v>
      </c>
      <c r="B1547">
        <v>605110006</v>
      </c>
      <c r="C1547" t="s">
        <v>7</v>
      </c>
    </row>
    <row r="1548" spans="1:3" x14ac:dyDescent="0.35">
      <c r="A1548" t="s">
        <v>2149</v>
      </c>
      <c r="B1548">
        <v>602030012</v>
      </c>
      <c r="C1548" t="s">
        <v>7</v>
      </c>
    </row>
    <row r="1549" spans="1:3" x14ac:dyDescent="0.35">
      <c r="A1549" t="s">
        <v>2150</v>
      </c>
      <c r="B1549">
        <v>602030014</v>
      </c>
      <c r="C1549" t="s">
        <v>7</v>
      </c>
    </row>
    <row r="1550" spans="1:3" x14ac:dyDescent="0.35">
      <c r="A1550" t="s">
        <v>2151</v>
      </c>
      <c r="B1550">
        <v>604120007</v>
      </c>
      <c r="C1550" t="s">
        <v>7</v>
      </c>
    </row>
    <row r="1551" spans="1:3" x14ac:dyDescent="0.35">
      <c r="A1551" t="s">
        <v>2152</v>
      </c>
      <c r="B1551" t="s">
        <v>2153</v>
      </c>
      <c r="C1551" t="s">
        <v>5</v>
      </c>
    </row>
    <row r="1552" spans="1:3" x14ac:dyDescent="0.35">
      <c r="A1552" t="s">
        <v>2154</v>
      </c>
      <c r="B1552" t="s">
        <v>2155</v>
      </c>
      <c r="C1552" t="s">
        <v>5</v>
      </c>
    </row>
    <row r="1553" spans="1:3" x14ac:dyDescent="0.35">
      <c r="A1553" t="s">
        <v>2156</v>
      </c>
      <c r="B1553" t="s">
        <v>2157</v>
      </c>
      <c r="C1553" t="s">
        <v>5</v>
      </c>
    </row>
    <row r="1554" spans="1:3" x14ac:dyDescent="0.35">
      <c r="A1554" t="s">
        <v>2158</v>
      </c>
      <c r="B1554">
        <v>603140011</v>
      </c>
      <c r="C1554" t="s">
        <v>7</v>
      </c>
    </row>
    <row r="1555" spans="1:3" x14ac:dyDescent="0.35">
      <c r="A1555" t="s">
        <v>2158</v>
      </c>
      <c r="B1555" t="s">
        <v>2159</v>
      </c>
      <c r="C1555" t="s">
        <v>5</v>
      </c>
    </row>
    <row r="1556" spans="1:3" x14ac:dyDescent="0.35">
      <c r="A1556" t="s">
        <v>2160</v>
      </c>
      <c r="B1556">
        <v>605150013</v>
      </c>
      <c r="C1556" t="s">
        <v>7</v>
      </c>
    </row>
    <row r="1557" spans="1:3" x14ac:dyDescent="0.35">
      <c r="A1557" t="s">
        <v>2161</v>
      </c>
      <c r="B1557">
        <v>605170013</v>
      </c>
      <c r="C1557" t="s">
        <v>7</v>
      </c>
    </row>
    <row r="1558" spans="1:3" x14ac:dyDescent="0.35">
      <c r="A1558" t="s">
        <v>2161</v>
      </c>
      <c r="B1558">
        <v>612210003</v>
      </c>
      <c r="C1558" t="s">
        <v>7</v>
      </c>
    </row>
    <row r="1559" spans="1:3" x14ac:dyDescent="0.35">
      <c r="A1559" t="s">
        <v>2161</v>
      </c>
      <c r="B1559">
        <v>621040016</v>
      </c>
      <c r="C1559" t="s">
        <v>7</v>
      </c>
    </row>
    <row r="1560" spans="1:3" x14ac:dyDescent="0.35">
      <c r="A1560" t="s">
        <v>2161</v>
      </c>
      <c r="B1560" t="s">
        <v>2162</v>
      </c>
      <c r="C1560" t="s">
        <v>5</v>
      </c>
    </row>
    <row r="1561" spans="1:3" x14ac:dyDescent="0.35">
      <c r="A1561" t="s">
        <v>2163</v>
      </c>
      <c r="B1561">
        <v>603010030</v>
      </c>
      <c r="C1561" t="s">
        <v>7</v>
      </c>
    </row>
    <row r="1562" spans="1:3" x14ac:dyDescent="0.35">
      <c r="A1562" t="s">
        <v>2164</v>
      </c>
      <c r="B1562">
        <v>621050025</v>
      </c>
      <c r="C1562" t="s">
        <v>7</v>
      </c>
    </row>
    <row r="1563" spans="1:3" x14ac:dyDescent="0.35">
      <c r="A1563" t="s">
        <v>2165</v>
      </c>
      <c r="B1563" t="s">
        <v>2166</v>
      </c>
      <c r="C1563" t="s">
        <v>5</v>
      </c>
    </row>
    <row r="1564" spans="1:3" x14ac:dyDescent="0.35">
      <c r="A1564" t="s">
        <v>2167</v>
      </c>
      <c r="B1564" t="s">
        <v>2168</v>
      </c>
      <c r="C1564" t="s">
        <v>32</v>
      </c>
    </row>
    <row r="1565" spans="1:3" x14ac:dyDescent="0.35">
      <c r="A1565" t="s">
        <v>2167</v>
      </c>
      <c r="B1565" t="s">
        <v>2169</v>
      </c>
      <c r="C1565" t="s">
        <v>50</v>
      </c>
    </row>
    <row r="1566" spans="1:3" x14ac:dyDescent="0.35">
      <c r="A1566" t="s">
        <v>2170</v>
      </c>
      <c r="B1566">
        <v>605110027</v>
      </c>
      <c r="C1566" t="s">
        <v>7</v>
      </c>
    </row>
    <row r="1567" spans="1:3" x14ac:dyDescent="0.35">
      <c r="A1567" t="s">
        <v>2171</v>
      </c>
      <c r="B1567">
        <v>621080025</v>
      </c>
      <c r="C1567" t="s">
        <v>7</v>
      </c>
    </row>
    <row r="1568" spans="1:3" x14ac:dyDescent="0.35">
      <c r="A1568" t="s">
        <v>2172</v>
      </c>
      <c r="B1568">
        <v>621040018</v>
      </c>
      <c r="C1568" t="s">
        <v>7</v>
      </c>
    </row>
    <row r="1569" spans="1:3" x14ac:dyDescent="0.35">
      <c r="A1569" t="s">
        <v>2173</v>
      </c>
      <c r="B1569" t="s">
        <v>2174</v>
      </c>
      <c r="C1569" t="s">
        <v>5</v>
      </c>
    </row>
    <row r="1570" spans="1:3" x14ac:dyDescent="0.35">
      <c r="A1570" t="s">
        <v>2175</v>
      </c>
      <c r="B1570" t="s">
        <v>2176</v>
      </c>
      <c r="C1570" t="s">
        <v>5</v>
      </c>
    </row>
    <row r="1571" spans="1:3" x14ac:dyDescent="0.35">
      <c r="A1571" t="s">
        <v>2177</v>
      </c>
      <c r="B1571">
        <v>604060016</v>
      </c>
      <c r="C1571" t="s">
        <v>7</v>
      </c>
    </row>
    <row r="1572" spans="1:3" x14ac:dyDescent="0.35">
      <c r="A1572" t="s">
        <v>2178</v>
      </c>
      <c r="B1572" t="s">
        <v>2179</v>
      </c>
      <c r="C1572" t="s">
        <v>32</v>
      </c>
    </row>
    <row r="1573" spans="1:3" x14ac:dyDescent="0.35">
      <c r="A1573" t="s">
        <v>2180</v>
      </c>
      <c r="B1573">
        <v>607010029</v>
      </c>
      <c r="C1573" t="s">
        <v>7</v>
      </c>
    </row>
    <row r="1574" spans="1:3" x14ac:dyDescent="0.35">
      <c r="A1574" t="s">
        <v>2181</v>
      </c>
      <c r="B1574" t="s">
        <v>2182</v>
      </c>
      <c r="C1574" t="s">
        <v>5</v>
      </c>
    </row>
    <row r="1575" spans="1:3" x14ac:dyDescent="0.35">
      <c r="A1575" t="s">
        <v>2183</v>
      </c>
      <c r="B1575" t="s">
        <v>2184</v>
      </c>
      <c r="C1575" t="s">
        <v>5</v>
      </c>
    </row>
    <row r="1576" spans="1:3" x14ac:dyDescent="0.35">
      <c r="A1576" t="s">
        <v>2185</v>
      </c>
      <c r="B1576">
        <v>614270009</v>
      </c>
      <c r="C1576" t="s">
        <v>7</v>
      </c>
    </row>
    <row r="1577" spans="1:3" x14ac:dyDescent="0.35">
      <c r="A1577" t="s">
        <v>2186</v>
      </c>
      <c r="B1577">
        <v>614250007</v>
      </c>
      <c r="C1577" t="s">
        <v>7</v>
      </c>
    </row>
    <row r="1578" spans="1:3" x14ac:dyDescent="0.35">
      <c r="A1578" t="s">
        <v>2186</v>
      </c>
      <c r="B1578">
        <v>620010008</v>
      </c>
      <c r="C1578" t="s">
        <v>7</v>
      </c>
    </row>
    <row r="1579" spans="1:3" x14ac:dyDescent="0.35">
      <c r="A1579" t="s">
        <v>2187</v>
      </c>
      <c r="B1579" t="s">
        <v>2188</v>
      </c>
      <c r="C1579" t="s">
        <v>5</v>
      </c>
    </row>
    <row r="1580" spans="1:3" x14ac:dyDescent="0.35">
      <c r="A1580" t="s">
        <v>2189</v>
      </c>
      <c r="B1580">
        <v>605100031</v>
      </c>
      <c r="C1580" t="s">
        <v>7</v>
      </c>
    </row>
    <row r="1581" spans="1:3" x14ac:dyDescent="0.35">
      <c r="A1581" t="s">
        <v>2190</v>
      </c>
      <c r="B1581" t="s">
        <v>2191</v>
      </c>
      <c r="C1581" t="s">
        <v>5</v>
      </c>
    </row>
    <row r="1582" spans="1:3" x14ac:dyDescent="0.35">
      <c r="A1582" t="s">
        <v>2192</v>
      </c>
      <c r="B1582" t="s">
        <v>2193</v>
      </c>
      <c r="C1582" t="s">
        <v>5</v>
      </c>
    </row>
    <row r="1583" spans="1:3" x14ac:dyDescent="0.35">
      <c r="A1583" t="s">
        <v>2194</v>
      </c>
      <c r="B1583" t="s">
        <v>2195</v>
      </c>
      <c r="C1583" t="s">
        <v>5</v>
      </c>
    </row>
    <row r="1584" spans="1:3" x14ac:dyDescent="0.35">
      <c r="A1584" t="s">
        <v>2196</v>
      </c>
      <c r="B1584">
        <v>607110007</v>
      </c>
      <c r="C1584" t="s">
        <v>7</v>
      </c>
    </row>
    <row r="1585" spans="1:3" x14ac:dyDescent="0.35">
      <c r="A1585" t="s">
        <v>2197</v>
      </c>
      <c r="B1585" t="s">
        <v>2198</v>
      </c>
      <c r="C1585" t="s">
        <v>5</v>
      </c>
    </row>
    <row r="1586" spans="1:3" x14ac:dyDescent="0.35">
      <c r="A1586" t="s">
        <v>2199</v>
      </c>
      <c r="B1586">
        <v>604030005</v>
      </c>
      <c r="C1586" t="s">
        <v>7</v>
      </c>
    </row>
    <row r="1587" spans="1:3" x14ac:dyDescent="0.35">
      <c r="A1587" t="s">
        <v>2199</v>
      </c>
      <c r="B1587">
        <v>605030023</v>
      </c>
      <c r="C1587" t="s">
        <v>7</v>
      </c>
    </row>
    <row r="1588" spans="1:3" x14ac:dyDescent="0.35">
      <c r="A1588" t="s">
        <v>2199</v>
      </c>
      <c r="B1588" t="s">
        <v>2200</v>
      </c>
      <c r="C1588" t="s">
        <v>32</v>
      </c>
    </row>
    <row r="1589" spans="1:3" x14ac:dyDescent="0.35">
      <c r="A1589" t="s">
        <v>2201</v>
      </c>
      <c r="B1589">
        <v>603180003</v>
      </c>
      <c r="C1589" t="s">
        <v>7</v>
      </c>
    </row>
    <row r="1590" spans="1:3" x14ac:dyDescent="0.35">
      <c r="A1590" t="s">
        <v>2202</v>
      </c>
      <c r="B1590" t="s">
        <v>2203</v>
      </c>
      <c r="C1590" t="s">
        <v>5</v>
      </c>
    </row>
    <row r="1591" spans="1:3" x14ac:dyDescent="0.35">
      <c r="A1591" t="s">
        <v>2204</v>
      </c>
      <c r="B1591" t="s">
        <v>2205</v>
      </c>
      <c r="C1591" t="s">
        <v>5</v>
      </c>
    </row>
    <row r="1592" spans="1:3" x14ac:dyDescent="0.35">
      <c r="A1592" t="s">
        <v>2206</v>
      </c>
      <c r="B1592">
        <v>621070021</v>
      </c>
      <c r="C1592" t="s">
        <v>7</v>
      </c>
    </row>
    <row r="1593" spans="1:3" x14ac:dyDescent="0.35">
      <c r="A1593" t="s">
        <v>2207</v>
      </c>
      <c r="B1593">
        <v>607070008</v>
      </c>
      <c r="C1593" t="s">
        <v>7</v>
      </c>
    </row>
    <row r="1594" spans="1:3" x14ac:dyDescent="0.35">
      <c r="A1594" t="s">
        <v>2208</v>
      </c>
      <c r="B1594">
        <v>604130031</v>
      </c>
      <c r="C1594" t="s">
        <v>7</v>
      </c>
    </row>
    <row r="1595" spans="1:3" x14ac:dyDescent="0.35">
      <c r="A1595" t="s">
        <v>2209</v>
      </c>
      <c r="B1595" t="s">
        <v>2210</v>
      </c>
      <c r="C1595" t="s">
        <v>50</v>
      </c>
    </row>
    <row r="1596" spans="1:3" x14ac:dyDescent="0.35">
      <c r="A1596" t="s">
        <v>2211</v>
      </c>
      <c r="B1596">
        <v>603130018</v>
      </c>
      <c r="C1596" t="s">
        <v>7</v>
      </c>
    </row>
    <row r="1597" spans="1:3" x14ac:dyDescent="0.35">
      <c r="A1597" t="s">
        <v>2212</v>
      </c>
      <c r="B1597" t="s">
        <v>2213</v>
      </c>
      <c r="C1597" t="s">
        <v>5</v>
      </c>
    </row>
    <row r="1598" spans="1:3" x14ac:dyDescent="0.35">
      <c r="A1598" t="s">
        <v>2214</v>
      </c>
      <c r="B1598" t="s">
        <v>2215</v>
      </c>
      <c r="C1598" t="s">
        <v>5</v>
      </c>
    </row>
    <row r="1599" spans="1:3" x14ac:dyDescent="0.35">
      <c r="A1599" t="s">
        <v>2216</v>
      </c>
      <c r="B1599" t="s">
        <v>2217</v>
      </c>
      <c r="C1599" t="s">
        <v>5</v>
      </c>
    </row>
    <row r="1600" spans="1:3" x14ac:dyDescent="0.35">
      <c r="A1600" t="s">
        <v>2218</v>
      </c>
      <c r="B1600" t="s">
        <v>2219</v>
      </c>
      <c r="C1600" t="s">
        <v>5</v>
      </c>
    </row>
    <row r="1601" spans="1:3" x14ac:dyDescent="0.35">
      <c r="A1601" t="s">
        <v>2220</v>
      </c>
      <c r="B1601" t="s">
        <v>2221</v>
      </c>
      <c r="C1601" t="s">
        <v>5</v>
      </c>
    </row>
    <row r="1602" spans="1:3" x14ac:dyDescent="0.35">
      <c r="A1602" t="s">
        <v>2222</v>
      </c>
      <c r="B1602">
        <v>609040007</v>
      </c>
      <c r="C1602" t="s">
        <v>7</v>
      </c>
    </row>
    <row r="1603" spans="1:3" x14ac:dyDescent="0.35">
      <c r="A1603" t="s">
        <v>2223</v>
      </c>
      <c r="B1603">
        <v>605140008</v>
      </c>
      <c r="C1603" t="s">
        <v>7</v>
      </c>
    </row>
    <row r="1604" spans="1:3" x14ac:dyDescent="0.35">
      <c r="A1604" t="s">
        <v>2223</v>
      </c>
      <c r="B1604" t="s">
        <v>2224</v>
      </c>
      <c r="C1604" t="s">
        <v>5</v>
      </c>
    </row>
    <row r="1605" spans="1:3" x14ac:dyDescent="0.35">
      <c r="A1605" t="s">
        <v>2225</v>
      </c>
      <c r="B1605" t="s">
        <v>2226</v>
      </c>
      <c r="C1605" t="s">
        <v>5</v>
      </c>
    </row>
    <row r="1606" spans="1:3" x14ac:dyDescent="0.35">
      <c r="A1606" t="s">
        <v>2227</v>
      </c>
      <c r="B1606">
        <v>112220016</v>
      </c>
      <c r="C1606" t="s">
        <v>7</v>
      </c>
    </row>
    <row r="1607" spans="1:3" x14ac:dyDescent="0.35">
      <c r="A1607" t="s">
        <v>2228</v>
      </c>
      <c r="B1607">
        <v>112150002</v>
      </c>
      <c r="C1607" t="s">
        <v>7</v>
      </c>
    </row>
    <row r="1608" spans="1:3" x14ac:dyDescent="0.35">
      <c r="A1608" t="s">
        <v>2229</v>
      </c>
      <c r="B1608" t="s">
        <v>2230</v>
      </c>
      <c r="C1608" t="s">
        <v>5</v>
      </c>
    </row>
    <row r="1609" spans="1:3" x14ac:dyDescent="0.35">
      <c r="A1609" t="s">
        <v>2231</v>
      </c>
      <c r="B1609">
        <v>614240011</v>
      </c>
      <c r="C1609" t="s">
        <v>7</v>
      </c>
    </row>
    <row r="1610" spans="1:3" x14ac:dyDescent="0.35">
      <c r="A1610" t="s">
        <v>2232</v>
      </c>
      <c r="B1610" t="s">
        <v>2233</v>
      </c>
      <c r="C1610" t="s">
        <v>32</v>
      </c>
    </row>
    <row r="1611" spans="1:3" x14ac:dyDescent="0.35">
      <c r="A1611" t="s">
        <v>2234</v>
      </c>
      <c r="B1611">
        <v>621010013</v>
      </c>
      <c r="C1611" t="s">
        <v>7</v>
      </c>
    </row>
    <row r="1612" spans="1:3" x14ac:dyDescent="0.35">
      <c r="A1612" t="s">
        <v>2235</v>
      </c>
      <c r="B1612" t="s">
        <v>2236</v>
      </c>
      <c r="C1612" t="s">
        <v>32</v>
      </c>
    </row>
    <row r="1613" spans="1:3" x14ac:dyDescent="0.35">
      <c r="A1613" t="s">
        <v>2235</v>
      </c>
      <c r="B1613" t="s">
        <v>2237</v>
      </c>
      <c r="C1613" t="s">
        <v>5</v>
      </c>
    </row>
    <row r="1614" spans="1:3" x14ac:dyDescent="0.35">
      <c r="A1614" t="s">
        <v>2238</v>
      </c>
      <c r="B1614">
        <v>614070004</v>
      </c>
      <c r="C1614" t="s">
        <v>7</v>
      </c>
    </row>
    <row r="1615" spans="1:3" x14ac:dyDescent="0.35">
      <c r="A1615" t="s">
        <v>2239</v>
      </c>
      <c r="B1615">
        <v>612150005</v>
      </c>
      <c r="C1615" t="s">
        <v>7</v>
      </c>
    </row>
    <row r="1616" spans="1:3" x14ac:dyDescent="0.35">
      <c r="A1616" t="s">
        <v>2239</v>
      </c>
      <c r="B1616" t="s">
        <v>2240</v>
      </c>
      <c r="C1616" t="s">
        <v>5</v>
      </c>
    </row>
    <row r="1617" spans="1:3" x14ac:dyDescent="0.35">
      <c r="A1617" t="s">
        <v>2241</v>
      </c>
      <c r="B1617">
        <v>316060016</v>
      </c>
      <c r="C1617" t="s">
        <v>7</v>
      </c>
    </row>
    <row r="1618" spans="1:3" x14ac:dyDescent="0.35">
      <c r="A1618" t="s">
        <v>2242</v>
      </c>
      <c r="B1618">
        <v>607140001</v>
      </c>
      <c r="C1618" t="s">
        <v>7</v>
      </c>
    </row>
    <row r="1619" spans="1:3" x14ac:dyDescent="0.35">
      <c r="A1619" t="s">
        <v>2243</v>
      </c>
      <c r="B1619">
        <v>609050044</v>
      </c>
      <c r="C1619" t="s">
        <v>7</v>
      </c>
    </row>
    <row r="1620" spans="1:3" x14ac:dyDescent="0.35">
      <c r="A1620" t="s">
        <v>2244</v>
      </c>
      <c r="B1620">
        <v>614020022</v>
      </c>
      <c r="C1620" t="s">
        <v>7</v>
      </c>
    </row>
    <row r="1621" spans="1:3" x14ac:dyDescent="0.35">
      <c r="A1621" t="s">
        <v>2245</v>
      </c>
      <c r="B1621">
        <v>607070034</v>
      </c>
      <c r="C1621" t="s">
        <v>7</v>
      </c>
    </row>
    <row r="1622" spans="1:3" x14ac:dyDescent="0.35">
      <c r="A1622" t="s">
        <v>2246</v>
      </c>
      <c r="B1622">
        <v>607120022</v>
      </c>
      <c r="C1622" t="s">
        <v>7</v>
      </c>
    </row>
    <row r="1623" spans="1:3" x14ac:dyDescent="0.35">
      <c r="A1623" t="s">
        <v>2247</v>
      </c>
      <c r="B1623">
        <v>607080022</v>
      </c>
      <c r="C1623" t="s">
        <v>7</v>
      </c>
    </row>
    <row r="1624" spans="1:3" x14ac:dyDescent="0.35">
      <c r="A1624" t="s">
        <v>2248</v>
      </c>
      <c r="B1624">
        <v>609030016</v>
      </c>
      <c r="C1624" t="s">
        <v>7</v>
      </c>
    </row>
    <row r="1625" spans="1:3" x14ac:dyDescent="0.35">
      <c r="A1625" t="s">
        <v>2249</v>
      </c>
      <c r="B1625">
        <v>607120001</v>
      </c>
      <c r="C1625" t="s">
        <v>7</v>
      </c>
    </row>
    <row r="1626" spans="1:3" x14ac:dyDescent="0.35">
      <c r="A1626" t="s">
        <v>2250</v>
      </c>
      <c r="B1626">
        <v>607080023</v>
      </c>
      <c r="C1626" t="s">
        <v>7</v>
      </c>
    </row>
    <row r="1627" spans="1:3" x14ac:dyDescent="0.35">
      <c r="A1627" t="s">
        <v>2251</v>
      </c>
      <c r="B1627">
        <v>607180011</v>
      </c>
      <c r="C1627" t="s">
        <v>7</v>
      </c>
    </row>
    <row r="1628" spans="1:3" x14ac:dyDescent="0.35">
      <c r="A1628" t="s">
        <v>2252</v>
      </c>
      <c r="B1628">
        <v>605010001</v>
      </c>
      <c r="C1628" t="s">
        <v>7</v>
      </c>
    </row>
    <row r="1629" spans="1:3" x14ac:dyDescent="0.35">
      <c r="A1629" t="s">
        <v>2253</v>
      </c>
      <c r="B1629">
        <v>604080042</v>
      </c>
      <c r="C1629" t="s">
        <v>7</v>
      </c>
    </row>
    <row r="1630" spans="1:3" x14ac:dyDescent="0.35">
      <c r="A1630" t="s">
        <v>2254</v>
      </c>
      <c r="B1630">
        <v>607080004</v>
      </c>
      <c r="C1630" t="s">
        <v>7</v>
      </c>
    </row>
    <row r="1631" spans="1:3" x14ac:dyDescent="0.35">
      <c r="A1631" t="s">
        <v>2255</v>
      </c>
      <c r="B1631">
        <v>605110042</v>
      </c>
      <c r="C1631" t="s">
        <v>7</v>
      </c>
    </row>
    <row r="1632" spans="1:3" x14ac:dyDescent="0.35">
      <c r="A1632" t="s">
        <v>2256</v>
      </c>
      <c r="B1632">
        <v>320240020</v>
      </c>
      <c r="C1632" t="s">
        <v>7</v>
      </c>
    </row>
    <row r="1633" spans="1:3" x14ac:dyDescent="0.35">
      <c r="A1633" t="s">
        <v>2257</v>
      </c>
      <c r="B1633">
        <v>605030003</v>
      </c>
      <c r="C1633" t="s">
        <v>7</v>
      </c>
    </row>
    <row r="1634" spans="1:3" x14ac:dyDescent="0.35">
      <c r="A1634" t="s">
        <v>2258</v>
      </c>
      <c r="B1634">
        <v>605110037</v>
      </c>
      <c r="C1634" t="s">
        <v>7</v>
      </c>
    </row>
    <row r="1635" spans="1:3" x14ac:dyDescent="0.35">
      <c r="A1635" t="s">
        <v>2259</v>
      </c>
      <c r="B1635">
        <v>607120024</v>
      </c>
      <c r="C1635" t="s">
        <v>7</v>
      </c>
    </row>
    <row r="1636" spans="1:3" x14ac:dyDescent="0.35">
      <c r="A1636" t="s">
        <v>2260</v>
      </c>
      <c r="B1636">
        <v>605170003</v>
      </c>
      <c r="C1636" t="s">
        <v>7</v>
      </c>
    </row>
    <row r="1637" spans="1:3" x14ac:dyDescent="0.35">
      <c r="A1637" t="s">
        <v>2261</v>
      </c>
      <c r="B1637">
        <v>605150009</v>
      </c>
      <c r="C1637" t="s">
        <v>7</v>
      </c>
    </row>
    <row r="1638" spans="1:3" x14ac:dyDescent="0.35">
      <c r="A1638" t="s">
        <v>2262</v>
      </c>
      <c r="B1638">
        <v>605100004</v>
      </c>
      <c r="C1638" t="s">
        <v>7</v>
      </c>
    </row>
    <row r="1639" spans="1:3" x14ac:dyDescent="0.35">
      <c r="A1639" t="s">
        <v>2263</v>
      </c>
      <c r="B1639">
        <v>607160001</v>
      </c>
      <c r="C1639" t="s">
        <v>7</v>
      </c>
    </row>
    <row r="1640" spans="1:3" x14ac:dyDescent="0.35">
      <c r="A1640" t="s">
        <v>2264</v>
      </c>
      <c r="B1640">
        <v>609050043</v>
      </c>
      <c r="C1640" t="s">
        <v>7</v>
      </c>
    </row>
    <row r="1641" spans="1:3" x14ac:dyDescent="0.35">
      <c r="A1641" t="s">
        <v>2265</v>
      </c>
      <c r="B1641">
        <v>609030020</v>
      </c>
      <c r="C1641" t="s">
        <v>7</v>
      </c>
    </row>
    <row r="1642" spans="1:3" x14ac:dyDescent="0.35">
      <c r="A1642" t="s">
        <v>2266</v>
      </c>
      <c r="B1642">
        <v>607120006</v>
      </c>
      <c r="C1642" t="s">
        <v>7</v>
      </c>
    </row>
    <row r="1643" spans="1:3" x14ac:dyDescent="0.35">
      <c r="A1643" t="s">
        <v>2267</v>
      </c>
      <c r="B1643">
        <v>607020004</v>
      </c>
      <c r="C1643" t="s">
        <v>7</v>
      </c>
    </row>
    <row r="1644" spans="1:3" x14ac:dyDescent="0.35">
      <c r="A1644" t="s">
        <v>2268</v>
      </c>
      <c r="B1644">
        <v>609030028</v>
      </c>
      <c r="C1644" t="s">
        <v>7</v>
      </c>
    </row>
    <row r="1645" spans="1:3" x14ac:dyDescent="0.35">
      <c r="A1645" t="s">
        <v>2269</v>
      </c>
      <c r="B1645">
        <v>604130026</v>
      </c>
      <c r="C1645" t="s">
        <v>7</v>
      </c>
    </row>
    <row r="1646" spans="1:3" x14ac:dyDescent="0.35">
      <c r="A1646" t="s">
        <v>2270</v>
      </c>
      <c r="B1646">
        <v>605100005</v>
      </c>
      <c r="C1646" t="s">
        <v>7</v>
      </c>
    </row>
    <row r="1647" spans="1:3" x14ac:dyDescent="0.35">
      <c r="A1647" t="s">
        <v>2271</v>
      </c>
      <c r="B1647">
        <v>609030010</v>
      </c>
      <c r="C1647" t="s">
        <v>7</v>
      </c>
    </row>
    <row r="1648" spans="1:3" x14ac:dyDescent="0.35">
      <c r="A1648" t="s">
        <v>2272</v>
      </c>
      <c r="B1648">
        <v>609010052</v>
      </c>
      <c r="C1648" t="s">
        <v>7</v>
      </c>
    </row>
    <row r="1649" spans="1:3" x14ac:dyDescent="0.35">
      <c r="A1649" t="s">
        <v>2273</v>
      </c>
      <c r="B1649">
        <v>607070033</v>
      </c>
      <c r="C1649" t="s">
        <v>7</v>
      </c>
    </row>
    <row r="1650" spans="1:3" x14ac:dyDescent="0.35">
      <c r="A1650" t="s">
        <v>2274</v>
      </c>
      <c r="B1650">
        <v>607110004</v>
      </c>
      <c r="C1650" t="s">
        <v>7</v>
      </c>
    </row>
    <row r="1651" spans="1:3" x14ac:dyDescent="0.35">
      <c r="A1651" t="s">
        <v>2275</v>
      </c>
      <c r="B1651">
        <v>607090006</v>
      </c>
      <c r="C1651" t="s">
        <v>7</v>
      </c>
    </row>
    <row r="1652" spans="1:3" x14ac:dyDescent="0.35">
      <c r="A1652" t="s">
        <v>2276</v>
      </c>
      <c r="B1652">
        <v>614290002</v>
      </c>
      <c r="C1652" t="s">
        <v>7</v>
      </c>
    </row>
    <row r="1653" spans="1:3" x14ac:dyDescent="0.35">
      <c r="A1653" t="s">
        <v>2277</v>
      </c>
      <c r="B1653">
        <v>607100003</v>
      </c>
      <c r="C1653" t="s">
        <v>7</v>
      </c>
    </row>
    <row r="1654" spans="1:3" x14ac:dyDescent="0.35">
      <c r="A1654" t="s">
        <v>2278</v>
      </c>
      <c r="B1654">
        <v>607140004</v>
      </c>
      <c r="C1654" t="s">
        <v>7</v>
      </c>
    </row>
    <row r="1655" spans="1:3" x14ac:dyDescent="0.35">
      <c r="A1655" t="s">
        <v>2279</v>
      </c>
      <c r="B1655">
        <v>607180010</v>
      </c>
      <c r="C1655" t="s">
        <v>7</v>
      </c>
    </row>
    <row r="1656" spans="1:3" x14ac:dyDescent="0.35">
      <c r="A1656" t="s">
        <v>2280</v>
      </c>
      <c r="B1656">
        <v>605100009</v>
      </c>
      <c r="C1656" t="s">
        <v>7</v>
      </c>
    </row>
    <row r="1657" spans="1:3" x14ac:dyDescent="0.35">
      <c r="A1657" t="s">
        <v>2281</v>
      </c>
      <c r="B1657">
        <v>607160004</v>
      </c>
      <c r="C1657" t="s">
        <v>7</v>
      </c>
    </row>
    <row r="1658" spans="1:3" x14ac:dyDescent="0.35">
      <c r="A1658" t="s">
        <v>2282</v>
      </c>
      <c r="B1658">
        <v>614210021</v>
      </c>
      <c r="C1658" t="s">
        <v>7</v>
      </c>
    </row>
    <row r="1659" spans="1:3" x14ac:dyDescent="0.35">
      <c r="A1659" t="s">
        <v>2283</v>
      </c>
      <c r="B1659">
        <v>607040003</v>
      </c>
      <c r="C1659" t="s">
        <v>7</v>
      </c>
    </row>
    <row r="1660" spans="1:3" x14ac:dyDescent="0.35">
      <c r="A1660" t="s">
        <v>2284</v>
      </c>
      <c r="B1660">
        <v>605170021</v>
      </c>
      <c r="C1660" t="s">
        <v>7</v>
      </c>
    </row>
    <row r="1661" spans="1:3" x14ac:dyDescent="0.35">
      <c r="A1661" t="s">
        <v>2285</v>
      </c>
      <c r="B1661">
        <v>607110009</v>
      </c>
      <c r="C1661" t="s">
        <v>7</v>
      </c>
    </row>
    <row r="1662" spans="1:3" x14ac:dyDescent="0.35">
      <c r="A1662" t="s">
        <v>2286</v>
      </c>
      <c r="B1662">
        <v>614020029</v>
      </c>
      <c r="C1662" t="s">
        <v>7</v>
      </c>
    </row>
    <row r="1663" spans="1:3" x14ac:dyDescent="0.35">
      <c r="A1663" t="s">
        <v>2287</v>
      </c>
      <c r="B1663">
        <v>607010036</v>
      </c>
      <c r="C1663" t="s">
        <v>7</v>
      </c>
    </row>
    <row r="1664" spans="1:3" x14ac:dyDescent="0.35">
      <c r="A1664" t="s">
        <v>2288</v>
      </c>
      <c r="B1664">
        <v>605140004</v>
      </c>
      <c r="C1664" t="s">
        <v>7</v>
      </c>
    </row>
    <row r="1665" spans="1:3" x14ac:dyDescent="0.35">
      <c r="A1665" t="s">
        <v>2289</v>
      </c>
      <c r="B1665">
        <v>603020023</v>
      </c>
      <c r="C1665" t="s">
        <v>7</v>
      </c>
    </row>
    <row r="1666" spans="1:3" x14ac:dyDescent="0.35">
      <c r="A1666" t="s">
        <v>2290</v>
      </c>
      <c r="B1666">
        <v>605030010</v>
      </c>
      <c r="C1666" t="s">
        <v>7</v>
      </c>
    </row>
    <row r="1667" spans="1:3" x14ac:dyDescent="0.35">
      <c r="A1667" t="s">
        <v>2291</v>
      </c>
      <c r="B1667">
        <v>607190011</v>
      </c>
      <c r="C1667" t="s">
        <v>7</v>
      </c>
    </row>
    <row r="1668" spans="1:3" x14ac:dyDescent="0.35">
      <c r="A1668" t="s">
        <v>2292</v>
      </c>
      <c r="B1668">
        <v>607020014</v>
      </c>
      <c r="C1668" t="s">
        <v>7</v>
      </c>
    </row>
    <row r="1669" spans="1:3" x14ac:dyDescent="0.35">
      <c r="A1669" t="s">
        <v>2293</v>
      </c>
      <c r="B1669">
        <v>613200002</v>
      </c>
      <c r="C1669" t="s">
        <v>7</v>
      </c>
    </row>
    <row r="1670" spans="1:3" x14ac:dyDescent="0.35">
      <c r="A1670" t="s">
        <v>2294</v>
      </c>
      <c r="B1670">
        <v>605030011</v>
      </c>
      <c r="C1670" t="s">
        <v>7</v>
      </c>
    </row>
    <row r="1671" spans="1:3" x14ac:dyDescent="0.35">
      <c r="A1671" t="s">
        <v>2295</v>
      </c>
      <c r="B1671">
        <v>613210002</v>
      </c>
      <c r="C1671" t="s">
        <v>7</v>
      </c>
    </row>
    <row r="1672" spans="1:3" x14ac:dyDescent="0.35">
      <c r="A1672" t="s">
        <v>2296</v>
      </c>
      <c r="B1672">
        <v>605030016</v>
      </c>
      <c r="C1672" t="s">
        <v>7</v>
      </c>
    </row>
    <row r="1673" spans="1:3" x14ac:dyDescent="0.35">
      <c r="A1673" t="s">
        <v>2297</v>
      </c>
      <c r="B1673">
        <v>317290001</v>
      </c>
      <c r="C1673" t="s">
        <v>7</v>
      </c>
    </row>
    <row r="1674" spans="1:3" x14ac:dyDescent="0.35">
      <c r="A1674" t="s">
        <v>2298</v>
      </c>
      <c r="B1674">
        <v>607120009</v>
      </c>
      <c r="C1674" t="s">
        <v>7</v>
      </c>
    </row>
    <row r="1675" spans="1:3" x14ac:dyDescent="0.35">
      <c r="A1675" t="s">
        <v>2299</v>
      </c>
      <c r="B1675">
        <v>614020021</v>
      </c>
      <c r="C1675" t="s">
        <v>7</v>
      </c>
    </row>
    <row r="1676" spans="1:3" x14ac:dyDescent="0.35">
      <c r="A1676" t="s">
        <v>2300</v>
      </c>
      <c r="B1676">
        <v>607140005</v>
      </c>
      <c r="C1676" t="s">
        <v>7</v>
      </c>
    </row>
    <row r="1677" spans="1:3" x14ac:dyDescent="0.35">
      <c r="A1677" t="s">
        <v>2301</v>
      </c>
      <c r="B1677">
        <v>117100013</v>
      </c>
      <c r="C1677" t="s">
        <v>7</v>
      </c>
    </row>
    <row r="1678" spans="1:3" x14ac:dyDescent="0.35">
      <c r="A1678" t="s">
        <v>2302</v>
      </c>
      <c r="B1678">
        <v>614020028</v>
      </c>
      <c r="C1678" t="s">
        <v>7</v>
      </c>
    </row>
    <row r="1679" spans="1:3" x14ac:dyDescent="0.35">
      <c r="A1679" t="s">
        <v>2303</v>
      </c>
      <c r="B1679">
        <v>614060013</v>
      </c>
      <c r="C1679" t="s">
        <v>7</v>
      </c>
    </row>
    <row r="1680" spans="1:3" x14ac:dyDescent="0.35">
      <c r="A1680" t="s">
        <v>2304</v>
      </c>
      <c r="B1680">
        <v>614060009</v>
      </c>
      <c r="C1680" t="s">
        <v>7</v>
      </c>
    </row>
    <row r="1681" spans="1:3" x14ac:dyDescent="0.35">
      <c r="A1681" t="s">
        <v>2305</v>
      </c>
      <c r="B1681">
        <v>613200007</v>
      </c>
      <c r="C1681" t="s">
        <v>7</v>
      </c>
    </row>
    <row r="1682" spans="1:3" x14ac:dyDescent="0.35">
      <c r="A1682" t="s">
        <v>2306</v>
      </c>
      <c r="B1682">
        <v>605160004</v>
      </c>
      <c r="C1682" t="s">
        <v>7</v>
      </c>
    </row>
    <row r="1683" spans="1:3" x14ac:dyDescent="0.35">
      <c r="A1683" t="s">
        <v>2307</v>
      </c>
      <c r="B1683">
        <v>605140005</v>
      </c>
      <c r="C1683" t="s">
        <v>7</v>
      </c>
    </row>
    <row r="1684" spans="1:3" x14ac:dyDescent="0.35">
      <c r="A1684" t="s">
        <v>2308</v>
      </c>
      <c r="B1684">
        <v>613100006</v>
      </c>
      <c r="C1684" t="s">
        <v>7</v>
      </c>
    </row>
    <row r="1685" spans="1:3" x14ac:dyDescent="0.35">
      <c r="A1685" t="s">
        <v>2309</v>
      </c>
      <c r="B1685">
        <v>613100023</v>
      </c>
      <c r="C1685" t="s">
        <v>7</v>
      </c>
    </row>
    <row r="1686" spans="1:3" x14ac:dyDescent="0.35">
      <c r="A1686" t="s">
        <v>2310</v>
      </c>
      <c r="B1686">
        <v>605170024</v>
      </c>
      <c r="C1686" t="s">
        <v>7</v>
      </c>
    </row>
    <row r="1687" spans="1:3" x14ac:dyDescent="0.35">
      <c r="A1687" t="s">
        <v>2311</v>
      </c>
      <c r="B1687">
        <v>607180008</v>
      </c>
      <c r="C1687" t="s">
        <v>7</v>
      </c>
    </row>
    <row r="1688" spans="1:3" x14ac:dyDescent="0.35">
      <c r="A1688" t="s">
        <v>2312</v>
      </c>
      <c r="B1688">
        <v>605170009</v>
      </c>
      <c r="C1688" t="s">
        <v>7</v>
      </c>
    </row>
    <row r="1689" spans="1:3" x14ac:dyDescent="0.35">
      <c r="A1689" t="s">
        <v>2313</v>
      </c>
      <c r="B1689">
        <v>604170037</v>
      </c>
      <c r="C1689" t="s">
        <v>7</v>
      </c>
    </row>
    <row r="1690" spans="1:3" x14ac:dyDescent="0.35">
      <c r="A1690" t="s">
        <v>2314</v>
      </c>
      <c r="B1690">
        <v>607070011</v>
      </c>
      <c r="C1690" t="s">
        <v>7</v>
      </c>
    </row>
    <row r="1691" spans="1:3" x14ac:dyDescent="0.35">
      <c r="A1691" t="s">
        <v>2315</v>
      </c>
      <c r="B1691">
        <v>117010024</v>
      </c>
      <c r="C1691" t="s">
        <v>7</v>
      </c>
    </row>
    <row r="1692" spans="1:3" x14ac:dyDescent="0.35">
      <c r="A1692" t="s">
        <v>2316</v>
      </c>
      <c r="B1692">
        <v>607080012</v>
      </c>
      <c r="C1692" t="s">
        <v>7</v>
      </c>
    </row>
    <row r="1693" spans="1:3" x14ac:dyDescent="0.35">
      <c r="A1693" t="s">
        <v>2317</v>
      </c>
      <c r="B1693">
        <v>605110009</v>
      </c>
      <c r="C1693" t="s">
        <v>7</v>
      </c>
    </row>
    <row r="1694" spans="1:3" x14ac:dyDescent="0.35">
      <c r="A1694" t="s">
        <v>2318</v>
      </c>
      <c r="B1694">
        <v>605120003</v>
      </c>
      <c r="C1694" t="s">
        <v>7</v>
      </c>
    </row>
    <row r="1695" spans="1:3" x14ac:dyDescent="0.35">
      <c r="A1695" t="s">
        <v>2319</v>
      </c>
      <c r="B1695">
        <v>607170004</v>
      </c>
      <c r="C1695" t="s">
        <v>7</v>
      </c>
    </row>
    <row r="1696" spans="1:3" x14ac:dyDescent="0.35">
      <c r="A1696" t="s">
        <v>2320</v>
      </c>
      <c r="B1696">
        <v>613100021</v>
      </c>
      <c r="C1696" t="s">
        <v>7</v>
      </c>
    </row>
    <row r="1697" spans="1:3" x14ac:dyDescent="0.35">
      <c r="A1697" t="s">
        <v>2321</v>
      </c>
      <c r="B1697">
        <v>607070026</v>
      </c>
      <c r="C1697" t="s">
        <v>7</v>
      </c>
    </row>
    <row r="1698" spans="1:3" x14ac:dyDescent="0.35">
      <c r="A1698" t="s">
        <v>2322</v>
      </c>
      <c r="B1698">
        <v>604090017</v>
      </c>
      <c r="C1698" t="s">
        <v>7</v>
      </c>
    </row>
    <row r="1699" spans="1:3" x14ac:dyDescent="0.35">
      <c r="A1699" t="s">
        <v>2323</v>
      </c>
      <c r="B1699" t="s">
        <v>2324</v>
      </c>
      <c r="C1699" t="s">
        <v>5</v>
      </c>
    </row>
    <row r="1700" spans="1:3" x14ac:dyDescent="0.35">
      <c r="A1700" t="s">
        <v>2325</v>
      </c>
      <c r="B1700" t="s">
        <v>2326</v>
      </c>
      <c r="C1700" t="s">
        <v>5</v>
      </c>
    </row>
    <row r="1701" spans="1:3" x14ac:dyDescent="0.35">
      <c r="A1701" t="s">
        <v>2327</v>
      </c>
      <c r="B1701" t="s">
        <v>2328</v>
      </c>
      <c r="C1701" t="s">
        <v>5</v>
      </c>
    </row>
    <row r="1702" spans="1:3" x14ac:dyDescent="0.35">
      <c r="A1702" t="s">
        <v>2329</v>
      </c>
      <c r="B1702" t="s">
        <v>2330</v>
      </c>
      <c r="C1702" t="s">
        <v>5</v>
      </c>
    </row>
    <row r="1703" spans="1:3" x14ac:dyDescent="0.35">
      <c r="A1703" t="s">
        <v>2331</v>
      </c>
      <c r="B1703">
        <v>309070007</v>
      </c>
      <c r="C1703" t="s">
        <v>7</v>
      </c>
    </row>
    <row r="1704" spans="1:3" x14ac:dyDescent="0.35">
      <c r="A1704" t="s">
        <v>2332</v>
      </c>
      <c r="B1704" t="s">
        <v>2333</v>
      </c>
      <c r="C1704" t="s">
        <v>32</v>
      </c>
    </row>
    <row r="1705" spans="1:3" x14ac:dyDescent="0.35">
      <c r="A1705" t="s">
        <v>2332</v>
      </c>
      <c r="B1705" t="s">
        <v>2334</v>
      </c>
      <c r="C1705" t="s">
        <v>5</v>
      </c>
    </row>
    <row r="1706" spans="1:3" x14ac:dyDescent="0.35">
      <c r="A1706" t="s">
        <v>2335</v>
      </c>
      <c r="B1706" t="s">
        <v>2336</v>
      </c>
      <c r="C1706" t="s">
        <v>50</v>
      </c>
    </row>
    <row r="1707" spans="1:3" x14ac:dyDescent="0.35">
      <c r="A1707" t="s">
        <v>2337</v>
      </c>
      <c r="B1707">
        <v>605100020</v>
      </c>
      <c r="C1707" t="s">
        <v>7</v>
      </c>
    </row>
    <row r="1708" spans="1:3" x14ac:dyDescent="0.35">
      <c r="A1708" t="s">
        <v>2338</v>
      </c>
      <c r="B1708" t="s">
        <v>2339</v>
      </c>
      <c r="C1708" t="s">
        <v>32</v>
      </c>
    </row>
    <row r="1709" spans="1:3" x14ac:dyDescent="0.35">
      <c r="A1709" t="s">
        <v>2338</v>
      </c>
      <c r="B1709" t="s">
        <v>2340</v>
      </c>
      <c r="C1709" t="s">
        <v>5</v>
      </c>
    </row>
    <row r="1710" spans="1:3" x14ac:dyDescent="0.35">
      <c r="A1710" t="s">
        <v>2341</v>
      </c>
      <c r="B1710" t="s">
        <v>2342</v>
      </c>
      <c r="C1710" t="s">
        <v>5</v>
      </c>
    </row>
    <row r="1711" spans="1:3" x14ac:dyDescent="0.35">
      <c r="A1711" t="s">
        <v>2343</v>
      </c>
      <c r="B1711" t="s">
        <v>2344</v>
      </c>
      <c r="C1711" t="s">
        <v>5</v>
      </c>
    </row>
    <row r="1712" spans="1:3" x14ac:dyDescent="0.35">
      <c r="A1712" t="s">
        <v>2345</v>
      </c>
      <c r="B1712" t="s">
        <v>2346</v>
      </c>
      <c r="C1712" t="s">
        <v>5</v>
      </c>
    </row>
    <row r="1713" spans="1:3" x14ac:dyDescent="0.35">
      <c r="A1713" t="s">
        <v>2347</v>
      </c>
      <c r="B1713">
        <v>605130006</v>
      </c>
      <c r="C1713" t="s">
        <v>7</v>
      </c>
    </row>
    <row r="1714" spans="1:3" x14ac:dyDescent="0.35">
      <c r="A1714" t="s">
        <v>2348</v>
      </c>
      <c r="B1714" t="s">
        <v>2349</v>
      </c>
      <c r="C1714" t="s">
        <v>5</v>
      </c>
    </row>
    <row r="1715" spans="1:3" x14ac:dyDescent="0.35">
      <c r="A1715" t="s">
        <v>2350</v>
      </c>
      <c r="B1715">
        <v>614210010</v>
      </c>
      <c r="C1715" t="s">
        <v>7</v>
      </c>
    </row>
    <row r="1716" spans="1:3" x14ac:dyDescent="0.35">
      <c r="A1716" t="s">
        <v>2351</v>
      </c>
      <c r="B1716">
        <v>614150009</v>
      </c>
      <c r="C1716" t="s">
        <v>7</v>
      </c>
    </row>
    <row r="1717" spans="1:3" x14ac:dyDescent="0.35">
      <c r="A1717" t="s">
        <v>2352</v>
      </c>
      <c r="B1717">
        <v>605050011</v>
      </c>
      <c r="C1717" t="s">
        <v>7</v>
      </c>
    </row>
    <row r="1718" spans="1:3" x14ac:dyDescent="0.35">
      <c r="A1718" t="s">
        <v>2352</v>
      </c>
      <c r="B1718" t="s">
        <v>2353</v>
      </c>
      <c r="C1718" t="s">
        <v>5</v>
      </c>
    </row>
    <row r="1719" spans="1:3" x14ac:dyDescent="0.35">
      <c r="A1719" t="s">
        <v>2354</v>
      </c>
      <c r="B1719" t="s">
        <v>2355</v>
      </c>
      <c r="C1719" t="s">
        <v>5</v>
      </c>
    </row>
    <row r="1720" spans="1:3" x14ac:dyDescent="0.35">
      <c r="A1720" t="s">
        <v>2356</v>
      </c>
      <c r="B1720">
        <v>605030008</v>
      </c>
      <c r="C1720" t="s">
        <v>7</v>
      </c>
    </row>
    <row r="1721" spans="1:3" x14ac:dyDescent="0.35">
      <c r="A1721" t="s">
        <v>2357</v>
      </c>
      <c r="B1721" t="s">
        <v>2358</v>
      </c>
      <c r="C1721" t="s">
        <v>5</v>
      </c>
    </row>
    <row r="1722" spans="1:3" x14ac:dyDescent="0.35">
      <c r="A1722" t="s">
        <v>2359</v>
      </c>
      <c r="B1722">
        <v>614190007</v>
      </c>
      <c r="C1722" t="s">
        <v>7</v>
      </c>
    </row>
    <row r="1723" spans="1:3" x14ac:dyDescent="0.35">
      <c r="A1723" t="s">
        <v>2360</v>
      </c>
      <c r="B1723">
        <v>614060011</v>
      </c>
      <c r="C1723" t="s">
        <v>7</v>
      </c>
    </row>
    <row r="1724" spans="1:3" x14ac:dyDescent="0.35">
      <c r="A1724" t="s">
        <v>2361</v>
      </c>
      <c r="B1724">
        <v>614030003</v>
      </c>
      <c r="C1724" t="s">
        <v>7</v>
      </c>
    </row>
    <row r="1725" spans="1:3" x14ac:dyDescent="0.35">
      <c r="A1725" t="s">
        <v>2362</v>
      </c>
      <c r="B1725" t="s">
        <v>2363</v>
      </c>
      <c r="C1725" t="s">
        <v>32</v>
      </c>
    </row>
    <row r="1726" spans="1:3" x14ac:dyDescent="0.35">
      <c r="A1726" t="s">
        <v>2364</v>
      </c>
      <c r="B1726" t="s">
        <v>2365</v>
      </c>
      <c r="C1726" t="s">
        <v>5</v>
      </c>
    </row>
    <row r="1727" spans="1:3" x14ac:dyDescent="0.35">
      <c r="A1727" t="s">
        <v>2366</v>
      </c>
      <c r="B1727">
        <v>618090009</v>
      </c>
      <c r="C1727" t="s">
        <v>7</v>
      </c>
    </row>
    <row r="1728" spans="1:3" x14ac:dyDescent="0.35">
      <c r="A1728" t="s">
        <v>2367</v>
      </c>
      <c r="B1728">
        <v>317230006</v>
      </c>
      <c r="C1728" t="s">
        <v>7</v>
      </c>
    </row>
    <row r="1729" spans="1:3" x14ac:dyDescent="0.35">
      <c r="A1729" t="s">
        <v>2368</v>
      </c>
      <c r="B1729">
        <v>317230008</v>
      </c>
      <c r="C1729" t="s">
        <v>7</v>
      </c>
    </row>
    <row r="1730" spans="1:3" x14ac:dyDescent="0.35">
      <c r="A1730" t="s">
        <v>2369</v>
      </c>
      <c r="B1730">
        <v>602240002</v>
      </c>
      <c r="C1730" t="s">
        <v>7</v>
      </c>
    </row>
    <row r="1731" spans="1:3" x14ac:dyDescent="0.35">
      <c r="A1731" t="s">
        <v>2370</v>
      </c>
      <c r="B1731">
        <v>602100005</v>
      </c>
      <c r="C1731" t="s">
        <v>7</v>
      </c>
    </row>
    <row r="1732" spans="1:3" x14ac:dyDescent="0.35">
      <c r="A1732" t="s">
        <v>2371</v>
      </c>
      <c r="B1732">
        <v>618010005</v>
      </c>
      <c r="C1732" t="s">
        <v>7</v>
      </c>
    </row>
    <row r="1733" spans="1:3" x14ac:dyDescent="0.35">
      <c r="A1733" t="s">
        <v>2372</v>
      </c>
      <c r="B1733">
        <v>618010020</v>
      </c>
      <c r="C1733" t="s">
        <v>7</v>
      </c>
    </row>
    <row r="1734" spans="1:3" x14ac:dyDescent="0.35">
      <c r="A1734" t="s">
        <v>2373</v>
      </c>
      <c r="B1734">
        <v>618090018</v>
      </c>
      <c r="C1734" t="s">
        <v>7</v>
      </c>
    </row>
    <row r="1735" spans="1:3" x14ac:dyDescent="0.35">
      <c r="A1735" t="s">
        <v>2374</v>
      </c>
      <c r="B1735">
        <v>618040006</v>
      </c>
      <c r="C1735" t="s">
        <v>7</v>
      </c>
    </row>
    <row r="1736" spans="1:3" x14ac:dyDescent="0.35">
      <c r="A1736" t="s">
        <v>2375</v>
      </c>
      <c r="B1736">
        <v>612190005</v>
      </c>
      <c r="C1736" t="s">
        <v>7</v>
      </c>
    </row>
    <row r="1737" spans="1:3" x14ac:dyDescent="0.35">
      <c r="A1737" t="s">
        <v>2376</v>
      </c>
      <c r="B1737">
        <v>602100006</v>
      </c>
      <c r="C1737" t="s">
        <v>7</v>
      </c>
    </row>
    <row r="1738" spans="1:3" x14ac:dyDescent="0.35">
      <c r="A1738" t="s">
        <v>2377</v>
      </c>
      <c r="B1738">
        <v>612190006</v>
      </c>
      <c r="C1738" t="s">
        <v>7</v>
      </c>
    </row>
    <row r="1739" spans="1:3" x14ac:dyDescent="0.35">
      <c r="A1739" t="s">
        <v>2378</v>
      </c>
      <c r="B1739">
        <v>316050022</v>
      </c>
      <c r="C1739" t="s">
        <v>7</v>
      </c>
    </row>
    <row r="1740" spans="1:3" x14ac:dyDescent="0.35">
      <c r="A1740" t="s">
        <v>2379</v>
      </c>
      <c r="B1740">
        <v>605020016</v>
      </c>
      <c r="C1740" t="s">
        <v>7</v>
      </c>
    </row>
    <row r="1741" spans="1:3" x14ac:dyDescent="0.35">
      <c r="A1741" t="s">
        <v>2380</v>
      </c>
      <c r="B1741">
        <v>618010014</v>
      </c>
      <c r="C1741" t="s">
        <v>7</v>
      </c>
    </row>
    <row r="1742" spans="1:3" x14ac:dyDescent="0.35">
      <c r="A1742" t="s">
        <v>2381</v>
      </c>
      <c r="B1742">
        <v>618101115</v>
      </c>
      <c r="C1742" t="s">
        <v>7</v>
      </c>
    </row>
    <row r="1743" spans="1:3" x14ac:dyDescent="0.35">
      <c r="A1743" t="s">
        <v>2382</v>
      </c>
      <c r="B1743">
        <v>618060004</v>
      </c>
      <c r="C1743" t="s">
        <v>7</v>
      </c>
    </row>
    <row r="1744" spans="1:3" x14ac:dyDescent="0.35">
      <c r="A1744" t="s">
        <v>2383</v>
      </c>
      <c r="B1744">
        <v>612190012</v>
      </c>
      <c r="C1744" t="s">
        <v>7</v>
      </c>
    </row>
    <row r="1745" spans="1:3" x14ac:dyDescent="0.35">
      <c r="A1745" t="s">
        <v>2384</v>
      </c>
      <c r="B1745">
        <v>618010019</v>
      </c>
      <c r="C1745" t="s">
        <v>7</v>
      </c>
    </row>
    <row r="1746" spans="1:3" x14ac:dyDescent="0.35">
      <c r="A1746" t="s">
        <v>2385</v>
      </c>
      <c r="B1746">
        <v>601010019</v>
      </c>
      <c r="C1746" t="s">
        <v>7</v>
      </c>
    </row>
    <row r="1747" spans="1:3" x14ac:dyDescent="0.35">
      <c r="A1747" t="s">
        <v>2386</v>
      </c>
      <c r="B1747">
        <v>601010020</v>
      </c>
      <c r="C1747" t="s">
        <v>7</v>
      </c>
    </row>
    <row r="1748" spans="1:3" x14ac:dyDescent="0.35">
      <c r="A1748" t="s">
        <v>2387</v>
      </c>
      <c r="B1748">
        <v>604110005</v>
      </c>
      <c r="C1748" t="s">
        <v>7</v>
      </c>
    </row>
    <row r="1749" spans="1:3" x14ac:dyDescent="0.35">
      <c r="A1749" t="s">
        <v>2387</v>
      </c>
      <c r="B1749" t="s">
        <v>2388</v>
      </c>
      <c r="C1749" t="s">
        <v>5</v>
      </c>
    </row>
    <row r="1750" spans="1:3" x14ac:dyDescent="0.35">
      <c r="A1750" t="s">
        <v>2389</v>
      </c>
      <c r="B1750" t="s">
        <v>2390</v>
      </c>
      <c r="C1750" t="s">
        <v>32</v>
      </c>
    </row>
    <row r="1751" spans="1:3" x14ac:dyDescent="0.35">
      <c r="A1751" t="s">
        <v>2391</v>
      </c>
      <c r="B1751">
        <v>604140014</v>
      </c>
      <c r="C1751" t="s">
        <v>7</v>
      </c>
    </row>
    <row r="1752" spans="1:3" x14ac:dyDescent="0.35">
      <c r="A1752" t="s">
        <v>2391</v>
      </c>
      <c r="B1752" t="s">
        <v>2392</v>
      </c>
      <c r="C1752" t="s">
        <v>5</v>
      </c>
    </row>
    <row r="1753" spans="1:3" x14ac:dyDescent="0.35">
      <c r="A1753" t="s">
        <v>2393</v>
      </c>
      <c r="B1753" t="s">
        <v>2394</v>
      </c>
      <c r="C1753" t="s">
        <v>5</v>
      </c>
    </row>
    <row r="1754" spans="1:3" x14ac:dyDescent="0.35">
      <c r="A1754" t="s">
        <v>2395</v>
      </c>
      <c r="B1754" t="s">
        <v>2396</v>
      </c>
      <c r="C1754" t="s">
        <v>32</v>
      </c>
    </row>
    <row r="1755" spans="1:3" x14ac:dyDescent="0.35">
      <c r="A1755" t="s">
        <v>2397</v>
      </c>
      <c r="B1755">
        <v>603050008</v>
      </c>
      <c r="C1755" t="s">
        <v>7</v>
      </c>
    </row>
    <row r="1756" spans="1:3" x14ac:dyDescent="0.35">
      <c r="A1756" t="s">
        <v>2398</v>
      </c>
      <c r="B1756" t="s">
        <v>2399</v>
      </c>
      <c r="C1756" t="s">
        <v>5</v>
      </c>
    </row>
    <row r="1757" spans="1:3" x14ac:dyDescent="0.35">
      <c r="A1757" t="s">
        <v>2400</v>
      </c>
      <c r="B1757" t="s">
        <v>2401</v>
      </c>
      <c r="C1757" t="s">
        <v>5</v>
      </c>
    </row>
    <row r="1758" spans="1:3" x14ac:dyDescent="0.35">
      <c r="A1758" t="s">
        <v>2402</v>
      </c>
      <c r="B1758">
        <v>621050027</v>
      </c>
      <c r="C1758" t="s">
        <v>7</v>
      </c>
    </row>
    <row r="1759" spans="1:3" x14ac:dyDescent="0.35">
      <c r="A1759" t="s">
        <v>2403</v>
      </c>
      <c r="B1759" t="s">
        <v>2404</v>
      </c>
      <c r="C1759" t="s">
        <v>5</v>
      </c>
    </row>
    <row r="1760" spans="1:3" x14ac:dyDescent="0.35">
      <c r="A1760" t="s">
        <v>2405</v>
      </c>
      <c r="B1760">
        <v>607020007</v>
      </c>
      <c r="C1760" t="s">
        <v>7</v>
      </c>
    </row>
    <row r="1761" spans="1:3" x14ac:dyDescent="0.35">
      <c r="A1761" t="s">
        <v>2406</v>
      </c>
      <c r="B1761">
        <v>614160014</v>
      </c>
      <c r="C1761" t="s">
        <v>7</v>
      </c>
    </row>
    <row r="1762" spans="1:3" x14ac:dyDescent="0.35">
      <c r="A1762" t="s">
        <v>2407</v>
      </c>
      <c r="B1762">
        <v>604060019</v>
      </c>
      <c r="C1762" t="s">
        <v>7</v>
      </c>
    </row>
    <row r="1763" spans="1:3" x14ac:dyDescent="0.35">
      <c r="A1763" t="s">
        <v>2407</v>
      </c>
      <c r="B1763" t="s">
        <v>2408</v>
      </c>
      <c r="C1763" t="s">
        <v>5</v>
      </c>
    </row>
    <row r="1764" spans="1:3" x14ac:dyDescent="0.35">
      <c r="A1764" t="s">
        <v>2409</v>
      </c>
      <c r="B1764">
        <v>605100011</v>
      </c>
      <c r="C1764" t="s">
        <v>7</v>
      </c>
    </row>
    <row r="1765" spans="1:3" x14ac:dyDescent="0.35">
      <c r="A1765" t="s">
        <v>2409</v>
      </c>
      <c r="B1765" t="s">
        <v>2410</v>
      </c>
      <c r="C1765" t="s">
        <v>5</v>
      </c>
    </row>
    <row r="1766" spans="1:3" x14ac:dyDescent="0.35">
      <c r="A1766" t="s">
        <v>2411</v>
      </c>
      <c r="B1766" t="s">
        <v>2412</v>
      </c>
      <c r="C1766" t="s">
        <v>5</v>
      </c>
    </row>
    <row r="1767" spans="1:3" x14ac:dyDescent="0.35">
      <c r="A1767" t="s">
        <v>2413</v>
      </c>
      <c r="B1767">
        <v>614150010</v>
      </c>
      <c r="C1767" t="s">
        <v>7</v>
      </c>
    </row>
    <row r="1768" spans="1:3" x14ac:dyDescent="0.35">
      <c r="A1768" t="s">
        <v>2414</v>
      </c>
      <c r="B1768" t="s">
        <v>2415</v>
      </c>
      <c r="C1768" t="s">
        <v>5</v>
      </c>
    </row>
    <row r="1769" spans="1:3" x14ac:dyDescent="0.35">
      <c r="A1769" t="s">
        <v>2416</v>
      </c>
      <c r="B1769">
        <v>605020013</v>
      </c>
      <c r="C1769" t="s">
        <v>7</v>
      </c>
    </row>
    <row r="1770" spans="1:3" x14ac:dyDescent="0.35">
      <c r="A1770" t="s">
        <v>2416</v>
      </c>
      <c r="B1770" t="s">
        <v>2417</v>
      </c>
      <c r="C1770" t="s">
        <v>5</v>
      </c>
    </row>
    <row r="1771" spans="1:3" x14ac:dyDescent="0.35">
      <c r="A1771" t="s">
        <v>2418</v>
      </c>
      <c r="B1771" t="s">
        <v>2419</v>
      </c>
      <c r="C1771" t="s">
        <v>5</v>
      </c>
    </row>
    <row r="1772" spans="1:3" x14ac:dyDescent="0.35">
      <c r="A1772" t="s">
        <v>2420</v>
      </c>
      <c r="B1772">
        <v>605020014</v>
      </c>
      <c r="C1772" t="s">
        <v>7</v>
      </c>
    </row>
    <row r="1773" spans="1:3" x14ac:dyDescent="0.35">
      <c r="A1773" t="s">
        <v>2420</v>
      </c>
      <c r="B1773" t="s">
        <v>2421</v>
      </c>
      <c r="C1773" t="s">
        <v>5</v>
      </c>
    </row>
    <row r="1774" spans="1:3" x14ac:dyDescent="0.35">
      <c r="A1774" t="s">
        <v>2422</v>
      </c>
      <c r="B1774" t="s">
        <v>2423</v>
      </c>
      <c r="C1774" t="s">
        <v>32</v>
      </c>
    </row>
    <row r="1775" spans="1:3" x14ac:dyDescent="0.35">
      <c r="A1775" t="s">
        <v>2424</v>
      </c>
      <c r="B1775" t="s">
        <v>2425</v>
      </c>
      <c r="C1775" t="s">
        <v>5</v>
      </c>
    </row>
    <row r="1776" spans="1:3" x14ac:dyDescent="0.35">
      <c r="A1776" t="s">
        <v>2426</v>
      </c>
      <c r="B1776">
        <v>605010004</v>
      </c>
      <c r="C1776" t="s">
        <v>7</v>
      </c>
    </row>
    <row r="1777" spans="1:3" x14ac:dyDescent="0.35">
      <c r="A1777" t="s">
        <v>2427</v>
      </c>
      <c r="B1777" t="s">
        <v>2428</v>
      </c>
      <c r="C1777" t="s">
        <v>5</v>
      </c>
    </row>
    <row r="1778" spans="1:3" x14ac:dyDescent="0.35">
      <c r="A1778" t="s">
        <v>2429</v>
      </c>
      <c r="B1778">
        <v>604010010</v>
      </c>
      <c r="C1778" t="s">
        <v>7</v>
      </c>
    </row>
    <row r="1779" spans="1:3" x14ac:dyDescent="0.35">
      <c r="A1779" t="s">
        <v>2430</v>
      </c>
      <c r="B1779" t="s">
        <v>2431</v>
      </c>
      <c r="C1779" t="s">
        <v>32</v>
      </c>
    </row>
    <row r="1780" spans="1:3" x14ac:dyDescent="0.35">
      <c r="A1780" t="s">
        <v>2432</v>
      </c>
      <c r="B1780">
        <v>605030009</v>
      </c>
      <c r="C1780" t="s">
        <v>7</v>
      </c>
    </row>
    <row r="1781" spans="1:3" x14ac:dyDescent="0.35">
      <c r="A1781" t="s">
        <v>2433</v>
      </c>
      <c r="B1781" t="s">
        <v>2434</v>
      </c>
      <c r="C1781" t="s">
        <v>5</v>
      </c>
    </row>
    <row r="1782" spans="1:3" x14ac:dyDescent="0.35">
      <c r="A1782" t="s">
        <v>2435</v>
      </c>
      <c r="B1782" t="s">
        <v>2436</v>
      </c>
      <c r="C1782" t="s">
        <v>32</v>
      </c>
    </row>
    <row r="1783" spans="1:3" x14ac:dyDescent="0.35">
      <c r="A1783" t="s">
        <v>2435</v>
      </c>
      <c r="B1783" t="s">
        <v>2437</v>
      </c>
      <c r="C1783" t="s">
        <v>5</v>
      </c>
    </row>
    <row r="1784" spans="1:3" x14ac:dyDescent="0.35">
      <c r="A1784" t="s">
        <v>2438</v>
      </c>
      <c r="B1784" t="s">
        <v>2439</v>
      </c>
      <c r="C1784" t="s">
        <v>5</v>
      </c>
    </row>
    <row r="1785" spans="1:3" x14ac:dyDescent="0.35">
      <c r="A1785" t="s">
        <v>2440</v>
      </c>
      <c r="B1785" t="s">
        <v>2441</v>
      </c>
      <c r="C1785" t="s">
        <v>5</v>
      </c>
    </row>
    <row r="1786" spans="1:3" x14ac:dyDescent="0.35">
      <c r="A1786" t="s">
        <v>2442</v>
      </c>
      <c r="B1786">
        <v>605170014</v>
      </c>
      <c r="C1786" t="s">
        <v>7</v>
      </c>
    </row>
    <row r="1787" spans="1:3" x14ac:dyDescent="0.35">
      <c r="A1787" t="s">
        <v>2443</v>
      </c>
      <c r="B1787">
        <v>603110007</v>
      </c>
      <c r="C1787" t="s">
        <v>7</v>
      </c>
    </row>
    <row r="1788" spans="1:3" x14ac:dyDescent="0.35">
      <c r="A1788" t="s">
        <v>2444</v>
      </c>
      <c r="B1788">
        <v>601010000</v>
      </c>
      <c r="C1788" t="s">
        <v>7</v>
      </c>
    </row>
    <row r="1789" spans="1:3" x14ac:dyDescent="0.35">
      <c r="A1789" t="s">
        <v>2445</v>
      </c>
      <c r="B1789">
        <v>603020011</v>
      </c>
      <c r="C1789" t="s">
        <v>7</v>
      </c>
    </row>
    <row r="1790" spans="1:3" x14ac:dyDescent="0.35">
      <c r="A1790" t="s">
        <v>2445</v>
      </c>
      <c r="B1790" t="s">
        <v>2446</v>
      </c>
      <c r="C1790" t="s">
        <v>50</v>
      </c>
    </row>
    <row r="1791" spans="1:3" x14ac:dyDescent="0.35">
      <c r="A1791" t="s">
        <v>2447</v>
      </c>
      <c r="B1791">
        <v>317150003</v>
      </c>
      <c r="C1791" t="s">
        <v>7</v>
      </c>
    </row>
    <row r="1792" spans="1:3" x14ac:dyDescent="0.35">
      <c r="A1792" t="s">
        <v>2448</v>
      </c>
      <c r="B1792">
        <v>603190002</v>
      </c>
      <c r="C1792" t="s">
        <v>7</v>
      </c>
    </row>
    <row r="1793" spans="1:3" x14ac:dyDescent="0.35">
      <c r="A1793" t="s">
        <v>2449</v>
      </c>
      <c r="B1793">
        <v>614150011</v>
      </c>
      <c r="C1793" t="s">
        <v>7</v>
      </c>
    </row>
    <row r="1794" spans="1:3" x14ac:dyDescent="0.35">
      <c r="A1794" t="s">
        <v>2450</v>
      </c>
      <c r="B1794">
        <v>605100012</v>
      </c>
      <c r="C1794" t="s">
        <v>7</v>
      </c>
    </row>
    <row r="1795" spans="1:3" x14ac:dyDescent="0.35">
      <c r="A1795" t="s">
        <v>2450</v>
      </c>
      <c r="B1795" t="s">
        <v>2451</v>
      </c>
      <c r="C1795" t="s">
        <v>32</v>
      </c>
    </row>
    <row r="1796" spans="1:3" x14ac:dyDescent="0.35">
      <c r="A1796" t="s">
        <v>2450</v>
      </c>
      <c r="B1796" t="s">
        <v>2452</v>
      </c>
      <c r="C1796" t="s">
        <v>5</v>
      </c>
    </row>
    <row r="1797" spans="1:3" x14ac:dyDescent="0.35">
      <c r="A1797" t="s">
        <v>2453</v>
      </c>
      <c r="B1797">
        <v>111050016</v>
      </c>
      <c r="C1797" t="s">
        <v>7</v>
      </c>
    </row>
    <row r="1798" spans="1:3" x14ac:dyDescent="0.35">
      <c r="A1798" t="s">
        <v>2454</v>
      </c>
      <c r="B1798" t="s">
        <v>2455</v>
      </c>
      <c r="C1798" t="s">
        <v>50</v>
      </c>
    </row>
    <row r="1799" spans="1:3" x14ac:dyDescent="0.35">
      <c r="A1799" t="s">
        <v>2456</v>
      </c>
      <c r="B1799">
        <v>621070013</v>
      </c>
      <c r="C1799" t="s">
        <v>7</v>
      </c>
    </row>
    <row r="1800" spans="1:3" x14ac:dyDescent="0.35">
      <c r="A1800" t="s">
        <v>2457</v>
      </c>
      <c r="B1800">
        <v>603060013</v>
      </c>
      <c r="C1800" t="s">
        <v>7</v>
      </c>
    </row>
    <row r="1801" spans="1:3" x14ac:dyDescent="0.35">
      <c r="A1801" t="s">
        <v>2457</v>
      </c>
      <c r="B1801" t="s">
        <v>2458</v>
      </c>
      <c r="C1801" t="s">
        <v>50</v>
      </c>
    </row>
    <row r="1802" spans="1:3" x14ac:dyDescent="0.35">
      <c r="A1802" t="s">
        <v>2459</v>
      </c>
      <c r="B1802" t="s">
        <v>2460</v>
      </c>
      <c r="C1802" t="s">
        <v>5</v>
      </c>
    </row>
    <row r="1803" spans="1:3" x14ac:dyDescent="0.35">
      <c r="A1803" t="s">
        <v>2461</v>
      </c>
      <c r="B1803">
        <v>612060014</v>
      </c>
      <c r="C1803" t="s">
        <v>7</v>
      </c>
    </row>
    <row r="1804" spans="1:3" x14ac:dyDescent="0.35">
      <c r="A1804" t="s">
        <v>2462</v>
      </c>
      <c r="B1804">
        <v>612070005</v>
      </c>
      <c r="C1804" t="s">
        <v>7</v>
      </c>
    </row>
    <row r="1805" spans="1:3" x14ac:dyDescent="0.35">
      <c r="A1805" t="s">
        <v>2462</v>
      </c>
      <c r="B1805" t="s">
        <v>2463</v>
      </c>
      <c r="C1805" t="s">
        <v>5</v>
      </c>
    </row>
    <row r="1806" spans="1:3" x14ac:dyDescent="0.35">
      <c r="A1806" t="s">
        <v>2464</v>
      </c>
      <c r="B1806">
        <v>612170007</v>
      </c>
      <c r="C1806" t="s">
        <v>7</v>
      </c>
    </row>
    <row r="1807" spans="1:3" x14ac:dyDescent="0.35">
      <c r="A1807" t="s">
        <v>2464</v>
      </c>
      <c r="B1807" t="s">
        <v>2465</v>
      </c>
      <c r="C1807" t="s">
        <v>5</v>
      </c>
    </row>
    <row r="1808" spans="1:3" x14ac:dyDescent="0.35">
      <c r="A1808" t="s">
        <v>2466</v>
      </c>
      <c r="B1808">
        <v>316280007</v>
      </c>
      <c r="C1808" t="s">
        <v>7</v>
      </c>
    </row>
    <row r="1809" spans="1:3" x14ac:dyDescent="0.35">
      <c r="A1809" t="s">
        <v>2466</v>
      </c>
      <c r="B1809">
        <v>317080015</v>
      </c>
      <c r="C1809" t="s">
        <v>7</v>
      </c>
    </row>
    <row r="1810" spans="1:3" x14ac:dyDescent="0.35">
      <c r="A1810" t="s">
        <v>2466</v>
      </c>
      <c r="B1810">
        <v>607190005</v>
      </c>
      <c r="C1810" t="s">
        <v>7</v>
      </c>
    </row>
    <row r="1811" spans="1:3" x14ac:dyDescent="0.35">
      <c r="A1811" t="s">
        <v>2466</v>
      </c>
      <c r="B1811" t="s">
        <v>2467</v>
      </c>
      <c r="C1811" t="s">
        <v>5</v>
      </c>
    </row>
    <row r="1812" spans="1:3" x14ac:dyDescent="0.35">
      <c r="A1812" t="s">
        <v>2468</v>
      </c>
      <c r="B1812" t="s">
        <v>2469</v>
      </c>
      <c r="C1812" t="s">
        <v>5</v>
      </c>
    </row>
    <row r="1813" spans="1:3" x14ac:dyDescent="0.35">
      <c r="A1813" t="s">
        <v>2470</v>
      </c>
      <c r="B1813" t="s">
        <v>2471</v>
      </c>
      <c r="C1813" t="s">
        <v>50</v>
      </c>
    </row>
    <row r="1814" spans="1:3" x14ac:dyDescent="0.35">
      <c r="A1814" t="s">
        <v>2472</v>
      </c>
      <c r="B1814" t="s">
        <v>2473</v>
      </c>
      <c r="C1814" t="s">
        <v>5</v>
      </c>
    </row>
    <row r="1815" spans="1:3" x14ac:dyDescent="0.35">
      <c r="A1815" t="s">
        <v>2474</v>
      </c>
      <c r="B1815" t="s">
        <v>2475</v>
      </c>
      <c r="C1815" t="s">
        <v>5</v>
      </c>
    </row>
    <row r="1816" spans="1:3" x14ac:dyDescent="0.35">
      <c r="A1816" t="s">
        <v>2476</v>
      </c>
      <c r="B1816" t="s">
        <v>2477</v>
      </c>
      <c r="C1816" t="s">
        <v>5</v>
      </c>
    </row>
    <row r="1817" spans="1:3" x14ac:dyDescent="0.35">
      <c r="A1817" t="s">
        <v>2478</v>
      </c>
      <c r="B1817" t="s">
        <v>2479</v>
      </c>
      <c r="C1817" t="s">
        <v>5</v>
      </c>
    </row>
    <row r="1818" spans="1:3" x14ac:dyDescent="0.35">
      <c r="A1818" t="s">
        <v>2480</v>
      </c>
      <c r="B1818" t="s">
        <v>2481</v>
      </c>
      <c r="C1818" t="s">
        <v>5</v>
      </c>
    </row>
    <row r="1819" spans="1:3" x14ac:dyDescent="0.35">
      <c r="A1819" t="s">
        <v>2482</v>
      </c>
      <c r="B1819" t="s">
        <v>2483</v>
      </c>
      <c r="C1819" t="s">
        <v>5</v>
      </c>
    </row>
    <row r="1820" spans="1:3" x14ac:dyDescent="0.35">
      <c r="A1820" t="s">
        <v>2484</v>
      </c>
      <c r="B1820" t="s">
        <v>2485</v>
      </c>
      <c r="C1820" t="s">
        <v>5</v>
      </c>
    </row>
    <row r="1821" spans="1:3" x14ac:dyDescent="0.35">
      <c r="A1821" t="s">
        <v>2486</v>
      </c>
      <c r="B1821">
        <v>317020015</v>
      </c>
      <c r="C1821" t="s">
        <v>7</v>
      </c>
    </row>
    <row r="1822" spans="1:3" x14ac:dyDescent="0.35">
      <c r="A1822" t="s">
        <v>2487</v>
      </c>
      <c r="B1822" t="s">
        <v>2488</v>
      </c>
      <c r="C1822" t="s">
        <v>5</v>
      </c>
    </row>
    <row r="1823" spans="1:3" x14ac:dyDescent="0.35">
      <c r="A1823" t="s">
        <v>2489</v>
      </c>
      <c r="B1823" t="s">
        <v>2490</v>
      </c>
      <c r="C1823" t="s">
        <v>32</v>
      </c>
    </row>
    <row r="1824" spans="1:3" x14ac:dyDescent="0.35">
      <c r="A1824" t="s">
        <v>2489</v>
      </c>
      <c r="B1824" t="s">
        <v>2491</v>
      </c>
      <c r="C1824" t="s">
        <v>5</v>
      </c>
    </row>
    <row r="1825" spans="1:3" x14ac:dyDescent="0.35">
      <c r="A1825" t="s">
        <v>2492</v>
      </c>
      <c r="B1825" t="s">
        <v>2493</v>
      </c>
      <c r="C1825" t="s">
        <v>5</v>
      </c>
    </row>
    <row r="1826" spans="1:3" x14ac:dyDescent="0.35">
      <c r="A1826" t="s">
        <v>2494</v>
      </c>
      <c r="B1826">
        <v>602120017</v>
      </c>
      <c r="C1826" t="s">
        <v>7</v>
      </c>
    </row>
    <row r="1827" spans="1:3" x14ac:dyDescent="0.35">
      <c r="A1827" t="s">
        <v>2495</v>
      </c>
      <c r="B1827" t="s">
        <v>2496</v>
      </c>
      <c r="C1827" t="s">
        <v>32</v>
      </c>
    </row>
    <row r="1828" spans="1:3" x14ac:dyDescent="0.35">
      <c r="A1828" t="s">
        <v>2497</v>
      </c>
      <c r="B1828">
        <v>605110028</v>
      </c>
      <c r="C1828" t="s">
        <v>7</v>
      </c>
    </row>
    <row r="1829" spans="1:3" x14ac:dyDescent="0.35">
      <c r="A1829" t="s">
        <v>2498</v>
      </c>
      <c r="B1829" t="s">
        <v>2499</v>
      </c>
      <c r="C1829" t="s">
        <v>32</v>
      </c>
    </row>
    <row r="1830" spans="1:3" x14ac:dyDescent="0.35">
      <c r="A1830" t="s">
        <v>2498</v>
      </c>
      <c r="B1830" t="s">
        <v>2500</v>
      </c>
      <c r="C1830" t="s">
        <v>50</v>
      </c>
    </row>
    <row r="1831" spans="1:3" x14ac:dyDescent="0.35">
      <c r="A1831" t="s">
        <v>2501</v>
      </c>
      <c r="B1831" t="s">
        <v>2502</v>
      </c>
      <c r="C1831" t="s">
        <v>5</v>
      </c>
    </row>
    <row r="1832" spans="1:3" x14ac:dyDescent="0.35">
      <c r="A1832" t="s">
        <v>2503</v>
      </c>
      <c r="B1832" t="s">
        <v>2504</v>
      </c>
      <c r="C1832" t="s">
        <v>5</v>
      </c>
    </row>
    <row r="1833" spans="1:3" x14ac:dyDescent="0.35">
      <c r="A1833" t="s">
        <v>2505</v>
      </c>
      <c r="B1833">
        <v>317090009</v>
      </c>
      <c r="C1833" t="s">
        <v>7</v>
      </c>
    </row>
    <row r="1834" spans="1:3" x14ac:dyDescent="0.35">
      <c r="A1834" t="s">
        <v>2506</v>
      </c>
      <c r="B1834">
        <v>605120009</v>
      </c>
      <c r="C1834" t="s">
        <v>7</v>
      </c>
    </row>
    <row r="1835" spans="1:3" x14ac:dyDescent="0.35">
      <c r="A1835" t="s">
        <v>2507</v>
      </c>
      <c r="B1835" t="s">
        <v>2508</v>
      </c>
      <c r="C1835" t="s">
        <v>5</v>
      </c>
    </row>
    <row r="1836" spans="1:3" x14ac:dyDescent="0.35">
      <c r="A1836" t="s">
        <v>2509</v>
      </c>
      <c r="B1836" t="s">
        <v>2510</v>
      </c>
      <c r="C1836" t="s">
        <v>32</v>
      </c>
    </row>
    <row r="1837" spans="1:3" x14ac:dyDescent="0.35">
      <c r="A1837" t="s">
        <v>2509</v>
      </c>
      <c r="B1837" t="s">
        <v>2511</v>
      </c>
      <c r="C1837" t="s">
        <v>5</v>
      </c>
    </row>
    <row r="1838" spans="1:3" x14ac:dyDescent="0.35">
      <c r="A1838" t="s">
        <v>2512</v>
      </c>
      <c r="B1838" t="s">
        <v>2513</v>
      </c>
      <c r="C1838" t="s">
        <v>5</v>
      </c>
    </row>
    <row r="1839" spans="1:3" x14ac:dyDescent="0.35">
      <c r="A1839" t="s">
        <v>2514</v>
      </c>
      <c r="B1839">
        <v>604110011</v>
      </c>
      <c r="C1839" t="s">
        <v>7</v>
      </c>
    </row>
    <row r="1840" spans="1:3" x14ac:dyDescent="0.35">
      <c r="A1840" t="s">
        <v>2515</v>
      </c>
      <c r="B1840">
        <v>605170007</v>
      </c>
      <c r="C1840" t="s">
        <v>7</v>
      </c>
    </row>
    <row r="1841" spans="1:3" x14ac:dyDescent="0.35">
      <c r="A1841" t="s">
        <v>2516</v>
      </c>
      <c r="B1841" t="s">
        <v>2517</v>
      </c>
      <c r="C1841" t="s">
        <v>5</v>
      </c>
    </row>
    <row r="1842" spans="1:3" x14ac:dyDescent="0.35">
      <c r="A1842" t="s">
        <v>2518</v>
      </c>
      <c r="B1842">
        <v>603020012</v>
      </c>
      <c r="C1842" t="s">
        <v>7</v>
      </c>
    </row>
    <row r="1843" spans="1:3" x14ac:dyDescent="0.35">
      <c r="A1843" t="s">
        <v>2518</v>
      </c>
      <c r="B1843" t="s">
        <v>2519</v>
      </c>
      <c r="C1843" t="s">
        <v>50</v>
      </c>
    </row>
    <row r="1844" spans="1:3" x14ac:dyDescent="0.35">
      <c r="A1844" t="s">
        <v>2520</v>
      </c>
      <c r="B1844">
        <v>603010016</v>
      </c>
      <c r="C1844" t="s">
        <v>7</v>
      </c>
    </row>
    <row r="1845" spans="1:3" x14ac:dyDescent="0.35">
      <c r="A1845" t="s">
        <v>2521</v>
      </c>
      <c r="B1845">
        <v>614120003</v>
      </c>
      <c r="C1845" t="s">
        <v>7</v>
      </c>
    </row>
    <row r="1846" spans="1:3" x14ac:dyDescent="0.35">
      <c r="A1846" t="s">
        <v>2522</v>
      </c>
      <c r="B1846" t="s">
        <v>2523</v>
      </c>
      <c r="C1846" t="s">
        <v>5</v>
      </c>
    </row>
    <row r="1847" spans="1:3" x14ac:dyDescent="0.35">
      <c r="A1847" t="s">
        <v>2524</v>
      </c>
      <c r="B1847" t="s">
        <v>2525</v>
      </c>
      <c r="C1847" t="s">
        <v>5</v>
      </c>
    </row>
    <row r="1848" spans="1:3" x14ac:dyDescent="0.35">
      <c r="A1848" t="s">
        <v>2526</v>
      </c>
      <c r="B1848">
        <v>607150010</v>
      </c>
      <c r="C1848" t="s">
        <v>7</v>
      </c>
    </row>
    <row r="1849" spans="1:3" x14ac:dyDescent="0.35">
      <c r="A1849" t="s">
        <v>2527</v>
      </c>
      <c r="B1849">
        <v>309300004</v>
      </c>
      <c r="C1849" t="s">
        <v>7</v>
      </c>
    </row>
    <row r="1850" spans="1:3" x14ac:dyDescent="0.35">
      <c r="A1850" t="s">
        <v>2527</v>
      </c>
      <c r="B1850">
        <v>317070013</v>
      </c>
      <c r="C1850" t="s">
        <v>7</v>
      </c>
    </row>
    <row r="1851" spans="1:3" x14ac:dyDescent="0.35">
      <c r="A1851" t="s">
        <v>2527</v>
      </c>
      <c r="B1851">
        <v>607070027</v>
      </c>
      <c r="C1851" t="s">
        <v>7</v>
      </c>
    </row>
    <row r="1852" spans="1:3" x14ac:dyDescent="0.35">
      <c r="A1852" t="s">
        <v>2527</v>
      </c>
      <c r="B1852" t="s">
        <v>2528</v>
      </c>
      <c r="C1852" t="s">
        <v>5</v>
      </c>
    </row>
    <row r="1853" spans="1:3" x14ac:dyDescent="0.35">
      <c r="A1853" t="s">
        <v>2529</v>
      </c>
      <c r="B1853" t="s">
        <v>2530</v>
      </c>
      <c r="C1853" t="s">
        <v>5</v>
      </c>
    </row>
    <row r="1854" spans="1:3" x14ac:dyDescent="0.35">
      <c r="A1854" t="s">
        <v>2531</v>
      </c>
      <c r="B1854" t="s">
        <v>2532</v>
      </c>
      <c r="C1854" t="s">
        <v>5</v>
      </c>
    </row>
    <row r="1855" spans="1:3" x14ac:dyDescent="0.35">
      <c r="A1855" t="s">
        <v>2533</v>
      </c>
      <c r="B1855" t="s">
        <v>2534</v>
      </c>
      <c r="C1855" t="s">
        <v>5</v>
      </c>
    </row>
    <row r="1856" spans="1:3" x14ac:dyDescent="0.35">
      <c r="A1856" t="s">
        <v>2535</v>
      </c>
      <c r="B1856" t="s">
        <v>2536</v>
      </c>
      <c r="C1856" t="s">
        <v>50</v>
      </c>
    </row>
    <row r="1857" spans="1:3" x14ac:dyDescent="0.35">
      <c r="A1857" t="s">
        <v>2537</v>
      </c>
      <c r="B1857">
        <v>320210003</v>
      </c>
      <c r="C1857" t="s">
        <v>7</v>
      </c>
    </row>
    <row r="1858" spans="1:3" x14ac:dyDescent="0.35">
      <c r="A1858" t="s">
        <v>2538</v>
      </c>
      <c r="B1858" t="s">
        <v>2539</v>
      </c>
      <c r="C1858" t="s">
        <v>5</v>
      </c>
    </row>
    <row r="1859" spans="1:3" x14ac:dyDescent="0.35">
      <c r="A1859" t="s">
        <v>2540</v>
      </c>
      <c r="B1859" t="s">
        <v>2541</v>
      </c>
      <c r="C1859" t="s">
        <v>5</v>
      </c>
    </row>
    <row r="1860" spans="1:3" x14ac:dyDescent="0.35">
      <c r="A1860" t="s">
        <v>2542</v>
      </c>
      <c r="B1860">
        <v>604170014</v>
      </c>
      <c r="C1860" t="s">
        <v>7</v>
      </c>
    </row>
    <row r="1861" spans="1:3" x14ac:dyDescent="0.35">
      <c r="A1861" t="s">
        <v>2542</v>
      </c>
      <c r="B1861" t="s">
        <v>2543</v>
      </c>
      <c r="C1861" t="s">
        <v>5</v>
      </c>
    </row>
    <row r="1862" spans="1:3" x14ac:dyDescent="0.35">
      <c r="A1862" t="s">
        <v>2544</v>
      </c>
      <c r="B1862" t="s">
        <v>2545</v>
      </c>
      <c r="C1862" t="s">
        <v>5</v>
      </c>
    </row>
    <row r="1863" spans="1:3" x14ac:dyDescent="0.35">
      <c r="A1863" t="s">
        <v>2546</v>
      </c>
      <c r="B1863" t="s">
        <v>2547</v>
      </c>
      <c r="C1863" t="s">
        <v>5</v>
      </c>
    </row>
    <row r="1864" spans="1:3" x14ac:dyDescent="0.35">
      <c r="A1864" t="s">
        <v>2548</v>
      </c>
      <c r="B1864" t="s">
        <v>2549</v>
      </c>
      <c r="C1864" t="s">
        <v>5</v>
      </c>
    </row>
    <row r="1865" spans="1:3" x14ac:dyDescent="0.35">
      <c r="A1865" t="s">
        <v>2550</v>
      </c>
      <c r="B1865" t="s">
        <v>2551</v>
      </c>
      <c r="C1865" t="s">
        <v>5</v>
      </c>
    </row>
    <row r="1866" spans="1:3" x14ac:dyDescent="0.35">
      <c r="A1866" t="s">
        <v>2552</v>
      </c>
      <c r="B1866">
        <v>317180009</v>
      </c>
      <c r="C1866" t="s">
        <v>7</v>
      </c>
    </row>
    <row r="1867" spans="1:3" x14ac:dyDescent="0.35">
      <c r="A1867" t="s">
        <v>2553</v>
      </c>
      <c r="B1867" t="s">
        <v>2554</v>
      </c>
      <c r="C1867" t="s">
        <v>5</v>
      </c>
    </row>
    <row r="1868" spans="1:3" x14ac:dyDescent="0.35">
      <c r="A1868" t="s">
        <v>2555</v>
      </c>
      <c r="B1868" t="s">
        <v>2556</v>
      </c>
      <c r="C1868" t="s">
        <v>50</v>
      </c>
    </row>
    <row r="1869" spans="1:3" x14ac:dyDescent="0.35">
      <c r="A1869" t="s">
        <v>2557</v>
      </c>
      <c r="B1869" t="s">
        <v>2558</v>
      </c>
      <c r="C1869" t="s">
        <v>5</v>
      </c>
    </row>
    <row r="1870" spans="1:3" x14ac:dyDescent="0.35">
      <c r="A1870" t="s">
        <v>2559</v>
      </c>
      <c r="B1870" t="s">
        <v>2560</v>
      </c>
      <c r="C1870" t="s">
        <v>5</v>
      </c>
    </row>
    <row r="1871" spans="1:3" x14ac:dyDescent="0.35">
      <c r="A1871" t="s">
        <v>2561</v>
      </c>
      <c r="B1871" t="s">
        <v>2562</v>
      </c>
      <c r="C1871" t="s">
        <v>5</v>
      </c>
    </row>
    <row r="1872" spans="1:3" x14ac:dyDescent="0.35">
      <c r="A1872" t="s">
        <v>2563</v>
      </c>
      <c r="B1872" t="s">
        <v>2564</v>
      </c>
      <c r="C1872" t="s">
        <v>50</v>
      </c>
    </row>
    <row r="1873" spans="1:3" x14ac:dyDescent="0.35">
      <c r="A1873" t="s">
        <v>2565</v>
      </c>
      <c r="B1873">
        <v>603060014</v>
      </c>
      <c r="C1873" t="s">
        <v>7</v>
      </c>
    </row>
    <row r="1874" spans="1:3" x14ac:dyDescent="0.35">
      <c r="A1874" t="s">
        <v>2565</v>
      </c>
      <c r="B1874" t="s">
        <v>2566</v>
      </c>
      <c r="C1874" t="s">
        <v>32</v>
      </c>
    </row>
    <row r="1875" spans="1:3" x14ac:dyDescent="0.35">
      <c r="A1875" t="s">
        <v>2565</v>
      </c>
      <c r="B1875" t="s">
        <v>2567</v>
      </c>
      <c r="C1875" t="s">
        <v>50</v>
      </c>
    </row>
    <row r="1876" spans="1:3" x14ac:dyDescent="0.35">
      <c r="A1876" t="s">
        <v>2568</v>
      </c>
      <c r="B1876" t="s">
        <v>2569</v>
      </c>
      <c r="C1876" t="s">
        <v>5</v>
      </c>
    </row>
    <row r="1877" spans="1:3" x14ac:dyDescent="0.35">
      <c r="A1877" t="s">
        <v>2570</v>
      </c>
      <c r="B1877">
        <v>117080011</v>
      </c>
      <c r="C1877" t="s">
        <v>7</v>
      </c>
    </row>
    <row r="1878" spans="1:3" x14ac:dyDescent="0.35">
      <c r="A1878" t="s">
        <v>2571</v>
      </c>
      <c r="B1878" t="s">
        <v>2572</v>
      </c>
      <c r="C1878" t="s">
        <v>5</v>
      </c>
    </row>
    <row r="1879" spans="1:3" x14ac:dyDescent="0.35">
      <c r="A1879" t="s">
        <v>2573</v>
      </c>
      <c r="B1879" t="s">
        <v>2574</v>
      </c>
      <c r="C1879" t="s">
        <v>5</v>
      </c>
    </row>
    <row r="1880" spans="1:3" x14ac:dyDescent="0.35">
      <c r="A1880" t="s">
        <v>2575</v>
      </c>
      <c r="B1880" t="s">
        <v>2576</v>
      </c>
      <c r="C1880" t="s">
        <v>5</v>
      </c>
    </row>
    <row r="1881" spans="1:3" x14ac:dyDescent="0.35">
      <c r="A1881" t="s">
        <v>2577</v>
      </c>
      <c r="B1881" t="s">
        <v>2578</v>
      </c>
      <c r="C1881" t="s">
        <v>5</v>
      </c>
    </row>
    <row r="1882" spans="1:3" x14ac:dyDescent="0.35">
      <c r="A1882" t="s">
        <v>2579</v>
      </c>
      <c r="B1882" t="s">
        <v>2580</v>
      </c>
      <c r="C1882" t="s">
        <v>5</v>
      </c>
    </row>
    <row r="1883" spans="1:3" x14ac:dyDescent="0.35">
      <c r="A1883" t="s">
        <v>2581</v>
      </c>
      <c r="B1883" t="s">
        <v>2582</v>
      </c>
      <c r="C1883" t="s">
        <v>5</v>
      </c>
    </row>
    <row r="1884" spans="1:3" x14ac:dyDescent="0.35">
      <c r="A1884" t="s">
        <v>2583</v>
      </c>
      <c r="B1884" t="s">
        <v>2584</v>
      </c>
      <c r="C1884" t="s">
        <v>32</v>
      </c>
    </row>
    <row r="1885" spans="1:3" x14ac:dyDescent="0.35">
      <c r="A1885" t="s">
        <v>2585</v>
      </c>
      <c r="B1885" t="s">
        <v>2586</v>
      </c>
      <c r="C1885" t="s">
        <v>5</v>
      </c>
    </row>
    <row r="1886" spans="1:3" x14ac:dyDescent="0.35">
      <c r="A1886" t="s">
        <v>2587</v>
      </c>
      <c r="B1886">
        <v>604020007</v>
      </c>
      <c r="C1886" t="s">
        <v>7</v>
      </c>
    </row>
    <row r="1887" spans="1:3" x14ac:dyDescent="0.35">
      <c r="A1887" t="s">
        <v>2588</v>
      </c>
      <c r="B1887">
        <v>603140014</v>
      </c>
      <c r="C1887" t="s">
        <v>7</v>
      </c>
    </row>
    <row r="1888" spans="1:3" x14ac:dyDescent="0.35">
      <c r="A1888" t="s">
        <v>2588</v>
      </c>
      <c r="B1888" t="s">
        <v>2589</v>
      </c>
      <c r="C1888" t="s">
        <v>50</v>
      </c>
    </row>
    <row r="1889" spans="1:3" x14ac:dyDescent="0.35">
      <c r="A1889" t="s">
        <v>2590</v>
      </c>
      <c r="B1889" t="s">
        <v>2591</v>
      </c>
      <c r="C1889" t="s">
        <v>5</v>
      </c>
    </row>
    <row r="1890" spans="1:3" x14ac:dyDescent="0.35">
      <c r="A1890" t="s">
        <v>2592</v>
      </c>
      <c r="B1890">
        <v>621030012</v>
      </c>
      <c r="C1890" t="s">
        <v>7</v>
      </c>
    </row>
    <row r="1891" spans="1:3" x14ac:dyDescent="0.35">
      <c r="A1891" t="s">
        <v>2592</v>
      </c>
      <c r="B1891" t="s">
        <v>2593</v>
      </c>
      <c r="C1891" t="s">
        <v>32</v>
      </c>
    </row>
    <row r="1892" spans="1:3" x14ac:dyDescent="0.35">
      <c r="A1892" t="s">
        <v>2594</v>
      </c>
      <c r="B1892">
        <v>604050022</v>
      </c>
      <c r="C1892" t="s">
        <v>7</v>
      </c>
    </row>
    <row r="1893" spans="1:3" x14ac:dyDescent="0.35">
      <c r="A1893" t="s">
        <v>2595</v>
      </c>
      <c r="B1893">
        <v>111100028</v>
      </c>
      <c r="C1893" t="s">
        <v>7</v>
      </c>
    </row>
    <row r="1894" spans="1:3" x14ac:dyDescent="0.35">
      <c r="A1894" t="s">
        <v>2596</v>
      </c>
      <c r="B1894">
        <v>111100011</v>
      </c>
      <c r="C1894" t="s">
        <v>7</v>
      </c>
    </row>
    <row r="1895" spans="1:3" x14ac:dyDescent="0.35">
      <c r="A1895" t="s">
        <v>2597</v>
      </c>
      <c r="B1895" t="s">
        <v>2598</v>
      </c>
      <c r="C1895" t="s">
        <v>5</v>
      </c>
    </row>
    <row r="1896" spans="1:3" x14ac:dyDescent="0.35">
      <c r="A1896" t="s">
        <v>2599</v>
      </c>
      <c r="B1896">
        <v>613010013</v>
      </c>
      <c r="C1896" t="s">
        <v>7</v>
      </c>
    </row>
    <row r="1897" spans="1:3" x14ac:dyDescent="0.35">
      <c r="A1897" t="s">
        <v>2600</v>
      </c>
      <c r="B1897">
        <v>317080016</v>
      </c>
      <c r="C1897" t="s">
        <v>7</v>
      </c>
    </row>
    <row r="1898" spans="1:3" x14ac:dyDescent="0.35">
      <c r="A1898" t="s">
        <v>2601</v>
      </c>
      <c r="B1898">
        <v>614140006</v>
      </c>
      <c r="C1898" t="s">
        <v>7</v>
      </c>
    </row>
    <row r="1899" spans="1:3" x14ac:dyDescent="0.35">
      <c r="A1899" t="s">
        <v>2602</v>
      </c>
      <c r="B1899">
        <v>621030013</v>
      </c>
      <c r="C1899" t="s">
        <v>7</v>
      </c>
    </row>
    <row r="1900" spans="1:3" x14ac:dyDescent="0.35">
      <c r="A1900" t="s">
        <v>2603</v>
      </c>
      <c r="B1900" t="s">
        <v>2604</v>
      </c>
      <c r="C1900" t="s">
        <v>5</v>
      </c>
    </row>
    <row r="1901" spans="1:3" x14ac:dyDescent="0.35">
      <c r="A1901" t="s">
        <v>2605</v>
      </c>
      <c r="B1901" t="s">
        <v>2606</v>
      </c>
      <c r="C1901" t="s">
        <v>5</v>
      </c>
    </row>
    <row r="1902" spans="1:3" x14ac:dyDescent="0.35">
      <c r="A1902" t="s">
        <v>2607</v>
      </c>
      <c r="B1902">
        <v>614220005</v>
      </c>
      <c r="C1902" t="s">
        <v>7</v>
      </c>
    </row>
    <row r="1903" spans="1:3" x14ac:dyDescent="0.35">
      <c r="A1903" t="s">
        <v>2608</v>
      </c>
      <c r="B1903">
        <v>605130020</v>
      </c>
      <c r="C1903" t="s">
        <v>7</v>
      </c>
    </row>
    <row r="1904" spans="1:3" x14ac:dyDescent="0.35">
      <c r="A1904" t="s">
        <v>2609</v>
      </c>
      <c r="B1904" t="s">
        <v>2610</v>
      </c>
      <c r="C1904" t="s">
        <v>5</v>
      </c>
    </row>
    <row r="1905" spans="1:3" x14ac:dyDescent="0.35">
      <c r="A1905" t="s">
        <v>2611</v>
      </c>
      <c r="B1905" t="s">
        <v>2612</v>
      </c>
      <c r="C1905" t="s">
        <v>50</v>
      </c>
    </row>
    <row r="1906" spans="1:3" x14ac:dyDescent="0.35">
      <c r="A1906" t="s">
        <v>2613</v>
      </c>
      <c r="B1906" t="s">
        <v>2614</v>
      </c>
      <c r="C1906" t="s">
        <v>5</v>
      </c>
    </row>
    <row r="1907" spans="1:3" x14ac:dyDescent="0.35">
      <c r="A1907" t="s">
        <v>2615</v>
      </c>
      <c r="B1907">
        <v>614190003</v>
      </c>
      <c r="C1907" t="s">
        <v>7</v>
      </c>
    </row>
    <row r="1908" spans="1:3" x14ac:dyDescent="0.35">
      <c r="A1908" t="s">
        <v>2616</v>
      </c>
      <c r="B1908">
        <v>602090005</v>
      </c>
      <c r="C1908" t="s">
        <v>7</v>
      </c>
    </row>
    <row r="1909" spans="1:3" x14ac:dyDescent="0.35">
      <c r="A1909" t="s">
        <v>2617</v>
      </c>
      <c r="B1909" t="s">
        <v>2618</v>
      </c>
      <c r="C1909" t="s">
        <v>5</v>
      </c>
    </row>
    <row r="1910" spans="1:3" x14ac:dyDescent="0.35">
      <c r="A1910" t="s">
        <v>2619</v>
      </c>
      <c r="B1910" t="s">
        <v>2620</v>
      </c>
      <c r="C1910" t="s">
        <v>5</v>
      </c>
    </row>
    <row r="1911" spans="1:3" x14ac:dyDescent="0.35">
      <c r="A1911" t="s">
        <v>2621</v>
      </c>
      <c r="B1911" t="s">
        <v>2622</v>
      </c>
      <c r="C1911" t="s">
        <v>32</v>
      </c>
    </row>
    <row r="1912" spans="1:3" x14ac:dyDescent="0.35">
      <c r="A1912" t="s">
        <v>2621</v>
      </c>
      <c r="B1912" t="s">
        <v>2623</v>
      </c>
      <c r="C1912" t="s">
        <v>5</v>
      </c>
    </row>
    <row r="1913" spans="1:3" x14ac:dyDescent="0.35">
      <c r="A1913" t="s">
        <v>2624</v>
      </c>
      <c r="B1913">
        <v>306150009</v>
      </c>
      <c r="C1913" t="s">
        <v>7</v>
      </c>
    </row>
    <row r="1914" spans="1:3" x14ac:dyDescent="0.35">
      <c r="A1914" t="s">
        <v>2625</v>
      </c>
      <c r="B1914" t="s">
        <v>2626</v>
      </c>
      <c r="C1914" t="s">
        <v>5</v>
      </c>
    </row>
    <row r="1915" spans="1:3" x14ac:dyDescent="0.35">
      <c r="A1915" t="s">
        <v>2627</v>
      </c>
      <c r="B1915">
        <v>306160004</v>
      </c>
      <c r="C1915" t="s">
        <v>7</v>
      </c>
    </row>
    <row r="1916" spans="1:3" x14ac:dyDescent="0.35">
      <c r="A1916" t="s">
        <v>2628</v>
      </c>
      <c r="B1916">
        <v>604130012</v>
      </c>
      <c r="C1916" t="s">
        <v>7</v>
      </c>
    </row>
    <row r="1917" spans="1:3" x14ac:dyDescent="0.35">
      <c r="A1917" t="s">
        <v>2629</v>
      </c>
      <c r="B1917">
        <v>609040020</v>
      </c>
      <c r="C1917" t="s">
        <v>7</v>
      </c>
    </row>
    <row r="1918" spans="1:3" x14ac:dyDescent="0.35">
      <c r="A1918" t="s">
        <v>2630</v>
      </c>
      <c r="B1918">
        <v>317150004</v>
      </c>
      <c r="C1918" t="s">
        <v>7</v>
      </c>
    </row>
    <row r="1919" spans="1:3" x14ac:dyDescent="0.35">
      <c r="A1919" t="s">
        <v>2631</v>
      </c>
      <c r="B1919">
        <v>605030012</v>
      </c>
      <c r="C1919" t="s">
        <v>7</v>
      </c>
    </row>
    <row r="1920" spans="1:3" x14ac:dyDescent="0.35">
      <c r="A1920" t="s">
        <v>2632</v>
      </c>
      <c r="B1920" t="s">
        <v>2633</v>
      </c>
      <c r="C1920" t="s">
        <v>5</v>
      </c>
    </row>
    <row r="1921" spans="1:3" x14ac:dyDescent="0.35">
      <c r="A1921" t="s">
        <v>2634</v>
      </c>
      <c r="B1921" t="s">
        <v>2635</v>
      </c>
      <c r="C1921" t="s">
        <v>5</v>
      </c>
    </row>
    <row r="1922" spans="1:3" x14ac:dyDescent="0.35">
      <c r="A1922" t="s">
        <v>2636</v>
      </c>
      <c r="B1922" t="s">
        <v>2637</v>
      </c>
      <c r="C1922" t="s">
        <v>5</v>
      </c>
    </row>
    <row r="1923" spans="1:3" x14ac:dyDescent="0.35">
      <c r="A1923" t="s">
        <v>2638</v>
      </c>
      <c r="B1923" t="s">
        <v>2639</v>
      </c>
      <c r="C1923" t="s">
        <v>5</v>
      </c>
    </row>
    <row r="1924" spans="1:3" x14ac:dyDescent="0.35">
      <c r="A1924" t="s">
        <v>2640</v>
      </c>
      <c r="B1924">
        <v>309190004</v>
      </c>
      <c r="C1924" t="s">
        <v>7</v>
      </c>
    </row>
    <row r="1925" spans="1:3" x14ac:dyDescent="0.35">
      <c r="A1925" t="s">
        <v>2641</v>
      </c>
      <c r="B1925" t="s">
        <v>2642</v>
      </c>
      <c r="C1925" t="s">
        <v>5</v>
      </c>
    </row>
    <row r="1926" spans="1:3" x14ac:dyDescent="0.35">
      <c r="A1926" t="s">
        <v>2643</v>
      </c>
      <c r="B1926">
        <v>621040020</v>
      </c>
      <c r="C1926" t="s">
        <v>7</v>
      </c>
    </row>
    <row r="1927" spans="1:3" x14ac:dyDescent="0.35">
      <c r="A1927" t="s">
        <v>2644</v>
      </c>
      <c r="B1927" t="s">
        <v>2645</v>
      </c>
      <c r="C1927" t="s">
        <v>5</v>
      </c>
    </row>
    <row r="1928" spans="1:3" x14ac:dyDescent="0.35">
      <c r="A1928" t="s">
        <v>2646</v>
      </c>
      <c r="B1928">
        <v>609040042</v>
      </c>
      <c r="C1928" t="s">
        <v>7</v>
      </c>
    </row>
    <row r="1929" spans="1:3" x14ac:dyDescent="0.35">
      <c r="A1929" t="s">
        <v>2647</v>
      </c>
      <c r="B1929">
        <v>111150010</v>
      </c>
      <c r="C1929" t="s">
        <v>7</v>
      </c>
    </row>
    <row r="1930" spans="1:3" x14ac:dyDescent="0.35">
      <c r="A1930" t="s">
        <v>2648</v>
      </c>
      <c r="B1930">
        <v>317090010</v>
      </c>
      <c r="C1930" t="s">
        <v>7</v>
      </c>
    </row>
    <row r="1931" spans="1:3" x14ac:dyDescent="0.35">
      <c r="A1931" t="s">
        <v>2649</v>
      </c>
      <c r="B1931">
        <v>323100003</v>
      </c>
      <c r="C1931" t="s">
        <v>7</v>
      </c>
    </row>
    <row r="1932" spans="1:3" x14ac:dyDescent="0.35">
      <c r="A1932" t="s">
        <v>2650</v>
      </c>
      <c r="B1932">
        <v>605030013</v>
      </c>
      <c r="C1932" t="s">
        <v>7</v>
      </c>
    </row>
    <row r="1933" spans="1:3" x14ac:dyDescent="0.35">
      <c r="A1933" t="s">
        <v>2651</v>
      </c>
      <c r="B1933">
        <v>605030024</v>
      </c>
      <c r="C1933" t="s">
        <v>7</v>
      </c>
    </row>
    <row r="1934" spans="1:3" x14ac:dyDescent="0.35">
      <c r="A1934" t="s">
        <v>2652</v>
      </c>
      <c r="B1934">
        <v>605030015</v>
      </c>
      <c r="C1934" t="s">
        <v>7</v>
      </c>
    </row>
    <row r="1935" spans="1:3" x14ac:dyDescent="0.35">
      <c r="A1935" t="s">
        <v>2653</v>
      </c>
      <c r="B1935">
        <v>605030014</v>
      </c>
      <c r="C1935" t="s">
        <v>7</v>
      </c>
    </row>
    <row r="1936" spans="1:3" x14ac:dyDescent="0.35">
      <c r="A1936" t="s">
        <v>2654</v>
      </c>
      <c r="B1936" t="s">
        <v>2655</v>
      </c>
      <c r="C1936" t="s">
        <v>5</v>
      </c>
    </row>
    <row r="1937" spans="1:3" x14ac:dyDescent="0.35">
      <c r="A1937" t="s">
        <v>2656</v>
      </c>
      <c r="B1937">
        <v>609010018</v>
      </c>
      <c r="C1937" t="s">
        <v>7</v>
      </c>
    </row>
    <row r="1938" spans="1:3" x14ac:dyDescent="0.35">
      <c r="A1938" t="s">
        <v>2657</v>
      </c>
      <c r="B1938">
        <v>609040008</v>
      </c>
      <c r="C1938" t="s">
        <v>7</v>
      </c>
    </row>
    <row r="1939" spans="1:3" x14ac:dyDescent="0.35">
      <c r="A1939" t="s">
        <v>2658</v>
      </c>
      <c r="B1939">
        <v>609020015</v>
      </c>
      <c r="C1939" t="s">
        <v>7</v>
      </c>
    </row>
    <row r="1940" spans="1:3" x14ac:dyDescent="0.35">
      <c r="A1940" t="s">
        <v>2658</v>
      </c>
      <c r="B1940" t="s">
        <v>2659</v>
      </c>
      <c r="C1940" t="s">
        <v>5</v>
      </c>
    </row>
    <row r="1941" spans="1:3" x14ac:dyDescent="0.35">
      <c r="A1941" t="s">
        <v>2660</v>
      </c>
      <c r="B1941">
        <v>609040022</v>
      </c>
      <c r="C1941" t="s">
        <v>7</v>
      </c>
    </row>
    <row r="1942" spans="1:3" x14ac:dyDescent="0.35">
      <c r="A1942" t="s">
        <v>2660</v>
      </c>
      <c r="B1942" t="s">
        <v>2661</v>
      </c>
      <c r="C1942" t="s">
        <v>32</v>
      </c>
    </row>
    <row r="1943" spans="1:3" x14ac:dyDescent="0.35">
      <c r="A1943" t="s">
        <v>2660</v>
      </c>
      <c r="B1943" t="s">
        <v>2662</v>
      </c>
      <c r="C1943" t="s">
        <v>5</v>
      </c>
    </row>
    <row r="1944" spans="1:3" x14ac:dyDescent="0.35">
      <c r="A1944" t="s">
        <v>2663</v>
      </c>
      <c r="B1944">
        <v>605170005</v>
      </c>
      <c r="C1944" t="s">
        <v>7</v>
      </c>
    </row>
    <row r="1945" spans="1:3" x14ac:dyDescent="0.35">
      <c r="A1945" t="s">
        <v>2664</v>
      </c>
      <c r="B1945">
        <v>605020006</v>
      </c>
      <c r="C1945" t="s">
        <v>7</v>
      </c>
    </row>
    <row r="1946" spans="1:3" x14ac:dyDescent="0.35">
      <c r="A1946" t="s">
        <v>2664</v>
      </c>
      <c r="B1946" t="s">
        <v>2665</v>
      </c>
      <c r="C1946" t="s">
        <v>5</v>
      </c>
    </row>
    <row r="1947" spans="1:3" x14ac:dyDescent="0.35">
      <c r="A1947" t="s">
        <v>2666</v>
      </c>
      <c r="B1947">
        <v>614230006</v>
      </c>
      <c r="C1947" t="s">
        <v>7</v>
      </c>
    </row>
    <row r="1948" spans="1:3" x14ac:dyDescent="0.35">
      <c r="A1948" t="s">
        <v>2667</v>
      </c>
      <c r="B1948">
        <v>604130025</v>
      </c>
      <c r="C1948" t="s">
        <v>7</v>
      </c>
    </row>
    <row r="1949" spans="1:3" x14ac:dyDescent="0.35">
      <c r="A1949" t="s">
        <v>2668</v>
      </c>
      <c r="B1949" t="s">
        <v>2669</v>
      </c>
      <c r="C1949" t="s">
        <v>5</v>
      </c>
    </row>
    <row r="1950" spans="1:3" x14ac:dyDescent="0.35">
      <c r="A1950" t="s">
        <v>2670</v>
      </c>
      <c r="B1950" t="s">
        <v>2671</v>
      </c>
      <c r="C1950" t="s">
        <v>5</v>
      </c>
    </row>
    <row r="1951" spans="1:3" x14ac:dyDescent="0.35">
      <c r="A1951" t="s">
        <v>2672</v>
      </c>
      <c r="B1951">
        <v>604050011</v>
      </c>
      <c r="C1951" t="s">
        <v>7</v>
      </c>
    </row>
    <row r="1952" spans="1:3" x14ac:dyDescent="0.35">
      <c r="A1952" t="s">
        <v>2673</v>
      </c>
      <c r="B1952">
        <v>604050037</v>
      </c>
      <c r="C1952" t="s">
        <v>7</v>
      </c>
    </row>
    <row r="1953" spans="1:3" x14ac:dyDescent="0.35">
      <c r="A1953" t="s">
        <v>2674</v>
      </c>
      <c r="B1953">
        <v>604050012</v>
      </c>
      <c r="C1953" t="s">
        <v>7</v>
      </c>
    </row>
    <row r="1954" spans="1:3" x14ac:dyDescent="0.35">
      <c r="A1954" t="s">
        <v>2674</v>
      </c>
      <c r="B1954" t="s">
        <v>2675</v>
      </c>
      <c r="C1954" t="s">
        <v>5</v>
      </c>
    </row>
    <row r="1955" spans="1:3" x14ac:dyDescent="0.35">
      <c r="A1955" t="s">
        <v>2676</v>
      </c>
      <c r="B1955" t="s">
        <v>2677</v>
      </c>
      <c r="C1955" t="s">
        <v>32</v>
      </c>
    </row>
    <row r="1956" spans="1:3" x14ac:dyDescent="0.35">
      <c r="A1956" t="s">
        <v>2676</v>
      </c>
      <c r="B1956" t="s">
        <v>2678</v>
      </c>
      <c r="C1956" t="s">
        <v>5</v>
      </c>
    </row>
    <row r="1957" spans="1:3" x14ac:dyDescent="0.35">
      <c r="A1957" t="s">
        <v>2679</v>
      </c>
      <c r="B1957">
        <v>603060028</v>
      </c>
      <c r="C1957" t="s">
        <v>7</v>
      </c>
    </row>
    <row r="1958" spans="1:3" x14ac:dyDescent="0.35">
      <c r="A1958" t="s">
        <v>2680</v>
      </c>
      <c r="B1958" t="s">
        <v>2681</v>
      </c>
      <c r="C1958" t="s">
        <v>5</v>
      </c>
    </row>
    <row r="1959" spans="1:3" x14ac:dyDescent="0.35">
      <c r="A1959" t="s">
        <v>2682</v>
      </c>
      <c r="B1959" t="s">
        <v>2683</v>
      </c>
      <c r="C1959" t="s">
        <v>5</v>
      </c>
    </row>
    <row r="1960" spans="1:3" x14ac:dyDescent="0.35">
      <c r="A1960" t="s">
        <v>2684</v>
      </c>
      <c r="B1960">
        <v>604060030</v>
      </c>
      <c r="C1960" t="s">
        <v>7</v>
      </c>
    </row>
    <row r="1961" spans="1:3" x14ac:dyDescent="0.35">
      <c r="A1961" t="s">
        <v>2685</v>
      </c>
      <c r="B1961" t="s">
        <v>2686</v>
      </c>
      <c r="C1961" t="s">
        <v>5</v>
      </c>
    </row>
    <row r="1962" spans="1:3" x14ac:dyDescent="0.35">
      <c r="A1962" t="s">
        <v>2687</v>
      </c>
      <c r="B1962">
        <v>609050045</v>
      </c>
      <c r="C1962" t="s">
        <v>7</v>
      </c>
    </row>
    <row r="1963" spans="1:3" x14ac:dyDescent="0.35">
      <c r="A1963" t="s">
        <v>2687</v>
      </c>
      <c r="B1963" t="s">
        <v>2688</v>
      </c>
      <c r="C1963" t="s">
        <v>5</v>
      </c>
    </row>
    <row r="1964" spans="1:3" x14ac:dyDescent="0.35">
      <c r="A1964" t="s">
        <v>2689</v>
      </c>
      <c r="B1964">
        <v>605020007</v>
      </c>
      <c r="C1964" t="s">
        <v>7</v>
      </c>
    </row>
    <row r="1965" spans="1:3" x14ac:dyDescent="0.35">
      <c r="A1965" t="s">
        <v>2689</v>
      </c>
      <c r="B1965" t="s">
        <v>2690</v>
      </c>
      <c r="C1965" t="s">
        <v>5</v>
      </c>
    </row>
    <row r="1966" spans="1:3" x14ac:dyDescent="0.35">
      <c r="A1966" t="s">
        <v>2691</v>
      </c>
      <c r="B1966" t="s">
        <v>2692</v>
      </c>
      <c r="C1966" t="s">
        <v>5</v>
      </c>
    </row>
    <row r="1967" spans="1:3" x14ac:dyDescent="0.35">
      <c r="A1967" t="s">
        <v>2693</v>
      </c>
      <c r="B1967">
        <v>602110006</v>
      </c>
      <c r="C1967" t="s">
        <v>7</v>
      </c>
    </row>
    <row r="1968" spans="1:3" x14ac:dyDescent="0.35">
      <c r="A1968" t="s">
        <v>2694</v>
      </c>
      <c r="B1968">
        <v>612080007</v>
      </c>
      <c r="C1968" t="s">
        <v>7</v>
      </c>
    </row>
    <row r="1969" spans="1:3" x14ac:dyDescent="0.35">
      <c r="A1969" t="s">
        <v>2694</v>
      </c>
      <c r="B1969">
        <v>612150011</v>
      </c>
      <c r="C1969" t="s">
        <v>7</v>
      </c>
    </row>
    <row r="1970" spans="1:3" x14ac:dyDescent="0.35">
      <c r="A1970" t="s">
        <v>2694</v>
      </c>
      <c r="B1970" t="s">
        <v>2695</v>
      </c>
      <c r="C1970" t="s">
        <v>32</v>
      </c>
    </row>
    <row r="1971" spans="1:3" x14ac:dyDescent="0.35">
      <c r="A1971" t="s">
        <v>2696</v>
      </c>
      <c r="B1971">
        <v>612150007</v>
      </c>
      <c r="C1971" t="s">
        <v>7</v>
      </c>
    </row>
    <row r="1972" spans="1:3" x14ac:dyDescent="0.35">
      <c r="A1972" t="s">
        <v>2697</v>
      </c>
      <c r="B1972" t="s">
        <v>2698</v>
      </c>
      <c r="C1972" t="s">
        <v>5</v>
      </c>
    </row>
    <row r="1973" spans="1:3" x14ac:dyDescent="0.35">
      <c r="A1973" t="s">
        <v>2699</v>
      </c>
      <c r="B1973" t="s">
        <v>2700</v>
      </c>
      <c r="C1973" t="s">
        <v>5</v>
      </c>
    </row>
    <row r="1974" spans="1:3" x14ac:dyDescent="0.35">
      <c r="A1974" t="s">
        <v>2701</v>
      </c>
      <c r="B1974" t="s">
        <v>2702</v>
      </c>
      <c r="C1974" t="s">
        <v>5</v>
      </c>
    </row>
    <row r="1975" spans="1:3" x14ac:dyDescent="0.35">
      <c r="A1975" t="s">
        <v>2703</v>
      </c>
      <c r="B1975">
        <v>309190005</v>
      </c>
      <c r="C1975" t="s">
        <v>7</v>
      </c>
    </row>
    <row r="1976" spans="1:3" x14ac:dyDescent="0.35">
      <c r="A1976" t="s">
        <v>2704</v>
      </c>
      <c r="B1976">
        <v>614240002</v>
      </c>
      <c r="C1976" t="s">
        <v>7</v>
      </c>
    </row>
    <row r="1977" spans="1:3" x14ac:dyDescent="0.35">
      <c r="A1977" t="s">
        <v>2705</v>
      </c>
      <c r="B1977" t="s">
        <v>2706</v>
      </c>
      <c r="C1977" t="s">
        <v>5</v>
      </c>
    </row>
    <row r="1978" spans="1:3" x14ac:dyDescent="0.35">
      <c r="A1978" t="s">
        <v>2707</v>
      </c>
      <c r="B1978" t="s">
        <v>2708</v>
      </c>
      <c r="C1978" t="s">
        <v>50</v>
      </c>
    </row>
    <row r="1979" spans="1:3" x14ac:dyDescent="0.35">
      <c r="A1979" t="s">
        <v>2709</v>
      </c>
      <c r="B1979" t="s">
        <v>2710</v>
      </c>
      <c r="C1979" t="s">
        <v>5</v>
      </c>
    </row>
    <row r="1980" spans="1:3" x14ac:dyDescent="0.35">
      <c r="A1980" t="s">
        <v>2711</v>
      </c>
      <c r="B1980" t="s">
        <v>2712</v>
      </c>
      <c r="C1980" t="s">
        <v>5</v>
      </c>
    </row>
    <row r="1981" spans="1:3" x14ac:dyDescent="0.35">
      <c r="A1981" t="s">
        <v>2713</v>
      </c>
      <c r="B1981" t="s">
        <v>2714</v>
      </c>
      <c r="C1981" t="s">
        <v>5</v>
      </c>
    </row>
    <row r="1982" spans="1:3" x14ac:dyDescent="0.35">
      <c r="A1982" t="s">
        <v>2715</v>
      </c>
      <c r="B1982">
        <v>603010017</v>
      </c>
      <c r="C1982" t="s">
        <v>7</v>
      </c>
    </row>
    <row r="1983" spans="1:3" x14ac:dyDescent="0.35">
      <c r="A1983" t="s">
        <v>2716</v>
      </c>
      <c r="B1983">
        <v>309190006</v>
      </c>
      <c r="C1983" t="s">
        <v>7</v>
      </c>
    </row>
    <row r="1984" spans="1:3" x14ac:dyDescent="0.35">
      <c r="A1984" t="s">
        <v>2717</v>
      </c>
      <c r="B1984">
        <v>602110009</v>
      </c>
      <c r="C1984" t="s">
        <v>7</v>
      </c>
    </row>
    <row r="1985" spans="1:3" x14ac:dyDescent="0.35">
      <c r="A1985" t="s">
        <v>2718</v>
      </c>
      <c r="B1985" t="s">
        <v>2719</v>
      </c>
      <c r="C1985" t="s">
        <v>5</v>
      </c>
    </row>
    <row r="1986" spans="1:3" x14ac:dyDescent="0.35">
      <c r="A1986" t="s">
        <v>2720</v>
      </c>
      <c r="B1986">
        <v>612120002</v>
      </c>
      <c r="C1986" t="s">
        <v>7</v>
      </c>
    </row>
    <row r="1987" spans="1:3" x14ac:dyDescent="0.35">
      <c r="A1987" t="s">
        <v>2721</v>
      </c>
      <c r="B1987" t="s">
        <v>2722</v>
      </c>
      <c r="C1987" t="s">
        <v>5</v>
      </c>
    </row>
    <row r="1988" spans="1:3" x14ac:dyDescent="0.35">
      <c r="A1988" t="s">
        <v>2723</v>
      </c>
      <c r="B1988">
        <v>603060015</v>
      </c>
      <c r="C1988" t="s">
        <v>7</v>
      </c>
    </row>
    <row r="1989" spans="1:3" x14ac:dyDescent="0.35">
      <c r="A1989" t="s">
        <v>2723</v>
      </c>
      <c r="B1989">
        <v>614020020</v>
      </c>
      <c r="C1989" t="s">
        <v>7</v>
      </c>
    </row>
    <row r="1990" spans="1:3" x14ac:dyDescent="0.35">
      <c r="A1990" t="s">
        <v>2723</v>
      </c>
      <c r="B1990" t="s">
        <v>2724</v>
      </c>
      <c r="C1990" t="s">
        <v>5</v>
      </c>
    </row>
    <row r="1991" spans="1:3" x14ac:dyDescent="0.35">
      <c r="A1991" t="s">
        <v>2725</v>
      </c>
      <c r="B1991">
        <v>309300005</v>
      </c>
      <c r="C1991" t="s">
        <v>7</v>
      </c>
    </row>
    <row r="1992" spans="1:3" x14ac:dyDescent="0.35">
      <c r="A1992" t="s">
        <v>2726</v>
      </c>
      <c r="B1992">
        <v>309190007</v>
      </c>
      <c r="C1992" t="s">
        <v>7</v>
      </c>
    </row>
    <row r="1993" spans="1:3" x14ac:dyDescent="0.35">
      <c r="A1993" t="s">
        <v>2727</v>
      </c>
      <c r="B1993" t="s">
        <v>2728</v>
      </c>
      <c r="C1993" t="s">
        <v>5</v>
      </c>
    </row>
    <row r="1994" spans="1:3" x14ac:dyDescent="0.35">
      <c r="A1994" t="s">
        <v>2729</v>
      </c>
      <c r="B1994">
        <v>607020011</v>
      </c>
      <c r="C1994" t="s">
        <v>7</v>
      </c>
    </row>
    <row r="1995" spans="1:3" x14ac:dyDescent="0.35">
      <c r="A1995" t="s">
        <v>2729</v>
      </c>
      <c r="B1995" t="s">
        <v>2730</v>
      </c>
      <c r="C1995" t="s">
        <v>5</v>
      </c>
    </row>
    <row r="1996" spans="1:3" x14ac:dyDescent="0.35">
      <c r="A1996" t="s">
        <v>2731</v>
      </c>
      <c r="B1996" t="s">
        <v>2732</v>
      </c>
      <c r="C1996" t="s">
        <v>5</v>
      </c>
    </row>
    <row r="1997" spans="1:3" x14ac:dyDescent="0.35">
      <c r="A1997" t="s">
        <v>2733</v>
      </c>
      <c r="B1997" t="s">
        <v>2734</v>
      </c>
      <c r="C1997" t="s">
        <v>5</v>
      </c>
    </row>
    <row r="1998" spans="1:3" x14ac:dyDescent="0.35">
      <c r="A1998" t="s">
        <v>2735</v>
      </c>
      <c r="B1998" t="s">
        <v>2736</v>
      </c>
      <c r="C1998" t="s">
        <v>5</v>
      </c>
    </row>
    <row r="1999" spans="1:3" x14ac:dyDescent="0.35">
      <c r="A1999" t="s">
        <v>2737</v>
      </c>
      <c r="B1999">
        <v>111010003</v>
      </c>
      <c r="C1999" t="s">
        <v>7</v>
      </c>
    </row>
    <row r="2000" spans="1:3" x14ac:dyDescent="0.35">
      <c r="A2000" t="s">
        <v>2738</v>
      </c>
      <c r="B2000">
        <v>320140010</v>
      </c>
      <c r="C2000" t="s">
        <v>7</v>
      </c>
    </row>
    <row r="2001" spans="1:3" x14ac:dyDescent="0.35">
      <c r="A2001" t="s">
        <v>2739</v>
      </c>
      <c r="B2001" t="s">
        <v>2740</v>
      </c>
      <c r="C2001" t="s">
        <v>5</v>
      </c>
    </row>
    <row r="2002" spans="1:3" x14ac:dyDescent="0.35">
      <c r="A2002" t="s">
        <v>2741</v>
      </c>
      <c r="B2002" t="s">
        <v>2742</v>
      </c>
      <c r="C2002" t="s">
        <v>5</v>
      </c>
    </row>
    <row r="2003" spans="1:3" x14ac:dyDescent="0.35">
      <c r="A2003" t="s">
        <v>2743</v>
      </c>
      <c r="B2003">
        <v>604010005</v>
      </c>
      <c r="C2003" t="s">
        <v>7</v>
      </c>
    </row>
    <row r="2004" spans="1:3" x14ac:dyDescent="0.35">
      <c r="A2004" t="s">
        <v>2744</v>
      </c>
      <c r="B2004" t="s">
        <v>2745</v>
      </c>
      <c r="C2004" t="s">
        <v>5</v>
      </c>
    </row>
    <row r="2005" spans="1:3" x14ac:dyDescent="0.35">
      <c r="A2005" t="s">
        <v>2746</v>
      </c>
      <c r="B2005" t="s">
        <v>2747</v>
      </c>
      <c r="C2005" t="s">
        <v>32</v>
      </c>
    </row>
    <row r="2006" spans="1:3" x14ac:dyDescent="0.35">
      <c r="A2006" t="s">
        <v>2748</v>
      </c>
      <c r="B2006" t="s">
        <v>2749</v>
      </c>
      <c r="C2006" t="s">
        <v>5</v>
      </c>
    </row>
    <row r="2007" spans="1:3" x14ac:dyDescent="0.35">
      <c r="A2007" t="s">
        <v>2750</v>
      </c>
      <c r="B2007">
        <v>316140004</v>
      </c>
      <c r="C2007" t="s">
        <v>7</v>
      </c>
    </row>
    <row r="2008" spans="1:3" x14ac:dyDescent="0.35">
      <c r="A2008" t="s">
        <v>2750</v>
      </c>
      <c r="B2008">
        <v>607150011</v>
      </c>
      <c r="C2008" t="s">
        <v>7</v>
      </c>
    </row>
    <row r="2009" spans="1:3" x14ac:dyDescent="0.35">
      <c r="A2009" t="s">
        <v>2750</v>
      </c>
      <c r="B2009" t="s">
        <v>2751</v>
      </c>
      <c r="C2009" t="s">
        <v>5</v>
      </c>
    </row>
    <row r="2010" spans="1:3" x14ac:dyDescent="0.35">
      <c r="A2010" t="s">
        <v>2752</v>
      </c>
      <c r="B2010" t="s">
        <v>2753</v>
      </c>
      <c r="C2010" t="s">
        <v>5</v>
      </c>
    </row>
    <row r="2011" spans="1:3" x14ac:dyDescent="0.35">
      <c r="A2011" t="s">
        <v>2754</v>
      </c>
      <c r="B2011" t="s">
        <v>2755</v>
      </c>
      <c r="C2011" t="s">
        <v>5</v>
      </c>
    </row>
    <row r="2012" spans="1:3" x14ac:dyDescent="0.35">
      <c r="A2012" t="s">
        <v>2756</v>
      </c>
      <c r="B2012" t="s">
        <v>2757</v>
      </c>
      <c r="C2012" t="s">
        <v>5</v>
      </c>
    </row>
    <row r="2013" spans="1:3" x14ac:dyDescent="0.35">
      <c r="A2013" t="s">
        <v>2758</v>
      </c>
      <c r="B2013" t="s">
        <v>2759</v>
      </c>
      <c r="C2013" t="s">
        <v>5</v>
      </c>
    </row>
    <row r="2014" spans="1:3" x14ac:dyDescent="0.35">
      <c r="A2014" t="s">
        <v>2760</v>
      </c>
      <c r="B2014">
        <v>614150013</v>
      </c>
      <c r="C2014" t="s">
        <v>7</v>
      </c>
    </row>
    <row r="2015" spans="1:3" x14ac:dyDescent="0.35">
      <c r="A2015" t="s">
        <v>2760</v>
      </c>
      <c r="B2015" t="s">
        <v>2761</v>
      </c>
      <c r="C2015" t="s">
        <v>5</v>
      </c>
    </row>
    <row r="2016" spans="1:3" x14ac:dyDescent="0.35">
      <c r="A2016" t="s">
        <v>2762</v>
      </c>
      <c r="B2016" t="s">
        <v>2763</v>
      </c>
      <c r="C2016" t="s">
        <v>5</v>
      </c>
    </row>
    <row r="2017" spans="1:3" x14ac:dyDescent="0.35">
      <c r="A2017" t="s">
        <v>2764</v>
      </c>
      <c r="B2017">
        <v>604030006</v>
      </c>
      <c r="C2017" t="s">
        <v>7</v>
      </c>
    </row>
    <row r="2018" spans="1:3" x14ac:dyDescent="0.35">
      <c r="A2018" t="s">
        <v>2765</v>
      </c>
      <c r="B2018">
        <v>605030025</v>
      </c>
      <c r="C2018" t="s">
        <v>7</v>
      </c>
    </row>
    <row r="2019" spans="1:3" x14ac:dyDescent="0.35">
      <c r="A2019" t="s">
        <v>2766</v>
      </c>
      <c r="B2019" t="s">
        <v>2767</v>
      </c>
      <c r="C2019" t="s">
        <v>32</v>
      </c>
    </row>
    <row r="2020" spans="1:3" x14ac:dyDescent="0.35">
      <c r="A2020" t="s">
        <v>2768</v>
      </c>
      <c r="B2020" t="s">
        <v>2769</v>
      </c>
      <c r="C2020" t="s">
        <v>50</v>
      </c>
    </row>
    <row r="2021" spans="1:3" x14ac:dyDescent="0.35">
      <c r="A2021" t="s">
        <v>2770</v>
      </c>
      <c r="B2021" t="s">
        <v>2771</v>
      </c>
      <c r="C2021" t="s">
        <v>32</v>
      </c>
    </row>
    <row r="2022" spans="1:3" x14ac:dyDescent="0.35">
      <c r="A2022" t="s">
        <v>2772</v>
      </c>
      <c r="B2022">
        <v>317100014</v>
      </c>
      <c r="C2022" t="s">
        <v>7</v>
      </c>
    </row>
    <row r="2023" spans="1:3" x14ac:dyDescent="0.35">
      <c r="A2023" t="s">
        <v>2773</v>
      </c>
      <c r="B2023" t="s">
        <v>2774</v>
      </c>
      <c r="C2023" t="s">
        <v>5</v>
      </c>
    </row>
    <row r="2024" spans="1:3" x14ac:dyDescent="0.35">
      <c r="A2024" t="s">
        <v>2773</v>
      </c>
      <c r="B2024" t="s">
        <v>2775</v>
      </c>
      <c r="C2024" t="s">
        <v>32</v>
      </c>
    </row>
    <row r="2025" spans="1:3" x14ac:dyDescent="0.35">
      <c r="A2025" t="s">
        <v>2776</v>
      </c>
      <c r="B2025" t="s">
        <v>2777</v>
      </c>
      <c r="C2025" t="s">
        <v>5</v>
      </c>
    </row>
    <row r="2026" spans="1:3" x14ac:dyDescent="0.35">
      <c r="A2026" t="s">
        <v>2778</v>
      </c>
      <c r="B2026" t="s">
        <v>2779</v>
      </c>
      <c r="C2026" t="s">
        <v>5</v>
      </c>
    </row>
    <row r="2027" spans="1:3" x14ac:dyDescent="0.35">
      <c r="A2027" t="s">
        <v>2780</v>
      </c>
      <c r="B2027" t="s">
        <v>2781</v>
      </c>
      <c r="C2027" t="s">
        <v>5</v>
      </c>
    </row>
    <row r="2028" spans="1:3" x14ac:dyDescent="0.35">
      <c r="A2028" t="s">
        <v>2782</v>
      </c>
      <c r="B2028">
        <v>601010014</v>
      </c>
      <c r="C2028" t="s">
        <v>7</v>
      </c>
    </row>
    <row r="2029" spans="1:3" x14ac:dyDescent="0.35">
      <c r="A2029" t="s">
        <v>2783</v>
      </c>
      <c r="B2029">
        <v>316060010</v>
      </c>
      <c r="C2029" t="s">
        <v>7</v>
      </c>
    </row>
    <row r="2030" spans="1:3" x14ac:dyDescent="0.35">
      <c r="A2030" t="s">
        <v>2783</v>
      </c>
      <c r="B2030">
        <v>320280005</v>
      </c>
      <c r="C2030" t="s">
        <v>7</v>
      </c>
    </row>
    <row r="2031" spans="1:3" x14ac:dyDescent="0.35">
      <c r="A2031" t="s">
        <v>2783</v>
      </c>
      <c r="B2031" t="s">
        <v>2784</v>
      </c>
      <c r="C2031" t="s">
        <v>50</v>
      </c>
    </row>
    <row r="2032" spans="1:3" x14ac:dyDescent="0.35">
      <c r="A2032" t="s">
        <v>2783</v>
      </c>
      <c r="B2032" t="s">
        <v>2785</v>
      </c>
      <c r="C2032" t="s">
        <v>32</v>
      </c>
    </row>
    <row r="2033" spans="1:3" x14ac:dyDescent="0.35">
      <c r="A2033" t="s">
        <v>2786</v>
      </c>
      <c r="B2033" t="s">
        <v>2787</v>
      </c>
      <c r="C2033" t="s">
        <v>5</v>
      </c>
    </row>
    <row r="2034" spans="1:3" x14ac:dyDescent="0.35">
      <c r="A2034" t="s">
        <v>2788</v>
      </c>
      <c r="B2034" t="s">
        <v>2789</v>
      </c>
      <c r="C2034" t="s">
        <v>5</v>
      </c>
    </row>
    <row r="2035" spans="1:3" x14ac:dyDescent="0.35">
      <c r="A2035" t="s">
        <v>2790</v>
      </c>
      <c r="B2035" t="s">
        <v>2791</v>
      </c>
      <c r="C2035" t="s">
        <v>5</v>
      </c>
    </row>
    <row r="2036" spans="1:3" x14ac:dyDescent="0.35">
      <c r="A2036" t="s">
        <v>2792</v>
      </c>
      <c r="B2036" t="s">
        <v>2793</v>
      </c>
      <c r="C2036" t="s">
        <v>32</v>
      </c>
    </row>
    <row r="2037" spans="1:3" x14ac:dyDescent="0.35">
      <c r="A2037" t="s">
        <v>2794</v>
      </c>
      <c r="B2037">
        <v>612070006</v>
      </c>
      <c r="C2037" t="s">
        <v>7</v>
      </c>
    </row>
    <row r="2038" spans="1:3" x14ac:dyDescent="0.35">
      <c r="A2038" t="s">
        <v>2795</v>
      </c>
      <c r="B2038" t="s">
        <v>2796</v>
      </c>
      <c r="C2038" t="s">
        <v>50</v>
      </c>
    </row>
    <row r="2039" spans="1:3" x14ac:dyDescent="0.35">
      <c r="A2039" t="s">
        <v>2795</v>
      </c>
      <c r="B2039" t="s">
        <v>2797</v>
      </c>
      <c r="C2039" t="s">
        <v>32</v>
      </c>
    </row>
    <row r="2040" spans="1:3" x14ac:dyDescent="0.35">
      <c r="A2040" t="s">
        <v>2798</v>
      </c>
      <c r="B2040" t="s">
        <v>2799</v>
      </c>
      <c r="C2040" t="s">
        <v>5</v>
      </c>
    </row>
    <row r="2041" spans="1:3" x14ac:dyDescent="0.35">
      <c r="A2041" t="s">
        <v>2800</v>
      </c>
      <c r="B2041" t="s">
        <v>2801</v>
      </c>
      <c r="C2041" t="s">
        <v>5</v>
      </c>
    </row>
    <row r="2042" spans="1:3" x14ac:dyDescent="0.35">
      <c r="A2042" t="s">
        <v>2802</v>
      </c>
      <c r="B2042" t="s">
        <v>2803</v>
      </c>
      <c r="C2042" t="s">
        <v>5</v>
      </c>
    </row>
    <row r="2043" spans="1:3" x14ac:dyDescent="0.35">
      <c r="A2043" t="s">
        <v>2804</v>
      </c>
      <c r="B2043" t="s">
        <v>2805</v>
      </c>
      <c r="C2043" t="s">
        <v>5</v>
      </c>
    </row>
    <row r="2044" spans="1:3" x14ac:dyDescent="0.35">
      <c r="A2044" t="s">
        <v>2806</v>
      </c>
      <c r="B2044" t="s">
        <v>2807</v>
      </c>
      <c r="C2044" t="s">
        <v>5</v>
      </c>
    </row>
    <row r="2045" spans="1:3" x14ac:dyDescent="0.35">
      <c r="A2045" t="s">
        <v>2808</v>
      </c>
      <c r="B2045" t="s">
        <v>2809</v>
      </c>
      <c r="C2045" t="s">
        <v>5</v>
      </c>
    </row>
    <row r="2046" spans="1:3" x14ac:dyDescent="0.35">
      <c r="A2046" t="s">
        <v>2810</v>
      </c>
      <c r="B2046">
        <v>320050008</v>
      </c>
      <c r="C2046" t="s">
        <v>7</v>
      </c>
    </row>
    <row r="2047" spans="1:3" x14ac:dyDescent="0.35">
      <c r="A2047" t="s">
        <v>2811</v>
      </c>
      <c r="B2047" t="s">
        <v>2812</v>
      </c>
      <c r="C2047" t="s">
        <v>5</v>
      </c>
    </row>
    <row r="2048" spans="1:3" x14ac:dyDescent="0.35">
      <c r="A2048" t="s">
        <v>2813</v>
      </c>
      <c r="B2048">
        <v>609010019</v>
      </c>
      <c r="C2048" t="s">
        <v>7</v>
      </c>
    </row>
    <row r="2049" spans="1:3" x14ac:dyDescent="0.35">
      <c r="A2049" t="s">
        <v>2814</v>
      </c>
      <c r="B2049">
        <v>609010034</v>
      </c>
      <c r="C2049" t="s">
        <v>7</v>
      </c>
    </row>
    <row r="2050" spans="1:3" x14ac:dyDescent="0.35">
      <c r="A2050" t="s">
        <v>2815</v>
      </c>
      <c r="B2050" t="s">
        <v>2816</v>
      </c>
      <c r="C2050" t="s">
        <v>5</v>
      </c>
    </row>
    <row r="2051" spans="1:3" x14ac:dyDescent="0.35">
      <c r="A2051" t="s">
        <v>2817</v>
      </c>
      <c r="B2051">
        <v>609050003</v>
      </c>
      <c r="C2051" t="s">
        <v>7</v>
      </c>
    </row>
    <row r="2052" spans="1:3" x14ac:dyDescent="0.35">
      <c r="A2052" t="s">
        <v>2818</v>
      </c>
      <c r="B2052">
        <v>309050002</v>
      </c>
      <c r="C2052" t="s">
        <v>7</v>
      </c>
    </row>
    <row r="2053" spans="1:3" x14ac:dyDescent="0.35">
      <c r="A2053" t="s">
        <v>2819</v>
      </c>
      <c r="B2053" t="s">
        <v>2820</v>
      </c>
      <c r="C2053" t="s">
        <v>5</v>
      </c>
    </row>
    <row r="2054" spans="1:3" x14ac:dyDescent="0.35">
      <c r="A2054" t="s">
        <v>2821</v>
      </c>
      <c r="B2054" t="s">
        <v>2822</v>
      </c>
      <c r="C2054" t="s">
        <v>5</v>
      </c>
    </row>
    <row r="2055" spans="1:3" x14ac:dyDescent="0.35">
      <c r="A2055" t="s">
        <v>2823</v>
      </c>
      <c r="B2055">
        <v>306160005</v>
      </c>
      <c r="C2055" t="s">
        <v>7</v>
      </c>
    </row>
    <row r="2056" spans="1:3" x14ac:dyDescent="0.35">
      <c r="A2056" t="s">
        <v>2824</v>
      </c>
      <c r="B2056">
        <v>621030014</v>
      </c>
      <c r="C2056" t="s">
        <v>7</v>
      </c>
    </row>
    <row r="2057" spans="1:3" x14ac:dyDescent="0.35">
      <c r="A2057" t="s">
        <v>2825</v>
      </c>
      <c r="B2057" t="s">
        <v>2826</v>
      </c>
      <c r="C2057" t="s">
        <v>50</v>
      </c>
    </row>
    <row r="2058" spans="1:3" x14ac:dyDescent="0.35">
      <c r="A2058" t="s">
        <v>2827</v>
      </c>
      <c r="B2058">
        <v>618060003</v>
      </c>
      <c r="C2058" t="s">
        <v>7</v>
      </c>
    </row>
    <row r="2059" spans="1:3" x14ac:dyDescent="0.35">
      <c r="A2059" t="s">
        <v>2828</v>
      </c>
      <c r="B2059">
        <v>317230018</v>
      </c>
      <c r="C2059" t="s">
        <v>7</v>
      </c>
    </row>
    <row r="2060" spans="1:3" x14ac:dyDescent="0.35">
      <c r="A2060" t="s">
        <v>2829</v>
      </c>
      <c r="B2060">
        <v>605100036</v>
      </c>
      <c r="C2060" t="s">
        <v>7</v>
      </c>
    </row>
    <row r="2061" spans="1:3" x14ac:dyDescent="0.35">
      <c r="A2061" t="s">
        <v>2829</v>
      </c>
      <c r="B2061" t="s">
        <v>2830</v>
      </c>
      <c r="C2061" t="s">
        <v>32</v>
      </c>
    </row>
    <row r="2062" spans="1:3" x14ac:dyDescent="0.35">
      <c r="A2062" t="s">
        <v>2831</v>
      </c>
      <c r="B2062" t="s">
        <v>2832</v>
      </c>
      <c r="C2062" t="s">
        <v>5</v>
      </c>
    </row>
    <row r="2063" spans="1:3" x14ac:dyDescent="0.35">
      <c r="A2063" t="s">
        <v>2833</v>
      </c>
      <c r="B2063" t="s">
        <v>2834</v>
      </c>
      <c r="C2063" t="s">
        <v>5</v>
      </c>
    </row>
    <row r="2064" spans="1:3" x14ac:dyDescent="0.35">
      <c r="A2064" t="s">
        <v>2835</v>
      </c>
      <c r="B2064">
        <v>605100022</v>
      </c>
      <c r="C2064" t="s">
        <v>7</v>
      </c>
    </row>
    <row r="2065" spans="1:3" x14ac:dyDescent="0.35">
      <c r="A2065" t="s">
        <v>2835</v>
      </c>
      <c r="B2065" t="s">
        <v>2836</v>
      </c>
      <c r="C2065" t="s">
        <v>32</v>
      </c>
    </row>
    <row r="2066" spans="1:3" x14ac:dyDescent="0.35">
      <c r="A2066" t="s">
        <v>2835</v>
      </c>
      <c r="B2066" t="s">
        <v>2837</v>
      </c>
      <c r="C2066" t="s">
        <v>5</v>
      </c>
    </row>
    <row r="2067" spans="1:3" x14ac:dyDescent="0.35">
      <c r="A2067" t="s">
        <v>2838</v>
      </c>
      <c r="B2067">
        <v>607180002</v>
      </c>
      <c r="C2067" t="s">
        <v>7</v>
      </c>
    </row>
    <row r="2068" spans="1:3" x14ac:dyDescent="0.35">
      <c r="A2068" t="s">
        <v>2839</v>
      </c>
      <c r="B2068">
        <v>607120014</v>
      </c>
      <c r="C2068" t="s">
        <v>7</v>
      </c>
    </row>
    <row r="2069" spans="1:3" x14ac:dyDescent="0.35">
      <c r="A2069" t="s">
        <v>2839</v>
      </c>
      <c r="B2069" t="s">
        <v>2840</v>
      </c>
      <c r="C2069" t="s">
        <v>5</v>
      </c>
    </row>
    <row r="2070" spans="1:3" x14ac:dyDescent="0.35">
      <c r="A2070" t="s">
        <v>2841</v>
      </c>
      <c r="B2070" t="s">
        <v>2842</v>
      </c>
      <c r="C2070" t="s">
        <v>5</v>
      </c>
    </row>
    <row r="2071" spans="1:3" x14ac:dyDescent="0.35">
      <c r="A2071" t="s">
        <v>2843</v>
      </c>
      <c r="B2071" t="s">
        <v>2844</v>
      </c>
      <c r="C2071" t="s">
        <v>5</v>
      </c>
    </row>
    <row r="2072" spans="1:3" x14ac:dyDescent="0.35">
      <c r="A2072" t="s">
        <v>2845</v>
      </c>
      <c r="B2072" t="s">
        <v>2846</v>
      </c>
      <c r="C2072" t="s">
        <v>5</v>
      </c>
    </row>
    <row r="2073" spans="1:3" x14ac:dyDescent="0.35">
      <c r="A2073" t="s">
        <v>2847</v>
      </c>
      <c r="B2073">
        <v>614150025</v>
      </c>
      <c r="C2073" t="s">
        <v>7</v>
      </c>
    </row>
    <row r="2074" spans="1:3" x14ac:dyDescent="0.35">
      <c r="A2074" t="s">
        <v>2848</v>
      </c>
      <c r="B2074">
        <v>603160003</v>
      </c>
      <c r="C2074" t="s">
        <v>7</v>
      </c>
    </row>
    <row r="2075" spans="1:3" x14ac:dyDescent="0.35">
      <c r="A2075" t="s">
        <v>2849</v>
      </c>
      <c r="B2075">
        <v>117080012</v>
      </c>
      <c r="C2075" t="s">
        <v>7</v>
      </c>
    </row>
    <row r="2076" spans="1:3" x14ac:dyDescent="0.35">
      <c r="A2076" t="s">
        <v>2850</v>
      </c>
      <c r="B2076" t="s">
        <v>2851</v>
      </c>
      <c r="C2076" t="s">
        <v>5</v>
      </c>
    </row>
    <row r="2077" spans="1:3" x14ac:dyDescent="0.35">
      <c r="A2077" t="s">
        <v>2852</v>
      </c>
      <c r="B2077" t="s">
        <v>2853</v>
      </c>
      <c r="C2077" t="s">
        <v>5</v>
      </c>
    </row>
    <row r="2078" spans="1:3" x14ac:dyDescent="0.35">
      <c r="A2078" t="s">
        <v>2854</v>
      </c>
      <c r="B2078" t="s">
        <v>2855</v>
      </c>
      <c r="C2078" t="s">
        <v>50</v>
      </c>
    </row>
    <row r="2079" spans="1:3" x14ac:dyDescent="0.35">
      <c r="A2079" t="s">
        <v>2856</v>
      </c>
      <c r="B2079" t="s">
        <v>2857</v>
      </c>
      <c r="C2079" t="s">
        <v>5</v>
      </c>
    </row>
    <row r="2080" spans="1:3" x14ac:dyDescent="0.35">
      <c r="A2080" t="s">
        <v>2858</v>
      </c>
      <c r="B2080" t="s">
        <v>2859</v>
      </c>
      <c r="C2080" t="s">
        <v>5</v>
      </c>
    </row>
    <row r="2081" spans="1:3" x14ac:dyDescent="0.35">
      <c r="A2081" t="s">
        <v>2860</v>
      </c>
      <c r="B2081" t="s">
        <v>2861</v>
      </c>
      <c r="C2081" t="s">
        <v>5</v>
      </c>
    </row>
    <row r="2082" spans="1:3" x14ac:dyDescent="0.35">
      <c r="A2082" t="s">
        <v>2862</v>
      </c>
      <c r="B2082">
        <v>604100027</v>
      </c>
      <c r="C2082" t="s">
        <v>7</v>
      </c>
    </row>
    <row r="2083" spans="1:3" x14ac:dyDescent="0.35">
      <c r="A2083" t="s">
        <v>2862</v>
      </c>
      <c r="B2083" t="s">
        <v>2863</v>
      </c>
      <c r="C2083" t="s">
        <v>32</v>
      </c>
    </row>
    <row r="2084" spans="1:3" x14ac:dyDescent="0.35">
      <c r="A2084" t="s">
        <v>2862</v>
      </c>
      <c r="B2084" t="s">
        <v>2864</v>
      </c>
      <c r="C2084" t="s">
        <v>50</v>
      </c>
    </row>
    <row r="2085" spans="1:3" x14ac:dyDescent="0.35">
      <c r="A2085" t="s">
        <v>2865</v>
      </c>
      <c r="B2085" t="s">
        <v>2866</v>
      </c>
      <c r="C2085" t="s">
        <v>5</v>
      </c>
    </row>
    <row r="2086" spans="1:3" x14ac:dyDescent="0.35">
      <c r="A2086" t="s">
        <v>2867</v>
      </c>
      <c r="B2086" t="s">
        <v>2868</v>
      </c>
      <c r="C2086" t="s">
        <v>50</v>
      </c>
    </row>
    <row r="2087" spans="1:3" x14ac:dyDescent="0.35">
      <c r="A2087" t="s">
        <v>2869</v>
      </c>
      <c r="B2087" t="s">
        <v>2870</v>
      </c>
      <c r="C2087" t="s">
        <v>32</v>
      </c>
    </row>
    <row r="2088" spans="1:3" x14ac:dyDescent="0.35">
      <c r="A2088" t="s">
        <v>2871</v>
      </c>
      <c r="B2088" t="s">
        <v>2872</v>
      </c>
      <c r="C2088" t="s">
        <v>5</v>
      </c>
    </row>
    <row r="2089" spans="1:3" x14ac:dyDescent="0.35">
      <c r="A2089" t="s">
        <v>2873</v>
      </c>
      <c r="B2089" t="s">
        <v>2874</v>
      </c>
      <c r="C2089" t="s">
        <v>5</v>
      </c>
    </row>
    <row r="2090" spans="1:3" x14ac:dyDescent="0.35">
      <c r="A2090" t="s">
        <v>2875</v>
      </c>
      <c r="B2090" t="s">
        <v>2876</v>
      </c>
      <c r="C2090" t="s">
        <v>5</v>
      </c>
    </row>
    <row r="2091" spans="1:3" x14ac:dyDescent="0.35">
      <c r="A2091" t="s">
        <v>2877</v>
      </c>
      <c r="B2091">
        <v>618040010</v>
      </c>
      <c r="C2091" t="s">
        <v>7</v>
      </c>
    </row>
    <row r="2092" spans="1:3" x14ac:dyDescent="0.35">
      <c r="A2092" t="s">
        <v>2878</v>
      </c>
      <c r="B2092" t="s">
        <v>2879</v>
      </c>
      <c r="C2092" t="s">
        <v>32</v>
      </c>
    </row>
    <row r="2093" spans="1:3" x14ac:dyDescent="0.35">
      <c r="A2093" t="s">
        <v>2878</v>
      </c>
      <c r="B2093" t="s">
        <v>2880</v>
      </c>
      <c r="C2093" t="s">
        <v>5</v>
      </c>
    </row>
    <row r="2094" spans="1:3" x14ac:dyDescent="0.35">
      <c r="A2094" t="s">
        <v>2881</v>
      </c>
      <c r="B2094">
        <v>612060015</v>
      </c>
      <c r="C2094" t="s">
        <v>7</v>
      </c>
    </row>
    <row r="2095" spans="1:3" x14ac:dyDescent="0.35">
      <c r="A2095" t="s">
        <v>2882</v>
      </c>
      <c r="B2095">
        <v>614180002</v>
      </c>
      <c r="C2095" t="s">
        <v>7</v>
      </c>
    </row>
    <row r="2096" spans="1:3" x14ac:dyDescent="0.35">
      <c r="A2096" t="s">
        <v>2883</v>
      </c>
      <c r="B2096" t="s">
        <v>2884</v>
      </c>
      <c r="C2096" t="s">
        <v>5</v>
      </c>
    </row>
    <row r="2097" spans="1:3" x14ac:dyDescent="0.35">
      <c r="A2097" t="s">
        <v>2885</v>
      </c>
      <c r="B2097" t="s">
        <v>2886</v>
      </c>
      <c r="C2097" t="s">
        <v>5</v>
      </c>
    </row>
    <row r="2098" spans="1:3" x14ac:dyDescent="0.35">
      <c r="A2098" t="s">
        <v>2887</v>
      </c>
      <c r="B2098" t="s">
        <v>2888</v>
      </c>
      <c r="C2098" t="s">
        <v>50</v>
      </c>
    </row>
    <row r="2099" spans="1:3" x14ac:dyDescent="0.35">
      <c r="A2099" t="s">
        <v>2889</v>
      </c>
      <c r="B2099">
        <v>111050018</v>
      </c>
      <c r="C2099" t="s">
        <v>7</v>
      </c>
    </row>
    <row r="2100" spans="1:3" x14ac:dyDescent="0.35">
      <c r="A2100" t="s">
        <v>2889</v>
      </c>
      <c r="B2100" t="s">
        <v>2890</v>
      </c>
      <c r="C2100" t="s">
        <v>5</v>
      </c>
    </row>
    <row r="2101" spans="1:3" x14ac:dyDescent="0.35">
      <c r="A2101" t="s">
        <v>2891</v>
      </c>
      <c r="B2101">
        <v>614190004</v>
      </c>
      <c r="C2101" t="s">
        <v>7</v>
      </c>
    </row>
    <row r="2102" spans="1:3" x14ac:dyDescent="0.35">
      <c r="A2102" t="s">
        <v>2892</v>
      </c>
      <c r="B2102" t="s">
        <v>2893</v>
      </c>
      <c r="C2102" t="s">
        <v>50</v>
      </c>
    </row>
    <row r="2103" spans="1:3" x14ac:dyDescent="0.35">
      <c r="A2103" t="s">
        <v>2894</v>
      </c>
      <c r="B2103" t="s">
        <v>2895</v>
      </c>
      <c r="C2103" t="s">
        <v>5</v>
      </c>
    </row>
    <row r="2104" spans="1:3" x14ac:dyDescent="0.35">
      <c r="A2104" t="s">
        <v>2896</v>
      </c>
      <c r="B2104" t="s">
        <v>2897</v>
      </c>
      <c r="C2104" t="s">
        <v>5</v>
      </c>
    </row>
    <row r="2105" spans="1:3" x14ac:dyDescent="0.35">
      <c r="A2105" t="s">
        <v>2898</v>
      </c>
      <c r="B2105" t="s">
        <v>2899</v>
      </c>
      <c r="C2105" t="s">
        <v>5</v>
      </c>
    </row>
    <row r="2106" spans="1:3" x14ac:dyDescent="0.35">
      <c r="A2106" t="s">
        <v>2900</v>
      </c>
      <c r="B2106" t="s">
        <v>2901</v>
      </c>
      <c r="C2106" t="s">
        <v>5</v>
      </c>
    </row>
    <row r="2107" spans="1:3" x14ac:dyDescent="0.35">
      <c r="A2107" t="s">
        <v>2902</v>
      </c>
      <c r="B2107">
        <v>614030004</v>
      </c>
      <c r="C2107" t="s">
        <v>7</v>
      </c>
    </row>
    <row r="2108" spans="1:3" x14ac:dyDescent="0.35">
      <c r="A2108" t="s">
        <v>2903</v>
      </c>
      <c r="B2108" t="s">
        <v>2904</v>
      </c>
      <c r="C2108" t="s">
        <v>5</v>
      </c>
    </row>
    <row r="2109" spans="1:3" x14ac:dyDescent="0.35">
      <c r="A2109" t="s">
        <v>2905</v>
      </c>
      <c r="B2109">
        <v>614020023</v>
      </c>
      <c r="C2109" t="s">
        <v>7</v>
      </c>
    </row>
    <row r="2110" spans="1:3" x14ac:dyDescent="0.35">
      <c r="A2110" t="s">
        <v>2906</v>
      </c>
      <c r="B2110">
        <v>603110010</v>
      </c>
      <c r="C2110" t="s">
        <v>7</v>
      </c>
    </row>
    <row r="2111" spans="1:3" x14ac:dyDescent="0.35">
      <c r="A2111" t="s">
        <v>2906</v>
      </c>
      <c r="B2111" t="s">
        <v>2907</v>
      </c>
      <c r="C2111" t="s">
        <v>5</v>
      </c>
    </row>
    <row r="2112" spans="1:3" x14ac:dyDescent="0.35">
      <c r="A2112" t="s">
        <v>2908</v>
      </c>
      <c r="B2112" t="s">
        <v>2909</v>
      </c>
      <c r="C2112" t="s">
        <v>50</v>
      </c>
    </row>
    <row r="2113" spans="1:3" x14ac:dyDescent="0.35">
      <c r="A2113" t="s">
        <v>2910</v>
      </c>
      <c r="B2113" t="s">
        <v>2911</v>
      </c>
      <c r="C2113" t="s">
        <v>5</v>
      </c>
    </row>
    <row r="2114" spans="1:3" x14ac:dyDescent="0.35">
      <c r="A2114" t="s">
        <v>2912</v>
      </c>
      <c r="B2114" t="s">
        <v>2913</v>
      </c>
      <c r="C2114" t="s">
        <v>32</v>
      </c>
    </row>
    <row r="2115" spans="1:3" x14ac:dyDescent="0.35">
      <c r="A2115" t="s">
        <v>2914</v>
      </c>
      <c r="B2115">
        <v>605140009</v>
      </c>
      <c r="C2115" t="s">
        <v>7</v>
      </c>
    </row>
    <row r="2116" spans="1:3" x14ac:dyDescent="0.35">
      <c r="A2116" t="s">
        <v>2914</v>
      </c>
      <c r="B2116" t="s">
        <v>2915</v>
      </c>
      <c r="C2116" t="s">
        <v>5</v>
      </c>
    </row>
    <row r="2117" spans="1:3" x14ac:dyDescent="0.35">
      <c r="A2117" t="s">
        <v>2916</v>
      </c>
      <c r="B2117">
        <v>614070005</v>
      </c>
      <c r="C2117" t="s">
        <v>7</v>
      </c>
    </row>
    <row r="2118" spans="1:3" x14ac:dyDescent="0.35">
      <c r="A2118" t="s">
        <v>2917</v>
      </c>
      <c r="B2118" t="s">
        <v>2918</v>
      </c>
      <c r="C2118" t="s">
        <v>50</v>
      </c>
    </row>
    <row r="2119" spans="1:3" x14ac:dyDescent="0.35">
      <c r="A2119" t="s">
        <v>2919</v>
      </c>
      <c r="B2119" t="s">
        <v>2920</v>
      </c>
      <c r="C2119" t="s">
        <v>5</v>
      </c>
    </row>
    <row r="2120" spans="1:3" x14ac:dyDescent="0.35">
      <c r="A2120" t="s">
        <v>2921</v>
      </c>
      <c r="B2120" t="s">
        <v>2922</v>
      </c>
      <c r="C2120" t="s">
        <v>5</v>
      </c>
    </row>
    <row r="2121" spans="1:3" x14ac:dyDescent="0.35">
      <c r="A2121" t="s">
        <v>2923</v>
      </c>
      <c r="B2121">
        <v>618020009</v>
      </c>
      <c r="C2121" t="s">
        <v>7</v>
      </c>
    </row>
    <row r="2122" spans="1:3" x14ac:dyDescent="0.35">
      <c r="A2122" t="s">
        <v>2924</v>
      </c>
      <c r="B2122">
        <v>609030007</v>
      </c>
      <c r="C2122" t="s">
        <v>7</v>
      </c>
    </row>
    <row r="2123" spans="1:3" x14ac:dyDescent="0.35">
      <c r="A2123" t="s">
        <v>2924</v>
      </c>
      <c r="B2123" t="s">
        <v>2925</v>
      </c>
      <c r="C2123" t="s">
        <v>5</v>
      </c>
    </row>
    <row r="2124" spans="1:3" x14ac:dyDescent="0.35">
      <c r="A2124" t="s">
        <v>2926</v>
      </c>
      <c r="B2124">
        <v>602120009</v>
      </c>
      <c r="C2124" t="s">
        <v>7</v>
      </c>
    </row>
    <row r="2125" spans="1:3" x14ac:dyDescent="0.35">
      <c r="A2125" t="s">
        <v>2927</v>
      </c>
      <c r="B2125">
        <v>602120010</v>
      </c>
      <c r="C2125" t="s">
        <v>7</v>
      </c>
    </row>
    <row r="2126" spans="1:3" x14ac:dyDescent="0.35">
      <c r="A2126" t="s">
        <v>2928</v>
      </c>
      <c r="B2126" t="s">
        <v>2929</v>
      </c>
      <c r="C2126" t="s">
        <v>5</v>
      </c>
    </row>
    <row r="2127" spans="1:3" x14ac:dyDescent="0.35">
      <c r="A2127" t="s">
        <v>2930</v>
      </c>
      <c r="B2127" t="s">
        <v>2931</v>
      </c>
      <c r="C2127" t="s">
        <v>5</v>
      </c>
    </row>
    <row r="2128" spans="1:3" x14ac:dyDescent="0.35">
      <c r="A2128" t="s">
        <v>2932</v>
      </c>
      <c r="B2128">
        <v>602110008</v>
      </c>
      <c r="C2128" t="s">
        <v>7</v>
      </c>
    </row>
    <row r="2129" spans="1:3" x14ac:dyDescent="0.35">
      <c r="A2129" t="s">
        <v>2933</v>
      </c>
      <c r="B2129" t="s">
        <v>2934</v>
      </c>
      <c r="C2129" t="s">
        <v>5</v>
      </c>
    </row>
    <row r="2130" spans="1:3" x14ac:dyDescent="0.35">
      <c r="A2130" t="s">
        <v>2935</v>
      </c>
      <c r="B2130" t="s">
        <v>2936</v>
      </c>
      <c r="C2130" t="s">
        <v>5</v>
      </c>
    </row>
    <row r="2131" spans="1:3" x14ac:dyDescent="0.35">
      <c r="A2131" t="s">
        <v>2937</v>
      </c>
      <c r="B2131">
        <v>604170017</v>
      </c>
      <c r="C2131" t="s">
        <v>7</v>
      </c>
    </row>
    <row r="2132" spans="1:3" x14ac:dyDescent="0.35">
      <c r="A2132" t="s">
        <v>2937</v>
      </c>
      <c r="B2132" t="s">
        <v>2938</v>
      </c>
      <c r="C2132" t="s">
        <v>5</v>
      </c>
    </row>
    <row r="2133" spans="1:3" x14ac:dyDescent="0.35">
      <c r="A2133" t="s">
        <v>2939</v>
      </c>
      <c r="B2133" t="s">
        <v>2940</v>
      </c>
      <c r="C2133" t="s">
        <v>5</v>
      </c>
    </row>
    <row r="2134" spans="1:3" x14ac:dyDescent="0.35">
      <c r="A2134" t="s">
        <v>2941</v>
      </c>
      <c r="B2134" t="s">
        <v>2942</v>
      </c>
      <c r="C2134" t="s">
        <v>5</v>
      </c>
    </row>
    <row r="2135" spans="1:3" x14ac:dyDescent="0.35">
      <c r="A2135" t="s">
        <v>2943</v>
      </c>
      <c r="B2135" t="s">
        <v>2944</v>
      </c>
      <c r="C2135" t="s">
        <v>5</v>
      </c>
    </row>
    <row r="2136" spans="1:3" x14ac:dyDescent="0.35">
      <c r="A2136" t="s">
        <v>2945</v>
      </c>
      <c r="B2136" t="s">
        <v>2946</v>
      </c>
      <c r="C2136" t="s">
        <v>5</v>
      </c>
    </row>
    <row r="2137" spans="1:3" x14ac:dyDescent="0.35">
      <c r="A2137" t="s">
        <v>2947</v>
      </c>
      <c r="B2137" t="s">
        <v>2948</v>
      </c>
      <c r="C2137" t="s">
        <v>5</v>
      </c>
    </row>
    <row r="2138" spans="1:3" x14ac:dyDescent="0.35">
      <c r="A2138" t="s">
        <v>2949</v>
      </c>
      <c r="B2138" t="s">
        <v>2950</v>
      </c>
      <c r="C2138" t="s">
        <v>32</v>
      </c>
    </row>
    <row r="2139" spans="1:3" x14ac:dyDescent="0.35">
      <c r="A2139" t="s">
        <v>2951</v>
      </c>
      <c r="B2139">
        <v>621010016</v>
      </c>
      <c r="C2139" t="s">
        <v>7</v>
      </c>
    </row>
    <row r="2140" spans="1:3" x14ac:dyDescent="0.35">
      <c r="A2140" t="s">
        <v>2952</v>
      </c>
      <c r="B2140" t="s">
        <v>2953</v>
      </c>
      <c r="C2140" t="s">
        <v>5</v>
      </c>
    </row>
    <row r="2141" spans="1:3" x14ac:dyDescent="0.35">
      <c r="A2141" t="s">
        <v>2954</v>
      </c>
      <c r="B2141">
        <v>603120012</v>
      </c>
      <c r="C2141" t="s">
        <v>7</v>
      </c>
    </row>
    <row r="2142" spans="1:3" x14ac:dyDescent="0.35">
      <c r="A2142" t="s">
        <v>2955</v>
      </c>
      <c r="B2142" t="s">
        <v>2956</v>
      </c>
      <c r="C2142" t="s">
        <v>5</v>
      </c>
    </row>
    <row r="2143" spans="1:3" x14ac:dyDescent="0.35">
      <c r="A2143" t="s">
        <v>2957</v>
      </c>
      <c r="B2143" t="s">
        <v>2958</v>
      </c>
      <c r="C2143" t="s">
        <v>5</v>
      </c>
    </row>
    <row r="2144" spans="1:3" x14ac:dyDescent="0.35">
      <c r="A2144" t="s">
        <v>2959</v>
      </c>
      <c r="B2144">
        <v>614050004</v>
      </c>
      <c r="C2144" t="s">
        <v>7</v>
      </c>
    </row>
    <row r="2145" spans="1:3" x14ac:dyDescent="0.35">
      <c r="A2145" t="s">
        <v>2960</v>
      </c>
      <c r="B2145" t="s">
        <v>2961</v>
      </c>
      <c r="C2145" t="s">
        <v>5</v>
      </c>
    </row>
    <row r="2146" spans="1:3" x14ac:dyDescent="0.35">
      <c r="A2146" t="s">
        <v>2962</v>
      </c>
      <c r="B2146">
        <v>604150006</v>
      </c>
      <c r="C2146" t="s">
        <v>7</v>
      </c>
    </row>
    <row r="2147" spans="1:3" x14ac:dyDescent="0.35">
      <c r="A2147" t="s">
        <v>2962</v>
      </c>
      <c r="B2147" t="s">
        <v>2963</v>
      </c>
      <c r="C2147" t="s">
        <v>5</v>
      </c>
    </row>
    <row r="2148" spans="1:3" x14ac:dyDescent="0.35">
      <c r="A2148" t="s">
        <v>2964</v>
      </c>
      <c r="B2148" t="s">
        <v>2965</v>
      </c>
      <c r="C2148" t="s">
        <v>5</v>
      </c>
    </row>
    <row r="2149" spans="1:3" x14ac:dyDescent="0.35">
      <c r="A2149" t="s">
        <v>2966</v>
      </c>
      <c r="B2149">
        <v>602010007</v>
      </c>
      <c r="C2149" t="s">
        <v>7</v>
      </c>
    </row>
    <row r="2150" spans="1:3" x14ac:dyDescent="0.35">
      <c r="A2150" t="s">
        <v>2967</v>
      </c>
      <c r="B2150" t="s">
        <v>2968</v>
      </c>
      <c r="C2150" t="s">
        <v>5</v>
      </c>
    </row>
    <row r="2151" spans="1:3" x14ac:dyDescent="0.35">
      <c r="A2151" t="s">
        <v>2969</v>
      </c>
      <c r="B2151" t="s">
        <v>2970</v>
      </c>
      <c r="C2151" t="s">
        <v>5</v>
      </c>
    </row>
    <row r="2152" spans="1:3" x14ac:dyDescent="0.35">
      <c r="A2152" t="s">
        <v>2971</v>
      </c>
      <c r="B2152" t="s">
        <v>2972</v>
      </c>
      <c r="C2152" t="s">
        <v>5</v>
      </c>
    </row>
    <row r="2153" spans="1:3" x14ac:dyDescent="0.35">
      <c r="A2153" t="s">
        <v>2973</v>
      </c>
      <c r="B2153">
        <v>612230005</v>
      </c>
      <c r="C2153" t="s">
        <v>7</v>
      </c>
    </row>
    <row r="2154" spans="1:3" x14ac:dyDescent="0.35">
      <c r="A2154" t="s">
        <v>2973</v>
      </c>
      <c r="B2154" t="s">
        <v>2974</v>
      </c>
      <c r="C2154" t="s">
        <v>5</v>
      </c>
    </row>
    <row r="2155" spans="1:3" x14ac:dyDescent="0.35">
      <c r="A2155" t="s">
        <v>2975</v>
      </c>
      <c r="B2155" t="s">
        <v>2976</v>
      </c>
      <c r="C2155" t="s">
        <v>32</v>
      </c>
    </row>
    <row r="2156" spans="1:3" x14ac:dyDescent="0.35">
      <c r="A2156" t="s">
        <v>2977</v>
      </c>
      <c r="B2156" t="s">
        <v>2978</v>
      </c>
      <c r="C2156" t="s">
        <v>5</v>
      </c>
    </row>
    <row r="2157" spans="1:3" x14ac:dyDescent="0.35">
      <c r="A2157" t="s">
        <v>2979</v>
      </c>
      <c r="B2157" t="s">
        <v>2980</v>
      </c>
      <c r="C2157" t="s">
        <v>32</v>
      </c>
    </row>
    <row r="2158" spans="1:3" x14ac:dyDescent="0.35">
      <c r="A2158" t="s">
        <v>2979</v>
      </c>
      <c r="B2158" t="s">
        <v>2981</v>
      </c>
      <c r="C2158" t="s">
        <v>5</v>
      </c>
    </row>
    <row r="2159" spans="1:3" x14ac:dyDescent="0.35">
      <c r="A2159" t="s">
        <v>2982</v>
      </c>
      <c r="B2159">
        <v>609060004</v>
      </c>
      <c r="C2159" t="s">
        <v>7</v>
      </c>
    </row>
    <row r="2160" spans="1:3" x14ac:dyDescent="0.35">
      <c r="A2160" t="s">
        <v>2983</v>
      </c>
      <c r="B2160">
        <v>609060002</v>
      </c>
      <c r="C2160" t="s">
        <v>7</v>
      </c>
    </row>
    <row r="2161" spans="1:3" x14ac:dyDescent="0.35">
      <c r="A2161" t="s">
        <v>2984</v>
      </c>
      <c r="B2161">
        <v>621070014</v>
      </c>
      <c r="C2161" t="s">
        <v>7</v>
      </c>
    </row>
    <row r="2162" spans="1:3" x14ac:dyDescent="0.35">
      <c r="A2162" t="s">
        <v>2985</v>
      </c>
      <c r="B2162" t="s">
        <v>2986</v>
      </c>
      <c r="C2162" t="s">
        <v>5</v>
      </c>
    </row>
    <row r="2163" spans="1:3" x14ac:dyDescent="0.35">
      <c r="A2163" t="s">
        <v>2987</v>
      </c>
      <c r="B2163" t="s">
        <v>2988</v>
      </c>
      <c r="C2163" t="s">
        <v>5</v>
      </c>
    </row>
    <row r="2164" spans="1:3" x14ac:dyDescent="0.35">
      <c r="A2164" t="s">
        <v>2989</v>
      </c>
      <c r="B2164" t="s">
        <v>2990</v>
      </c>
      <c r="C2164" t="s">
        <v>5</v>
      </c>
    </row>
    <row r="2165" spans="1:3" x14ac:dyDescent="0.35">
      <c r="A2165" t="s">
        <v>2989</v>
      </c>
      <c r="B2165" t="s">
        <v>2991</v>
      </c>
      <c r="C2165" t="s">
        <v>32</v>
      </c>
    </row>
    <row r="2166" spans="1:3" x14ac:dyDescent="0.35">
      <c r="A2166" t="s">
        <v>2992</v>
      </c>
      <c r="B2166" t="s">
        <v>2993</v>
      </c>
      <c r="C2166" t="s">
        <v>5</v>
      </c>
    </row>
    <row r="2167" spans="1:3" x14ac:dyDescent="0.35">
      <c r="A2167" t="s">
        <v>2994</v>
      </c>
      <c r="B2167">
        <v>317220004</v>
      </c>
      <c r="C2167" t="s">
        <v>7</v>
      </c>
    </row>
    <row r="2168" spans="1:3" x14ac:dyDescent="0.35">
      <c r="A2168" t="s">
        <v>2995</v>
      </c>
      <c r="B2168">
        <v>621030027</v>
      </c>
      <c r="C2168" t="s">
        <v>7</v>
      </c>
    </row>
    <row r="2169" spans="1:3" x14ac:dyDescent="0.35">
      <c r="A2169" t="s">
        <v>2996</v>
      </c>
      <c r="B2169">
        <v>605170008</v>
      </c>
      <c r="C2169" t="s">
        <v>7</v>
      </c>
    </row>
    <row r="2170" spans="1:3" x14ac:dyDescent="0.35">
      <c r="A2170" t="s">
        <v>2997</v>
      </c>
      <c r="B2170">
        <v>612130015</v>
      </c>
      <c r="C2170" t="s">
        <v>7</v>
      </c>
    </row>
    <row r="2171" spans="1:3" x14ac:dyDescent="0.35">
      <c r="A2171" t="s">
        <v>2998</v>
      </c>
      <c r="B2171" t="s">
        <v>2999</v>
      </c>
      <c r="C2171" t="s">
        <v>5</v>
      </c>
    </row>
    <row r="2172" spans="1:3" x14ac:dyDescent="0.35">
      <c r="A2172" t="s">
        <v>3000</v>
      </c>
      <c r="B2172">
        <v>604090008</v>
      </c>
      <c r="C2172" t="s">
        <v>7</v>
      </c>
    </row>
    <row r="2173" spans="1:3" x14ac:dyDescent="0.35">
      <c r="A2173" t="s">
        <v>3001</v>
      </c>
      <c r="B2173" t="s">
        <v>3002</v>
      </c>
      <c r="C2173" t="s">
        <v>5</v>
      </c>
    </row>
    <row r="2174" spans="1:3" x14ac:dyDescent="0.35">
      <c r="A2174" t="s">
        <v>3003</v>
      </c>
      <c r="B2174" t="s">
        <v>3004</v>
      </c>
      <c r="C2174" t="s">
        <v>50</v>
      </c>
    </row>
    <row r="2175" spans="1:3" x14ac:dyDescent="0.35">
      <c r="A2175" t="s">
        <v>3005</v>
      </c>
      <c r="B2175">
        <v>621080026</v>
      </c>
      <c r="C2175" t="s">
        <v>7</v>
      </c>
    </row>
    <row r="2176" spans="1:3" x14ac:dyDescent="0.35">
      <c r="A2176" t="s">
        <v>3006</v>
      </c>
      <c r="B2176" t="s">
        <v>3007</v>
      </c>
      <c r="C2176" t="s">
        <v>32</v>
      </c>
    </row>
    <row r="2177" spans="1:3" x14ac:dyDescent="0.35">
      <c r="A2177" t="s">
        <v>3008</v>
      </c>
      <c r="B2177">
        <v>609060005</v>
      </c>
      <c r="C2177" t="s">
        <v>7</v>
      </c>
    </row>
    <row r="2178" spans="1:3" x14ac:dyDescent="0.35">
      <c r="A2178" t="s">
        <v>3008</v>
      </c>
      <c r="B2178" t="s">
        <v>3009</v>
      </c>
      <c r="C2178" t="s">
        <v>5</v>
      </c>
    </row>
    <row r="2179" spans="1:3" x14ac:dyDescent="0.35">
      <c r="A2179" t="s">
        <v>3010</v>
      </c>
      <c r="B2179" t="s">
        <v>3011</v>
      </c>
      <c r="C2179" t="s">
        <v>5</v>
      </c>
    </row>
    <row r="2180" spans="1:3" x14ac:dyDescent="0.35">
      <c r="A2180" t="s">
        <v>3012</v>
      </c>
      <c r="B2180">
        <v>621050028</v>
      </c>
      <c r="C2180" t="s">
        <v>7</v>
      </c>
    </row>
    <row r="2181" spans="1:3" x14ac:dyDescent="0.35">
      <c r="A2181" t="s">
        <v>3013</v>
      </c>
      <c r="B2181" t="s">
        <v>3014</v>
      </c>
      <c r="C2181" t="s">
        <v>5</v>
      </c>
    </row>
    <row r="2182" spans="1:3" x14ac:dyDescent="0.35">
      <c r="A2182" t="s">
        <v>3015</v>
      </c>
      <c r="B2182">
        <v>621050029</v>
      </c>
      <c r="C2182" t="s">
        <v>7</v>
      </c>
    </row>
    <row r="2183" spans="1:3" x14ac:dyDescent="0.35">
      <c r="A2183" t="s">
        <v>3015</v>
      </c>
      <c r="B2183" t="s">
        <v>3016</v>
      </c>
      <c r="C2183" t="s">
        <v>5</v>
      </c>
    </row>
    <row r="2184" spans="1:3" x14ac:dyDescent="0.35">
      <c r="A2184" t="s">
        <v>3017</v>
      </c>
      <c r="B2184">
        <v>317260005</v>
      </c>
      <c r="C2184" t="s">
        <v>7</v>
      </c>
    </row>
    <row r="2185" spans="1:3" x14ac:dyDescent="0.35">
      <c r="A2185" t="s">
        <v>3018</v>
      </c>
      <c r="B2185">
        <v>604090010</v>
      </c>
      <c r="C2185" t="s">
        <v>7</v>
      </c>
    </row>
    <row r="2186" spans="1:3" x14ac:dyDescent="0.35">
      <c r="A2186" t="s">
        <v>3019</v>
      </c>
      <c r="B2186">
        <v>605040002</v>
      </c>
      <c r="C2186" t="s">
        <v>7</v>
      </c>
    </row>
    <row r="2187" spans="1:3" x14ac:dyDescent="0.35">
      <c r="A2187" t="s">
        <v>3020</v>
      </c>
      <c r="B2187" t="s">
        <v>3021</v>
      </c>
      <c r="C2187" t="s">
        <v>5</v>
      </c>
    </row>
    <row r="2188" spans="1:3" x14ac:dyDescent="0.35">
      <c r="A2188" t="s">
        <v>3022</v>
      </c>
      <c r="B2188" t="s">
        <v>3023</v>
      </c>
      <c r="C2188" t="s">
        <v>5</v>
      </c>
    </row>
    <row r="2189" spans="1:3" x14ac:dyDescent="0.35">
      <c r="A2189" t="s">
        <v>3024</v>
      </c>
      <c r="B2189">
        <v>317170010</v>
      </c>
      <c r="C2189" t="s">
        <v>7</v>
      </c>
    </row>
    <row r="2190" spans="1:3" x14ac:dyDescent="0.35">
      <c r="A2190" t="s">
        <v>3024</v>
      </c>
      <c r="B2190" t="s">
        <v>3025</v>
      </c>
      <c r="C2190" t="s">
        <v>50</v>
      </c>
    </row>
    <row r="2191" spans="1:3" x14ac:dyDescent="0.35">
      <c r="A2191" t="s">
        <v>3026</v>
      </c>
      <c r="B2191" t="s">
        <v>3027</v>
      </c>
      <c r="C2191" t="s">
        <v>5</v>
      </c>
    </row>
    <row r="2192" spans="1:3" x14ac:dyDescent="0.35">
      <c r="A2192" t="s">
        <v>3028</v>
      </c>
      <c r="B2192">
        <v>621040031</v>
      </c>
      <c r="C2192" t="s">
        <v>7</v>
      </c>
    </row>
    <row r="2193" spans="1:3" x14ac:dyDescent="0.35">
      <c r="A2193" t="s">
        <v>3028</v>
      </c>
      <c r="B2193" t="s">
        <v>3029</v>
      </c>
      <c r="C2193" t="s">
        <v>5</v>
      </c>
    </row>
    <row r="2194" spans="1:3" x14ac:dyDescent="0.35">
      <c r="A2194" t="s">
        <v>3030</v>
      </c>
      <c r="B2194" t="s">
        <v>3031</v>
      </c>
      <c r="C2194" t="s">
        <v>5</v>
      </c>
    </row>
    <row r="2195" spans="1:3" x14ac:dyDescent="0.35">
      <c r="A2195" t="s">
        <v>3032</v>
      </c>
      <c r="B2195">
        <v>609030008</v>
      </c>
      <c r="C2195" t="s">
        <v>7</v>
      </c>
    </row>
    <row r="2196" spans="1:3" x14ac:dyDescent="0.35">
      <c r="A2196" t="s">
        <v>3032</v>
      </c>
      <c r="B2196" t="s">
        <v>3033</v>
      </c>
      <c r="C2196" t="s">
        <v>50</v>
      </c>
    </row>
    <row r="2197" spans="1:3" x14ac:dyDescent="0.35">
      <c r="A2197" t="s">
        <v>3034</v>
      </c>
      <c r="B2197" t="s">
        <v>3035</v>
      </c>
      <c r="C2197" t="s">
        <v>5</v>
      </c>
    </row>
    <row r="2198" spans="1:3" x14ac:dyDescent="0.35">
      <c r="A2198" t="s">
        <v>3036</v>
      </c>
      <c r="B2198" t="s">
        <v>3037</v>
      </c>
      <c r="C2198" t="s">
        <v>5</v>
      </c>
    </row>
    <row r="2199" spans="1:3" x14ac:dyDescent="0.35">
      <c r="A2199" t="s">
        <v>3038</v>
      </c>
      <c r="B2199" t="s">
        <v>3039</v>
      </c>
      <c r="C2199" t="s">
        <v>5</v>
      </c>
    </row>
    <row r="2200" spans="1:3" x14ac:dyDescent="0.35">
      <c r="A2200" t="s">
        <v>3040</v>
      </c>
      <c r="B2200" t="s">
        <v>3041</v>
      </c>
      <c r="C2200" t="s">
        <v>50</v>
      </c>
    </row>
    <row r="2201" spans="1:3" x14ac:dyDescent="0.35">
      <c r="A2201" t="s">
        <v>3042</v>
      </c>
      <c r="B2201">
        <v>604040008</v>
      </c>
      <c r="C2201" t="s">
        <v>7</v>
      </c>
    </row>
    <row r="2202" spans="1:3" x14ac:dyDescent="0.35">
      <c r="A2202" t="s">
        <v>3042</v>
      </c>
      <c r="B2202">
        <v>614210015</v>
      </c>
      <c r="C2202" t="s">
        <v>7</v>
      </c>
    </row>
    <row r="2203" spans="1:3" x14ac:dyDescent="0.35">
      <c r="A2203" t="s">
        <v>3043</v>
      </c>
      <c r="B2203">
        <v>604060021</v>
      </c>
      <c r="C2203" t="s">
        <v>7</v>
      </c>
    </row>
    <row r="2204" spans="1:3" x14ac:dyDescent="0.35">
      <c r="A2204" t="s">
        <v>3043</v>
      </c>
      <c r="B2204" t="s">
        <v>3044</v>
      </c>
      <c r="C2204" t="s">
        <v>5</v>
      </c>
    </row>
    <row r="2205" spans="1:3" x14ac:dyDescent="0.35">
      <c r="A2205" t="s">
        <v>3045</v>
      </c>
      <c r="B2205">
        <v>609040024</v>
      </c>
      <c r="C2205" t="s">
        <v>7</v>
      </c>
    </row>
    <row r="2206" spans="1:3" x14ac:dyDescent="0.35">
      <c r="A2206" t="s">
        <v>3046</v>
      </c>
      <c r="B2206">
        <v>603090012</v>
      </c>
      <c r="C2206" t="s">
        <v>7</v>
      </c>
    </row>
    <row r="2207" spans="1:3" x14ac:dyDescent="0.35">
      <c r="A2207" t="s">
        <v>3046</v>
      </c>
      <c r="B2207" t="s">
        <v>3047</v>
      </c>
      <c r="C2207" t="s">
        <v>5</v>
      </c>
    </row>
    <row r="2208" spans="1:3" x14ac:dyDescent="0.35">
      <c r="A2208" t="s">
        <v>3048</v>
      </c>
      <c r="B2208">
        <v>603020013</v>
      </c>
      <c r="C2208" t="s">
        <v>7</v>
      </c>
    </row>
    <row r="2209" spans="1:3" x14ac:dyDescent="0.35">
      <c r="A2209" t="s">
        <v>3049</v>
      </c>
      <c r="B2209">
        <v>602230004</v>
      </c>
      <c r="C2209" t="s">
        <v>7</v>
      </c>
    </row>
    <row r="2210" spans="1:3" x14ac:dyDescent="0.35">
      <c r="A2210" t="s">
        <v>3050</v>
      </c>
      <c r="B2210" t="s">
        <v>3051</v>
      </c>
      <c r="C2210" t="s">
        <v>50</v>
      </c>
    </row>
    <row r="2211" spans="1:3" x14ac:dyDescent="0.35">
      <c r="A2211" t="s">
        <v>3052</v>
      </c>
      <c r="B2211">
        <v>603020021</v>
      </c>
      <c r="C2211" t="s">
        <v>7</v>
      </c>
    </row>
    <row r="2212" spans="1:3" x14ac:dyDescent="0.35">
      <c r="A2212" t="s">
        <v>3053</v>
      </c>
      <c r="B2212">
        <v>602150008</v>
      </c>
      <c r="C2212" t="s">
        <v>7</v>
      </c>
    </row>
    <row r="2213" spans="1:3" x14ac:dyDescent="0.35">
      <c r="A2213" t="s">
        <v>3054</v>
      </c>
      <c r="B2213" t="s">
        <v>3055</v>
      </c>
      <c r="C2213" t="s">
        <v>5</v>
      </c>
    </row>
    <row r="2214" spans="1:3" x14ac:dyDescent="0.35">
      <c r="A2214" t="s">
        <v>3056</v>
      </c>
      <c r="B2214" t="s">
        <v>3057</v>
      </c>
      <c r="C2214" t="s">
        <v>5</v>
      </c>
    </row>
    <row r="2215" spans="1:3" x14ac:dyDescent="0.35">
      <c r="A2215" t="s">
        <v>3058</v>
      </c>
      <c r="B2215" t="s">
        <v>3059</v>
      </c>
      <c r="C2215" t="s">
        <v>5</v>
      </c>
    </row>
    <row r="2216" spans="1:3" x14ac:dyDescent="0.35">
      <c r="A2216" t="s">
        <v>3060</v>
      </c>
      <c r="B2216">
        <v>317220005</v>
      </c>
      <c r="C2216" t="s">
        <v>7</v>
      </c>
    </row>
    <row r="2217" spans="1:3" x14ac:dyDescent="0.35">
      <c r="A2217" t="s">
        <v>3061</v>
      </c>
      <c r="B2217">
        <v>309230005</v>
      </c>
      <c r="C2217" t="s">
        <v>7</v>
      </c>
    </row>
    <row r="2218" spans="1:3" x14ac:dyDescent="0.35">
      <c r="A2218" t="s">
        <v>3062</v>
      </c>
      <c r="B2218" t="s">
        <v>3063</v>
      </c>
      <c r="C2218" t="s">
        <v>5</v>
      </c>
    </row>
    <row r="2219" spans="1:3" x14ac:dyDescent="0.35">
      <c r="A2219" t="s">
        <v>3064</v>
      </c>
      <c r="B2219">
        <v>604150023</v>
      </c>
      <c r="C2219" t="s">
        <v>7</v>
      </c>
    </row>
    <row r="2220" spans="1:3" x14ac:dyDescent="0.35">
      <c r="A2220" t="s">
        <v>3065</v>
      </c>
      <c r="B2220" t="s">
        <v>3066</v>
      </c>
      <c r="C2220" t="s">
        <v>5</v>
      </c>
    </row>
    <row r="2221" spans="1:3" x14ac:dyDescent="0.35">
      <c r="A2221" t="s">
        <v>3067</v>
      </c>
      <c r="B2221" t="s">
        <v>3068</v>
      </c>
      <c r="C2221" t="s">
        <v>5</v>
      </c>
    </row>
    <row r="2222" spans="1:3" x14ac:dyDescent="0.35">
      <c r="A2222" t="s">
        <v>3069</v>
      </c>
      <c r="B2222" t="s">
        <v>3070</v>
      </c>
      <c r="C2222" t="s">
        <v>5</v>
      </c>
    </row>
    <row r="2223" spans="1:3" x14ac:dyDescent="0.35">
      <c r="A2223" t="s">
        <v>3071</v>
      </c>
      <c r="B2223" t="s">
        <v>3072</v>
      </c>
      <c r="C2223" t="s">
        <v>5</v>
      </c>
    </row>
    <row r="2224" spans="1:3" x14ac:dyDescent="0.35">
      <c r="A2224" t="s">
        <v>3073</v>
      </c>
      <c r="B2224">
        <v>320210005</v>
      </c>
      <c r="C2224" t="s">
        <v>7</v>
      </c>
    </row>
    <row r="2225" spans="1:3" x14ac:dyDescent="0.35">
      <c r="A2225" t="s">
        <v>3074</v>
      </c>
      <c r="B2225" t="s">
        <v>3075</v>
      </c>
      <c r="C2225" t="s">
        <v>32</v>
      </c>
    </row>
    <row r="2226" spans="1:3" x14ac:dyDescent="0.35">
      <c r="A2226" t="s">
        <v>3076</v>
      </c>
      <c r="B2226">
        <v>612280002</v>
      </c>
      <c r="C2226" t="s">
        <v>7</v>
      </c>
    </row>
    <row r="2227" spans="1:3" x14ac:dyDescent="0.35">
      <c r="A2227" t="s">
        <v>3077</v>
      </c>
      <c r="B2227" t="s">
        <v>3078</v>
      </c>
      <c r="C2227" t="s">
        <v>5</v>
      </c>
    </row>
    <row r="2228" spans="1:3" x14ac:dyDescent="0.35">
      <c r="A2228" t="s">
        <v>3079</v>
      </c>
      <c r="B2228" t="s">
        <v>3080</v>
      </c>
      <c r="C2228" t="s">
        <v>5</v>
      </c>
    </row>
    <row r="2229" spans="1:3" x14ac:dyDescent="0.35">
      <c r="A2229" t="s">
        <v>3081</v>
      </c>
      <c r="B2229">
        <v>621050030</v>
      </c>
      <c r="C2229" t="s">
        <v>7</v>
      </c>
    </row>
    <row r="2230" spans="1:3" x14ac:dyDescent="0.35">
      <c r="A2230" t="s">
        <v>3082</v>
      </c>
      <c r="B2230" t="s">
        <v>3083</v>
      </c>
      <c r="C2230" t="s">
        <v>5</v>
      </c>
    </row>
    <row r="2231" spans="1:3" x14ac:dyDescent="0.35">
      <c r="A2231" t="s">
        <v>3084</v>
      </c>
      <c r="B2231" t="s">
        <v>3085</v>
      </c>
      <c r="C2231" t="s">
        <v>5</v>
      </c>
    </row>
    <row r="2232" spans="1:3" x14ac:dyDescent="0.35">
      <c r="A2232" t="s">
        <v>3086</v>
      </c>
      <c r="B2232">
        <v>605100023</v>
      </c>
      <c r="C2232" t="s">
        <v>7</v>
      </c>
    </row>
    <row r="2233" spans="1:3" x14ac:dyDescent="0.35">
      <c r="A2233" t="s">
        <v>3086</v>
      </c>
      <c r="B2233" t="s">
        <v>3087</v>
      </c>
      <c r="C2233" t="s">
        <v>32</v>
      </c>
    </row>
    <row r="2234" spans="1:3" x14ac:dyDescent="0.35">
      <c r="A2234" t="s">
        <v>3086</v>
      </c>
      <c r="B2234" t="s">
        <v>3088</v>
      </c>
      <c r="C2234" t="s">
        <v>5</v>
      </c>
    </row>
    <row r="2235" spans="1:3" x14ac:dyDescent="0.35">
      <c r="A2235" t="s">
        <v>3089</v>
      </c>
      <c r="B2235">
        <v>605050003</v>
      </c>
      <c r="C2235" t="s">
        <v>7</v>
      </c>
    </row>
    <row r="2236" spans="1:3" x14ac:dyDescent="0.35">
      <c r="A2236" t="s">
        <v>3089</v>
      </c>
      <c r="B2236" t="s">
        <v>3090</v>
      </c>
      <c r="C2236" t="s">
        <v>5</v>
      </c>
    </row>
    <row r="2237" spans="1:3" x14ac:dyDescent="0.35">
      <c r="A2237" t="s">
        <v>3091</v>
      </c>
      <c r="B2237" t="s">
        <v>3092</v>
      </c>
      <c r="C2237" t="s">
        <v>5</v>
      </c>
    </row>
    <row r="2238" spans="1:3" x14ac:dyDescent="0.35">
      <c r="A2238" t="s">
        <v>3093</v>
      </c>
      <c r="B2238" t="s">
        <v>3094</v>
      </c>
      <c r="C2238" t="s">
        <v>5</v>
      </c>
    </row>
    <row r="2239" spans="1:3" x14ac:dyDescent="0.35">
      <c r="A2239" t="s">
        <v>3095</v>
      </c>
      <c r="B2239" t="s">
        <v>3096</v>
      </c>
      <c r="C2239" t="s">
        <v>5</v>
      </c>
    </row>
    <row r="2240" spans="1:3" x14ac:dyDescent="0.35">
      <c r="A2240" t="s">
        <v>3097</v>
      </c>
      <c r="B2240" t="s">
        <v>3098</v>
      </c>
      <c r="C2240" t="s">
        <v>5</v>
      </c>
    </row>
    <row r="2241" spans="1:3" x14ac:dyDescent="0.35">
      <c r="A2241" t="s">
        <v>3099</v>
      </c>
      <c r="B2241" t="s">
        <v>3100</v>
      </c>
      <c r="C2241" t="s">
        <v>5</v>
      </c>
    </row>
    <row r="2242" spans="1:3" x14ac:dyDescent="0.35">
      <c r="A2242" t="s">
        <v>3101</v>
      </c>
      <c r="B2242">
        <v>621040022</v>
      </c>
      <c r="C2242" t="s">
        <v>7</v>
      </c>
    </row>
    <row r="2243" spans="1:3" x14ac:dyDescent="0.35">
      <c r="A2243" t="s">
        <v>3101</v>
      </c>
      <c r="B2243" t="s">
        <v>3102</v>
      </c>
      <c r="C2243" t="s">
        <v>5</v>
      </c>
    </row>
    <row r="2244" spans="1:3" x14ac:dyDescent="0.35">
      <c r="A2244" t="s">
        <v>3103</v>
      </c>
      <c r="B2244">
        <v>604160002</v>
      </c>
      <c r="C2244" t="s">
        <v>7</v>
      </c>
    </row>
    <row r="2245" spans="1:3" x14ac:dyDescent="0.35">
      <c r="A2245" t="s">
        <v>3104</v>
      </c>
      <c r="B2245" t="s">
        <v>3105</v>
      </c>
      <c r="C2245" t="s">
        <v>5</v>
      </c>
    </row>
    <row r="2246" spans="1:3" x14ac:dyDescent="0.35">
      <c r="A2246" t="s">
        <v>3106</v>
      </c>
      <c r="B2246" t="s">
        <v>3107</v>
      </c>
      <c r="C2246" t="s">
        <v>5</v>
      </c>
    </row>
    <row r="2247" spans="1:3" x14ac:dyDescent="0.35">
      <c r="A2247" t="s">
        <v>3108</v>
      </c>
      <c r="B2247">
        <v>614210012</v>
      </c>
      <c r="C2247" t="s">
        <v>7</v>
      </c>
    </row>
    <row r="2248" spans="1:3" x14ac:dyDescent="0.35">
      <c r="A2248" t="s">
        <v>3109</v>
      </c>
      <c r="B2248">
        <v>614210009</v>
      </c>
      <c r="C2248" t="s">
        <v>7</v>
      </c>
    </row>
    <row r="2249" spans="1:3" x14ac:dyDescent="0.35">
      <c r="A2249" t="s">
        <v>3110</v>
      </c>
      <c r="B2249">
        <v>607130017</v>
      </c>
      <c r="C2249" t="s">
        <v>7</v>
      </c>
    </row>
    <row r="2250" spans="1:3" x14ac:dyDescent="0.35">
      <c r="A2250" t="s">
        <v>3111</v>
      </c>
      <c r="B2250" t="s">
        <v>3112</v>
      </c>
      <c r="C2250" t="s">
        <v>5</v>
      </c>
    </row>
    <row r="2251" spans="1:3" x14ac:dyDescent="0.35">
      <c r="A2251" t="s">
        <v>3113</v>
      </c>
      <c r="B2251" t="s">
        <v>3114</v>
      </c>
      <c r="C2251" t="s">
        <v>5</v>
      </c>
    </row>
    <row r="2252" spans="1:3" x14ac:dyDescent="0.35">
      <c r="A2252" t="s">
        <v>3115</v>
      </c>
      <c r="B2252">
        <v>609050028</v>
      </c>
      <c r="C2252" t="s">
        <v>7</v>
      </c>
    </row>
    <row r="2253" spans="1:3" x14ac:dyDescent="0.35">
      <c r="A2253" t="s">
        <v>3116</v>
      </c>
      <c r="B2253" t="s">
        <v>3117</v>
      </c>
      <c r="C2253" t="s">
        <v>5</v>
      </c>
    </row>
    <row r="2254" spans="1:3" x14ac:dyDescent="0.35">
      <c r="A2254" t="s">
        <v>3118</v>
      </c>
      <c r="B2254" t="s">
        <v>3119</v>
      </c>
      <c r="C2254" t="s">
        <v>50</v>
      </c>
    </row>
    <row r="2255" spans="1:3" x14ac:dyDescent="0.35">
      <c r="A2255" t="s">
        <v>3120</v>
      </c>
      <c r="B2255" t="s">
        <v>3121</v>
      </c>
      <c r="C2255" t="s">
        <v>5</v>
      </c>
    </row>
    <row r="2256" spans="1:3" x14ac:dyDescent="0.35">
      <c r="A2256" t="s">
        <v>3122</v>
      </c>
      <c r="B2256" t="s">
        <v>3123</v>
      </c>
      <c r="C2256" t="s">
        <v>5</v>
      </c>
    </row>
    <row r="2257" spans="1:3" x14ac:dyDescent="0.35">
      <c r="A2257" t="s">
        <v>3124</v>
      </c>
      <c r="B2257">
        <v>309080013</v>
      </c>
      <c r="C2257" t="s">
        <v>7</v>
      </c>
    </row>
    <row r="2258" spans="1:3" x14ac:dyDescent="0.35">
      <c r="A2258" t="s">
        <v>3125</v>
      </c>
      <c r="B2258">
        <v>603020014</v>
      </c>
      <c r="C2258" t="s">
        <v>7</v>
      </c>
    </row>
    <row r="2259" spans="1:3" x14ac:dyDescent="0.35">
      <c r="A2259" t="s">
        <v>3126</v>
      </c>
      <c r="B2259" t="s">
        <v>3127</v>
      </c>
      <c r="C2259" t="s">
        <v>50</v>
      </c>
    </row>
    <row r="2260" spans="1:3" x14ac:dyDescent="0.35">
      <c r="A2260" t="s">
        <v>3128</v>
      </c>
      <c r="B2260" t="s">
        <v>3129</v>
      </c>
      <c r="C2260" t="s">
        <v>5</v>
      </c>
    </row>
    <row r="2261" spans="1:3" x14ac:dyDescent="0.35">
      <c r="A2261" t="s">
        <v>3130</v>
      </c>
      <c r="B2261">
        <v>605040003</v>
      </c>
      <c r="C2261" t="s">
        <v>7</v>
      </c>
    </row>
    <row r="2262" spans="1:3" x14ac:dyDescent="0.35">
      <c r="A2262" t="s">
        <v>3131</v>
      </c>
      <c r="B2262">
        <v>602200006</v>
      </c>
      <c r="C2262" t="s">
        <v>7</v>
      </c>
    </row>
    <row r="2263" spans="1:3" x14ac:dyDescent="0.35">
      <c r="A2263" t="s">
        <v>3132</v>
      </c>
      <c r="B2263">
        <v>605010005</v>
      </c>
      <c r="C2263" t="s">
        <v>7</v>
      </c>
    </row>
    <row r="2264" spans="1:3" x14ac:dyDescent="0.35">
      <c r="A2264" t="s">
        <v>3133</v>
      </c>
      <c r="B2264" t="s">
        <v>3134</v>
      </c>
      <c r="C2264" t="s">
        <v>5</v>
      </c>
    </row>
    <row r="2265" spans="1:3" x14ac:dyDescent="0.35">
      <c r="A2265" t="s">
        <v>3135</v>
      </c>
      <c r="B2265" t="s">
        <v>3136</v>
      </c>
      <c r="C2265" t="s">
        <v>5</v>
      </c>
    </row>
    <row r="2266" spans="1:3" x14ac:dyDescent="0.35">
      <c r="A2266" t="s">
        <v>3137</v>
      </c>
      <c r="B2266" t="s">
        <v>3138</v>
      </c>
      <c r="C2266" t="s">
        <v>5</v>
      </c>
    </row>
    <row r="2267" spans="1:3" x14ac:dyDescent="0.35">
      <c r="A2267" t="s">
        <v>3139</v>
      </c>
      <c r="B2267" t="s">
        <v>3140</v>
      </c>
      <c r="C2267" t="s">
        <v>5</v>
      </c>
    </row>
    <row r="2268" spans="1:3" x14ac:dyDescent="0.35">
      <c r="A2268" t="s">
        <v>3141</v>
      </c>
      <c r="B2268" t="s">
        <v>3142</v>
      </c>
      <c r="C2268" t="s">
        <v>5</v>
      </c>
    </row>
    <row r="2269" spans="1:3" x14ac:dyDescent="0.35">
      <c r="A2269" t="s">
        <v>3143</v>
      </c>
      <c r="B2269">
        <v>605100013</v>
      </c>
      <c r="C2269" t="s">
        <v>7</v>
      </c>
    </row>
    <row r="2270" spans="1:3" x14ac:dyDescent="0.35">
      <c r="A2270" t="s">
        <v>3144</v>
      </c>
      <c r="B2270">
        <v>309010016</v>
      </c>
      <c r="C2270" t="s">
        <v>7</v>
      </c>
    </row>
    <row r="2271" spans="1:3" x14ac:dyDescent="0.35">
      <c r="A2271" t="s">
        <v>3145</v>
      </c>
      <c r="B2271">
        <v>320140013</v>
      </c>
      <c r="C2271" t="s">
        <v>7</v>
      </c>
    </row>
    <row r="2272" spans="1:3" x14ac:dyDescent="0.35">
      <c r="A2272" t="s">
        <v>3145</v>
      </c>
      <c r="B2272">
        <v>607170002</v>
      </c>
      <c r="C2272" t="s">
        <v>7</v>
      </c>
    </row>
    <row r="2273" spans="1:3" x14ac:dyDescent="0.35">
      <c r="A2273" t="s">
        <v>3145</v>
      </c>
      <c r="B2273" t="s">
        <v>3146</v>
      </c>
      <c r="C2273" t="s">
        <v>5</v>
      </c>
    </row>
    <row r="2274" spans="1:3" x14ac:dyDescent="0.35">
      <c r="A2274" t="s">
        <v>3147</v>
      </c>
      <c r="B2274">
        <v>320280007</v>
      </c>
      <c r="C2274" t="s">
        <v>7</v>
      </c>
    </row>
    <row r="2275" spans="1:3" x14ac:dyDescent="0.35">
      <c r="A2275" t="s">
        <v>3148</v>
      </c>
      <c r="B2275" t="s">
        <v>3149</v>
      </c>
      <c r="C2275" t="s">
        <v>5</v>
      </c>
    </row>
    <row r="2276" spans="1:3" x14ac:dyDescent="0.35">
      <c r="A2276" t="s">
        <v>3150</v>
      </c>
      <c r="B2276" t="s">
        <v>3151</v>
      </c>
      <c r="C2276" t="s">
        <v>50</v>
      </c>
    </row>
    <row r="2277" spans="1:3" x14ac:dyDescent="0.35">
      <c r="A2277" t="s">
        <v>3152</v>
      </c>
      <c r="B2277">
        <v>604170018</v>
      </c>
      <c r="C2277" t="s">
        <v>7</v>
      </c>
    </row>
    <row r="2278" spans="1:3" x14ac:dyDescent="0.35">
      <c r="A2278" t="s">
        <v>3153</v>
      </c>
      <c r="B2278" t="s">
        <v>3154</v>
      </c>
      <c r="C2278" t="s">
        <v>5</v>
      </c>
    </row>
    <row r="2279" spans="1:3" x14ac:dyDescent="0.35">
      <c r="A2279" t="s">
        <v>3155</v>
      </c>
      <c r="B2279" t="s">
        <v>3156</v>
      </c>
      <c r="C2279" t="s">
        <v>5</v>
      </c>
    </row>
    <row r="2280" spans="1:3" x14ac:dyDescent="0.35">
      <c r="A2280" t="s">
        <v>3157</v>
      </c>
      <c r="B2280">
        <v>604030009</v>
      </c>
      <c r="C2280" t="s">
        <v>7</v>
      </c>
    </row>
    <row r="2281" spans="1:3" x14ac:dyDescent="0.35">
      <c r="A2281" t="s">
        <v>3158</v>
      </c>
      <c r="B2281" t="s">
        <v>3159</v>
      </c>
      <c r="C2281" t="s">
        <v>32</v>
      </c>
    </row>
    <row r="2282" spans="1:3" x14ac:dyDescent="0.35">
      <c r="A2282" t="s">
        <v>3160</v>
      </c>
      <c r="B2282" t="s">
        <v>3161</v>
      </c>
      <c r="C2282" t="s">
        <v>5</v>
      </c>
    </row>
    <row r="2283" spans="1:3" x14ac:dyDescent="0.35">
      <c r="A2283" t="s">
        <v>3162</v>
      </c>
      <c r="B2283">
        <v>607070025</v>
      </c>
      <c r="C2283" t="s">
        <v>7</v>
      </c>
    </row>
    <row r="2284" spans="1:3" x14ac:dyDescent="0.35">
      <c r="A2284" t="s">
        <v>3163</v>
      </c>
      <c r="B2284">
        <v>316270005</v>
      </c>
      <c r="C2284" t="s">
        <v>7</v>
      </c>
    </row>
    <row r="2285" spans="1:3" x14ac:dyDescent="0.35">
      <c r="A2285" t="s">
        <v>3164</v>
      </c>
      <c r="B2285" t="s">
        <v>3165</v>
      </c>
      <c r="C2285" t="s">
        <v>50</v>
      </c>
    </row>
    <row r="2286" spans="1:3" x14ac:dyDescent="0.35">
      <c r="A2286" t="s">
        <v>3166</v>
      </c>
      <c r="B2286">
        <v>612040003</v>
      </c>
      <c r="C2286" t="s">
        <v>7</v>
      </c>
    </row>
    <row r="2287" spans="1:3" x14ac:dyDescent="0.35">
      <c r="A2287" t="s">
        <v>3167</v>
      </c>
      <c r="B2287">
        <v>605080003</v>
      </c>
      <c r="C2287" t="s">
        <v>7</v>
      </c>
    </row>
    <row r="2288" spans="1:3" x14ac:dyDescent="0.35">
      <c r="A2288" t="s">
        <v>3167</v>
      </c>
      <c r="B2288">
        <v>607040005</v>
      </c>
      <c r="C2288" t="s">
        <v>7</v>
      </c>
    </row>
    <row r="2289" spans="1:3" x14ac:dyDescent="0.35">
      <c r="A2289" t="s">
        <v>3167</v>
      </c>
      <c r="B2289" t="s">
        <v>3168</v>
      </c>
      <c r="C2289" t="s">
        <v>5</v>
      </c>
    </row>
    <row r="2290" spans="1:3" x14ac:dyDescent="0.35">
      <c r="A2290" t="s">
        <v>3169</v>
      </c>
      <c r="B2290" t="s">
        <v>3170</v>
      </c>
      <c r="C2290" t="s">
        <v>32</v>
      </c>
    </row>
    <row r="2291" spans="1:3" x14ac:dyDescent="0.35">
      <c r="A2291" t="s">
        <v>3171</v>
      </c>
      <c r="B2291" t="s">
        <v>3172</v>
      </c>
      <c r="C2291" t="s">
        <v>50</v>
      </c>
    </row>
    <row r="2292" spans="1:3" x14ac:dyDescent="0.35">
      <c r="A2292" t="s">
        <v>3173</v>
      </c>
      <c r="B2292" t="s">
        <v>3174</v>
      </c>
      <c r="C2292" t="s">
        <v>5</v>
      </c>
    </row>
    <row r="2293" spans="1:3" x14ac:dyDescent="0.35">
      <c r="A2293" t="s">
        <v>3175</v>
      </c>
      <c r="B2293" t="s">
        <v>3176</v>
      </c>
      <c r="C2293" t="s">
        <v>5</v>
      </c>
    </row>
    <row r="2294" spans="1:3" x14ac:dyDescent="0.35">
      <c r="A2294" t="s">
        <v>3177</v>
      </c>
      <c r="B2294" t="s">
        <v>3178</v>
      </c>
      <c r="C2294" t="s">
        <v>5</v>
      </c>
    </row>
    <row r="2295" spans="1:3" x14ac:dyDescent="0.35">
      <c r="A2295" t="s">
        <v>3179</v>
      </c>
      <c r="B2295">
        <v>602070011</v>
      </c>
      <c r="C2295" t="s">
        <v>7</v>
      </c>
    </row>
    <row r="2296" spans="1:3" x14ac:dyDescent="0.35">
      <c r="A2296" t="s">
        <v>3180</v>
      </c>
      <c r="B2296">
        <v>618020010</v>
      </c>
      <c r="C2296" t="s">
        <v>7</v>
      </c>
    </row>
    <row r="2297" spans="1:3" x14ac:dyDescent="0.35">
      <c r="A2297" t="s">
        <v>3181</v>
      </c>
      <c r="B2297" t="s">
        <v>3182</v>
      </c>
      <c r="C2297" t="s">
        <v>5</v>
      </c>
    </row>
    <row r="2298" spans="1:3" x14ac:dyDescent="0.35">
      <c r="A2298" t="s">
        <v>3183</v>
      </c>
      <c r="B2298" t="s">
        <v>3184</v>
      </c>
      <c r="C2298" t="s">
        <v>5</v>
      </c>
    </row>
    <row r="2299" spans="1:3" x14ac:dyDescent="0.35">
      <c r="A2299" t="s">
        <v>3185</v>
      </c>
      <c r="B2299" t="s">
        <v>3186</v>
      </c>
      <c r="C2299" t="s">
        <v>5</v>
      </c>
    </row>
    <row r="2300" spans="1:3" x14ac:dyDescent="0.35">
      <c r="A2300" t="s">
        <v>3187</v>
      </c>
      <c r="B2300">
        <v>607120010</v>
      </c>
      <c r="C2300" t="s">
        <v>7</v>
      </c>
    </row>
    <row r="2301" spans="1:3" x14ac:dyDescent="0.35">
      <c r="A2301" t="s">
        <v>3188</v>
      </c>
      <c r="B2301" t="s">
        <v>3189</v>
      </c>
      <c r="C2301" t="s">
        <v>5</v>
      </c>
    </row>
    <row r="2302" spans="1:3" x14ac:dyDescent="0.35">
      <c r="A2302" t="s">
        <v>3190</v>
      </c>
      <c r="B2302" t="s">
        <v>3191</v>
      </c>
      <c r="C2302" t="s">
        <v>5</v>
      </c>
    </row>
    <row r="2303" spans="1:3" x14ac:dyDescent="0.35">
      <c r="A2303" t="s">
        <v>3192</v>
      </c>
      <c r="B2303">
        <v>604110007</v>
      </c>
      <c r="C2303" t="s">
        <v>7</v>
      </c>
    </row>
    <row r="2304" spans="1:3" x14ac:dyDescent="0.35">
      <c r="A2304" t="s">
        <v>3193</v>
      </c>
      <c r="B2304" t="s">
        <v>3194</v>
      </c>
      <c r="C2304" t="s">
        <v>5</v>
      </c>
    </row>
    <row r="2305" spans="1:3" x14ac:dyDescent="0.35">
      <c r="A2305" t="s">
        <v>3195</v>
      </c>
      <c r="B2305">
        <v>604060022</v>
      </c>
      <c r="C2305" t="s">
        <v>7</v>
      </c>
    </row>
    <row r="2306" spans="1:3" x14ac:dyDescent="0.35">
      <c r="A2306" t="s">
        <v>3196</v>
      </c>
      <c r="B2306">
        <v>607140009</v>
      </c>
      <c r="C2306" t="s">
        <v>7</v>
      </c>
    </row>
    <row r="2307" spans="1:3" x14ac:dyDescent="0.35">
      <c r="A2307" t="s">
        <v>3196</v>
      </c>
      <c r="B2307" t="s">
        <v>3197</v>
      </c>
      <c r="C2307" t="s">
        <v>5</v>
      </c>
    </row>
    <row r="2308" spans="1:3" x14ac:dyDescent="0.35">
      <c r="A2308" t="s">
        <v>3196</v>
      </c>
      <c r="B2308" t="s">
        <v>3198</v>
      </c>
      <c r="C2308" t="s">
        <v>32</v>
      </c>
    </row>
    <row r="2309" spans="1:3" x14ac:dyDescent="0.35">
      <c r="A2309" t="s">
        <v>3199</v>
      </c>
      <c r="B2309">
        <v>602210004</v>
      </c>
      <c r="C2309" t="s">
        <v>7</v>
      </c>
    </row>
    <row r="2310" spans="1:3" x14ac:dyDescent="0.35">
      <c r="A2310" t="s">
        <v>3200</v>
      </c>
      <c r="B2310">
        <v>607170005</v>
      </c>
      <c r="C2310" t="s">
        <v>7</v>
      </c>
    </row>
    <row r="2311" spans="1:3" x14ac:dyDescent="0.35">
      <c r="A2311" t="s">
        <v>3201</v>
      </c>
      <c r="B2311">
        <v>602150014</v>
      </c>
      <c r="C2311" t="s">
        <v>7</v>
      </c>
    </row>
    <row r="2312" spans="1:3" x14ac:dyDescent="0.35">
      <c r="A2312" t="s">
        <v>3202</v>
      </c>
      <c r="B2312" t="s">
        <v>3203</v>
      </c>
      <c r="C2312" t="s">
        <v>5</v>
      </c>
    </row>
    <row r="2313" spans="1:3" x14ac:dyDescent="0.35">
      <c r="A2313" t="s">
        <v>3204</v>
      </c>
      <c r="B2313" t="s">
        <v>3205</v>
      </c>
      <c r="C2313" t="s">
        <v>5</v>
      </c>
    </row>
    <row r="2314" spans="1:3" x14ac:dyDescent="0.35">
      <c r="A2314" t="s">
        <v>3206</v>
      </c>
      <c r="B2314" t="s">
        <v>3207</v>
      </c>
      <c r="C2314" t="s">
        <v>5</v>
      </c>
    </row>
    <row r="2315" spans="1:3" x14ac:dyDescent="0.35">
      <c r="A2315" t="s">
        <v>3208</v>
      </c>
      <c r="B2315" t="s">
        <v>3209</v>
      </c>
      <c r="C2315" t="s">
        <v>5</v>
      </c>
    </row>
    <row r="2316" spans="1:3" x14ac:dyDescent="0.35">
      <c r="A2316" t="s">
        <v>3210</v>
      </c>
      <c r="B2316" t="s">
        <v>3211</v>
      </c>
      <c r="C2316" t="s">
        <v>32</v>
      </c>
    </row>
    <row r="2317" spans="1:3" x14ac:dyDescent="0.35">
      <c r="A2317" t="s">
        <v>3210</v>
      </c>
      <c r="B2317" t="s">
        <v>3212</v>
      </c>
      <c r="C2317" t="s">
        <v>5</v>
      </c>
    </row>
    <row r="2318" spans="1:3" x14ac:dyDescent="0.35">
      <c r="A2318" t="s">
        <v>3213</v>
      </c>
      <c r="B2318">
        <v>605100027</v>
      </c>
      <c r="C2318" t="s">
        <v>7</v>
      </c>
    </row>
    <row r="2319" spans="1:3" x14ac:dyDescent="0.35">
      <c r="A2319" t="s">
        <v>3214</v>
      </c>
      <c r="B2319">
        <v>604190005</v>
      </c>
      <c r="C2319" t="s">
        <v>7</v>
      </c>
    </row>
    <row r="2320" spans="1:3" x14ac:dyDescent="0.35">
      <c r="A2320" t="s">
        <v>3214</v>
      </c>
      <c r="B2320" t="s">
        <v>3215</v>
      </c>
      <c r="C2320" t="s">
        <v>5</v>
      </c>
    </row>
    <row r="2321" spans="1:3" x14ac:dyDescent="0.35">
      <c r="A2321" t="s">
        <v>3216</v>
      </c>
      <c r="B2321">
        <v>604050013</v>
      </c>
      <c r="C2321" t="s">
        <v>7</v>
      </c>
    </row>
    <row r="2322" spans="1:3" x14ac:dyDescent="0.35">
      <c r="A2322" t="s">
        <v>3217</v>
      </c>
      <c r="B2322">
        <v>609010020</v>
      </c>
      <c r="C2322" t="s">
        <v>7</v>
      </c>
    </row>
    <row r="2323" spans="1:3" x14ac:dyDescent="0.35">
      <c r="A2323" t="s">
        <v>3218</v>
      </c>
      <c r="B2323" t="s">
        <v>3219</v>
      </c>
      <c r="C2323" t="s">
        <v>5</v>
      </c>
    </row>
    <row r="2324" spans="1:3" x14ac:dyDescent="0.35">
      <c r="A2324" t="s">
        <v>3220</v>
      </c>
      <c r="B2324" t="s">
        <v>3221</v>
      </c>
      <c r="C2324" t="s">
        <v>5</v>
      </c>
    </row>
    <row r="2325" spans="1:3" x14ac:dyDescent="0.35">
      <c r="A2325" t="s">
        <v>3222</v>
      </c>
      <c r="B2325" t="s">
        <v>3223</v>
      </c>
      <c r="C2325" t="s">
        <v>5</v>
      </c>
    </row>
    <row r="2326" spans="1:3" x14ac:dyDescent="0.35">
      <c r="A2326" t="s">
        <v>3224</v>
      </c>
      <c r="B2326" t="s">
        <v>3225</v>
      </c>
      <c r="C2326" t="s">
        <v>32</v>
      </c>
    </row>
    <row r="2327" spans="1:3" x14ac:dyDescent="0.35">
      <c r="A2327" t="s">
        <v>3226</v>
      </c>
      <c r="B2327">
        <v>604170019</v>
      </c>
      <c r="C2327" t="s">
        <v>7</v>
      </c>
    </row>
    <row r="2328" spans="1:3" x14ac:dyDescent="0.35">
      <c r="A2328" t="s">
        <v>3226</v>
      </c>
      <c r="B2328">
        <v>621070019</v>
      </c>
      <c r="C2328" t="s">
        <v>7</v>
      </c>
    </row>
    <row r="2329" spans="1:3" x14ac:dyDescent="0.35">
      <c r="A2329" t="s">
        <v>3226</v>
      </c>
      <c r="B2329" t="s">
        <v>3227</v>
      </c>
      <c r="C2329" t="s">
        <v>5</v>
      </c>
    </row>
    <row r="2330" spans="1:3" x14ac:dyDescent="0.35">
      <c r="A2330" t="s">
        <v>3226</v>
      </c>
      <c r="B2330" t="s">
        <v>3228</v>
      </c>
      <c r="C2330" t="s">
        <v>32</v>
      </c>
    </row>
    <row r="2331" spans="1:3" x14ac:dyDescent="0.35">
      <c r="A2331" t="s">
        <v>3229</v>
      </c>
      <c r="B2331">
        <v>605110022</v>
      </c>
      <c r="C2331" t="s">
        <v>7</v>
      </c>
    </row>
    <row r="2332" spans="1:3" x14ac:dyDescent="0.35">
      <c r="A2332" t="s">
        <v>3230</v>
      </c>
      <c r="B2332">
        <v>607150012</v>
      </c>
      <c r="C2332" t="s">
        <v>7</v>
      </c>
    </row>
    <row r="2333" spans="1:3" x14ac:dyDescent="0.35">
      <c r="A2333" t="s">
        <v>3231</v>
      </c>
      <c r="B2333" t="s">
        <v>3232</v>
      </c>
      <c r="C2333" t="s">
        <v>50</v>
      </c>
    </row>
    <row r="2334" spans="1:3" x14ac:dyDescent="0.35">
      <c r="A2334" t="s">
        <v>3233</v>
      </c>
      <c r="B2334" t="s">
        <v>3234</v>
      </c>
      <c r="C2334" t="s">
        <v>32</v>
      </c>
    </row>
    <row r="2335" spans="1:3" x14ac:dyDescent="0.35">
      <c r="A2335" t="s">
        <v>3233</v>
      </c>
      <c r="B2335" t="s">
        <v>3235</v>
      </c>
      <c r="C2335" t="s">
        <v>5</v>
      </c>
    </row>
    <row r="2336" spans="1:3" x14ac:dyDescent="0.35">
      <c r="A2336" t="s">
        <v>3236</v>
      </c>
      <c r="B2336" t="s">
        <v>3237</v>
      </c>
      <c r="C2336" t="s">
        <v>50</v>
      </c>
    </row>
    <row r="2337" spans="1:3" x14ac:dyDescent="0.35">
      <c r="A2337" t="s">
        <v>3238</v>
      </c>
      <c r="B2337" t="s">
        <v>3239</v>
      </c>
      <c r="C2337" t="s">
        <v>5</v>
      </c>
    </row>
    <row r="2338" spans="1:3" x14ac:dyDescent="0.35">
      <c r="A2338" t="s">
        <v>3240</v>
      </c>
      <c r="B2338" t="s">
        <v>3241</v>
      </c>
      <c r="C2338" t="s">
        <v>5</v>
      </c>
    </row>
    <row r="2339" spans="1:3" x14ac:dyDescent="0.35">
      <c r="A2339" t="s">
        <v>3242</v>
      </c>
      <c r="B2339" t="s">
        <v>3243</v>
      </c>
      <c r="C2339" t="s">
        <v>5</v>
      </c>
    </row>
    <row r="2340" spans="1:3" x14ac:dyDescent="0.35">
      <c r="A2340" t="s">
        <v>3244</v>
      </c>
      <c r="B2340">
        <v>613210008</v>
      </c>
      <c r="C2340" t="s">
        <v>7</v>
      </c>
    </row>
    <row r="2341" spans="1:3" x14ac:dyDescent="0.35">
      <c r="A2341" t="s">
        <v>3245</v>
      </c>
      <c r="B2341">
        <v>117080014</v>
      </c>
      <c r="C2341" t="s">
        <v>7</v>
      </c>
    </row>
    <row r="2342" spans="1:3" x14ac:dyDescent="0.35">
      <c r="A2342" t="s">
        <v>3246</v>
      </c>
      <c r="B2342" t="s">
        <v>3247</v>
      </c>
      <c r="C2342" t="s">
        <v>5</v>
      </c>
    </row>
    <row r="2343" spans="1:3" x14ac:dyDescent="0.35">
      <c r="A2343" t="s">
        <v>3248</v>
      </c>
      <c r="B2343">
        <v>602220006</v>
      </c>
      <c r="C2343" t="s">
        <v>7</v>
      </c>
    </row>
    <row r="2344" spans="1:3" x14ac:dyDescent="0.35">
      <c r="A2344" t="s">
        <v>3248</v>
      </c>
      <c r="B2344">
        <v>605010008</v>
      </c>
      <c r="C2344" t="s">
        <v>7</v>
      </c>
    </row>
    <row r="2345" spans="1:3" x14ac:dyDescent="0.35">
      <c r="A2345" t="s">
        <v>3249</v>
      </c>
      <c r="B2345">
        <v>604160003</v>
      </c>
      <c r="C2345" t="s">
        <v>7</v>
      </c>
    </row>
    <row r="2346" spans="1:3" x14ac:dyDescent="0.35">
      <c r="A2346" t="s">
        <v>3250</v>
      </c>
      <c r="B2346" t="s">
        <v>3251</v>
      </c>
      <c r="C2346" t="s">
        <v>5</v>
      </c>
    </row>
    <row r="2347" spans="1:3" x14ac:dyDescent="0.35">
      <c r="A2347" t="s">
        <v>3252</v>
      </c>
      <c r="B2347">
        <v>609010021</v>
      </c>
      <c r="C2347" t="s">
        <v>7</v>
      </c>
    </row>
    <row r="2348" spans="1:3" x14ac:dyDescent="0.35">
      <c r="A2348" t="s">
        <v>3253</v>
      </c>
      <c r="B2348">
        <v>614050012</v>
      </c>
      <c r="C2348" t="s">
        <v>7</v>
      </c>
    </row>
    <row r="2349" spans="1:3" x14ac:dyDescent="0.35">
      <c r="A2349" t="s">
        <v>3254</v>
      </c>
      <c r="B2349" t="s">
        <v>3255</v>
      </c>
      <c r="C2349" t="s">
        <v>5</v>
      </c>
    </row>
    <row r="2350" spans="1:3" x14ac:dyDescent="0.35">
      <c r="A2350" t="s">
        <v>3256</v>
      </c>
      <c r="B2350" t="s">
        <v>3257</v>
      </c>
      <c r="C2350" t="s">
        <v>5</v>
      </c>
    </row>
    <row r="2351" spans="1:3" x14ac:dyDescent="0.35">
      <c r="A2351" t="s">
        <v>3258</v>
      </c>
      <c r="B2351" t="s">
        <v>3259</v>
      </c>
      <c r="C2351" t="s">
        <v>5</v>
      </c>
    </row>
    <row r="2352" spans="1:3" x14ac:dyDescent="0.35">
      <c r="A2352" t="s">
        <v>3260</v>
      </c>
      <c r="B2352">
        <v>309260015</v>
      </c>
      <c r="C2352" t="s">
        <v>7</v>
      </c>
    </row>
    <row r="2353" spans="1:3" x14ac:dyDescent="0.35">
      <c r="A2353" t="s">
        <v>3261</v>
      </c>
      <c r="B2353">
        <v>309030010</v>
      </c>
      <c r="C2353" t="s">
        <v>7</v>
      </c>
    </row>
    <row r="2354" spans="1:3" x14ac:dyDescent="0.35">
      <c r="A2354" t="s">
        <v>3261</v>
      </c>
      <c r="B2354">
        <v>309100012</v>
      </c>
      <c r="C2354" t="s">
        <v>7</v>
      </c>
    </row>
    <row r="2355" spans="1:3" x14ac:dyDescent="0.35">
      <c r="A2355" t="s">
        <v>3262</v>
      </c>
      <c r="B2355" t="s">
        <v>3263</v>
      </c>
      <c r="C2355" t="s">
        <v>5</v>
      </c>
    </row>
    <row r="2356" spans="1:3" x14ac:dyDescent="0.35">
      <c r="A2356" t="s">
        <v>3264</v>
      </c>
      <c r="B2356">
        <v>621080040</v>
      </c>
      <c r="C2356" t="s">
        <v>7</v>
      </c>
    </row>
    <row r="2357" spans="1:3" x14ac:dyDescent="0.35">
      <c r="A2357" t="s">
        <v>3264</v>
      </c>
      <c r="B2357" t="s">
        <v>3265</v>
      </c>
      <c r="C2357" t="s">
        <v>5</v>
      </c>
    </row>
    <row r="2358" spans="1:3" x14ac:dyDescent="0.35">
      <c r="A2358" t="s">
        <v>3266</v>
      </c>
      <c r="B2358" t="s">
        <v>3267</v>
      </c>
      <c r="C2358" t="s">
        <v>32</v>
      </c>
    </row>
    <row r="2359" spans="1:3" x14ac:dyDescent="0.35">
      <c r="A2359" t="s">
        <v>3266</v>
      </c>
      <c r="B2359" t="s">
        <v>3268</v>
      </c>
      <c r="C2359" t="s">
        <v>50</v>
      </c>
    </row>
    <row r="2360" spans="1:3" x14ac:dyDescent="0.35">
      <c r="A2360" t="s">
        <v>3269</v>
      </c>
      <c r="B2360">
        <v>621050031</v>
      </c>
      <c r="C2360" t="s">
        <v>7</v>
      </c>
    </row>
    <row r="2361" spans="1:3" x14ac:dyDescent="0.35">
      <c r="A2361" t="s">
        <v>3270</v>
      </c>
      <c r="B2361" t="s">
        <v>3271</v>
      </c>
      <c r="C2361" t="s">
        <v>5</v>
      </c>
    </row>
    <row r="2362" spans="1:3" x14ac:dyDescent="0.35">
      <c r="A2362" t="s">
        <v>3272</v>
      </c>
      <c r="B2362" t="s">
        <v>3273</v>
      </c>
      <c r="C2362" t="s">
        <v>5</v>
      </c>
    </row>
    <row r="2363" spans="1:3" x14ac:dyDescent="0.35">
      <c r="A2363" t="s">
        <v>3274</v>
      </c>
      <c r="B2363" t="s">
        <v>3275</v>
      </c>
      <c r="C2363" t="s">
        <v>5</v>
      </c>
    </row>
    <row r="2364" spans="1:3" x14ac:dyDescent="0.35">
      <c r="A2364" t="s">
        <v>3276</v>
      </c>
      <c r="B2364">
        <v>604040009</v>
      </c>
      <c r="C2364" t="s">
        <v>7</v>
      </c>
    </row>
    <row r="2365" spans="1:3" x14ac:dyDescent="0.35">
      <c r="A2365" t="s">
        <v>3276</v>
      </c>
      <c r="B2365" t="s">
        <v>3277</v>
      </c>
      <c r="C2365" t="s">
        <v>5</v>
      </c>
    </row>
    <row r="2366" spans="1:3" x14ac:dyDescent="0.35">
      <c r="A2366" t="s">
        <v>3278</v>
      </c>
      <c r="B2366" t="s">
        <v>3279</v>
      </c>
      <c r="C2366" t="s">
        <v>5</v>
      </c>
    </row>
    <row r="2367" spans="1:3" x14ac:dyDescent="0.35">
      <c r="A2367" t="s">
        <v>3280</v>
      </c>
      <c r="B2367" t="s">
        <v>3281</v>
      </c>
      <c r="C2367" t="s">
        <v>5</v>
      </c>
    </row>
    <row r="2368" spans="1:3" x14ac:dyDescent="0.35">
      <c r="A2368" t="s">
        <v>3282</v>
      </c>
      <c r="B2368">
        <v>609010031</v>
      </c>
      <c r="C2368" t="s">
        <v>7</v>
      </c>
    </row>
    <row r="2369" spans="1:3" x14ac:dyDescent="0.35">
      <c r="A2369" t="s">
        <v>3283</v>
      </c>
      <c r="B2369" t="s">
        <v>3284</v>
      </c>
      <c r="C2369" t="s">
        <v>32</v>
      </c>
    </row>
    <row r="2370" spans="1:3" x14ac:dyDescent="0.35">
      <c r="A2370" t="s">
        <v>3285</v>
      </c>
      <c r="B2370">
        <v>604110008</v>
      </c>
      <c r="C2370" t="s">
        <v>7</v>
      </c>
    </row>
    <row r="2371" spans="1:3" x14ac:dyDescent="0.35">
      <c r="A2371" t="s">
        <v>3286</v>
      </c>
      <c r="B2371" t="s">
        <v>3287</v>
      </c>
      <c r="C2371" t="s">
        <v>5</v>
      </c>
    </row>
    <row r="2372" spans="1:3" x14ac:dyDescent="0.35">
      <c r="A2372" t="s">
        <v>3288</v>
      </c>
      <c r="B2372">
        <v>614160009</v>
      </c>
      <c r="C2372" t="s">
        <v>7</v>
      </c>
    </row>
    <row r="2373" spans="1:3" x14ac:dyDescent="0.35">
      <c r="A2373" t="s">
        <v>3289</v>
      </c>
      <c r="B2373" t="s">
        <v>3290</v>
      </c>
      <c r="C2373" t="s">
        <v>5</v>
      </c>
    </row>
    <row r="2374" spans="1:3" x14ac:dyDescent="0.35">
      <c r="A2374" t="s">
        <v>3291</v>
      </c>
      <c r="B2374" t="s">
        <v>3292</v>
      </c>
      <c r="C2374" t="s">
        <v>5</v>
      </c>
    </row>
    <row r="2375" spans="1:3" x14ac:dyDescent="0.35">
      <c r="A2375" t="s">
        <v>3293</v>
      </c>
      <c r="B2375" t="s">
        <v>3294</v>
      </c>
      <c r="C2375" t="s">
        <v>5</v>
      </c>
    </row>
    <row r="2376" spans="1:3" x14ac:dyDescent="0.35">
      <c r="A2376" t="s">
        <v>3295</v>
      </c>
      <c r="B2376" t="s">
        <v>3296</v>
      </c>
      <c r="C2376" t="s">
        <v>5</v>
      </c>
    </row>
    <row r="2377" spans="1:3" x14ac:dyDescent="0.35">
      <c r="A2377" t="s">
        <v>3297</v>
      </c>
      <c r="B2377" t="s">
        <v>3298</v>
      </c>
      <c r="C2377" t="s">
        <v>5</v>
      </c>
    </row>
    <row r="2378" spans="1:3" x14ac:dyDescent="0.35">
      <c r="A2378" t="s">
        <v>3299</v>
      </c>
      <c r="B2378" t="s">
        <v>3300</v>
      </c>
      <c r="C2378" t="s">
        <v>5</v>
      </c>
    </row>
    <row r="2379" spans="1:3" x14ac:dyDescent="0.35">
      <c r="A2379" t="s">
        <v>3301</v>
      </c>
      <c r="B2379" t="s">
        <v>3302</v>
      </c>
      <c r="C2379" t="s">
        <v>5</v>
      </c>
    </row>
    <row r="2380" spans="1:3" x14ac:dyDescent="0.35">
      <c r="A2380" t="s">
        <v>3303</v>
      </c>
      <c r="B2380" t="s">
        <v>3304</v>
      </c>
      <c r="C2380" t="s">
        <v>5</v>
      </c>
    </row>
    <row r="2381" spans="1:3" x14ac:dyDescent="0.35">
      <c r="A2381" t="s">
        <v>3305</v>
      </c>
      <c r="B2381">
        <v>605070016</v>
      </c>
      <c r="C2381" t="s">
        <v>7</v>
      </c>
    </row>
    <row r="2382" spans="1:3" x14ac:dyDescent="0.35">
      <c r="A2382" t="s">
        <v>3306</v>
      </c>
      <c r="B2382">
        <v>605070007</v>
      </c>
      <c r="C2382" t="s">
        <v>7</v>
      </c>
    </row>
    <row r="2383" spans="1:3" x14ac:dyDescent="0.35">
      <c r="A2383" t="s">
        <v>3307</v>
      </c>
      <c r="B2383">
        <v>604140013</v>
      </c>
      <c r="C2383" t="s">
        <v>7</v>
      </c>
    </row>
    <row r="2384" spans="1:3" x14ac:dyDescent="0.35">
      <c r="A2384" t="s">
        <v>3307</v>
      </c>
      <c r="B2384" t="s">
        <v>3308</v>
      </c>
      <c r="C2384" t="s">
        <v>5</v>
      </c>
    </row>
    <row r="2385" spans="1:3" x14ac:dyDescent="0.35">
      <c r="A2385" t="s">
        <v>3309</v>
      </c>
      <c r="B2385">
        <v>603150005</v>
      </c>
      <c r="C2385" t="s">
        <v>7</v>
      </c>
    </row>
    <row r="2386" spans="1:3" x14ac:dyDescent="0.35">
      <c r="A2386" t="s">
        <v>3309</v>
      </c>
      <c r="B2386" t="s">
        <v>3310</v>
      </c>
      <c r="C2386" t="s">
        <v>5</v>
      </c>
    </row>
    <row r="2387" spans="1:3" x14ac:dyDescent="0.35">
      <c r="A2387" t="s">
        <v>3309</v>
      </c>
      <c r="B2387" t="s">
        <v>3311</v>
      </c>
      <c r="C2387" t="s">
        <v>32</v>
      </c>
    </row>
    <row r="2388" spans="1:3" x14ac:dyDescent="0.35">
      <c r="A2388" t="s">
        <v>3312</v>
      </c>
      <c r="B2388">
        <v>612050018</v>
      </c>
      <c r="C2388" t="s">
        <v>7</v>
      </c>
    </row>
    <row r="2389" spans="1:3" x14ac:dyDescent="0.35">
      <c r="A2389" t="s">
        <v>3313</v>
      </c>
      <c r="B2389">
        <v>603020015</v>
      </c>
      <c r="C2389" t="s">
        <v>7</v>
      </c>
    </row>
    <row r="2390" spans="1:3" x14ac:dyDescent="0.35">
      <c r="A2390" t="s">
        <v>3313</v>
      </c>
      <c r="B2390">
        <v>603030015</v>
      </c>
      <c r="C2390" t="s">
        <v>7</v>
      </c>
    </row>
    <row r="2391" spans="1:3" x14ac:dyDescent="0.35">
      <c r="A2391" t="s">
        <v>3314</v>
      </c>
      <c r="B2391">
        <v>612150008</v>
      </c>
      <c r="C2391" t="s">
        <v>7</v>
      </c>
    </row>
    <row r="2392" spans="1:3" x14ac:dyDescent="0.35">
      <c r="A2392" t="s">
        <v>3315</v>
      </c>
      <c r="B2392">
        <v>320190017</v>
      </c>
      <c r="C2392" t="s">
        <v>7</v>
      </c>
    </row>
    <row r="2393" spans="1:3" x14ac:dyDescent="0.35">
      <c r="A2393" t="s">
        <v>3315</v>
      </c>
      <c r="B2393" t="s">
        <v>3316</v>
      </c>
      <c r="C2393" t="s">
        <v>5</v>
      </c>
    </row>
    <row r="2394" spans="1:3" x14ac:dyDescent="0.35">
      <c r="A2394" t="s">
        <v>3317</v>
      </c>
      <c r="B2394" t="s">
        <v>3318</v>
      </c>
      <c r="C2394" t="s">
        <v>5</v>
      </c>
    </row>
    <row r="2395" spans="1:3" x14ac:dyDescent="0.35">
      <c r="A2395" t="s">
        <v>3319</v>
      </c>
      <c r="B2395" t="s">
        <v>3320</v>
      </c>
      <c r="C2395" t="s">
        <v>5</v>
      </c>
    </row>
    <row r="2396" spans="1:3" x14ac:dyDescent="0.35">
      <c r="A2396" t="s">
        <v>3321</v>
      </c>
      <c r="B2396">
        <v>614210011</v>
      </c>
      <c r="C2396" t="s">
        <v>7</v>
      </c>
    </row>
    <row r="2397" spans="1:3" x14ac:dyDescent="0.35">
      <c r="A2397" t="s">
        <v>3322</v>
      </c>
      <c r="B2397" t="s">
        <v>3323</v>
      </c>
      <c r="C2397" t="s">
        <v>5</v>
      </c>
    </row>
    <row r="2398" spans="1:3" x14ac:dyDescent="0.35">
      <c r="A2398" t="s">
        <v>3324</v>
      </c>
      <c r="B2398" t="s">
        <v>3325</v>
      </c>
      <c r="C2398" t="s">
        <v>5</v>
      </c>
    </row>
    <row r="2399" spans="1:3" x14ac:dyDescent="0.35">
      <c r="A2399" t="s">
        <v>3326</v>
      </c>
      <c r="B2399" t="s">
        <v>3327</v>
      </c>
      <c r="C2399" t="s">
        <v>5</v>
      </c>
    </row>
    <row r="2400" spans="1:3" x14ac:dyDescent="0.35">
      <c r="A2400" t="s">
        <v>3328</v>
      </c>
      <c r="B2400" t="s">
        <v>3329</v>
      </c>
      <c r="C2400" t="s">
        <v>5</v>
      </c>
    </row>
    <row r="2401" spans="1:3" x14ac:dyDescent="0.35">
      <c r="A2401" t="s">
        <v>3330</v>
      </c>
      <c r="B2401" t="s">
        <v>3331</v>
      </c>
      <c r="C2401" t="s">
        <v>5</v>
      </c>
    </row>
    <row r="2402" spans="1:3" x14ac:dyDescent="0.35">
      <c r="A2402" t="s">
        <v>3332</v>
      </c>
      <c r="B2402">
        <v>605160012</v>
      </c>
      <c r="C2402" t="s">
        <v>7</v>
      </c>
    </row>
    <row r="2403" spans="1:3" x14ac:dyDescent="0.35">
      <c r="A2403" t="s">
        <v>3332</v>
      </c>
      <c r="B2403" t="s">
        <v>3333</v>
      </c>
      <c r="C2403" t="s">
        <v>5</v>
      </c>
    </row>
    <row r="2404" spans="1:3" x14ac:dyDescent="0.35">
      <c r="A2404" t="s">
        <v>3334</v>
      </c>
      <c r="B2404" t="s">
        <v>3335</v>
      </c>
      <c r="C2404" t="s">
        <v>5</v>
      </c>
    </row>
    <row r="2405" spans="1:3" x14ac:dyDescent="0.35">
      <c r="A2405" t="s">
        <v>3336</v>
      </c>
      <c r="B2405">
        <v>605040014</v>
      </c>
      <c r="C2405" t="s">
        <v>7</v>
      </c>
    </row>
    <row r="2406" spans="1:3" x14ac:dyDescent="0.35">
      <c r="A2406" t="s">
        <v>3337</v>
      </c>
      <c r="B2406" t="s">
        <v>3338</v>
      </c>
      <c r="C2406" t="s">
        <v>5</v>
      </c>
    </row>
    <row r="2407" spans="1:3" x14ac:dyDescent="0.35">
      <c r="A2407" t="s">
        <v>3339</v>
      </c>
      <c r="B2407">
        <v>609040025</v>
      </c>
      <c r="C2407" t="s">
        <v>7</v>
      </c>
    </row>
    <row r="2408" spans="1:3" x14ac:dyDescent="0.35">
      <c r="A2408" t="s">
        <v>3339</v>
      </c>
      <c r="B2408" t="s">
        <v>3340</v>
      </c>
      <c r="C2408" t="s">
        <v>5</v>
      </c>
    </row>
    <row r="2409" spans="1:3" x14ac:dyDescent="0.35">
      <c r="A2409" t="s">
        <v>3341</v>
      </c>
      <c r="B2409">
        <v>604010012</v>
      </c>
      <c r="C2409" t="s">
        <v>7</v>
      </c>
    </row>
    <row r="2410" spans="1:3" x14ac:dyDescent="0.35">
      <c r="A2410" t="s">
        <v>3341</v>
      </c>
      <c r="B2410" t="s">
        <v>3342</v>
      </c>
      <c r="C2410" t="s">
        <v>5</v>
      </c>
    </row>
    <row r="2411" spans="1:3" x14ac:dyDescent="0.35">
      <c r="A2411" t="s">
        <v>3343</v>
      </c>
      <c r="B2411" t="s">
        <v>3344</v>
      </c>
      <c r="C2411" t="s">
        <v>5</v>
      </c>
    </row>
    <row r="2412" spans="1:3" x14ac:dyDescent="0.35">
      <c r="A2412" t="s">
        <v>3345</v>
      </c>
      <c r="B2412">
        <v>603010020</v>
      </c>
      <c r="C2412" t="s">
        <v>7</v>
      </c>
    </row>
    <row r="2413" spans="1:3" x14ac:dyDescent="0.35">
      <c r="A2413" t="s">
        <v>3346</v>
      </c>
      <c r="B2413" t="s">
        <v>3347</v>
      </c>
      <c r="C2413" t="s">
        <v>5</v>
      </c>
    </row>
    <row r="2414" spans="1:3" x14ac:dyDescent="0.35">
      <c r="A2414" t="s">
        <v>3348</v>
      </c>
      <c r="B2414" t="s">
        <v>3349</v>
      </c>
      <c r="C2414" t="s">
        <v>5</v>
      </c>
    </row>
    <row r="2415" spans="1:3" x14ac:dyDescent="0.35">
      <c r="A2415" t="s">
        <v>3350</v>
      </c>
      <c r="B2415" t="s">
        <v>3351</v>
      </c>
      <c r="C2415" t="s">
        <v>5</v>
      </c>
    </row>
    <row r="2416" spans="1:3" x14ac:dyDescent="0.35">
      <c r="A2416" t="s">
        <v>3352</v>
      </c>
      <c r="B2416" t="s">
        <v>3353</v>
      </c>
      <c r="C2416" t="s">
        <v>5</v>
      </c>
    </row>
    <row r="2417" spans="1:3" x14ac:dyDescent="0.35">
      <c r="A2417" t="s">
        <v>3354</v>
      </c>
      <c r="B2417">
        <v>309080014</v>
      </c>
      <c r="C2417" t="s">
        <v>7</v>
      </c>
    </row>
    <row r="2418" spans="1:3" x14ac:dyDescent="0.35">
      <c r="A2418" t="s">
        <v>3355</v>
      </c>
      <c r="B2418" t="s">
        <v>3356</v>
      </c>
      <c r="C2418" t="s">
        <v>5</v>
      </c>
    </row>
    <row r="2419" spans="1:3" x14ac:dyDescent="0.35">
      <c r="A2419" t="s">
        <v>3357</v>
      </c>
      <c r="B2419">
        <v>317230002</v>
      </c>
      <c r="C2419" t="s">
        <v>7</v>
      </c>
    </row>
    <row r="2420" spans="1:3" x14ac:dyDescent="0.35">
      <c r="A2420" t="s">
        <v>3358</v>
      </c>
      <c r="B2420" t="s">
        <v>3359</v>
      </c>
      <c r="C2420" t="s">
        <v>5</v>
      </c>
    </row>
    <row r="2421" spans="1:3" x14ac:dyDescent="0.35">
      <c r="A2421" t="s">
        <v>3360</v>
      </c>
      <c r="B2421" t="s">
        <v>3361</v>
      </c>
      <c r="C2421" t="s">
        <v>5</v>
      </c>
    </row>
    <row r="2422" spans="1:3" x14ac:dyDescent="0.35">
      <c r="A2422" t="s">
        <v>3362</v>
      </c>
      <c r="B2422">
        <v>320280009</v>
      </c>
      <c r="C2422" t="s">
        <v>7</v>
      </c>
    </row>
    <row r="2423" spans="1:3" x14ac:dyDescent="0.35">
      <c r="A2423" t="s">
        <v>3362</v>
      </c>
      <c r="B2423" t="s">
        <v>3363</v>
      </c>
      <c r="C2423" t="s">
        <v>5</v>
      </c>
    </row>
    <row r="2424" spans="1:3" x14ac:dyDescent="0.35">
      <c r="A2424" t="s">
        <v>3364</v>
      </c>
      <c r="B2424" t="s">
        <v>3365</v>
      </c>
      <c r="C2424" t="s">
        <v>5</v>
      </c>
    </row>
    <row r="2425" spans="1:3" x14ac:dyDescent="0.35">
      <c r="A2425" t="s">
        <v>3366</v>
      </c>
      <c r="B2425">
        <v>601010016</v>
      </c>
      <c r="C2425" t="s">
        <v>7</v>
      </c>
    </row>
    <row r="2426" spans="1:3" x14ac:dyDescent="0.35">
      <c r="A2426" t="s">
        <v>3367</v>
      </c>
      <c r="B2426" t="s">
        <v>3368</v>
      </c>
      <c r="C2426" t="s">
        <v>5</v>
      </c>
    </row>
    <row r="2427" spans="1:3" x14ac:dyDescent="0.35">
      <c r="A2427" t="s">
        <v>3369</v>
      </c>
      <c r="B2427">
        <v>612060017</v>
      </c>
      <c r="C2427" t="s">
        <v>7</v>
      </c>
    </row>
    <row r="2428" spans="1:3" x14ac:dyDescent="0.35">
      <c r="A2428" t="s">
        <v>3370</v>
      </c>
      <c r="B2428">
        <v>605050006</v>
      </c>
      <c r="C2428" t="s">
        <v>7</v>
      </c>
    </row>
    <row r="2429" spans="1:3" x14ac:dyDescent="0.35">
      <c r="A2429" t="s">
        <v>3370</v>
      </c>
      <c r="B2429" t="s">
        <v>3371</v>
      </c>
      <c r="C2429" t="s">
        <v>50</v>
      </c>
    </row>
    <row r="2430" spans="1:3" x14ac:dyDescent="0.35">
      <c r="A2430" t="s">
        <v>3372</v>
      </c>
      <c r="B2430" t="s">
        <v>3373</v>
      </c>
      <c r="C2430" t="s">
        <v>32</v>
      </c>
    </row>
    <row r="2431" spans="1:3" x14ac:dyDescent="0.35">
      <c r="A2431" t="s">
        <v>3374</v>
      </c>
      <c r="B2431" t="s">
        <v>3375</v>
      </c>
      <c r="C2431" t="s">
        <v>5</v>
      </c>
    </row>
    <row r="2432" spans="1:3" x14ac:dyDescent="0.35">
      <c r="A2432" t="s">
        <v>3376</v>
      </c>
      <c r="B2432" t="s">
        <v>3377</v>
      </c>
      <c r="C2432" t="s">
        <v>5</v>
      </c>
    </row>
    <row r="2433" spans="1:3" x14ac:dyDescent="0.35">
      <c r="A2433" t="s">
        <v>3378</v>
      </c>
      <c r="B2433" t="s">
        <v>3379</v>
      </c>
      <c r="C2433" t="s">
        <v>5</v>
      </c>
    </row>
    <row r="2434" spans="1:3" x14ac:dyDescent="0.35">
      <c r="A2434" t="s">
        <v>3380</v>
      </c>
      <c r="B2434">
        <v>621050032</v>
      </c>
      <c r="C2434" t="s">
        <v>7</v>
      </c>
    </row>
    <row r="2435" spans="1:3" x14ac:dyDescent="0.35">
      <c r="A2435" t="s">
        <v>3380</v>
      </c>
      <c r="B2435" t="s">
        <v>3381</v>
      </c>
      <c r="C2435" t="s">
        <v>5</v>
      </c>
    </row>
    <row r="2436" spans="1:3" x14ac:dyDescent="0.35">
      <c r="A2436" t="s">
        <v>3382</v>
      </c>
      <c r="B2436" t="s">
        <v>3383</v>
      </c>
      <c r="C2436" t="s">
        <v>5</v>
      </c>
    </row>
    <row r="2437" spans="1:3" x14ac:dyDescent="0.35">
      <c r="A2437" t="s">
        <v>3384</v>
      </c>
      <c r="B2437" t="s">
        <v>3385</v>
      </c>
      <c r="C2437" t="s">
        <v>5</v>
      </c>
    </row>
    <row r="2438" spans="1:3" x14ac:dyDescent="0.35">
      <c r="A2438" t="s">
        <v>3384</v>
      </c>
      <c r="B2438" t="s">
        <v>3386</v>
      </c>
      <c r="C2438" t="s">
        <v>32</v>
      </c>
    </row>
    <row r="2439" spans="1:3" x14ac:dyDescent="0.35">
      <c r="A2439" t="s">
        <v>3387</v>
      </c>
      <c r="B2439" t="s">
        <v>3388</v>
      </c>
      <c r="C2439" t="s">
        <v>5</v>
      </c>
    </row>
    <row r="2440" spans="1:3" x14ac:dyDescent="0.35">
      <c r="A2440" t="s">
        <v>3389</v>
      </c>
      <c r="B2440" t="s">
        <v>3390</v>
      </c>
      <c r="C2440" t="s">
        <v>5</v>
      </c>
    </row>
    <row r="2441" spans="1:3" x14ac:dyDescent="0.35">
      <c r="A2441" t="s">
        <v>3391</v>
      </c>
      <c r="B2441">
        <v>612260015</v>
      </c>
      <c r="C2441" t="s">
        <v>7</v>
      </c>
    </row>
    <row r="2442" spans="1:3" x14ac:dyDescent="0.35">
      <c r="A2442" t="s">
        <v>3391</v>
      </c>
      <c r="B2442" t="s">
        <v>3392</v>
      </c>
      <c r="C2442" t="s">
        <v>5</v>
      </c>
    </row>
    <row r="2443" spans="1:3" x14ac:dyDescent="0.35">
      <c r="A2443" t="s">
        <v>3393</v>
      </c>
      <c r="B2443">
        <v>605110038</v>
      </c>
      <c r="C2443" t="s">
        <v>7</v>
      </c>
    </row>
    <row r="2444" spans="1:3" x14ac:dyDescent="0.35">
      <c r="A2444" t="s">
        <v>3394</v>
      </c>
      <c r="B2444" t="s">
        <v>3395</v>
      </c>
      <c r="C2444" t="s">
        <v>5</v>
      </c>
    </row>
    <row r="2445" spans="1:3" x14ac:dyDescent="0.35">
      <c r="A2445" t="s">
        <v>3396</v>
      </c>
      <c r="B2445" t="s">
        <v>3397</v>
      </c>
      <c r="C2445" t="s">
        <v>5</v>
      </c>
    </row>
    <row r="2446" spans="1:3" x14ac:dyDescent="0.35">
      <c r="A2446" t="s">
        <v>3398</v>
      </c>
      <c r="B2446">
        <v>612120005</v>
      </c>
      <c r="C2446" t="s">
        <v>7</v>
      </c>
    </row>
    <row r="2447" spans="1:3" x14ac:dyDescent="0.35">
      <c r="A2447" t="s">
        <v>3398</v>
      </c>
      <c r="B2447" t="s">
        <v>3399</v>
      </c>
      <c r="C2447" t="s">
        <v>32</v>
      </c>
    </row>
    <row r="2448" spans="1:3" x14ac:dyDescent="0.35">
      <c r="A2448" t="s">
        <v>3398</v>
      </c>
      <c r="B2448" t="s">
        <v>3400</v>
      </c>
      <c r="C2448" t="s">
        <v>5</v>
      </c>
    </row>
    <row r="2449" spans="1:3" x14ac:dyDescent="0.35">
      <c r="A2449" t="s">
        <v>3401</v>
      </c>
      <c r="B2449">
        <v>111050022</v>
      </c>
      <c r="C2449" t="s">
        <v>7</v>
      </c>
    </row>
    <row r="2450" spans="1:3" x14ac:dyDescent="0.35">
      <c r="A2450" t="s">
        <v>3402</v>
      </c>
      <c r="B2450" t="s">
        <v>3403</v>
      </c>
      <c r="C2450" t="s">
        <v>5</v>
      </c>
    </row>
    <row r="2451" spans="1:3" x14ac:dyDescent="0.35">
      <c r="A2451" t="s">
        <v>3404</v>
      </c>
      <c r="B2451" t="s">
        <v>3405</v>
      </c>
      <c r="C2451" t="s">
        <v>5</v>
      </c>
    </row>
    <row r="2452" spans="1:3" x14ac:dyDescent="0.35">
      <c r="A2452" t="s">
        <v>3406</v>
      </c>
      <c r="B2452" t="s">
        <v>3407</v>
      </c>
      <c r="C2452" t="s">
        <v>5</v>
      </c>
    </row>
    <row r="2453" spans="1:3" x14ac:dyDescent="0.35">
      <c r="A2453" t="s">
        <v>3408</v>
      </c>
      <c r="B2453" t="s">
        <v>3409</v>
      </c>
      <c r="C2453" t="s">
        <v>50</v>
      </c>
    </row>
    <row r="2454" spans="1:3" x14ac:dyDescent="0.35">
      <c r="A2454" t="s">
        <v>3410</v>
      </c>
      <c r="B2454">
        <v>317170013</v>
      </c>
      <c r="C2454" t="s">
        <v>7</v>
      </c>
    </row>
    <row r="2455" spans="1:3" x14ac:dyDescent="0.35">
      <c r="A2455" t="s">
        <v>3411</v>
      </c>
      <c r="B2455" t="s">
        <v>3412</v>
      </c>
      <c r="C2455" t="s">
        <v>5</v>
      </c>
    </row>
    <row r="2456" spans="1:3" x14ac:dyDescent="0.35">
      <c r="A2456" t="s">
        <v>3413</v>
      </c>
      <c r="B2456">
        <v>605030026</v>
      </c>
      <c r="C2456" t="s">
        <v>7</v>
      </c>
    </row>
    <row r="2457" spans="1:3" x14ac:dyDescent="0.35">
      <c r="A2457" t="s">
        <v>3413</v>
      </c>
      <c r="B2457" t="s">
        <v>3414</v>
      </c>
      <c r="C2457" t="s">
        <v>5</v>
      </c>
    </row>
    <row r="2458" spans="1:3" x14ac:dyDescent="0.35">
      <c r="A2458" t="s">
        <v>3415</v>
      </c>
      <c r="B2458">
        <v>609050039</v>
      </c>
      <c r="C2458" t="s">
        <v>7</v>
      </c>
    </row>
    <row r="2459" spans="1:3" x14ac:dyDescent="0.35">
      <c r="A2459" t="s">
        <v>3416</v>
      </c>
      <c r="B2459" t="s">
        <v>3417</v>
      </c>
      <c r="C2459" t="s">
        <v>5</v>
      </c>
    </row>
    <row r="2460" spans="1:3" x14ac:dyDescent="0.35">
      <c r="A2460" t="s">
        <v>3418</v>
      </c>
      <c r="B2460" t="s">
        <v>3419</v>
      </c>
      <c r="C2460" t="s">
        <v>5</v>
      </c>
    </row>
    <row r="2461" spans="1:3" x14ac:dyDescent="0.35">
      <c r="A2461" t="s">
        <v>3420</v>
      </c>
      <c r="B2461">
        <v>309120017</v>
      </c>
      <c r="C2461" t="s">
        <v>7</v>
      </c>
    </row>
    <row r="2462" spans="1:3" x14ac:dyDescent="0.35">
      <c r="A2462" t="s">
        <v>3421</v>
      </c>
      <c r="B2462">
        <v>607150019</v>
      </c>
      <c r="C2462" t="s">
        <v>7</v>
      </c>
    </row>
    <row r="2463" spans="1:3" x14ac:dyDescent="0.35">
      <c r="A2463" t="s">
        <v>3421</v>
      </c>
      <c r="B2463" t="s">
        <v>3422</v>
      </c>
      <c r="C2463" t="s">
        <v>5</v>
      </c>
    </row>
    <row r="2464" spans="1:3" x14ac:dyDescent="0.35">
      <c r="A2464" t="s">
        <v>3423</v>
      </c>
      <c r="B2464">
        <v>602110010</v>
      </c>
      <c r="C2464" t="s">
        <v>7</v>
      </c>
    </row>
    <row r="2465" spans="1:3" x14ac:dyDescent="0.35">
      <c r="A2465" t="s">
        <v>3423</v>
      </c>
      <c r="B2465" t="s">
        <v>3424</v>
      </c>
      <c r="C2465" t="s">
        <v>50</v>
      </c>
    </row>
    <row r="2466" spans="1:3" x14ac:dyDescent="0.35">
      <c r="A2466" t="s">
        <v>3425</v>
      </c>
      <c r="B2466" t="s">
        <v>3426</v>
      </c>
      <c r="C2466" t="s">
        <v>5</v>
      </c>
    </row>
    <row r="2467" spans="1:3" x14ac:dyDescent="0.35">
      <c r="A2467" t="s">
        <v>3427</v>
      </c>
      <c r="B2467" t="s">
        <v>3428</v>
      </c>
      <c r="C2467" t="s">
        <v>5</v>
      </c>
    </row>
    <row r="2468" spans="1:3" x14ac:dyDescent="0.35">
      <c r="A2468" t="s">
        <v>3429</v>
      </c>
      <c r="B2468">
        <v>609020019</v>
      </c>
      <c r="C2468" t="s">
        <v>7</v>
      </c>
    </row>
    <row r="2469" spans="1:3" x14ac:dyDescent="0.35">
      <c r="A2469" t="s">
        <v>3430</v>
      </c>
      <c r="B2469" t="s">
        <v>3431</v>
      </c>
      <c r="C2469" t="s">
        <v>5</v>
      </c>
    </row>
    <row r="2470" spans="1:3" x14ac:dyDescent="0.35">
      <c r="A2470" t="s">
        <v>3432</v>
      </c>
      <c r="B2470">
        <v>605070017</v>
      </c>
      <c r="C2470" t="s">
        <v>7</v>
      </c>
    </row>
    <row r="2471" spans="1:3" x14ac:dyDescent="0.35">
      <c r="A2471" t="s">
        <v>3433</v>
      </c>
      <c r="B2471">
        <v>605120016</v>
      </c>
      <c r="C2471" t="s">
        <v>7</v>
      </c>
    </row>
    <row r="2472" spans="1:3" x14ac:dyDescent="0.35">
      <c r="A2472" t="s">
        <v>3434</v>
      </c>
      <c r="B2472">
        <v>604020009</v>
      </c>
      <c r="C2472" t="s">
        <v>7</v>
      </c>
    </row>
    <row r="2473" spans="1:3" x14ac:dyDescent="0.35">
      <c r="A2473" t="s">
        <v>3435</v>
      </c>
      <c r="B2473">
        <v>604150012</v>
      </c>
      <c r="C2473" t="s">
        <v>7</v>
      </c>
    </row>
    <row r="2474" spans="1:3" x14ac:dyDescent="0.35">
      <c r="A2474" t="s">
        <v>3435</v>
      </c>
      <c r="B2474" t="s">
        <v>3436</v>
      </c>
      <c r="C2474" t="s">
        <v>5</v>
      </c>
    </row>
    <row r="2475" spans="1:3" x14ac:dyDescent="0.35">
      <c r="A2475" t="s">
        <v>3437</v>
      </c>
      <c r="B2475" t="s">
        <v>3438</v>
      </c>
      <c r="C2475" t="s">
        <v>5</v>
      </c>
    </row>
    <row r="2476" spans="1:3" x14ac:dyDescent="0.35">
      <c r="A2476" t="s">
        <v>3439</v>
      </c>
      <c r="B2476" t="s">
        <v>3440</v>
      </c>
      <c r="C2476" t="s">
        <v>5</v>
      </c>
    </row>
    <row r="2477" spans="1:3" x14ac:dyDescent="0.35">
      <c r="A2477" t="s">
        <v>3441</v>
      </c>
      <c r="B2477" t="s">
        <v>3442</v>
      </c>
      <c r="C2477" t="s">
        <v>5</v>
      </c>
    </row>
    <row r="2478" spans="1:3" x14ac:dyDescent="0.35">
      <c r="A2478" t="s">
        <v>3443</v>
      </c>
      <c r="B2478">
        <v>621080039</v>
      </c>
      <c r="C2478" t="s">
        <v>7</v>
      </c>
    </row>
    <row r="2479" spans="1:3" x14ac:dyDescent="0.35">
      <c r="A2479" t="s">
        <v>3444</v>
      </c>
      <c r="B2479" t="s">
        <v>3445</v>
      </c>
      <c r="C2479" t="s">
        <v>32</v>
      </c>
    </row>
    <row r="2480" spans="1:3" x14ac:dyDescent="0.35">
      <c r="A2480" t="s">
        <v>3446</v>
      </c>
      <c r="B2480">
        <v>605110029</v>
      </c>
      <c r="C2480" t="s">
        <v>7</v>
      </c>
    </row>
    <row r="2481" spans="1:3" x14ac:dyDescent="0.35">
      <c r="A2481" t="s">
        <v>3446</v>
      </c>
      <c r="B2481" t="s">
        <v>3447</v>
      </c>
      <c r="C2481" t="s">
        <v>50</v>
      </c>
    </row>
    <row r="2482" spans="1:3" x14ac:dyDescent="0.35">
      <c r="A2482" t="s">
        <v>3448</v>
      </c>
      <c r="B2482" t="s">
        <v>3449</v>
      </c>
      <c r="C2482" t="s">
        <v>5</v>
      </c>
    </row>
    <row r="2483" spans="1:3" x14ac:dyDescent="0.35">
      <c r="A2483" t="s">
        <v>3450</v>
      </c>
      <c r="B2483">
        <v>605110030</v>
      </c>
      <c r="C2483" t="s">
        <v>7</v>
      </c>
    </row>
    <row r="2484" spans="1:3" x14ac:dyDescent="0.35">
      <c r="A2484" t="s">
        <v>3451</v>
      </c>
      <c r="B2484" t="s">
        <v>3452</v>
      </c>
      <c r="C2484" t="s">
        <v>5</v>
      </c>
    </row>
    <row r="2485" spans="1:3" x14ac:dyDescent="0.35">
      <c r="A2485" t="s">
        <v>3453</v>
      </c>
      <c r="B2485">
        <v>604060023</v>
      </c>
      <c r="C2485" t="s">
        <v>7</v>
      </c>
    </row>
    <row r="2486" spans="1:3" x14ac:dyDescent="0.35">
      <c r="A2486" t="s">
        <v>3453</v>
      </c>
      <c r="B2486" t="s">
        <v>3454</v>
      </c>
      <c r="C2486" t="s">
        <v>5</v>
      </c>
    </row>
    <row r="2487" spans="1:3" x14ac:dyDescent="0.35">
      <c r="A2487" t="s">
        <v>3455</v>
      </c>
      <c r="B2487" t="s">
        <v>3456</v>
      </c>
      <c r="C2487" t="s">
        <v>32</v>
      </c>
    </row>
    <row r="2488" spans="1:3" x14ac:dyDescent="0.35">
      <c r="A2488" t="s">
        <v>3457</v>
      </c>
      <c r="B2488" t="s">
        <v>3458</v>
      </c>
      <c r="C2488" t="s">
        <v>5</v>
      </c>
    </row>
    <row r="2489" spans="1:3" x14ac:dyDescent="0.35">
      <c r="A2489" t="s">
        <v>3459</v>
      </c>
      <c r="B2489" t="s">
        <v>3460</v>
      </c>
      <c r="C2489" t="s">
        <v>5</v>
      </c>
    </row>
    <row r="2490" spans="1:3" x14ac:dyDescent="0.35">
      <c r="A2490" t="s">
        <v>3461</v>
      </c>
      <c r="B2490">
        <v>621030020</v>
      </c>
      <c r="C2490" t="s">
        <v>7</v>
      </c>
    </row>
    <row r="2491" spans="1:3" x14ac:dyDescent="0.35">
      <c r="A2491" t="s">
        <v>3462</v>
      </c>
      <c r="B2491">
        <v>609060006</v>
      </c>
      <c r="C2491" t="s">
        <v>7</v>
      </c>
    </row>
    <row r="2492" spans="1:3" x14ac:dyDescent="0.35">
      <c r="A2492" t="s">
        <v>3463</v>
      </c>
      <c r="B2492">
        <v>618050006</v>
      </c>
      <c r="C2492" t="s">
        <v>7</v>
      </c>
    </row>
    <row r="2493" spans="1:3" x14ac:dyDescent="0.35">
      <c r="A2493" t="s">
        <v>3464</v>
      </c>
      <c r="B2493">
        <v>609020034</v>
      </c>
      <c r="C2493" t="s">
        <v>7</v>
      </c>
    </row>
    <row r="2494" spans="1:3" x14ac:dyDescent="0.35">
      <c r="A2494" t="s">
        <v>3465</v>
      </c>
      <c r="B2494">
        <v>605020017</v>
      </c>
      <c r="C2494" t="s">
        <v>7</v>
      </c>
    </row>
    <row r="2495" spans="1:3" x14ac:dyDescent="0.35">
      <c r="A2495" t="s">
        <v>3465</v>
      </c>
      <c r="B2495" t="s">
        <v>3466</v>
      </c>
      <c r="C2495" t="s">
        <v>32</v>
      </c>
    </row>
    <row r="2496" spans="1:3" x14ac:dyDescent="0.35">
      <c r="A2496" t="s">
        <v>3465</v>
      </c>
      <c r="B2496" t="s">
        <v>3467</v>
      </c>
      <c r="C2496" t="s">
        <v>5</v>
      </c>
    </row>
    <row r="2497" spans="1:3" x14ac:dyDescent="0.35">
      <c r="A2497" t="s">
        <v>3468</v>
      </c>
      <c r="B2497">
        <v>605020026</v>
      </c>
      <c r="C2497" t="s">
        <v>7</v>
      </c>
    </row>
    <row r="2498" spans="1:3" x14ac:dyDescent="0.35">
      <c r="A2498" t="s">
        <v>3469</v>
      </c>
      <c r="B2498" t="s">
        <v>3470</v>
      </c>
      <c r="C2498" t="s">
        <v>5</v>
      </c>
    </row>
    <row r="2499" spans="1:3" x14ac:dyDescent="0.35">
      <c r="A2499" t="s">
        <v>3471</v>
      </c>
      <c r="B2499" t="s">
        <v>3472</v>
      </c>
      <c r="C2499" t="s">
        <v>32</v>
      </c>
    </row>
    <row r="2500" spans="1:3" x14ac:dyDescent="0.35">
      <c r="A2500" t="s">
        <v>3471</v>
      </c>
      <c r="B2500" t="s">
        <v>3473</v>
      </c>
      <c r="C2500" t="s">
        <v>5</v>
      </c>
    </row>
    <row r="2501" spans="1:3" x14ac:dyDescent="0.35">
      <c r="A2501" t="s">
        <v>3474</v>
      </c>
      <c r="B2501">
        <v>604170021</v>
      </c>
      <c r="C2501" t="s">
        <v>7</v>
      </c>
    </row>
    <row r="2502" spans="1:3" x14ac:dyDescent="0.35">
      <c r="A2502" t="s">
        <v>3474</v>
      </c>
      <c r="B2502" t="s">
        <v>3475</v>
      </c>
      <c r="C2502" t="s">
        <v>32</v>
      </c>
    </row>
    <row r="2503" spans="1:3" x14ac:dyDescent="0.35">
      <c r="A2503" t="s">
        <v>3474</v>
      </c>
      <c r="B2503" t="s">
        <v>3476</v>
      </c>
      <c r="C2503" t="s">
        <v>50</v>
      </c>
    </row>
    <row r="2504" spans="1:3" x14ac:dyDescent="0.35">
      <c r="A2504" t="s">
        <v>3477</v>
      </c>
      <c r="B2504" t="s">
        <v>3478</v>
      </c>
      <c r="C2504" t="s">
        <v>5</v>
      </c>
    </row>
    <row r="2505" spans="1:3" x14ac:dyDescent="0.35">
      <c r="A2505" t="s">
        <v>3479</v>
      </c>
      <c r="B2505">
        <v>607010020</v>
      </c>
      <c r="C2505" t="s">
        <v>7</v>
      </c>
    </row>
    <row r="2506" spans="1:3" x14ac:dyDescent="0.35">
      <c r="A2506" t="s">
        <v>3479</v>
      </c>
      <c r="B2506" t="s">
        <v>3480</v>
      </c>
      <c r="C2506" t="s">
        <v>5</v>
      </c>
    </row>
    <row r="2507" spans="1:3" x14ac:dyDescent="0.35">
      <c r="A2507" t="s">
        <v>3481</v>
      </c>
      <c r="B2507" t="s">
        <v>3482</v>
      </c>
      <c r="C2507" t="s">
        <v>5</v>
      </c>
    </row>
    <row r="2508" spans="1:3" x14ac:dyDescent="0.35">
      <c r="A2508" t="s">
        <v>3483</v>
      </c>
      <c r="B2508">
        <v>602170004</v>
      </c>
      <c r="C2508" t="s">
        <v>7</v>
      </c>
    </row>
    <row r="2509" spans="1:3" x14ac:dyDescent="0.35">
      <c r="A2509" t="s">
        <v>3484</v>
      </c>
      <c r="B2509">
        <v>323100005</v>
      </c>
      <c r="C2509" t="s">
        <v>7</v>
      </c>
    </row>
    <row r="2510" spans="1:3" x14ac:dyDescent="0.35">
      <c r="A2510" t="s">
        <v>3485</v>
      </c>
      <c r="B2510">
        <v>604190014</v>
      </c>
      <c r="C2510" t="s">
        <v>7</v>
      </c>
    </row>
    <row r="2511" spans="1:3" x14ac:dyDescent="0.35">
      <c r="A2511" t="s">
        <v>3486</v>
      </c>
      <c r="B2511">
        <v>0</v>
      </c>
      <c r="C2511" t="s">
        <v>7</v>
      </c>
    </row>
    <row r="2512" spans="1:3" x14ac:dyDescent="0.35">
      <c r="A2512" t="s">
        <v>3487</v>
      </c>
      <c r="B2512">
        <v>306110006</v>
      </c>
      <c r="C2512" t="s">
        <v>7</v>
      </c>
    </row>
    <row r="2513" spans="1:3" x14ac:dyDescent="0.35">
      <c r="A2513" t="s">
        <v>3488</v>
      </c>
      <c r="B2513">
        <v>609050018</v>
      </c>
      <c r="C2513" t="s">
        <v>7</v>
      </c>
    </row>
    <row r="2514" spans="1:3" x14ac:dyDescent="0.35">
      <c r="A2514" t="s">
        <v>3488</v>
      </c>
      <c r="B2514" t="s">
        <v>3489</v>
      </c>
      <c r="C2514" t="s">
        <v>5</v>
      </c>
    </row>
    <row r="2515" spans="1:3" x14ac:dyDescent="0.35">
      <c r="A2515" t="s">
        <v>3490</v>
      </c>
      <c r="B2515">
        <v>612130016</v>
      </c>
      <c r="C2515" t="s">
        <v>7</v>
      </c>
    </row>
    <row r="2516" spans="1:3" x14ac:dyDescent="0.35">
      <c r="A2516" t="s">
        <v>3491</v>
      </c>
      <c r="B2516" t="s">
        <v>3492</v>
      </c>
      <c r="C2516" t="s">
        <v>32</v>
      </c>
    </row>
    <row r="2517" spans="1:3" x14ac:dyDescent="0.35">
      <c r="A2517" t="s">
        <v>3493</v>
      </c>
      <c r="B2517" t="s">
        <v>3494</v>
      </c>
      <c r="C2517" t="s">
        <v>5</v>
      </c>
    </row>
    <row r="2518" spans="1:3" x14ac:dyDescent="0.35">
      <c r="A2518" t="s">
        <v>3495</v>
      </c>
      <c r="B2518" t="s">
        <v>3496</v>
      </c>
      <c r="C2518" t="s">
        <v>5</v>
      </c>
    </row>
    <row r="2519" spans="1:3" x14ac:dyDescent="0.35">
      <c r="A2519" t="s">
        <v>3497</v>
      </c>
      <c r="B2519">
        <v>612070007</v>
      </c>
      <c r="C2519" t="s">
        <v>7</v>
      </c>
    </row>
    <row r="2520" spans="1:3" x14ac:dyDescent="0.35">
      <c r="A2520" t="s">
        <v>3498</v>
      </c>
      <c r="B2520" t="s">
        <v>3499</v>
      </c>
      <c r="C2520" t="s">
        <v>5</v>
      </c>
    </row>
    <row r="2521" spans="1:3" x14ac:dyDescent="0.35">
      <c r="A2521" t="s">
        <v>3500</v>
      </c>
      <c r="B2521">
        <v>604020011</v>
      </c>
      <c r="C2521" t="s">
        <v>7</v>
      </c>
    </row>
    <row r="2522" spans="1:3" x14ac:dyDescent="0.35">
      <c r="A2522" t="s">
        <v>3501</v>
      </c>
      <c r="B2522">
        <v>111100015</v>
      </c>
      <c r="C2522" t="s">
        <v>7</v>
      </c>
    </row>
    <row r="2523" spans="1:3" x14ac:dyDescent="0.35">
      <c r="A2523" t="s">
        <v>3502</v>
      </c>
      <c r="B2523">
        <v>614230008</v>
      </c>
      <c r="C2523" t="s">
        <v>7</v>
      </c>
    </row>
    <row r="2524" spans="1:3" x14ac:dyDescent="0.35">
      <c r="A2524" t="s">
        <v>3503</v>
      </c>
      <c r="B2524">
        <v>306110007</v>
      </c>
      <c r="C2524" t="s">
        <v>7</v>
      </c>
    </row>
    <row r="2525" spans="1:3" x14ac:dyDescent="0.35">
      <c r="A2525" t="s">
        <v>3504</v>
      </c>
      <c r="B2525" t="s">
        <v>3505</v>
      </c>
      <c r="C2525" t="s">
        <v>32</v>
      </c>
    </row>
    <row r="2526" spans="1:3" x14ac:dyDescent="0.35">
      <c r="A2526" t="s">
        <v>3506</v>
      </c>
      <c r="B2526">
        <v>603010031</v>
      </c>
      <c r="C2526" t="s">
        <v>7</v>
      </c>
    </row>
    <row r="2527" spans="1:3" x14ac:dyDescent="0.35">
      <c r="A2527" t="s">
        <v>3507</v>
      </c>
      <c r="B2527">
        <v>607010021</v>
      </c>
      <c r="C2527" t="s">
        <v>7</v>
      </c>
    </row>
    <row r="2528" spans="1:3" x14ac:dyDescent="0.35">
      <c r="A2528" t="s">
        <v>3508</v>
      </c>
      <c r="B2528">
        <v>612140001</v>
      </c>
      <c r="C2528" t="s">
        <v>7</v>
      </c>
    </row>
    <row r="2529" spans="1:3" x14ac:dyDescent="0.35">
      <c r="A2529" t="s">
        <v>3509</v>
      </c>
      <c r="B2529" t="s">
        <v>3510</v>
      </c>
      <c r="C2529" t="s">
        <v>5</v>
      </c>
    </row>
    <row r="2530" spans="1:3" x14ac:dyDescent="0.35">
      <c r="A2530" t="s">
        <v>3511</v>
      </c>
      <c r="B2530">
        <v>604150011</v>
      </c>
      <c r="C2530" t="s">
        <v>7</v>
      </c>
    </row>
    <row r="2531" spans="1:3" x14ac:dyDescent="0.35">
      <c r="A2531" t="s">
        <v>3512</v>
      </c>
      <c r="B2531">
        <v>604150009</v>
      </c>
      <c r="C2531" t="s">
        <v>7</v>
      </c>
    </row>
    <row r="2532" spans="1:3" x14ac:dyDescent="0.35">
      <c r="A2532" t="s">
        <v>3513</v>
      </c>
      <c r="B2532" t="s">
        <v>3514</v>
      </c>
      <c r="C2532" t="s">
        <v>5</v>
      </c>
    </row>
    <row r="2533" spans="1:3" x14ac:dyDescent="0.35">
      <c r="A2533" t="s">
        <v>3515</v>
      </c>
      <c r="B2533" t="s">
        <v>3516</v>
      </c>
      <c r="C2533" t="s">
        <v>5</v>
      </c>
    </row>
    <row r="2534" spans="1:3" x14ac:dyDescent="0.35">
      <c r="A2534" t="s">
        <v>3517</v>
      </c>
      <c r="B2534" t="s">
        <v>3518</v>
      </c>
      <c r="C2534" t="s">
        <v>5</v>
      </c>
    </row>
    <row r="2535" spans="1:3" x14ac:dyDescent="0.35">
      <c r="A2535" t="s">
        <v>3519</v>
      </c>
      <c r="B2535">
        <v>320110010</v>
      </c>
      <c r="C2535" t="s">
        <v>7</v>
      </c>
    </row>
    <row r="2536" spans="1:3" x14ac:dyDescent="0.35">
      <c r="A2536" t="s">
        <v>3520</v>
      </c>
      <c r="B2536">
        <v>614270003</v>
      </c>
      <c r="C2536" t="s">
        <v>7</v>
      </c>
    </row>
    <row r="2537" spans="1:3" x14ac:dyDescent="0.35">
      <c r="A2537" t="s">
        <v>3521</v>
      </c>
      <c r="B2537">
        <v>111190009</v>
      </c>
      <c r="C2537" t="s">
        <v>7</v>
      </c>
    </row>
    <row r="2538" spans="1:3" x14ac:dyDescent="0.35">
      <c r="A2538" t="s">
        <v>3522</v>
      </c>
      <c r="B2538" t="s">
        <v>3523</v>
      </c>
      <c r="C2538" t="s">
        <v>5</v>
      </c>
    </row>
    <row r="2539" spans="1:3" x14ac:dyDescent="0.35">
      <c r="A2539" t="s">
        <v>3524</v>
      </c>
      <c r="B2539" t="s">
        <v>3525</v>
      </c>
      <c r="C2539" t="s">
        <v>50</v>
      </c>
    </row>
    <row r="2540" spans="1:3" x14ac:dyDescent="0.35">
      <c r="A2540" t="s">
        <v>3526</v>
      </c>
      <c r="B2540" t="s">
        <v>3527</v>
      </c>
      <c r="C2540" t="s">
        <v>5</v>
      </c>
    </row>
    <row r="2541" spans="1:3" x14ac:dyDescent="0.35">
      <c r="A2541" t="s">
        <v>3528</v>
      </c>
      <c r="B2541">
        <v>320050012</v>
      </c>
      <c r="C2541" t="s">
        <v>7</v>
      </c>
    </row>
    <row r="2542" spans="1:3" x14ac:dyDescent="0.35">
      <c r="A2542" t="s">
        <v>3528</v>
      </c>
      <c r="B2542" t="s">
        <v>3529</v>
      </c>
      <c r="C2542" t="s">
        <v>5</v>
      </c>
    </row>
    <row r="2543" spans="1:3" x14ac:dyDescent="0.35">
      <c r="A2543" t="s">
        <v>3530</v>
      </c>
      <c r="B2543">
        <v>603010021</v>
      </c>
      <c r="C2543" t="s">
        <v>7</v>
      </c>
    </row>
    <row r="2544" spans="1:3" x14ac:dyDescent="0.35">
      <c r="A2544" t="s">
        <v>3531</v>
      </c>
      <c r="B2544" t="s">
        <v>3532</v>
      </c>
      <c r="C2544" t="s">
        <v>5</v>
      </c>
    </row>
    <row r="2545" spans="1:3" x14ac:dyDescent="0.35">
      <c r="A2545" t="s">
        <v>3533</v>
      </c>
      <c r="B2545">
        <v>604070010</v>
      </c>
      <c r="C2545" t="s">
        <v>7</v>
      </c>
    </row>
    <row r="2546" spans="1:3" x14ac:dyDescent="0.35">
      <c r="A2546" t="s">
        <v>3534</v>
      </c>
      <c r="B2546" t="s">
        <v>3535</v>
      </c>
      <c r="C2546" t="s">
        <v>32</v>
      </c>
    </row>
    <row r="2547" spans="1:3" x14ac:dyDescent="0.35">
      <c r="A2547" t="s">
        <v>3536</v>
      </c>
      <c r="B2547" t="s">
        <v>3537</v>
      </c>
      <c r="C2547" t="s">
        <v>5</v>
      </c>
    </row>
    <row r="2548" spans="1:3" x14ac:dyDescent="0.35">
      <c r="A2548" t="s">
        <v>3538</v>
      </c>
      <c r="B2548" t="s">
        <v>3539</v>
      </c>
      <c r="C2548" t="s">
        <v>5</v>
      </c>
    </row>
    <row r="2549" spans="1:3" x14ac:dyDescent="0.35">
      <c r="A2549" t="s">
        <v>3540</v>
      </c>
      <c r="B2549">
        <v>604060025</v>
      </c>
      <c r="C2549" t="s">
        <v>7</v>
      </c>
    </row>
    <row r="2550" spans="1:3" x14ac:dyDescent="0.35">
      <c r="A2550" t="s">
        <v>3541</v>
      </c>
      <c r="B2550">
        <v>621010017</v>
      </c>
      <c r="C2550" t="s">
        <v>7</v>
      </c>
    </row>
    <row r="2551" spans="1:3" x14ac:dyDescent="0.35">
      <c r="A2551" t="s">
        <v>3541</v>
      </c>
      <c r="B2551" t="s">
        <v>3542</v>
      </c>
      <c r="C2551" t="s">
        <v>5</v>
      </c>
    </row>
    <row r="2552" spans="1:3" x14ac:dyDescent="0.35">
      <c r="A2552" t="s">
        <v>3543</v>
      </c>
      <c r="B2552" t="s">
        <v>3544</v>
      </c>
      <c r="C2552" t="s">
        <v>5</v>
      </c>
    </row>
    <row r="2553" spans="1:3" x14ac:dyDescent="0.35">
      <c r="A2553" t="s">
        <v>3545</v>
      </c>
      <c r="B2553">
        <v>112020018</v>
      </c>
      <c r="C2553" t="s">
        <v>7</v>
      </c>
    </row>
    <row r="2554" spans="1:3" x14ac:dyDescent="0.35">
      <c r="A2554" t="s">
        <v>3546</v>
      </c>
      <c r="B2554">
        <v>605170010</v>
      </c>
      <c r="C2554" t="s">
        <v>7</v>
      </c>
    </row>
    <row r="2555" spans="1:3" x14ac:dyDescent="0.35">
      <c r="A2555" t="s">
        <v>3547</v>
      </c>
      <c r="B2555">
        <v>607120011</v>
      </c>
      <c r="C2555" t="s">
        <v>7</v>
      </c>
    </row>
    <row r="2556" spans="1:3" x14ac:dyDescent="0.35">
      <c r="A2556" t="s">
        <v>3548</v>
      </c>
      <c r="B2556">
        <v>309100019</v>
      </c>
      <c r="C2556" t="s">
        <v>7</v>
      </c>
    </row>
    <row r="2557" spans="1:3" x14ac:dyDescent="0.35">
      <c r="A2557" t="s">
        <v>3549</v>
      </c>
      <c r="B2557">
        <v>612150009</v>
      </c>
      <c r="C2557" t="s">
        <v>7</v>
      </c>
    </row>
    <row r="2558" spans="1:3" x14ac:dyDescent="0.35">
      <c r="A2558" t="s">
        <v>3549</v>
      </c>
      <c r="B2558" t="s">
        <v>3550</v>
      </c>
      <c r="C2558" t="s">
        <v>32</v>
      </c>
    </row>
    <row r="2559" spans="1:3" x14ac:dyDescent="0.35">
      <c r="A2559" t="s">
        <v>3549</v>
      </c>
      <c r="B2559" t="s">
        <v>3551</v>
      </c>
      <c r="C2559" t="s">
        <v>5</v>
      </c>
    </row>
    <row r="2560" spans="1:3" x14ac:dyDescent="0.35">
      <c r="A2560" t="s">
        <v>3552</v>
      </c>
      <c r="B2560">
        <v>621080030</v>
      </c>
      <c r="C2560" t="s">
        <v>7</v>
      </c>
    </row>
    <row r="2561" spans="1:3" x14ac:dyDescent="0.35">
      <c r="A2561" t="s">
        <v>3553</v>
      </c>
      <c r="B2561" t="s">
        <v>3554</v>
      </c>
      <c r="C2561" t="s">
        <v>5</v>
      </c>
    </row>
    <row r="2562" spans="1:3" x14ac:dyDescent="0.35">
      <c r="A2562" t="s">
        <v>3555</v>
      </c>
      <c r="B2562" t="s">
        <v>3556</v>
      </c>
      <c r="C2562" t="s">
        <v>5</v>
      </c>
    </row>
    <row r="2563" spans="1:3" x14ac:dyDescent="0.35">
      <c r="A2563" t="s">
        <v>3557</v>
      </c>
      <c r="B2563">
        <v>621060010</v>
      </c>
      <c r="C2563" t="s">
        <v>7</v>
      </c>
    </row>
    <row r="2564" spans="1:3" x14ac:dyDescent="0.35">
      <c r="A2564" t="s">
        <v>3558</v>
      </c>
      <c r="B2564">
        <v>607140010</v>
      </c>
      <c r="C2564" t="s">
        <v>7</v>
      </c>
    </row>
    <row r="2565" spans="1:3" x14ac:dyDescent="0.35">
      <c r="A2565" t="s">
        <v>3558</v>
      </c>
      <c r="B2565">
        <v>614070006</v>
      </c>
      <c r="C2565" t="s">
        <v>7</v>
      </c>
    </row>
    <row r="2566" spans="1:3" x14ac:dyDescent="0.35">
      <c r="A2566" t="s">
        <v>3558</v>
      </c>
      <c r="B2566">
        <v>614240013</v>
      </c>
      <c r="C2566" t="s">
        <v>7</v>
      </c>
    </row>
    <row r="2567" spans="1:3" x14ac:dyDescent="0.35">
      <c r="A2567" t="s">
        <v>3558</v>
      </c>
      <c r="B2567">
        <v>621040025</v>
      </c>
      <c r="C2567" t="s">
        <v>7</v>
      </c>
    </row>
    <row r="2568" spans="1:3" x14ac:dyDescent="0.35">
      <c r="A2568" t="s">
        <v>3558</v>
      </c>
      <c r="B2568">
        <v>621080034</v>
      </c>
      <c r="C2568" t="s">
        <v>7</v>
      </c>
    </row>
    <row r="2569" spans="1:3" x14ac:dyDescent="0.35">
      <c r="A2569" t="s">
        <v>3558</v>
      </c>
      <c r="B2569" t="s">
        <v>3559</v>
      </c>
      <c r="C2569" t="s">
        <v>5</v>
      </c>
    </row>
    <row r="2570" spans="1:3" x14ac:dyDescent="0.35">
      <c r="A2570" t="s">
        <v>3560</v>
      </c>
      <c r="B2570" t="s">
        <v>3561</v>
      </c>
      <c r="C2570" t="s">
        <v>32</v>
      </c>
    </row>
    <row r="2571" spans="1:3" x14ac:dyDescent="0.35">
      <c r="A2571" t="s">
        <v>3562</v>
      </c>
      <c r="B2571">
        <v>604010008</v>
      </c>
      <c r="C2571" t="s">
        <v>7</v>
      </c>
    </row>
    <row r="2572" spans="1:3" x14ac:dyDescent="0.35">
      <c r="A2572" t="s">
        <v>3563</v>
      </c>
      <c r="B2572" t="s">
        <v>3564</v>
      </c>
      <c r="C2572" t="s">
        <v>32</v>
      </c>
    </row>
    <row r="2573" spans="1:3" x14ac:dyDescent="0.35">
      <c r="A2573" t="s">
        <v>3565</v>
      </c>
      <c r="B2573" t="s">
        <v>3566</v>
      </c>
      <c r="C2573" t="s">
        <v>5</v>
      </c>
    </row>
    <row r="2574" spans="1:3" x14ac:dyDescent="0.35">
      <c r="A2574" t="s">
        <v>3567</v>
      </c>
      <c r="B2574" t="s">
        <v>3568</v>
      </c>
      <c r="C2574" t="s">
        <v>5</v>
      </c>
    </row>
    <row r="2575" spans="1:3" x14ac:dyDescent="0.35">
      <c r="A2575" t="s">
        <v>3569</v>
      </c>
      <c r="B2575" t="s">
        <v>3570</v>
      </c>
      <c r="C2575" t="s">
        <v>5</v>
      </c>
    </row>
    <row r="2576" spans="1:3" x14ac:dyDescent="0.35">
      <c r="A2576" t="s">
        <v>3571</v>
      </c>
      <c r="B2576">
        <v>317220007</v>
      </c>
      <c r="C2576" t="s">
        <v>7</v>
      </c>
    </row>
    <row r="2577" spans="1:3" x14ac:dyDescent="0.35">
      <c r="A2577" t="s">
        <v>3572</v>
      </c>
      <c r="B2577" t="s">
        <v>3573</v>
      </c>
      <c r="C2577" t="s">
        <v>5</v>
      </c>
    </row>
    <row r="2578" spans="1:3" x14ac:dyDescent="0.35">
      <c r="A2578" t="s">
        <v>3574</v>
      </c>
      <c r="B2578">
        <v>604150010</v>
      </c>
      <c r="C2578" t="s">
        <v>7</v>
      </c>
    </row>
    <row r="2579" spans="1:3" x14ac:dyDescent="0.35">
      <c r="A2579" t="s">
        <v>3574</v>
      </c>
      <c r="B2579" t="s">
        <v>3575</v>
      </c>
      <c r="C2579" t="s">
        <v>5</v>
      </c>
    </row>
    <row r="2580" spans="1:3" x14ac:dyDescent="0.35">
      <c r="A2580" t="s">
        <v>3576</v>
      </c>
      <c r="B2580">
        <v>607170006</v>
      </c>
      <c r="C2580" t="s">
        <v>7</v>
      </c>
    </row>
    <row r="2581" spans="1:3" x14ac:dyDescent="0.35">
      <c r="A2581" t="s">
        <v>3577</v>
      </c>
      <c r="B2581" t="s">
        <v>3578</v>
      </c>
      <c r="C2581" t="s">
        <v>5</v>
      </c>
    </row>
    <row r="2582" spans="1:3" x14ac:dyDescent="0.35">
      <c r="A2582" t="s">
        <v>3579</v>
      </c>
      <c r="B2582" t="s">
        <v>3580</v>
      </c>
      <c r="C2582" t="s">
        <v>50</v>
      </c>
    </row>
    <row r="2583" spans="1:3" x14ac:dyDescent="0.35">
      <c r="A2583" t="s">
        <v>3581</v>
      </c>
      <c r="B2583" t="s">
        <v>3582</v>
      </c>
      <c r="C2583" t="s">
        <v>5</v>
      </c>
    </row>
    <row r="2584" spans="1:3" x14ac:dyDescent="0.35">
      <c r="A2584" t="s">
        <v>3583</v>
      </c>
      <c r="B2584" t="s">
        <v>3584</v>
      </c>
      <c r="C2584" t="s">
        <v>5</v>
      </c>
    </row>
    <row r="2585" spans="1:3" x14ac:dyDescent="0.35">
      <c r="A2585" t="s">
        <v>3585</v>
      </c>
      <c r="B2585" t="s">
        <v>3586</v>
      </c>
      <c r="C2585" t="s">
        <v>5</v>
      </c>
    </row>
    <row r="2586" spans="1:3" x14ac:dyDescent="0.35">
      <c r="A2586" t="s">
        <v>3587</v>
      </c>
      <c r="B2586">
        <v>604170022</v>
      </c>
      <c r="C2586" t="s">
        <v>7</v>
      </c>
    </row>
    <row r="2587" spans="1:3" x14ac:dyDescent="0.35">
      <c r="A2587" t="s">
        <v>3587</v>
      </c>
      <c r="B2587">
        <v>605100028</v>
      </c>
      <c r="C2587" t="s">
        <v>7</v>
      </c>
    </row>
    <row r="2588" spans="1:3" x14ac:dyDescent="0.35">
      <c r="A2588" t="s">
        <v>3587</v>
      </c>
      <c r="B2588">
        <v>605110010</v>
      </c>
      <c r="C2588" t="s">
        <v>7</v>
      </c>
    </row>
    <row r="2589" spans="1:3" x14ac:dyDescent="0.35">
      <c r="A2589" t="s">
        <v>3587</v>
      </c>
      <c r="B2589">
        <v>609030009</v>
      </c>
      <c r="C2589" t="s">
        <v>7</v>
      </c>
    </row>
    <row r="2590" spans="1:3" x14ac:dyDescent="0.35">
      <c r="A2590" t="s">
        <v>3587</v>
      </c>
      <c r="B2590">
        <v>614020004</v>
      </c>
      <c r="C2590" t="s">
        <v>7</v>
      </c>
    </row>
    <row r="2591" spans="1:3" x14ac:dyDescent="0.35">
      <c r="A2591" t="s">
        <v>3587</v>
      </c>
      <c r="B2591" t="s">
        <v>3588</v>
      </c>
      <c r="C2591" t="s">
        <v>5</v>
      </c>
    </row>
    <row r="2592" spans="1:3" x14ac:dyDescent="0.35">
      <c r="A2592" t="s">
        <v>3587</v>
      </c>
      <c r="B2592" t="s">
        <v>3589</v>
      </c>
      <c r="C2592" t="s">
        <v>32</v>
      </c>
    </row>
    <row r="2593" spans="1:3" x14ac:dyDescent="0.35">
      <c r="A2593" t="s">
        <v>3590</v>
      </c>
      <c r="B2593" t="s">
        <v>3591</v>
      </c>
      <c r="C2593" t="s">
        <v>50</v>
      </c>
    </row>
    <row r="2594" spans="1:3" x14ac:dyDescent="0.35">
      <c r="A2594" t="s">
        <v>3592</v>
      </c>
      <c r="B2594" t="s">
        <v>3593</v>
      </c>
      <c r="C2594" t="s">
        <v>32</v>
      </c>
    </row>
    <row r="2595" spans="1:3" x14ac:dyDescent="0.35">
      <c r="A2595" t="s">
        <v>3594</v>
      </c>
      <c r="B2595" t="s">
        <v>3595</v>
      </c>
      <c r="C2595" t="s">
        <v>50</v>
      </c>
    </row>
    <row r="2596" spans="1:3" x14ac:dyDescent="0.35">
      <c r="A2596" t="s">
        <v>3596</v>
      </c>
      <c r="B2596" t="s">
        <v>3597</v>
      </c>
      <c r="C2596" t="s">
        <v>5</v>
      </c>
    </row>
    <row r="2597" spans="1:3" x14ac:dyDescent="0.35">
      <c r="A2597" t="s">
        <v>3598</v>
      </c>
      <c r="B2597">
        <v>602010009</v>
      </c>
      <c r="C2597" t="s">
        <v>7</v>
      </c>
    </row>
    <row r="2598" spans="1:3" x14ac:dyDescent="0.35">
      <c r="A2598" t="s">
        <v>3599</v>
      </c>
      <c r="B2598">
        <v>604030015</v>
      </c>
      <c r="C2598" t="s">
        <v>7</v>
      </c>
    </row>
    <row r="2599" spans="1:3" x14ac:dyDescent="0.35">
      <c r="A2599" t="s">
        <v>3600</v>
      </c>
      <c r="B2599">
        <v>602210006</v>
      </c>
      <c r="C2599" t="s">
        <v>7</v>
      </c>
    </row>
    <row r="2600" spans="1:3" x14ac:dyDescent="0.35">
      <c r="A2600" t="s">
        <v>3601</v>
      </c>
      <c r="B2600" t="s">
        <v>3602</v>
      </c>
      <c r="C2600" t="s">
        <v>5</v>
      </c>
    </row>
    <row r="2601" spans="1:3" x14ac:dyDescent="0.35">
      <c r="A2601" t="s">
        <v>3603</v>
      </c>
      <c r="B2601" t="s">
        <v>3604</v>
      </c>
      <c r="C2601" t="s">
        <v>5</v>
      </c>
    </row>
    <row r="2602" spans="1:3" x14ac:dyDescent="0.35">
      <c r="A2602" t="s">
        <v>3605</v>
      </c>
      <c r="B2602">
        <v>609020039</v>
      </c>
      <c r="C2602" t="s">
        <v>7</v>
      </c>
    </row>
    <row r="2603" spans="1:3" x14ac:dyDescent="0.35">
      <c r="A2603" t="s">
        <v>3606</v>
      </c>
      <c r="B2603">
        <v>612060020</v>
      </c>
      <c r="C2603" t="s">
        <v>7</v>
      </c>
    </row>
    <row r="2604" spans="1:3" x14ac:dyDescent="0.35">
      <c r="A2604" t="s">
        <v>3607</v>
      </c>
      <c r="B2604">
        <v>618010006</v>
      </c>
      <c r="C2604" t="s">
        <v>7</v>
      </c>
    </row>
    <row r="2605" spans="1:3" x14ac:dyDescent="0.35">
      <c r="A2605" t="s">
        <v>3608</v>
      </c>
      <c r="B2605" t="s">
        <v>3609</v>
      </c>
      <c r="C2605" t="s">
        <v>5</v>
      </c>
    </row>
    <row r="2606" spans="1:3" x14ac:dyDescent="0.35">
      <c r="A2606" t="s">
        <v>3610</v>
      </c>
      <c r="B2606" t="s">
        <v>3611</v>
      </c>
      <c r="C2606" t="s">
        <v>5</v>
      </c>
    </row>
    <row r="2607" spans="1:3" x14ac:dyDescent="0.35">
      <c r="A2607" t="s">
        <v>3612</v>
      </c>
      <c r="B2607" t="s">
        <v>3613</v>
      </c>
      <c r="C2607" t="s">
        <v>5</v>
      </c>
    </row>
    <row r="2608" spans="1:3" x14ac:dyDescent="0.35">
      <c r="A2608" t="s">
        <v>3614</v>
      </c>
      <c r="B2608">
        <v>614190005</v>
      </c>
      <c r="C2608" t="s">
        <v>7</v>
      </c>
    </row>
    <row r="2609" spans="1:3" x14ac:dyDescent="0.35">
      <c r="A2609" t="s">
        <v>3615</v>
      </c>
      <c r="B2609">
        <v>306080016</v>
      </c>
      <c r="C2609" t="s">
        <v>7</v>
      </c>
    </row>
    <row r="2610" spans="1:3" x14ac:dyDescent="0.35">
      <c r="A2610" t="s">
        <v>3616</v>
      </c>
      <c r="B2610" t="s">
        <v>3617</v>
      </c>
      <c r="C2610" t="s">
        <v>5</v>
      </c>
    </row>
    <row r="2611" spans="1:3" x14ac:dyDescent="0.35">
      <c r="A2611" t="s">
        <v>3618</v>
      </c>
      <c r="B2611">
        <v>612100016</v>
      </c>
      <c r="C2611" t="s">
        <v>7</v>
      </c>
    </row>
    <row r="2612" spans="1:3" x14ac:dyDescent="0.35">
      <c r="A2612" t="s">
        <v>3618</v>
      </c>
      <c r="B2612" t="s">
        <v>3619</v>
      </c>
      <c r="C2612" t="s">
        <v>50</v>
      </c>
    </row>
    <row r="2613" spans="1:3" x14ac:dyDescent="0.35">
      <c r="A2613" t="s">
        <v>3618</v>
      </c>
      <c r="B2613" t="s">
        <v>3620</v>
      </c>
      <c r="C2613" t="s">
        <v>32</v>
      </c>
    </row>
    <row r="2614" spans="1:3" x14ac:dyDescent="0.35">
      <c r="A2614" t="s">
        <v>3621</v>
      </c>
      <c r="B2614" t="s">
        <v>3622</v>
      </c>
      <c r="C2614" t="s">
        <v>5</v>
      </c>
    </row>
    <row r="2615" spans="1:3" x14ac:dyDescent="0.35">
      <c r="A2615" t="s">
        <v>3623</v>
      </c>
      <c r="B2615" t="s">
        <v>3624</v>
      </c>
      <c r="C2615" t="s">
        <v>5</v>
      </c>
    </row>
    <row r="2616" spans="1:3" x14ac:dyDescent="0.35">
      <c r="A2616" t="s">
        <v>3625</v>
      </c>
      <c r="B2616" t="s">
        <v>3626</v>
      </c>
      <c r="C2616" t="s">
        <v>5</v>
      </c>
    </row>
    <row r="2617" spans="1:3" x14ac:dyDescent="0.35">
      <c r="A2617" t="s">
        <v>3627</v>
      </c>
      <c r="B2617" t="s">
        <v>3628</v>
      </c>
      <c r="C2617" t="s">
        <v>5</v>
      </c>
    </row>
    <row r="2618" spans="1:3" x14ac:dyDescent="0.35">
      <c r="A2618" t="s">
        <v>3629</v>
      </c>
      <c r="B2618" t="s">
        <v>3630</v>
      </c>
      <c r="C2618" t="s">
        <v>50</v>
      </c>
    </row>
    <row r="2619" spans="1:3" x14ac:dyDescent="0.35">
      <c r="A2619" t="s">
        <v>3631</v>
      </c>
      <c r="B2619">
        <v>306240011</v>
      </c>
      <c r="C2619" t="s">
        <v>7</v>
      </c>
    </row>
    <row r="2620" spans="1:3" x14ac:dyDescent="0.35">
      <c r="A2620" t="s">
        <v>3632</v>
      </c>
      <c r="B2620" t="s">
        <v>3633</v>
      </c>
      <c r="C2620" t="s">
        <v>5</v>
      </c>
    </row>
    <row r="2621" spans="1:3" x14ac:dyDescent="0.35">
      <c r="A2621" t="s">
        <v>3634</v>
      </c>
      <c r="B2621">
        <v>320240011</v>
      </c>
      <c r="C2621" t="s">
        <v>7</v>
      </c>
    </row>
    <row r="2622" spans="1:3" x14ac:dyDescent="0.35">
      <c r="A2622" t="s">
        <v>3634</v>
      </c>
      <c r="B2622" t="s">
        <v>3635</v>
      </c>
      <c r="C2622" t="s">
        <v>5</v>
      </c>
    </row>
    <row r="2623" spans="1:3" x14ac:dyDescent="0.35">
      <c r="A2623" t="s">
        <v>3636</v>
      </c>
      <c r="B2623" t="s">
        <v>3637</v>
      </c>
      <c r="C2623" t="s">
        <v>50</v>
      </c>
    </row>
    <row r="2624" spans="1:3" x14ac:dyDescent="0.35">
      <c r="A2624" t="s">
        <v>3638</v>
      </c>
      <c r="B2624" t="s">
        <v>3639</v>
      </c>
      <c r="C2624" t="s">
        <v>5</v>
      </c>
    </row>
    <row r="2625" spans="1:3" x14ac:dyDescent="0.35">
      <c r="A2625" t="s">
        <v>3640</v>
      </c>
      <c r="B2625" t="s">
        <v>3641</v>
      </c>
      <c r="C2625" t="s">
        <v>5</v>
      </c>
    </row>
    <row r="2626" spans="1:3" x14ac:dyDescent="0.35">
      <c r="A2626" t="s">
        <v>3642</v>
      </c>
      <c r="B2626" t="s">
        <v>3643</v>
      </c>
      <c r="C2626" t="s">
        <v>50</v>
      </c>
    </row>
    <row r="2627" spans="1:3" x14ac:dyDescent="0.35">
      <c r="A2627" t="s">
        <v>3644</v>
      </c>
      <c r="B2627" t="s">
        <v>3645</v>
      </c>
      <c r="C2627" t="s">
        <v>32</v>
      </c>
    </row>
    <row r="2628" spans="1:3" x14ac:dyDescent="0.35">
      <c r="A2628" t="s">
        <v>3644</v>
      </c>
      <c r="B2628" t="s">
        <v>3646</v>
      </c>
      <c r="C2628" t="s">
        <v>5</v>
      </c>
    </row>
    <row r="2629" spans="1:3" x14ac:dyDescent="0.35">
      <c r="A2629" t="s">
        <v>3647</v>
      </c>
      <c r="B2629">
        <v>603010025</v>
      </c>
      <c r="C2629" t="s">
        <v>7</v>
      </c>
    </row>
    <row r="2630" spans="1:3" x14ac:dyDescent="0.35">
      <c r="A2630" t="s">
        <v>3648</v>
      </c>
      <c r="B2630">
        <v>603010035</v>
      </c>
      <c r="C2630" t="s">
        <v>7</v>
      </c>
    </row>
    <row r="2631" spans="1:3" x14ac:dyDescent="0.35">
      <c r="A2631" t="s">
        <v>3649</v>
      </c>
      <c r="B2631" t="s">
        <v>3650</v>
      </c>
      <c r="C2631" t="s">
        <v>50</v>
      </c>
    </row>
    <row r="2632" spans="1:3" x14ac:dyDescent="0.35">
      <c r="A2632" t="s">
        <v>3651</v>
      </c>
      <c r="B2632">
        <v>603010023</v>
      </c>
      <c r="C2632" t="s">
        <v>7</v>
      </c>
    </row>
    <row r="2633" spans="1:3" x14ac:dyDescent="0.35">
      <c r="A2633" t="s">
        <v>3652</v>
      </c>
      <c r="B2633">
        <v>604030008</v>
      </c>
      <c r="C2633" t="s">
        <v>7</v>
      </c>
    </row>
    <row r="2634" spans="1:3" x14ac:dyDescent="0.35">
      <c r="A2634" t="s">
        <v>3653</v>
      </c>
      <c r="B2634">
        <v>614070007</v>
      </c>
      <c r="C2634" t="s">
        <v>7</v>
      </c>
    </row>
    <row r="2635" spans="1:3" x14ac:dyDescent="0.35">
      <c r="A2635" t="s">
        <v>3654</v>
      </c>
      <c r="B2635" t="s">
        <v>3655</v>
      </c>
      <c r="C2635" t="s">
        <v>5</v>
      </c>
    </row>
    <row r="2636" spans="1:3" x14ac:dyDescent="0.35">
      <c r="A2636" t="s">
        <v>3656</v>
      </c>
      <c r="B2636">
        <v>604170024</v>
      </c>
      <c r="C2636" t="s">
        <v>7</v>
      </c>
    </row>
    <row r="2637" spans="1:3" x14ac:dyDescent="0.35">
      <c r="A2637" t="s">
        <v>3656</v>
      </c>
      <c r="B2637" t="s">
        <v>3657</v>
      </c>
      <c r="C2637" t="s">
        <v>32</v>
      </c>
    </row>
    <row r="2638" spans="1:3" x14ac:dyDescent="0.35">
      <c r="A2638" t="s">
        <v>3656</v>
      </c>
      <c r="B2638" t="s">
        <v>3658</v>
      </c>
      <c r="C2638" t="s">
        <v>5</v>
      </c>
    </row>
    <row r="2639" spans="1:3" x14ac:dyDescent="0.35">
      <c r="A2639" t="s">
        <v>3659</v>
      </c>
      <c r="B2639" t="s">
        <v>3660</v>
      </c>
      <c r="C2639" t="s">
        <v>50</v>
      </c>
    </row>
    <row r="2640" spans="1:3" x14ac:dyDescent="0.35">
      <c r="A2640" t="s">
        <v>3661</v>
      </c>
      <c r="B2640" t="s">
        <v>3662</v>
      </c>
      <c r="C2640" t="s">
        <v>5</v>
      </c>
    </row>
    <row r="2641" spans="1:3" x14ac:dyDescent="0.35">
      <c r="A2641" t="s">
        <v>3663</v>
      </c>
      <c r="B2641" t="s">
        <v>3664</v>
      </c>
      <c r="C2641" t="s">
        <v>32</v>
      </c>
    </row>
    <row r="2642" spans="1:3" x14ac:dyDescent="0.35">
      <c r="A2642" t="s">
        <v>3665</v>
      </c>
      <c r="B2642" t="s">
        <v>3666</v>
      </c>
      <c r="C2642" t="s">
        <v>5</v>
      </c>
    </row>
    <row r="2643" spans="1:3" x14ac:dyDescent="0.35">
      <c r="A2643" t="s">
        <v>3667</v>
      </c>
      <c r="B2643" t="s">
        <v>3668</v>
      </c>
      <c r="C2643" t="s">
        <v>32</v>
      </c>
    </row>
    <row r="2644" spans="1:3" x14ac:dyDescent="0.35">
      <c r="A2644" t="s">
        <v>3669</v>
      </c>
      <c r="B2644">
        <v>604060046</v>
      </c>
      <c r="C2644" t="s">
        <v>7</v>
      </c>
    </row>
    <row r="2645" spans="1:3" x14ac:dyDescent="0.35">
      <c r="A2645" t="s">
        <v>3670</v>
      </c>
      <c r="B2645" t="s">
        <v>3671</v>
      </c>
      <c r="C2645" t="s">
        <v>50</v>
      </c>
    </row>
    <row r="2646" spans="1:3" x14ac:dyDescent="0.35">
      <c r="A2646" t="s">
        <v>3672</v>
      </c>
      <c r="B2646" t="s">
        <v>3673</v>
      </c>
      <c r="C2646" t="s">
        <v>5</v>
      </c>
    </row>
    <row r="2647" spans="1:3" x14ac:dyDescent="0.35">
      <c r="A2647" t="s">
        <v>3674</v>
      </c>
      <c r="B2647" t="s">
        <v>3675</v>
      </c>
      <c r="C2647" t="s">
        <v>5</v>
      </c>
    </row>
    <row r="2648" spans="1:3" x14ac:dyDescent="0.35">
      <c r="A2648" t="s">
        <v>3676</v>
      </c>
      <c r="B2648" t="s">
        <v>3677</v>
      </c>
      <c r="C2648" t="s">
        <v>5</v>
      </c>
    </row>
    <row r="2649" spans="1:3" x14ac:dyDescent="0.35">
      <c r="A2649" t="s">
        <v>3678</v>
      </c>
      <c r="B2649">
        <v>603160005</v>
      </c>
      <c r="C2649" t="s">
        <v>7</v>
      </c>
    </row>
    <row r="2650" spans="1:3" x14ac:dyDescent="0.35">
      <c r="A2650" t="s">
        <v>3678</v>
      </c>
      <c r="B2650" t="s">
        <v>3679</v>
      </c>
      <c r="C2650" t="s">
        <v>5</v>
      </c>
    </row>
    <row r="2651" spans="1:3" x14ac:dyDescent="0.35">
      <c r="A2651" t="s">
        <v>3680</v>
      </c>
      <c r="B2651" t="s">
        <v>3681</v>
      </c>
      <c r="C2651" t="s">
        <v>50</v>
      </c>
    </row>
    <row r="2652" spans="1:3" x14ac:dyDescent="0.35">
      <c r="A2652" t="s">
        <v>3682</v>
      </c>
      <c r="B2652" t="s">
        <v>3683</v>
      </c>
      <c r="C2652" t="s">
        <v>5</v>
      </c>
    </row>
    <row r="2653" spans="1:3" x14ac:dyDescent="0.35">
      <c r="A2653" t="s">
        <v>3684</v>
      </c>
      <c r="B2653">
        <v>621030016</v>
      </c>
      <c r="C2653" t="s">
        <v>7</v>
      </c>
    </row>
    <row r="2654" spans="1:3" x14ac:dyDescent="0.35">
      <c r="A2654" t="s">
        <v>3685</v>
      </c>
      <c r="B2654">
        <v>604170025</v>
      </c>
      <c r="C2654" t="s">
        <v>7</v>
      </c>
    </row>
    <row r="2655" spans="1:3" x14ac:dyDescent="0.35">
      <c r="A2655" t="s">
        <v>3686</v>
      </c>
      <c r="B2655">
        <v>605130023</v>
      </c>
      <c r="C2655" t="s">
        <v>7</v>
      </c>
    </row>
    <row r="2656" spans="1:3" x14ac:dyDescent="0.35">
      <c r="A2656" t="s">
        <v>3686</v>
      </c>
      <c r="B2656" t="s">
        <v>3687</v>
      </c>
      <c r="C2656" t="s">
        <v>50</v>
      </c>
    </row>
    <row r="2657" spans="1:3" x14ac:dyDescent="0.35">
      <c r="A2657" t="s">
        <v>3688</v>
      </c>
      <c r="B2657" t="s">
        <v>3689</v>
      </c>
      <c r="C2657" t="s">
        <v>5</v>
      </c>
    </row>
    <row r="2658" spans="1:3" x14ac:dyDescent="0.35">
      <c r="A2658" t="s">
        <v>3690</v>
      </c>
      <c r="B2658">
        <v>612020006</v>
      </c>
      <c r="C2658" t="s">
        <v>7</v>
      </c>
    </row>
    <row r="2659" spans="1:3" x14ac:dyDescent="0.35">
      <c r="A2659" t="s">
        <v>3691</v>
      </c>
      <c r="B2659">
        <v>612170013</v>
      </c>
      <c r="C2659" t="s">
        <v>7</v>
      </c>
    </row>
    <row r="2660" spans="1:3" x14ac:dyDescent="0.35">
      <c r="A2660" t="s">
        <v>3691</v>
      </c>
      <c r="B2660" t="s">
        <v>3692</v>
      </c>
      <c r="C2660" t="s">
        <v>5</v>
      </c>
    </row>
    <row r="2661" spans="1:3" x14ac:dyDescent="0.35">
      <c r="A2661" t="s">
        <v>3693</v>
      </c>
      <c r="B2661">
        <v>614020010</v>
      </c>
      <c r="C2661" t="s">
        <v>7</v>
      </c>
    </row>
    <row r="2662" spans="1:3" x14ac:dyDescent="0.35">
      <c r="A2662" t="s">
        <v>3694</v>
      </c>
      <c r="B2662" t="s">
        <v>3695</v>
      </c>
      <c r="C2662" t="s">
        <v>5</v>
      </c>
    </row>
    <row r="2663" spans="1:3" x14ac:dyDescent="0.35">
      <c r="A2663" t="s">
        <v>3696</v>
      </c>
      <c r="B2663">
        <v>609050005</v>
      </c>
      <c r="C2663" t="s">
        <v>7</v>
      </c>
    </row>
    <row r="2664" spans="1:3" x14ac:dyDescent="0.35">
      <c r="A2664" t="s">
        <v>3697</v>
      </c>
      <c r="B2664" t="s">
        <v>3698</v>
      </c>
      <c r="C2664" t="s">
        <v>5</v>
      </c>
    </row>
    <row r="2665" spans="1:3" x14ac:dyDescent="0.35">
      <c r="A2665" t="s">
        <v>3699</v>
      </c>
      <c r="B2665">
        <v>603130020</v>
      </c>
      <c r="C2665" t="s">
        <v>7</v>
      </c>
    </row>
    <row r="2666" spans="1:3" x14ac:dyDescent="0.35">
      <c r="A2666" t="s">
        <v>3700</v>
      </c>
      <c r="B2666">
        <v>605100014</v>
      </c>
      <c r="C2666" t="s">
        <v>7</v>
      </c>
    </row>
    <row r="2667" spans="1:3" x14ac:dyDescent="0.35">
      <c r="A2667" t="s">
        <v>3701</v>
      </c>
      <c r="B2667">
        <v>609040026</v>
      </c>
      <c r="C2667" t="s">
        <v>7</v>
      </c>
    </row>
    <row r="2668" spans="1:3" x14ac:dyDescent="0.35">
      <c r="A2668" t="s">
        <v>3702</v>
      </c>
      <c r="B2668">
        <v>609050019</v>
      </c>
      <c r="C2668" t="s">
        <v>7</v>
      </c>
    </row>
    <row r="2669" spans="1:3" x14ac:dyDescent="0.35">
      <c r="A2669" t="s">
        <v>3702</v>
      </c>
      <c r="B2669" t="s">
        <v>3703</v>
      </c>
      <c r="C2669" t="s">
        <v>5</v>
      </c>
    </row>
    <row r="2670" spans="1:3" x14ac:dyDescent="0.35">
      <c r="A2670" t="s">
        <v>3704</v>
      </c>
      <c r="B2670">
        <v>609020005</v>
      </c>
      <c r="C2670" t="s">
        <v>7</v>
      </c>
    </row>
    <row r="2671" spans="1:3" x14ac:dyDescent="0.35">
      <c r="A2671" t="s">
        <v>3705</v>
      </c>
      <c r="B2671">
        <v>605080029</v>
      </c>
      <c r="C2671" t="s">
        <v>7</v>
      </c>
    </row>
    <row r="2672" spans="1:3" x14ac:dyDescent="0.35">
      <c r="A2672" t="s">
        <v>3706</v>
      </c>
      <c r="B2672">
        <v>605080005</v>
      </c>
      <c r="C2672" t="s">
        <v>7</v>
      </c>
    </row>
    <row r="2673" spans="1:3" x14ac:dyDescent="0.35">
      <c r="A2673" t="s">
        <v>3707</v>
      </c>
      <c r="B2673">
        <v>621050034</v>
      </c>
      <c r="C2673" t="s">
        <v>7</v>
      </c>
    </row>
    <row r="2674" spans="1:3" x14ac:dyDescent="0.35">
      <c r="A2674" t="s">
        <v>3708</v>
      </c>
      <c r="B2674">
        <v>306150015</v>
      </c>
      <c r="C2674" t="s">
        <v>7</v>
      </c>
    </row>
    <row r="2675" spans="1:3" x14ac:dyDescent="0.35">
      <c r="A2675" t="s">
        <v>3709</v>
      </c>
      <c r="B2675">
        <v>612020007</v>
      </c>
      <c r="C2675" t="s">
        <v>7</v>
      </c>
    </row>
    <row r="2676" spans="1:3" x14ac:dyDescent="0.35">
      <c r="A2676" t="s">
        <v>3710</v>
      </c>
      <c r="B2676" t="s">
        <v>3711</v>
      </c>
      <c r="C2676" t="s">
        <v>5</v>
      </c>
    </row>
    <row r="2677" spans="1:3" x14ac:dyDescent="0.35">
      <c r="A2677" t="s">
        <v>3712</v>
      </c>
      <c r="B2677" t="s">
        <v>3713</v>
      </c>
      <c r="C2677" t="s">
        <v>5</v>
      </c>
    </row>
    <row r="2678" spans="1:3" x14ac:dyDescent="0.35">
      <c r="A2678" t="s">
        <v>3714</v>
      </c>
      <c r="B2678">
        <v>614150016</v>
      </c>
      <c r="C2678" t="s">
        <v>7</v>
      </c>
    </row>
    <row r="2679" spans="1:3" x14ac:dyDescent="0.35">
      <c r="A2679" t="s">
        <v>3715</v>
      </c>
      <c r="B2679">
        <v>317230021</v>
      </c>
      <c r="C2679" t="s">
        <v>7</v>
      </c>
    </row>
    <row r="2680" spans="1:3" x14ac:dyDescent="0.35">
      <c r="A2680" t="s">
        <v>3716</v>
      </c>
      <c r="B2680">
        <v>111150012</v>
      </c>
      <c r="C2680" t="s">
        <v>7</v>
      </c>
    </row>
    <row r="2681" spans="1:3" x14ac:dyDescent="0.35">
      <c r="A2681" t="s">
        <v>3717</v>
      </c>
      <c r="B2681" t="s">
        <v>3718</v>
      </c>
      <c r="C2681" t="s">
        <v>5</v>
      </c>
    </row>
    <row r="2682" spans="1:3" x14ac:dyDescent="0.35">
      <c r="A2682" t="s">
        <v>3719</v>
      </c>
      <c r="B2682">
        <v>309010021</v>
      </c>
      <c r="C2682" t="s">
        <v>7</v>
      </c>
    </row>
    <row r="2683" spans="1:3" x14ac:dyDescent="0.35">
      <c r="A2683" t="s">
        <v>3719</v>
      </c>
      <c r="B2683">
        <v>309290005</v>
      </c>
      <c r="C2683" t="s">
        <v>7</v>
      </c>
    </row>
    <row r="2684" spans="1:3" x14ac:dyDescent="0.35">
      <c r="A2684" t="s">
        <v>3719</v>
      </c>
      <c r="B2684">
        <v>320230007</v>
      </c>
      <c r="C2684" t="s">
        <v>7</v>
      </c>
    </row>
    <row r="2685" spans="1:3" x14ac:dyDescent="0.35">
      <c r="A2685" t="s">
        <v>3719</v>
      </c>
      <c r="B2685" t="s">
        <v>3720</v>
      </c>
      <c r="C2685" t="s">
        <v>32</v>
      </c>
    </row>
    <row r="2686" spans="1:3" x14ac:dyDescent="0.35">
      <c r="A2686" t="s">
        <v>3721</v>
      </c>
      <c r="B2686" t="s">
        <v>3722</v>
      </c>
      <c r="C2686" t="s">
        <v>5</v>
      </c>
    </row>
    <row r="2687" spans="1:3" x14ac:dyDescent="0.35">
      <c r="A2687" t="s">
        <v>3723</v>
      </c>
      <c r="B2687" t="s">
        <v>3724</v>
      </c>
      <c r="C2687" t="s">
        <v>5</v>
      </c>
    </row>
    <row r="2688" spans="1:3" x14ac:dyDescent="0.35">
      <c r="A2688" t="s">
        <v>3725</v>
      </c>
      <c r="B2688" t="s">
        <v>3726</v>
      </c>
      <c r="C2688" t="s">
        <v>5</v>
      </c>
    </row>
    <row r="2689" spans="1:3" x14ac:dyDescent="0.35">
      <c r="A2689" t="s">
        <v>3727</v>
      </c>
      <c r="B2689" t="s">
        <v>3728</v>
      </c>
      <c r="C2689" t="s">
        <v>5</v>
      </c>
    </row>
    <row r="2690" spans="1:3" x14ac:dyDescent="0.35">
      <c r="A2690" t="s">
        <v>3729</v>
      </c>
      <c r="B2690">
        <v>317220008</v>
      </c>
      <c r="C2690" t="s">
        <v>7</v>
      </c>
    </row>
    <row r="2691" spans="1:3" x14ac:dyDescent="0.35">
      <c r="A2691" t="s">
        <v>3729</v>
      </c>
      <c r="B2691" t="s">
        <v>3730</v>
      </c>
      <c r="C2691" t="s">
        <v>50</v>
      </c>
    </row>
    <row r="2692" spans="1:3" x14ac:dyDescent="0.35">
      <c r="A2692" t="s">
        <v>3731</v>
      </c>
      <c r="B2692">
        <v>603060017</v>
      </c>
      <c r="C2692" t="s">
        <v>7</v>
      </c>
    </row>
    <row r="2693" spans="1:3" x14ac:dyDescent="0.35">
      <c r="A2693" t="s">
        <v>3732</v>
      </c>
      <c r="B2693" t="s">
        <v>3733</v>
      </c>
      <c r="C2693" t="s">
        <v>5</v>
      </c>
    </row>
    <row r="2694" spans="1:3" x14ac:dyDescent="0.35">
      <c r="A2694" t="s">
        <v>3734</v>
      </c>
      <c r="B2694">
        <v>604060027</v>
      </c>
      <c r="C2694" t="s">
        <v>7</v>
      </c>
    </row>
    <row r="2695" spans="1:3" x14ac:dyDescent="0.35">
      <c r="A2695" t="s">
        <v>3735</v>
      </c>
      <c r="B2695" t="s">
        <v>3736</v>
      </c>
      <c r="C2695" t="s">
        <v>32</v>
      </c>
    </row>
    <row r="2696" spans="1:3" x14ac:dyDescent="0.35">
      <c r="A2696" t="s">
        <v>3737</v>
      </c>
      <c r="B2696">
        <v>604130014</v>
      </c>
      <c r="C2696" t="s">
        <v>7</v>
      </c>
    </row>
    <row r="2697" spans="1:3" x14ac:dyDescent="0.35">
      <c r="A2697" t="s">
        <v>3738</v>
      </c>
      <c r="B2697" t="s">
        <v>3739</v>
      </c>
      <c r="C2697" t="s">
        <v>5</v>
      </c>
    </row>
    <row r="2698" spans="1:3" x14ac:dyDescent="0.35">
      <c r="A2698" t="s">
        <v>3740</v>
      </c>
      <c r="B2698" t="s">
        <v>3741</v>
      </c>
      <c r="C2698" t="s">
        <v>5</v>
      </c>
    </row>
    <row r="2699" spans="1:3" x14ac:dyDescent="0.35">
      <c r="A2699" t="s">
        <v>3742</v>
      </c>
      <c r="B2699" t="s">
        <v>3743</v>
      </c>
      <c r="C2699" t="s">
        <v>32</v>
      </c>
    </row>
    <row r="2700" spans="1:3" x14ac:dyDescent="0.35">
      <c r="A2700" t="s">
        <v>3742</v>
      </c>
      <c r="B2700" t="s">
        <v>3744</v>
      </c>
      <c r="C2700" t="s">
        <v>50</v>
      </c>
    </row>
    <row r="2701" spans="1:3" x14ac:dyDescent="0.35">
      <c r="A2701" t="s">
        <v>3745</v>
      </c>
      <c r="B2701">
        <v>605130007</v>
      </c>
      <c r="C2701" t="s">
        <v>7</v>
      </c>
    </row>
    <row r="2702" spans="1:3" x14ac:dyDescent="0.35">
      <c r="A2702" t="s">
        <v>3746</v>
      </c>
      <c r="B2702">
        <v>607120015</v>
      </c>
      <c r="C2702" t="s">
        <v>7</v>
      </c>
    </row>
    <row r="2703" spans="1:3" x14ac:dyDescent="0.35">
      <c r="A2703" t="s">
        <v>3747</v>
      </c>
      <c r="B2703" t="s">
        <v>3748</v>
      </c>
      <c r="C2703" t="s">
        <v>5</v>
      </c>
    </row>
    <row r="2704" spans="1:3" x14ac:dyDescent="0.35">
      <c r="A2704" t="s">
        <v>3749</v>
      </c>
      <c r="B2704">
        <v>621030017</v>
      </c>
      <c r="C2704" t="s">
        <v>7</v>
      </c>
    </row>
    <row r="2705" spans="1:3" x14ac:dyDescent="0.35">
      <c r="A2705" t="s">
        <v>3750</v>
      </c>
      <c r="B2705" t="s">
        <v>3751</v>
      </c>
      <c r="C2705" t="s">
        <v>5</v>
      </c>
    </row>
    <row r="2706" spans="1:3" x14ac:dyDescent="0.35">
      <c r="A2706" t="s">
        <v>3752</v>
      </c>
      <c r="B2706" t="s">
        <v>3753</v>
      </c>
      <c r="C2706" t="s">
        <v>32</v>
      </c>
    </row>
    <row r="2707" spans="1:3" x14ac:dyDescent="0.35">
      <c r="A2707" t="s">
        <v>3752</v>
      </c>
      <c r="B2707" t="s">
        <v>3754</v>
      </c>
      <c r="C2707" t="s">
        <v>5</v>
      </c>
    </row>
    <row r="2708" spans="1:3" x14ac:dyDescent="0.35">
      <c r="A2708" t="s">
        <v>3755</v>
      </c>
      <c r="B2708">
        <v>614070011</v>
      </c>
      <c r="C2708" t="s">
        <v>7</v>
      </c>
    </row>
    <row r="2709" spans="1:3" x14ac:dyDescent="0.35">
      <c r="A2709" t="s">
        <v>3756</v>
      </c>
      <c r="B2709">
        <v>317230023</v>
      </c>
      <c r="C2709" t="s">
        <v>7</v>
      </c>
    </row>
    <row r="2710" spans="1:3" x14ac:dyDescent="0.35">
      <c r="A2710" t="s">
        <v>3756</v>
      </c>
      <c r="B2710" t="s">
        <v>3757</v>
      </c>
      <c r="C2710" t="s">
        <v>32</v>
      </c>
    </row>
    <row r="2711" spans="1:3" x14ac:dyDescent="0.35">
      <c r="A2711" t="s">
        <v>3756</v>
      </c>
      <c r="B2711" t="s">
        <v>3758</v>
      </c>
      <c r="C2711" t="s">
        <v>50</v>
      </c>
    </row>
    <row r="2712" spans="1:3" x14ac:dyDescent="0.35">
      <c r="A2712" t="s">
        <v>3759</v>
      </c>
      <c r="B2712" t="s">
        <v>3760</v>
      </c>
      <c r="C2712" t="s">
        <v>5</v>
      </c>
    </row>
    <row r="2713" spans="1:3" x14ac:dyDescent="0.35">
      <c r="A2713" t="s">
        <v>3761</v>
      </c>
      <c r="B2713">
        <v>604020006</v>
      </c>
      <c r="C2713" t="s">
        <v>7</v>
      </c>
    </row>
    <row r="2714" spans="1:3" x14ac:dyDescent="0.35">
      <c r="A2714" t="s">
        <v>3762</v>
      </c>
      <c r="B2714" t="s">
        <v>3763</v>
      </c>
      <c r="C2714" t="s">
        <v>5</v>
      </c>
    </row>
    <row r="2715" spans="1:3" x14ac:dyDescent="0.35">
      <c r="A2715" t="s">
        <v>3764</v>
      </c>
      <c r="B2715">
        <v>614150018</v>
      </c>
      <c r="C2715" t="s">
        <v>7</v>
      </c>
    </row>
    <row r="2716" spans="1:3" x14ac:dyDescent="0.35">
      <c r="A2716" t="s">
        <v>3765</v>
      </c>
      <c r="B2716">
        <v>621050037</v>
      </c>
      <c r="C2716" t="s">
        <v>7</v>
      </c>
    </row>
    <row r="2717" spans="1:3" x14ac:dyDescent="0.35">
      <c r="A2717" t="s">
        <v>3766</v>
      </c>
      <c r="B2717">
        <v>621050036</v>
      </c>
      <c r="C2717" t="s">
        <v>7</v>
      </c>
    </row>
    <row r="2718" spans="1:3" x14ac:dyDescent="0.35">
      <c r="A2718" t="s">
        <v>3767</v>
      </c>
      <c r="B2718" t="s">
        <v>3768</v>
      </c>
      <c r="C2718" t="s">
        <v>5</v>
      </c>
    </row>
    <row r="2719" spans="1:3" x14ac:dyDescent="0.35">
      <c r="A2719" t="s">
        <v>3769</v>
      </c>
      <c r="B2719" t="s">
        <v>3770</v>
      </c>
      <c r="C2719" t="s">
        <v>5</v>
      </c>
    </row>
    <row r="2720" spans="1:3" x14ac:dyDescent="0.35">
      <c r="A2720" t="s">
        <v>3771</v>
      </c>
      <c r="B2720" t="s">
        <v>3772</v>
      </c>
      <c r="C2720" t="s">
        <v>5</v>
      </c>
    </row>
    <row r="2721" spans="1:3" x14ac:dyDescent="0.35">
      <c r="A2721" t="s">
        <v>3773</v>
      </c>
      <c r="B2721">
        <v>605110032</v>
      </c>
      <c r="C2721" t="s">
        <v>7</v>
      </c>
    </row>
    <row r="2722" spans="1:3" x14ac:dyDescent="0.35">
      <c r="A2722" t="s">
        <v>3773</v>
      </c>
      <c r="B2722" t="s">
        <v>3774</v>
      </c>
      <c r="C2722" t="s">
        <v>5</v>
      </c>
    </row>
    <row r="2723" spans="1:3" x14ac:dyDescent="0.35">
      <c r="A2723" t="s">
        <v>3773</v>
      </c>
      <c r="B2723" t="s">
        <v>3775</v>
      </c>
      <c r="C2723" t="s">
        <v>32</v>
      </c>
    </row>
    <row r="2724" spans="1:3" x14ac:dyDescent="0.35">
      <c r="A2724" t="s">
        <v>3776</v>
      </c>
      <c r="B2724">
        <v>607160007</v>
      </c>
      <c r="C2724" t="s">
        <v>7</v>
      </c>
    </row>
    <row r="2725" spans="1:3" x14ac:dyDescent="0.35">
      <c r="A2725" t="s">
        <v>3776</v>
      </c>
      <c r="B2725" t="s">
        <v>3777</v>
      </c>
      <c r="C2725" t="s">
        <v>5</v>
      </c>
    </row>
    <row r="2726" spans="1:3" x14ac:dyDescent="0.35">
      <c r="A2726" t="s">
        <v>3778</v>
      </c>
      <c r="B2726" t="s">
        <v>3779</v>
      </c>
      <c r="C2726" t="s">
        <v>5</v>
      </c>
    </row>
    <row r="2727" spans="1:3" x14ac:dyDescent="0.35">
      <c r="A2727" t="s">
        <v>3780</v>
      </c>
      <c r="B2727" t="s">
        <v>3781</v>
      </c>
      <c r="C2727" t="s">
        <v>5</v>
      </c>
    </row>
    <row r="2728" spans="1:3" x14ac:dyDescent="0.35">
      <c r="A2728" t="s">
        <v>3782</v>
      </c>
      <c r="B2728" t="s">
        <v>3783</v>
      </c>
      <c r="C2728" t="s">
        <v>5</v>
      </c>
    </row>
    <row r="2729" spans="1:3" x14ac:dyDescent="0.35">
      <c r="A2729" t="s">
        <v>3784</v>
      </c>
      <c r="B2729" t="s">
        <v>3785</v>
      </c>
      <c r="C2729" t="s">
        <v>5</v>
      </c>
    </row>
    <row r="2730" spans="1:3" x14ac:dyDescent="0.35">
      <c r="A2730" t="s">
        <v>3786</v>
      </c>
      <c r="B2730" t="s">
        <v>3787</v>
      </c>
      <c r="C2730" t="s">
        <v>5</v>
      </c>
    </row>
    <row r="2731" spans="1:3" x14ac:dyDescent="0.35">
      <c r="A2731" t="s">
        <v>3788</v>
      </c>
      <c r="B2731" t="s">
        <v>3789</v>
      </c>
      <c r="C2731" t="s">
        <v>5</v>
      </c>
    </row>
    <row r="2732" spans="1:3" x14ac:dyDescent="0.35">
      <c r="A2732" t="s">
        <v>3790</v>
      </c>
      <c r="B2732" t="s">
        <v>3791</v>
      </c>
      <c r="C2732" t="s">
        <v>5</v>
      </c>
    </row>
    <row r="2733" spans="1:3" x14ac:dyDescent="0.35">
      <c r="A2733" t="s">
        <v>3792</v>
      </c>
      <c r="B2733" t="s">
        <v>3793</v>
      </c>
      <c r="C2733" t="s">
        <v>5</v>
      </c>
    </row>
    <row r="2734" spans="1:3" x14ac:dyDescent="0.35">
      <c r="A2734" t="s">
        <v>3794</v>
      </c>
      <c r="B2734" t="s">
        <v>3795</v>
      </c>
      <c r="C2734" t="s">
        <v>5</v>
      </c>
    </row>
    <row r="2735" spans="1:3" x14ac:dyDescent="0.35">
      <c r="A2735" t="s">
        <v>3796</v>
      </c>
      <c r="B2735">
        <v>609020017</v>
      </c>
      <c r="C2735" t="s">
        <v>7</v>
      </c>
    </row>
    <row r="2736" spans="1:3" x14ac:dyDescent="0.35">
      <c r="A2736" t="s">
        <v>3797</v>
      </c>
      <c r="B2736">
        <v>609020022</v>
      </c>
      <c r="C2736" t="s">
        <v>7</v>
      </c>
    </row>
    <row r="2737" spans="1:3" x14ac:dyDescent="0.35">
      <c r="A2737" t="s">
        <v>3798</v>
      </c>
      <c r="B2737">
        <v>604050014</v>
      </c>
      <c r="C2737" t="s">
        <v>7</v>
      </c>
    </row>
    <row r="2738" spans="1:3" x14ac:dyDescent="0.35">
      <c r="A2738" t="s">
        <v>3799</v>
      </c>
      <c r="B2738">
        <v>604130019</v>
      </c>
      <c r="C2738" t="s">
        <v>7</v>
      </c>
    </row>
    <row r="2739" spans="1:3" x14ac:dyDescent="0.35">
      <c r="A2739" t="s">
        <v>3800</v>
      </c>
      <c r="B2739">
        <v>603190006</v>
      </c>
      <c r="C2739" t="s">
        <v>7</v>
      </c>
    </row>
    <row r="2740" spans="1:3" x14ac:dyDescent="0.35">
      <c r="A2740" t="s">
        <v>3801</v>
      </c>
      <c r="B2740" t="s">
        <v>3802</v>
      </c>
      <c r="C2740" t="s">
        <v>5</v>
      </c>
    </row>
    <row r="2741" spans="1:3" x14ac:dyDescent="0.35">
      <c r="A2741" t="s">
        <v>3803</v>
      </c>
      <c r="B2741">
        <v>612020008</v>
      </c>
      <c r="C2741" t="s">
        <v>7</v>
      </c>
    </row>
    <row r="2742" spans="1:3" x14ac:dyDescent="0.35">
      <c r="A2742" t="s">
        <v>3804</v>
      </c>
      <c r="B2742">
        <v>614250001</v>
      </c>
      <c r="C2742" t="s">
        <v>7</v>
      </c>
    </row>
    <row r="2743" spans="1:3" x14ac:dyDescent="0.35">
      <c r="A2743" t="s">
        <v>3805</v>
      </c>
      <c r="B2743" t="s">
        <v>3806</v>
      </c>
      <c r="C2743" t="s">
        <v>5</v>
      </c>
    </row>
    <row r="2744" spans="1:3" x14ac:dyDescent="0.35">
      <c r="A2744" t="s">
        <v>3807</v>
      </c>
      <c r="B2744">
        <v>604090021</v>
      </c>
      <c r="C2744" t="s">
        <v>7</v>
      </c>
    </row>
    <row r="2745" spans="1:3" x14ac:dyDescent="0.35">
      <c r="A2745" t="s">
        <v>3807</v>
      </c>
      <c r="B2745">
        <v>604190012</v>
      </c>
      <c r="C2745" t="s">
        <v>7</v>
      </c>
    </row>
    <row r="2746" spans="1:3" x14ac:dyDescent="0.35">
      <c r="A2746" t="s">
        <v>3807</v>
      </c>
      <c r="B2746" t="s">
        <v>3808</v>
      </c>
      <c r="C2746" t="s">
        <v>5</v>
      </c>
    </row>
    <row r="2747" spans="1:3" x14ac:dyDescent="0.35">
      <c r="A2747" t="s">
        <v>3809</v>
      </c>
      <c r="B2747" t="s">
        <v>3810</v>
      </c>
      <c r="C2747" t="s">
        <v>5</v>
      </c>
    </row>
    <row r="2748" spans="1:3" x14ac:dyDescent="0.35">
      <c r="A2748" t="s">
        <v>3811</v>
      </c>
      <c r="B2748">
        <v>609060010</v>
      </c>
      <c r="C2748" t="s">
        <v>7</v>
      </c>
    </row>
    <row r="2749" spans="1:3" x14ac:dyDescent="0.35">
      <c r="A2749" t="s">
        <v>3812</v>
      </c>
      <c r="B2749" t="s">
        <v>3813</v>
      </c>
      <c r="C2749" t="s">
        <v>5</v>
      </c>
    </row>
    <row r="2750" spans="1:3" x14ac:dyDescent="0.35">
      <c r="A2750" t="s">
        <v>3814</v>
      </c>
      <c r="B2750">
        <v>604060032</v>
      </c>
      <c r="C2750" t="s">
        <v>7</v>
      </c>
    </row>
    <row r="2751" spans="1:3" x14ac:dyDescent="0.35">
      <c r="A2751" t="s">
        <v>3815</v>
      </c>
      <c r="B2751">
        <v>602100015</v>
      </c>
      <c r="C2751" t="s">
        <v>7</v>
      </c>
    </row>
    <row r="2752" spans="1:3" x14ac:dyDescent="0.35">
      <c r="A2752" t="s">
        <v>3816</v>
      </c>
      <c r="B2752" t="s">
        <v>3817</v>
      </c>
      <c r="C2752" t="s">
        <v>5</v>
      </c>
    </row>
    <row r="2753" spans="1:3" x14ac:dyDescent="0.35">
      <c r="A2753" t="s">
        <v>3818</v>
      </c>
      <c r="B2753" t="s">
        <v>3819</v>
      </c>
      <c r="C2753" t="s">
        <v>5</v>
      </c>
    </row>
    <row r="2754" spans="1:3" x14ac:dyDescent="0.35">
      <c r="A2754" t="s">
        <v>3820</v>
      </c>
      <c r="B2754" t="s">
        <v>3821</v>
      </c>
      <c r="C2754" t="s">
        <v>5</v>
      </c>
    </row>
    <row r="2755" spans="1:3" x14ac:dyDescent="0.35">
      <c r="A2755" t="s">
        <v>3822</v>
      </c>
      <c r="B2755" t="s">
        <v>3823</v>
      </c>
      <c r="C2755" t="s">
        <v>5</v>
      </c>
    </row>
    <row r="2756" spans="1:3" x14ac:dyDescent="0.35">
      <c r="A2756" t="s">
        <v>3824</v>
      </c>
      <c r="B2756" t="s">
        <v>3825</v>
      </c>
      <c r="C2756" t="s">
        <v>5</v>
      </c>
    </row>
    <row r="2757" spans="1:3" x14ac:dyDescent="0.35">
      <c r="A2757" t="s">
        <v>3826</v>
      </c>
      <c r="B2757" t="s">
        <v>3827</v>
      </c>
      <c r="C2757" t="s">
        <v>32</v>
      </c>
    </row>
    <row r="2758" spans="1:3" x14ac:dyDescent="0.35">
      <c r="A2758" t="s">
        <v>3828</v>
      </c>
      <c r="B2758" t="s">
        <v>3829</v>
      </c>
      <c r="C2758" t="s">
        <v>5</v>
      </c>
    </row>
    <row r="2759" spans="1:3" x14ac:dyDescent="0.35">
      <c r="A2759" t="s">
        <v>3830</v>
      </c>
      <c r="B2759">
        <v>309050011</v>
      </c>
      <c r="C2759" t="s">
        <v>7</v>
      </c>
    </row>
    <row r="2760" spans="1:3" x14ac:dyDescent="0.35">
      <c r="A2760" t="s">
        <v>3831</v>
      </c>
      <c r="B2760">
        <v>604160004</v>
      </c>
      <c r="C2760" t="s">
        <v>7</v>
      </c>
    </row>
    <row r="2761" spans="1:3" x14ac:dyDescent="0.35">
      <c r="A2761" t="s">
        <v>3832</v>
      </c>
      <c r="B2761">
        <v>621060012</v>
      </c>
      <c r="C2761" t="s">
        <v>7</v>
      </c>
    </row>
    <row r="2762" spans="1:3" x14ac:dyDescent="0.35">
      <c r="A2762" t="s">
        <v>3833</v>
      </c>
      <c r="B2762">
        <v>320230009</v>
      </c>
      <c r="C2762" t="s">
        <v>7</v>
      </c>
    </row>
    <row r="2763" spans="1:3" x14ac:dyDescent="0.35">
      <c r="A2763" t="s">
        <v>3834</v>
      </c>
      <c r="B2763" t="s">
        <v>3835</v>
      </c>
      <c r="C2763" t="s">
        <v>5</v>
      </c>
    </row>
    <row r="2764" spans="1:3" x14ac:dyDescent="0.35">
      <c r="A2764" t="s">
        <v>3836</v>
      </c>
      <c r="B2764">
        <v>603140018</v>
      </c>
      <c r="C2764" t="s">
        <v>7</v>
      </c>
    </row>
    <row r="2765" spans="1:3" x14ac:dyDescent="0.35">
      <c r="A2765" t="s">
        <v>3836</v>
      </c>
      <c r="B2765" t="s">
        <v>3837</v>
      </c>
      <c r="C2765" t="s">
        <v>5</v>
      </c>
    </row>
    <row r="2766" spans="1:3" x14ac:dyDescent="0.35">
      <c r="A2766" t="s">
        <v>3838</v>
      </c>
      <c r="B2766" t="s">
        <v>3839</v>
      </c>
      <c r="C2766" t="s">
        <v>50</v>
      </c>
    </row>
    <row r="2767" spans="1:3" x14ac:dyDescent="0.35">
      <c r="A2767" t="s">
        <v>3840</v>
      </c>
      <c r="B2767" t="s">
        <v>3841</v>
      </c>
      <c r="C2767" t="s">
        <v>5</v>
      </c>
    </row>
    <row r="2768" spans="1:3" x14ac:dyDescent="0.35">
      <c r="A2768" t="s">
        <v>3842</v>
      </c>
      <c r="B2768">
        <v>601010023</v>
      </c>
      <c r="C2768" t="s">
        <v>7</v>
      </c>
    </row>
    <row r="2769" spans="1:3" x14ac:dyDescent="0.35">
      <c r="A2769" t="s">
        <v>3843</v>
      </c>
      <c r="B2769" t="s">
        <v>3844</v>
      </c>
      <c r="C2769" t="s">
        <v>5</v>
      </c>
    </row>
    <row r="2770" spans="1:3" x14ac:dyDescent="0.35">
      <c r="A2770" t="s">
        <v>3845</v>
      </c>
      <c r="B2770">
        <v>609040028</v>
      </c>
      <c r="C2770" t="s">
        <v>7</v>
      </c>
    </row>
    <row r="2771" spans="1:3" x14ac:dyDescent="0.35">
      <c r="A2771" t="s">
        <v>3846</v>
      </c>
      <c r="B2771">
        <v>603110013</v>
      </c>
      <c r="C2771" t="s">
        <v>7</v>
      </c>
    </row>
    <row r="2772" spans="1:3" x14ac:dyDescent="0.35">
      <c r="A2772" t="s">
        <v>3847</v>
      </c>
      <c r="B2772">
        <v>604140012</v>
      </c>
      <c r="C2772" t="s">
        <v>7</v>
      </c>
    </row>
    <row r="2773" spans="1:3" x14ac:dyDescent="0.35">
      <c r="A2773" t="s">
        <v>3848</v>
      </c>
      <c r="B2773" t="s">
        <v>3849</v>
      </c>
      <c r="C2773" t="s">
        <v>5</v>
      </c>
    </row>
    <row r="2774" spans="1:3" x14ac:dyDescent="0.35">
      <c r="A2774" t="s">
        <v>3850</v>
      </c>
      <c r="B2774" t="s">
        <v>3851</v>
      </c>
      <c r="C2774" t="s">
        <v>50</v>
      </c>
    </row>
    <row r="2775" spans="1:3" x14ac:dyDescent="0.35">
      <c r="A2775" t="s">
        <v>3852</v>
      </c>
      <c r="B2775" t="s">
        <v>3853</v>
      </c>
      <c r="C2775" t="s">
        <v>5</v>
      </c>
    </row>
    <row r="2776" spans="1:3" x14ac:dyDescent="0.35">
      <c r="A2776" t="s">
        <v>3854</v>
      </c>
      <c r="B2776" t="s">
        <v>3855</v>
      </c>
      <c r="C2776" t="s">
        <v>5</v>
      </c>
    </row>
    <row r="2777" spans="1:3" x14ac:dyDescent="0.35">
      <c r="A2777" t="s">
        <v>3856</v>
      </c>
      <c r="B2777">
        <v>320040012</v>
      </c>
      <c r="C2777" t="s">
        <v>7</v>
      </c>
    </row>
    <row r="2778" spans="1:3" x14ac:dyDescent="0.35">
      <c r="A2778" t="s">
        <v>3857</v>
      </c>
      <c r="B2778">
        <v>609020018</v>
      </c>
      <c r="C2778" t="s">
        <v>7</v>
      </c>
    </row>
    <row r="2779" spans="1:3" x14ac:dyDescent="0.35">
      <c r="A2779" t="s">
        <v>3858</v>
      </c>
      <c r="B2779" t="s">
        <v>3859</v>
      </c>
      <c r="C2779" t="s">
        <v>5</v>
      </c>
    </row>
    <row r="2780" spans="1:3" x14ac:dyDescent="0.35">
      <c r="A2780" t="s">
        <v>3860</v>
      </c>
      <c r="B2780">
        <v>317240009</v>
      </c>
      <c r="C2780" t="s">
        <v>7</v>
      </c>
    </row>
    <row r="2781" spans="1:3" x14ac:dyDescent="0.35">
      <c r="A2781" t="s">
        <v>3861</v>
      </c>
      <c r="B2781">
        <v>602090009</v>
      </c>
      <c r="C2781" t="s">
        <v>7</v>
      </c>
    </row>
    <row r="2782" spans="1:3" x14ac:dyDescent="0.35">
      <c r="A2782" t="s">
        <v>3861</v>
      </c>
      <c r="B2782" t="s">
        <v>3862</v>
      </c>
      <c r="C2782" t="s">
        <v>5</v>
      </c>
    </row>
    <row r="2783" spans="1:3" x14ac:dyDescent="0.35">
      <c r="A2783" t="s">
        <v>3863</v>
      </c>
      <c r="B2783">
        <v>306240013</v>
      </c>
      <c r="C2783" t="s">
        <v>7</v>
      </c>
    </row>
    <row r="2784" spans="1:3" x14ac:dyDescent="0.35">
      <c r="A2784" t="s">
        <v>3864</v>
      </c>
      <c r="B2784">
        <v>609050020</v>
      </c>
      <c r="C2784" t="s">
        <v>7</v>
      </c>
    </row>
    <row r="2785" spans="1:3" x14ac:dyDescent="0.35">
      <c r="A2785" t="s">
        <v>3864</v>
      </c>
      <c r="B2785" t="s">
        <v>3865</v>
      </c>
      <c r="C2785" t="s">
        <v>5</v>
      </c>
    </row>
    <row r="2786" spans="1:3" x14ac:dyDescent="0.35">
      <c r="A2786" t="s">
        <v>3866</v>
      </c>
      <c r="B2786" t="s">
        <v>3867</v>
      </c>
      <c r="C2786" t="s">
        <v>5</v>
      </c>
    </row>
    <row r="2787" spans="1:3" x14ac:dyDescent="0.35">
      <c r="A2787" t="s">
        <v>3868</v>
      </c>
      <c r="B2787">
        <v>604050015</v>
      </c>
      <c r="C2787" t="s">
        <v>7</v>
      </c>
    </row>
    <row r="2788" spans="1:3" x14ac:dyDescent="0.35">
      <c r="A2788" t="s">
        <v>3869</v>
      </c>
      <c r="B2788">
        <v>320280012</v>
      </c>
      <c r="C2788" t="s">
        <v>7</v>
      </c>
    </row>
    <row r="2789" spans="1:3" x14ac:dyDescent="0.35">
      <c r="A2789" t="s">
        <v>3870</v>
      </c>
      <c r="B2789">
        <v>614020005</v>
      </c>
      <c r="C2789" t="s">
        <v>7</v>
      </c>
    </row>
    <row r="2790" spans="1:3" x14ac:dyDescent="0.35">
      <c r="A2790" t="s">
        <v>3871</v>
      </c>
      <c r="B2790" t="s">
        <v>3872</v>
      </c>
      <c r="C2790" t="s">
        <v>5</v>
      </c>
    </row>
    <row r="2791" spans="1:3" x14ac:dyDescent="0.35">
      <c r="A2791" t="s">
        <v>3873</v>
      </c>
      <c r="B2791" t="s">
        <v>3874</v>
      </c>
      <c r="C2791" t="s">
        <v>5</v>
      </c>
    </row>
    <row r="2792" spans="1:3" x14ac:dyDescent="0.35">
      <c r="A2792" t="s">
        <v>3875</v>
      </c>
      <c r="B2792">
        <v>620130012</v>
      </c>
      <c r="C2792" t="s">
        <v>7</v>
      </c>
    </row>
    <row r="2793" spans="1:3" x14ac:dyDescent="0.35">
      <c r="A2793" t="s">
        <v>3876</v>
      </c>
      <c r="B2793" t="s">
        <v>3877</v>
      </c>
      <c r="C2793" t="s">
        <v>5</v>
      </c>
    </row>
    <row r="2794" spans="1:3" x14ac:dyDescent="0.35">
      <c r="A2794" t="s">
        <v>3878</v>
      </c>
      <c r="B2794" t="s">
        <v>3879</v>
      </c>
      <c r="C2794" t="s">
        <v>50</v>
      </c>
    </row>
    <row r="2795" spans="1:3" x14ac:dyDescent="0.35">
      <c r="A2795" t="s">
        <v>3880</v>
      </c>
      <c r="B2795" t="s">
        <v>3881</v>
      </c>
      <c r="C2795" t="s">
        <v>50</v>
      </c>
    </row>
    <row r="2796" spans="1:3" x14ac:dyDescent="0.35">
      <c r="A2796" t="s">
        <v>3882</v>
      </c>
      <c r="B2796">
        <v>605070008</v>
      </c>
      <c r="C2796" t="s">
        <v>7</v>
      </c>
    </row>
    <row r="2797" spans="1:3" x14ac:dyDescent="0.35">
      <c r="A2797" t="s">
        <v>3882</v>
      </c>
      <c r="B2797">
        <v>621070017</v>
      </c>
      <c r="C2797" t="s">
        <v>7</v>
      </c>
    </row>
    <row r="2798" spans="1:3" x14ac:dyDescent="0.35">
      <c r="A2798" t="s">
        <v>3882</v>
      </c>
      <c r="B2798" t="s">
        <v>3883</v>
      </c>
      <c r="C2798" t="s">
        <v>5</v>
      </c>
    </row>
    <row r="2799" spans="1:3" x14ac:dyDescent="0.35">
      <c r="A2799" t="s">
        <v>3884</v>
      </c>
      <c r="B2799" t="s">
        <v>3885</v>
      </c>
      <c r="C2799" t="s">
        <v>5</v>
      </c>
    </row>
    <row r="2800" spans="1:3" x14ac:dyDescent="0.35">
      <c r="A2800" t="s">
        <v>3886</v>
      </c>
      <c r="B2800">
        <v>317070019</v>
      </c>
      <c r="C2800" t="s">
        <v>7</v>
      </c>
    </row>
    <row r="2801" spans="1:3" x14ac:dyDescent="0.35">
      <c r="A2801" t="s">
        <v>3887</v>
      </c>
      <c r="B2801" t="s">
        <v>3888</v>
      </c>
      <c r="C2801" t="s">
        <v>5</v>
      </c>
    </row>
    <row r="2802" spans="1:3" x14ac:dyDescent="0.35">
      <c r="A2802" t="s">
        <v>3889</v>
      </c>
      <c r="B2802">
        <v>609040029</v>
      </c>
      <c r="C2802" t="s">
        <v>7</v>
      </c>
    </row>
    <row r="2803" spans="1:3" x14ac:dyDescent="0.35">
      <c r="A2803" t="s">
        <v>3889</v>
      </c>
      <c r="B2803" t="s">
        <v>3890</v>
      </c>
      <c r="C2803" t="s">
        <v>5</v>
      </c>
    </row>
    <row r="2804" spans="1:3" x14ac:dyDescent="0.35">
      <c r="A2804" t="s">
        <v>3891</v>
      </c>
      <c r="B2804" t="s">
        <v>3892</v>
      </c>
      <c r="C2804" t="s">
        <v>5</v>
      </c>
    </row>
    <row r="2805" spans="1:3" x14ac:dyDescent="0.35">
      <c r="A2805" t="s">
        <v>3893</v>
      </c>
      <c r="B2805" t="s">
        <v>3894</v>
      </c>
      <c r="C2805" t="s">
        <v>5</v>
      </c>
    </row>
    <row r="2806" spans="1:3" x14ac:dyDescent="0.35">
      <c r="A2806" t="s">
        <v>3895</v>
      </c>
      <c r="B2806" t="s">
        <v>3896</v>
      </c>
      <c r="C2806" t="s">
        <v>5</v>
      </c>
    </row>
    <row r="2807" spans="1:3" x14ac:dyDescent="0.35">
      <c r="A2807" t="s">
        <v>3897</v>
      </c>
      <c r="B2807">
        <v>309300006</v>
      </c>
      <c r="C2807" t="s">
        <v>7</v>
      </c>
    </row>
    <row r="2808" spans="1:3" x14ac:dyDescent="0.35">
      <c r="A2808" t="s">
        <v>3897</v>
      </c>
      <c r="B2808" t="s">
        <v>3898</v>
      </c>
      <c r="C2808" t="s">
        <v>5</v>
      </c>
    </row>
    <row r="2809" spans="1:3" x14ac:dyDescent="0.35">
      <c r="A2809" t="s">
        <v>3899</v>
      </c>
      <c r="B2809" t="s">
        <v>3900</v>
      </c>
      <c r="C2809" t="s">
        <v>5</v>
      </c>
    </row>
    <row r="2810" spans="1:3" x14ac:dyDescent="0.35">
      <c r="A2810" t="s">
        <v>3901</v>
      </c>
      <c r="B2810" t="s">
        <v>3902</v>
      </c>
      <c r="C2810" t="s">
        <v>5</v>
      </c>
    </row>
    <row r="2811" spans="1:3" x14ac:dyDescent="0.35">
      <c r="A2811" t="s">
        <v>3903</v>
      </c>
      <c r="B2811" t="s">
        <v>3904</v>
      </c>
      <c r="C2811" t="s">
        <v>5</v>
      </c>
    </row>
    <row r="2812" spans="1:3" x14ac:dyDescent="0.35">
      <c r="A2812" t="s">
        <v>3905</v>
      </c>
      <c r="B2812" t="s">
        <v>3906</v>
      </c>
      <c r="C2812" t="s">
        <v>5</v>
      </c>
    </row>
    <row r="2813" spans="1:3" x14ac:dyDescent="0.35">
      <c r="A2813" t="s">
        <v>3907</v>
      </c>
      <c r="B2813" t="s">
        <v>3908</v>
      </c>
      <c r="C2813" t="s">
        <v>5</v>
      </c>
    </row>
    <row r="2814" spans="1:3" x14ac:dyDescent="0.35">
      <c r="A2814" t="s">
        <v>3909</v>
      </c>
      <c r="B2814" t="s">
        <v>3910</v>
      </c>
      <c r="C2814" t="s">
        <v>5</v>
      </c>
    </row>
    <row r="2815" spans="1:3" x14ac:dyDescent="0.35">
      <c r="A2815" t="s">
        <v>3911</v>
      </c>
      <c r="B2815" t="s">
        <v>3912</v>
      </c>
      <c r="C2815" t="s">
        <v>5</v>
      </c>
    </row>
    <row r="2816" spans="1:3" x14ac:dyDescent="0.35">
      <c r="A2816" t="s">
        <v>3913</v>
      </c>
      <c r="B2816">
        <v>607050006</v>
      </c>
      <c r="C2816" t="s">
        <v>7</v>
      </c>
    </row>
    <row r="2817" spans="1:3" x14ac:dyDescent="0.35">
      <c r="A2817" t="s">
        <v>3913</v>
      </c>
      <c r="B2817" t="s">
        <v>3914</v>
      </c>
      <c r="C2817" t="s">
        <v>5</v>
      </c>
    </row>
    <row r="2818" spans="1:3" x14ac:dyDescent="0.35">
      <c r="A2818" t="s">
        <v>3915</v>
      </c>
      <c r="B2818" t="s">
        <v>3916</v>
      </c>
      <c r="C2818" t="s">
        <v>5</v>
      </c>
    </row>
    <row r="2819" spans="1:3" x14ac:dyDescent="0.35">
      <c r="A2819" t="s">
        <v>3917</v>
      </c>
      <c r="B2819">
        <v>309290007</v>
      </c>
      <c r="C2819" t="s">
        <v>7</v>
      </c>
    </row>
    <row r="2820" spans="1:3" x14ac:dyDescent="0.35">
      <c r="A2820" t="s">
        <v>3918</v>
      </c>
      <c r="B2820" t="s">
        <v>3919</v>
      </c>
      <c r="C2820" t="s">
        <v>5</v>
      </c>
    </row>
    <row r="2821" spans="1:3" x14ac:dyDescent="0.35">
      <c r="A2821" t="s">
        <v>3920</v>
      </c>
      <c r="B2821" t="s">
        <v>3921</v>
      </c>
      <c r="C2821" t="s">
        <v>5</v>
      </c>
    </row>
    <row r="2822" spans="1:3" x14ac:dyDescent="0.35">
      <c r="A2822" t="s">
        <v>3922</v>
      </c>
      <c r="B2822" t="s">
        <v>3923</v>
      </c>
      <c r="C2822" t="s">
        <v>5</v>
      </c>
    </row>
    <row r="2823" spans="1:3" x14ac:dyDescent="0.35">
      <c r="A2823" t="s">
        <v>3924</v>
      </c>
      <c r="B2823" t="s">
        <v>3925</v>
      </c>
      <c r="C2823" t="s">
        <v>5</v>
      </c>
    </row>
    <row r="2824" spans="1:3" x14ac:dyDescent="0.35">
      <c r="A2824" t="s">
        <v>3926</v>
      </c>
      <c r="B2824" t="s">
        <v>3927</v>
      </c>
      <c r="C2824" t="s">
        <v>5</v>
      </c>
    </row>
    <row r="2825" spans="1:3" x14ac:dyDescent="0.35">
      <c r="A2825" t="s">
        <v>3928</v>
      </c>
      <c r="B2825">
        <v>607010032</v>
      </c>
      <c r="C2825" t="s">
        <v>7</v>
      </c>
    </row>
    <row r="2826" spans="1:3" x14ac:dyDescent="0.35">
      <c r="A2826" t="s">
        <v>3929</v>
      </c>
      <c r="B2826" t="s">
        <v>3930</v>
      </c>
      <c r="C2826" t="s">
        <v>5</v>
      </c>
    </row>
    <row r="2827" spans="1:3" x14ac:dyDescent="0.35">
      <c r="A2827" t="s">
        <v>3931</v>
      </c>
      <c r="B2827" t="s">
        <v>3932</v>
      </c>
      <c r="C2827" t="s">
        <v>32</v>
      </c>
    </row>
    <row r="2828" spans="1:3" x14ac:dyDescent="0.35">
      <c r="A2828" t="s">
        <v>3933</v>
      </c>
      <c r="B2828" t="s">
        <v>3934</v>
      </c>
      <c r="C2828" t="s">
        <v>5</v>
      </c>
    </row>
    <row r="2829" spans="1:3" x14ac:dyDescent="0.35">
      <c r="A2829" t="s">
        <v>3935</v>
      </c>
      <c r="B2829" t="s">
        <v>3936</v>
      </c>
      <c r="C2829" t="s">
        <v>5</v>
      </c>
    </row>
    <row r="2830" spans="1:3" x14ac:dyDescent="0.35">
      <c r="A2830" t="s">
        <v>3937</v>
      </c>
      <c r="B2830">
        <v>612130018</v>
      </c>
      <c r="C2830" t="s">
        <v>7</v>
      </c>
    </row>
    <row r="2831" spans="1:3" x14ac:dyDescent="0.35">
      <c r="A2831" t="s">
        <v>3938</v>
      </c>
      <c r="B2831" t="s">
        <v>3939</v>
      </c>
      <c r="C2831" t="s">
        <v>50</v>
      </c>
    </row>
    <row r="2832" spans="1:3" x14ac:dyDescent="0.35">
      <c r="A2832" t="s">
        <v>3940</v>
      </c>
      <c r="B2832" t="s">
        <v>3941</v>
      </c>
      <c r="C2832" t="s">
        <v>5</v>
      </c>
    </row>
    <row r="2833" spans="1:3" x14ac:dyDescent="0.35">
      <c r="A2833" t="s">
        <v>3942</v>
      </c>
      <c r="B2833" t="s">
        <v>3943</v>
      </c>
      <c r="C2833" t="s">
        <v>5</v>
      </c>
    </row>
    <row r="2834" spans="1:3" x14ac:dyDescent="0.35">
      <c r="A2834" t="s">
        <v>3944</v>
      </c>
      <c r="B2834">
        <v>306080017</v>
      </c>
      <c r="C2834" t="s">
        <v>7</v>
      </c>
    </row>
    <row r="2835" spans="1:3" x14ac:dyDescent="0.35">
      <c r="A2835" t="s">
        <v>3945</v>
      </c>
      <c r="B2835" t="s">
        <v>3946</v>
      </c>
      <c r="C2835" t="s">
        <v>5</v>
      </c>
    </row>
    <row r="2836" spans="1:3" x14ac:dyDescent="0.35">
      <c r="A2836" t="s">
        <v>3945</v>
      </c>
      <c r="B2836" t="s">
        <v>3947</v>
      </c>
      <c r="C2836" t="s">
        <v>32</v>
      </c>
    </row>
    <row r="2837" spans="1:3" x14ac:dyDescent="0.35">
      <c r="A2837" t="s">
        <v>3948</v>
      </c>
      <c r="B2837" t="s">
        <v>3949</v>
      </c>
      <c r="C2837" t="s">
        <v>5</v>
      </c>
    </row>
    <row r="2838" spans="1:3" x14ac:dyDescent="0.35">
      <c r="A2838" t="s">
        <v>3950</v>
      </c>
      <c r="B2838" t="s">
        <v>3951</v>
      </c>
      <c r="C2838" t="s">
        <v>32</v>
      </c>
    </row>
    <row r="2839" spans="1:3" x14ac:dyDescent="0.35">
      <c r="A2839" t="s">
        <v>3952</v>
      </c>
      <c r="B2839" t="s">
        <v>3953</v>
      </c>
      <c r="C2839" t="s">
        <v>5</v>
      </c>
    </row>
    <row r="2840" spans="1:3" x14ac:dyDescent="0.35">
      <c r="A2840" t="s">
        <v>3954</v>
      </c>
      <c r="B2840" t="s">
        <v>3955</v>
      </c>
      <c r="C2840" t="s">
        <v>5</v>
      </c>
    </row>
    <row r="2841" spans="1:3" x14ac:dyDescent="0.35">
      <c r="A2841" t="s">
        <v>3956</v>
      </c>
      <c r="B2841" t="s">
        <v>3957</v>
      </c>
      <c r="C2841" t="s">
        <v>32</v>
      </c>
    </row>
    <row r="2842" spans="1:3" x14ac:dyDescent="0.35">
      <c r="A2842" t="s">
        <v>3958</v>
      </c>
      <c r="B2842" t="s">
        <v>3959</v>
      </c>
      <c r="C2842" t="s">
        <v>5</v>
      </c>
    </row>
    <row r="2843" spans="1:3" x14ac:dyDescent="0.35">
      <c r="A2843" t="s">
        <v>3960</v>
      </c>
      <c r="B2843" t="s">
        <v>3961</v>
      </c>
      <c r="C2843" t="s">
        <v>5</v>
      </c>
    </row>
    <row r="2844" spans="1:3" x14ac:dyDescent="0.35">
      <c r="A2844" t="s">
        <v>3962</v>
      </c>
      <c r="B2844" t="s">
        <v>3963</v>
      </c>
      <c r="C2844" t="s">
        <v>5</v>
      </c>
    </row>
    <row r="2845" spans="1:3" x14ac:dyDescent="0.35">
      <c r="A2845" t="s">
        <v>3964</v>
      </c>
      <c r="B2845" t="s">
        <v>3965</v>
      </c>
      <c r="C2845" t="s">
        <v>5</v>
      </c>
    </row>
    <row r="2846" spans="1:3" x14ac:dyDescent="0.35">
      <c r="A2846" t="s">
        <v>3966</v>
      </c>
      <c r="B2846" t="s">
        <v>3967</v>
      </c>
      <c r="C2846" t="s">
        <v>50</v>
      </c>
    </row>
    <row r="2847" spans="1:3" x14ac:dyDescent="0.35">
      <c r="A2847" t="s">
        <v>3968</v>
      </c>
      <c r="B2847" t="s">
        <v>3969</v>
      </c>
      <c r="C2847" t="s">
        <v>5</v>
      </c>
    </row>
    <row r="2848" spans="1:3" x14ac:dyDescent="0.35">
      <c r="A2848" t="s">
        <v>3970</v>
      </c>
      <c r="B2848" t="s">
        <v>3971</v>
      </c>
      <c r="C2848" t="s">
        <v>5</v>
      </c>
    </row>
    <row r="2849" spans="1:3" x14ac:dyDescent="0.35">
      <c r="A2849" t="s">
        <v>3972</v>
      </c>
      <c r="B2849">
        <v>604100031</v>
      </c>
      <c r="C2849" t="s">
        <v>7</v>
      </c>
    </row>
    <row r="2850" spans="1:3" x14ac:dyDescent="0.35">
      <c r="A2850" t="s">
        <v>3972</v>
      </c>
      <c r="B2850">
        <v>604100057</v>
      </c>
      <c r="C2850" t="s">
        <v>7</v>
      </c>
    </row>
    <row r="2851" spans="1:3" x14ac:dyDescent="0.35">
      <c r="A2851" t="s">
        <v>3972</v>
      </c>
      <c r="B2851" t="s">
        <v>3973</v>
      </c>
      <c r="C2851" t="s">
        <v>32</v>
      </c>
    </row>
    <row r="2852" spans="1:3" x14ac:dyDescent="0.35">
      <c r="A2852" t="s">
        <v>3972</v>
      </c>
      <c r="B2852" t="s">
        <v>3974</v>
      </c>
      <c r="C2852" t="s">
        <v>50</v>
      </c>
    </row>
    <row r="2853" spans="1:3" x14ac:dyDescent="0.35">
      <c r="A2853" t="s">
        <v>3975</v>
      </c>
      <c r="B2853" t="s">
        <v>3976</v>
      </c>
      <c r="C2853" t="s">
        <v>5</v>
      </c>
    </row>
    <row r="2854" spans="1:3" x14ac:dyDescent="0.35">
      <c r="A2854" t="s">
        <v>3977</v>
      </c>
      <c r="B2854" t="s">
        <v>3978</v>
      </c>
      <c r="C2854" t="s">
        <v>5</v>
      </c>
    </row>
    <row r="2855" spans="1:3" x14ac:dyDescent="0.35">
      <c r="A2855" t="s">
        <v>3979</v>
      </c>
      <c r="B2855" t="s">
        <v>3980</v>
      </c>
      <c r="C2855" t="s">
        <v>5</v>
      </c>
    </row>
    <row r="2856" spans="1:3" x14ac:dyDescent="0.35">
      <c r="A2856" t="s">
        <v>3981</v>
      </c>
      <c r="B2856" t="s">
        <v>3982</v>
      </c>
      <c r="C2856" t="s">
        <v>5</v>
      </c>
    </row>
    <row r="2857" spans="1:3" x14ac:dyDescent="0.35">
      <c r="A2857" t="s">
        <v>3983</v>
      </c>
      <c r="B2857">
        <v>605130024</v>
      </c>
      <c r="C2857" t="s">
        <v>7</v>
      </c>
    </row>
    <row r="2858" spans="1:3" x14ac:dyDescent="0.35">
      <c r="A2858" t="s">
        <v>3983</v>
      </c>
      <c r="B2858" t="s">
        <v>3984</v>
      </c>
      <c r="C2858" t="s">
        <v>50</v>
      </c>
    </row>
    <row r="2859" spans="1:3" x14ac:dyDescent="0.35">
      <c r="A2859" t="s">
        <v>3985</v>
      </c>
      <c r="B2859">
        <v>609010024</v>
      </c>
      <c r="C2859" t="s">
        <v>7</v>
      </c>
    </row>
    <row r="2860" spans="1:3" x14ac:dyDescent="0.35">
      <c r="A2860" t="s">
        <v>3986</v>
      </c>
      <c r="B2860" t="s">
        <v>3987</v>
      </c>
      <c r="C2860" t="s">
        <v>5</v>
      </c>
    </row>
    <row r="2861" spans="1:3" x14ac:dyDescent="0.35">
      <c r="A2861" t="s">
        <v>3988</v>
      </c>
      <c r="B2861" t="s">
        <v>3989</v>
      </c>
      <c r="C2861" t="s">
        <v>5</v>
      </c>
    </row>
    <row r="2862" spans="1:3" x14ac:dyDescent="0.35">
      <c r="A2862" t="s">
        <v>3990</v>
      </c>
      <c r="B2862" t="s">
        <v>3991</v>
      </c>
      <c r="C2862" t="s">
        <v>50</v>
      </c>
    </row>
    <row r="2863" spans="1:3" x14ac:dyDescent="0.35">
      <c r="A2863" t="s">
        <v>3992</v>
      </c>
      <c r="B2863" t="s">
        <v>3993</v>
      </c>
      <c r="C2863" t="s">
        <v>5</v>
      </c>
    </row>
    <row r="2864" spans="1:3" x14ac:dyDescent="0.35">
      <c r="A2864" t="s">
        <v>3994</v>
      </c>
      <c r="B2864">
        <v>612210004</v>
      </c>
      <c r="C2864" t="s">
        <v>7</v>
      </c>
    </row>
    <row r="2865" spans="1:3" x14ac:dyDescent="0.35">
      <c r="A2865" t="s">
        <v>3994</v>
      </c>
      <c r="B2865" t="s">
        <v>3995</v>
      </c>
      <c r="C2865" t="s">
        <v>5</v>
      </c>
    </row>
    <row r="2866" spans="1:3" x14ac:dyDescent="0.35">
      <c r="A2866" t="s">
        <v>3996</v>
      </c>
      <c r="B2866" t="s">
        <v>3997</v>
      </c>
      <c r="C2866" t="s">
        <v>5</v>
      </c>
    </row>
    <row r="2867" spans="1:3" x14ac:dyDescent="0.35">
      <c r="A2867" t="s">
        <v>3998</v>
      </c>
      <c r="B2867">
        <v>605030029</v>
      </c>
      <c r="C2867" t="s">
        <v>7</v>
      </c>
    </row>
    <row r="2868" spans="1:3" x14ac:dyDescent="0.35">
      <c r="A2868" t="s">
        <v>3998</v>
      </c>
      <c r="B2868" t="s">
        <v>3999</v>
      </c>
      <c r="C2868" t="s">
        <v>32</v>
      </c>
    </row>
    <row r="2869" spans="1:3" x14ac:dyDescent="0.35">
      <c r="A2869" t="s">
        <v>3998</v>
      </c>
      <c r="B2869" t="s">
        <v>4000</v>
      </c>
      <c r="C2869" t="s">
        <v>5</v>
      </c>
    </row>
    <row r="2870" spans="1:3" x14ac:dyDescent="0.35">
      <c r="A2870" t="s">
        <v>4001</v>
      </c>
      <c r="B2870">
        <v>609010025</v>
      </c>
      <c r="C2870" t="s">
        <v>7</v>
      </c>
    </row>
    <row r="2871" spans="1:3" x14ac:dyDescent="0.35">
      <c r="A2871" t="s">
        <v>4002</v>
      </c>
      <c r="B2871" t="s">
        <v>4003</v>
      </c>
      <c r="C2871" t="s">
        <v>5</v>
      </c>
    </row>
    <row r="2872" spans="1:3" x14ac:dyDescent="0.35">
      <c r="A2872" t="s">
        <v>4004</v>
      </c>
      <c r="B2872" t="s">
        <v>4005</v>
      </c>
      <c r="C2872" t="s">
        <v>5</v>
      </c>
    </row>
    <row r="2873" spans="1:3" x14ac:dyDescent="0.35">
      <c r="A2873" t="s">
        <v>4006</v>
      </c>
      <c r="B2873" t="s">
        <v>4007</v>
      </c>
      <c r="C2873" t="s">
        <v>5</v>
      </c>
    </row>
    <row r="2874" spans="1:3" x14ac:dyDescent="0.35">
      <c r="A2874" t="s">
        <v>4008</v>
      </c>
      <c r="B2874" t="s">
        <v>4009</v>
      </c>
      <c r="C2874" t="s">
        <v>32</v>
      </c>
    </row>
    <row r="2875" spans="1:3" x14ac:dyDescent="0.35">
      <c r="A2875" t="s">
        <v>4010</v>
      </c>
      <c r="B2875">
        <v>605130018</v>
      </c>
      <c r="C2875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48B19-673F-4B7A-ADF8-34645F43EF16}">
  <dimension ref="A3:B1556"/>
  <sheetViews>
    <sheetView topLeftCell="A129" workbookViewId="0">
      <selection activeCell="B4" sqref="B4:B164"/>
    </sheetView>
  </sheetViews>
  <sheetFormatPr defaultRowHeight="14.5" x14ac:dyDescent="0.35"/>
  <cols>
    <col min="1" max="1" width="14.54296875" bestFit="1" customWidth="1"/>
    <col min="2" max="2" width="30.1796875" bestFit="1" customWidth="1"/>
  </cols>
  <sheetData>
    <row r="3" spans="1:2" x14ac:dyDescent="0.35">
      <c r="A3" s="5" t="s">
        <v>4011</v>
      </c>
      <c r="B3" s="5" t="s">
        <v>4012</v>
      </c>
    </row>
    <row r="4" spans="1:2" x14ac:dyDescent="0.35">
      <c r="A4" t="s">
        <v>4013</v>
      </c>
      <c r="B4" t="s">
        <v>3729</v>
      </c>
    </row>
    <row r="5" spans="1:2" x14ac:dyDescent="0.35">
      <c r="A5" t="s">
        <v>2771</v>
      </c>
      <c r="B5" t="s">
        <v>2768</v>
      </c>
    </row>
    <row r="6" spans="1:2" x14ac:dyDescent="0.35">
      <c r="A6" t="s">
        <v>3757</v>
      </c>
      <c r="B6" t="s">
        <v>3756</v>
      </c>
    </row>
    <row r="7" spans="1:2" x14ac:dyDescent="0.35">
      <c r="A7" t="s">
        <v>4014</v>
      </c>
      <c r="B7" t="s">
        <v>3024</v>
      </c>
    </row>
    <row r="8" spans="1:2" x14ac:dyDescent="0.35">
      <c r="A8" t="s">
        <v>4015</v>
      </c>
      <c r="B8" t="s">
        <v>85</v>
      </c>
    </row>
    <row r="9" spans="1:2" x14ac:dyDescent="0.35">
      <c r="A9" t="s">
        <v>4016</v>
      </c>
      <c r="B9" t="s">
        <v>3003</v>
      </c>
    </row>
    <row r="10" spans="1:2" x14ac:dyDescent="0.35">
      <c r="A10" t="s">
        <v>4017</v>
      </c>
      <c r="B10" t="s">
        <v>299</v>
      </c>
    </row>
    <row r="11" spans="1:2" x14ac:dyDescent="0.35">
      <c r="A11" t="s">
        <v>4018</v>
      </c>
      <c r="B11" t="s">
        <v>947</v>
      </c>
    </row>
    <row r="12" spans="1:2" x14ac:dyDescent="0.35">
      <c r="A12" t="s">
        <v>4019</v>
      </c>
      <c r="B12" t="s">
        <v>2707</v>
      </c>
    </row>
    <row r="13" spans="1:2" x14ac:dyDescent="0.35">
      <c r="A13" t="s">
        <v>4020</v>
      </c>
      <c r="B13" t="s">
        <v>2892</v>
      </c>
    </row>
    <row r="14" spans="1:2" x14ac:dyDescent="0.35">
      <c r="A14" t="s">
        <v>4021</v>
      </c>
      <c r="B14" t="s">
        <v>1677</v>
      </c>
    </row>
    <row r="15" spans="1:2" x14ac:dyDescent="0.35">
      <c r="A15" t="s">
        <v>4022</v>
      </c>
      <c r="B15" t="s">
        <v>1992</v>
      </c>
    </row>
    <row r="16" spans="1:2" x14ac:dyDescent="0.35">
      <c r="A16" t="s">
        <v>4023</v>
      </c>
      <c r="B16" t="s">
        <v>2783</v>
      </c>
    </row>
    <row r="17" spans="1:2" x14ac:dyDescent="0.35">
      <c r="A17" t="s">
        <v>4024</v>
      </c>
      <c r="B17" t="s">
        <v>4025</v>
      </c>
    </row>
    <row r="18" spans="1:2" x14ac:dyDescent="0.35">
      <c r="A18" t="s">
        <v>4026</v>
      </c>
      <c r="B18" t="s">
        <v>3594</v>
      </c>
    </row>
    <row r="19" spans="1:2" x14ac:dyDescent="0.35">
      <c r="A19" t="s">
        <v>4027</v>
      </c>
      <c r="B19" t="s">
        <v>538</v>
      </c>
    </row>
    <row r="20" spans="1:2" x14ac:dyDescent="0.35">
      <c r="A20" t="s">
        <v>4028</v>
      </c>
      <c r="B20" t="s">
        <v>995</v>
      </c>
    </row>
    <row r="21" spans="1:2" x14ac:dyDescent="0.35">
      <c r="A21" t="s">
        <v>4029</v>
      </c>
      <c r="B21" t="s">
        <v>3876</v>
      </c>
    </row>
    <row r="22" spans="1:2" x14ac:dyDescent="0.35">
      <c r="A22" t="s">
        <v>4030</v>
      </c>
      <c r="B22" t="s">
        <v>1145</v>
      </c>
    </row>
    <row r="23" spans="1:2" x14ac:dyDescent="0.35">
      <c r="A23" t="s">
        <v>4031</v>
      </c>
      <c r="B23" t="s">
        <v>378</v>
      </c>
    </row>
    <row r="24" spans="1:2" x14ac:dyDescent="0.35">
      <c r="A24" t="s">
        <v>4032</v>
      </c>
      <c r="B24" t="s">
        <v>2209</v>
      </c>
    </row>
    <row r="25" spans="1:2" x14ac:dyDescent="0.35">
      <c r="A25" t="s">
        <v>4033</v>
      </c>
      <c r="B25" t="s">
        <v>758</v>
      </c>
    </row>
    <row r="26" spans="1:2" x14ac:dyDescent="0.35">
      <c r="A26" t="s">
        <v>4034</v>
      </c>
      <c r="B26" t="s">
        <v>909</v>
      </c>
    </row>
    <row r="27" spans="1:2" x14ac:dyDescent="0.35">
      <c r="A27" t="s">
        <v>4035</v>
      </c>
      <c r="B27" t="s">
        <v>2795</v>
      </c>
    </row>
    <row r="28" spans="1:2" x14ac:dyDescent="0.35">
      <c r="A28" t="s">
        <v>4036</v>
      </c>
      <c r="B28" t="s">
        <v>1464</v>
      </c>
    </row>
    <row r="29" spans="1:2" x14ac:dyDescent="0.35">
      <c r="A29" t="s">
        <v>4037</v>
      </c>
      <c r="B29" t="s">
        <v>3126</v>
      </c>
    </row>
    <row r="30" spans="1:2" x14ac:dyDescent="0.35">
      <c r="A30" t="s">
        <v>4038</v>
      </c>
      <c r="B30" t="s">
        <v>894</v>
      </c>
    </row>
    <row r="31" spans="1:2" x14ac:dyDescent="0.35">
      <c r="A31" t="s">
        <v>4039</v>
      </c>
      <c r="B31" t="s">
        <v>1518</v>
      </c>
    </row>
    <row r="32" spans="1:2" x14ac:dyDescent="0.35">
      <c r="A32" t="s">
        <v>1699</v>
      </c>
      <c r="B32" t="s">
        <v>1698</v>
      </c>
    </row>
    <row r="33" spans="1:2" x14ac:dyDescent="0.35">
      <c r="A33" t="s">
        <v>4040</v>
      </c>
      <c r="B33" t="s">
        <v>2854</v>
      </c>
    </row>
    <row r="34" spans="1:2" x14ac:dyDescent="0.35">
      <c r="A34" t="s">
        <v>2066</v>
      </c>
      <c r="B34" t="s">
        <v>2065</v>
      </c>
    </row>
    <row r="35" spans="1:2" x14ac:dyDescent="0.35">
      <c r="A35" t="s">
        <v>4041</v>
      </c>
      <c r="B35" t="s">
        <v>2061</v>
      </c>
    </row>
    <row r="36" spans="1:2" x14ac:dyDescent="0.35">
      <c r="A36" t="s">
        <v>4042</v>
      </c>
      <c r="B36" t="s">
        <v>2468</v>
      </c>
    </row>
    <row r="37" spans="1:2" x14ac:dyDescent="0.35">
      <c r="A37" t="s">
        <v>4043</v>
      </c>
      <c r="B37" t="s">
        <v>3370</v>
      </c>
    </row>
    <row r="38" spans="1:2" x14ac:dyDescent="0.35">
      <c r="A38" t="s">
        <v>4044</v>
      </c>
      <c r="B38" t="s">
        <v>2017</v>
      </c>
    </row>
    <row r="39" spans="1:2" x14ac:dyDescent="0.35">
      <c r="A39" t="s">
        <v>702</v>
      </c>
      <c r="B39" t="s">
        <v>701</v>
      </c>
    </row>
    <row r="40" spans="1:2" x14ac:dyDescent="0.35">
      <c r="A40" t="s">
        <v>4045</v>
      </c>
      <c r="B40" t="s">
        <v>883</v>
      </c>
    </row>
    <row r="41" spans="1:2" x14ac:dyDescent="0.35">
      <c r="A41" t="s">
        <v>2870</v>
      </c>
      <c r="B41" t="s">
        <v>2867</v>
      </c>
    </row>
    <row r="42" spans="1:2" x14ac:dyDescent="0.35">
      <c r="A42" t="s">
        <v>4046</v>
      </c>
      <c r="B42" t="s">
        <v>432</v>
      </c>
    </row>
    <row r="43" spans="1:2" x14ac:dyDescent="0.35">
      <c r="A43" t="s">
        <v>2118</v>
      </c>
      <c r="B43" t="s">
        <v>2117</v>
      </c>
    </row>
    <row r="44" spans="1:2" x14ac:dyDescent="0.35">
      <c r="A44" t="s">
        <v>3445</v>
      </c>
      <c r="B44" t="s">
        <v>3446</v>
      </c>
    </row>
    <row r="45" spans="1:2" x14ac:dyDescent="0.35">
      <c r="A45" t="s">
        <v>1854</v>
      </c>
      <c r="B45" t="s">
        <v>1853</v>
      </c>
    </row>
    <row r="46" spans="1:2" x14ac:dyDescent="0.35">
      <c r="A46" t="s">
        <v>4047</v>
      </c>
      <c r="B46" t="s">
        <v>1002</v>
      </c>
    </row>
    <row r="47" spans="1:2" x14ac:dyDescent="0.35">
      <c r="A47" t="s">
        <v>4048</v>
      </c>
      <c r="B47" t="s">
        <v>301</v>
      </c>
    </row>
    <row r="48" spans="1:2" x14ac:dyDescent="0.35">
      <c r="A48" t="s">
        <v>689</v>
      </c>
      <c r="B48" t="s">
        <v>688</v>
      </c>
    </row>
    <row r="49" spans="1:2" x14ac:dyDescent="0.35">
      <c r="A49" t="s">
        <v>4049</v>
      </c>
      <c r="B49" t="s">
        <v>1154</v>
      </c>
    </row>
    <row r="50" spans="1:2" x14ac:dyDescent="0.35">
      <c r="A50" t="s">
        <v>4050</v>
      </c>
      <c r="B50" t="s">
        <v>3618</v>
      </c>
    </row>
    <row r="51" spans="1:2" x14ac:dyDescent="0.35">
      <c r="A51" t="s">
        <v>4051</v>
      </c>
      <c r="B51" t="s">
        <v>110</v>
      </c>
    </row>
    <row r="52" spans="1:2" x14ac:dyDescent="0.35">
      <c r="A52" t="s">
        <v>4052</v>
      </c>
      <c r="B52" t="s">
        <v>1000</v>
      </c>
    </row>
    <row r="53" spans="1:2" x14ac:dyDescent="0.35">
      <c r="A53" t="s">
        <v>4053</v>
      </c>
      <c r="B53" t="s">
        <v>1670</v>
      </c>
    </row>
    <row r="54" spans="1:2" x14ac:dyDescent="0.35">
      <c r="A54" t="s">
        <v>4054</v>
      </c>
      <c r="B54" t="s">
        <v>1708</v>
      </c>
    </row>
    <row r="55" spans="1:2" x14ac:dyDescent="0.35">
      <c r="A55" t="s">
        <v>4055</v>
      </c>
      <c r="B55" t="s">
        <v>1914</v>
      </c>
    </row>
    <row r="56" spans="1:2" x14ac:dyDescent="0.35">
      <c r="A56" t="s">
        <v>4056</v>
      </c>
      <c r="B56" t="s">
        <v>2110</v>
      </c>
    </row>
    <row r="57" spans="1:2" x14ac:dyDescent="0.35">
      <c r="A57" t="s">
        <v>4057</v>
      </c>
      <c r="B57" t="s">
        <v>2498</v>
      </c>
    </row>
    <row r="58" spans="1:2" x14ac:dyDescent="0.35">
      <c r="A58" t="s">
        <v>4058</v>
      </c>
      <c r="B58" t="s">
        <v>3524</v>
      </c>
    </row>
    <row r="59" spans="1:2" x14ac:dyDescent="0.35">
      <c r="A59" t="s">
        <v>4059</v>
      </c>
      <c r="B59" t="s">
        <v>3670</v>
      </c>
    </row>
    <row r="60" spans="1:2" x14ac:dyDescent="0.35">
      <c r="A60" t="s">
        <v>4060</v>
      </c>
      <c r="B60" t="s">
        <v>3636</v>
      </c>
    </row>
    <row r="61" spans="1:2" x14ac:dyDescent="0.35">
      <c r="A61" t="s">
        <v>4061</v>
      </c>
      <c r="B61" t="s">
        <v>3983</v>
      </c>
    </row>
    <row r="62" spans="1:2" x14ac:dyDescent="0.35">
      <c r="A62" t="s">
        <v>4062</v>
      </c>
      <c r="B62" t="s">
        <v>861</v>
      </c>
    </row>
    <row r="63" spans="1:2" x14ac:dyDescent="0.35">
      <c r="A63" t="s">
        <v>4063</v>
      </c>
      <c r="B63" t="s">
        <v>4064</v>
      </c>
    </row>
    <row r="64" spans="1:2" x14ac:dyDescent="0.35">
      <c r="A64" t="s">
        <v>4065</v>
      </c>
      <c r="B64" t="s">
        <v>3990</v>
      </c>
    </row>
    <row r="65" spans="1:2" x14ac:dyDescent="0.35">
      <c r="A65" t="s">
        <v>4066</v>
      </c>
      <c r="B65" t="s">
        <v>578</v>
      </c>
    </row>
    <row r="66" spans="1:2" x14ac:dyDescent="0.35">
      <c r="A66" t="s">
        <v>4067</v>
      </c>
      <c r="B66" t="s">
        <v>3686</v>
      </c>
    </row>
    <row r="67" spans="1:2" x14ac:dyDescent="0.35">
      <c r="A67" t="s">
        <v>4068</v>
      </c>
      <c r="B67" t="s">
        <v>81</v>
      </c>
    </row>
    <row r="68" spans="1:2" x14ac:dyDescent="0.35">
      <c r="A68" t="s">
        <v>4069</v>
      </c>
      <c r="B68" t="s">
        <v>1753</v>
      </c>
    </row>
    <row r="69" spans="1:2" x14ac:dyDescent="0.35">
      <c r="A69" t="s">
        <v>121</v>
      </c>
      <c r="B69" t="s">
        <v>122</v>
      </c>
    </row>
    <row r="70" spans="1:2" x14ac:dyDescent="0.35">
      <c r="A70" t="s">
        <v>3743</v>
      </c>
      <c r="B70" t="s">
        <v>3742</v>
      </c>
    </row>
    <row r="71" spans="1:2" x14ac:dyDescent="0.35">
      <c r="A71" t="s">
        <v>2075</v>
      </c>
      <c r="B71" t="s">
        <v>2074</v>
      </c>
    </row>
    <row r="72" spans="1:2" x14ac:dyDescent="0.35">
      <c r="A72" t="s">
        <v>4070</v>
      </c>
      <c r="B72" t="s">
        <v>953</v>
      </c>
    </row>
    <row r="73" spans="1:2" x14ac:dyDescent="0.35">
      <c r="A73" t="s">
        <v>4071</v>
      </c>
      <c r="B73" t="s">
        <v>1266</v>
      </c>
    </row>
    <row r="74" spans="1:2" x14ac:dyDescent="0.35">
      <c r="A74" t="s">
        <v>4072</v>
      </c>
      <c r="B74" t="s">
        <v>2611</v>
      </c>
    </row>
    <row r="75" spans="1:2" x14ac:dyDescent="0.35">
      <c r="A75" t="s">
        <v>4073</v>
      </c>
      <c r="B75" t="s">
        <v>402</v>
      </c>
    </row>
    <row r="76" spans="1:2" x14ac:dyDescent="0.35">
      <c r="A76" t="s">
        <v>1907</v>
      </c>
      <c r="B76" t="s">
        <v>3032</v>
      </c>
    </row>
    <row r="77" spans="1:2" x14ac:dyDescent="0.35">
      <c r="A77" t="s">
        <v>4074</v>
      </c>
      <c r="B77" t="s">
        <v>1016</v>
      </c>
    </row>
    <row r="78" spans="1:2" x14ac:dyDescent="0.35">
      <c r="A78" t="s">
        <v>4075</v>
      </c>
      <c r="B78" t="s">
        <v>4076</v>
      </c>
    </row>
    <row r="79" spans="1:2" x14ac:dyDescent="0.35">
      <c r="A79" t="s">
        <v>4077</v>
      </c>
      <c r="B79" t="s">
        <v>1402</v>
      </c>
    </row>
    <row r="80" spans="1:2" x14ac:dyDescent="0.35">
      <c r="A80" t="s">
        <v>4078</v>
      </c>
      <c r="B80" t="s">
        <v>2070</v>
      </c>
    </row>
    <row r="81" spans="1:2" x14ac:dyDescent="0.35">
      <c r="A81" t="s">
        <v>2168</v>
      </c>
      <c r="B81" t="s">
        <v>2167</v>
      </c>
    </row>
    <row r="82" spans="1:2" x14ac:dyDescent="0.35">
      <c r="A82" t="s">
        <v>4079</v>
      </c>
      <c r="B82" t="s">
        <v>4080</v>
      </c>
    </row>
    <row r="83" spans="1:2" x14ac:dyDescent="0.35">
      <c r="A83" t="s">
        <v>3657</v>
      </c>
      <c r="B83" t="s">
        <v>3656</v>
      </c>
    </row>
    <row r="84" spans="1:2" x14ac:dyDescent="0.35">
      <c r="A84" t="s">
        <v>4081</v>
      </c>
      <c r="B84" t="s">
        <v>3226</v>
      </c>
    </row>
    <row r="85" spans="1:2" x14ac:dyDescent="0.35">
      <c r="A85" t="s">
        <v>2333</v>
      </c>
      <c r="B85" t="s">
        <v>2332</v>
      </c>
    </row>
    <row r="86" spans="1:2" x14ac:dyDescent="0.35">
      <c r="A86" t="s">
        <v>3475</v>
      </c>
      <c r="B86" t="s">
        <v>3474</v>
      </c>
    </row>
    <row r="87" spans="1:2" x14ac:dyDescent="0.35">
      <c r="A87" t="s">
        <v>3645</v>
      </c>
      <c r="B87" t="s">
        <v>3644</v>
      </c>
    </row>
    <row r="88" spans="1:2" x14ac:dyDescent="0.35">
      <c r="A88" t="s">
        <v>4082</v>
      </c>
      <c r="B88" t="s">
        <v>3587</v>
      </c>
    </row>
    <row r="89" spans="1:2" x14ac:dyDescent="0.35">
      <c r="A89" t="s">
        <v>1510</v>
      </c>
      <c r="B89" t="s">
        <v>1509</v>
      </c>
    </row>
    <row r="90" spans="1:2" x14ac:dyDescent="0.35">
      <c r="A90" t="s">
        <v>3973</v>
      </c>
      <c r="B90" t="s">
        <v>3972</v>
      </c>
    </row>
    <row r="91" spans="1:2" x14ac:dyDescent="0.35">
      <c r="A91" t="s">
        <v>4083</v>
      </c>
      <c r="B91" t="s">
        <v>654</v>
      </c>
    </row>
    <row r="92" spans="1:2" x14ac:dyDescent="0.35">
      <c r="A92" t="s">
        <v>2863</v>
      </c>
      <c r="B92" t="s">
        <v>2862</v>
      </c>
    </row>
    <row r="93" spans="1:2" x14ac:dyDescent="0.35">
      <c r="A93" t="s">
        <v>174</v>
      </c>
      <c r="B93" t="s">
        <v>170</v>
      </c>
    </row>
    <row r="94" spans="1:2" x14ac:dyDescent="0.35">
      <c r="A94" t="s">
        <v>4084</v>
      </c>
      <c r="B94" t="s">
        <v>2126</v>
      </c>
    </row>
    <row r="95" spans="1:2" x14ac:dyDescent="0.35">
      <c r="A95" t="s">
        <v>4085</v>
      </c>
      <c r="B95" t="s">
        <v>3266</v>
      </c>
    </row>
    <row r="96" spans="1:2" x14ac:dyDescent="0.35">
      <c r="A96" t="s">
        <v>720</v>
      </c>
      <c r="B96" t="s">
        <v>721</v>
      </c>
    </row>
    <row r="97" spans="1:2" x14ac:dyDescent="0.35">
      <c r="A97" t="s">
        <v>1414</v>
      </c>
      <c r="B97" t="s">
        <v>1413</v>
      </c>
    </row>
    <row r="98" spans="1:2" x14ac:dyDescent="0.35">
      <c r="A98" t="s">
        <v>3957</v>
      </c>
      <c r="B98" t="s">
        <v>3966</v>
      </c>
    </row>
    <row r="99" spans="1:2" x14ac:dyDescent="0.35">
      <c r="A99" t="s">
        <v>429</v>
      </c>
      <c r="B99" t="s">
        <v>425</v>
      </c>
    </row>
    <row r="100" spans="1:2" x14ac:dyDescent="0.35">
      <c r="A100" t="s">
        <v>982</v>
      </c>
      <c r="B100" t="s">
        <v>978</v>
      </c>
    </row>
    <row r="101" spans="1:2" x14ac:dyDescent="0.35">
      <c r="A101" t="s">
        <v>834</v>
      </c>
      <c r="B101" t="s">
        <v>835</v>
      </c>
    </row>
    <row r="102" spans="1:2" x14ac:dyDescent="0.35">
      <c r="A102" t="s">
        <v>4086</v>
      </c>
      <c r="B102" t="s">
        <v>48</v>
      </c>
    </row>
    <row r="103" spans="1:2" x14ac:dyDescent="0.35">
      <c r="A103" t="s">
        <v>4087</v>
      </c>
      <c r="B103" t="s">
        <v>2078</v>
      </c>
    </row>
    <row r="104" spans="1:2" x14ac:dyDescent="0.35">
      <c r="A104" t="s">
        <v>4088</v>
      </c>
      <c r="B104" t="s">
        <v>865</v>
      </c>
    </row>
    <row r="105" spans="1:2" x14ac:dyDescent="0.35">
      <c r="A105" t="s">
        <v>4089</v>
      </c>
      <c r="B105" t="s">
        <v>1381</v>
      </c>
    </row>
    <row r="106" spans="1:2" x14ac:dyDescent="0.35">
      <c r="A106" t="s">
        <v>4090</v>
      </c>
      <c r="B106" t="s">
        <v>2017</v>
      </c>
    </row>
    <row r="107" spans="1:2" x14ac:dyDescent="0.35">
      <c r="A107" t="s">
        <v>4091</v>
      </c>
      <c r="B107" t="s">
        <v>1976</v>
      </c>
    </row>
    <row r="108" spans="1:2" x14ac:dyDescent="0.35">
      <c r="A108" t="s">
        <v>4092</v>
      </c>
      <c r="B108" t="s">
        <v>105</v>
      </c>
    </row>
    <row r="109" spans="1:2" x14ac:dyDescent="0.35">
      <c r="A109" t="s">
        <v>4093</v>
      </c>
      <c r="B109" t="s">
        <v>4094</v>
      </c>
    </row>
    <row r="110" spans="1:2" x14ac:dyDescent="0.35">
      <c r="A110" t="s">
        <v>4095</v>
      </c>
      <c r="B110" t="s">
        <v>4096</v>
      </c>
    </row>
    <row r="111" spans="1:2" x14ac:dyDescent="0.35">
      <c r="A111" t="s">
        <v>4097</v>
      </c>
      <c r="B111" t="s">
        <v>2557</v>
      </c>
    </row>
    <row r="112" spans="1:2" x14ac:dyDescent="0.35">
      <c r="A112" t="s">
        <v>4098</v>
      </c>
      <c r="B112" t="s">
        <v>3678</v>
      </c>
    </row>
    <row r="113" spans="1:2" x14ac:dyDescent="0.35">
      <c r="A113" t="s">
        <v>4099</v>
      </c>
      <c r="B113" t="s">
        <v>599</v>
      </c>
    </row>
    <row r="114" spans="1:2" x14ac:dyDescent="0.35">
      <c r="A114" t="s">
        <v>4100</v>
      </c>
      <c r="B114" t="s">
        <v>607</v>
      </c>
    </row>
    <row r="115" spans="1:2" x14ac:dyDescent="0.35">
      <c r="A115" t="s">
        <v>4101</v>
      </c>
      <c r="B115" t="s">
        <v>1004</v>
      </c>
    </row>
    <row r="116" spans="1:2" x14ac:dyDescent="0.35">
      <c r="A116" t="s">
        <v>4102</v>
      </c>
      <c r="B116" t="s">
        <v>4103</v>
      </c>
    </row>
    <row r="117" spans="1:2" x14ac:dyDescent="0.35">
      <c r="A117" t="s">
        <v>4104</v>
      </c>
      <c r="B117" t="s">
        <v>3938</v>
      </c>
    </row>
    <row r="118" spans="1:2" x14ac:dyDescent="0.35">
      <c r="A118" t="s">
        <v>4105</v>
      </c>
      <c r="B118" t="s">
        <v>3171</v>
      </c>
    </row>
    <row r="119" spans="1:2" x14ac:dyDescent="0.35">
      <c r="A119" t="s">
        <v>323</v>
      </c>
      <c r="B119" t="s">
        <v>322</v>
      </c>
    </row>
    <row r="120" spans="1:2" x14ac:dyDescent="0.35">
      <c r="A120" t="s">
        <v>4106</v>
      </c>
      <c r="B120" t="s">
        <v>3558</v>
      </c>
    </row>
    <row r="121" spans="1:2" x14ac:dyDescent="0.35">
      <c r="A121" t="s">
        <v>4107</v>
      </c>
      <c r="B121" t="s">
        <v>4108</v>
      </c>
    </row>
    <row r="122" spans="1:2" x14ac:dyDescent="0.35">
      <c r="A122" t="s">
        <v>4109</v>
      </c>
      <c r="B122" t="s">
        <v>3649</v>
      </c>
    </row>
    <row r="123" spans="1:2" x14ac:dyDescent="0.35">
      <c r="A123" t="s">
        <v>4110</v>
      </c>
      <c r="B123" t="s">
        <v>1726</v>
      </c>
    </row>
    <row r="124" spans="1:2" x14ac:dyDescent="0.35">
      <c r="A124" t="s">
        <v>4111</v>
      </c>
      <c r="B124" t="s">
        <v>2445</v>
      </c>
    </row>
    <row r="125" spans="1:2" x14ac:dyDescent="0.35">
      <c r="A125" t="s">
        <v>4112</v>
      </c>
      <c r="B125" t="s">
        <v>4113</v>
      </c>
    </row>
    <row r="126" spans="1:2" x14ac:dyDescent="0.35">
      <c r="A126" t="s">
        <v>4114</v>
      </c>
      <c r="B126" t="s">
        <v>1397</v>
      </c>
    </row>
    <row r="127" spans="1:2" x14ac:dyDescent="0.35">
      <c r="A127" t="s">
        <v>4115</v>
      </c>
      <c r="B127" t="s">
        <v>4116</v>
      </c>
    </row>
    <row r="128" spans="1:2" x14ac:dyDescent="0.35">
      <c r="A128" t="s">
        <v>4117</v>
      </c>
      <c r="B128" t="s">
        <v>3880</v>
      </c>
    </row>
    <row r="129" spans="1:2" x14ac:dyDescent="0.35">
      <c r="A129" t="s">
        <v>4118</v>
      </c>
      <c r="B129" t="s">
        <v>2518</v>
      </c>
    </row>
    <row r="130" spans="1:2" x14ac:dyDescent="0.35">
      <c r="A130" t="s">
        <v>4119</v>
      </c>
      <c r="B130" t="s">
        <v>1976</v>
      </c>
    </row>
    <row r="131" spans="1:2" x14ac:dyDescent="0.35">
      <c r="A131" t="s">
        <v>4120</v>
      </c>
      <c r="B131" t="s">
        <v>1395</v>
      </c>
    </row>
    <row r="132" spans="1:2" x14ac:dyDescent="0.35">
      <c r="A132" t="s">
        <v>4121</v>
      </c>
      <c r="B132" t="s">
        <v>1471</v>
      </c>
    </row>
    <row r="133" spans="1:2" x14ac:dyDescent="0.35">
      <c r="A133" t="s">
        <v>4122</v>
      </c>
      <c r="B133" t="s">
        <v>1391</v>
      </c>
    </row>
    <row r="134" spans="1:2" x14ac:dyDescent="0.35">
      <c r="A134" t="s">
        <v>4123</v>
      </c>
      <c r="B134" t="s">
        <v>3629</v>
      </c>
    </row>
    <row r="135" spans="1:2" x14ac:dyDescent="0.35">
      <c r="A135" t="s">
        <v>4124</v>
      </c>
      <c r="B135" t="s">
        <v>1393</v>
      </c>
    </row>
    <row r="136" spans="1:2" x14ac:dyDescent="0.35">
      <c r="A136" t="s">
        <v>4125</v>
      </c>
      <c r="B136" t="s">
        <v>1110</v>
      </c>
    </row>
    <row r="137" spans="1:2" x14ac:dyDescent="0.35">
      <c r="A137" t="s">
        <v>4126</v>
      </c>
      <c r="B137" t="s">
        <v>2917</v>
      </c>
    </row>
    <row r="138" spans="1:2" x14ac:dyDescent="0.35">
      <c r="A138" t="s">
        <v>4127</v>
      </c>
      <c r="B138" t="s">
        <v>586</v>
      </c>
    </row>
    <row r="139" spans="1:2" x14ac:dyDescent="0.35">
      <c r="A139" t="s">
        <v>4128</v>
      </c>
      <c r="B139" t="s">
        <v>1635</v>
      </c>
    </row>
    <row r="140" spans="1:2" x14ac:dyDescent="0.35">
      <c r="A140" t="s">
        <v>4129</v>
      </c>
      <c r="B140" t="s">
        <v>3038</v>
      </c>
    </row>
    <row r="141" spans="1:2" x14ac:dyDescent="0.35">
      <c r="A141" t="s">
        <v>4130</v>
      </c>
      <c r="B141" t="s">
        <v>244</v>
      </c>
    </row>
    <row r="142" spans="1:2" x14ac:dyDescent="0.35">
      <c r="A142" t="s">
        <v>4131</v>
      </c>
      <c r="B142" t="s">
        <v>3408</v>
      </c>
    </row>
    <row r="143" spans="1:2" x14ac:dyDescent="0.35">
      <c r="A143" t="s">
        <v>4132</v>
      </c>
      <c r="B143" t="s">
        <v>978</v>
      </c>
    </row>
    <row r="144" spans="1:2" x14ac:dyDescent="0.35">
      <c r="A144" t="s">
        <v>4133</v>
      </c>
      <c r="B144" t="s">
        <v>4134</v>
      </c>
    </row>
    <row r="145" spans="1:2" x14ac:dyDescent="0.35">
      <c r="A145" t="s">
        <v>4135</v>
      </c>
      <c r="B145" t="s">
        <v>4136</v>
      </c>
    </row>
    <row r="146" spans="1:2" x14ac:dyDescent="0.35">
      <c r="A146" t="s">
        <v>2566</v>
      </c>
      <c r="B146" t="s">
        <v>2561</v>
      </c>
    </row>
    <row r="147" spans="1:2" x14ac:dyDescent="0.35">
      <c r="A147" t="s">
        <v>4137</v>
      </c>
      <c r="B147" t="s">
        <v>2457</v>
      </c>
    </row>
    <row r="148" spans="1:2" x14ac:dyDescent="0.35">
      <c r="A148" t="s">
        <v>4138</v>
      </c>
      <c r="B148" t="s">
        <v>656</v>
      </c>
    </row>
    <row r="149" spans="1:2" x14ac:dyDescent="0.35">
      <c r="A149" t="s">
        <v>4139</v>
      </c>
      <c r="B149" t="s">
        <v>1976</v>
      </c>
    </row>
    <row r="150" spans="1:2" x14ac:dyDescent="0.35">
      <c r="A150" t="s">
        <v>4140</v>
      </c>
      <c r="B150" t="s">
        <v>1345</v>
      </c>
    </row>
    <row r="151" spans="1:2" x14ac:dyDescent="0.35">
      <c r="A151" t="s">
        <v>4141</v>
      </c>
      <c r="B151" t="s">
        <v>4142</v>
      </c>
    </row>
    <row r="152" spans="1:2" x14ac:dyDescent="0.35">
      <c r="A152" t="s">
        <v>4143</v>
      </c>
      <c r="B152" t="s">
        <v>3164</v>
      </c>
    </row>
    <row r="153" spans="1:2" x14ac:dyDescent="0.35">
      <c r="A153" t="s">
        <v>4144</v>
      </c>
      <c r="B153" t="s">
        <v>3836</v>
      </c>
    </row>
    <row r="154" spans="1:2" x14ac:dyDescent="0.35">
      <c r="A154" t="s">
        <v>4145</v>
      </c>
      <c r="B154" t="s">
        <v>3423</v>
      </c>
    </row>
    <row r="155" spans="1:2" x14ac:dyDescent="0.35">
      <c r="A155" t="s">
        <v>4146</v>
      </c>
      <c r="B155" t="s">
        <v>4147</v>
      </c>
    </row>
    <row r="156" spans="1:2" x14ac:dyDescent="0.35">
      <c r="A156" t="s">
        <v>4148</v>
      </c>
      <c r="B156" t="s">
        <v>2588</v>
      </c>
    </row>
    <row r="157" spans="1:2" x14ac:dyDescent="0.35">
      <c r="A157" t="s">
        <v>4149</v>
      </c>
      <c r="B157" t="s">
        <v>3116</v>
      </c>
    </row>
    <row r="158" spans="1:2" x14ac:dyDescent="0.35">
      <c r="A158" t="s">
        <v>4150</v>
      </c>
      <c r="B158" t="s">
        <v>2454</v>
      </c>
    </row>
    <row r="159" spans="1:2" x14ac:dyDescent="0.35">
      <c r="A159" t="s">
        <v>4151</v>
      </c>
      <c r="B159" t="s">
        <v>3150</v>
      </c>
    </row>
    <row r="160" spans="1:2" x14ac:dyDescent="0.35">
      <c r="A160" t="s">
        <v>4152</v>
      </c>
      <c r="B160" t="s">
        <v>2535</v>
      </c>
    </row>
    <row r="161" spans="1:2" x14ac:dyDescent="0.35">
      <c r="A161" t="s">
        <v>4153</v>
      </c>
      <c r="B161" t="s">
        <v>3226</v>
      </c>
    </row>
    <row r="162" spans="1:2" x14ac:dyDescent="0.35">
      <c r="A162" t="s">
        <v>4154</v>
      </c>
      <c r="B162" t="s">
        <v>1902</v>
      </c>
    </row>
    <row r="163" spans="1:2" x14ac:dyDescent="0.35">
      <c r="A163" t="s">
        <v>4155</v>
      </c>
      <c r="B163" t="s">
        <v>1377</v>
      </c>
    </row>
    <row r="164" spans="1:2" x14ac:dyDescent="0.35">
      <c r="A164" t="s">
        <v>4156</v>
      </c>
      <c r="B164" t="s">
        <v>902</v>
      </c>
    </row>
    <row r="165" spans="1:2" x14ac:dyDescent="0.35">
      <c r="A165" t="s">
        <v>4157</v>
      </c>
      <c r="B165" t="s">
        <v>322</v>
      </c>
    </row>
    <row r="166" spans="1:2" x14ac:dyDescent="0.35">
      <c r="A166" t="s">
        <v>4157</v>
      </c>
      <c r="B166" t="s">
        <v>607</v>
      </c>
    </row>
    <row r="167" spans="1:2" x14ac:dyDescent="0.35">
      <c r="A167" t="s">
        <v>4157</v>
      </c>
      <c r="B167" t="s">
        <v>688</v>
      </c>
    </row>
    <row r="168" spans="1:2" x14ac:dyDescent="0.35">
      <c r="A168" t="s">
        <v>4157</v>
      </c>
      <c r="B168" t="s">
        <v>701</v>
      </c>
    </row>
    <row r="169" spans="1:2" x14ac:dyDescent="0.35">
      <c r="A169" t="s">
        <v>4157</v>
      </c>
      <c r="B169" t="s">
        <v>902</v>
      </c>
    </row>
    <row r="170" spans="1:2" x14ac:dyDescent="0.35">
      <c r="A170" t="s">
        <v>4157</v>
      </c>
      <c r="B170" t="s">
        <v>995</v>
      </c>
    </row>
    <row r="171" spans="1:2" x14ac:dyDescent="0.35">
      <c r="A171" t="s">
        <v>4157</v>
      </c>
      <c r="B171" t="s">
        <v>1145</v>
      </c>
    </row>
    <row r="172" spans="1:2" x14ac:dyDescent="0.35">
      <c r="A172" t="s">
        <v>4157</v>
      </c>
      <c r="B172" t="s">
        <v>1413</v>
      </c>
    </row>
    <row r="173" spans="1:2" x14ac:dyDescent="0.35">
      <c r="A173" t="s">
        <v>4157</v>
      </c>
      <c r="B173" t="s">
        <v>1509</v>
      </c>
    </row>
    <row r="174" spans="1:2" x14ac:dyDescent="0.35">
      <c r="A174" t="s">
        <v>4157</v>
      </c>
      <c r="B174" t="s">
        <v>1698</v>
      </c>
    </row>
    <row r="175" spans="1:2" x14ac:dyDescent="0.35">
      <c r="A175" t="s">
        <v>4157</v>
      </c>
      <c r="B175" t="s">
        <v>1708</v>
      </c>
    </row>
    <row r="176" spans="1:2" x14ac:dyDescent="0.35">
      <c r="A176" t="s">
        <v>4157</v>
      </c>
      <c r="B176" t="s">
        <v>1853</v>
      </c>
    </row>
    <row r="177" spans="1:2" x14ac:dyDescent="0.35">
      <c r="A177" t="s">
        <v>4157</v>
      </c>
      <c r="B177" t="s">
        <v>1914</v>
      </c>
    </row>
    <row r="178" spans="1:2" x14ac:dyDescent="0.35">
      <c r="A178" t="s">
        <v>4157</v>
      </c>
      <c r="B178" t="s">
        <v>2017</v>
      </c>
    </row>
    <row r="179" spans="1:2" x14ac:dyDescent="0.35">
      <c r="A179" t="s">
        <v>4157</v>
      </c>
      <c r="B179" t="s">
        <v>2065</v>
      </c>
    </row>
    <row r="180" spans="1:2" x14ac:dyDescent="0.35">
      <c r="A180" t="s">
        <v>4157</v>
      </c>
      <c r="B180" t="s">
        <v>2074</v>
      </c>
    </row>
    <row r="181" spans="1:2" x14ac:dyDescent="0.35">
      <c r="A181" t="s">
        <v>4157</v>
      </c>
      <c r="B181" t="s">
        <v>2117</v>
      </c>
    </row>
    <row r="182" spans="1:2" x14ac:dyDescent="0.35">
      <c r="A182" t="s">
        <v>4157</v>
      </c>
      <c r="B182" t="s">
        <v>2167</v>
      </c>
    </row>
    <row r="183" spans="1:2" x14ac:dyDescent="0.35">
      <c r="A183" t="s">
        <v>4157</v>
      </c>
      <c r="B183" t="s">
        <v>2332</v>
      </c>
    </row>
    <row r="184" spans="1:2" x14ac:dyDescent="0.35">
      <c r="A184" t="s">
        <v>4157</v>
      </c>
      <c r="B184" t="s">
        <v>2498</v>
      </c>
    </row>
    <row r="185" spans="1:2" x14ac:dyDescent="0.35">
      <c r="A185" t="s">
        <v>4157</v>
      </c>
      <c r="B185" t="s">
        <v>2783</v>
      </c>
    </row>
    <row r="186" spans="1:2" x14ac:dyDescent="0.35">
      <c r="A186" t="s">
        <v>4157</v>
      </c>
      <c r="B186" t="s">
        <v>2795</v>
      </c>
    </row>
    <row r="187" spans="1:2" x14ac:dyDescent="0.35">
      <c r="A187" t="s">
        <v>4157</v>
      </c>
      <c r="B187" t="s">
        <v>2862</v>
      </c>
    </row>
    <row r="188" spans="1:2" x14ac:dyDescent="0.35">
      <c r="A188" t="s">
        <v>4157</v>
      </c>
      <c r="B188" t="s">
        <v>3226</v>
      </c>
    </row>
    <row r="189" spans="1:2" x14ac:dyDescent="0.35">
      <c r="A189" t="s">
        <v>4157</v>
      </c>
      <c r="B189" t="s">
        <v>3266</v>
      </c>
    </row>
    <row r="190" spans="1:2" x14ac:dyDescent="0.35">
      <c r="A190" t="s">
        <v>4157</v>
      </c>
      <c r="B190" t="s">
        <v>3474</v>
      </c>
    </row>
    <row r="191" spans="1:2" x14ac:dyDescent="0.35">
      <c r="A191" t="s">
        <v>4157</v>
      </c>
      <c r="B191" t="s">
        <v>3587</v>
      </c>
    </row>
    <row r="192" spans="1:2" x14ac:dyDescent="0.35">
      <c r="A192" t="s">
        <v>4157</v>
      </c>
      <c r="B192" t="s">
        <v>3618</v>
      </c>
    </row>
    <row r="193" spans="1:2" x14ac:dyDescent="0.35">
      <c r="A193" t="s">
        <v>4157</v>
      </c>
      <c r="B193" t="s">
        <v>3644</v>
      </c>
    </row>
    <row r="194" spans="1:2" x14ac:dyDescent="0.35">
      <c r="A194" t="s">
        <v>4157</v>
      </c>
      <c r="B194" t="s">
        <v>3656</v>
      </c>
    </row>
    <row r="195" spans="1:2" x14ac:dyDescent="0.35">
      <c r="A195" t="s">
        <v>4157</v>
      </c>
      <c r="B195" t="s">
        <v>3742</v>
      </c>
    </row>
    <row r="196" spans="1:2" x14ac:dyDescent="0.35">
      <c r="A196" t="s">
        <v>4157</v>
      </c>
      <c r="B196" t="s">
        <v>3756</v>
      </c>
    </row>
    <row r="197" spans="1:2" x14ac:dyDescent="0.35">
      <c r="A197" t="s">
        <v>4157</v>
      </c>
      <c r="B197" t="s">
        <v>3972</v>
      </c>
    </row>
    <row r="198" spans="1:2" x14ac:dyDescent="0.35">
      <c r="A198" t="s">
        <v>4157</v>
      </c>
      <c r="B198" t="s">
        <v>2235</v>
      </c>
    </row>
    <row r="199" spans="1:2" x14ac:dyDescent="0.35">
      <c r="A199" t="s">
        <v>4157</v>
      </c>
      <c r="B199" t="s">
        <v>1848</v>
      </c>
    </row>
    <row r="200" spans="1:2" x14ac:dyDescent="0.35">
      <c r="A200" t="s">
        <v>4157</v>
      </c>
      <c r="B200" t="s">
        <v>1028</v>
      </c>
    </row>
    <row r="201" spans="1:2" x14ac:dyDescent="0.35">
      <c r="A201" t="s">
        <v>4157</v>
      </c>
      <c r="B201" t="s">
        <v>4158</v>
      </c>
    </row>
    <row r="202" spans="1:2" x14ac:dyDescent="0.35">
      <c r="A202" t="s">
        <v>4157</v>
      </c>
      <c r="B202" t="s">
        <v>4159</v>
      </c>
    </row>
    <row r="203" spans="1:2" x14ac:dyDescent="0.35">
      <c r="A203" t="s">
        <v>4157</v>
      </c>
      <c r="B203" t="s">
        <v>328</v>
      </c>
    </row>
    <row r="204" spans="1:2" x14ac:dyDescent="0.35">
      <c r="A204" t="s">
        <v>4157</v>
      </c>
      <c r="B204" t="s">
        <v>2232</v>
      </c>
    </row>
    <row r="205" spans="1:2" x14ac:dyDescent="0.35">
      <c r="A205" t="s">
        <v>4157</v>
      </c>
      <c r="B205" t="s">
        <v>3309</v>
      </c>
    </row>
    <row r="206" spans="1:2" x14ac:dyDescent="0.35">
      <c r="A206" t="s">
        <v>4157</v>
      </c>
      <c r="B206" t="s">
        <v>4160</v>
      </c>
    </row>
    <row r="207" spans="1:2" x14ac:dyDescent="0.35">
      <c r="A207" t="s">
        <v>4157</v>
      </c>
      <c r="B207" t="s">
        <v>4161</v>
      </c>
    </row>
    <row r="208" spans="1:2" x14ac:dyDescent="0.35">
      <c r="A208" t="s">
        <v>4157</v>
      </c>
      <c r="B208" t="s">
        <v>4162</v>
      </c>
    </row>
    <row r="209" spans="1:2" x14ac:dyDescent="0.35">
      <c r="A209" t="s">
        <v>4157</v>
      </c>
      <c r="B209" t="s">
        <v>4163</v>
      </c>
    </row>
    <row r="210" spans="1:2" x14ac:dyDescent="0.35">
      <c r="A210" t="s">
        <v>4157</v>
      </c>
      <c r="B210" t="s">
        <v>4164</v>
      </c>
    </row>
    <row r="211" spans="1:2" x14ac:dyDescent="0.35">
      <c r="A211" t="s">
        <v>4157</v>
      </c>
      <c r="B211" t="s">
        <v>4165</v>
      </c>
    </row>
    <row r="212" spans="1:2" x14ac:dyDescent="0.35">
      <c r="A212" t="s">
        <v>4157</v>
      </c>
      <c r="B212" t="s">
        <v>4166</v>
      </c>
    </row>
    <row r="213" spans="1:2" x14ac:dyDescent="0.35">
      <c r="A213" t="s">
        <v>4157</v>
      </c>
      <c r="B213" t="s">
        <v>4167</v>
      </c>
    </row>
    <row r="214" spans="1:2" x14ac:dyDescent="0.35">
      <c r="A214" t="s">
        <v>4157</v>
      </c>
      <c r="B214" t="s">
        <v>4168</v>
      </c>
    </row>
    <row r="215" spans="1:2" x14ac:dyDescent="0.35">
      <c r="A215" t="s">
        <v>4157</v>
      </c>
      <c r="B215" t="s">
        <v>4169</v>
      </c>
    </row>
    <row r="216" spans="1:2" x14ac:dyDescent="0.35">
      <c r="A216" t="s">
        <v>4157</v>
      </c>
      <c r="B216" t="s">
        <v>4170</v>
      </c>
    </row>
    <row r="217" spans="1:2" x14ac:dyDescent="0.35">
      <c r="A217" t="s">
        <v>4157</v>
      </c>
      <c r="B217" t="s">
        <v>4171</v>
      </c>
    </row>
    <row r="218" spans="1:2" x14ac:dyDescent="0.35">
      <c r="A218" t="s">
        <v>4157</v>
      </c>
      <c r="B218" t="s">
        <v>4172</v>
      </c>
    </row>
    <row r="219" spans="1:2" x14ac:dyDescent="0.35">
      <c r="A219" t="s">
        <v>4157</v>
      </c>
      <c r="B219" t="s">
        <v>4173</v>
      </c>
    </row>
    <row r="220" spans="1:2" x14ac:dyDescent="0.35">
      <c r="A220" t="s">
        <v>4157</v>
      </c>
      <c r="B220" t="s">
        <v>4174</v>
      </c>
    </row>
    <row r="221" spans="1:2" x14ac:dyDescent="0.35">
      <c r="A221" t="s">
        <v>4157</v>
      </c>
      <c r="B221" t="s">
        <v>4175</v>
      </c>
    </row>
    <row r="222" spans="1:2" x14ac:dyDescent="0.35">
      <c r="A222" t="s">
        <v>4157</v>
      </c>
      <c r="B222" t="s">
        <v>4176</v>
      </c>
    </row>
    <row r="223" spans="1:2" x14ac:dyDescent="0.35">
      <c r="A223" t="s">
        <v>4157</v>
      </c>
      <c r="B223" t="s">
        <v>4177</v>
      </c>
    </row>
    <row r="224" spans="1:2" x14ac:dyDescent="0.35">
      <c r="A224" t="s">
        <v>4157</v>
      </c>
      <c r="B224" t="s">
        <v>4178</v>
      </c>
    </row>
    <row r="225" spans="1:2" x14ac:dyDescent="0.35">
      <c r="A225" t="s">
        <v>4157</v>
      </c>
      <c r="B225" t="s">
        <v>4179</v>
      </c>
    </row>
    <row r="226" spans="1:2" x14ac:dyDescent="0.35">
      <c r="A226" t="s">
        <v>4157</v>
      </c>
      <c r="B226" t="s">
        <v>4180</v>
      </c>
    </row>
    <row r="227" spans="1:2" x14ac:dyDescent="0.35">
      <c r="A227" t="s">
        <v>4157</v>
      </c>
      <c r="B227" t="s">
        <v>4181</v>
      </c>
    </row>
    <row r="228" spans="1:2" x14ac:dyDescent="0.35">
      <c r="A228" t="s">
        <v>4157</v>
      </c>
      <c r="B228" t="s">
        <v>4182</v>
      </c>
    </row>
    <row r="229" spans="1:2" x14ac:dyDescent="0.35">
      <c r="A229" t="s">
        <v>4157</v>
      </c>
      <c r="B229" t="s">
        <v>4183</v>
      </c>
    </row>
    <row r="230" spans="1:2" x14ac:dyDescent="0.35">
      <c r="A230" t="s">
        <v>4157</v>
      </c>
      <c r="B230" t="s">
        <v>4184</v>
      </c>
    </row>
    <row r="231" spans="1:2" x14ac:dyDescent="0.35">
      <c r="A231" t="s">
        <v>4157</v>
      </c>
      <c r="B231" t="s">
        <v>4185</v>
      </c>
    </row>
    <row r="232" spans="1:2" x14ac:dyDescent="0.35">
      <c r="A232" t="s">
        <v>4157</v>
      </c>
      <c r="B232" t="s">
        <v>4186</v>
      </c>
    </row>
    <row r="233" spans="1:2" x14ac:dyDescent="0.35">
      <c r="A233" t="s">
        <v>4157</v>
      </c>
      <c r="B233" t="s">
        <v>4187</v>
      </c>
    </row>
    <row r="234" spans="1:2" x14ac:dyDescent="0.35">
      <c r="A234" t="s">
        <v>4157</v>
      </c>
      <c r="B234" t="s">
        <v>4188</v>
      </c>
    </row>
    <row r="235" spans="1:2" x14ac:dyDescent="0.35">
      <c r="A235" t="s">
        <v>4157</v>
      </c>
      <c r="B235" t="s">
        <v>4189</v>
      </c>
    </row>
    <row r="236" spans="1:2" x14ac:dyDescent="0.35">
      <c r="A236" t="s">
        <v>4157</v>
      </c>
      <c r="B236" t="s">
        <v>4190</v>
      </c>
    </row>
    <row r="237" spans="1:2" x14ac:dyDescent="0.35">
      <c r="A237" t="s">
        <v>4157</v>
      </c>
      <c r="B237" t="s">
        <v>4191</v>
      </c>
    </row>
    <row r="238" spans="1:2" x14ac:dyDescent="0.35">
      <c r="A238" t="s">
        <v>4157</v>
      </c>
      <c r="B238" t="s">
        <v>4192</v>
      </c>
    </row>
    <row r="239" spans="1:2" x14ac:dyDescent="0.35">
      <c r="A239" t="s">
        <v>4157</v>
      </c>
      <c r="B239" t="s">
        <v>4193</v>
      </c>
    </row>
    <row r="240" spans="1:2" x14ac:dyDescent="0.35">
      <c r="A240" t="s">
        <v>4157</v>
      </c>
      <c r="B240" t="s">
        <v>4194</v>
      </c>
    </row>
    <row r="241" spans="1:2" x14ac:dyDescent="0.35">
      <c r="A241" t="s">
        <v>4157</v>
      </c>
      <c r="B241" t="s">
        <v>4195</v>
      </c>
    </row>
    <row r="242" spans="1:2" x14ac:dyDescent="0.35">
      <c r="A242" t="s">
        <v>4157</v>
      </c>
      <c r="B242" t="s">
        <v>4196</v>
      </c>
    </row>
    <row r="243" spans="1:2" x14ac:dyDescent="0.35">
      <c r="A243" t="s">
        <v>4157</v>
      </c>
      <c r="B243" t="s">
        <v>4197</v>
      </c>
    </row>
    <row r="244" spans="1:2" x14ac:dyDescent="0.35">
      <c r="A244" t="s">
        <v>4157</v>
      </c>
      <c r="B244" t="s">
        <v>4198</v>
      </c>
    </row>
    <row r="245" spans="1:2" x14ac:dyDescent="0.35">
      <c r="A245" t="s">
        <v>4157</v>
      </c>
      <c r="B245" t="s">
        <v>4199</v>
      </c>
    </row>
    <row r="246" spans="1:2" x14ac:dyDescent="0.35">
      <c r="A246" t="s">
        <v>4157</v>
      </c>
      <c r="B246" t="s">
        <v>4200</v>
      </c>
    </row>
    <row r="247" spans="1:2" x14ac:dyDescent="0.35">
      <c r="A247" t="s">
        <v>4157</v>
      </c>
      <c r="B247" t="s">
        <v>4201</v>
      </c>
    </row>
    <row r="248" spans="1:2" x14ac:dyDescent="0.35">
      <c r="A248" t="s">
        <v>4157</v>
      </c>
      <c r="B248" t="s">
        <v>4202</v>
      </c>
    </row>
    <row r="249" spans="1:2" x14ac:dyDescent="0.35">
      <c r="A249" t="s">
        <v>4157</v>
      </c>
      <c r="B249" t="s">
        <v>4203</v>
      </c>
    </row>
    <row r="250" spans="1:2" x14ac:dyDescent="0.35">
      <c r="A250" t="s">
        <v>4157</v>
      </c>
      <c r="B250" t="s">
        <v>4204</v>
      </c>
    </row>
    <row r="251" spans="1:2" x14ac:dyDescent="0.35">
      <c r="A251" t="s">
        <v>4157</v>
      </c>
      <c r="B251" t="s">
        <v>4205</v>
      </c>
    </row>
    <row r="252" spans="1:2" x14ac:dyDescent="0.35">
      <c r="A252" t="s">
        <v>4157</v>
      </c>
      <c r="B252" t="s">
        <v>4206</v>
      </c>
    </row>
    <row r="253" spans="1:2" x14ac:dyDescent="0.35">
      <c r="A253" t="s">
        <v>4157</v>
      </c>
      <c r="B253" t="s">
        <v>4207</v>
      </c>
    </row>
    <row r="254" spans="1:2" x14ac:dyDescent="0.35">
      <c r="A254" t="s">
        <v>4157</v>
      </c>
      <c r="B254" t="s">
        <v>4208</v>
      </c>
    </row>
    <row r="255" spans="1:2" x14ac:dyDescent="0.35">
      <c r="A255" t="s">
        <v>4157</v>
      </c>
      <c r="B255" t="s">
        <v>4209</v>
      </c>
    </row>
    <row r="256" spans="1:2" x14ac:dyDescent="0.35">
      <c r="A256" t="s">
        <v>4157</v>
      </c>
      <c r="B256" t="s">
        <v>4210</v>
      </c>
    </row>
    <row r="257" spans="1:2" x14ac:dyDescent="0.35">
      <c r="A257" t="s">
        <v>4157</v>
      </c>
      <c r="B257" t="s">
        <v>4211</v>
      </c>
    </row>
    <row r="258" spans="1:2" x14ac:dyDescent="0.35">
      <c r="A258" t="s">
        <v>4157</v>
      </c>
      <c r="B258" t="s">
        <v>4212</v>
      </c>
    </row>
    <row r="259" spans="1:2" x14ac:dyDescent="0.35">
      <c r="A259" t="s">
        <v>4157</v>
      </c>
      <c r="B259" t="s">
        <v>4213</v>
      </c>
    </row>
    <row r="260" spans="1:2" x14ac:dyDescent="0.35">
      <c r="A260" t="s">
        <v>4157</v>
      </c>
      <c r="B260" t="s">
        <v>4214</v>
      </c>
    </row>
    <row r="261" spans="1:2" x14ac:dyDescent="0.35">
      <c r="A261" t="s">
        <v>4157</v>
      </c>
      <c r="B261" t="s">
        <v>4215</v>
      </c>
    </row>
    <row r="262" spans="1:2" x14ac:dyDescent="0.35">
      <c r="A262" t="s">
        <v>4157</v>
      </c>
      <c r="B262" t="s">
        <v>4216</v>
      </c>
    </row>
    <row r="263" spans="1:2" x14ac:dyDescent="0.35">
      <c r="A263" t="s">
        <v>4157</v>
      </c>
      <c r="B263" t="s">
        <v>4217</v>
      </c>
    </row>
    <row r="264" spans="1:2" x14ac:dyDescent="0.35">
      <c r="A264" t="s">
        <v>4157</v>
      </c>
      <c r="B264" t="s">
        <v>4218</v>
      </c>
    </row>
    <row r="265" spans="1:2" x14ac:dyDescent="0.35">
      <c r="A265" t="s">
        <v>4157</v>
      </c>
      <c r="B265" t="s">
        <v>4219</v>
      </c>
    </row>
    <row r="266" spans="1:2" x14ac:dyDescent="0.35">
      <c r="A266" t="s">
        <v>4157</v>
      </c>
      <c r="B266" t="s">
        <v>4220</v>
      </c>
    </row>
    <row r="267" spans="1:2" x14ac:dyDescent="0.35">
      <c r="A267" t="s">
        <v>4157</v>
      </c>
      <c r="B267" t="s">
        <v>4221</v>
      </c>
    </row>
    <row r="268" spans="1:2" x14ac:dyDescent="0.35">
      <c r="A268" t="s">
        <v>4157</v>
      </c>
      <c r="B268" t="s">
        <v>4222</v>
      </c>
    </row>
    <row r="269" spans="1:2" x14ac:dyDescent="0.35">
      <c r="A269" t="s">
        <v>4157</v>
      </c>
      <c r="B269" t="s">
        <v>4223</v>
      </c>
    </row>
    <row r="270" spans="1:2" x14ac:dyDescent="0.35">
      <c r="A270" t="s">
        <v>4157</v>
      </c>
      <c r="B270" t="s">
        <v>4224</v>
      </c>
    </row>
    <row r="271" spans="1:2" x14ac:dyDescent="0.35">
      <c r="A271" t="s">
        <v>4157</v>
      </c>
      <c r="B271" t="s">
        <v>4225</v>
      </c>
    </row>
    <row r="272" spans="1:2" x14ac:dyDescent="0.35">
      <c r="A272" t="s">
        <v>4157</v>
      </c>
      <c r="B272" t="s">
        <v>4226</v>
      </c>
    </row>
    <row r="273" spans="1:2" x14ac:dyDescent="0.35">
      <c r="A273" t="s">
        <v>4157</v>
      </c>
      <c r="B273" t="s">
        <v>4227</v>
      </c>
    </row>
    <row r="274" spans="1:2" x14ac:dyDescent="0.35">
      <c r="A274" t="s">
        <v>4157</v>
      </c>
      <c r="B274" t="s">
        <v>4228</v>
      </c>
    </row>
    <row r="275" spans="1:2" x14ac:dyDescent="0.35">
      <c r="A275" t="s">
        <v>4157</v>
      </c>
      <c r="B275" t="s">
        <v>4229</v>
      </c>
    </row>
    <row r="276" spans="1:2" x14ac:dyDescent="0.35">
      <c r="A276" t="s">
        <v>4157</v>
      </c>
      <c r="B276" t="s">
        <v>4230</v>
      </c>
    </row>
    <row r="277" spans="1:2" x14ac:dyDescent="0.35">
      <c r="A277" t="s">
        <v>4157</v>
      </c>
      <c r="B277" t="s">
        <v>1763</v>
      </c>
    </row>
    <row r="278" spans="1:2" x14ac:dyDescent="0.35">
      <c r="A278" t="s">
        <v>4157</v>
      </c>
      <c r="B278" t="s">
        <v>4231</v>
      </c>
    </row>
    <row r="279" spans="1:2" x14ac:dyDescent="0.35">
      <c r="A279" t="s">
        <v>4157</v>
      </c>
      <c r="B279" t="s">
        <v>4232</v>
      </c>
    </row>
    <row r="280" spans="1:2" x14ac:dyDescent="0.35">
      <c r="A280" t="s">
        <v>4157</v>
      </c>
      <c r="B280" t="s">
        <v>4233</v>
      </c>
    </row>
    <row r="281" spans="1:2" x14ac:dyDescent="0.35">
      <c r="A281" t="s">
        <v>4157</v>
      </c>
      <c r="B281" t="s">
        <v>4234</v>
      </c>
    </row>
    <row r="282" spans="1:2" x14ac:dyDescent="0.35">
      <c r="A282" t="s">
        <v>4157</v>
      </c>
      <c r="B282" t="s">
        <v>4235</v>
      </c>
    </row>
    <row r="283" spans="1:2" x14ac:dyDescent="0.35">
      <c r="A283" t="s">
        <v>4157</v>
      </c>
      <c r="B283" t="s">
        <v>4236</v>
      </c>
    </row>
    <row r="284" spans="1:2" x14ac:dyDescent="0.35">
      <c r="A284" t="s">
        <v>4157</v>
      </c>
      <c r="B284" t="s">
        <v>4237</v>
      </c>
    </row>
    <row r="285" spans="1:2" x14ac:dyDescent="0.35">
      <c r="A285" t="s">
        <v>4157</v>
      </c>
      <c r="B285" t="s">
        <v>4238</v>
      </c>
    </row>
    <row r="286" spans="1:2" x14ac:dyDescent="0.35">
      <c r="A286" t="s">
        <v>4157</v>
      </c>
      <c r="B286" t="s">
        <v>4239</v>
      </c>
    </row>
    <row r="287" spans="1:2" x14ac:dyDescent="0.35">
      <c r="A287" t="s">
        <v>4157</v>
      </c>
      <c r="B287" t="s">
        <v>2422</v>
      </c>
    </row>
    <row r="288" spans="1:2" x14ac:dyDescent="0.35">
      <c r="A288" t="s">
        <v>4157</v>
      </c>
      <c r="B288" t="s">
        <v>3465</v>
      </c>
    </row>
    <row r="289" spans="1:2" x14ac:dyDescent="0.35">
      <c r="A289" t="s">
        <v>4157</v>
      </c>
      <c r="B289" t="s">
        <v>2489</v>
      </c>
    </row>
    <row r="290" spans="1:2" x14ac:dyDescent="0.35">
      <c r="A290" t="s">
        <v>4157</v>
      </c>
      <c r="B290" t="s">
        <v>2435</v>
      </c>
    </row>
    <row r="291" spans="1:2" x14ac:dyDescent="0.35">
      <c r="A291" t="s">
        <v>4157</v>
      </c>
      <c r="B291" t="s">
        <v>3471</v>
      </c>
    </row>
    <row r="292" spans="1:2" x14ac:dyDescent="0.35">
      <c r="A292" t="s">
        <v>4157</v>
      </c>
      <c r="B292" t="s">
        <v>3663</v>
      </c>
    </row>
    <row r="293" spans="1:2" x14ac:dyDescent="0.35">
      <c r="A293" t="s">
        <v>4157</v>
      </c>
      <c r="B293" t="s">
        <v>4240</v>
      </c>
    </row>
    <row r="294" spans="1:2" x14ac:dyDescent="0.35">
      <c r="A294" t="s">
        <v>4157</v>
      </c>
      <c r="B294" t="s">
        <v>960</v>
      </c>
    </row>
    <row r="295" spans="1:2" x14ac:dyDescent="0.35">
      <c r="A295" t="s">
        <v>4157</v>
      </c>
      <c r="B295" t="s">
        <v>2139</v>
      </c>
    </row>
    <row r="296" spans="1:2" x14ac:dyDescent="0.35">
      <c r="A296" t="s">
        <v>4157</v>
      </c>
      <c r="B296" t="s">
        <v>2509</v>
      </c>
    </row>
    <row r="297" spans="1:2" x14ac:dyDescent="0.35">
      <c r="A297" t="s">
        <v>4157</v>
      </c>
      <c r="B297" t="s">
        <v>1496</v>
      </c>
    </row>
    <row r="298" spans="1:2" x14ac:dyDescent="0.35">
      <c r="A298" t="s">
        <v>4157</v>
      </c>
      <c r="B298" t="s">
        <v>1460</v>
      </c>
    </row>
    <row r="299" spans="1:2" x14ac:dyDescent="0.35">
      <c r="A299" t="s">
        <v>4157</v>
      </c>
      <c r="B299" t="s">
        <v>4241</v>
      </c>
    </row>
    <row r="300" spans="1:2" x14ac:dyDescent="0.35">
      <c r="A300" t="s">
        <v>4157</v>
      </c>
      <c r="B300" t="s">
        <v>4242</v>
      </c>
    </row>
    <row r="301" spans="1:2" x14ac:dyDescent="0.35">
      <c r="A301" t="s">
        <v>4157</v>
      </c>
      <c r="B301" t="s">
        <v>730</v>
      </c>
    </row>
    <row r="302" spans="1:2" x14ac:dyDescent="0.35">
      <c r="A302" t="s">
        <v>4157</v>
      </c>
      <c r="B302" t="s">
        <v>4243</v>
      </c>
    </row>
    <row r="303" spans="1:2" x14ac:dyDescent="0.35">
      <c r="A303" t="s">
        <v>4157</v>
      </c>
      <c r="B303" t="s">
        <v>4244</v>
      </c>
    </row>
    <row r="304" spans="1:2" x14ac:dyDescent="0.35">
      <c r="A304" t="s">
        <v>4157</v>
      </c>
      <c r="B304" t="s">
        <v>4245</v>
      </c>
    </row>
    <row r="305" spans="1:2" x14ac:dyDescent="0.35">
      <c r="A305" t="s">
        <v>4157</v>
      </c>
      <c r="B305" t="s">
        <v>4246</v>
      </c>
    </row>
    <row r="306" spans="1:2" x14ac:dyDescent="0.35">
      <c r="A306" t="s">
        <v>4157</v>
      </c>
      <c r="B306" t="s">
        <v>4247</v>
      </c>
    </row>
    <row r="307" spans="1:2" x14ac:dyDescent="0.35">
      <c r="A307" t="s">
        <v>4157</v>
      </c>
      <c r="B307" t="s">
        <v>4248</v>
      </c>
    </row>
    <row r="308" spans="1:2" x14ac:dyDescent="0.35">
      <c r="A308" t="s">
        <v>4157</v>
      </c>
      <c r="B308" t="s">
        <v>4249</v>
      </c>
    </row>
    <row r="309" spans="1:2" x14ac:dyDescent="0.35">
      <c r="A309" t="s">
        <v>4157</v>
      </c>
      <c r="B309" t="s">
        <v>4250</v>
      </c>
    </row>
    <row r="310" spans="1:2" x14ac:dyDescent="0.35">
      <c r="A310" t="s">
        <v>4157</v>
      </c>
      <c r="B310" t="s">
        <v>4251</v>
      </c>
    </row>
    <row r="311" spans="1:2" x14ac:dyDescent="0.35">
      <c r="A311" t="s">
        <v>4157</v>
      </c>
      <c r="B311" t="s">
        <v>4252</v>
      </c>
    </row>
    <row r="312" spans="1:2" x14ac:dyDescent="0.35">
      <c r="A312" t="s">
        <v>4157</v>
      </c>
      <c r="B312" t="s">
        <v>4253</v>
      </c>
    </row>
    <row r="313" spans="1:2" x14ac:dyDescent="0.35">
      <c r="A313" t="s">
        <v>4157</v>
      </c>
      <c r="B313" t="s">
        <v>400</v>
      </c>
    </row>
    <row r="314" spans="1:2" x14ac:dyDescent="0.35">
      <c r="A314" t="s">
        <v>4157</v>
      </c>
      <c r="B314" t="s">
        <v>4254</v>
      </c>
    </row>
    <row r="315" spans="1:2" x14ac:dyDescent="0.35">
      <c r="A315" t="s">
        <v>4157</v>
      </c>
      <c r="B315" t="s">
        <v>4255</v>
      </c>
    </row>
    <row r="316" spans="1:2" x14ac:dyDescent="0.35">
      <c r="A316" t="s">
        <v>4157</v>
      </c>
      <c r="B316" t="s">
        <v>4256</v>
      </c>
    </row>
    <row r="317" spans="1:2" x14ac:dyDescent="0.35">
      <c r="A317" t="s">
        <v>4157</v>
      </c>
      <c r="B317" t="s">
        <v>457</v>
      </c>
    </row>
    <row r="318" spans="1:2" x14ac:dyDescent="0.35">
      <c r="A318" t="s">
        <v>4157</v>
      </c>
      <c r="B318" t="s">
        <v>4257</v>
      </c>
    </row>
    <row r="319" spans="1:2" x14ac:dyDescent="0.35">
      <c r="A319" t="s">
        <v>4157</v>
      </c>
      <c r="B319" t="s">
        <v>4258</v>
      </c>
    </row>
    <row r="320" spans="1:2" x14ac:dyDescent="0.35">
      <c r="A320" t="s">
        <v>4157</v>
      </c>
      <c r="B320" t="s">
        <v>4259</v>
      </c>
    </row>
    <row r="321" spans="1:2" x14ac:dyDescent="0.35">
      <c r="A321" t="s">
        <v>4157</v>
      </c>
      <c r="B321" t="s">
        <v>4260</v>
      </c>
    </row>
    <row r="322" spans="1:2" x14ac:dyDescent="0.35">
      <c r="A322" t="s">
        <v>4157</v>
      </c>
      <c r="B322" t="s">
        <v>4261</v>
      </c>
    </row>
    <row r="323" spans="1:2" x14ac:dyDescent="0.35">
      <c r="A323" t="s">
        <v>4157</v>
      </c>
      <c r="B323" t="s">
        <v>4262</v>
      </c>
    </row>
    <row r="324" spans="1:2" x14ac:dyDescent="0.35">
      <c r="A324" t="s">
        <v>4157</v>
      </c>
      <c r="B324" t="s">
        <v>4263</v>
      </c>
    </row>
    <row r="325" spans="1:2" x14ac:dyDescent="0.35">
      <c r="A325" t="s">
        <v>4157</v>
      </c>
      <c r="B325" t="s">
        <v>4264</v>
      </c>
    </row>
    <row r="326" spans="1:2" x14ac:dyDescent="0.35">
      <c r="A326" t="s">
        <v>4157</v>
      </c>
      <c r="B326" t="s">
        <v>4265</v>
      </c>
    </row>
    <row r="327" spans="1:2" x14ac:dyDescent="0.35">
      <c r="A327" t="s">
        <v>4157</v>
      </c>
      <c r="B327" t="s">
        <v>4266</v>
      </c>
    </row>
    <row r="328" spans="1:2" x14ac:dyDescent="0.35">
      <c r="A328" t="s">
        <v>4157</v>
      </c>
      <c r="B328" t="s">
        <v>4267</v>
      </c>
    </row>
    <row r="329" spans="1:2" x14ac:dyDescent="0.35">
      <c r="A329" t="s">
        <v>4157</v>
      </c>
      <c r="B329" t="s">
        <v>4268</v>
      </c>
    </row>
    <row r="330" spans="1:2" x14ac:dyDescent="0.35">
      <c r="A330" t="s">
        <v>4157</v>
      </c>
      <c r="B330" t="s">
        <v>4269</v>
      </c>
    </row>
    <row r="331" spans="1:2" x14ac:dyDescent="0.35">
      <c r="A331" t="s">
        <v>4157</v>
      </c>
      <c r="B331" t="s">
        <v>4270</v>
      </c>
    </row>
    <row r="332" spans="1:2" x14ac:dyDescent="0.35">
      <c r="A332" t="s">
        <v>4157</v>
      </c>
      <c r="B332" t="s">
        <v>4271</v>
      </c>
    </row>
    <row r="333" spans="1:2" x14ac:dyDescent="0.35">
      <c r="A333" t="s">
        <v>4157</v>
      </c>
      <c r="B333" t="s">
        <v>4272</v>
      </c>
    </row>
    <row r="334" spans="1:2" x14ac:dyDescent="0.35">
      <c r="A334" t="s">
        <v>4157</v>
      </c>
      <c r="B334" t="s">
        <v>1184</v>
      </c>
    </row>
    <row r="335" spans="1:2" x14ac:dyDescent="0.35">
      <c r="A335" t="s">
        <v>4157</v>
      </c>
      <c r="B335" t="s">
        <v>3158</v>
      </c>
    </row>
    <row r="336" spans="1:2" x14ac:dyDescent="0.35">
      <c r="A336" t="s">
        <v>4157</v>
      </c>
      <c r="B336" t="s">
        <v>2694</v>
      </c>
    </row>
    <row r="337" spans="1:2" x14ac:dyDescent="0.35">
      <c r="A337" t="s">
        <v>4157</v>
      </c>
      <c r="B337" t="s">
        <v>2100</v>
      </c>
    </row>
    <row r="338" spans="1:2" x14ac:dyDescent="0.35">
      <c r="A338" t="s">
        <v>4157</v>
      </c>
      <c r="B338" t="s">
        <v>1372</v>
      </c>
    </row>
    <row r="339" spans="1:2" x14ac:dyDescent="0.35">
      <c r="A339" t="s">
        <v>4157</v>
      </c>
      <c r="B339" t="s">
        <v>869</v>
      </c>
    </row>
    <row r="340" spans="1:2" x14ac:dyDescent="0.35">
      <c r="A340" t="s">
        <v>4157</v>
      </c>
      <c r="B340" t="s">
        <v>2975</v>
      </c>
    </row>
    <row r="341" spans="1:2" x14ac:dyDescent="0.35">
      <c r="A341" t="s">
        <v>4157</v>
      </c>
      <c r="B341" t="s">
        <v>927</v>
      </c>
    </row>
    <row r="342" spans="1:2" x14ac:dyDescent="0.35">
      <c r="A342" t="s">
        <v>4157</v>
      </c>
      <c r="B342" t="s">
        <v>197</v>
      </c>
    </row>
    <row r="343" spans="1:2" x14ac:dyDescent="0.35">
      <c r="A343" t="s">
        <v>4157</v>
      </c>
      <c r="B343" t="s">
        <v>3372</v>
      </c>
    </row>
    <row r="344" spans="1:2" x14ac:dyDescent="0.35">
      <c r="A344" t="s">
        <v>4157</v>
      </c>
      <c r="B344" t="s">
        <v>3398</v>
      </c>
    </row>
    <row r="345" spans="1:2" x14ac:dyDescent="0.35">
      <c r="A345" t="s">
        <v>4157</v>
      </c>
      <c r="B345" t="s">
        <v>3931</v>
      </c>
    </row>
    <row r="346" spans="1:2" x14ac:dyDescent="0.35">
      <c r="A346" t="s">
        <v>4157</v>
      </c>
      <c r="B346" t="s">
        <v>3491</v>
      </c>
    </row>
    <row r="347" spans="1:2" x14ac:dyDescent="0.35">
      <c r="A347" t="s">
        <v>4157</v>
      </c>
      <c r="B347" t="s">
        <v>2912</v>
      </c>
    </row>
    <row r="348" spans="1:2" x14ac:dyDescent="0.35">
      <c r="A348" t="s">
        <v>4157</v>
      </c>
      <c r="B348" t="s">
        <v>4273</v>
      </c>
    </row>
    <row r="349" spans="1:2" x14ac:dyDescent="0.35">
      <c r="A349" t="s">
        <v>4157</v>
      </c>
      <c r="B349" t="s">
        <v>2676</v>
      </c>
    </row>
    <row r="350" spans="1:2" x14ac:dyDescent="0.35">
      <c r="A350" t="s">
        <v>4157</v>
      </c>
      <c r="B350" t="s">
        <v>3563</v>
      </c>
    </row>
    <row r="351" spans="1:2" x14ac:dyDescent="0.35">
      <c r="A351" t="s">
        <v>4157</v>
      </c>
      <c r="B351" t="s">
        <v>3549</v>
      </c>
    </row>
    <row r="352" spans="1:2" x14ac:dyDescent="0.35">
      <c r="A352" t="s">
        <v>4157</v>
      </c>
      <c r="B352" t="s">
        <v>779</v>
      </c>
    </row>
    <row r="353" spans="1:2" x14ac:dyDescent="0.35">
      <c r="A353" t="s">
        <v>4157</v>
      </c>
      <c r="B353" t="s">
        <v>3560</v>
      </c>
    </row>
    <row r="354" spans="1:2" x14ac:dyDescent="0.35">
      <c r="A354" t="s">
        <v>4157</v>
      </c>
      <c r="B354" t="s">
        <v>2949</v>
      </c>
    </row>
    <row r="355" spans="1:2" x14ac:dyDescent="0.35">
      <c r="A355" t="s">
        <v>4157</v>
      </c>
      <c r="B355" t="s">
        <v>3950</v>
      </c>
    </row>
    <row r="356" spans="1:2" x14ac:dyDescent="0.35">
      <c r="A356" t="s">
        <v>4157</v>
      </c>
      <c r="B356" t="s">
        <v>2495</v>
      </c>
    </row>
    <row r="357" spans="1:2" x14ac:dyDescent="0.35">
      <c r="A357" t="s">
        <v>4157</v>
      </c>
      <c r="B357" t="s">
        <v>3752</v>
      </c>
    </row>
    <row r="358" spans="1:2" x14ac:dyDescent="0.35">
      <c r="A358" t="s">
        <v>4157</v>
      </c>
      <c r="B358" t="s">
        <v>677</v>
      </c>
    </row>
    <row r="359" spans="1:2" x14ac:dyDescent="0.35">
      <c r="A359" t="s">
        <v>4157</v>
      </c>
      <c r="B359" t="s">
        <v>3719</v>
      </c>
    </row>
    <row r="360" spans="1:2" x14ac:dyDescent="0.35">
      <c r="A360" t="s">
        <v>4157</v>
      </c>
      <c r="B360" t="s">
        <v>3224</v>
      </c>
    </row>
    <row r="361" spans="1:2" x14ac:dyDescent="0.35">
      <c r="A361" t="s">
        <v>4157</v>
      </c>
      <c r="B361" t="s">
        <v>3945</v>
      </c>
    </row>
    <row r="362" spans="1:2" x14ac:dyDescent="0.35">
      <c r="A362" t="s">
        <v>4157</v>
      </c>
      <c r="B362" t="s">
        <v>2773</v>
      </c>
    </row>
    <row r="363" spans="1:2" x14ac:dyDescent="0.35">
      <c r="A363" t="s">
        <v>4157</v>
      </c>
      <c r="B363" t="s">
        <v>2621</v>
      </c>
    </row>
    <row r="364" spans="1:2" x14ac:dyDescent="0.35">
      <c r="A364" t="s">
        <v>4157</v>
      </c>
      <c r="B364" t="s">
        <v>2770</v>
      </c>
    </row>
    <row r="365" spans="1:2" x14ac:dyDescent="0.35">
      <c r="A365" t="s">
        <v>4157</v>
      </c>
      <c r="B365" t="s">
        <v>380</v>
      </c>
    </row>
    <row r="366" spans="1:2" x14ac:dyDescent="0.35">
      <c r="A366" t="s">
        <v>4157</v>
      </c>
      <c r="B366" t="s">
        <v>2792</v>
      </c>
    </row>
    <row r="367" spans="1:2" x14ac:dyDescent="0.35">
      <c r="A367" t="s">
        <v>4157</v>
      </c>
      <c r="B367" t="s">
        <v>3074</v>
      </c>
    </row>
    <row r="368" spans="1:2" x14ac:dyDescent="0.35">
      <c r="A368" t="s">
        <v>4157</v>
      </c>
      <c r="B368" t="s">
        <v>360</v>
      </c>
    </row>
    <row r="369" spans="1:2" x14ac:dyDescent="0.35">
      <c r="A369" t="s">
        <v>4157</v>
      </c>
      <c r="B369" t="s">
        <v>4157</v>
      </c>
    </row>
    <row r="370" spans="1:2" x14ac:dyDescent="0.35">
      <c r="A370" t="s">
        <v>4274</v>
      </c>
      <c r="B370" t="s">
        <v>867</v>
      </c>
    </row>
    <row r="371" spans="1:2" x14ac:dyDescent="0.35">
      <c r="A371" t="s">
        <v>4275</v>
      </c>
      <c r="B371" t="s">
        <v>4270</v>
      </c>
    </row>
    <row r="372" spans="1:2" x14ac:dyDescent="0.35">
      <c r="A372" t="s">
        <v>4276</v>
      </c>
      <c r="B372" t="s">
        <v>71</v>
      </c>
    </row>
    <row r="373" spans="1:2" x14ac:dyDescent="0.35">
      <c r="A373" t="s">
        <v>4277</v>
      </c>
      <c r="B373" t="s">
        <v>528</v>
      </c>
    </row>
    <row r="374" spans="1:2" x14ac:dyDescent="0.35">
      <c r="A374" t="s">
        <v>4278</v>
      </c>
      <c r="B374" t="s">
        <v>110</v>
      </c>
    </row>
    <row r="375" spans="1:2" x14ac:dyDescent="0.35">
      <c r="A375" t="s">
        <v>4279</v>
      </c>
      <c r="B375" t="s">
        <v>3954</v>
      </c>
    </row>
    <row r="376" spans="1:2" x14ac:dyDescent="0.35">
      <c r="A376" t="s">
        <v>4280</v>
      </c>
      <c r="B376" t="s">
        <v>4281</v>
      </c>
    </row>
    <row r="377" spans="1:2" x14ac:dyDescent="0.35">
      <c r="A377" t="s">
        <v>4282</v>
      </c>
      <c r="B377" t="s">
        <v>3477</v>
      </c>
    </row>
    <row r="378" spans="1:2" x14ac:dyDescent="0.35">
      <c r="A378" t="s">
        <v>4283</v>
      </c>
      <c r="B378" t="s">
        <v>116</v>
      </c>
    </row>
    <row r="379" spans="1:2" x14ac:dyDescent="0.35">
      <c r="A379" t="s">
        <v>4284</v>
      </c>
      <c r="B379" t="s">
        <v>129</v>
      </c>
    </row>
    <row r="380" spans="1:2" x14ac:dyDescent="0.35">
      <c r="A380" t="s">
        <v>4285</v>
      </c>
      <c r="B380" t="s">
        <v>2998</v>
      </c>
    </row>
    <row r="381" spans="1:2" x14ac:dyDescent="0.35">
      <c r="A381" t="s">
        <v>4286</v>
      </c>
      <c r="B381" t="s">
        <v>4287</v>
      </c>
    </row>
    <row r="382" spans="1:2" x14ac:dyDescent="0.35">
      <c r="A382" t="s">
        <v>1089</v>
      </c>
      <c r="B382" t="s">
        <v>4162</v>
      </c>
    </row>
    <row r="383" spans="1:2" x14ac:dyDescent="0.35">
      <c r="A383" t="s">
        <v>4288</v>
      </c>
      <c r="B383" t="s">
        <v>150</v>
      </c>
    </row>
    <row r="384" spans="1:2" x14ac:dyDescent="0.35">
      <c r="A384" t="s">
        <v>4289</v>
      </c>
      <c r="B384" t="s">
        <v>1251</v>
      </c>
    </row>
    <row r="385" spans="1:2" x14ac:dyDescent="0.35">
      <c r="A385" t="s">
        <v>4290</v>
      </c>
      <c r="B385" t="s">
        <v>1307</v>
      </c>
    </row>
    <row r="386" spans="1:2" x14ac:dyDescent="0.35">
      <c r="A386" t="s">
        <v>4291</v>
      </c>
      <c r="B386" t="s">
        <v>2427</v>
      </c>
    </row>
    <row r="387" spans="1:2" x14ac:dyDescent="0.35">
      <c r="A387" t="s">
        <v>4292</v>
      </c>
      <c r="B387" t="s">
        <v>4293</v>
      </c>
    </row>
    <row r="388" spans="1:2" x14ac:dyDescent="0.35">
      <c r="A388" t="s">
        <v>4294</v>
      </c>
      <c r="B388" t="s">
        <v>4295</v>
      </c>
    </row>
    <row r="389" spans="1:2" x14ac:dyDescent="0.35">
      <c r="A389" t="s">
        <v>4296</v>
      </c>
      <c r="B389" t="s">
        <v>4297</v>
      </c>
    </row>
    <row r="390" spans="1:2" x14ac:dyDescent="0.35">
      <c r="A390" t="s">
        <v>4298</v>
      </c>
      <c r="B390" t="s">
        <v>219</v>
      </c>
    </row>
    <row r="391" spans="1:2" x14ac:dyDescent="0.35">
      <c r="A391" t="s">
        <v>4299</v>
      </c>
      <c r="B391" t="s">
        <v>222</v>
      </c>
    </row>
    <row r="392" spans="1:2" x14ac:dyDescent="0.35">
      <c r="A392" t="s">
        <v>4300</v>
      </c>
      <c r="B392" t="s">
        <v>684</v>
      </c>
    </row>
    <row r="393" spans="1:2" x14ac:dyDescent="0.35">
      <c r="A393" t="s">
        <v>4301</v>
      </c>
      <c r="B393" t="s">
        <v>4302</v>
      </c>
    </row>
    <row r="394" spans="1:2" x14ac:dyDescent="0.35">
      <c r="A394" t="s">
        <v>4303</v>
      </c>
      <c r="B394" t="s">
        <v>4221</v>
      </c>
    </row>
    <row r="395" spans="1:2" x14ac:dyDescent="0.35">
      <c r="A395" t="s">
        <v>4304</v>
      </c>
      <c r="B395" t="s">
        <v>592</v>
      </c>
    </row>
    <row r="396" spans="1:2" x14ac:dyDescent="0.35">
      <c r="A396" t="s">
        <v>4305</v>
      </c>
      <c r="B396" t="s">
        <v>2865</v>
      </c>
    </row>
    <row r="397" spans="1:2" x14ac:dyDescent="0.35">
      <c r="A397" t="s">
        <v>4306</v>
      </c>
      <c r="B397" t="s">
        <v>2403</v>
      </c>
    </row>
    <row r="398" spans="1:2" x14ac:dyDescent="0.35">
      <c r="A398" t="s">
        <v>4307</v>
      </c>
      <c r="B398" t="s">
        <v>263</v>
      </c>
    </row>
    <row r="399" spans="1:2" x14ac:dyDescent="0.35">
      <c r="A399" t="s">
        <v>2661</v>
      </c>
      <c r="B399" t="s">
        <v>4227</v>
      </c>
    </row>
    <row r="400" spans="1:2" x14ac:dyDescent="0.35">
      <c r="A400" t="s">
        <v>4308</v>
      </c>
      <c r="B400" t="s">
        <v>770</v>
      </c>
    </row>
    <row r="401" spans="1:2" x14ac:dyDescent="0.35">
      <c r="A401" t="s">
        <v>4309</v>
      </c>
      <c r="B401" t="s">
        <v>283</v>
      </c>
    </row>
    <row r="402" spans="1:2" x14ac:dyDescent="0.35">
      <c r="A402" t="s">
        <v>4310</v>
      </c>
      <c r="B402" t="s">
        <v>831</v>
      </c>
    </row>
    <row r="403" spans="1:2" x14ac:dyDescent="0.35">
      <c r="A403" t="s">
        <v>4311</v>
      </c>
      <c r="B403" t="s">
        <v>898</v>
      </c>
    </row>
    <row r="404" spans="1:2" x14ac:dyDescent="0.35">
      <c r="A404" t="s">
        <v>4312</v>
      </c>
      <c r="B404" t="s">
        <v>281</v>
      </c>
    </row>
    <row r="405" spans="1:2" x14ac:dyDescent="0.35">
      <c r="A405" t="s">
        <v>4313</v>
      </c>
      <c r="B405" t="s">
        <v>3784</v>
      </c>
    </row>
    <row r="406" spans="1:2" x14ac:dyDescent="0.35">
      <c r="A406" t="s">
        <v>4314</v>
      </c>
      <c r="B406" t="s">
        <v>4315</v>
      </c>
    </row>
    <row r="407" spans="1:2" x14ac:dyDescent="0.35">
      <c r="A407" t="s">
        <v>4316</v>
      </c>
      <c r="B407" t="s">
        <v>4317</v>
      </c>
    </row>
    <row r="408" spans="1:2" x14ac:dyDescent="0.35">
      <c r="A408" t="s">
        <v>4318</v>
      </c>
      <c r="B408" t="s">
        <v>4319</v>
      </c>
    </row>
    <row r="409" spans="1:2" x14ac:dyDescent="0.35">
      <c r="A409" t="s">
        <v>4320</v>
      </c>
      <c r="B409" t="s">
        <v>2032</v>
      </c>
    </row>
    <row r="410" spans="1:2" x14ac:dyDescent="0.35">
      <c r="A410" t="s">
        <v>4321</v>
      </c>
      <c r="B410" t="s">
        <v>4322</v>
      </c>
    </row>
    <row r="411" spans="1:2" x14ac:dyDescent="0.35">
      <c r="A411" t="s">
        <v>4323</v>
      </c>
      <c r="B411" t="s">
        <v>4324</v>
      </c>
    </row>
    <row r="412" spans="1:2" x14ac:dyDescent="0.35">
      <c r="A412" t="s">
        <v>4325</v>
      </c>
      <c r="B412" t="s">
        <v>4326</v>
      </c>
    </row>
    <row r="413" spans="1:2" x14ac:dyDescent="0.35">
      <c r="A413" t="s">
        <v>4327</v>
      </c>
      <c r="B413" t="s">
        <v>455</v>
      </c>
    </row>
    <row r="414" spans="1:2" x14ac:dyDescent="0.35">
      <c r="A414" t="s">
        <v>4328</v>
      </c>
      <c r="B414" t="s">
        <v>1478</v>
      </c>
    </row>
    <row r="415" spans="1:2" x14ac:dyDescent="0.35">
      <c r="A415" t="s">
        <v>4329</v>
      </c>
      <c r="B415" t="s">
        <v>3762</v>
      </c>
    </row>
    <row r="416" spans="1:2" x14ac:dyDescent="0.35">
      <c r="A416" t="s">
        <v>4330</v>
      </c>
      <c r="B416" t="s">
        <v>3538</v>
      </c>
    </row>
    <row r="417" spans="1:2" x14ac:dyDescent="0.35">
      <c r="A417" t="s">
        <v>4331</v>
      </c>
      <c r="B417" t="s">
        <v>3226</v>
      </c>
    </row>
    <row r="418" spans="1:2" x14ac:dyDescent="0.35">
      <c r="A418" t="s">
        <v>4332</v>
      </c>
      <c r="B418" t="s">
        <v>4333</v>
      </c>
    </row>
    <row r="419" spans="1:2" x14ac:dyDescent="0.35">
      <c r="A419" t="s">
        <v>4334</v>
      </c>
      <c r="B419" t="s">
        <v>2542</v>
      </c>
    </row>
    <row r="420" spans="1:2" x14ac:dyDescent="0.35">
      <c r="A420" t="s">
        <v>4335</v>
      </c>
      <c r="B420" t="s">
        <v>1920</v>
      </c>
    </row>
    <row r="421" spans="1:2" x14ac:dyDescent="0.35">
      <c r="A421" t="s">
        <v>4336</v>
      </c>
      <c r="B421" t="s">
        <v>1763</v>
      </c>
    </row>
    <row r="422" spans="1:2" x14ac:dyDescent="0.35">
      <c r="A422" t="s">
        <v>4337</v>
      </c>
      <c r="B422" t="s">
        <v>2697</v>
      </c>
    </row>
    <row r="423" spans="1:2" x14ac:dyDescent="0.35">
      <c r="A423" t="s">
        <v>4338</v>
      </c>
      <c r="B423" t="s">
        <v>1404</v>
      </c>
    </row>
    <row r="424" spans="1:2" x14ac:dyDescent="0.35">
      <c r="A424" t="s">
        <v>4339</v>
      </c>
      <c r="B424" t="s">
        <v>4340</v>
      </c>
    </row>
    <row r="425" spans="1:2" x14ac:dyDescent="0.35">
      <c r="A425" t="s">
        <v>4341</v>
      </c>
      <c r="B425" t="s">
        <v>4342</v>
      </c>
    </row>
    <row r="426" spans="1:2" x14ac:dyDescent="0.35">
      <c r="A426" t="s">
        <v>4343</v>
      </c>
      <c r="B426" t="s">
        <v>3416</v>
      </c>
    </row>
    <row r="427" spans="1:2" x14ac:dyDescent="0.35">
      <c r="A427" t="s">
        <v>4344</v>
      </c>
      <c r="B427" t="s">
        <v>357</v>
      </c>
    </row>
    <row r="428" spans="1:2" x14ac:dyDescent="0.35">
      <c r="A428" t="s">
        <v>4345</v>
      </c>
      <c r="B428" t="s">
        <v>2709</v>
      </c>
    </row>
    <row r="429" spans="1:2" x14ac:dyDescent="0.35">
      <c r="A429" t="s">
        <v>4346</v>
      </c>
      <c r="B429" t="s">
        <v>1482</v>
      </c>
    </row>
    <row r="430" spans="1:2" x14ac:dyDescent="0.35">
      <c r="A430" t="s">
        <v>4347</v>
      </c>
      <c r="B430" t="s">
        <v>978</v>
      </c>
    </row>
    <row r="431" spans="1:2" x14ac:dyDescent="0.35">
      <c r="A431" t="s">
        <v>4348</v>
      </c>
      <c r="B431" t="s">
        <v>905</v>
      </c>
    </row>
    <row r="432" spans="1:2" x14ac:dyDescent="0.35">
      <c r="A432" t="s">
        <v>4349</v>
      </c>
      <c r="B432" t="s">
        <v>4350</v>
      </c>
    </row>
    <row r="433" spans="1:2" x14ac:dyDescent="0.35">
      <c r="A433" t="s">
        <v>4351</v>
      </c>
      <c r="B433" t="s">
        <v>2762</v>
      </c>
    </row>
    <row r="434" spans="1:2" x14ac:dyDescent="0.35">
      <c r="A434" t="s">
        <v>4352</v>
      </c>
      <c r="B434" t="s">
        <v>3439</v>
      </c>
    </row>
    <row r="435" spans="1:2" x14ac:dyDescent="0.35">
      <c r="A435" t="s">
        <v>4353</v>
      </c>
      <c r="B435" t="s">
        <v>369</v>
      </c>
    </row>
    <row r="436" spans="1:2" x14ac:dyDescent="0.35">
      <c r="A436" t="s">
        <v>4354</v>
      </c>
      <c r="B436" t="s">
        <v>4355</v>
      </c>
    </row>
    <row r="437" spans="1:2" x14ac:dyDescent="0.35">
      <c r="A437" t="s">
        <v>4356</v>
      </c>
      <c r="B437" t="s">
        <v>3725</v>
      </c>
    </row>
    <row r="438" spans="1:2" x14ac:dyDescent="0.35">
      <c r="A438" t="s">
        <v>4357</v>
      </c>
      <c r="B438" t="s">
        <v>371</v>
      </c>
    </row>
    <row r="439" spans="1:2" x14ac:dyDescent="0.35">
      <c r="A439" t="s">
        <v>4358</v>
      </c>
      <c r="B439" t="s">
        <v>2533</v>
      </c>
    </row>
    <row r="440" spans="1:2" x14ac:dyDescent="0.35">
      <c r="A440" t="s">
        <v>4359</v>
      </c>
      <c r="B440" t="s">
        <v>4360</v>
      </c>
    </row>
    <row r="441" spans="1:2" x14ac:dyDescent="0.35">
      <c r="A441" t="s">
        <v>4361</v>
      </c>
      <c r="B441" t="s">
        <v>4362</v>
      </c>
    </row>
    <row r="442" spans="1:2" x14ac:dyDescent="0.35">
      <c r="A442" t="s">
        <v>4363</v>
      </c>
      <c r="B442" t="s">
        <v>4364</v>
      </c>
    </row>
    <row r="443" spans="1:2" x14ac:dyDescent="0.35">
      <c r="A443" t="s">
        <v>4365</v>
      </c>
      <c r="B443" t="s">
        <v>344</v>
      </c>
    </row>
    <row r="444" spans="1:2" x14ac:dyDescent="0.35">
      <c r="A444" t="s">
        <v>4366</v>
      </c>
      <c r="B444" t="s">
        <v>534</v>
      </c>
    </row>
    <row r="445" spans="1:2" x14ac:dyDescent="0.35">
      <c r="A445" t="s">
        <v>4367</v>
      </c>
      <c r="B445" t="s">
        <v>4368</v>
      </c>
    </row>
    <row r="446" spans="1:2" x14ac:dyDescent="0.35">
      <c r="A446" t="s">
        <v>4369</v>
      </c>
      <c r="B446" t="s">
        <v>4370</v>
      </c>
    </row>
    <row r="447" spans="1:2" x14ac:dyDescent="0.35">
      <c r="A447" t="s">
        <v>4371</v>
      </c>
      <c r="B447" t="s">
        <v>4372</v>
      </c>
    </row>
    <row r="448" spans="1:2" x14ac:dyDescent="0.35">
      <c r="A448" t="s">
        <v>4373</v>
      </c>
      <c r="B448" t="s">
        <v>412</v>
      </c>
    </row>
    <row r="449" spans="1:2" x14ac:dyDescent="0.35">
      <c r="A449" t="s">
        <v>4374</v>
      </c>
      <c r="B449" t="s">
        <v>3028</v>
      </c>
    </row>
    <row r="450" spans="1:2" x14ac:dyDescent="0.35">
      <c r="A450" t="s">
        <v>4375</v>
      </c>
      <c r="B450" t="s">
        <v>574</v>
      </c>
    </row>
    <row r="451" spans="1:2" x14ac:dyDescent="0.35">
      <c r="A451" t="s">
        <v>4376</v>
      </c>
      <c r="B451" t="s">
        <v>2674</v>
      </c>
    </row>
    <row r="452" spans="1:2" x14ac:dyDescent="0.35">
      <c r="A452" t="s">
        <v>4377</v>
      </c>
      <c r="B452" t="s">
        <v>3790</v>
      </c>
    </row>
    <row r="453" spans="1:2" x14ac:dyDescent="0.35">
      <c r="A453" t="s">
        <v>4378</v>
      </c>
      <c r="B453" t="s">
        <v>2795</v>
      </c>
    </row>
    <row r="454" spans="1:2" x14ac:dyDescent="0.35">
      <c r="A454" t="s">
        <v>4379</v>
      </c>
      <c r="B454" t="s">
        <v>422</v>
      </c>
    </row>
    <row r="455" spans="1:2" x14ac:dyDescent="0.35">
      <c r="A455" t="s">
        <v>4380</v>
      </c>
      <c r="B455" t="s">
        <v>1714</v>
      </c>
    </row>
    <row r="456" spans="1:2" x14ac:dyDescent="0.35">
      <c r="A456" t="s">
        <v>4381</v>
      </c>
      <c r="B456" t="s">
        <v>436</v>
      </c>
    </row>
    <row r="457" spans="1:2" x14ac:dyDescent="0.35">
      <c r="A457" t="s">
        <v>4382</v>
      </c>
      <c r="B457" t="s">
        <v>2748</v>
      </c>
    </row>
    <row r="458" spans="1:2" x14ac:dyDescent="0.35">
      <c r="A458" t="s">
        <v>4383</v>
      </c>
      <c r="B458" t="s">
        <v>1210</v>
      </c>
    </row>
    <row r="459" spans="1:2" x14ac:dyDescent="0.35">
      <c r="A459" t="s">
        <v>4384</v>
      </c>
      <c r="B459" t="s">
        <v>1877</v>
      </c>
    </row>
    <row r="460" spans="1:2" x14ac:dyDescent="0.35">
      <c r="A460" t="s">
        <v>4385</v>
      </c>
      <c r="B460" t="s">
        <v>1244</v>
      </c>
    </row>
    <row r="461" spans="1:2" x14ac:dyDescent="0.35">
      <c r="A461" t="s">
        <v>4386</v>
      </c>
      <c r="B461" t="s">
        <v>4387</v>
      </c>
    </row>
    <row r="462" spans="1:2" x14ac:dyDescent="0.35">
      <c r="A462" t="s">
        <v>4388</v>
      </c>
      <c r="B462" t="s">
        <v>162</v>
      </c>
    </row>
    <row r="463" spans="1:2" x14ac:dyDescent="0.35">
      <c r="A463" t="s">
        <v>4389</v>
      </c>
      <c r="B463" t="s">
        <v>4390</v>
      </c>
    </row>
    <row r="464" spans="1:2" x14ac:dyDescent="0.35">
      <c r="A464" t="s">
        <v>4391</v>
      </c>
      <c r="B464" t="s">
        <v>240</v>
      </c>
    </row>
    <row r="465" spans="1:2" x14ac:dyDescent="0.35">
      <c r="A465" t="s">
        <v>4392</v>
      </c>
      <c r="B465" t="s">
        <v>4393</v>
      </c>
    </row>
    <row r="466" spans="1:2" x14ac:dyDescent="0.35">
      <c r="A466" t="s">
        <v>4394</v>
      </c>
      <c r="B466" t="s">
        <v>4395</v>
      </c>
    </row>
    <row r="467" spans="1:2" x14ac:dyDescent="0.35">
      <c r="A467" t="s">
        <v>4396</v>
      </c>
      <c r="B467" t="s">
        <v>4397</v>
      </c>
    </row>
    <row r="468" spans="1:2" x14ac:dyDescent="0.35">
      <c r="A468" t="s">
        <v>4398</v>
      </c>
      <c r="B468" t="s">
        <v>1305</v>
      </c>
    </row>
    <row r="469" spans="1:2" x14ac:dyDescent="0.35">
      <c r="A469" t="s">
        <v>4399</v>
      </c>
      <c r="B469" t="s">
        <v>1400</v>
      </c>
    </row>
    <row r="470" spans="1:2" x14ac:dyDescent="0.35">
      <c r="A470" t="s">
        <v>4400</v>
      </c>
      <c r="B470" t="s">
        <v>4401</v>
      </c>
    </row>
    <row r="471" spans="1:2" x14ac:dyDescent="0.35">
      <c r="A471" t="s">
        <v>4402</v>
      </c>
      <c r="B471" t="s">
        <v>4403</v>
      </c>
    </row>
    <row r="472" spans="1:2" x14ac:dyDescent="0.35">
      <c r="A472" t="s">
        <v>4404</v>
      </c>
      <c r="B472" t="s">
        <v>1949</v>
      </c>
    </row>
    <row r="473" spans="1:2" x14ac:dyDescent="0.35">
      <c r="A473" t="s">
        <v>4405</v>
      </c>
      <c r="B473" t="s">
        <v>3843</v>
      </c>
    </row>
    <row r="474" spans="1:2" x14ac:dyDescent="0.35">
      <c r="A474" t="s">
        <v>4406</v>
      </c>
      <c r="B474" t="s">
        <v>2001</v>
      </c>
    </row>
    <row r="475" spans="1:2" x14ac:dyDescent="0.35">
      <c r="A475" t="s">
        <v>4407</v>
      </c>
      <c r="B475" t="s">
        <v>4408</v>
      </c>
    </row>
    <row r="476" spans="1:2" x14ac:dyDescent="0.35">
      <c r="A476" t="s">
        <v>4409</v>
      </c>
      <c r="B476" t="s">
        <v>4410</v>
      </c>
    </row>
    <row r="477" spans="1:2" x14ac:dyDescent="0.35">
      <c r="A477" t="s">
        <v>4411</v>
      </c>
      <c r="B477" t="s">
        <v>4412</v>
      </c>
    </row>
    <row r="478" spans="1:2" x14ac:dyDescent="0.35">
      <c r="A478" t="s">
        <v>4413</v>
      </c>
      <c r="B478" t="s">
        <v>2939</v>
      </c>
    </row>
    <row r="479" spans="1:2" x14ac:dyDescent="0.35">
      <c r="A479" t="s">
        <v>4414</v>
      </c>
      <c r="B479" t="s">
        <v>938</v>
      </c>
    </row>
    <row r="480" spans="1:2" x14ac:dyDescent="0.35">
      <c r="A480" t="s">
        <v>4415</v>
      </c>
      <c r="B480" t="s">
        <v>1964</v>
      </c>
    </row>
    <row r="481" spans="1:2" x14ac:dyDescent="0.35">
      <c r="A481" t="s">
        <v>4416</v>
      </c>
      <c r="B481" t="s">
        <v>3621</v>
      </c>
    </row>
    <row r="482" spans="1:2" x14ac:dyDescent="0.35">
      <c r="A482" t="s">
        <v>4417</v>
      </c>
      <c r="B482" t="s">
        <v>1411</v>
      </c>
    </row>
    <row r="483" spans="1:2" x14ac:dyDescent="0.35">
      <c r="A483" t="s">
        <v>4418</v>
      </c>
      <c r="B483" t="s">
        <v>1221</v>
      </c>
    </row>
    <row r="484" spans="1:2" x14ac:dyDescent="0.35">
      <c r="A484" t="s">
        <v>4419</v>
      </c>
      <c r="B484" t="s">
        <v>2059</v>
      </c>
    </row>
    <row r="485" spans="1:2" x14ac:dyDescent="0.35">
      <c r="A485" t="s">
        <v>4420</v>
      </c>
      <c r="B485" t="s">
        <v>4421</v>
      </c>
    </row>
    <row r="486" spans="1:2" x14ac:dyDescent="0.35">
      <c r="A486" t="s">
        <v>4422</v>
      </c>
      <c r="B486" t="s">
        <v>2957</v>
      </c>
    </row>
    <row r="487" spans="1:2" x14ac:dyDescent="0.35">
      <c r="A487" t="s">
        <v>4423</v>
      </c>
      <c r="B487" t="s">
        <v>2941</v>
      </c>
    </row>
    <row r="488" spans="1:2" x14ac:dyDescent="0.35">
      <c r="A488" t="s">
        <v>4424</v>
      </c>
      <c r="B488" t="s">
        <v>1951</v>
      </c>
    </row>
    <row r="489" spans="1:2" x14ac:dyDescent="0.35">
      <c r="A489" t="s">
        <v>4425</v>
      </c>
      <c r="B489" t="s">
        <v>1872</v>
      </c>
    </row>
    <row r="490" spans="1:2" x14ac:dyDescent="0.35">
      <c r="A490" t="s">
        <v>881</v>
      </c>
      <c r="B490" t="s">
        <v>883</v>
      </c>
    </row>
    <row r="491" spans="1:2" x14ac:dyDescent="0.35">
      <c r="A491" t="s">
        <v>4426</v>
      </c>
      <c r="B491" t="s">
        <v>1086</v>
      </c>
    </row>
    <row r="492" spans="1:2" x14ac:dyDescent="0.35">
      <c r="A492" t="s">
        <v>4427</v>
      </c>
      <c r="B492" t="s">
        <v>2472</v>
      </c>
    </row>
    <row r="493" spans="1:2" x14ac:dyDescent="0.35">
      <c r="A493" t="s">
        <v>4428</v>
      </c>
      <c r="B493" t="s">
        <v>768</v>
      </c>
    </row>
    <row r="494" spans="1:2" x14ac:dyDescent="0.35">
      <c r="A494" t="s">
        <v>4429</v>
      </c>
      <c r="B494" t="s">
        <v>565</v>
      </c>
    </row>
    <row r="495" spans="1:2" x14ac:dyDescent="0.35">
      <c r="A495" t="s">
        <v>4430</v>
      </c>
      <c r="B495" t="s">
        <v>756</v>
      </c>
    </row>
    <row r="496" spans="1:2" x14ac:dyDescent="0.35">
      <c r="A496" t="s">
        <v>4431</v>
      </c>
      <c r="B496" t="s">
        <v>784</v>
      </c>
    </row>
    <row r="497" spans="1:2" x14ac:dyDescent="0.35">
      <c r="A497" t="s">
        <v>4432</v>
      </c>
      <c r="B497" t="s">
        <v>920</v>
      </c>
    </row>
    <row r="498" spans="1:2" x14ac:dyDescent="0.35">
      <c r="A498" t="s">
        <v>4433</v>
      </c>
      <c r="B498" t="s">
        <v>3350</v>
      </c>
    </row>
    <row r="499" spans="1:2" x14ac:dyDescent="0.35">
      <c r="A499" t="s">
        <v>4434</v>
      </c>
      <c r="B499" t="s">
        <v>3929</v>
      </c>
    </row>
    <row r="500" spans="1:2" x14ac:dyDescent="0.35">
      <c r="A500" t="s">
        <v>4435</v>
      </c>
      <c r="B500" t="s">
        <v>4436</v>
      </c>
    </row>
    <row r="501" spans="1:2" x14ac:dyDescent="0.35">
      <c r="A501" t="s">
        <v>4437</v>
      </c>
      <c r="B501" t="s">
        <v>4438</v>
      </c>
    </row>
    <row r="502" spans="1:2" x14ac:dyDescent="0.35">
      <c r="A502" t="s">
        <v>4439</v>
      </c>
      <c r="B502" t="s">
        <v>4440</v>
      </c>
    </row>
    <row r="503" spans="1:2" x14ac:dyDescent="0.35">
      <c r="A503" t="s">
        <v>4441</v>
      </c>
      <c r="B503" t="s">
        <v>1763</v>
      </c>
    </row>
    <row r="504" spans="1:2" x14ac:dyDescent="0.35">
      <c r="A504" t="s">
        <v>4442</v>
      </c>
      <c r="B504" t="s">
        <v>4443</v>
      </c>
    </row>
    <row r="505" spans="1:2" x14ac:dyDescent="0.35">
      <c r="A505" t="s">
        <v>4444</v>
      </c>
      <c r="B505" t="s">
        <v>3177</v>
      </c>
    </row>
    <row r="506" spans="1:2" x14ac:dyDescent="0.35">
      <c r="A506" t="s">
        <v>4445</v>
      </c>
      <c r="B506" t="s">
        <v>4446</v>
      </c>
    </row>
    <row r="507" spans="1:2" x14ac:dyDescent="0.35">
      <c r="A507" t="s">
        <v>4447</v>
      </c>
      <c r="B507" t="s">
        <v>4448</v>
      </c>
    </row>
    <row r="508" spans="1:2" x14ac:dyDescent="0.35">
      <c r="A508" t="s">
        <v>4449</v>
      </c>
      <c r="B508" t="s">
        <v>4450</v>
      </c>
    </row>
    <row r="509" spans="1:2" x14ac:dyDescent="0.35">
      <c r="A509" t="s">
        <v>4451</v>
      </c>
      <c r="B509" t="s">
        <v>4452</v>
      </c>
    </row>
    <row r="510" spans="1:2" x14ac:dyDescent="0.35">
      <c r="A510" t="s">
        <v>4453</v>
      </c>
      <c r="B510" t="s">
        <v>4454</v>
      </c>
    </row>
    <row r="511" spans="1:2" x14ac:dyDescent="0.35">
      <c r="A511" t="s">
        <v>4455</v>
      </c>
      <c r="B511" t="s">
        <v>406</v>
      </c>
    </row>
    <row r="512" spans="1:2" x14ac:dyDescent="0.35">
      <c r="A512" t="s">
        <v>4456</v>
      </c>
      <c r="B512" t="s">
        <v>448</v>
      </c>
    </row>
    <row r="513" spans="1:2" x14ac:dyDescent="0.35">
      <c r="A513" t="s">
        <v>4457</v>
      </c>
      <c r="B513" t="s">
        <v>1022</v>
      </c>
    </row>
    <row r="514" spans="1:2" x14ac:dyDescent="0.35">
      <c r="A514" t="s">
        <v>4458</v>
      </c>
      <c r="B514" t="s">
        <v>1107</v>
      </c>
    </row>
    <row r="515" spans="1:2" x14ac:dyDescent="0.35">
      <c r="A515" t="s">
        <v>4459</v>
      </c>
      <c r="B515" t="s">
        <v>1213</v>
      </c>
    </row>
    <row r="516" spans="1:2" x14ac:dyDescent="0.35">
      <c r="A516" t="s">
        <v>4460</v>
      </c>
      <c r="B516" t="s">
        <v>1223</v>
      </c>
    </row>
    <row r="517" spans="1:2" x14ac:dyDescent="0.35">
      <c r="A517" t="s">
        <v>4461</v>
      </c>
      <c r="B517" t="s">
        <v>1284</v>
      </c>
    </row>
    <row r="518" spans="1:2" x14ac:dyDescent="0.35">
      <c r="A518" t="s">
        <v>4462</v>
      </c>
      <c r="B518" t="s">
        <v>1484</v>
      </c>
    </row>
    <row r="519" spans="1:2" x14ac:dyDescent="0.35">
      <c r="A519" t="s">
        <v>4463</v>
      </c>
      <c r="B519" t="s">
        <v>1686</v>
      </c>
    </row>
    <row r="520" spans="1:2" x14ac:dyDescent="0.35">
      <c r="A520" t="s">
        <v>4464</v>
      </c>
      <c r="B520" t="s">
        <v>1777</v>
      </c>
    </row>
    <row r="521" spans="1:2" x14ac:dyDescent="0.35">
      <c r="A521" t="s">
        <v>4465</v>
      </c>
      <c r="B521" t="s">
        <v>2345</v>
      </c>
    </row>
    <row r="522" spans="1:2" x14ac:dyDescent="0.35">
      <c r="A522" t="s">
        <v>4466</v>
      </c>
      <c r="B522" t="s">
        <v>2407</v>
      </c>
    </row>
    <row r="523" spans="1:2" x14ac:dyDescent="0.35">
      <c r="A523" t="s">
        <v>4467</v>
      </c>
      <c r="B523" t="s">
        <v>2685</v>
      </c>
    </row>
    <row r="524" spans="1:2" x14ac:dyDescent="0.35">
      <c r="A524" t="s">
        <v>4468</v>
      </c>
      <c r="B524" t="s">
        <v>3543</v>
      </c>
    </row>
    <row r="525" spans="1:2" x14ac:dyDescent="0.35">
      <c r="A525" t="s">
        <v>4469</v>
      </c>
      <c r="B525" t="s">
        <v>3697</v>
      </c>
    </row>
    <row r="526" spans="1:2" x14ac:dyDescent="0.35">
      <c r="A526" t="s">
        <v>4470</v>
      </c>
      <c r="B526" t="s">
        <v>3854</v>
      </c>
    </row>
    <row r="527" spans="1:2" x14ac:dyDescent="0.35">
      <c r="A527" t="s">
        <v>4471</v>
      </c>
      <c r="B527" t="s">
        <v>4472</v>
      </c>
    </row>
    <row r="528" spans="1:2" x14ac:dyDescent="0.35">
      <c r="A528" t="s">
        <v>4473</v>
      </c>
      <c r="B528" t="s">
        <v>4474</v>
      </c>
    </row>
    <row r="529" spans="1:2" x14ac:dyDescent="0.35">
      <c r="A529" t="s">
        <v>4475</v>
      </c>
      <c r="B529" t="s">
        <v>4476</v>
      </c>
    </row>
    <row r="530" spans="1:2" x14ac:dyDescent="0.35">
      <c r="A530" t="s">
        <v>4477</v>
      </c>
      <c r="B530" t="s">
        <v>495</v>
      </c>
    </row>
    <row r="531" spans="1:2" x14ac:dyDescent="0.35">
      <c r="A531" t="s">
        <v>4478</v>
      </c>
      <c r="B531" t="s">
        <v>4187</v>
      </c>
    </row>
    <row r="532" spans="1:2" x14ac:dyDescent="0.35">
      <c r="A532" t="s">
        <v>4479</v>
      </c>
      <c r="B532" t="s">
        <v>1362</v>
      </c>
    </row>
    <row r="533" spans="1:2" x14ac:dyDescent="0.35">
      <c r="A533" t="s">
        <v>4480</v>
      </c>
      <c r="B533" t="s">
        <v>118</v>
      </c>
    </row>
    <row r="534" spans="1:2" x14ac:dyDescent="0.35">
      <c r="A534" t="s">
        <v>4481</v>
      </c>
      <c r="B534" t="s">
        <v>1763</v>
      </c>
    </row>
    <row r="535" spans="1:2" x14ac:dyDescent="0.35">
      <c r="A535" t="s">
        <v>519</v>
      </c>
      <c r="B535" t="s">
        <v>4240</v>
      </c>
    </row>
    <row r="536" spans="1:2" x14ac:dyDescent="0.35">
      <c r="A536" t="s">
        <v>4482</v>
      </c>
      <c r="B536" t="s">
        <v>4483</v>
      </c>
    </row>
    <row r="537" spans="1:2" x14ac:dyDescent="0.35">
      <c r="A537" t="s">
        <v>4484</v>
      </c>
      <c r="B537" t="s">
        <v>126</v>
      </c>
    </row>
    <row r="538" spans="1:2" x14ac:dyDescent="0.35">
      <c r="A538" t="s">
        <v>4485</v>
      </c>
      <c r="B538" t="s">
        <v>2664</v>
      </c>
    </row>
    <row r="539" spans="1:2" x14ac:dyDescent="0.35">
      <c r="A539" t="s">
        <v>4486</v>
      </c>
      <c r="B539" t="s">
        <v>1496</v>
      </c>
    </row>
    <row r="540" spans="1:2" x14ac:dyDescent="0.35">
      <c r="A540" t="s">
        <v>4487</v>
      </c>
      <c r="B540" t="s">
        <v>364</v>
      </c>
    </row>
    <row r="541" spans="1:2" x14ac:dyDescent="0.35">
      <c r="A541" t="s">
        <v>4488</v>
      </c>
      <c r="B541" t="s">
        <v>3674</v>
      </c>
    </row>
    <row r="542" spans="1:2" x14ac:dyDescent="0.35">
      <c r="A542" t="s">
        <v>2510</v>
      </c>
      <c r="B542" t="s">
        <v>2509</v>
      </c>
    </row>
    <row r="543" spans="1:2" x14ac:dyDescent="0.35">
      <c r="A543" t="s">
        <v>4489</v>
      </c>
      <c r="B543" t="s">
        <v>1587</v>
      </c>
    </row>
    <row r="544" spans="1:2" x14ac:dyDescent="0.35">
      <c r="A544" t="s">
        <v>2140</v>
      </c>
      <c r="B544" t="s">
        <v>2141</v>
      </c>
    </row>
    <row r="545" spans="1:2" x14ac:dyDescent="0.35">
      <c r="A545" t="s">
        <v>2423</v>
      </c>
      <c r="B545" t="s">
        <v>2420</v>
      </c>
    </row>
    <row r="546" spans="1:2" x14ac:dyDescent="0.35">
      <c r="A546" t="s">
        <v>4490</v>
      </c>
      <c r="B546" t="s">
        <v>2416</v>
      </c>
    </row>
    <row r="547" spans="1:2" x14ac:dyDescent="0.35">
      <c r="A547" t="s">
        <v>3466</v>
      </c>
      <c r="B547" t="s">
        <v>3465</v>
      </c>
    </row>
    <row r="548" spans="1:2" x14ac:dyDescent="0.35">
      <c r="A548" t="s">
        <v>3664</v>
      </c>
      <c r="B548" t="s">
        <v>3661</v>
      </c>
    </row>
    <row r="549" spans="1:2" x14ac:dyDescent="0.35">
      <c r="A549" t="s">
        <v>3472</v>
      </c>
      <c r="B549" t="s">
        <v>3471</v>
      </c>
    </row>
    <row r="550" spans="1:2" x14ac:dyDescent="0.35">
      <c r="A550" t="s">
        <v>4491</v>
      </c>
      <c r="B550" t="s">
        <v>2689</v>
      </c>
    </row>
    <row r="551" spans="1:2" x14ac:dyDescent="0.35">
      <c r="A551" t="s">
        <v>2436</v>
      </c>
      <c r="B551" t="s">
        <v>2435</v>
      </c>
    </row>
    <row r="552" spans="1:2" x14ac:dyDescent="0.35">
      <c r="A552" t="s">
        <v>2490</v>
      </c>
      <c r="B552" t="s">
        <v>2489</v>
      </c>
    </row>
    <row r="553" spans="1:2" x14ac:dyDescent="0.35">
      <c r="A553" t="s">
        <v>4492</v>
      </c>
      <c r="B553" t="s">
        <v>907</v>
      </c>
    </row>
    <row r="554" spans="1:2" x14ac:dyDescent="0.35">
      <c r="A554" t="s">
        <v>4493</v>
      </c>
      <c r="B554" t="s">
        <v>4494</v>
      </c>
    </row>
    <row r="555" spans="1:2" x14ac:dyDescent="0.35">
      <c r="A555" t="s">
        <v>4495</v>
      </c>
      <c r="B555" t="s">
        <v>1290</v>
      </c>
    </row>
    <row r="556" spans="1:2" x14ac:dyDescent="0.35">
      <c r="A556" t="s">
        <v>4496</v>
      </c>
      <c r="B556" t="s">
        <v>1895</v>
      </c>
    </row>
    <row r="557" spans="1:2" x14ac:dyDescent="0.35">
      <c r="A557" t="s">
        <v>4497</v>
      </c>
      <c r="B557" t="s">
        <v>2194</v>
      </c>
    </row>
    <row r="558" spans="1:2" x14ac:dyDescent="0.35">
      <c r="A558" t="s">
        <v>4498</v>
      </c>
      <c r="B558" t="s">
        <v>3222</v>
      </c>
    </row>
    <row r="559" spans="1:2" x14ac:dyDescent="0.35">
      <c r="A559" t="s">
        <v>4499</v>
      </c>
      <c r="B559" t="s">
        <v>3805</v>
      </c>
    </row>
    <row r="560" spans="1:2" x14ac:dyDescent="0.35">
      <c r="A560" t="s">
        <v>4500</v>
      </c>
      <c r="B560" t="s">
        <v>851</v>
      </c>
    </row>
    <row r="561" spans="1:2" x14ac:dyDescent="0.35">
      <c r="A561" t="s">
        <v>4501</v>
      </c>
      <c r="B561" t="s">
        <v>2032</v>
      </c>
    </row>
    <row r="562" spans="1:2" x14ac:dyDescent="0.35">
      <c r="A562" t="s">
        <v>4502</v>
      </c>
      <c r="B562" t="s">
        <v>215</v>
      </c>
    </row>
    <row r="563" spans="1:2" x14ac:dyDescent="0.35">
      <c r="A563" t="s">
        <v>4503</v>
      </c>
      <c r="B563" t="s">
        <v>2466</v>
      </c>
    </row>
    <row r="564" spans="1:2" x14ac:dyDescent="0.35">
      <c r="A564" t="s">
        <v>4504</v>
      </c>
      <c r="B564" t="s">
        <v>542</v>
      </c>
    </row>
    <row r="565" spans="1:2" x14ac:dyDescent="0.35">
      <c r="A565" t="s">
        <v>4505</v>
      </c>
      <c r="B565" t="s">
        <v>550</v>
      </c>
    </row>
    <row r="566" spans="1:2" x14ac:dyDescent="0.35">
      <c r="A566" t="s">
        <v>4506</v>
      </c>
      <c r="B566" t="s">
        <v>3567</v>
      </c>
    </row>
    <row r="567" spans="1:2" x14ac:dyDescent="0.35">
      <c r="A567" t="s">
        <v>4507</v>
      </c>
      <c r="B567" t="s">
        <v>1136</v>
      </c>
    </row>
    <row r="568" spans="1:2" x14ac:dyDescent="0.35">
      <c r="A568" t="s">
        <v>4508</v>
      </c>
      <c r="B568" t="s">
        <v>582</v>
      </c>
    </row>
    <row r="569" spans="1:2" x14ac:dyDescent="0.35">
      <c r="A569" t="s">
        <v>4509</v>
      </c>
      <c r="B569" t="s">
        <v>482</v>
      </c>
    </row>
    <row r="570" spans="1:2" x14ac:dyDescent="0.35">
      <c r="A570" t="s">
        <v>4510</v>
      </c>
      <c r="B570" t="s">
        <v>3077</v>
      </c>
    </row>
    <row r="571" spans="1:2" x14ac:dyDescent="0.35">
      <c r="A571" t="s">
        <v>4511</v>
      </c>
      <c r="B571" t="s">
        <v>3028</v>
      </c>
    </row>
    <row r="572" spans="1:2" x14ac:dyDescent="0.35">
      <c r="A572" t="s">
        <v>4512</v>
      </c>
      <c r="B572" t="s">
        <v>4513</v>
      </c>
    </row>
    <row r="573" spans="1:2" x14ac:dyDescent="0.35">
      <c r="A573" t="s">
        <v>4514</v>
      </c>
      <c r="B573" t="s">
        <v>2924</v>
      </c>
    </row>
    <row r="574" spans="1:2" x14ac:dyDescent="0.35">
      <c r="A574" t="s">
        <v>4515</v>
      </c>
      <c r="B574" t="s">
        <v>4516</v>
      </c>
    </row>
    <row r="575" spans="1:2" x14ac:dyDescent="0.35">
      <c r="A575" t="s">
        <v>4517</v>
      </c>
      <c r="B575" t="s">
        <v>4518</v>
      </c>
    </row>
    <row r="576" spans="1:2" x14ac:dyDescent="0.35">
      <c r="A576" t="s">
        <v>4519</v>
      </c>
      <c r="B576" t="s">
        <v>2527</v>
      </c>
    </row>
    <row r="577" spans="1:2" x14ac:dyDescent="0.35">
      <c r="A577" t="s">
        <v>4520</v>
      </c>
      <c r="B577" t="s">
        <v>4521</v>
      </c>
    </row>
    <row r="578" spans="1:2" x14ac:dyDescent="0.35">
      <c r="A578" t="s">
        <v>4522</v>
      </c>
      <c r="B578" t="s">
        <v>18</v>
      </c>
    </row>
    <row r="579" spans="1:2" x14ac:dyDescent="0.35">
      <c r="A579" t="s">
        <v>4523</v>
      </c>
      <c r="B579" t="s">
        <v>1031</v>
      </c>
    </row>
    <row r="580" spans="1:2" x14ac:dyDescent="0.35">
      <c r="A580" t="s">
        <v>4524</v>
      </c>
      <c r="B580" t="s">
        <v>2559</v>
      </c>
    </row>
    <row r="581" spans="1:2" x14ac:dyDescent="0.35">
      <c r="A581" t="s">
        <v>4525</v>
      </c>
      <c r="B581" t="s">
        <v>3274</v>
      </c>
    </row>
    <row r="582" spans="1:2" x14ac:dyDescent="0.35">
      <c r="A582" t="s">
        <v>4526</v>
      </c>
      <c r="B582" t="s">
        <v>2865</v>
      </c>
    </row>
    <row r="583" spans="1:2" x14ac:dyDescent="0.35">
      <c r="A583" t="s">
        <v>4527</v>
      </c>
      <c r="B583" t="s">
        <v>1154</v>
      </c>
    </row>
    <row r="584" spans="1:2" x14ac:dyDescent="0.35">
      <c r="A584" t="s">
        <v>4528</v>
      </c>
      <c r="B584" t="s">
        <v>699</v>
      </c>
    </row>
    <row r="585" spans="1:2" x14ac:dyDescent="0.35">
      <c r="A585" t="s">
        <v>608</v>
      </c>
      <c r="B585" t="s">
        <v>605</v>
      </c>
    </row>
    <row r="586" spans="1:2" x14ac:dyDescent="0.35">
      <c r="A586" t="s">
        <v>731</v>
      </c>
      <c r="B586" t="s">
        <v>244</v>
      </c>
    </row>
    <row r="587" spans="1:2" x14ac:dyDescent="0.35">
      <c r="A587" t="s">
        <v>4529</v>
      </c>
      <c r="B587" t="s">
        <v>701</v>
      </c>
    </row>
    <row r="588" spans="1:2" x14ac:dyDescent="0.35">
      <c r="A588" t="s">
        <v>4530</v>
      </c>
      <c r="B588" t="s">
        <v>590</v>
      </c>
    </row>
    <row r="589" spans="1:2" x14ac:dyDescent="0.35">
      <c r="A589" t="s">
        <v>4531</v>
      </c>
      <c r="B589" t="s">
        <v>730</v>
      </c>
    </row>
    <row r="590" spans="1:2" x14ac:dyDescent="0.35">
      <c r="A590" t="s">
        <v>4532</v>
      </c>
      <c r="B590" t="s">
        <v>1426</v>
      </c>
    </row>
    <row r="591" spans="1:2" x14ac:dyDescent="0.35">
      <c r="A591" t="s">
        <v>4533</v>
      </c>
      <c r="B591" t="s">
        <v>710</v>
      </c>
    </row>
    <row r="592" spans="1:2" x14ac:dyDescent="0.35">
      <c r="A592" t="s">
        <v>4534</v>
      </c>
      <c r="B592" t="s">
        <v>95</v>
      </c>
    </row>
    <row r="593" spans="1:2" x14ac:dyDescent="0.35">
      <c r="A593" t="s">
        <v>4535</v>
      </c>
      <c r="B593" t="s">
        <v>4223</v>
      </c>
    </row>
    <row r="594" spans="1:2" x14ac:dyDescent="0.35">
      <c r="A594" t="s">
        <v>4536</v>
      </c>
      <c r="B594" t="s">
        <v>4537</v>
      </c>
    </row>
    <row r="595" spans="1:2" x14ac:dyDescent="0.35">
      <c r="A595" t="s">
        <v>4538</v>
      </c>
      <c r="B595" t="s">
        <v>4539</v>
      </c>
    </row>
    <row r="596" spans="1:2" x14ac:dyDescent="0.35">
      <c r="A596" t="s">
        <v>4540</v>
      </c>
      <c r="B596" t="s">
        <v>978</v>
      </c>
    </row>
    <row r="597" spans="1:2" x14ac:dyDescent="0.35">
      <c r="A597" t="s">
        <v>4541</v>
      </c>
      <c r="B597" t="s">
        <v>425</v>
      </c>
    </row>
    <row r="598" spans="1:2" x14ac:dyDescent="0.35">
      <c r="A598" t="s">
        <v>4542</v>
      </c>
      <c r="B598" t="s">
        <v>60</v>
      </c>
    </row>
    <row r="599" spans="1:2" x14ac:dyDescent="0.35">
      <c r="A599" t="s">
        <v>4543</v>
      </c>
      <c r="B599" t="s">
        <v>486</v>
      </c>
    </row>
    <row r="600" spans="1:2" x14ac:dyDescent="0.35">
      <c r="A600" t="s">
        <v>4544</v>
      </c>
      <c r="B600" t="s">
        <v>723</v>
      </c>
    </row>
    <row r="601" spans="1:2" x14ac:dyDescent="0.35">
      <c r="A601" t="s">
        <v>4545</v>
      </c>
      <c r="B601" t="s">
        <v>725</v>
      </c>
    </row>
    <row r="602" spans="1:2" x14ac:dyDescent="0.35">
      <c r="A602" t="s">
        <v>4546</v>
      </c>
      <c r="B602" t="s">
        <v>3926</v>
      </c>
    </row>
    <row r="603" spans="1:2" x14ac:dyDescent="0.35">
      <c r="A603" t="s">
        <v>4547</v>
      </c>
      <c r="B603" t="s">
        <v>3964</v>
      </c>
    </row>
    <row r="604" spans="1:2" x14ac:dyDescent="0.35">
      <c r="A604" t="s">
        <v>4548</v>
      </c>
      <c r="B604" t="s">
        <v>4549</v>
      </c>
    </row>
    <row r="605" spans="1:2" x14ac:dyDescent="0.35">
      <c r="A605" t="s">
        <v>4550</v>
      </c>
      <c r="B605" t="s">
        <v>3137</v>
      </c>
    </row>
    <row r="606" spans="1:2" x14ac:dyDescent="0.35">
      <c r="A606" t="s">
        <v>4551</v>
      </c>
      <c r="B606" t="s">
        <v>3977</v>
      </c>
    </row>
    <row r="607" spans="1:2" x14ac:dyDescent="0.35">
      <c r="A607" t="s">
        <v>4552</v>
      </c>
      <c r="B607" t="s">
        <v>3155</v>
      </c>
    </row>
    <row r="608" spans="1:2" x14ac:dyDescent="0.35">
      <c r="A608" t="s">
        <v>4553</v>
      </c>
      <c r="B608" t="s">
        <v>303</v>
      </c>
    </row>
    <row r="609" spans="1:2" x14ac:dyDescent="0.35">
      <c r="A609" t="s">
        <v>4554</v>
      </c>
      <c r="B609" t="s">
        <v>798</v>
      </c>
    </row>
    <row r="610" spans="1:2" x14ac:dyDescent="0.35">
      <c r="A610" t="s">
        <v>4555</v>
      </c>
      <c r="B610" t="s">
        <v>649</v>
      </c>
    </row>
    <row r="611" spans="1:2" x14ac:dyDescent="0.35">
      <c r="A611" t="s">
        <v>4556</v>
      </c>
      <c r="B611" t="s">
        <v>159</v>
      </c>
    </row>
    <row r="612" spans="1:2" x14ac:dyDescent="0.35">
      <c r="A612" t="s">
        <v>4557</v>
      </c>
      <c r="B612" t="s">
        <v>2947</v>
      </c>
    </row>
    <row r="613" spans="1:2" x14ac:dyDescent="0.35">
      <c r="A613" t="s">
        <v>4558</v>
      </c>
      <c r="B613" t="s">
        <v>976</v>
      </c>
    </row>
    <row r="614" spans="1:2" x14ac:dyDescent="0.35">
      <c r="A614" t="s">
        <v>4559</v>
      </c>
      <c r="B614" t="s">
        <v>791</v>
      </c>
    </row>
    <row r="615" spans="1:2" x14ac:dyDescent="0.35">
      <c r="A615" t="s">
        <v>4560</v>
      </c>
      <c r="B615" t="s">
        <v>3079</v>
      </c>
    </row>
    <row r="616" spans="1:2" x14ac:dyDescent="0.35">
      <c r="A616" t="s">
        <v>4561</v>
      </c>
      <c r="B616" t="s">
        <v>3792</v>
      </c>
    </row>
    <row r="617" spans="1:2" x14ac:dyDescent="0.35">
      <c r="A617" t="s">
        <v>4562</v>
      </c>
      <c r="B617" t="s">
        <v>837</v>
      </c>
    </row>
    <row r="618" spans="1:2" x14ac:dyDescent="0.35">
      <c r="A618" t="s">
        <v>4563</v>
      </c>
      <c r="B618" t="s">
        <v>554</v>
      </c>
    </row>
    <row r="619" spans="1:2" x14ac:dyDescent="0.35">
      <c r="A619" t="s">
        <v>4564</v>
      </c>
      <c r="B619" t="s">
        <v>855</v>
      </c>
    </row>
    <row r="620" spans="1:2" x14ac:dyDescent="0.35">
      <c r="A620" t="s">
        <v>4565</v>
      </c>
      <c r="B620" t="s">
        <v>2729</v>
      </c>
    </row>
    <row r="621" spans="1:2" x14ac:dyDescent="0.35">
      <c r="A621" t="s">
        <v>4566</v>
      </c>
      <c r="B621" t="s">
        <v>1757</v>
      </c>
    </row>
    <row r="622" spans="1:2" x14ac:dyDescent="0.35">
      <c r="A622" t="s">
        <v>4567</v>
      </c>
      <c r="B622" t="s">
        <v>2052</v>
      </c>
    </row>
    <row r="623" spans="1:2" x14ac:dyDescent="0.35">
      <c r="A623" t="s">
        <v>4568</v>
      </c>
      <c r="B623" t="s">
        <v>168</v>
      </c>
    </row>
    <row r="624" spans="1:2" x14ac:dyDescent="0.35">
      <c r="A624" t="s">
        <v>4569</v>
      </c>
      <c r="B624" t="s">
        <v>3567</v>
      </c>
    </row>
    <row r="625" spans="1:2" x14ac:dyDescent="0.35">
      <c r="A625" t="s">
        <v>4570</v>
      </c>
      <c r="B625" t="s">
        <v>2464</v>
      </c>
    </row>
    <row r="626" spans="1:2" x14ac:dyDescent="0.35">
      <c r="A626" t="s">
        <v>4571</v>
      </c>
      <c r="B626" t="s">
        <v>2852</v>
      </c>
    </row>
    <row r="627" spans="1:2" x14ac:dyDescent="0.35">
      <c r="A627" t="s">
        <v>4572</v>
      </c>
      <c r="B627" t="s">
        <v>4221</v>
      </c>
    </row>
    <row r="628" spans="1:2" x14ac:dyDescent="0.35">
      <c r="A628" t="s">
        <v>4573</v>
      </c>
      <c r="B628" t="s">
        <v>3391</v>
      </c>
    </row>
    <row r="629" spans="1:2" x14ac:dyDescent="0.35">
      <c r="A629" t="s">
        <v>956</v>
      </c>
      <c r="B629" t="s">
        <v>4246</v>
      </c>
    </row>
    <row r="630" spans="1:2" x14ac:dyDescent="0.35">
      <c r="A630" t="s">
        <v>4574</v>
      </c>
      <c r="B630" t="s">
        <v>4575</v>
      </c>
    </row>
    <row r="631" spans="1:2" x14ac:dyDescent="0.35">
      <c r="A631" t="s">
        <v>4576</v>
      </c>
      <c r="B631" t="s">
        <v>1100</v>
      </c>
    </row>
    <row r="632" spans="1:2" x14ac:dyDescent="0.35">
      <c r="A632" t="s">
        <v>4577</v>
      </c>
      <c r="B632" t="s">
        <v>2135</v>
      </c>
    </row>
    <row r="633" spans="1:2" x14ac:dyDescent="0.35">
      <c r="A633" t="s">
        <v>4578</v>
      </c>
      <c r="B633" t="s">
        <v>87</v>
      </c>
    </row>
    <row r="634" spans="1:2" x14ac:dyDescent="0.35">
      <c r="A634" t="s">
        <v>4579</v>
      </c>
      <c r="B634" t="s">
        <v>1253</v>
      </c>
    </row>
    <row r="635" spans="1:2" x14ac:dyDescent="0.35">
      <c r="A635" t="s">
        <v>4580</v>
      </c>
      <c r="B635" t="s">
        <v>101</v>
      </c>
    </row>
    <row r="636" spans="1:2" x14ac:dyDescent="0.35">
      <c r="A636" t="s">
        <v>965</v>
      </c>
      <c r="B636" t="s">
        <v>4250</v>
      </c>
    </row>
    <row r="637" spans="1:2" x14ac:dyDescent="0.35">
      <c r="A637" t="s">
        <v>1786</v>
      </c>
      <c r="B637" t="s">
        <v>4251</v>
      </c>
    </row>
    <row r="638" spans="1:2" x14ac:dyDescent="0.35">
      <c r="A638" t="s">
        <v>4581</v>
      </c>
      <c r="B638" t="s">
        <v>1881</v>
      </c>
    </row>
    <row r="639" spans="1:2" x14ac:dyDescent="0.35">
      <c r="A639" t="s">
        <v>4582</v>
      </c>
      <c r="B639" t="s">
        <v>1565</v>
      </c>
    </row>
    <row r="640" spans="1:2" x14ac:dyDescent="0.35">
      <c r="A640" t="s">
        <v>4583</v>
      </c>
      <c r="B640" t="s">
        <v>3788</v>
      </c>
    </row>
    <row r="641" spans="1:2" x14ac:dyDescent="0.35">
      <c r="A641" t="s">
        <v>4584</v>
      </c>
      <c r="B641" t="s">
        <v>962</v>
      </c>
    </row>
    <row r="642" spans="1:2" x14ac:dyDescent="0.35">
      <c r="A642" t="s">
        <v>4585</v>
      </c>
      <c r="B642" t="s">
        <v>2894</v>
      </c>
    </row>
    <row r="643" spans="1:2" x14ac:dyDescent="0.35">
      <c r="A643" t="s">
        <v>4586</v>
      </c>
      <c r="B643" t="s">
        <v>355</v>
      </c>
    </row>
    <row r="644" spans="1:2" x14ac:dyDescent="0.35">
      <c r="A644" t="s">
        <v>4587</v>
      </c>
      <c r="B644" t="s">
        <v>3413</v>
      </c>
    </row>
    <row r="645" spans="1:2" x14ac:dyDescent="0.35">
      <c r="A645" t="s">
        <v>4588</v>
      </c>
      <c r="B645" t="s">
        <v>4256</v>
      </c>
    </row>
    <row r="646" spans="1:2" x14ac:dyDescent="0.35">
      <c r="A646" t="s">
        <v>4589</v>
      </c>
      <c r="B646" t="s">
        <v>992</v>
      </c>
    </row>
    <row r="647" spans="1:2" x14ac:dyDescent="0.35">
      <c r="A647" t="s">
        <v>4590</v>
      </c>
      <c r="B647" t="s">
        <v>1502</v>
      </c>
    </row>
    <row r="648" spans="1:2" x14ac:dyDescent="0.35">
      <c r="A648" t="s">
        <v>4591</v>
      </c>
      <c r="B648" t="s">
        <v>1230</v>
      </c>
    </row>
    <row r="649" spans="1:2" x14ac:dyDescent="0.35">
      <c r="A649" t="s">
        <v>4592</v>
      </c>
      <c r="B649" t="s">
        <v>2047</v>
      </c>
    </row>
    <row r="650" spans="1:2" x14ac:dyDescent="0.35">
      <c r="A650" t="s">
        <v>4593</v>
      </c>
      <c r="B650" t="s">
        <v>1049</v>
      </c>
    </row>
    <row r="651" spans="1:2" x14ac:dyDescent="0.35">
      <c r="A651" t="s">
        <v>4594</v>
      </c>
      <c r="B651" t="s">
        <v>1166</v>
      </c>
    </row>
    <row r="652" spans="1:2" x14ac:dyDescent="0.35">
      <c r="A652" t="s">
        <v>4595</v>
      </c>
      <c r="B652" t="s">
        <v>3173</v>
      </c>
    </row>
    <row r="653" spans="1:2" x14ac:dyDescent="0.35">
      <c r="A653" t="s">
        <v>4596</v>
      </c>
      <c r="B653" t="s">
        <v>1861</v>
      </c>
    </row>
    <row r="654" spans="1:2" x14ac:dyDescent="0.35">
      <c r="A654" t="s">
        <v>4597</v>
      </c>
      <c r="B654" t="s">
        <v>4598</v>
      </c>
    </row>
    <row r="655" spans="1:2" x14ac:dyDescent="0.35">
      <c r="A655" t="s">
        <v>4599</v>
      </c>
      <c r="B655" t="s">
        <v>3214</v>
      </c>
    </row>
    <row r="656" spans="1:2" x14ac:dyDescent="0.35">
      <c r="A656" t="s">
        <v>4600</v>
      </c>
      <c r="B656" t="s">
        <v>3089</v>
      </c>
    </row>
    <row r="657" spans="1:2" x14ac:dyDescent="0.35">
      <c r="A657" t="s">
        <v>4601</v>
      </c>
      <c r="B657" t="s">
        <v>1073</v>
      </c>
    </row>
    <row r="658" spans="1:2" x14ac:dyDescent="0.35">
      <c r="A658" t="s">
        <v>4602</v>
      </c>
      <c r="B658" t="s">
        <v>446</v>
      </c>
    </row>
    <row r="659" spans="1:2" x14ac:dyDescent="0.35">
      <c r="A659" t="s">
        <v>4603</v>
      </c>
      <c r="B659" t="s">
        <v>4165</v>
      </c>
    </row>
    <row r="660" spans="1:2" x14ac:dyDescent="0.35">
      <c r="A660" t="s">
        <v>4604</v>
      </c>
      <c r="B660" t="s">
        <v>1079</v>
      </c>
    </row>
    <row r="661" spans="1:2" x14ac:dyDescent="0.35">
      <c r="A661" t="s">
        <v>4605</v>
      </c>
      <c r="B661" t="s">
        <v>1203</v>
      </c>
    </row>
    <row r="662" spans="1:2" x14ac:dyDescent="0.35">
      <c r="A662" t="s">
        <v>4606</v>
      </c>
      <c r="B662" t="s">
        <v>1232</v>
      </c>
    </row>
    <row r="663" spans="1:2" x14ac:dyDescent="0.35">
      <c r="A663" t="s">
        <v>4607</v>
      </c>
      <c r="B663" t="s">
        <v>4169</v>
      </c>
    </row>
    <row r="664" spans="1:2" x14ac:dyDescent="0.35">
      <c r="A664" t="s">
        <v>4608</v>
      </c>
      <c r="B664" t="s">
        <v>1490</v>
      </c>
    </row>
    <row r="665" spans="1:2" x14ac:dyDescent="0.35">
      <c r="A665" t="s">
        <v>4609</v>
      </c>
      <c r="B665" t="s">
        <v>1679</v>
      </c>
    </row>
    <row r="666" spans="1:2" x14ac:dyDescent="0.35">
      <c r="A666" t="s">
        <v>4610</v>
      </c>
      <c r="B666" t="s">
        <v>1681</v>
      </c>
    </row>
    <row r="667" spans="1:2" x14ac:dyDescent="0.35">
      <c r="A667" t="s">
        <v>4611</v>
      </c>
      <c r="B667" t="s">
        <v>2952</v>
      </c>
    </row>
    <row r="668" spans="1:2" x14ac:dyDescent="0.35">
      <c r="A668" t="s">
        <v>4612</v>
      </c>
      <c r="B668" t="s">
        <v>3001</v>
      </c>
    </row>
    <row r="669" spans="1:2" x14ac:dyDescent="0.35">
      <c r="A669" t="s">
        <v>4613</v>
      </c>
      <c r="B669" t="s">
        <v>3682</v>
      </c>
    </row>
    <row r="670" spans="1:2" x14ac:dyDescent="0.35">
      <c r="A670" t="s">
        <v>4614</v>
      </c>
      <c r="B670" t="s">
        <v>3807</v>
      </c>
    </row>
    <row r="671" spans="1:2" x14ac:dyDescent="0.35">
      <c r="A671" t="s">
        <v>4615</v>
      </c>
      <c r="B671" t="s">
        <v>1121</v>
      </c>
    </row>
    <row r="672" spans="1:2" x14ac:dyDescent="0.35">
      <c r="A672" t="s">
        <v>4616</v>
      </c>
      <c r="B672" t="s">
        <v>2924</v>
      </c>
    </row>
    <row r="673" spans="1:2" x14ac:dyDescent="0.35">
      <c r="A673" t="s">
        <v>4617</v>
      </c>
      <c r="B673" t="s">
        <v>3536</v>
      </c>
    </row>
    <row r="674" spans="1:2" x14ac:dyDescent="0.35">
      <c r="A674" t="s">
        <v>4618</v>
      </c>
      <c r="B674" t="s">
        <v>2400</v>
      </c>
    </row>
    <row r="675" spans="1:2" x14ac:dyDescent="0.35">
      <c r="A675" t="s">
        <v>4619</v>
      </c>
      <c r="B675" t="s">
        <v>859</v>
      </c>
    </row>
    <row r="676" spans="1:2" x14ac:dyDescent="0.35">
      <c r="A676" t="s">
        <v>687</v>
      </c>
      <c r="B676" t="s">
        <v>682</v>
      </c>
    </row>
    <row r="677" spans="1:2" x14ac:dyDescent="0.35">
      <c r="A677" t="s">
        <v>4620</v>
      </c>
      <c r="B677" t="s">
        <v>940</v>
      </c>
    </row>
    <row r="678" spans="1:2" x14ac:dyDescent="0.35">
      <c r="A678" t="s">
        <v>4621</v>
      </c>
      <c r="B678" t="s">
        <v>3913</v>
      </c>
    </row>
    <row r="679" spans="1:2" x14ac:dyDescent="0.35">
      <c r="A679" t="s">
        <v>4622</v>
      </c>
      <c r="B679" t="s">
        <v>309</v>
      </c>
    </row>
    <row r="680" spans="1:2" x14ac:dyDescent="0.35">
      <c r="A680" t="s">
        <v>4623</v>
      </c>
      <c r="B680" t="s">
        <v>3915</v>
      </c>
    </row>
    <row r="681" spans="1:2" x14ac:dyDescent="0.35">
      <c r="A681" t="s">
        <v>4624</v>
      </c>
      <c r="B681" t="s">
        <v>1123</v>
      </c>
    </row>
    <row r="682" spans="1:2" x14ac:dyDescent="0.35">
      <c r="A682" t="s">
        <v>1185</v>
      </c>
      <c r="B682" t="s">
        <v>1184</v>
      </c>
    </row>
    <row r="683" spans="1:2" x14ac:dyDescent="0.35">
      <c r="A683" t="s">
        <v>4625</v>
      </c>
      <c r="B683" t="s">
        <v>3994</v>
      </c>
    </row>
    <row r="684" spans="1:2" x14ac:dyDescent="0.35">
      <c r="A684" t="s">
        <v>4626</v>
      </c>
      <c r="B684" t="s">
        <v>3183</v>
      </c>
    </row>
    <row r="685" spans="1:2" x14ac:dyDescent="0.35">
      <c r="A685" t="s">
        <v>4627</v>
      </c>
      <c r="B685" t="s">
        <v>3226</v>
      </c>
    </row>
    <row r="686" spans="1:2" x14ac:dyDescent="0.35">
      <c r="A686" t="s">
        <v>4628</v>
      </c>
      <c r="B686" t="s">
        <v>793</v>
      </c>
    </row>
    <row r="687" spans="1:2" x14ac:dyDescent="0.35">
      <c r="A687" t="s">
        <v>4629</v>
      </c>
      <c r="B687" t="s">
        <v>3672</v>
      </c>
    </row>
    <row r="688" spans="1:2" x14ac:dyDescent="0.35">
      <c r="A688" t="s">
        <v>4630</v>
      </c>
      <c r="B688" t="s">
        <v>3986</v>
      </c>
    </row>
    <row r="689" spans="1:2" x14ac:dyDescent="0.35">
      <c r="A689" t="s">
        <v>4631</v>
      </c>
      <c r="B689" t="s">
        <v>2161</v>
      </c>
    </row>
    <row r="690" spans="1:2" x14ac:dyDescent="0.35">
      <c r="A690" t="s">
        <v>4632</v>
      </c>
      <c r="B690" t="s">
        <v>3981</v>
      </c>
    </row>
    <row r="691" spans="1:2" x14ac:dyDescent="0.35">
      <c r="A691" t="s">
        <v>4633</v>
      </c>
      <c r="B691" t="s">
        <v>1105</v>
      </c>
    </row>
    <row r="692" spans="1:2" x14ac:dyDescent="0.35">
      <c r="A692" t="s">
        <v>4634</v>
      </c>
      <c r="B692" t="s">
        <v>1182</v>
      </c>
    </row>
    <row r="693" spans="1:2" x14ac:dyDescent="0.35">
      <c r="A693" t="s">
        <v>4635</v>
      </c>
      <c r="B693" t="s">
        <v>1168</v>
      </c>
    </row>
    <row r="694" spans="1:2" x14ac:dyDescent="0.35">
      <c r="A694" t="s">
        <v>4636</v>
      </c>
      <c r="B694" t="s">
        <v>157</v>
      </c>
    </row>
    <row r="695" spans="1:2" x14ac:dyDescent="0.35">
      <c r="A695" t="s">
        <v>4637</v>
      </c>
      <c r="B695" t="s">
        <v>2780</v>
      </c>
    </row>
    <row r="696" spans="1:2" x14ac:dyDescent="0.35">
      <c r="A696" t="s">
        <v>4638</v>
      </c>
      <c r="B696" t="s">
        <v>3181</v>
      </c>
    </row>
    <row r="697" spans="1:2" x14ac:dyDescent="0.35">
      <c r="A697" t="s">
        <v>4639</v>
      </c>
      <c r="B697" t="s">
        <v>4640</v>
      </c>
    </row>
    <row r="698" spans="1:2" x14ac:dyDescent="0.35">
      <c r="A698" t="s">
        <v>4641</v>
      </c>
      <c r="B698" t="s">
        <v>1817</v>
      </c>
    </row>
    <row r="699" spans="1:2" x14ac:dyDescent="0.35">
      <c r="A699" t="s">
        <v>4642</v>
      </c>
      <c r="B699" t="s">
        <v>603</v>
      </c>
    </row>
    <row r="700" spans="1:2" x14ac:dyDescent="0.35">
      <c r="A700" t="s">
        <v>4643</v>
      </c>
      <c r="B700" t="s">
        <v>314</v>
      </c>
    </row>
    <row r="701" spans="1:2" x14ac:dyDescent="0.35">
      <c r="A701" t="s">
        <v>4644</v>
      </c>
      <c r="B701" t="s">
        <v>2098</v>
      </c>
    </row>
    <row r="702" spans="1:2" x14ac:dyDescent="0.35">
      <c r="A702" t="s">
        <v>4645</v>
      </c>
      <c r="B702" t="s">
        <v>516</v>
      </c>
    </row>
    <row r="703" spans="1:2" x14ac:dyDescent="0.35">
      <c r="A703" t="s">
        <v>4646</v>
      </c>
      <c r="B703" t="s">
        <v>3909</v>
      </c>
    </row>
    <row r="704" spans="1:2" x14ac:dyDescent="0.35">
      <c r="A704" t="s">
        <v>4647</v>
      </c>
      <c r="B704" t="s">
        <v>1198</v>
      </c>
    </row>
    <row r="705" spans="1:2" x14ac:dyDescent="0.35">
      <c r="A705" t="s">
        <v>4648</v>
      </c>
      <c r="B705" t="s">
        <v>3654</v>
      </c>
    </row>
    <row r="706" spans="1:2" x14ac:dyDescent="0.35">
      <c r="A706" t="s">
        <v>4649</v>
      </c>
      <c r="B706" t="s">
        <v>4650</v>
      </c>
    </row>
    <row r="707" spans="1:2" x14ac:dyDescent="0.35">
      <c r="A707" t="s">
        <v>4651</v>
      </c>
      <c r="B707" t="s">
        <v>1442</v>
      </c>
    </row>
    <row r="708" spans="1:2" x14ac:dyDescent="0.35">
      <c r="A708" t="s">
        <v>4652</v>
      </c>
      <c r="B708" t="s">
        <v>4653</v>
      </c>
    </row>
    <row r="709" spans="1:2" x14ac:dyDescent="0.35">
      <c r="A709" t="s">
        <v>4654</v>
      </c>
      <c r="B709" t="s">
        <v>2414</v>
      </c>
    </row>
    <row r="710" spans="1:2" x14ac:dyDescent="0.35">
      <c r="A710" t="s">
        <v>4655</v>
      </c>
      <c r="B710" t="s">
        <v>4656</v>
      </c>
    </row>
    <row r="711" spans="1:2" x14ac:dyDescent="0.35">
      <c r="A711" t="s">
        <v>4657</v>
      </c>
      <c r="B711" t="s">
        <v>40</v>
      </c>
    </row>
    <row r="712" spans="1:2" x14ac:dyDescent="0.35">
      <c r="A712" t="s">
        <v>4658</v>
      </c>
      <c r="B712" t="s">
        <v>742</v>
      </c>
    </row>
    <row r="713" spans="1:2" x14ac:dyDescent="0.35">
      <c r="A713" t="s">
        <v>4659</v>
      </c>
      <c r="B713" t="s">
        <v>1043</v>
      </c>
    </row>
    <row r="714" spans="1:2" x14ac:dyDescent="0.35">
      <c r="A714" t="s">
        <v>4660</v>
      </c>
      <c r="B714" t="s">
        <v>2343</v>
      </c>
    </row>
    <row r="715" spans="1:2" x14ac:dyDescent="0.35">
      <c r="A715" t="s">
        <v>4661</v>
      </c>
      <c r="B715" t="s">
        <v>2352</v>
      </c>
    </row>
    <row r="716" spans="1:2" x14ac:dyDescent="0.35">
      <c r="A716" t="s">
        <v>4662</v>
      </c>
      <c r="B716" t="s">
        <v>3328</v>
      </c>
    </row>
    <row r="717" spans="1:2" x14ac:dyDescent="0.35">
      <c r="A717" t="s">
        <v>4663</v>
      </c>
      <c r="B717" t="s">
        <v>3332</v>
      </c>
    </row>
    <row r="718" spans="1:2" x14ac:dyDescent="0.35">
      <c r="A718" t="s">
        <v>4664</v>
      </c>
      <c r="B718" t="s">
        <v>1244</v>
      </c>
    </row>
    <row r="719" spans="1:2" x14ac:dyDescent="0.35">
      <c r="A719" t="s">
        <v>4665</v>
      </c>
      <c r="B719" t="s">
        <v>2082</v>
      </c>
    </row>
    <row r="720" spans="1:2" x14ac:dyDescent="0.35">
      <c r="A720" t="s">
        <v>4666</v>
      </c>
      <c r="B720" t="s">
        <v>1312</v>
      </c>
    </row>
    <row r="721" spans="1:2" x14ac:dyDescent="0.35">
      <c r="A721" t="s">
        <v>4667</v>
      </c>
      <c r="B721" t="s">
        <v>4668</v>
      </c>
    </row>
    <row r="722" spans="1:2" x14ac:dyDescent="0.35">
      <c r="A722" t="s">
        <v>4669</v>
      </c>
      <c r="B722" t="s">
        <v>3740</v>
      </c>
    </row>
    <row r="723" spans="1:2" x14ac:dyDescent="0.35">
      <c r="A723" t="s">
        <v>4670</v>
      </c>
      <c r="B723" t="s">
        <v>38</v>
      </c>
    </row>
    <row r="724" spans="1:2" x14ac:dyDescent="0.35">
      <c r="A724" t="s">
        <v>4671</v>
      </c>
      <c r="B724" t="s">
        <v>1307</v>
      </c>
    </row>
    <row r="725" spans="1:2" x14ac:dyDescent="0.35">
      <c r="A725" t="s">
        <v>4672</v>
      </c>
      <c r="B725" t="s">
        <v>3427</v>
      </c>
    </row>
    <row r="726" spans="1:2" x14ac:dyDescent="0.35">
      <c r="A726" t="s">
        <v>4673</v>
      </c>
      <c r="B726" t="s">
        <v>1349</v>
      </c>
    </row>
    <row r="727" spans="1:2" x14ac:dyDescent="0.35">
      <c r="A727" t="s">
        <v>4674</v>
      </c>
      <c r="B727" t="s">
        <v>1728</v>
      </c>
    </row>
    <row r="728" spans="1:2" x14ac:dyDescent="0.35">
      <c r="A728" t="s">
        <v>4675</v>
      </c>
      <c r="B728" t="s">
        <v>4676</v>
      </c>
    </row>
    <row r="729" spans="1:2" x14ac:dyDescent="0.35">
      <c r="A729" t="s">
        <v>4677</v>
      </c>
      <c r="B729" t="s">
        <v>4678</v>
      </c>
    </row>
    <row r="730" spans="1:2" x14ac:dyDescent="0.35">
      <c r="A730" t="s">
        <v>4679</v>
      </c>
      <c r="B730" t="s">
        <v>215</v>
      </c>
    </row>
    <row r="731" spans="1:2" x14ac:dyDescent="0.35">
      <c r="A731" t="s">
        <v>4680</v>
      </c>
      <c r="B731" t="s">
        <v>3558</v>
      </c>
    </row>
    <row r="732" spans="1:2" x14ac:dyDescent="0.35">
      <c r="A732" t="s">
        <v>4681</v>
      </c>
      <c r="B732" t="s">
        <v>320</v>
      </c>
    </row>
    <row r="733" spans="1:2" x14ac:dyDescent="0.35">
      <c r="A733" t="s">
        <v>4682</v>
      </c>
      <c r="B733" t="s">
        <v>4683</v>
      </c>
    </row>
    <row r="734" spans="1:2" x14ac:dyDescent="0.35">
      <c r="A734" t="s">
        <v>4684</v>
      </c>
      <c r="B734" t="s">
        <v>3861</v>
      </c>
    </row>
    <row r="735" spans="1:2" x14ac:dyDescent="0.35">
      <c r="A735" t="s">
        <v>4685</v>
      </c>
      <c r="B735" t="s">
        <v>631</v>
      </c>
    </row>
    <row r="736" spans="1:2" x14ac:dyDescent="0.35">
      <c r="A736" t="s">
        <v>4686</v>
      </c>
      <c r="B736" t="s">
        <v>1075</v>
      </c>
    </row>
    <row r="737" spans="1:2" x14ac:dyDescent="0.35">
      <c r="A737" t="s">
        <v>4687</v>
      </c>
      <c r="B737" t="s">
        <v>839</v>
      </c>
    </row>
    <row r="738" spans="1:2" x14ac:dyDescent="0.35">
      <c r="A738" t="s">
        <v>4688</v>
      </c>
      <c r="B738" t="s">
        <v>2202</v>
      </c>
    </row>
    <row r="739" spans="1:2" x14ac:dyDescent="0.35">
      <c r="A739" t="s">
        <v>4689</v>
      </c>
      <c r="B739" t="s">
        <v>2352</v>
      </c>
    </row>
    <row r="740" spans="1:2" x14ac:dyDescent="0.35">
      <c r="A740" t="s">
        <v>4690</v>
      </c>
      <c r="B740" t="s">
        <v>258</v>
      </c>
    </row>
    <row r="741" spans="1:2" x14ac:dyDescent="0.35">
      <c r="A741" t="s">
        <v>4691</v>
      </c>
      <c r="B741" t="s">
        <v>633</v>
      </c>
    </row>
    <row r="742" spans="1:2" x14ac:dyDescent="0.35">
      <c r="A742" t="s">
        <v>4692</v>
      </c>
      <c r="B742" t="s">
        <v>911</v>
      </c>
    </row>
    <row r="743" spans="1:2" x14ac:dyDescent="0.35">
      <c r="A743" t="s">
        <v>4693</v>
      </c>
      <c r="B743" t="s">
        <v>4694</v>
      </c>
    </row>
    <row r="744" spans="1:2" x14ac:dyDescent="0.35">
      <c r="A744" t="s">
        <v>4695</v>
      </c>
      <c r="B744" t="s">
        <v>1164</v>
      </c>
    </row>
    <row r="745" spans="1:2" x14ac:dyDescent="0.35">
      <c r="A745" t="s">
        <v>4696</v>
      </c>
      <c r="B745" t="s">
        <v>1375</v>
      </c>
    </row>
    <row r="746" spans="1:2" x14ac:dyDescent="0.35">
      <c r="A746" t="s">
        <v>4697</v>
      </c>
      <c r="B746" t="s">
        <v>1730</v>
      </c>
    </row>
    <row r="747" spans="1:2" x14ac:dyDescent="0.35">
      <c r="A747" t="s">
        <v>4698</v>
      </c>
      <c r="B747" t="s">
        <v>1819</v>
      </c>
    </row>
    <row r="748" spans="1:2" x14ac:dyDescent="0.35">
      <c r="A748" t="s">
        <v>4699</v>
      </c>
      <c r="B748" t="s">
        <v>1821</v>
      </c>
    </row>
    <row r="749" spans="1:2" x14ac:dyDescent="0.35">
      <c r="A749" t="s">
        <v>4700</v>
      </c>
      <c r="B749" t="s">
        <v>1823</v>
      </c>
    </row>
    <row r="750" spans="1:2" x14ac:dyDescent="0.35">
      <c r="A750" t="s">
        <v>4701</v>
      </c>
      <c r="B750" t="s">
        <v>2933</v>
      </c>
    </row>
    <row r="751" spans="1:2" x14ac:dyDescent="0.35">
      <c r="A751" t="s">
        <v>4702</v>
      </c>
      <c r="B751" t="s">
        <v>3089</v>
      </c>
    </row>
    <row r="752" spans="1:2" x14ac:dyDescent="0.35">
      <c r="A752" t="s">
        <v>4703</v>
      </c>
      <c r="B752" t="s">
        <v>3374</v>
      </c>
    </row>
    <row r="753" spans="1:2" x14ac:dyDescent="0.35">
      <c r="A753" t="s">
        <v>4704</v>
      </c>
      <c r="B753" t="s">
        <v>3376</v>
      </c>
    </row>
    <row r="754" spans="1:2" x14ac:dyDescent="0.35">
      <c r="A754" t="s">
        <v>4705</v>
      </c>
      <c r="B754" t="s">
        <v>596</v>
      </c>
    </row>
    <row r="755" spans="1:2" x14ac:dyDescent="0.35">
      <c r="A755" t="s">
        <v>4706</v>
      </c>
      <c r="B755" t="s">
        <v>2487</v>
      </c>
    </row>
    <row r="756" spans="1:2" x14ac:dyDescent="0.35">
      <c r="A756" t="s">
        <v>4707</v>
      </c>
      <c r="B756" t="s">
        <v>1448</v>
      </c>
    </row>
    <row r="757" spans="1:2" x14ac:dyDescent="0.35">
      <c r="A757" t="s">
        <v>4708</v>
      </c>
      <c r="B757" t="s">
        <v>3866</v>
      </c>
    </row>
    <row r="758" spans="1:2" x14ac:dyDescent="0.35">
      <c r="A758" t="s">
        <v>4709</v>
      </c>
      <c r="B758" t="s">
        <v>1444</v>
      </c>
    </row>
    <row r="759" spans="1:2" x14ac:dyDescent="0.35">
      <c r="A759" t="s">
        <v>4710</v>
      </c>
      <c r="B759" t="s">
        <v>839</v>
      </c>
    </row>
    <row r="760" spans="1:2" x14ac:dyDescent="0.35">
      <c r="A760" t="s">
        <v>4711</v>
      </c>
      <c r="B760" t="s">
        <v>1213</v>
      </c>
    </row>
    <row r="761" spans="1:2" x14ac:dyDescent="0.35">
      <c r="A761" t="s">
        <v>4712</v>
      </c>
      <c r="B761" t="s">
        <v>4713</v>
      </c>
    </row>
    <row r="762" spans="1:2" x14ac:dyDescent="0.35">
      <c r="A762" t="s">
        <v>4714</v>
      </c>
      <c r="B762" t="s">
        <v>1749</v>
      </c>
    </row>
    <row r="763" spans="1:2" x14ac:dyDescent="0.35">
      <c r="A763" t="s">
        <v>4715</v>
      </c>
      <c r="B763" t="s">
        <v>1512</v>
      </c>
    </row>
    <row r="764" spans="1:2" x14ac:dyDescent="0.35">
      <c r="A764" t="s">
        <v>4716</v>
      </c>
      <c r="B764" t="s">
        <v>800</v>
      </c>
    </row>
    <row r="765" spans="1:2" x14ac:dyDescent="0.35">
      <c r="A765" t="s">
        <v>4717</v>
      </c>
      <c r="B765" t="s">
        <v>1077</v>
      </c>
    </row>
    <row r="766" spans="1:2" x14ac:dyDescent="0.35">
      <c r="A766" t="s">
        <v>4718</v>
      </c>
      <c r="B766" t="s">
        <v>181</v>
      </c>
    </row>
    <row r="767" spans="1:2" x14ac:dyDescent="0.35">
      <c r="A767" t="s">
        <v>4719</v>
      </c>
      <c r="B767" t="s">
        <v>412</v>
      </c>
    </row>
    <row r="768" spans="1:2" x14ac:dyDescent="0.35">
      <c r="A768" t="s">
        <v>4720</v>
      </c>
      <c r="B768" t="s">
        <v>4721</v>
      </c>
    </row>
    <row r="769" spans="1:2" x14ac:dyDescent="0.35">
      <c r="A769" t="s">
        <v>4722</v>
      </c>
      <c r="B769" t="s">
        <v>1522</v>
      </c>
    </row>
    <row r="770" spans="1:2" x14ac:dyDescent="0.35">
      <c r="A770" t="s">
        <v>4723</v>
      </c>
      <c r="B770" t="s">
        <v>1813</v>
      </c>
    </row>
    <row r="771" spans="1:2" x14ac:dyDescent="0.35">
      <c r="A771" t="s">
        <v>4724</v>
      </c>
      <c r="B771" t="s">
        <v>2577</v>
      </c>
    </row>
    <row r="772" spans="1:2" x14ac:dyDescent="0.35">
      <c r="A772" t="s">
        <v>4725</v>
      </c>
      <c r="B772" t="s">
        <v>1546</v>
      </c>
    </row>
    <row r="773" spans="1:2" x14ac:dyDescent="0.35">
      <c r="A773" t="s">
        <v>4726</v>
      </c>
      <c r="B773" t="s">
        <v>3193</v>
      </c>
    </row>
    <row r="774" spans="1:2" x14ac:dyDescent="0.35">
      <c r="A774" t="s">
        <v>4727</v>
      </c>
      <c r="B774" t="s">
        <v>750</v>
      </c>
    </row>
    <row r="775" spans="1:2" x14ac:dyDescent="0.35">
      <c r="A775" t="s">
        <v>4728</v>
      </c>
      <c r="B775" t="s">
        <v>1551</v>
      </c>
    </row>
    <row r="776" spans="1:2" x14ac:dyDescent="0.35">
      <c r="A776" t="s">
        <v>4729</v>
      </c>
      <c r="B776" t="s">
        <v>4730</v>
      </c>
    </row>
    <row r="777" spans="1:2" x14ac:dyDescent="0.35">
      <c r="A777" t="s">
        <v>4731</v>
      </c>
      <c r="B777" t="s">
        <v>923</v>
      </c>
    </row>
    <row r="778" spans="1:2" x14ac:dyDescent="0.35">
      <c r="A778" t="s">
        <v>4732</v>
      </c>
      <c r="B778" t="s">
        <v>222</v>
      </c>
    </row>
    <row r="779" spans="1:2" x14ac:dyDescent="0.35">
      <c r="A779" t="s">
        <v>4733</v>
      </c>
      <c r="B779" t="s">
        <v>1554</v>
      </c>
    </row>
    <row r="780" spans="1:2" x14ac:dyDescent="0.35">
      <c r="A780" t="s">
        <v>1192</v>
      </c>
      <c r="B780" t="s">
        <v>1193</v>
      </c>
    </row>
    <row r="781" spans="1:2" x14ac:dyDescent="0.35">
      <c r="A781" t="s">
        <v>4734</v>
      </c>
      <c r="B781" t="s">
        <v>1569</v>
      </c>
    </row>
    <row r="782" spans="1:2" x14ac:dyDescent="0.35">
      <c r="A782" t="s">
        <v>4735</v>
      </c>
      <c r="B782" t="s">
        <v>1602</v>
      </c>
    </row>
    <row r="783" spans="1:2" x14ac:dyDescent="0.35">
      <c r="A783" t="s">
        <v>4736</v>
      </c>
      <c r="B783" t="s">
        <v>3167</v>
      </c>
    </row>
    <row r="784" spans="1:2" x14ac:dyDescent="0.35">
      <c r="A784" t="s">
        <v>4737</v>
      </c>
      <c r="B784" t="s">
        <v>1439</v>
      </c>
    </row>
    <row r="785" spans="1:2" x14ac:dyDescent="0.35">
      <c r="A785" t="s">
        <v>4738</v>
      </c>
      <c r="B785" t="s">
        <v>1256</v>
      </c>
    </row>
    <row r="786" spans="1:2" x14ac:dyDescent="0.35">
      <c r="A786" t="s">
        <v>4739</v>
      </c>
      <c r="B786" t="s">
        <v>1036</v>
      </c>
    </row>
    <row r="787" spans="1:2" x14ac:dyDescent="0.35">
      <c r="A787" t="s">
        <v>4740</v>
      </c>
      <c r="B787" t="s">
        <v>1722</v>
      </c>
    </row>
    <row r="788" spans="1:2" x14ac:dyDescent="0.35">
      <c r="A788" t="s">
        <v>4741</v>
      </c>
      <c r="B788" t="s">
        <v>2398</v>
      </c>
    </row>
    <row r="789" spans="1:2" x14ac:dyDescent="0.35">
      <c r="A789" t="s">
        <v>4742</v>
      </c>
      <c r="B789" t="s">
        <v>1428</v>
      </c>
    </row>
    <row r="790" spans="1:2" x14ac:dyDescent="0.35">
      <c r="A790" t="s">
        <v>4743</v>
      </c>
      <c r="B790" t="s">
        <v>1691</v>
      </c>
    </row>
    <row r="791" spans="1:2" x14ac:dyDescent="0.35">
      <c r="A791" t="s">
        <v>4744</v>
      </c>
      <c r="B791" t="s">
        <v>1280</v>
      </c>
    </row>
    <row r="792" spans="1:2" x14ac:dyDescent="0.35">
      <c r="A792" t="s">
        <v>4745</v>
      </c>
      <c r="B792" t="s">
        <v>2052</v>
      </c>
    </row>
    <row r="793" spans="1:2" x14ac:dyDescent="0.35">
      <c r="A793" t="s">
        <v>4746</v>
      </c>
      <c r="B793" t="s">
        <v>542</v>
      </c>
    </row>
    <row r="794" spans="1:2" x14ac:dyDescent="0.35">
      <c r="A794" t="s">
        <v>4747</v>
      </c>
      <c r="B794" t="s">
        <v>1554</v>
      </c>
    </row>
    <row r="795" spans="1:2" x14ac:dyDescent="0.35">
      <c r="A795" t="s">
        <v>4748</v>
      </c>
      <c r="B795" t="s">
        <v>1757</v>
      </c>
    </row>
    <row r="796" spans="1:2" x14ac:dyDescent="0.35">
      <c r="A796" t="s">
        <v>4749</v>
      </c>
      <c r="B796" t="s">
        <v>4222</v>
      </c>
    </row>
    <row r="797" spans="1:2" x14ac:dyDescent="0.35">
      <c r="A797" t="s">
        <v>4750</v>
      </c>
      <c r="B797" t="s">
        <v>3008</v>
      </c>
    </row>
    <row r="798" spans="1:2" x14ac:dyDescent="0.35">
      <c r="A798" t="s">
        <v>2980</v>
      </c>
      <c r="B798" t="s">
        <v>4751</v>
      </c>
    </row>
    <row r="799" spans="1:2" x14ac:dyDescent="0.35">
      <c r="A799" t="s">
        <v>4752</v>
      </c>
      <c r="B799" t="s">
        <v>503</v>
      </c>
    </row>
    <row r="800" spans="1:2" x14ac:dyDescent="0.35">
      <c r="A800" t="s">
        <v>4753</v>
      </c>
      <c r="B800" t="s">
        <v>900</v>
      </c>
    </row>
    <row r="801" spans="1:2" x14ac:dyDescent="0.35">
      <c r="A801" t="s">
        <v>4754</v>
      </c>
      <c r="B801" t="s">
        <v>4211</v>
      </c>
    </row>
    <row r="802" spans="1:2" x14ac:dyDescent="0.35">
      <c r="A802" t="s">
        <v>4755</v>
      </c>
      <c r="B802" t="s">
        <v>4756</v>
      </c>
    </row>
    <row r="803" spans="1:2" x14ac:dyDescent="0.35">
      <c r="A803" t="s">
        <v>4757</v>
      </c>
      <c r="B803" t="s">
        <v>1389</v>
      </c>
    </row>
    <row r="804" spans="1:2" x14ac:dyDescent="0.35">
      <c r="A804" t="s">
        <v>4758</v>
      </c>
      <c r="B804" t="s">
        <v>4759</v>
      </c>
    </row>
    <row r="805" spans="1:2" x14ac:dyDescent="0.35">
      <c r="A805" t="s">
        <v>4760</v>
      </c>
      <c r="B805" t="s">
        <v>4761</v>
      </c>
    </row>
    <row r="806" spans="1:2" x14ac:dyDescent="0.35">
      <c r="A806" t="s">
        <v>4762</v>
      </c>
      <c r="B806" t="s">
        <v>1788</v>
      </c>
    </row>
    <row r="807" spans="1:2" x14ac:dyDescent="0.35">
      <c r="A807" t="s">
        <v>4763</v>
      </c>
      <c r="B807" t="s">
        <v>1134</v>
      </c>
    </row>
    <row r="808" spans="1:2" x14ac:dyDescent="0.35">
      <c r="A808" t="s">
        <v>4764</v>
      </c>
      <c r="B808" t="s">
        <v>1902</v>
      </c>
    </row>
    <row r="809" spans="1:2" x14ac:dyDescent="0.35">
      <c r="A809" t="s">
        <v>4765</v>
      </c>
      <c r="B809" t="s">
        <v>1802</v>
      </c>
    </row>
    <row r="810" spans="1:2" x14ac:dyDescent="0.35">
      <c r="A810" t="s">
        <v>4766</v>
      </c>
      <c r="B810" t="s">
        <v>1347</v>
      </c>
    </row>
    <row r="811" spans="1:2" x14ac:dyDescent="0.35">
      <c r="A811" t="s">
        <v>4767</v>
      </c>
      <c r="B811" t="s">
        <v>4390</v>
      </c>
    </row>
    <row r="812" spans="1:2" x14ac:dyDescent="0.35">
      <c r="A812" t="s">
        <v>4768</v>
      </c>
      <c r="B812" t="s">
        <v>1804</v>
      </c>
    </row>
    <row r="813" spans="1:2" x14ac:dyDescent="0.35">
      <c r="A813" t="s">
        <v>4769</v>
      </c>
      <c r="B813" t="s">
        <v>1266</v>
      </c>
    </row>
    <row r="814" spans="1:2" x14ac:dyDescent="0.35">
      <c r="A814" t="s">
        <v>4770</v>
      </c>
      <c r="B814" t="s">
        <v>1827</v>
      </c>
    </row>
    <row r="815" spans="1:2" x14ac:dyDescent="0.35">
      <c r="A815" t="s">
        <v>4771</v>
      </c>
      <c r="B815" t="s">
        <v>1082</v>
      </c>
    </row>
    <row r="816" spans="1:2" x14ac:dyDescent="0.35">
      <c r="A816" t="s">
        <v>4772</v>
      </c>
      <c r="B816" t="s">
        <v>222</v>
      </c>
    </row>
    <row r="817" spans="1:2" x14ac:dyDescent="0.35">
      <c r="A817" t="s">
        <v>4773</v>
      </c>
      <c r="B817" t="s">
        <v>3160</v>
      </c>
    </row>
    <row r="818" spans="1:2" x14ac:dyDescent="0.35">
      <c r="A818" t="s">
        <v>4774</v>
      </c>
      <c r="B818" t="s">
        <v>1738</v>
      </c>
    </row>
    <row r="819" spans="1:2" x14ac:dyDescent="0.35">
      <c r="A819" t="s">
        <v>4775</v>
      </c>
      <c r="B819" t="s">
        <v>735</v>
      </c>
    </row>
    <row r="820" spans="1:2" x14ac:dyDescent="0.35">
      <c r="A820" t="s">
        <v>4776</v>
      </c>
      <c r="B820" t="s">
        <v>1256</v>
      </c>
    </row>
    <row r="821" spans="1:2" x14ac:dyDescent="0.35">
      <c r="A821" t="s">
        <v>4777</v>
      </c>
      <c r="B821" t="s">
        <v>1226</v>
      </c>
    </row>
    <row r="822" spans="1:2" x14ac:dyDescent="0.35">
      <c r="A822" t="s">
        <v>4778</v>
      </c>
      <c r="B822" t="s">
        <v>3091</v>
      </c>
    </row>
    <row r="823" spans="1:2" x14ac:dyDescent="0.35">
      <c r="A823" t="s">
        <v>4779</v>
      </c>
      <c r="B823" t="s">
        <v>3095</v>
      </c>
    </row>
    <row r="824" spans="1:2" x14ac:dyDescent="0.35">
      <c r="A824" t="s">
        <v>4780</v>
      </c>
      <c r="B824" t="s">
        <v>3148</v>
      </c>
    </row>
    <row r="825" spans="1:2" x14ac:dyDescent="0.35">
      <c r="A825" t="s">
        <v>4781</v>
      </c>
      <c r="B825" t="s">
        <v>1857</v>
      </c>
    </row>
    <row r="826" spans="1:2" x14ac:dyDescent="0.35">
      <c r="A826" t="s">
        <v>4782</v>
      </c>
      <c r="B826" t="s">
        <v>4783</v>
      </c>
    </row>
    <row r="827" spans="1:2" x14ac:dyDescent="0.35">
      <c r="A827" t="s">
        <v>4784</v>
      </c>
      <c r="B827" t="s">
        <v>4785</v>
      </c>
    </row>
    <row r="828" spans="1:2" x14ac:dyDescent="0.35">
      <c r="A828" t="s">
        <v>4786</v>
      </c>
      <c r="B828" t="s">
        <v>4787</v>
      </c>
    </row>
    <row r="829" spans="1:2" x14ac:dyDescent="0.35">
      <c r="A829" t="s">
        <v>4788</v>
      </c>
      <c r="B829" t="s">
        <v>244</v>
      </c>
    </row>
    <row r="830" spans="1:2" x14ac:dyDescent="0.35">
      <c r="A830" t="s">
        <v>4789</v>
      </c>
      <c r="B830" t="s">
        <v>4790</v>
      </c>
    </row>
    <row r="831" spans="1:2" x14ac:dyDescent="0.35">
      <c r="A831" t="s">
        <v>4791</v>
      </c>
      <c r="B831" t="s">
        <v>2910</v>
      </c>
    </row>
    <row r="832" spans="1:2" x14ac:dyDescent="0.35">
      <c r="A832" t="s">
        <v>4792</v>
      </c>
      <c r="B832" t="s">
        <v>694</v>
      </c>
    </row>
    <row r="833" spans="1:2" x14ac:dyDescent="0.35">
      <c r="A833" t="s">
        <v>4793</v>
      </c>
      <c r="B833" t="s">
        <v>1316</v>
      </c>
    </row>
    <row r="834" spans="1:2" x14ac:dyDescent="0.35">
      <c r="A834" t="s">
        <v>4794</v>
      </c>
      <c r="B834" t="s">
        <v>1874</v>
      </c>
    </row>
    <row r="835" spans="1:2" x14ac:dyDescent="0.35">
      <c r="A835" t="s">
        <v>4795</v>
      </c>
      <c r="B835" t="s">
        <v>1931</v>
      </c>
    </row>
    <row r="836" spans="1:2" x14ac:dyDescent="0.35">
      <c r="A836" t="s">
        <v>4796</v>
      </c>
      <c r="B836" t="s">
        <v>3732</v>
      </c>
    </row>
    <row r="837" spans="1:2" x14ac:dyDescent="0.35">
      <c r="A837" t="s">
        <v>4797</v>
      </c>
      <c r="B837" t="s">
        <v>3871</v>
      </c>
    </row>
    <row r="838" spans="1:2" x14ac:dyDescent="0.35">
      <c r="A838" t="s">
        <v>4798</v>
      </c>
      <c r="B838" t="s">
        <v>3873</v>
      </c>
    </row>
    <row r="839" spans="1:2" x14ac:dyDescent="0.35">
      <c r="A839" t="s">
        <v>4799</v>
      </c>
      <c r="B839" t="s">
        <v>1662</v>
      </c>
    </row>
    <row r="840" spans="1:2" x14ac:dyDescent="0.35">
      <c r="A840" t="s">
        <v>4800</v>
      </c>
      <c r="B840" t="s">
        <v>1357</v>
      </c>
    </row>
    <row r="841" spans="1:2" x14ac:dyDescent="0.35">
      <c r="A841" t="s">
        <v>4801</v>
      </c>
      <c r="B841" t="s">
        <v>272</v>
      </c>
    </row>
    <row r="842" spans="1:2" x14ac:dyDescent="0.35">
      <c r="A842" t="s">
        <v>409</v>
      </c>
      <c r="B842" t="s">
        <v>493</v>
      </c>
    </row>
    <row r="843" spans="1:2" x14ac:dyDescent="0.35">
      <c r="A843" t="s">
        <v>4802</v>
      </c>
      <c r="B843" t="s">
        <v>4198</v>
      </c>
    </row>
    <row r="844" spans="1:2" x14ac:dyDescent="0.35">
      <c r="A844" t="s">
        <v>4803</v>
      </c>
      <c r="B844" t="s">
        <v>1654</v>
      </c>
    </row>
    <row r="845" spans="1:2" x14ac:dyDescent="0.35">
      <c r="A845" t="s">
        <v>4804</v>
      </c>
      <c r="B845" t="s">
        <v>1384</v>
      </c>
    </row>
    <row r="846" spans="1:2" x14ac:dyDescent="0.35">
      <c r="A846" t="s">
        <v>4805</v>
      </c>
      <c r="B846" t="s">
        <v>1656</v>
      </c>
    </row>
    <row r="847" spans="1:2" x14ac:dyDescent="0.35">
      <c r="A847" t="s">
        <v>4806</v>
      </c>
      <c r="B847" t="s">
        <v>1660</v>
      </c>
    </row>
    <row r="848" spans="1:2" x14ac:dyDescent="0.35">
      <c r="A848" t="s">
        <v>4807</v>
      </c>
      <c r="B848" t="s">
        <v>1835</v>
      </c>
    </row>
    <row r="849" spans="1:2" x14ac:dyDescent="0.35">
      <c r="A849" t="s">
        <v>4808</v>
      </c>
      <c r="B849" t="s">
        <v>1870</v>
      </c>
    </row>
    <row r="850" spans="1:2" x14ac:dyDescent="0.35">
      <c r="A850" t="s">
        <v>4809</v>
      </c>
      <c r="B850" t="s">
        <v>1872</v>
      </c>
    </row>
    <row r="851" spans="1:2" x14ac:dyDescent="0.35">
      <c r="A851" t="s">
        <v>4810</v>
      </c>
      <c r="B851" t="s">
        <v>2225</v>
      </c>
    </row>
    <row r="852" spans="1:2" x14ac:dyDescent="0.35">
      <c r="A852" t="s">
        <v>4811</v>
      </c>
      <c r="B852" t="s">
        <v>2516</v>
      </c>
    </row>
    <row r="853" spans="1:2" x14ac:dyDescent="0.35">
      <c r="A853" t="s">
        <v>4812</v>
      </c>
      <c r="B853" t="s">
        <v>2670</v>
      </c>
    </row>
    <row r="854" spans="1:2" x14ac:dyDescent="0.35">
      <c r="A854" t="s">
        <v>4813</v>
      </c>
      <c r="B854" t="s">
        <v>3167</v>
      </c>
    </row>
    <row r="855" spans="1:2" x14ac:dyDescent="0.35">
      <c r="A855" t="s">
        <v>4814</v>
      </c>
      <c r="B855" t="s">
        <v>3254</v>
      </c>
    </row>
    <row r="856" spans="1:2" x14ac:dyDescent="0.35">
      <c r="A856" t="s">
        <v>4815</v>
      </c>
      <c r="B856" t="s">
        <v>3256</v>
      </c>
    </row>
    <row r="857" spans="1:2" x14ac:dyDescent="0.35">
      <c r="A857" t="s">
        <v>4816</v>
      </c>
      <c r="B857" t="s">
        <v>3258</v>
      </c>
    </row>
    <row r="858" spans="1:2" x14ac:dyDescent="0.35">
      <c r="A858" t="s">
        <v>4817</v>
      </c>
      <c r="B858" t="s">
        <v>3319</v>
      </c>
    </row>
    <row r="859" spans="1:2" x14ac:dyDescent="0.35">
      <c r="A859" t="s">
        <v>4818</v>
      </c>
      <c r="B859" t="s">
        <v>3638</v>
      </c>
    </row>
    <row r="860" spans="1:2" x14ac:dyDescent="0.35">
      <c r="A860" t="s">
        <v>4819</v>
      </c>
      <c r="B860" t="s">
        <v>869</v>
      </c>
    </row>
    <row r="861" spans="1:2" x14ac:dyDescent="0.35">
      <c r="A861" t="s">
        <v>4820</v>
      </c>
      <c r="B861" t="s">
        <v>3618</v>
      </c>
    </row>
    <row r="862" spans="1:2" x14ac:dyDescent="0.35">
      <c r="A862" t="s">
        <v>4821</v>
      </c>
      <c r="B862" t="s">
        <v>186</v>
      </c>
    </row>
    <row r="863" spans="1:2" x14ac:dyDescent="0.35">
      <c r="A863" t="s">
        <v>4822</v>
      </c>
      <c r="B863" t="s">
        <v>505</v>
      </c>
    </row>
    <row r="864" spans="1:2" x14ac:dyDescent="0.35">
      <c r="A864" t="s">
        <v>4823</v>
      </c>
      <c r="B864" t="s">
        <v>1384</v>
      </c>
    </row>
    <row r="865" spans="1:2" x14ac:dyDescent="0.35">
      <c r="A865" t="s">
        <v>4824</v>
      </c>
      <c r="B865" t="s">
        <v>1908</v>
      </c>
    </row>
    <row r="866" spans="1:2" x14ac:dyDescent="0.35">
      <c r="A866" t="s">
        <v>4825</v>
      </c>
      <c r="B866" t="s">
        <v>839</v>
      </c>
    </row>
    <row r="867" spans="1:2" x14ac:dyDescent="0.35">
      <c r="A867" t="s">
        <v>4826</v>
      </c>
      <c r="B867" t="s">
        <v>3665</v>
      </c>
    </row>
    <row r="868" spans="1:2" x14ac:dyDescent="0.35">
      <c r="A868" t="s">
        <v>4827</v>
      </c>
      <c r="B868" t="s">
        <v>3459</v>
      </c>
    </row>
    <row r="869" spans="1:2" x14ac:dyDescent="0.35">
      <c r="A869" t="s">
        <v>4828</v>
      </c>
      <c r="B869" t="s">
        <v>395</v>
      </c>
    </row>
    <row r="870" spans="1:2" x14ac:dyDescent="0.35">
      <c r="A870" t="s">
        <v>4829</v>
      </c>
      <c r="B870" t="s">
        <v>990</v>
      </c>
    </row>
    <row r="871" spans="1:2" x14ac:dyDescent="0.35">
      <c r="A871" t="s">
        <v>4830</v>
      </c>
      <c r="B871" t="s">
        <v>3406</v>
      </c>
    </row>
    <row r="872" spans="1:2" x14ac:dyDescent="0.35">
      <c r="A872" t="s">
        <v>4831</v>
      </c>
      <c r="B872" t="s">
        <v>3457</v>
      </c>
    </row>
    <row r="873" spans="1:2" x14ac:dyDescent="0.35">
      <c r="A873" t="s">
        <v>4832</v>
      </c>
      <c r="B873" t="s">
        <v>3712</v>
      </c>
    </row>
    <row r="874" spans="1:2" x14ac:dyDescent="0.35">
      <c r="A874" t="s">
        <v>4833</v>
      </c>
      <c r="B874" t="s">
        <v>1936</v>
      </c>
    </row>
    <row r="875" spans="1:2" x14ac:dyDescent="0.35">
      <c r="A875" t="s">
        <v>4834</v>
      </c>
      <c r="B875" t="s">
        <v>4835</v>
      </c>
    </row>
    <row r="876" spans="1:2" x14ac:dyDescent="0.35">
      <c r="A876" t="s">
        <v>4836</v>
      </c>
      <c r="B876" t="s">
        <v>4837</v>
      </c>
    </row>
    <row r="877" spans="1:2" x14ac:dyDescent="0.35">
      <c r="A877" t="s">
        <v>4838</v>
      </c>
      <c r="B877" t="s">
        <v>4521</v>
      </c>
    </row>
    <row r="878" spans="1:2" x14ac:dyDescent="0.35">
      <c r="A878" t="s">
        <v>4839</v>
      </c>
      <c r="B878" t="s">
        <v>1970</v>
      </c>
    </row>
    <row r="879" spans="1:2" x14ac:dyDescent="0.35">
      <c r="A879" t="s">
        <v>4840</v>
      </c>
      <c r="B879" t="s">
        <v>4841</v>
      </c>
    </row>
    <row r="880" spans="1:2" x14ac:dyDescent="0.35">
      <c r="A880" t="s">
        <v>4842</v>
      </c>
      <c r="B880" t="s">
        <v>3226</v>
      </c>
    </row>
    <row r="881" spans="1:2" x14ac:dyDescent="0.35">
      <c r="A881" t="s">
        <v>4843</v>
      </c>
      <c r="B881" t="s">
        <v>2181</v>
      </c>
    </row>
    <row r="882" spans="1:2" x14ac:dyDescent="0.35">
      <c r="A882" t="s">
        <v>4844</v>
      </c>
      <c r="B882" t="s">
        <v>3322</v>
      </c>
    </row>
    <row r="883" spans="1:2" x14ac:dyDescent="0.35">
      <c r="A883" t="s">
        <v>4845</v>
      </c>
      <c r="B883" t="s">
        <v>4846</v>
      </c>
    </row>
    <row r="884" spans="1:2" x14ac:dyDescent="0.35">
      <c r="A884" t="s">
        <v>4847</v>
      </c>
      <c r="B884" t="s">
        <v>4848</v>
      </c>
    </row>
    <row r="885" spans="1:2" x14ac:dyDescent="0.35">
      <c r="A885" t="s">
        <v>4849</v>
      </c>
      <c r="B885" t="s">
        <v>4850</v>
      </c>
    </row>
    <row r="886" spans="1:2" x14ac:dyDescent="0.35">
      <c r="A886" t="s">
        <v>4851</v>
      </c>
      <c r="B886" t="s">
        <v>3627</v>
      </c>
    </row>
    <row r="887" spans="1:2" x14ac:dyDescent="0.35">
      <c r="A887" t="s">
        <v>4852</v>
      </c>
      <c r="B887" t="s">
        <v>4221</v>
      </c>
    </row>
    <row r="888" spans="1:2" x14ac:dyDescent="0.35">
      <c r="A888" t="s">
        <v>4853</v>
      </c>
      <c r="B888" t="s">
        <v>1367</v>
      </c>
    </row>
    <row r="889" spans="1:2" x14ac:dyDescent="0.35">
      <c r="A889" t="s">
        <v>4854</v>
      </c>
      <c r="B889" t="s">
        <v>2082</v>
      </c>
    </row>
    <row r="890" spans="1:2" x14ac:dyDescent="0.35">
      <c r="A890" t="s">
        <v>4855</v>
      </c>
      <c r="B890" t="s">
        <v>4856</v>
      </c>
    </row>
    <row r="891" spans="1:2" x14ac:dyDescent="0.35">
      <c r="A891" t="s">
        <v>4857</v>
      </c>
      <c r="B891" t="s">
        <v>4858</v>
      </c>
    </row>
    <row r="892" spans="1:2" x14ac:dyDescent="0.35">
      <c r="A892" t="s">
        <v>4859</v>
      </c>
      <c r="B892" t="s">
        <v>1966</v>
      </c>
    </row>
    <row r="893" spans="1:2" x14ac:dyDescent="0.35">
      <c r="A893" t="s">
        <v>4860</v>
      </c>
      <c r="B893" t="s">
        <v>522</v>
      </c>
    </row>
    <row r="894" spans="1:2" x14ac:dyDescent="0.35">
      <c r="A894" t="s">
        <v>4861</v>
      </c>
      <c r="B894" t="s">
        <v>333</v>
      </c>
    </row>
    <row r="895" spans="1:2" x14ac:dyDescent="0.35">
      <c r="A895" t="s">
        <v>4862</v>
      </c>
      <c r="B895" t="s">
        <v>514</v>
      </c>
    </row>
    <row r="896" spans="1:2" x14ac:dyDescent="0.35">
      <c r="A896" t="s">
        <v>4863</v>
      </c>
      <c r="B896" t="s">
        <v>1982</v>
      </c>
    </row>
    <row r="897" spans="1:2" x14ac:dyDescent="0.35">
      <c r="A897" t="s">
        <v>4864</v>
      </c>
      <c r="B897" t="s">
        <v>425</v>
      </c>
    </row>
    <row r="898" spans="1:2" x14ac:dyDescent="0.35">
      <c r="A898" t="s">
        <v>4865</v>
      </c>
      <c r="B898" t="s">
        <v>4866</v>
      </c>
    </row>
    <row r="899" spans="1:2" x14ac:dyDescent="0.35">
      <c r="A899" t="s">
        <v>4867</v>
      </c>
      <c r="B899" t="s">
        <v>1597</v>
      </c>
    </row>
    <row r="900" spans="1:2" x14ac:dyDescent="0.35">
      <c r="A900" t="s">
        <v>4868</v>
      </c>
      <c r="B900" t="s">
        <v>1980</v>
      </c>
    </row>
    <row r="901" spans="1:2" x14ac:dyDescent="0.35">
      <c r="A901" t="s">
        <v>4869</v>
      </c>
      <c r="B901" t="s">
        <v>1986</v>
      </c>
    </row>
    <row r="902" spans="1:2" x14ac:dyDescent="0.35">
      <c r="A902" t="s">
        <v>4870</v>
      </c>
      <c r="B902" t="s">
        <v>3082</v>
      </c>
    </row>
    <row r="903" spans="1:2" x14ac:dyDescent="0.35">
      <c r="A903" t="s">
        <v>4871</v>
      </c>
      <c r="B903" t="s">
        <v>2641</v>
      </c>
    </row>
    <row r="904" spans="1:2" x14ac:dyDescent="0.35">
      <c r="A904" t="s">
        <v>4872</v>
      </c>
      <c r="B904" t="s">
        <v>2007</v>
      </c>
    </row>
    <row r="905" spans="1:2" x14ac:dyDescent="0.35">
      <c r="A905" t="s">
        <v>4873</v>
      </c>
      <c r="B905" t="s">
        <v>2009</v>
      </c>
    </row>
    <row r="906" spans="1:2" x14ac:dyDescent="0.35">
      <c r="A906" t="s">
        <v>4874</v>
      </c>
      <c r="B906" t="s">
        <v>4875</v>
      </c>
    </row>
    <row r="907" spans="1:2" x14ac:dyDescent="0.35">
      <c r="A907" t="s">
        <v>4876</v>
      </c>
      <c r="B907" t="s">
        <v>1266</v>
      </c>
    </row>
    <row r="908" spans="1:2" x14ac:dyDescent="0.35">
      <c r="A908" t="s">
        <v>4877</v>
      </c>
      <c r="B908" t="s">
        <v>4221</v>
      </c>
    </row>
    <row r="909" spans="1:2" x14ac:dyDescent="0.35">
      <c r="A909" t="s">
        <v>4878</v>
      </c>
      <c r="B909" t="s">
        <v>3778</v>
      </c>
    </row>
    <row r="910" spans="1:2" x14ac:dyDescent="0.35">
      <c r="A910" t="s">
        <v>4879</v>
      </c>
      <c r="B910" t="s">
        <v>3780</v>
      </c>
    </row>
    <row r="911" spans="1:2" x14ac:dyDescent="0.35">
      <c r="A911" t="s">
        <v>4880</v>
      </c>
      <c r="B911" t="s">
        <v>2049</v>
      </c>
    </row>
    <row r="912" spans="1:2" x14ac:dyDescent="0.35">
      <c r="A912" t="s">
        <v>4881</v>
      </c>
      <c r="B912" t="s">
        <v>1514</v>
      </c>
    </row>
    <row r="913" spans="1:2" x14ac:dyDescent="0.35">
      <c r="A913" t="s">
        <v>4882</v>
      </c>
      <c r="B913" t="s">
        <v>4883</v>
      </c>
    </row>
    <row r="914" spans="1:2" x14ac:dyDescent="0.35">
      <c r="A914" t="s">
        <v>4884</v>
      </c>
      <c r="B914" t="s">
        <v>526</v>
      </c>
    </row>
    <row r="915" spans="1:2" x14ac:dyDescent="0.35">
      <c r="A915" t="s">
        <v>4885</v>
      </c>
      <c r="B915" t="s">
        <v>2024</v>
      </c>
    </row>
    <row r="916" spans="1:2" x14ac:dyDescent="0.35">
      <c r="A916" t="s">
        <v>4886</v>
      </c>
      <c r="B916" t="s">
        <v>2758</v>
      </c>
    </row>
    <row r="917" spans="1:2" x14ac:dyDescent="0.35">
      <c r="A917" t="s">
        <v>4887</v>
      </c>
      <c r="B917" t="s">
        <v>1369</v>
      </c>
    </row>
    <row r="918" spans="1:2" x14ac:dyDescent="0.35">
      <c r="A918" t="s">
        <v>1139</v>
      </c>
      <c r="B918" t="s">
        <v>4212</v>
      </c>
    </row>
    <row r="919" spans="1:2" x14ac:dyDescent="0.35">
      <c r="A919" t="s">
        <v>4888</v>
      </c>
      <c r="B919" t="s">
        <v>1629</v>
      </c>
    </row>
    <row r="920" spans="1:2" x14ac:dyDescent="0.35">
      <c r="A920" t="s">
        <v>4889</v>
      </c>
      <c r="B920" t="s">
        <v>2113</v>
      </c>
    </row>
    <row r="921" spans="1:2" x14ac:dyDescent="0.35">
      <c r="A921" t="s">
        <v>4890</v>
      </c>
      <c r="B921" t="s">
        <v>3301</v>
      </c>
    </row>
    <row r="922" spans="1:2" x14ac:dyDescent="0.35">
      <c r="A922" t="s">
        <v>4891</v>
      </c>
      <c r="B922" t="s">
        <v>2059</v>
      </c>
    </row>
    <row r="923" spans="1:2" x14ac:dyDescent="0.35">
      <c r="A923" t="s">
        <v>4892</v>
      </c>
      <c r="B923" t="s">
        <v>91</v>
      </c>
    </row>
    <row r="924" spans="1:2" x14ac:dyDescent="0.35">
      <c r="A924" t="s">
        <v>4893</v>
      </c>
      <c r="B924" t="s">
        <v>490</v>
      </c>
    </row>
    <row r="925" spans="1:2" x14ac:dyDescent="0.35">
      <c r="A925" t="s">
        <v>4894</v>
      </c>
      <c r="B925" t="s">
        <v>3317</v>
      </c>
    </row>
    <row r="926" spans="1:2" x14ac:dyDescent="0.35">
      <c r="A926" t="s">
        <v>4895</v>
      </c>
      <c r="B926" t="s">
        <v>2122</v>
      </c>
    </row>
    <row r="927" spans="1:2" x14ac:dyDescent="0.35">
      <c r="A927" t="s">
        <v>4896</v>
      </c>
      <c r="B927" t="s">
        <v>536</v>
      </c>
    </row>
    <row r="928" spans="1:2" x14ac:dyDescent="0.35">
      <c r="A928" t="s">
        <v>4897</v>
      </c>
      <c r="B928" t="s">
        <v>1575</v>
      </c>
    </row>
    <row r="929" spans="1:2" x14ac:dyDescent="0.35">
      <c r="A929" t="s">
        <v>4898</v>
      </c>
      <c r="B929" t="s">
        <v>1208</v>
      </c>
    </row>
    <row r="930" spans="1:2" x14ac:dyDescent="0.35">
      <c r="A930" t="s">
        <v>4899</v>
      </c>
      <c r="B930" t="s">
        <v>1316</v>
      </c>
    </row>
    <row r="931" spans="1:2" x14ac:dyDescent="0.35">
      <c r="A931" t="s">
        <v>4900</v>
      </c>
      <c r="B931" t="s">
        <v>1327</v>
      </c>
    </row>
    <row r="932" spans="1:2" x14ac:dyDescent="0.35">
      <c r="A932" t="s">
        <v>4901</v>
      </c>
      <c r="B932" t="s">
        <v>2152</v>
      </c>
    </row>
    <row r="933" spans="1:2" x14ac:dyDescent="0.35">
      <c r="A933" t="s">
        <v>4902</v>
      </c>
      <c r="B933" t="s">
        <v>2175</v>
      </c>
    </row>
    <row r="934" spans="1:2" x14ac:dyDescent="0.35">
      <c r="A934" t="s">
        <v>4903</v>
      </c>
      <c r="B934" t="s">
        <v>2197</v>
      </c>
    </row>
    <row r="935" spans="1:2" x14ac:dyDescent="0.35">
      <c r="A935" t="s">
        <v>4904</v>
      </c>
      <c r="B935" t="s">
        <v>3816</v>
      </c>
    </row>
    <row r="936" spans="1:2" x14ac:dyDescent="0.35">
      <c r="A936" t="s">
        <v>4905</v>
      </c>
      <c r="B936" t="s">
        <v>744</v>
      </c>
    </row>
    <row r="937" spans="1:2" x14ac:dyDescent="0.35">
      <c r="A937" t="s">
        <v>4906</v>
      </c>
      <c r="B937" t="s">
        <v>1590</v>
      </c>
    </row>
    <row r="938" spans="1:2" x14ac:dyDescent="0.35">
      <c r="A938" t="s">
        <v>4907</v>
      </c>
      <c r="B938" t="s">
        <v>3858</v>
      </c>
    </row>
    <row r="939" spans="1:2" x14ac:dyDescent="0.35">
      <c r="A939" t="s">
        <v>4908</v>
      </c>
      <c r="B939" t="s">
        <v>694</v>
      </c>
    </row>
    <row r="940" spans="1:2" x14ac:dyDescent="0.35">
      <c r="A940" t="s">
        <v>4909</v>
      </c>
      <c r="B940" t="s">
        <v>1735</v>
      </c>
    </row>
    <row r="941" spans="1:2" x14ac:dyDescent="0.35">
      <c r="A941" t="s">
        <v>4910</v>
      </c>
      <c r="B941" t="s">
        <v>1055</v>
      </c>
    </row>
    <row r="942" spans="1:2" x14ac:dyDescent="0.35">
      <c r="A942" t="s">
        <v>4911</v>
      </c>
      <c r="B942" t="s">
        <v>2212</v>
      </c>
    </row>
    <row r="943" spans="1:2" x14ac:dyDescent="0.35">
      <c r="A943" t="s">
        <v>4912</v>
      </c>
      <c r="B943" t="s">
        <v>4913</v>
      </c>
    </row>
    <row r="944" spans="1:2" x14ac:dyDescent="0.35">
      <c r="A944" t="s">
        <v>4914</v>
      </c>
      <c r="B944" t="s">
        <v>2214</v>
      </c>
    </row>
    <row r="945" spans="1:2" x14ac:dyDescent="0.35">
      <c r="A945" t="s">
        <v>4915</v>
      </c>
      <c r="B945" t="s">
        <v>4916</v>
      </c>
    </row>
    <row r="946" spans="1:2" x14ac:dyDescent="0.35">
      <c r="A946" t="s">
        <v>4917</v>
      </c>
      <c r="B946" t="s">
        <v>3188</v>
      </c>
    </row>
    <row r="947" spans="1:2" x14ac:dyDescent="0.35">
      <c r="A947" t="s">
        <v>2236</v>
      </c>
      <c r="B947" t="s">
        <v>2235</v>
      </c>
    </row>
    <row r="948" spans="1:2" x14ac:dyDescent="0.35">
      <c r="A948" t="s">
        <v>4918</v>
      </c>
      <c r="B948" t="s">
        <v>4919</v>
      </c>
    </row>
    <row r="949" spans="1:2" x14ac:dyDescent="0.35">
      <c r="A949" t="s">
        <v>4920</v>
      </c>
      <c r="B949" t="s">
        <v>2325</v>
      </c>
    </row>
    <row r="950" spans="1:2" x14ac:dyDescent="0.35">
      <c r="A950" t="s">
        <v>4921</v>
      </c>
      <c r="B950" t="s">
        <v>2327</v>
      </c>
    </row>
    <row r="951" spans="1:2" x14ac:dyDescent="0.35">
      <c r="A951" t="s">
        <v>4922</v>
      </c>
      <c r="B951" t="s">
        <v>398</v>
      </c>
    </row>
    <row r="952" spans="1:2" x14ac:dyDescent="0.35">
      <c r="A952" t="s">
        <v>4923</v>
      </c>
      <c r="B952" t="s">
        <v>3054</v>
      </c>
    </row>
    <row r="953" spans="1:2" x14ac:dyDescent="0.35">
      <c r="A953" t="s">
        <v>4924</v>
      </c>
      <c r="B953" t="s">
        <v>2821</v>
      </c>
    </row>
    <row r="954" spans="1:2" x14ac:dyDescent="0.35">
      <c r="A954" t="s">
        <v>4925</v>
      </c>
      <c r="B954" t="s">
        <v>638</v>
      </c>
    </row>
    <row r="955" spans="1:2" x14ac:dyDescent="0.35">
      <c r="A955" t="s">
        <v>4926</v>
      </c>
      <c r="B955" t="s">
        <v>4200</v>
      </c>
    </row>
    <row r="956" spans="1:2" x14ac:dyDescent="0.35">
      <c r="A956" t="s">
        <v>4927</v>
      </c>
      <c r="B956" t="s">
        <v>995</v>
      </c>
    </row>
    <row r="957" spans="1:2" x14ac:dyDescent="0.35">
      <c r="A957" t="s">
        <v>4928</v>
      </c>
      <c r="B957" t="s">
        <v>207</v>
      </c>
    </row>
    <row r="958" spans="1:2" x14ac:dyDescent="0.35">
      <c r="A958" t="s">
        <v>4929</v>
      </c>
      <c r="B958" t="s">
        <v>4269</v>
      </c>
    </row>
    <row r="959" spans="1:2" x14ac:dyDescent="0.35">
      <c r="A959" t="s">
        <v>4930</v>
      </c>
      <c r="B959" t="s">
        <v>314</v>
      </c>
    </row>
    <row r="960" spans="1:2" x14ac:dyDescent="0.35">
      <c r="A960" t="s">
        <v>4931</v>
      </c>
      <c r="B960" t="s">
        <v>4206</v>
      </c>
    </row>
    <row r="961" spans="1:2" x14ac:dyDescent="0.35">
      <c r="A961" t="s">
        <v>4932</v>
      </c>
      <c r="B961" t="s">
        <v>874</v>
      </c>
    </row>
    <row r="962" spans="1:2" x14ac:dyDescent="0.35">
      <c r="A962" t="s">
        <v>4933</v>
      </c>
      <c r="B962" t="s">
        <v>1330</v>
      </c>
    </row>
    <row r="963" spans="1:2" x14ac:dyDescent="0.35">
      <c r="A963" t="s">
        <v>4934</v>
      </c>
      <c r="B963" t="s">
        <v>1437</v>
      </c>
    </row>
    <row r="964" spans="1:2" x14ac:dyDescent="0.35">
      <c r="A964" t="s">
        <v>4935</v>
      </c>
      <c r="B964" t="s">
        <v>3616</v>
      </c>
    </row>
    <row r="965" spans="1:2" x14ac:dyDescent="0.35">
      <c r="A965" t="s">
        <v>4936</v>
      </c>
      <c r="B965" t="s">
        <v>1693</v>
      </c>
    </row>
    <row r="966" spans="1:2" x14ac:dyDescent="0.35">
      <c r="A966" t="s">
        <v>4937</v>
      </c>
      <c r="B966" t="s">
        <v>1718</v>
      </c>
    </row>
    <row r="967" spans="1:2" x14ac:dyDescent="0.35">
      <c r="A967" t="s">
        <v>4938</v>
      </c>
      <c r="B967" t="s">
        <v>1792</v>
      </c>
    </row>
    <row r="968" spans="1:2" x14ac:dyDescent="0.35">
      <c r="A968" t="s">
        <v>4939</v>
      </c>
      <c r="B968" t="s">
        <v>1794</v>
      </c>
    </row>
    <row r="969" spans="1:2" x14ac:dyDescent="0.35">
      <c r="A969" t="s">
        <v>4940</v>
      </c>
      <c r="B969" t="s">
        <v>1799</v>
      </c>
    </row>
    <row r="970" spans="1:2" x14ac:dyDescent="0.35">
      <c r="A970" t="s">
        <v>4941</v>
      </c>
      <c r="B970" t="s">
        <v>1808</v>
      </c>
    </row>
    <row r="971" spans="1:2" x14ac:dyDescent="0.35">
      <c r="A971" t="s">
        <v>4942</v>
      </c>
      <c r="B971" t="s">
        <v>1833</v>
      </c>
    </row>
    <row r="972" spans="1:2" x14ac:dyDescent="0.35">
      <c r="A972" t="s">
        <v>4943</v>
      </c>
      <c r="B972" t="s">
        <v>2028</v>
      </c>
    </row>
    <row r="973" spans="1:2" x14ac:dyDescent="0.35">
      <c r="A973" t="s">
        <v>4944</v>
      </c>
      <c r="B973" t="s">
        <v>2190</v>
      </c>
    </row>
    <row r="974" spans="1:2" x14ac:dyDescent="0.35">
      <c r="A974" t="s">
        <v>4945</v>
      </c>
      <c r="B974" t="s">
        <v>2192</v>
      </c>
    </row>
    <row r="975" spans="1:2" x14ac:dyDescent="0.35">
      <c r="A975" t="s">
        <v>4946</v>
      </c>
      <c r="B975" t="s">
        <v>4262</v>
      </c>
    </row>
    <row r="976" spans="1:2" x14ac:dyDescent="0.35">
      <c r="A976" t="s">
        <v>4947</v>
      </c>
      <c r="B976" t="s">
        <v>2341</v>
      </c>
    </row>
    <row r="977" spans="1:2" x14ac:dyDescent="0.35">
      <c r="A977" t="s">
        <v>4948</v>
      </c>
      <c r="B977" t="s">
        <v>2364</v>
      </c>
    </row>
    <row r="978" spans="1:2" x14ac:dyDescent="0.35">
      <c r="A978" t="s">
        <v>4949</v>
      </c>
      <c r="B978" t="s">
        <v>2409</v>
      </c>
    </row>
    <row r="979" spans="1:2" x14ac:dyDescent="0.35">
      <c r="A979" t="s">
        <v>4950</v>
      </c>
      <c r="B979" t="s">
        <v>2418</v>
      </c>
    </row>
    <row r="980" spans="1:2" x14ac:dyDescent="0.35">
      <c r="A980" t="s">
        <v>4951</v>
      </c>
      <c r="B980" t="s">
        <v>2440</v>
      </c>
    </row>
    <row r="981" spans="1:2" x14ac:dyDescent="0.35">
      <c r="A981" t="s">
        <v>4952</v>
      </c>
      <c r="B981" t="s">
        <v>4257</v>
      </c>
    </row>
    <row r="982" spans="1:2" x14ac:dyDescent="0.35">
      <c r="A982" t="s">
        <v>4953</v>
      </c>
      <c r="B982" t="s">
        <v>2831</v>
      </c>
    </row>
    <row r="983" spans="1:2" x14ac:dyDescent="0.35">
      <c r="A983" t="s">
        <v>4954</v>
      </c>
      <c r="B983" t="s">
        <v>2833</v>
      </c>
    </row>
    <row r="984" spans="1:2" x14ac:dyDescent="0.35">
      <c r="A984" t="s">
        <v>4955</v>
      </c>
      <c r="B984" t="s">
        <v>4267</v>
      </c>
    </row>
    <row r="985" spans="1:2" x14ac:dyDescent="0.35">
      <c r="A985" t="s">
        <v>4956</v>
      </c>
      <c r="B985" t="s">
        <v>2883</v>
      </c>
    </row>
    <row r="986" spans="1:2" x14ac:dyDescent="0.35">
      <c r="A986" t="s">
        <v>4957</v>
      </c>
      <c r="B986" t="s">
        <v>2885</v>
      </c>
    </row>
    <row r="987" spans="1:2" x14ac:dyDescent="0.35">
      <c r="A987" t="s">
        <v>4958</v>
      </c>
      <c r="B987" t="s">
        <v>1608</v>
      </c>
    </row>
    <row r="988" spans="1:2" x14ac:dyDescent="0.35">
      <c r="A988" t="s">
        <v>4959</v>
      </c>
      <c r="B988" t="s">
        <v>4260</v>
      </c>
    </row>
    <row r="989" spans="1:2" x14ac:dyDescent="0.35">
      <c r="A989" t="s">
        <v>4960</v>
      </c>
      <c r="B989" t="s">
        <v>3185</v>
      </c>
    </row>
    <row r="990" spans="1:2" x14ac:dyDescent="0.35">
      <c r="A990" t="s">
        <v>4961</v>
      </c>
      <c r="B990" t="s">
        <v>4259</v>
      </c>
    </row>
    <row r="991" spans="1:2" x14ac:dyDescent="0.35">
      <c r="A991" t="s">
        <v>4962</v>
      </c>
      <c r="B991" t="s">
        <v>3348</v>
      </c>
    </row>
    <row r="992" spans="1:2" x14ac:dyDescent="0.35">
      <c r="A992" t="s">
        <v>4963</v>
      </c>
      <c r="B992" t="s">
        <v>3451</v>
      </c>
    </row>
    <row r="993" spans="1:2" x14ac:dyDescent="0.35">
      <c r="A993" t="s">
        <v>4964</v>
      </c>
      <c r="B993" t="s">
        <v>3587</v>
      </c>
    </row>
    <row r="994" spans="1:2" x14ac:dyDescent="0.35">
      <c r="A994" t="s">
        <v>4965</v>
      </c>
      <c r="B994" t="s">
        <v>3801</v>
      </c>
    </row>
    <row r="995" spans="1:2" x14ac:dyDescent="0.35">
      <c r="A995" t="s">
        <v>4966</v>
      </c>
      <c r="B995" t="s">
        <v>3840</v>
      </c>
    </row>
    <row r="996" spans="1:2" x14ac:dyDescent="0.35">
      <c r="A996" t="s">
        <v>4967</v>
      </c>
      <c r="B996" t="s">
        <v>4268</v>
      </c>
    </row>
    <row r="997" spans="1:2" x14ac:dyDescent="0.35">
      <c r="A997" t="s">
        <v>4968</v>
      </c>
      <c r="B997" t="s">
        <v>1942</v>
      </c>
    </row>
    <row r="998" spans="1:2" x14ac:dyDescent="0.35">
      <c r="A998" t="s">
        <v>4969</v>
      </c>
      <c r="B998" t="s">
        <v>2348</v>
      </c>
    </row>
    <row r="999" spans="1:2" x14ac:dyDescent="0.35">
      <c r="A999" t="s">
        <v>4970</v>
      </c>
      <c r="B999" t="s">
        <v>4322</v>
      </c>
    </row>
    <row r="1000" spans="1:2" x14ac:dyDescent="0.35">
      <c r="A1000" t="s">
        <v>4971</v>
      </c>
      <c r="B1000" t="s">
        <v>2512</v>
      </c>
    </row>
    <row r="1001" spans="1:2" x14ac:dyDescent="0.35">
      <c r="A1001" t="s">
        <v>4972</v>
      </c>
      <c r="B1001" t="s">
        <v>464</v>
      </c>
    </row>
    <row r="1002" spans="1:2" x14ac:dyDescent="0.35">
      <c r="A1002" t="s">
        <v>4973</v>
      </c>
      <c r="B1002" t="s">
        <v>141</v>
      </c>
    </row>
    <row r="1003" spans="1:2" x14ac:dyDescent="0.35">
      <c r="A1003" t="s">
        <v>4974</v>
      </c>
      <c r="B1003" t="s">
        <v>2387</v>
      </c>
    </row>
    <row r="1004" spans="1:2" x14ac:dyDescent="0.35">
      <c r="A1004" t="s">
        <v>4975</v>
      </c>
      <c r="B1004" t="s">
        <v>3286</v>
      </c>
    </row>
    <row r="1005" spans="1:2" x14ac:dyDescent="0.35">
      <c r="A1005" t="s">
        <v>4976</v>
      </c>
      <c r="B1005" t="s">
        <v>2411</v>
      </c>
    </row>
    <row r="1006" spans="1:2" x14ac:dyDescent="0.35">
      <c r="A1006" t="s">
        <v>4977</v>
      </c>
      <c r="B1006" t="s">
        <v>2424</v>
      </c>
    </row>
    <row r="1007" spans="1:2" x14ac:dyDescent="0.35">
      <c r="A1007" t="s">
        <v>4978</v>
      </c>
      <c r="B1007" t="s">
        <v>3911</v>
      </c>
    </row>
    <row r="1008" spans="1:2" x14ac:dyDescent="0.35">
      <c r="A1008" t="s">
        <v>4979</v>
      </c>
      <c r="B1008" t="s">
        <v>2433</v>
      </c>
    </row>
    <row r="1009" spans="1:2" x14ac:dyDescent="0.35">
      <c r="A1009" t="s">
        <v>4980</v>
      </c>
      <c r="B1009" t="s">
        <v>2795</v>
      </c>
    </row>
    <row r="1010" spans="1:2" x14ac:dyDescent="0.35">
      <c r="A1010" t="s">
        <v>4981</v>
      </c>
      <c r="B1010" t="s">
        <v>847</v>
      </c>
    </row>
    <row r="1011" spans="1:2" x14ac:dyDescent="0.35">
      <c r="A1011" t="s">
        <v>4982</v>
      </c>
      <c r="B1011" t="s">
        <v>2741</v>
      </c>
    </row>
    <row r="1012" spans="1:2" x14ac:dyDescent="0.35">
      <c r="A1012" t="s">
        <v>4983</v>
      </c>
      <c r="B1012" t="s">
        <v>331</v>
      </c>
    </row>
    <row r="1013" spans="1:2" x14ac:dyDescent="0.35">
      <c r="A1013" t="s">
        <v>4984</v>
      </c>
      <c r="B1013" t="s">
        <v>260</v>
      </c>
    </row>
    <row r="1014" spans="1:2" x14ac:dyDescent="0.35">
      <c r="A1014" t="s">
        <v>4985</v>
      </c>
      <c r="B1014" t="s">
        <v>3522</v>
      </c>
    </row>
    <row r="1015" spans="1:2" x14ac:dyDescent="0.35">
      <c r="A1015" t="s">
        <v>4986</v>
      </c>
      <c r="B1015" t="s">
        <v>2462</v>
      </c>
    </row>
    <row r="1016" spans="1:2" x14ac:dyDescent="0.35">
      <c r="A1016" t="s">
        <v>4987</v>
      </c>
      <c r="B1016" t="s">
        <v>2466</v>
      </c>
    </row>
    <row r="1017" spans="1:2" x14ac:dyDescent="0.35">
      <c r="A1017" t="s">
        <v>4988</v>
      </c>
      <c r="B1017" t="s">
        <v>2699</v>
      </c>
    </row>
    <row r="1018" spans="1:2" x14ac:dyDescent="0.35">
      <c r="A1018" t="s">
        <v>4989</v>
      </c>
      <c r="B1018" t="s">
        <v>3362</v>
      </c>
    </row>
    <row r="1019" spans="1:2" x14ac:dyDescent="0.35">
      <c r="A1019" t="s">
        <v>4990</v>
      </c>
      <c r="B1019" t="s">
        <v>3710</v>
      </c>
    </row>
    <row r="1020" spans="1:2" x14ac:dyDescent="0.35">
      <c r="A1020" t="s">
        <v>4991</v>
      </c>
      <c r="B1020" t="s">
        <v>4270</v>
      </c>
    </row>
    <row r="1021" spans="1:2" x14ac:dyDescent="0.35">
      <c r="A1021" t="s">
        <v>4992</v>
      </c>
      <c r="B1021" t="s">
        <v>3430</v>
      </c>
    </row>
    <row r="1022" spans="1:2" x14ac:dyDescent="0.35">
      <c r="A1022" t="s">
        <v>4993</v>
      </c>
      <c r="B1022" t="s">
        <v>599</v>
      </c>
    </row>
    <row r="1023" spans="1:2" x14ac:dyDescent="0.35">
      <c r="A1023" t="s">
        <v>4994</v>
      </c>
      <c r="B1023" t="s">
        <v>1970</v>
      </c>
    </row>
    <row r="1024" spans="1:2" x14ac:dyDescent="0.35">
      <c r="A1024" t="s">
        <v>4995</v>
      </c>
      <c r="B1024" t="s">
        <v>432</v>
      </c>
    </row>
    <row r="1025" spans="1:2" x14ac:dyDescent="0.35">
      <c r="A1025" t="s">
        <v>4996</v>
      </c>
      <c r="B1025" t="s">
        <v>1549</v>
      </c>
    </row>
    <row r="1026" spans="1:2" x14ac:dyDescent="0.35">
      <c r="A1026" t="s">
        <v>4997</v>
      </c>
      <c r="B1026" t="s">
        <v>2167</v>
      </c>
    </row>
    <row r="1027" spans="1:2" x14ac:dyDescent="0.35">
      <c r="A1027" t="s">
        <v>4998</v>
      </c>
      <c r="B1027" t="s">
        <v>2498</v>
      </c>
    </row>
    <row r="1028" spans="1:2" x14ac:dyDescent="0.35">
      <c r="A1028" t="s">
        <v>4999</v>
      </c>
      <c r="B1028" t="s">
        <v>2503</v>
      </c>
    </row>
    <row r="1029" spans="1:2" x14ac:dyDescent="0.35">
      <c r="A1029" t="s">
        <v>5000</v>
      </c>
      <c r="B1029" t="s">
        <v>3448</v>
      </c>
    </row>
    <row r="1030" spans="1:2" x14ac:dyDescent="0.35">
      <c r="A1030" t="s">
        <v>5001</v>
      </c>
      <c r="B1030" t="s">
        <v>1316</v>
      </c>
    </row>
    <row r="1031" spans="1:2" x14ac:dyDescent="0.35">
      <c r="A1031" t="s">
        <v>5002</v>
      </c>
      <c r="B1031" t="s">
        <v>2507</v>
      </c>
    </row>
    <row r="1032" spans="1:2" x14ac:dyDescent="0.35">
      <c r="A1032" t="s">
        <v>5003</v>
      </c>
      <c r="B1032" t="s">
        <v>1743</v>
      </c>
    </row>
    <row r="1033" spans="1:2" x14ac:dyDescent="0.35">
      <c r="A1033" t="s">
        <v>5004</v>
      </c>
      <c r="B1033" t="s">
        <v>351</v>
      </c>
    </row>
    <row r="1034" spans="1:2" x14ac:dyDescent="0.35">
      <c r="A1034" t="s">
        <v>5005</v>
      </c>
      <c r="B1034" t="s">
        <v>665</v>
      </c>
    </row>
    <row r="1035" spans="1:2" x14ac:dyDescent="0.35">
      <c r="A1035" t="s">
        <v>5006</v>
      </c>
      <c r="B1035" t="s">
        <v>1656</v>
      </c>
    </row>
    <row r="1036" spans="1:2" x14ac:dyDescent="0.35">
      <c r="A1036" t="s">
        <v>5007</v>
      </c>
      <c r="B1036" t="s">
        <v>1863</v>
      </c>
    </row>
    <row r="1037" spans="1:2" x14ac:dyDescent="0.35">
      <c r="A1037" t="s">
        <v>5008</v>
      </c>
      <c r="B1037" t="s">
        <v>1883</v>
      </c>
    </row>
    <row r="1038" spans="1:2" x14ac:dyDescent="0.35">
      <c r="A1038" t="s">
        <v>5009</v>
      </c>
      <c r="B1038" t="s">
        <v>3640</v>
      </c>
    </row>
    <row r="1039" spans="1:2" x14ac:dyDescent="0.35">
      <c r="A1039" t="s">
        <v>5010</v>
      </c>
      <c r="B1039" t="s">
        <v>3794</v>
      </c>
    </row>
    <row r="1040" spans="1:2" x14ac:dyDescent="0.35">
      <c r="A1040" t="s">
        <v>5011</v>
      </c>
      <c r="B1040" t="s">
        <v>2522</v>
      </c>
    </row>
    <row r="1041" spans="1:2" x14ac:dyDescent="0.35">
      <c r="A1041" t="s">
        <v>5012</v>
      </c>
      <c r="B1041" t="s">
        <v>660</v>
      </c>
    </row>
    <row r="1042" spans="1:2" x14ac:dyDescent="0.35">
      <c r="A1042" t="s">
        <v>5013</v>
      </c>
      <c r="B1042" t="s">
        <v>2538</v>
      </c>
    </row>
    <row r="1043" spans="1:2" x14ac:dyDescent="0.35">
      <c r="A1043" t="s">
        <v>5014</v>
      </c>
      <c r="B1043" t="s">
        <v>3884</v>
      </c>
    </row>
    <row r="1044" spans="1:2" x14ac:dyDescent="0.35">
      <c r="A1044" t="s">
        <v>5015</v>
      </c>
      <c r="B1044" t="s">
        <v>5016</v>
      </c>
    </row>
    <row r="1045" spans="1:2" x14ac:dyDescent="0.35">
      <c r="A1045" t="s">
        <v>5017</v>
      </c>
      <c r="B1045" t="s">
        <v>5018</v>
      </c>
    </row>
    <row r="1046" spans="1:2" x14ac:dyDescent="0.35">
      <c r="A1046" t="s">
        <v>5019</v>
      </c>
      <c r="B1046" t="s">
        <v>5020</v>
      </c>
    </row>
    <row r="1047" spans="1:2" x14ac:dyDescent="0.35">
      <c r="A1047" t="s">
        <v>5021</v>
      </c>
      <c r="B1047" t="s">
        <v>5022</v>
      </c>
    </row>
    <row r="1048" spans="1:2" x14ac:dyDescent="0.35">
      <c r="A1048" t="s">
        <v>5023</v>
      </c>
      <c r="B1048" t="s">
        <v>5024</v>
      </c>
    </row>
    <row r="1049" spans="1:2" x14ac:dyDescent="0.35">
      <c r="A1049" t="s">
        <v>5025</v>
      </c>
      <c r="B1049" t="s">
        <v>2152</v>
      </c>
    </row>
    <row r="1050" spans="1:2" x14ac:dyDescent="0.35">
      <c r="A1050" t="s">
        <v>5026</v>
      </c>
      <c r="B1050" t="s">
        <v>2466</v>
      </c>
    </row>
    <row r="1051" spans="1:2" x14ac:dyDescent="0.35">
      <c r="A1051" t="s">
        <v>5027</v>
      </c>
      <c r="B1051" t="s">
        <v>1496</v>
      </c>
    </row>
    <row r="1052" spans="1:2" x14ac:dyDescent="0.35">
      <c r="A1052" t="s">
        <v>5028</v>
      </c>
      <c r="B1052" t="s">
        <v>5029</v>
      </c>
    </row>
    <row r="1053" spans="1:2" x14ac:dyDescent="0.35">
      <c r="A1053" t="s">
        <v>5030</v>
      </c>
      <c r="B1053" t="s">
        <v>1312</v>
      </c>
    </row>
    <row r="1054" spans="1:2" x14ac:dyDescent="0.35">
      <c r="A1054" t="s">
        <v>5031</v>
      </c>
      <c r="B1054" t="s">
        <v>2542</v>
      </c>
    </row>
    <row r="1055" spans="1:2" x14ac:dyDescent="0.35">
      <c r="A1055" t="s">
        <v>5032</v>
      </c>
      <c r="B1055" t="s">
        <v>5033</v>
      </c>
    </row>
    <row r="1056" spans="1:2" x14ac:dyDescent="0.35">
      <c r="A1056" t="s">
        <v>5034</v>
      </c>
      <c r="B1056" t="s">
        <v>5035</v>
      </c>
    </row>
    <row r="1057" spans="1:2" x14ac:dyDescent="0.35">
      <c r="A1057" t="s">
        <v>5036</v>
      </c>
      <c r="B1057" t="s">
        <v>5037</v>
      </c>
    </row>
    <row r="1058" spans="1:2" x14ac:dyDescent="0.35">
      <c r="A1058" t="s">
        <v>5038</v>
      </c>
      <c r="B1058" t="s">
        <v>5039</v>
      </c>
    </row>
    <row r="1059" spans="1:2" x14ac:dyDescent="0.35">
      <c r="A1059" t="s">
        <v>5040</v>
      </c>
      <c r="B1059" t="s">
        <v>436</v>
      </c>
    </row>
    <row r="1060" spans="1:2" x14ac:dyDescent="0.35">
      <c r="A1060" t="s">
        <v>5041</v>
      </c>
      <c r="B1060" t="s">
        <v>2152</v>
      </c>
    </row>
    <row r="1061" spans="1:2" x14ac:dyDescent="0.35">
      <c r="A1061" t="s">
        <v>5042</v>
      </c>
      <c r="B1061" t="s">
        <v>5043</v>
      </c>
    </row>
    <row r="1062" spans="1:2" x14ac:dyDescent="0.35">
      <c r="A1062" t="s">
        <v>5044</v>
      </c>
      <c r="B1062" t="s">
        <v>2756</v>
      </c>
    </row>
    <row r="1063" spans="1:2" x14ac:dyDescent="0.35">
      <c r="A1063" t="s">
        <v>5045</v>
      </c>
      <c r="B1063" t="s">
        <v>2571</v>
      </c>
    </row>
    <row r="1064" spans="1:2" x14ac:dyDescent="0.35">
      <c r="A1064" t="s">
        <v>5046</v>
      </c>
      <c r="B1064" t="s">
        <v>2553</v>
      </c>
    </row>
    <row r="1065" spans="1:2" x14ac:dyDescent="0.35">
      <c r="A1065" t="s">
        <v>5047</v>
      </c>
      <c r="B1065" t="s">
        <v>1297</v>
      </c>
    </row>
    <row r="1066" spans="1:2" x14ac:dyDescent="0.35">
      <c r="A1066" t="s">
        <v>5048</v>
      </c>
      <c r="B1066" t="s">
        <v>1154</v>
      </c>
    </row>
    <row r="1067" spans="1:2" x14ac:dyDescent="0.35">
      <c r="A1067" t="s">
        <v>5049</v>
      </c>
      <c r="B1067" t="s">
        <v>222</v>
      </c>
    </row>
    <row r="1068" spans="1:2" x14ac:dyDescent="0.35">
      <c r="A1068" t="s">
        <v>1849</v>
      </c>
      <c r="B1068" t="s">
        <v>1848</v>
      </c>
    </row>
    <row r="1069" spans="1:2" x14ac:dyDescent="0.35">
      <c r="A1069" t="s">
        <v>5050</v>
      </c>
      <c r="B1069" t="s">
        <v>5051</v>
      </c>
    </row>
    <row r="1070" spans="1:2" x14ac:dyDescent="0.35">
      <c r="A1070" t="s">
        <v>5052</v>
      </c>
      <c r="B1070" t="s">
        <v>5053</v>
      </c>
    </row>
    <row r="1071" spans="1:2" x14ac:dyDescent="0.35">
      <c r="A1071" t="s">
        <v>1029</v>
      </c>
      <c r="B1071" t="s">
        <v>1028</v>
      </c>
    </row>
    <row r="1072" spans="1:2" x14ac:dyDescent="0.35">
      <c r="A1072" t="s">
        <v>5054</v>
      </c>
      <c r="B1072" t="s">
        <v>1614</v>
      </c>
    </row>
    <row r="1073" spans="1:2" x14ac:dyDescent="0.35">
      <c r="A1073" t="s">
        <v>5055</v>
      </c>
      <c r="B1073" t="s">
        <v>3891</v>
      </c>
    </row>
    <row r="1074" spans="1:2" x14ac:dyDescent="0.35">
      <c r="A1074" t="s">
        <v>5056</v>
      </c>
      <c r="B1074" t="s">
        <v>2579</v>
      </c>
    </row>
    <row r="1075" spans="1:2" x14ac:dyDescent="0.35">
      <c r="A1075" t="s">
        <v>5057</v>
      </c>
      <c r="B1075" t="s">
        <v>5058</v>
      </c>
    </row>
    <row r="1076" spans="1:2" x14ac:dyDescent="0.35">
      <c r="A1076" t="s">
        <v>5059</v>
      </c>
      <c r="B1076" t="s">
        <v>4919</v>
      </c>
    </row>
    <row r="1077" spans="1:2" x14ac:dyDescent="0.35">
      <c r="A1077" t="s">
        <v>5060</v>
      </c>
      <c r="B1077" t="s">
        <v>89</v>
      </c>
    </row>
    <row r="1078" spans="1:2" x14ac:dyDescent="0.35">
      <c r="A1078" t="s">
        <v>5061</v>
      </c>
      <c r="B1078" t="s">
        <v>5062</v>
      </c>
    </row>
    <row r="1079" spans="1:2" x14ac:dyDescent="0.35">
      <c r="A1079" t="s">
        <v>5063</v>
      </c>
      <c r="B1079" t="s">
        <v>5064</v>
      </c>
    </row>
    <row r="1080" spans="1:2" x14ac:dyDescent="0.35">
      <c r="A1080" t="s">
        <v>5065</v>
      </c>
      <c r="B1080" t="s">
        <v>5066</v>
      </c>
    </row>
    <row r="1081" spans="1:2" x14ac:dyDescent="0.35">
      <c r="A1081" t="s">
        <v>5067</v>
      </c>
      <c r="B1081" t="s">
        <v>5068</v>
      </c>
    </row>
    <row r="1082" spans="1:2" x14ac:dyDescent="0.35">
      <c r="A1082" t="s">
        <v>5069</v>
      </c>
      <c r="B1082" t="s">
        <v>5070</v>
      </c>
    </row>
    <row r="1083" spans="1:2" x14ac:dyDescent="0.35">
      <c r="A1083" t="s">
        <v>5071</v>
      </c>
      <c r="B1083" t="s">
        <v>5072</v>
      </c>
    </row>
    <row r="1084" spans="1:2" x14ac:dyDescent="0.35">
      <c r="A1084" t="s">
        <v>5073</v>
      </c>
      <c r="B1084" t="s">
        <v>5074</v>
      </c>
    </row>
    <row r="1085" spans="1:2" x14ac:dyDescent="0.35">
      <c r="A1085" t="s">
        <v>5075</v>
      </c>
      <c r="B1085" t="s">
        <v>5076</v>
      </c>
    </row>
    <row r="1086" spans="1:2" x14ac:dyDescent="0.35">
      <c r="A1086" t="s">
        <v>5077</v>
      </c>
      <c r="B1086" t="s">
        <v>5078</v>
      </c>
    </row>
    <row r="1087" spans="1:2" x14ac:dyDescent="0.35">
      <c r="A1087" t="s">
        <v>5079</v>
      </c>
      <c r="B1087" t="s">
        <v>5080</v>
      </c>
    </row>
    <row r="1088" spans="1:2" x14ac:dyDescent="0.35">
      <c r="A1088" t="s">
        <v>5081</v>
      </c>
      <c r="B1088" t="s">
        <v>5082</v>
      </c>
    </row>
    <row r="1089" spans="1:2" x14ac:dyDescent="0.35">
      <c r="A1089" t="s">
        <v>5083</v>
      </c>
      <c r="B1089" t="s">
        <v>5084</v>
      </c>
    </row>
    <row r="1090" spans="1:2" x14ac:dyDescent="0.35">
      <c r="A1090" t="s">
        <v>5085</v>
      </c>
      <c r="B1090" t="s">
        <v>5086</v>
      </c>
    </row>
    <row r="1091" spans="1:2" x14ac:dyDescent="0.35">
      <c r="A1091" t="s">
        <v>5087</v>
      </c>
      <c r="B1091" t="s">
        <v>2590</v>
      </c>
    </row>
    <row r="1092" spans="1:2" x14ac:dyDescent="0.35">
      <c r="A1092" t="s">
        <v>5088</v>
      </c>
      <c r="B1092" t="s">
        <v>569</v>
      </c>
    </row>
    <row r="1093" spans="1:2" x14ac:dyDescent="0.35">
      <c r="A1093" t="s">
        <v>5089</v>
      </c>
      <c r="B1093" t="s">
        <v>1717</v>
      </c>
    </row>
    <row r="1094" spans="1:2" x14ac:dyDescent="0.35">
      <c r="A1094" t="s">
        <v>5090</v>
      </c>
      <c r="B1094" t="s">
        <v>1539</v>
      </c>
    </row>
    <row r="1095" spans="1:2" x14ac:dyDescent="0.35">
      <c r="A1095" t="s">
        <v>5091</v>
      </c>
      <c r="B1095" t="s">
        <v>5092</v>
      </c>
    </row>
    <row r="1096" spans="1:2" x14ac:dyDescent="0.35">
      <c r="A1096" t="s">
        <v>5093</v>
      </c>
      <c r="B1096" t="s">
        <v>509</v>
      </c>
    </row>
    <row r="1097" spans="1:2" x14ac:dyDescent="0.35">
      <c r="A1097" t="s">
        <v>5094</v>
      </c>
      <c r="B1097" t="s">
        <v>2597</v>
      </c>
    </row>
    <row r="1098" spans="1:2" x14ac:dyDescent="0.35">
      <c r="A1098" t="s">
        <v>5095</v>
      </c>
      <c r="B1098" t="s">
        <v>5096</v>
      </c>
    </row>
    <row r="1099" spans="1:2" x14ac:dyDescent="0.35">
      <c r="A1099" t="s">
        <v>5097</v>
      </c>
      <c r="B1099" t="s">
        <v>2082</v>
      </c>
    </row>
    <row r="1100" spans="1:2" x14ac:dyDescent="0.35">
      <c r="A1100" t="s">
        <v>5098</v>
      </c>
      <c r="B1100" t="s">
        <v>5099</v>
      </c>
    </row>
    <row r="1101" spans="1:2" x14ac:dyDescent="0.35">
      <c r="A1101" t="s">
        <v>5100</v>
      </c>
      <c r="B1101" t="s">
        <v>5101</v>
      </c>
    </row>
    <row r="1102" spans="1:2" x14ac:dyDescent="0.35">
      <c r="A1102" t="s">
        <v>5102</v>
      </c>
      <c r="B1102" t="s">
        <v>5103</v>
      </c>
    </row>
    <row r="1103" spans="1:2" x14ac:dyDescent="0.35">
      <c r="A1103" t="s">
        <v>5104</v>
      </c>
      <c r="B1103" t="s">
        <v>5105</v>
      </c>
    </row>
    <row r="1104" spans="1:2" x14ac:dyDescent="0.35">
      <c r="A1104" t="s">
        <v>5106</v>
      </c>
      <c r="B1104" t="s">
        <v>5107</v>
      </c>
    </row>
    <row r="1105" spans="1:2" x14ac:dyDescent="0.35">
      <c r="A1105" t="s">
        <v>5108</v>
      </c>
      <c r="B1105" t="s">
        <v>5109</v>
      </c>
    </row>
    <row r="1106" spans="1:2" x14ac:dyDescent="0.35">
      <c r="A1106" t="s">
        <v>5110</v>
      </c>
      <c r="B1106" t="s">
        <v>5111</v>
      </c>
    </row>
    <row r="1107" spans="1:2" x14ac:dyDescent="0.35">
      <c r="A1107" t="s">
        <v>5112</v>
      </c>
      <c r="B1107" t="s">
        <v>3558</v>
      </c>
    </row>
    <row r="1108" spans="1:2" x14ac:dyDescent="0.35">
      <c r="A1108" t="s">
        <v>2797</v>
      </c>
      <c r="B1108" t="s">
        <v>744</v>
      </c>
    </row>
    <row r="1109" spans="1:2" x14ac:dyDescent="0.35">
      <c r="A1109" t="s">
        <v>5113</v>
      </c>
      <c r="B1109" t="s">
        <v>3423</v>
      </c>
    </row>
    <row r="1110" spans="1:2" x14ac:dyDescent="0.35">
      <c r="A1110" t="s">
        <v>5114</v>
      </c>
      <c r="B1110" t="s">
        <v>789</v>
      </c>
    </row>
    <row r="1111" spans="1:2" x14ac:dyDescent="0.35">
      <c r="A1111" t="s">
        <v>5115</v>
      </c>
      <c r="B1111" t="s">
        <v>5116</v>
      </c>
    </row>
    <row r="1112" spans="1:2" x14ac:dyDescent="0.35">
      <c r="A1112" t="s">
        <v>5117</v>
      </c>
      <c r="B1112" t="s">
        <v>2161</v>
      </c>
    </row>
    <row r="1113" spans="1:2" x14ac:dyDescent="0.35">
      <c r="A1113" t="s">
        <v>5118</v>
      </c>
      <c r="B1113" t="s">
        <v>2070</v>
      </c>
    </row>
    <row r="1114" spans="1:2" x14ac:dyDescent="0.35">
      <c r="A1114" t="s">
        <v>5119</v>
      </c>
      <c r="B1114" t="s">
        <v>3032</v>
      </c>
    </row>
    <row r="1115" spans="1:2" x14ac:dyDescent="0.35">
      <c r="A1115" t="s">
        <v>5120</v>
      </c>
      <c r="B1115" t="s">
        <v>2611</v>
      </c>
    </row>
    <row r="1116" spans="1:2" x14ac:dyDescent="0.35">
      <c r="A1116" t="s">
        <v>5121</v>
      </c>
      <c r="B1116" t="s">
        <v>3387</v>
      </c>
    </row>
    <row r="1117" spans="1:2" x14ac:dyDescent="0.35">
      <c r="A1117" t="s">
        <v>5122</v>
      </c>
      <c r="B1117" t="s">
        <v>3688</v>
      </c>
    </row>
    <row r="1118" spans="1:2" x14ac:dyDescent="0.35">
      <c r="A1118" t="s">
        <v>5123</v>
      </c>
      <c r="B1118" t="s">
        <v>3820</v>
      </c>
    </row>
    <row r="1119" spans="1:2" x14ac:dyDescent="0.35">
      <c r="A1119" t="s">
        <v>5124</v>
      </c>
      <c r="B1119" t="s">
        <v>1701</v>
      </c>
    </row>
    <row r="1120" spans="1:2" x14ac:dyDescent="0.35">
      <c r="A1120" t="s">
        <v>5125</v>
      </c>
      <c r="B1120" t="s">
        <v>1747</v>
      </c>
    </row>
    <row r="1121" spans="1:2" x14ac:dyDescent="0.35">
      <c r="A1121" t="s">
        <v>5126</v>
      </c>
      <c r="B1121" t="s">
        <v>2609</v>
      </c>
    </row>
    <row r="1122" spans="1:2" x14ac:dyDescent="0.35">
      <c r="A1122" t="s">
        <v>5127</v>
      </c>
      <c r="B1122" t="s">
        <v>2619</v>
      </c>
    </row>
    <row r="1123" spans="1:2" x14ac:dyDescent="0.35">
      <c r="A1123" t="s">
        <v>5128</v>
      </c>
      <c r="B1123" t="s">
        <v>137</v>
      </c>
    </row>
    <row r="1124" spans="1:2" x14ac:dyDescent="0.35">
      <c r="A1124" t="s">
        <v>5129</v>
      </c>
      <c r="B1124" t="s">
        <v>2795</v>
      </c>
    </row>
    <row r="1125" spans="1:2" x14ac:dyDescent="0.35">
      <c r="A1125" t="s">
        <v>5130</v>
      </c>
      <c r="B1125" t="s">
        <v>1827</v>
      </c>
    </row>
    <row r="1126" spans="1:2" x14ac:dyDescent="0.35">
      <c r="A1126" t="s">
        <v>5131</v>
      </c>
      <c r="B1126" t="s">
        <v>386</v>
      </c>
    </row>
    <row r="1127" spans="1:2" x14ac:dyDescent="0.35">
      <c r="A1127" t="s">
        <v>5132</v>
      </c>
      <c r="B1127" t="s">
        <v>2484</v>
      </c>
    </row>
    <row r="1128" spans="1:2" x14ac:dyDescent="0.35">
      <c r="A1128" t="s">
        <v>5133</v>
      </c>
      <c r="B1128" t="s">
        <v>2621</v>
      </c>
    </row>
    <row r="1129" spans="1:2" x14ac:dyDescent="0.35">
      <c r="A1129" t="s">
        <v>5134</v>
      </c>
      <c r="B1129" t="s">
        <v>2691</v>
      </c>
    </row>
    <row r="1130" spans="1:2" x14ac:dyDescent="0.35">
      <c r="A1130" t="s">
        <v>5135</v>
      </c>
      <c r="B1130" t="s">
        <v>3120</v>
      </c>
    </row>
    <row r="1131" spans="1:2" x14ac:dyDescent="0.35">
      <c r="A1131" t="s">
        <v>5136</v>
      </c>
      <c r="B1131" t="s">
        <v>5137</v>
      </c>
    </row>
    <row r="1132" spans="1:2" x14ac:dyDescent="0.35">
      <c r="A1132" t="s">
        <v>5138</v>
      </c>
      <c r="B1132" t="s">
        <v>5139</v>
      </c>
    </row>
    <row r="1133" spans="1:2" x14ac:dyDescent="0.35">
      <c r="A1133" t="s">
        <v>2879</v>
      </c>
      <c r="B1133" t="s">
        <v>4191</v>
      </c>
    </row>
    <row r="1134" spans="1:2" x14ac:dyDescent="0.35">
      <c r="A1134" t="s">
        <v>5140</v>
      </c>
      <c r="B1134" t="s">
        <v>4694</v>
      </c>
    </row>
    <row r="1135" spans="1:2" x14ac:dyDescent="0.35">
      <c r="A1135" t="s">
        <v>1432</v>
      </c>
      <c r="B1135" t="s">
        <v>5141</v>
      </c>
    </row>
    <row r="1136" spans="1:2" x14ac:dyDescent="0.35">
      <c r="A1136" t="s">
        <v>5142</v>
      </c>
      <c r="B1136" t="s">
        <v>53</v>
      </c>
    </row>
    <row r="1137" spans="1:2" x14ac:dyDescent="0.35">
      <c r="A1137" t="s">
        <v>5143</v>
      </c>
      <c r="B1137" t="s">
        <v>256</v>
      </c>
    </row>
    <row r="1138" spans="1:2" x14ac:dyDescent="0.35">
      <c r="A1138" t="s">
        <v>5144</v>
      </c>
      <c r="B1138" t="s">
        <v>1646</v>
      </c>
    </row>
    <row r="1139" spans="1:2" x14ac:dyDescent="0.35">
      <c r="A1139" t="s">
        <v>5145</v>
      </c>
      <c r="B1139" t="s">
        <v>2632</v>
      </c>
    </row>
    <row r="1140" spans="1:2" x14ac:dyDescent="0.35">
      <c r="A1140" t="s">
        <v>5146</v>
      </c>
      <c r="B1140" t="s">
        <v>3528</v>
      </c>
    </row>
    <row r="1141" spans="1:2" x14ac:dyDescent="0.35">
      <c r="A1141" t="s">
        <v>5147</v>
      </c>
      <c r="B1141" t="s">
        <v>5148</v>
      </c>
    </row>
    <row r="1142" spans="1:2" x14ac:dyDescent="0.35">
      <c r="A1142" t="s">
        <v>5149</v>
      </c>
      <c r="B1142" t="s">
        <v>5148</v>
      </c>
    </row>
    <row r="1143" spans="1:2" x14ac:dyDescent="0.35">
      <c r="A1143" t="s">
        <v>5150</v>
      </c>
      <c r="B1143" t="s">
        <v>569</v>
      </c>
    </row>
    <row r="1144" spans="1:2" x14ac:dyDescent="0.35">
      <c r="A1144" t="s">
        <v>5151</v>
      </c>
      <c r="B1144" t="s">
        <v>5152</v>
      </c>
    </row>
    <row r="1145" spans="1:2" x14ac:dyDescent="0.35">
      <c r="A1145" t="s">
        <v>5153</v>
      </c>
      <c r="B1145" t="s">
        <v>200</v>
      </c>
    </row>
    <row r="1146" spans="1:2" x14ac:dyDescent="0.35">
      <c r="A1146" t="s">
        <v>5154</v>
      </c>
      <c r="B1146" t="s">
        <v>667</v>
      </c>
    </row>
    <row r="1147" spans="1:2" x14ac:dyDescent="0.35">
      <c r="A1147" t="s">
        <v>5155</v>
      </c>
      <c r="B1147" t="s">
        <v>5156</v>
      </c>
    </row>
    <row r="1148" spans="1:2" x14ac:dyDescent="0.35">
      <c r="A1148" t="s">
        <v>5157</v>
      </c>
      <c r="B1148" t="s">
        <v>1604</v>
      </c>
    </row>
    <row r="1149" spans="1:2" x14ac:dyDescent="0.35">
      <c r="A1149" t="s">
        <v>5158</v>
      </c>
      <c r="B1149" t="s">
        <v>2658</v>
      </c>
    </row>
    <row r="1150" spans="1:2" x14ac:dyDescent="0.35">
      <c r="A1150" t="s">
        <v>5159</v>
      </c>
      <c r="B1150" t="s">
        <v>2701</v>
      </c>
    </row>
    <row r="1151" spans="1:2" x14ac:dyDescent="0.35">
      <c r="A1151" t="s">
        <v>5160</v>
      </c>
      <c r="B1151" t="s">
        <v>2721</v>
      </c>
    </row>
    <row r="1152" spans="1:2" x14ac:dyDescent="0.35">
      <c r="A1152" t="s">
        <v>5161</v>
      </c>
      <c r="B1152" t="s">
        <v>2713</v>
      </c>
    </row>
    <row r="1153" spans="1:2" x14ac:dyDescent="0.35">
      <c r="A1153" t="s">
        <v>5162</v>
      </c>
      <c r="B1153" t="s">
        <v>4096</v>
      </c>
    </row>
    <row r="1154" spans="1:2" x14ac:dyDescent="0.35">
      <c r="A1154" t="s">
        <v>5163</v>
      </c>
      <c r="B1154" t="s">
        <v>2865</v>
      </c>
    </row>
    <row r="1155" spans="1:2" x14ac:dyDescent="0.35">
      <c r="A1155" t="s">
        <v>5164</v>
      </c>
      <c r="B1155" t="s">
        <v>2527</v>
      </c>
    </row>
    <row r="1156" spans="1:2" x14ac:dyDescent="0.35">
      <c r="A1156" t="s">
        <v>5165</v>
      </c>
      <c r="B1156" t="s">
        <v>5166</v>
      </c>
    </row>
    <row r="1157" spans="1:2" x14ac:dyDescent="0.35">
      <c r="A1157" t="s">
        <v>5167</v>
      </c>
      <c r="B1157" t="s">
        <v>5168</v>
      </c>
    </row>
    <row r="1158" spans="1:2" x14ac:dyDescent="0.35">
      <c r="A1158" t="s">
        <v>5169</v>
      </c>
      <c r="B1158" t="s">
        <v>5170</v>
      </c>
    </row>
    <row r="1159" spans="1:2" x14ac:dyDescent="0.35">
      <c r="A1159" t="s">
        <v>5171</v>
      </c>
      <c r="B1159" t="s">
        <v>5172</v>
      </c>
    </row>
    <row r="1160" spans="1:2" x14ac:dyDescent="0.35">
      <c r="A1160" t="s">
        <v>5173</v>
      </c>
      <c r="B1160" t="s">
        <v>4319</v>
      </c>
    </row>
    <row r="1161" spans="1:2" x14ac:dyDescent="0.35">
      <c r="A1161" t="s">
        <v>5174</v>
      </c>
      <c r="B1161" t="s">
        <v>874</v>
      </c>
    </row>
    <row r="1162" spans="1:2" x14ac:dyDescent="0.35">
      <c r="A1162" t="s">
        <v>5175</v>
      </c>
      <c r="B1162" t="s">
        <v>5176</v>
      </c>
    </row>
    <row r="1163" spans="1:2" x14ac:dyDescent="0.35">
      <c r="A1163" t="s">
        <v>5177</v>
      </c>
      <c r="B1163" t="s">
        <v>2727</v>
      </c>
    </row>
    <row r="1164" spans="1:2" x14ac:dyDescent="0.35">
      <c r="A1164" t="s">
        <v>5178</v>
      </c>
      <c r="B1164" t="s">
        <v>809</v>
      </c>
    </row>
    <row r="1165" spans="1:2" x14ac:dyDescent="0.35">
      <c r="A1165" t="s">
        <v>5179</v>
      </c>
      <c r="B1165" t="s">
        <v>40</v>
      </c>
    </row>
    <row r="1166" spans="1:2" x14ac:dyDescent="0.35">
      <c r="A1166" t="s">
        <v>5180</v>
      </c>
      <c r="B1166" t="s">
        <v>2739</v>
      </c>
    </row>
    <row r="1167" spans="1:2" x14ac:dyDescent="0.35">
      <c r="A1167" t="s">
        <v>5181</v>
      </c>
      <c r="B1167" t="s">
        <v>3958</v>
      </c>
    </row>
    <row r="1168" spans="1:2" x14ac:dyDescent="0.35">
      <c r="A1168" t="s">
        <v>5182</v>
      </c>
      <c r="B1168" t="s">
        <v>2744</v>
      </c>
    </row>
    <row r="1169" spans="1:2" x14ac:dyDescent="0.35">
      <c r="A1169" t="s">
        <v>5183</v>
      </c>
      <c r="B1169" t="s">
        <v>328</v>
      </c>
    </row>
    <row r="1170" spans="1:2" x14ac:dyDescent="0.35">
      <c r="A1170" t="s">
        <v>5184</v>
      </c>
      <c r="B1170" t="s">
        <v>2795</v>
      </c>
    </row>
    <row r="1171" spans="1:2" x14ac:dyDescent="0.35">
      <c r="A1171" t="s">
        <v>5185</v>
      </c>
      <c r="B1171" t="s">
        <v>5186</v>
      </c>
    </row>
    <row r="1172" spans="1:2" x14ac:dyDescent="0.35">
      <c r="A1172" t="s">
        <v>5187</v>
      </c>
      <c r="B1172" t="s">
        <v>1377</v>
      </c>
    </row>
    <row r="1173" spans="1:2" x14ac:dyDescent="0.35">
      <c r="A1173" t="s">
        <v>5188</v>
      </c>
      <c r="B1173" t="s">
        <v>550</v>
      </c>
    </row>
    <row r="1174" spans="1:2" x14ac:dyDescent="0.35">
      <c r="A1174" t="s">
        <v>5189</v>
      </c>
      <c r="B1174" t="s">
        <v>2548</v>
      </c>
    </row>
    <row r="1175" spans="1:2" x14ac:dyDescent="0.35">
      <c r="A1175" t="s">
        <v>5190</v>
      </c>
      <c r="B1175" t="s">
        <v>2773</v>
      </c>
    </row>
    <row r="1176" spans="1:2" x14ac:dyDescent="0.35">
      <c r="A1176" t="s">
        <v>5191</v>
      </c>
      <c r="B1176" t="s">
        <v>1011</v>
      </c>
    </row>
    <row r="1177" spans="1:2" x14ac:dyDescent="0.35">
      <c r="A1177" t="s">
        <v>5192</v>
      </c>
      <c r="B1177" t="s">
        <v>2783</v>
      </c>
    </row>
    <row r="1178" spans="1:2" x14ac:dyDescent="0.35">
      <c r="A1178" t="s">
        <v>5193</v>
      </c>
      <c r="B1178" t="s">
        <v>1536</v>
      </c>
    </row>
    <row r="1179" spans="1:2" x14ac:dyDescent="0.35">
      <c r="A1179" t="s">
        <v>5194</v>
      </c>
      <c r="B1179" t="s">
        <v>371</v>
      </c>
    </row>
    <row r="1180" spans="1:2" x14ac:dyDescent="0.35">
      <c r="A1180" t="s">
        <v>5195</v>
      </c>
      <c r="B1180" t="s">
        <v>2795</v>
      </c>
    </row>
    <row r="1181" spans="1:2" x14ac:dyDescent="0.35">
      <c r="A1181" t="s">
        <v>5196</v>
      </c>
      <c r="B1181" t="s">
        <v>64</v>
      </c>
    </row>
    <row r="1182" spans="1:2" x14ac:dyDescent="0.35">
      <c r="A1182" t="s">
        <v>5197</v>
      </c>
      <c r="B1182" t="s">
        <v>2815</v>
      </c>
    </row>
    <row r="1183" spans="1:2" x14ac:dyDescent="0.35">
      <c r="A1183" t="s">
        <v>5198</v>
      </c>
      <c r="B1183" t="s">
        <v>4006</v>
      </c>
    </row>
    <row r="1184" spans="1:2" x14ac:dyDescent="0.35">
      <c r="A1184" t="s">
        <v>5199</v>
      </c>
      <c r="B1184" t="s">
        <v>5200</v>
      </c>
    </row>
    <row r="1185" spans="1:2" x14ac:dyDescent="0.35">
      <c r="A1185" t="s">
        <v>5201</v>
      </c>
      <c r="B1185" t="s">
        <v>5202</v>
      </c>
    </row>
    <row r="1186" spans="1:2" x14ac:dyDescent="0.35">
      <c r="A1186" t="s">
        <v>5203</v>
      </c>
      <c r="B1186" t="s">
        <v>4421</v>
      </c>
    </row>
    <row r="1187" spans="1:2" x14ac:dyDescent="0.35">
      <c r="A1187" t="s">
        <v>5204</v>
      </c>
      <c r="B1187" t="s">
        <v>5205</v>
      </c>
    </row>
    <row r="1188" spans="1:2" x14ac:dyDescent="0.35">
      <c r="A1188" t="s">
        <v>5206</v>
      </c>
      <c r="B1188" t="s">
        <v>5207</v>
      </c>
    </row>
    <row r="1189" spans="1:2" x14ac:dyDescent="0.35">
      <c r="A1189" t="s">
        <v>5208</v>
      </c>
      <c r="B1189" t="s">
        <v>1355</v>
      </c>
    </row>
    <row r="1190" spans="1:2" x14ac:dyDescent="0.35">
      <c r="A1190" t="s">
        <v>5209</v>
      </c>
      <c r="B1190" t="s">
        <v>2841</v>
      </c>
    </row>
    <row r="1191" spans="1:2" x14ac:dyDescent="0.35">
      <c r="A1191" t="s">
        <v>5210</v>
      </c>
      <c r="B1191" t="s">
        <v>1316</v>
      </c>
    </row>
    <row r="1192" spans="1:2" x14ac:dyDescent="0.35">
      <c r="A1192" t="s">
        <v>5211</v>
      </c>
      <c r="B1192" t="s">
        <v>3958</v>
      </c>
    </row>
    <row r="1193" spans="1:2" x14ac:dyDescent="0.35">
      <c r="A1193" t="s">
        <v>5212</v>
      </c>
      <c r="B1193" t="s">
        <v>5213</v>
      </c>
    </row>
    <row r="1194" spans="1:2" x14ac:dyDescent="0.35">
      <c r="A1194" t="s">
        <v>5214</v>
      </c>
      <c r="B1194" t="s">
        <v>2705</v>
      </c>
    </row>
    <row r="1195" spans="1:2" x14ac:dyDescent="0.35">
      <c r="A1195" t="s">
        <v>5215</v>
      </c>
      <c r="B1195" t="s">
        <v>386</v>
      </c>
    </row>
    <row r="1196" spans="1:2" x14ac:dyDescent="0.35">
      <c r="A1196" t="s">
        <v>5216</v>
      </c>
      <c r="B1196" t="s">
        <v>2718</v>
      </c>
    </row>
    <row r="1197" spans="1:2" x14ac:dyDescent="0.35">
      <c r="A1197" t="s">
        <v>5217</v>
      </c>
      <c r="B1197" t="s">
        <v>2843</v>
      </c>
    </row>
    <row r="1198" spans="1:2" x14ac:dyDescent="0.35">
      <c r="A1198" t="s">
        <v>5218</v>
      </c>
      <c r="B1198" t="s">
        <v>3071</v>
      </c>
    </row>
    <row r="1199" spans="1:2" x14ac:dyDescent="0.35">
      <c r="A1199" t="s">
        <v>5219</v>
      </c>
      <c r="B1199" t="s">
        <v>2783</v>
      </c>
    </row>
    <row r="1200" spans="1:2" x14ac:dyDescent="0.35">
      <c r="A1200" t="s">
        <v>5220</v>
      </c>
      <c r="B1200" t="s">
        <v>3056</v>
      </c>
    </row>
    <row r="1201" spans="1:2" x14ac:dyDescent="0.35">
      <c r="A1201" t="s">
        <v>5221</v>
      </c>
      <c r="B1201" t="s">
        <v>5222</v>
      </c>
    </row>
    <row r="1202" spans="1:2" x14ac:dyDescent="0.35">
      <c r="A1202" t="s">
        <v>5223</v>
      </c>
      <c r="B1202" t="s">
        <v>5224</v>
      </c>
    </row>
    <row r="1203" spans="1:2" x14ac:dyDescent="0.35">
      <c r="A1203" t="s">
        <v>5225</v>
      </c>
      <c r="B1203" t="s">
        <v>367</v>
      </c>
    </row>
    <row r="1204" spans="1:2" x14ac:dyDescent="0.35">
      <c r="A1204" t="s">
        <v>5226</v>
      </c>
      <c r="B1204" t="s">
        <v>2860</v>
      </c>
    </row>
    <row r="1205" spans="1:2" x14ac:dyDescent="0.35">
      <c r="A1205" t="s">
        <v>5227</v>
      </c>
      <c r="B1205" t="s">
        <v>2752</v>
      </c>
    </row>
    <row r="1206" spans="1:2" x14ac:dyDescent="0.35">
      <c r="A1206" t="s">
        <v>5228</v>
      </c>
      <c r="B1206" t="s">
        <v>5168</v>
      </c>
    </row>
    <row r="1207" spans="1:2" x14ac:dyDescent="0.35">
      <c r="A1207" t="s">
        <v>5229</v>
      </c>
      <c r="B1207" t="s">
        <v>5230</v>
      </c>
    </row>
    <row r="1208" spans="1:2" x14ac:dyDescent="0.35">
      <c r="A1208" t="s">
        <v>5231</v>
      </c>
      <c r="B1208" t="s">
        <v>5232</v>
      </c>
    </row>
    <row r="1209" spans="1:2" x14ac:dyDescent="0.35">
      <c r="A1209" t="s">
        <v>5233</v>
      </c>
      <c r="B1209" t="s">
        <v>307</v>
      </c>
    </row>
    <row r="1210" spans="1:2" x14ac:dyDescent="0.35">
      <c r="A1210" t="s">
        <v>5234</v>
      </c>
      <c r="B1210" t="s">
        <v>2137</v>
      </c>
    </row>
    <row r="1211" spans="1:2" x14ac:dyDescent="0.35">
      <c r="A1211" t="s">
        <v>5235</v>
      </c>
      <c r="B1211" t="s">
        <v>2914</v>
      </c>
    </row>
    <row r="1212" spans="1:2" x14ac:dyDescent="0.35">
      <c r="A1212" t="s">
        <v>5236</v>
      </c>
      <c r="B1212" t="s">
        <v>2042</v>
      </c>
    </row>
    <row r="1213" spans="1:2" x14ac:dyDescent="0.35">
      <c r="A1213" t="s">
        <v>5237</v>
      </c>
      <c r="B1213" t="s">
        <v>1336</v>
      </c>
    </row>
    <row r="1214" spans="1:2" x14ac:dyDescent="0.35">
      <c r="A1214" t="s">
        <v>5238</v>
      </c>
      <c r="B1214" t="s">
        <v>2223</v>
      </c>
    </row>
    <row r="1215" spans="1:2" x14ac:dyDescent="0.35">
      <c r="A1215" t="s">
        <v>5239</v>
      </c>
      <c r="B1215" t="s">
        <v>3750</v>
      </c>
    </row>
    <row r="1216" spans="1:2" x14ac:dyDescent="0.35">
      <c r="A1216" t="s">
        <v>5240</v>
      </c>
      <c r="B1216" t="s">
        <v>3895</v>
      </c>
    </row>
    <row r="1217" spans="1:2" x14ac:dyDescent="0.35">
      <c r="A1217" t="s">
        <v>5241</v>
      </c>
      <c r="B1217" t="s">
        <v>76</v>
      </c>
    </row>
    <row r="1218" spans="1:2" x14ac:dyDescent="0.35">
      <c r="A1218" t="s">
        <v>5242</v>
      </c>
      <c r="B1218" t="s">
        <v>2329</v>
      </c>
    </row>
    <row r="1219" spans="1:2" x14ac:dyDescent="0.35">
      <c r="A1219" t="s">
        <v>5243</v>
      </c>
      <c r="B1219" t="s">
        <v>1761</v>
      </c>
    </row>
    <row r="1220" spans="1:2" x14ac:dyDescent="0.35">
      <c r="A1220" t="s">
        <v>5244</v>
      </c>
      <c r="B1220" t="s">
        <v>1114</v>
      </c>
    </row>
    <row r="1221" spans="1:2" x14ac:dyDescent="0.35">
      <c r="A1221" t="s">
        <v>5245</v>
      </c>
      <c r="B1221" t="s">
        <v>1034</v>
      </c>
    </row>
    <row r="1222" spans="1:2" x14ac:dyDescent="0.35">
      <c r="A1222" t="s">
        <v>5246</v>
      </c>
      <c r="B1222" t="s">
        <v>1112</v>
      </c>
    </row>
    <row r="1223" spans="1:2" x14ac:dyDescent="0.35">
      <c r="A1223" t="s">
        <v>5247</v>
      </c>
      <c r="B1223" t="s">
        <v>1286</v>
      </c>
    </row>
    <row r="1224" spans="1:2" x14ac:dyDescent="0.35">
      <c r="A1224" t="s">
        <v>5248</v>
      </c>
      <c r="B1224" t="s">
        <v>1815</v>
      </c>
    </row>
    <row r="1225" spans="1:2" x14ac:dyDescent="0.35">
      <c r="A1225" t="s">
        <v>5249</v>
      </c>
      <c r="B1225" t="s">
        <v>4220</v>
      </c>
    </row>
    <row r="1226" spans="1:2" x14ac:dyDescent="0.35">
      <c r="A1226" t="s">
        <v>5250</v>
      </c>
      <c r="B1226" t="s">
        <v>2131</v>
      </c>
    </row>
    <row r="1227" spans="1:2" x14ac:dyDescent="0.35">
      <c r="A1227" t="s">
        <v>5251</v>
      </c>
      <c r="B1227" t="s">
        <v>2133</v>
      </c>
    </row>
    <row r="1228" spans="1:2" x14ac:dyDescent="0.35">
      <c r="A1228" t="s">
        <v>5252</v>
      </c>
      <c r="B1228" t="s">
        <v>3303</v>
      </c>
    </row>
    <row r="1229" spans="1:2" x14ac:dyDescent="0.35">
      <c r="A1229" t="s">
        <v>5253</v>
      </c>
      <c r="B1229" t="s">
        <v>3330</v>
      </c>
    </row>
    <row r="1230" spans="1:2" x14ac:dyDescent="0.35">
      <c r="A1230" t="s">
        <v>5254</v>
      </c>
      <c r="B1230" t="s">
        <v>3337</v>
      </c>
    </row>
    <row r="1231" spans="1:2" x14ac:dyDescent="0.35">
      <c r="A1231" t="s">
        <v>5255</v>
      </c>
      <c r="B1231" t="s">
        <v>3988</v>
      </c>
    </row>
    <row r="1232" spans="1:2" x14ac:dyDescent="0.35">
      <c r="A1232" t="s">
        <v>2144</v>
      </c>
      <c r="B1232" t="s">
        <v>4170</v>
      </c>
    </row>
    <row r="1233" spans="1:2" x14ac:dyDescent="0.35">
      <c r="A1233" t="s">
        <v>5256</v>
      </c>
      <c r="B1233" t="s">
        <v>4080</v>
      </c>
    </row>
    <row r="1234" spans="1:2" x14ac:dyDescent="0.35">
      <c r="A1234" t="s">
        <v>5257</v>
      </c>
      <c r="B1234" t="s">
        <v>2393</v>
      </c>
    </row>
    <row r="1235" spans="1:2" x14ac:dyDescent="0.35">
      <c r="A1235" t="s">
        <v>5258</v>
      </c>
      <c r="B1235" t="s">
        <v>3307</v>
      </c>
    </row>
    <row r="1236" spans="1:2" x14ac:dyDescent="0.35">
      <c r="A1236" t="s">
        <v>5259</v>
      </c>
      <c r="B1236" t="s">
        <v>1217</v>
      </c>
    </row>
    <row r="1237" spans="1:2" x14ac:dyDescent="0.35">
      <c r="A1237" t="s">
        <v>5260</v>
      </c>
      <c r="B1237" t="s">
        <v>1424</v>
      </c>
    </row>
    <row r="1238" spans="1:2" x14ac:dyDescent="0.35">
      <c r="A1238" t="s">
        <v>5261</v>
      </c>
      <c r="B1238" t="s">
        <v>1885</v>
      </c>
    </row>
    <row r="1239" spans="1:2" x14ac:dyDescent="0.35">
      <c r="A1239" t="s">
        <v>5262</v>
      </c>
      <c r="B1239" t="s">
        <v>2146</v>
      </c>
    </row>
    <row r="1240" spans="1:2" x14ac:dyDescent="0.35">
      <c r="A1240" t="s">
        <v>5263</v>
      </c>
      <c r="B1240" t="s">
        <v>2391</v>
      </c>
    </row>
    <row r="1241" spans="1:2" x14ac:dyDescent="0.35">
      <c r="A1241" t="s">
        <v>5264</v>
      </c>
      <c r="B1241" t="s">
        <v>1767</v>
      </c>
    </row>
    <row r="1242" spans="1:2" x14ac:dyDescent="0.35">
      <c r="A1242" t="s">
        <v>5265</v>
      </c>
      <c r="B1242" t="s">
        <v>3574</v>
      </c>
    </row>
    <row r="1243" spans="1:2" x14ac:dyDescent="0.35">
      <c r="A1243" t="s">
        <v>5266</v>
      </c>
      <c r="B1243" t="s">
        <v>511</v>
      </c>
    </row>
    <row r="1244" spans="1:2" x14ac:dyDescent="0.35">
      <c r="A1244" t="s">
        <v>5267</v>
      </c>
      <c r="B1244" t="s">
        <v>2962</v>
      </c>
    </row>
    <row r="1245" spans="1:2" x14ac:dyDescent="0.35">
      <c r="A1245" t="s">
        <v>5268</v>
      </c>
      <c r="B1245" t="s">
        <v>3065</v>
      </c>
    </row>
    <row r="1246" spans="1:2" x14ac:dyDescent="0.35">
      <c r="A1246" t="s">
        <v>5269</v>
      </c>
      <c r="B1246" t="s">
        <v>5270</v>
      </c>
    </row>
    <row r="1247" spans="1:2" x14ac:dyDescent="0.35">
      <c r="A1247" t="s">
        <v>5271</v>
      </c>
      <c r="B1247" t="s">
        <v>3062</v>
      </c>
    </row>
    <row r="1248" spans="1:2" x14ac:dyDescent="0.35">
      <c r="A1248" t="s">
        <v>5272</v>
      </c>
      <c r="B1248" t="s">
        <v>175</v>
      </c>
    </row>
    <row r="1249" spans="1:2" x14ac:dyDescent="0.35">
      <c r="A1249" t="s">
        <v>5273</v>
      </c>
      <c r="B1249" t="s">
        <v>1091</v>
      </c>
    </row>
    <row r="1250" spans="1:2" x14ac:dyDescent="0.35">
      <c r="A1250" t="s">
        <v>5274</v>
      </c>
      <c r="B1250" t="s">
        <v>1621</v>
      </c>
    </row>
    <row r="1251" spans="1:2" x14ac:dyDescent="0.35">
      <c r="A1251" t="s">
        <v>5275</v>
      </c>
      <c r="B1251" t="s">
        <v>1623</v>
      </c>
    </row>
    <row r="1252" spans="1:2" x14ac:dyDescent="0.35">
      <c r="A1252" t="s">
        <v>5276</v>
      </c>
      <c r="B1252" t="s">
        <v>1898</v>
      </c>
    </row>
    <row r="1253" spans="1:2" x14ac:dyDescent="0.35">
      <c r="A1253" t="s">
        <v>5277</v>
      </c>
      <c r="B1253" t="s">
        <v>1900</v>
      </c>
    </row>
    <row r="1254" spans="1:2" x14ac:dyDescent="0.35">
      <c r="A1254" t="s">
        <v>5278</v>
      </c>
      <c r="B1254" t="s">
        <v>1924</v>
      </c>
    </row>
    <row r="1255" spans="1:2" x14ac:dyDescent="0.35">
      <c r="A1255" t="s">
        <v>5279</v>
      </c>
      <c r="B1255" t="s">
        <v>2790</v>
      </c>
    </row>
    <row r="1256" spans="1:2" x14ac:dyDescent="0.35">
      <c r="A1256" t="s">
        <v>5280</v>
      </c>
      <c r="B1256" t="s">
        <v>2945</v>
      </c>
    </row>
    <row r="1257" spans="1:2" x14ac:dyDescent="0.35">
      <c r="A1257" t="s">
        <v>5281</v>
      </c>
      <c r="B1257" t="s">
        <v>2960</v>
      </c>
    </row>
    <row r="1258" spans="1:2" x14ac:dyDescent="0.35">
      <c r="A1258" t="s">
        <v>5282</v>
      </c>
      <c r="B1258" t="s">
        <v>2964</v>
      </c>
    </row>
    <row r="1259" spans="1:2" x14ac:dyDescent="0.35">
      <c r="A1259" t="s">
        <v>5283</v>
      </c>
      <c r="B1259" t="s">
        <v>2985</v>
      </c>
    </row>
    <row r="1260" spans="1:2" x14ac:dyDescent="0.35">
      <c r="A1260" t="s">
        <v>5284</v>
      </c>
      <c r="B1260" t="s">
        <v>3435</v>
      </c>
    </row>
    <row r="1261" spans="1:2" x14ac:dyDescent="0.35">
      <c r="A1261" t="s">
        <v>5285</v>
      </c>
      <c r="B1261" t="s">
        <v>3509</v>
      </c>
    </row>
    <row r="1262" spans="1:2" x14ac:dyDescent="0.35">
      <c r="A1262" t="s">
        <v>5286</v>
      </c>
      <c r="B1262" t="s">
        <v>3513</v>
      </c>
    </row>
    <row r="1263" spans="1:2" x14ac:dyDescent="0.35">
      <c r="A1263" t="s">
        <v>5287</v>
      </c>
      <c r="B1263" t="s">
        <v>3515</v>
      </c>
    </row>
    <row r="1264" spans="1:2" x14ac:dyDescent="0.35">
      <c r="A1264" t="s">
        <v>5288</v>
      </c>
      <c r="B1264" t="s">
        <v>3517</v>
      </c>
    </row>
    <row r="1265" spans="1:2" x14ac:dyDescent="0.35">
      <c r="A1265" t="s">
        <v>5289</v>
      </c>
      <c r="B1265" t="s">
        <v>3565</v>
      </c>
    </row>
    <row r="1266" spans="1:2" x14ac:dyDescent="0.35">
      <c r="A1266" t="s">
        <v>5290</v>
      </c>
      <c r="B1266" t="s">
        <v>3824</v>
      </c>
    </row>
    <row r="1267" spans="1:2" x14ac:dyDescent="0.35">
      <c r="A1267" t="s">
        <v>5291</v>
      </c>
      <c r="B1267" t="s">
        <v>3918</v>
      </c>
    </row>
    <row r="1268" spans="1:2" x14ac:dyDescent="0.35">
      <c r="A1268" t="s">
        <v>5292</v>
      </c>
      <c r="B1268" t="s">
        <v>2977</v>
      </c>
    </row>
    <row r="1269" spans="1:2" x14ac:dyDescent="0.35">
      <c r="A1269" t="s">
        <v>5293</v>
      </c>
      <c r="B1269" t="s">
        <v>818</v>
      </c>
    </row>
    <row r="1270" spans="1:2" x14ac:dyDescent="0.35">
      <c r="A1270" t="s">
        <v>5294</v>
      </c>
      <c r="B1270" t="s">
        <v>202</v>
      </c>
    </row>
    <row r="1271" spans="1:2" x14ac:dyDescent="0.35">
      <c r="A1271" t="s">
        <v>5295</v>
      </c>
      <c r="B1271" t="s">
        <v>623</v>
      </c>
    </row>
    <row r="1272" spans="1:2" x14ac:dyDescent="0.35">
      <c r="A1272" t="s">
        <v>5296</v>
      </c>
      <c r="B1272" t="s">
        <v>1334</v>
      </c>
    </row>
    <row r="1273" spans="1:2" x14ac:dyDescent="0.35">
      <c r="A1273" t="s">
        <v>5297</v>
      </c>
      <c r="B1273" t="s">
        <v>464</v>
      </c>
    </row>
    <row r="1274" spans="1:2" x14ac:dyDescent="0.35">
      <c r="A1274" t="s">
        <v>5298</v>
      </c>
      <c r="B1274" t="s">
        <v>933</v>
      </c>
    </row>
    <row r="1275" spans="1:2" x14ac:dyDescent="0.35">
      <c r="A1275" t="s">
        <v>5299</v>
      </c>
      <c r="B1275" t="s">
        <v>931</v>
      </c>
    </row>
    <row r="1276" spans="1:2" x14ac:dyDescent="0.35">
      <c r="A1276" t="s">
        <v>5300</v>
      </c>
      <c r="B1276" t="s">
        <v>929</v>
      </c>
    </row>
    <row r="1277" spans="1:2" x14ac:dyDescent="0.35">
      <c r="A1277" t="s">
        <v>5301</v>
      </c>
      <c r="B1277" t="s">
        <v>1569</v>
      </c>
    </row>
    <row r="1278" spans="1:2" x14ac:dyDescent="0.35">
      <c r="A1278" t="s">
        <v>5302</v>
      </c>
      <c r="B1278" t="s">
        <v>925</v>
      </c>
    </row>
    <row r="1279" spans="1:2" x14ac:dyDescent="0.35">
      <c r="A1279" t="s">
        <v>5303</v>
      </c>
      <c r="B1279" t="s">
        <v>3026</v>
      </c>
    </row>
    <row r="1280" spans="1:2" x14ac:dyDescent="0.35">
      <c r="A1280" t="s">
        <v>5304</v>
      </c>
      <c r="B1280" t="s">
        <v>99</v>
      </c>
    </row>
    <row r="1281" spans="1:2" x14ac:dyDescent="0.35">
      <c r="A1281" t="s">
        <v>5305</v>
      </c>
      <c r="B1281" t="s">
        <v>584</v>
      </c>
    </row>
    <row r="1282" spans="1:2" x14ac:dyDescent="0.35">
      <c r="A1282" t="s">
        <v>5306</v>
      </c>
      <c r="B1282" t="s">
        <v>786</v>
      </c>
    </row>
    <row r="1283" spans="1:2" x14ac:dyDescent="0.35">
      <c r="A1283" t="s">
        <v>5307</v>
      </c>
      <c r="B1283" t="s">
        <v>2711</v>
      </c>
    </row>
    <row r="1284" spans="1:2" x14ac:dyDescent="0.35">
      <c r="A1284" t="s">
        <v>5308</v>
      </c>
      <c r="B1284" t="s">
        <v>2928</v>
      </c>
    </row>
    <row r="1285" spans="1:2" x14ac:dyDescent="0.35">
      <c r="A1285" t="s">
        <v>5309</v>
      </c>
      <c r="B1285" t="s">
        <v>4002</v>
      </c>
    </row>
    <row r="1286" spans="1:2" x14ac:dyDescent="0.35">
      <c r="A1286" t="s">
        <v>5310</v>
      </c>
      <c r="B1286" t="s">
        <v>3587</v>
      </c>
    </row>
    <row r="1287" spans="1:2" x14ac:dyDescent="0.35">
      <c r="A1287" t="s">
        <v>5311</v>
      </c>
      <c r="B1287" t="s">
        <v>3032</v>
      </c>
    </row>
    <row r="1288" spans="1:2" x14ac:dyDescent="0.35">
      <c r="A1288" t="s">
        <v>5312</v>
      </c>
      <c r="B1288" t="s">
        <v>3601</v>
      </c>
    </row>
    <row r="1289" spans="1:2" x14ac:dyDescent="0.35">
      <c r="A1289" t="s">
        <v>5313</v>
      </c>
      <c r="B1289" t="s">
        <v>3046</v>
      </c>
    </row>
    <row r="1290" spans="1:2" x14ac:dyDescent="0.35">
      <c r="A1290" t="s">
        <v>5314</v>
      </c>
      <c r="B1290" t="s">
        <v>892</v>
      </c>
    </row>
    <row r="1291" spans="1:2" x14ac:dyDescent="0.35">
      <c r="A1291" t="s">
        <v>5315</v>
      </c>
      <c r="B1291" t="s">
        <v>5316</v>
      </c>
    </row>
    <row r="1292" spans="1:2" x14ac:dyDescent="0.35">
      <c r="A1292" t="s">
        <v>5317</v>
      </c>
      <c r="B1292" t="s">
        <v>5318</v>
      </c>
    </row>
    <row r="1293" spans="1:2" x14ac:dyDescent="0.35">
      <c r="A1293" t="s">
        <v>5319</v>
      </c>
      <c r="B1293" t="s">
        <v>5320</v>
      </c>
    </row>
    <row r="1294" spans="1:2" x14ac:dyDescent="0.35">
      <c r="A1294" t="s">
        <v>5321</v>
      </c>
      <c r="B1294" t="s">
        <v>5322</v>
      </c>
    </row>
    <row r="1295" spans="1:2" x14ac:dyDescent="0.35">
      <c r="A1295" t="s">
        <v>5323</v>
      </c>
      <c r="B1295" t="s">
        <v>2492</v>
      </c>
    </row>
    <row r="1296" spans="1:2" x14ac:dyDescent="0.35">
      <c r="A1296" t="s">
        <v>5324</v>
      </c>
      <c r="B1296" t="s">
        <v>170</v>
      </c>
    </row>
    <row r="1297" spans="1:2" x14ac:dyDescent="0.35">
      <c r="A1297" t="s">
        <v>5325</v>
      </c>
      <c r="B1297" t="s">
        <v>3101</v>
      </c>
    </row>
    <row r="1298" spans="1:2" x14ac:dyDescent="0.35">
      <c r="A1298" t="s">
        <v>5326</v>
      </c>
      <c r="B1298" t="s">
        <v>1922</v>
      </c>
    </row>
    <row r="1299" spans="1:2" x14ac:dyDescent="0.35">
      <c r="A1299" t="s">
        <v>5327</v>
      </c>
      <c r="B1299" t="s">
        <v>3526</v>
      </c>
    </row>
    <row r="1300" spans="1:2" x14ac:dyDescent="0.35">
      <c r="A1300" t="s">
        <v>5328</v>
      </c>
      <c r="B1300" t="s">
        <v>2935</v>
      </c>
    </row>
    <row r="1301" spans="1:2" x14ac:dyDescent="0.35">
      <c r="A1301" t="s">
        <v>5329</v>
      </c>
      <c r="B1301" t="s">
        <v>3295</v>
      </c>
    </row>
    <row r="1302" spans="1:2" x14ac:dyDescent="0.35">
      <c r="A1302" t="s">
        <v>5330</v>
      </c>
      <c r="B1302" t="s">
        <v>2095</v>
      </c>
    </row>
    <row r="1303" spans="1:2" x14ac:dyDescent="0.35">
      <c r="A1303" t="s">
        <v>5331</v>
      </c>
      <c r="B1303" t="s">
        <v>1422</v>
      </c>
    </row>
    <row r="1304" spans="1:2" x14ac:dyDescent="0.35">
      <c r="A1304" t="s">
        <v>5332</v>
      </c>
      <c r="B1304" t="s">
        <v>145</v>
      </c>
    </row>
    <row r="1305" spans="1:2" x14ac:dyDescent="0.35">
      <c r="A1305" t="s">
        <v>5333</v>
      </c>
      <c r="B1305" t="s">
        <v>890</v>
      </c>
    </row>
    <row r="1306" spans="1:2" x14ac:dyDescent="0.35">
      <c r="A1306" t="s">
        <v>5334</v>
      </c>
      <c r="B1306" t="s">
        <v>5335</v>
      </c>
    </row>
    <row r="1307" spans="1:2" x14ac:dyDescent="0.35">
      <c r="A1307" t="s">
        <v>5336</v>
      </c>
      <c r="B1307" t="s">
        <v>5337</v>
      </c>
    </row>
    <row r="1308" spans="1:2" x14ac:dyDescent="0.35">
      <c r="A1308" t="s">
        <v>5338</v>
      </c>
      <c r="B1308" t="s">
        <v>5339</v>
      </c>
    </row>
    <row r="1309" spans="1:2" x14ac:dyDescent="0.35">
      <c r="A1309" t="s">
        <v>5340</v>
      </c>
      <c r="B1309" t="s">
        <v>3104</v>
      </c>
    </row>
    <row r="1310" spans="1:2" x14ac:dyDescent="0.35">
      <c r="A1310" t="s">
        <v>5341</v>
      </c>
      <c r="B1310" t="s">
        <v>3106</v>
      </c>
    </row>
    <row r="1311" spans="1:2" x14ac:dyDescent="0.35">
      <c r="A1311" t="s">
        <v>5342</v>
      </c>
      <c r="B1311" t="s">
        <v>3190</v>
      </c>
    </row>
    <row r="1312" spans="1:2" x14ac:dyDescent="0.35">
      <c r="A1312" t="s">
        <v>945</v>
      </c>
      <c r="B1312" t="s">
        <v>4205</v>
      </c>
    </row>
    <row r="1313" spans="1:2" x14ac:dyDescent="0.35">
      <c r="A1313" t="s">
        <v>5343</v>
      </c>
      <c r="B1313" t="s">
        <v>58</v>
      </c>
    </row>
    <row r="1314" spans="1:2" x14ac:dyDescent="0.35">
      <c r="A1314" t="s">
        <v>5344</v>
      </c>
      <c r="B1314" t="s">
        <v>2084</v>
      </c>
    </row>
    <row r="1315" spans="1:2" x14ac:dyDescent="0.35">
      <c r="A1315" t="s">
        <v>5345</v>
      </c>
      <c r="B1315" t="s">
        <v>2086</v>
      </c>
    </row>
    <row r="1316" spans="1:2" x14ac:dyDescent="0.35">
      <c r="A1316" t="s">
        <v>5346</v>
      </c>
      <c r="B1316" t="s">
        <v>2943</v>
      </c>
    </row>
    <row r="1317" spans="1:2" x14ac:dyDescent="0.35">
      <c r="A1317" t="s">
        <v>5347</v>
      </c>
      <c r="B1317" t="s">
        <v>3111</v>
      </c>
    </row>
    <row r="1318" spans="1:2" x14ac:dyDescent="0.35">
      <c r="A1318" t="s">
        <v>5348</v>
      </c>
      <c r="B1318" t="s">
        <v>3394</v>
      </c>
    </row>
    <row r="1319" spans="1:2" x14ac:dyDescent="0.35">
      <c r="A1319" t="s">
        <v>5349</v>
      </c>
      <c r="B1319" t="s">
        <v>3113</v>
      </c>
    </row>
    <row r="1320" spans="1:2" x14ac:dyDescent="0.35">
      <c r="A1320" t="s">
        <v>5350</v>
      </c>
      <c r="B1320" t="s">
        <v>1837</v>
      </c>
    </row>
    <row r="1321" spans="1:2" x14ac:dyDescent="0.35">
      <c r="A1321" t="s">
        <v>5351</v>
      </c>
      <c r="B1321" t="s">
        <v>1038</v>
      </c>
    </row>
    <row r="1322" spans="1:2" x14ac:dyDescent="0.35">
      <c r="A1322" t="s">
        <v>5352</v>
      </c>
      <c r="B1322" t="s">
        <v>1040</v>
      </c>
    </row>
    <row r="1323" spans="1:2" x14ac:dyDescent="0.35">
      <c r="A1323" t="s">
        <v>5353</v>
      </c>
      <c r="B1323" t="s">
        <v>3618</v>
      </c>
    </row>
    <row r="1324" spans="1:2" x14ac:dyDescent="0.35">
      <c r="A1324" t="s">
        <v>5354</v>
      </c>
      <c r="B1324" t="s">
        <v>1096</v>
      </c>
    </row>
    <row r="1325" spans="1:2" x14ac:dyDescent="0.35">
      <c r="A1325" t="s">
        <v>5355</v>
      </c>
      <c r="B1325" t="s">
        <v>211</v>
      </c>
    </row>
    <row r="1326" spans="1:2" x14ac:dyDescent="0.35">
      <c r="A1326" t="s">
        <v>5356</v>
      </c>
      <c r="B1326" t="s">
        <v>3010</v>
      </c>
    </row>
    <row r="1327" spans="1:2" x14ac:dyDescent="0.35">
      <c r="A1327" t="s">
        <v>5357</v>
      </c>
      <c r="B1327" t="s">
        <v>1162</v>
      </c>
    </row>
    <row r="1328" spans="1:2" x14ac:dyDescent="0.35">
      <c r="A1328" t="s">
        <v>5358</v>
      </c>
      <c r="B1328" t="s">
        <v>2204</v>
      </c>
    </row>
    <row r="1329" spans="1:2" x14ac:dyDescent="0.35">
      <c r="A1329" t="s">
        <v>5359</v>
      </c>
      <c r="B1329" t="s">
        <v>1527</v>
      </c>
    </row>
    <row r="1330" spans="1:2" x14ac:dyDescent="0.35">
      <c r="A1330" t="s">
        <v>5360</v>
      </c>
      <c r="B1330" t="s">
        <v>3297</v>
      </c>
    </row>
    <row r="1331" spans="1:2" x14ac:dyDescent="0.35">
      <c r="A1331" t="s">
        <v>5361</v>
      </c>
      <c r="B1331" t="s">
        <v>2773</v>
      </c>
    </row>
    <row r="1332" spans="1:2" x14ac:dyDescent="0.35">
      <c r="A1332" t="s">
        <v>5362</v>
      </c>
      <c r="B1332" t="s">
        <v>3289</v>
      </c>
    </row>
    <row r="1333" spans="1:2" x14ac:dyDescent="0.35">
      <c r="A1333" t="s">
        <v>5363</v>
      </c>
      <c r="B1333" t="s">
        <v>3139</v>
      </c>
    </row>
    <row r="1334" spans="1:2" x14ac:dyDescent="0.35">
      <c r="A1334" t="s">
        <v>5364</v>
      </c>
      <c r="B1334" t="s">
        <v>2889</v>
      </c>
    </row>
    <row r="1335" spans="1:2" x14ac:dyDescent="0.35">
      <c r="A1335" t="s">
        <v>5365</v>
      </c>
      <c r="B1335" t="s">
        <v>3120</v>
      </c>
    </row>
    <row r="1336" spans="1:2" x14ac:dyDescent="0.35">
      <c r="A1336" t="s">
        <v>5366</v>
      </c>
      <c r="B1336" t="s">
        <v>3291</v>
      </c>
    </row>
    <row r="1337" spans="1:2" x14ac:dyDescent="0.35">
      <c r="A1337" t="s">
        <v>5367</v>
      </c>
      <c r="B1337" t="s">
        <v>1857</v>
      </c>
    </row>
    <row r="1338" spans="1:2" x14ac:dyDescent="0.35">
      <c r="A1338" t="s">
        <v>5368</v>
      </c>
      <c r="B1338" t="s">
        <v>4223</v>
      </c>
    </row>
    <row r="1339" spans="1:2" x14ac:dyDescent="0.35">
      <c r="A1339" t="s">
        <v>5369</v>
      </c>
      <c r="B1339" t="s">
        <v>851</v>
      </c>
    </row>
    <row r="1340" spans="1:2" x14ac:dyDescent="0.35">
      <c r="A1340" t="s">
        <v>5370</v>
      </c>
      <c r="B1340" t="s">
        <v>4221</v>
      </c>
    </row>
    <row r="1341" spans="1:2" x14ac:dyDescent="0.35">
      <c r="A1341" t="s">
        <v>5371</v>
      </c>
      <c r="B1341" t="s">
        <v>371</v>
      </c>
    </row>
    <row r="1342" spans="1:2" x14ac:dyDescent="0.35">
      <c r="A1342" t="s">
        <v>5372</v>
      </c>
      <c r="B1342" t="s">
        <v>166</v>
      </c>
    </row>
    <row r="1343" spans="1:2" x14ac:dyDescent="0.35">
      <c r="A1343" t="s">
        <v>5373</v>
      </c>
      <c r="B1343" t="s">
        <v>1720</v>
      </c>
    </row>
    <row r="1344" spans="1:2" x14ac:dyDescent="0.35">
      <c r="A1344" t="s">
        <v>5374</v>
      </c>
      <c r="B1344" t="s">
        <v>1738</v>
      </c>
    </row>
    <row r="1345" spans="1:2" x14ac:dyDescent="0.35">
      <c r="A1345" t="s">
        <v>5375</v>
      </c>
      <c r="B1345" t="s">
        <v>888</v>
      </c>
    </row>
    <row r="1346" spans="1:2" x14ac:dyDescent="0.35">
      <c r="A1346" t="s">
        <v>5376</v>
      </c>
      <c r="B1346" t="s">
        <v>3246</v>
      </c>
    </row>
    <row r="1347" spans="1:2" x14ac:dyDescent="0.35">
      <c r="A1347" t="s">
        <v>5377</v>
      </c>
      <c r="B1347" t="s">
        <v>1474</v>
      </c>
    </row>
    <row r="1348" spans="1:2" x14ac:dyDescent="0.35">
      <c r="A1348" t="s">
        <v>5378</v>
      </c>
      <c r="B1348" t="s">
        <v>2357</v>
      </c>
    </row>
    <row r="1349" spans="1:2" x14ac:dyDescent="0.35">
      <c r="A1349" t="s">
        <v>5379</v>
      </c>
      <c r="B1349" t="s">
        <v>5380</v>
      </c>
    </row>
    <row r="1350" spans="1:2" x14ac:dyDescent="0.35">
      <c r="A1350" t="s">
        <v>5381</v>
      </c>
      <c r="B1350" t="s">
        <v>5382</v>
      </c>
    </row>
    <row r="1351" spans="1:2" x14ac:dyDescent="0.35">
      <c r="A1351" t="s">
        <v>5383</v>
      </c>
      <c r="B1351" t="s">
        <v>3587</v>
      </c>
    </row>
    <row r="1352" spans="1:2" x14ac:dyDescent="0.35">
      <c r="A1352" t="s">
        <v>5384</v>
      </c>
      <c r="B1352" t="s">
        <v>2017</v>
      </c>
    </row>
    <row r="1353" spans="1:2" x14ac:dyDescent="0.35">
      <c r="A1353" t="s">
        <v>5385</v>
      </c>
      <c r="B1353" t="s">
        <v>1332</v>
      </c>
    </row>
    <row r="1354" spans="1:2" x14ac:dyDescent="0.35">
      <c r="A1354" t="s">
        <v>5386</v>
      </c>
      <c r="B1354" t="s">
        <v>3264</v>
      </c>
    </row>
    <row r="1355" spans="1:2" x14ac:dyDescent="0.35">
      <c r="A1355" t="s">
        <v>5387</v>
      </c>
      <c r="B1355" t="s">
        <v>692</v>
      </c>
    </row>
    <row r="1356" spans="1:2" x14ac:dyDescent="0.35">
      <c r="A1356" t="s">
        <v>5388</v>
      </c>
      <c r="B1356" t="s">
        <v>3555</v>
      </c>
    </row>
    <row r="1357" spans="1:2" x14ac:dyDescent="0.35">
      <c r="A1357" t="s">
        <v>5389</v>
      </c>
      <c r="B1357" t="s">
        <v>480</v>
      </c>
    </row>
    <row r="1358" spans="1:2" x14ac:dyDescent="0.35">
      <c r="A1358" t="s">
        <v>5390</v>
      </c>
      <c r="B1358" t="s">
        <v>2644</v>
      </c>
    </row>
    <row r="1359" spans="1:2" x14ac:dyDescent="0.35">
      <c r="A1359" t="s">
        <v>5391</v>
      </c>
      <c r="B1359" t="s">
        <v>2955</v>
      </c>
    </row>
    <row r="1360" spans="1:2" x14ac:dyDescent="0.35">
      <c r="A1360" t="s">
        <v>5392</v>
      </c>
      <c r="B1360" t="s">
        <v>3553</v>
      </c>
    </row>
    <row r="1361" spans="1:2" x14ac:dyDescent="0.35">
      <c r="A1361" t="s">
        <v>5393</v>
      </c>
      <c r="B1361" t="s">
        <v>3585</v>
      </c>
    </row>
    <row r="1362" spans="1:2" x14ac:dyDescent="0.35">
      <c r="A1362" t="s">
        <v>5394</v>
      </c>
      <c r="B1362" t="s">
        <v>3309</v>
      </c>
    </row>
    <row r="1363" spans="1:2" x14ac:dyDescent="0.35">
      <c r="A1363" t="s">
        <v>5395</v>
      </c>
      <c r="B1363" t="s">
        <v>1775</v>
      </c>
    </row>
    <row r="1364" spans="1:2" x14ac:dyDescent="0.35">
      <c r="A1364" t="s">
        <v>5396</v>
      </c>
      <c r="B1364" t="s">
        <v>2466</v>
      </c>
    </row>
    <row r="1365" spans="1:2" x14ac:dyDescent="0.35">
      <c r="A1365" t="s">
        <v>5397</v>
      </c>
      <c r="B1365" t="s">
        <v>3315</v>
      </c>
    </row>
    <row r="1366" spans="1:2" x14ac:dyDescent="0.35">
      <c r="A1366" t="s">
        <v>5398</v>
      </c>
      <c r="B1366" t="s">
        <v>2668</v>
      </c>
    </row>
    <row r="1367" spans="1:2" x14ac:dyDescent="0.35">
      <c r="A1367" t="s">
        <v>5399</v>
      </c>
      <c r="B1367" t="s">
        <v>3572</v>
      </c>
    </row>
    <row r="1368" spans="1:2" x14ac:dyDescent="0.35">
      <c r="A1368" t="s">
        <v>5400</v>
      </c>
      <c r="B1368" t="s">
        <v>3141</v>
      </c>
    </row>
    <row r="1369" spans="1:2" x14ac:dyDescent="0.35">
      <c r="A1369" t="s">
        <v>5401</v>
      </c>
      <c r="B1369" t="s">
        <v>3952</v>
      </c>
    </row>
    <row r="1370" spans="1:2" x14ac:dyDescent="0.35">
      <c r="A1370" t="s">
        <v>5402</v>
      </c>
      <c r="B1370" t="s">
        <v>3324</v>
      </c>
    </row>
    <row r="1371" spans="1:2" x14ac:dyDescent="0.35">
      <c r="A1371" t="s">
        <v>5403</v>
      </c>
      <c r="B1371" t="s">
        <v>4206</v>
      </c>
    </row>
    <row r="1372" spans="1:2" x14ac:dyDescent="0.35">
      <c r="A1372" t="s">
        <v>5404</v>
      </c>
      <c r="B1372" t="s">
        <v>5405</v>
      </c>
    </row>
    <row r="1373" spans="1:2" x14ac:dyDescent="0.35">
      <c r="A1373" t="s">
        <v>5406</v>
      </c>
      <c r="B1373" t="s">
        <v>5407</v>
      </c>
    </row>
    <row r="1374" spans="1:2" x14ac:dyDescent="0.35">
      <c r="A1374" t="s">
        <v>5408</v>
      </c>
      <c r="B1374" t="s">
        <v>5409</v>
      </c>
    </row>
    <row r="1375" spans="1:2" x14ac:dyDescent="0.35">
      <c r="A1375" t="s">
        <v>5410</v>
      </c>
      <c r="B1375" t="s">
        <v>5411</v>
      </c>
    </row>
    <row r="1376" spans="1:2" x14ac:dyDescent="0.35">
      <c r="A1376" t="s">
        <v>5412</v>
      </c>
      <c r="B1376" t="s">
        <v>5413</v>
      </c>
    </row>
    <row r="1377" spans="1:2" x14ac:dyDescent="0.35">
      <c r="A1377" t="s">
        <v>1668</v>
      </c>
      <c r="B1377" t="s">
        <v>4270</v>
      </c>
    </row>
    <row r="1378" spans="1:2" x14ac:dyDescent="0.35">
      <c r="A1378" t="s">
        <v>5414</v>
      </c>
      <c r="B1378" t="s">
        <v>2014</v>
      </c>
    </row>
    <row r="1379" spans="1:2" x14ac:dyDescent="0.35">
      <c r="A1379" t="s">
        <v>5415</v>
      </c>
      <c r="B1379" t="s">
        <v>1464</v>
      </c>
    </row>
    <row r="1380" spans="1:2" x14ac:dyDescent="0.35">
      <c r="A1380" t="s">
        <v>5416</v>
      </c>
      <c r="B1380" t="s">
        <v>1879</v>
      </c>
    </row>
    <row r="1381" spans="1:2" x14ac:dyDescent="0.35">
      <c r="A1381" t="s">
        <v>3399</v>
      </c>
      <c r="B1381" t="s">
        <v>3398</v>
      </c>
    </row>
    <row r="1382" spans="1:2" x14ac:dyDescent="0.35">
      <c r="A1382" t="s">
        <v>5417</v>
      </c>
      <c r="B1382" t="s">
        <v>3396</v>
      </c>
    </row>
    <row r="1383" spans="1:2" x14ac:dyDescent="0.35">
      <c r="A1383" t="s">
        <v>5418</v>
      </c>
      <c r="B1383" t="s">
        <v>1295</v>
      </c>
    </row>
    <row r="1384" spans="1:2" x14ac:dyDescent="0.35">
      <c r="A1384" t="s">
        <v>5419</v>
      </c>
      <c r="B1384" t="s">
        <v>1343</v>
      </c>
    </row>
    <row r="1385" spans="1:2" x14ac:dyDescent="0.35">
      <c r="A1385" t="s">
        <v>5420</v>
      </c>
      <c r="B1385" t="s">
        <v>78</v>
      </c>
    </row>
    <row r="1386" spans="1:2" x14ac:dyDescent="0.35">
      <c r="A1386" t="s">
        <v>5421</v>
      </c>
      <c r="B1386" t="s">
        <v>1263</v>
      </c>
    </row>
    <row r="1387" spans="1:2" x14ac:dyDescent="0.35">
      <c r="A1387" t="s">
        <v>5422</v>
      </c>
      <c r="B1387" t="s">
        <v>2906</v>
      </c>
    </row>
    <row r="1388" spans="1:2" x14ac:dyDescent="0.35">
      <c r="A1388" t="s">
        <v>5423</v>
      </c>
      <c r="B1388" t="s">
        <v>1743</v>
      </c>
    </row>
    <row r="1389" spans="1:2" x14ac:dyDescent="0.35">
      <c r="A1389" t="s">
        <v>5424</v>
      </c>
      <c r="B1389" t="s">
        <v>3411</v>
      </c>
    </row>
    <row r="1390" spans="1:2" x14ac:dyDescent="0.35">
      <c r="A1390" t="s">
        <v>5425</v>
      </c>
      <c r="B1390" t="s">
        <v>1182</v>
      </c>
    </row>
    <row r="1391" spans="1:2" x14ac:dyDescent="0.35">
      <c r="A1391" t="s">
        <v>5426</v>
      </c>
      <c r="B1391" t="s">
        <v>2921</v>
      </c>
    </row>
    <row r="1392" spans="1:2" x14ac:dyDescent="0.35">
      <c r="A1392" t="s">
        <v>5427</v>
      </c>
      <c r="B1392" t="s">
        <v>3644</v>
      </c>
    </row>
    <row r="1393" spans="1:2" x14ac:dyDescent="0.35">
      <c r="A1393" t="s">
        <v>5428</v>
      </c>
      <c r="B1393" t="s">
        <v>3786</v>
      </c>
    </row>
    <row r="1394" spans="1:2" x14ac:dyDescent="0.35">
      <c r="A1394" t="s">
        <v>5429</v>
      </c>
      <c r="B1394" t="s">
        <v>2542</v>
      </c>
    </row>
    <row r="1395" spans="1:2" x14ac:dyDescent="0.35">
      <c r="A1395" t="s">
        <v>5430</v>
      </c>
      <c r="B1395" t="s">
        <v>2332</v>
      </c>
    </row>
    <row r="1396" spans="1:2" x14ac:dyDescent="0.35">
      <c r="A1396" t="s">
        <v>5431</v>
      </c>
      <c r="B1396" t="s">
        <v>613</v>
      </c>
    </row>
    <row r="1397" spans="1:2" x14ac:dyDescent="0.35">
      <c r="A1397" t="s">
        <v>5432</v>
      </c>
      <c r="B1397" t="s">
        <v>51</v>
      </c>
    </row>
    <row r="1398" spans="1:2" x14ac:dyDescent="0.35">
      <c r="A1398" t="s">
        <v>5433</v>
      </c>
      <c r="B1398" t="s">
        <v>473</v>
      </c>
    </row>
    <row r="1399" spans="1:2" x14ac:dyDescent="0.35">
      <c r="A1399" t="s">
        <v>5434</v>
      </c>
      <c r="B1399" t="s">
        <v>615</v>
      </c>
    </row>
    <row r="1400" spans="1:2" x14ac:dyDescent="0.35">
      <c r="A1400" t="s">
        <v>5435</v>
      </c>
      <c r="B1400" t="s">
        <v>807</v>
      </c>
    </row>
    <row r="1401" spans="1:2" x14ac:dyDescent="0.35">
      <c r="A1401" t="s">
        <v>5436</v>
      </c>
      <c r="B1401" t="s">
        <v>1228</v>
      </c>
    </row>
    <row r="1402" spans="1:2" x14ac:dyDescent="0.35">
      <c r="A1402" t="s">
        <v>5437</v>
      </c>
      <c r="B1402" t="s">
        <v>4350</v>
      </c>
    </row>
    <row r="1403" spans="1:2" x14ac:dyDescent="0.35">
      <c r="A1403" t="s">
        <v>5438</v>
      </c>
      <c r="B1403" t="s">
        <v>1247</v>
      </c>
    </row>
    <row r="1404" spans="1:2" x14ac:dyDescent="0.35">
      <c r="A1404" t="s">
        <v>5439</v>
      </c>
      <c r="B1404" t="s">
        <v>1406</v>
      </c>
    </row>
    <row r="1405" spans="1:2" x14ac:dyDescent="0.35">
      <c r="A1405" t="s">
        <v>5440</v>
      </c>
      <c r="B1405" t="s">
        <v>1908</v>
      </c>
    </row>
    <row r="1406" spans="1:2" x14ac:dyDescent="0.35">
      <c r="A1406" t="s">
        <v>5441</v>
      </c>
      <c r="B1406" t="s">
        <v>3220</v>
      </c>
    </row>
    <row r="1407" spans="1:2" x14ac:dyDescent="0.35">
      <c r="A1407" t="s">
        <v>5442</v>
      </c>
      <c r="B1407" t="s">
        <v>3226</v>
      </c>
    </row>
    <row r="1408" spans="1:2" x14ac:dyDescent="0.35">
      <c r="A1408" t="s">
        <v>5443</v>
      </c>
      <c r="B1408" t="s">
        <v>3437</v>
      </c>
    </row>
    <row r="1409" spans="1:2" x14ac:dyDescent="0.35">
      <c r="A1409" t="s">
        <v>5444</v>
      </c>
      <c r="B1409" t="s">
        <v>3738</v>
      </c>
    </row>
    <row r="1410" spans="1:2" x14ac:dyDescent="0.35">
      <c r="A1410" t="s">
        <v>5445</v>
      </c>
      <c r="B1410" t="s">
        <v>3587</v>
      </c>
    </row>
    <row r="1411" spans="1:2" x14ac:dyDescent="0.35">
      <c r="A1411" t="s">
        <v>5446</v>
      </c>
      <c r="B1411" t="s">
        <v>4004</v>
      </c>
    </row>
    <row r="1412" spans="1:2" x14ac:dyDescent="0.35">
      <c r="A1412" t="s">
        <v>5447</v>
      </c>
      <c r="B1412" t="s">
        <v>3469</v>
      </c>
    </row>
    <row r="1413" spans="1:2" x14ac:dyDescent="0.35">
      <c r="A1413" t="s">
        <v>5448</v>
      </c>
      <c r="B1413" t="s">
        <v>610</v>
      </c>
    </row>
    <row r="1414" spans="1:2" x14ac:dyDescent="0.35">
      <c r="A1414" t="s">
        <v>5449</v>
      </c>
      <c r="B1414" t="s">
        <v>2937</v>
      </c>
    </row>
    <row r="1415" spans="1:2" x14ac:dyDescent="0.35">
      <c r="A1415" t="s">
        <v>5450</v>
      </c>
      <c r="B1415" t="s">
        <v>3479</v>
      </c>
    </row>
    <row r="1416" spans="1:2" x14ac:dyDescent="0.35">
      <c r="A1416" t="s">
        <v>5451</v>
      </c>
      <c r="B1416" t="s">
        <v>349</v>
      </c>
    </row>
    <row r="1417" spans="1:2" x14ac:dyDescent="0.35">
      <c r="A1417" t="s">
        <v>5452</v>
      </c>
      <c r="B1417" t="s">
        <v>1998</v>
      </c>
    </row>
    <row r="1418" spans="1:2" x14ac:dyDescent="0.35">
      <c r="A1418" t="s">
        <v>5453</v>
      </c>
      <c r="B1418" t="s">
        <v>3493</v>
      </c>
    </row>
    <row r="1419" spans="1:2" x14ac:dyDescent="0.35">
      <c r="A1419" t="s">
        <v>5454</v>
      </c>
      <c r="B1419" t="s">
        <v>222</v>
      </c>
    </row>
    <row r="1420" spans="1:2" x14ac:dyDescent="0.35">
      <c r="A1420" t="s">
        <v>2018</v>
      </c>
      <c r="B1420" t="s">
        <v>2017</v>
      </c>
    </row>
    <row r="1421" spans="1:2" x14ac:dyDescent="0.35">
      <c r="A1421" t="s">
        <v>5455</v>
      </c>
      <c r="B1421" t="s">
        <v>3933</v>
      </c>
    </row>
    <row r="1422" spans="1:2" x14ac:dyDescent="0.35">
      <c r="A1422" t="s">
        <v>5456</v>
      </c>
      <c r="B1422" t="s">
        <v>3935</v>
      </c>
    </row>
    <row r="1423" spans="1:2" x14ac:dyDescent="0.35">
      <c r="A1423" t="s">
        <v>5457</v>
      </c>
      <c r="B1423" t="s">
        <v>2573</v>
      </c>
    </row>
    <row r="1424" spans="1:2" x14ac:dyDescent="0.35">
      <c r="A1424" t="s">
        <v>5458</v>
      </c>
      <c r="B1424" t="s">
        <v>2575</v>
      </c>
    </row>
    <row r="1425" spans="1:2" x14ac:dyDescent="0.35">
      <c r="A1425" t="s">
        <v>5459</v>
      </c>
      <c r="B1425" t="s">
        <v>2104</v>
      </c>
    </row>
    <row r="1426" spans="1:2" x14ac:dyDescent="0.35">
      <c r="A1426" t="s">
        <v>5460</v>
      </c>
      <c r="B1426" t="s">
        <v>2187</v>
      </c>
    </row>
    <row r="1427" spans="1:2" x14ac:dyDescent="0.35">
      <c r="A1427" t="s">
        <v>5461</v>
      </c>
      <c r="B1427" t="s">
        <v>3498</v>
      </c>
    </row>
    <row r="1428" spans="1:2" x14ac:dyDescent="0.35">
      <c r="A1428" t="s">
        <v>5462</v>
      </c>
      <c r="B1428" t="s">
        <v>1954</v>
      </c>
    </row>
    <row r="1429" spans="1:2" x14ac:dyDescent="0.35">
      <c r="A1429" t="s">
        <v>3550</v>
      </c>
      <c r="B1429" t="s">
        <v>3549</v>
      </c>
    </row>
    <row r="1430" spans="1:2" x14ac:dyDescent="0.35">
      <c r="A1430" t="s">
        <v>5463</v>
      </c>
      <c r="B1430" t="s">
        <v>2239</v>
      </c>
    </row>
    <row r="1431" spans="1:2" x14ac:dyDescent="0.35">
      <c r="A1431" t="s">
        <v>2677</v>
      </c>
      <c r="B1431" t="s">
        <v>2676</v>
      </c>
    </row>
    <row r="1432" spans="1:2" x14ac:dyDescent="0.35">
      <c r="A1432" t="s">
        <v>5464</v>
      </c>
      <c r="B1432" t="s">
        <v>5465</v>
      </c>
    </row>
    <row r="1433" spans="1:2" x14ac:dyDescent="0.35">
      <c r="A1433" t="s">
        <v>5466</v>
      </c>
      <c r="B1433" t="s">
        <v>5467</v>
      </c>
    </row>
    <row r="1434" spans="1:2" x14ac:dyDescent="0.35">
      <c r="A1434" t="s">
        <v>5468</v>
      </c>
      <c r="B1434" t="s">
        <v>675</v>
      </c>
    </row>
    <row r="1435" spans="1:2" x14ac:dyDescent="0.35">
      <c r="A1435" t="s">
        <v>5469</v>
      </c>
      <c r="B1435" t="s">
        <v>3421</v>
      </c>
    </row>
    <row r="1436" spans="1:2" x14ac:dyDescent="0.35">
      <c r="A1436" t="s">
        <v>5470</v>
      </c>
      <c r="B1436" t="s">
        <v>3382</v>
      </c>
    </row>
    <row r="1437" spans="1:2" x14ac:dyDescent="0.35">
      <c r="A1437" t="s">
        <v>5471</v>
      </c>
      <c r="B1437" t="s">
        <v>3583</v>
      </c>
    </row>
    <row r="1438" spans="1:2" x14ac:dyDescent="0.35">
      <c r="A1438" t="s">
        <v>5472</v>
      </c>
      <c r="B1438" t="s">
        <v>5473</v>
      </c>
    </row>
    <row r="1439" spans="1:2" x14ac:dyDescent="0.35">
      <c r="A1439" t="s">
        <v>5474</v>
      </c>
      <c r="B1439" t="s">
        <v>2773</v>
      </c>
    </row>
    <row r="1440" spans="1:2" x14ac:dyDescent="0.35">
      <c r="A1440" t="s">
        <v>5475</v>
      </c>
      <c r="B1440" t="s">
        <v>3632</v>
      </c>
    </row>
    <row r="1441" spans="1:2" x14ac:dyDescent="0.35">
      <c r="A1441" t="s">
        <v>5476</v>
      </c>
      <c r="B1441" t="s">
        <v>5477</v>
      </c>
    </row>
    <row r="1442" spans="1:2" x14ac:dyDescent="0.35">
      <c r="A1442" t="s">
        <v>5478</v>
      </c>
      <c r="B1442" t="s">
        <v>5479</v>
      </c>
    </row>
    <row r="1443" spans="1:2" x14ac:dyDescent="0.35">
      <c r="A1443" t="s">
        <v>5480</v>
      </c>
      <c r="B1443" t="s">
        <v>3678</v>
      </c>
    </row>
    <row r="1444" spans="1:2" x14ac:dyDescent="0.35">
      <c r="A1444" t="s">
        <v>5481</v>
      </c>
      <c r="B1444" t="s">
        <v>3691</v>
      </c>
    </row>
    <row r="1445" spans="1:2" x14ac:dyDescent="0.35">
      <c r="A1445" t="s">
        <v>5482</v>
      </c>
      <c r="B1445" t="s">
        <v>3882</v>
      </c>
    </row>
    <row r="1446" spans="1:2" x14ac:dyDescent="0.35">
      <c r="A1446" t="s">
        <v>5483</v>
      </c>
      <c r="B1446" t="s">
        <v>2581</v>
      </c>
    </row>
    <row r="1447" spans="1:2" x14ac:dyDescent="0.35">
      <c r="A1447" t="s">
        <v>5484</v>
      </c>
      <c r="B1447" t="s">
        <v>796</v>
      </c>
    </row>
    <row r="1448" spans="1:2" x14ac:dyDescent="0.35">
      <c r="A1448" t="s">
        <v>5485</v>
      </c>
      <c r="B1448" t="s">
        <v>2482</v>
      </c>
    </row>
    <row r="1449" spans="1:2" x14ac:dyDescent="0.35">
      <c r="A1449" t="s">
        <v>5486</v>
      </c>
      <c r="B1449" t="s">
        <v>1542</v>
      </c>
    </row>
    <row r="1450" spans="1:2" x14ac:dyDescent="0.35">
      <c r="A1450" t="s">
        <v>5487</v>
      </c>
      <c r="B1450" t="s">
        <v>2466</v>
      </c>
    </row>
    <row r="1451" spans="1:2" x14ac:dyDescent="0.35">
      <c r="A1451" t="s">
        <v>5488</v>
      </c>
      <c r="B1451" t="s">
        <v>384</v>
      </c>
    </row>
    <row r="1452" spans="1:2" x14ac:dyDescent="0.35">
      <c r="A1452" t="s">
        <v>5489</v>
      </c>
      <c r="B1452" t="s">
        <v>5490</v>
      </c>
    </row>
    <row r="1453" spans="1:2" x14ac:dyDescent="0.35">
      <c r="A1453" t="s">
        <v>5491</v>
      </c>
      <c r="B1453" t="s">
        <v>4421</v>
      </c>
    </row>
    <row r="1454" spans="1:2" x14ac:dyDescent="0.35">
      <c r="A1454" t="s">
        <v>5492</v>
      </c>
      <c r="B1454" t="s">
        <v>5493</v>
      </c>
    </row>
    <row r="1455" spans="1:2" x14ac:dyDescent="0.35">
      <c r="A1455" t="s">
        <v>5494</v>
      </c>
      <c r="B1455" t="s">
        <v>567</v>
      </c>
    </row>
    <row r="1456" spans="1:2" x14ac:dyDescent="0.35">
      <c r="A1456" t="s">
        <v>5495</v>
      </c>
      <c r="B1456" t="s">
        <v>827</v>
      </c>
    </row>
    <row r="1457" spans="1:2" x14ac:dyDescent="0.35">
      <c r="A1457" t="s">
        <v>5496</v>
      </c>
      <c r="B1457" t="s">
        <v>1618</v>
      </c>
    </row>
    <row r="1458" spans="1:2" x14ac:dyDescent="0.35">
      <c r="A1458" t="s">
        <v>5497</v>
      </c>
      <c r="B1458" t="s">
        <v>3346</v>
      </c>
    </row>
    <row r="1459" spans="1:2" x14ac:dyDescent="0.35">
      <c r="A1459" t="s">
        <v>5498</v>
      </c>
      <c r="B1459" t="s">
        <v>3889</v>
      </c>
    </row>
    <row r="1460" spans="1:2" x14ac:dyDescent="0.35">
      <c r="A1460" t="s">
        <v>5499</v>
      </c>
      <c r="B1460" t="s">
        <v>3339</v>
      </c>
    </row>
    <row r="1461" spans="1:2" x14ac:dyDescent="0.35">
      <c r="A1461" t="s">
        <v>5500</v>
      </c>
      <c r="B1461" t="s">
        <v>735</v>
      </c>
    </row>
    <row r="1462" spans="1:2" x14ac:dyDescent="0.35">
      <c r="A1462" t="s">
        <v>5501</v>
      </c>
      <c r="B1462" t="s">
        <v>1728</v>
      </c>
    </row>
    <row r="1463" spans="1:2" x14ac:dyDescent="0.35">
      <c r="A1463" t="s">
        <v>5502</v>
      </c>
      <c r="B1463" t="s">
        <v>1644</v>
      </c>
    </row>
    <row r="1464" spans="1:2" x14ac:dyDescent="0.35">
      <c r="A1464" t="s">
        <v>5503</v>
      </c>
      <c r="B1464" t="s">
        <v>5504</v>
      </c>
    </row>
    <row r="1465" spans="1:2" x14ac:dyDescent="0.35">
      <c r="A1465" t="s">
        <v>5505</v>
      </c>
      <c r="B1465" t="s">
        <v>46</v>
      </c>
    </row>
    <row r="1466" spans="1:2" x14ac:dyDescent="0.35">
      <c r="A1466" t="s">
        <v>5506</v>
      </c>
      <c r="B1466" t="s">
        <v>5507</v>
      </c>
    </row>
    <row r="1467" spans="1:2" x14ac:dyDescent="0.35">
      <c r="A1467" t="s">
        <v>5508</v>
      </c>
      <c r="B1467" t="s">
        <v>1353</v>
      </c>
    </row>
    <row r="1468" spans="1:2" x14ac:dyDescent="0.35">
      <c r="A1468" t="s">
        <v>5509</v>
      </c>
      <c r="B1468" t="s">
        <v>3280</v>
      </c>
    </row>
    <row r="1469" spans="1:2" x14ac:dyDescent="0.35">
      <c r="A1469" t="s">
        <v>5510</v>
      </c>
      <c r="B1469" t="s">
        <v>988</v>
      </c>
    </row>
    <row r="1470" spans="1:2" x14ac:dyDescent="0.35">
      <c r="A1470" t="s">
        <v>5511</v>
      </c>
      <c r="B1470" t="s">
        <v>5512</v>
      </c>
    </row>
    <row r="1471" spans="1:2" x14ac:dyDescent="0.35">
      <c r="A1471" t="s">
        <v>5513</v>
      </c>
      <c r="B1471" t="s">
        <v>916</v>
      </c>
    </row>
    <row r="1472" spans="1:2" x14ac:dyDescent="0.35">
      <c r="A1472" t="s">
        <v>5514</v>
      </c>
      <c r="B1472" t="s">
        <v>3702</v>
      </c>
    </row>
    <row r="1473" spans="1:2" x14ac:dyDescent="0.35">
      <c r="A1473" t="s">
        <v>5515</v>
      </c>
      <c r="B1473" t="s">
        <v>2092</v>
      </c>
    </row>
    <row r="1474" spans="1:2" x14ac:dyDescent="0.35">
      <c r="A1474" t="s">
        <v>5516</v>
      </c>
      <c r="B1474" t="s">
        <v>5517</v>
      </c>
    </row>
    <row r="1475" spans="1:2" x14ac:dyDescent="0.35">
      <c r="A1475" t="s">
        <v>5518</v>
      </c>
      <c r="B1475" t="s">
        <v>5519</v>
      </c>
    </row>
    <row r="1476" spans="1:2" x14ac:dyDescent="0.35">
      <c r="A1476" t="s">
        <v>5520</v>
      </c>
      <c r="B1476" t="s">
        <v>2687</v>
      </c>
    </row>
    <row r="1477" spans="1:2" x14ac:dyDescent="0.35">
      <c r="A1477" t="s">
        <v>5521</v>
      </c>
      <c r="B1477" t="s">
        <v>5522</v>
      </c>
    </row>
    <row r="1478" spans="1:2" x14ac:dyDescent="0.35">
      <c r="A1478" t="s">
        <v>5523</v>
      </c>
      <c r="B1478" t="s">
        <v>290</v>
      </c>
    </row>
    <row r="1479" spans="1:2" x14ac:dyDescent="0.35">
      <c r="A1479" t="s">
        <v>5524</v>
      </c>
      <c r="B1479" t="s">
        <v>1240</v>
      </c>
    </row>
    <row r="1480" spans="1:2" x14ac:dyDescent="0.35">
      <c r="A1480" t="s">
        <v>5525</v>
      </c>
      <c r="B1480" t="s">
        <v>1242</v>
      </c>
    </row>
    <row r="1481" spans="1:2" x14ac:dyDescent="0.35">
      <c r="A1481" t="s">
        <v>5526</v>
      </c>
      <c r="B1481" t="s">
        <v>3864</v>
      </c>
    </row>
    <row r="1482" spans="1:2" x14ac:dyDescent="0.35">
      <c r="A1482" t="s">
        <v>5527</v>
      </c>
      <c r="B1482" t="s">
        <v>3747</v>
      </c>
    </row>
    <row r="1483" spans="1:2" x14ac:dyDescent="0.35">
      <c r="A1483" t="s">
        <v>5528</v>
      </c>
      <c r="B1483" t="s">
        <v>3897</v>
      </c>
    </row>
    <row r="1484" spans="1:2" x14ac:dyDescent="0.35">
      <c r="A1484" t="s">
        <v>5529</v>
      </c>
      <c r="B1484" t="s">
        <v>3719</v>
      </c>
    </row>
    <row r="1485" spans="1:2" x14ac:dyDescent="0.35">
      <c r="A1485" t="s">
        <v>3753</v>
      </c>
      <c r="B1485" t="s">
        <v>3752</v>
      </c>
    </row>
    <row r="1486" spans="1:2" x14ac:dyDescent="0.35">
      <c r="A1486" t="s">
        <v>5530</v>
      </c>
      <c r="B1486" t="s">
        <v>663</v>
      </c>
    </row>
    <row r="1487" spans="1:2" x14ac:dyDescent="0.35">
      <c r="A1487" t="s">
        <v>5531</v>
      </c>
      <c r="B1487" t="s">
        <v>1641</v>
      </c>
    </row>
    <row r="1488" spans="1:2" x14ac:dyDescent="0.35">
      <c r="A1488" t="s">
        <v>5532</v>
      </c>
      <c r="B1488" t="s">
        <v>3767</v>
      </c>
    </row>
    <row r="1489" spans="1:2" x14ac:dyDescent="0.35">
      <c r="A1489" t="s">
        <v>5533</v>
      </c>
      <c r="B1489" t="s">
        <v>3769</v>
      </c>
    </row>
    <row r="1490" spans="1:2" x14ac:dyDescent="0.35">
      <c r="A1490" t="s">
        <v>5534</v>
      </c>
      <c r="B1490" t="s">
        <v>3380</v>
      </c>
    </row>
    <row r="1491" spans="1:2" x14ac:dyDescent="0.35">
      <c r="A1491" t="s">
        <v>5535</v>
      </c>
      <c r="B1491" t="s">
        <v>3996</v>
      </c>
    </row>
    <row r="1492" spans="1:2" x14ac:dyDescent="0.35">
      <c r="A1492" t="s">
        <v>5536</v>
      </c>
      <c r="B1492" t="s">
        <v>3015</v>
      </c>
    </row>
    <row r="1493" spans="1:2" x14ac:dyDescent="0.35">
      <c r="A1493" t="s">
        <v>5537</v>
      </c>
      <c r="B1493" t="s">
        <v>2435</v>
      </c>
    </row>
    <row r="1494" spans="1:2" x14ac:dyDescent="0.35">
      <c r="A1494" t="s">
        <v>5538</v>
      </c>
      <c r="B1494" t="s">
        <v>1059</v>
      </c>
    </row>
    <row r="1495" spans="1:2" x14ac:dyDescent="0.35">
      <c r="A1495" t="s">
        <v>5539</v>
      </c>
      <c r="B1495" t="s">
        <v>1516</v>
      </c>
    </row>
    <row r="1496" spans="1:2" x14ac:dyDescent="0.35">
      <c r="A1496" t="s">
        <v>5540</v>
      </c>
      <c r="B1496" t="s">
        <v>1417</v>
      </c>
    </row>
    <row r="1497" spans="1:2" x14ac:dyDescent="0.35">
      <c r="A1497" t="s">
        <v>5541</v>
      </c>
      <c r="B1497" t="s">
        <v>1583</v>
      </c>
    </row>
    <row r="1498" spans="1:2" x14ac:dyDescent="0.35">
      <c r="A1498" t="s">
        <v>5542</v>
      </c>
      <c r="B1498" t="s">
        <v>2183</v>
      </c>
    </row>
    <row r="1499" spans="1:2" x14ac:dyDescent="0.35">
      <c r="A1499" t="s">
        <v>5543</v>
      </c>
      <c r="B1499" t="s">
        <v>2811</v>
      </c>
    </row>
    <row r="1500" spans="1:2" x14ac:dyDescent="0.35">
      <c r="A1500" t="s">
        <v>5544</v>
      </c>
      <c r="B1500" t="s">
        <v>3013</v>
      </c>
    </row>
    <row r="1501" spans="1:2" x14ac:dyDescent="0.35">
      <c r="A1501" t="s">
        <v>5545</v>
      </c>
      <c r="B1501" t="s">
        <v>3812</v>
      </c>
    </row>
    <row r="1502" spans="1:2" x14ac:dyDescent="0.35">
      <c r="A1502" t="s">
        <v>5546</v>
      </c>
      <c r="B1502" t="s">
        <v>3834</v>
      </c>
    </row>
    <row r="1503" spans="1:2" x14ac:dyDescent="0.35">
      <c r="A1503" t="s">
        <v>5547</v>
      </c>
      <c r="B1503" t="s">
        <v>5548</v>
      </c>
    </row>
    <row r="1504" spans="1:2" x14ac:dyDescent="0.35">
      <c r="A1504" t="s">
        <v>5549</v>
      </c>
      <c r="B1504" t="s">
        <v>4319</v>
      </c>
    </row>
    <row r="1505" spans="1:2" x14ac:dyDescent="0.35">
      <c r="A1505" t="s">
        <v>5550</v>
      </c>
      <c r="B1505" t="s">
        <v>5551</v>
      </c>
    </row>
    <row r="1506" spans="1:2" x14ac:dyDescent="0.35">
      <c r="A1506" t="s">
        <v>5552</v>
      </c>
      <c r="B1506" t="s">
        <v>5553</v>
      </c>
    </row>
    <row r="1507" spans="1:2" x14ac:dyDescent="0.35">
      <c r="A1507" t="s">
        <v>5554</v>
      </c>
      <c r="B1507" t="s">
        <v>1061</v>
      </c>
    </row>
    <row r="1508" spans="1:2" x14ac:dyDescent="0.35">
      <c r="A1508" t="s">
        <v>3234</v>
      </c>
      <c r="B1508" t="s">
        <v>4226</v>
      </c>
    </row>
    <row r="1509" spans="1:2" x14ac:dyDescent="0.35">
      <c r="A1509" t="s">
        <v>5555</v>
      </c>
      <c r="B1509" t="s">
        <v>3145</v>
      </c>
    </row>
    <row r="1510" spans="1:2" x14ac:dyDescent="0.35">
      <c r="A1510" t="s">
        <v>5556</v>
      </c>
      <c r="B1510" t="s">
        <v>3577</v>
      </c>
    </row>
    <row r="1511" spans="1:2" x14ac:dyDescent="0.35">
      <c r="A1511" t="s">
        <v>5557</v>
      </c>
      <c r="B1511" t="s">
        <v>3352</v>
      </c>
    </row>
    <row r="1512" spans="1:2" x14ac:dyDescent="0.35">
      <c r="A1512" t="s">
        <v>5558</v>
      </c>
      <c r="B1512" t="s">
        <v>2854</v>
      </c>
    </row>
    <row r="1513" spans="1:2" x14ac:dyDescent="0.35">
      <c r="A1513" t="s">
        <v>5559</v>
      </c>
      <c r="B1513" t="s">
        <v>5560</v>
      </c>
    </row>
    <row r="1514" spans="1:2" x14ac:dyDescent="0.35">
      <c r="A1514" t="s">
        <v>5561</v>
      </c>
      <c r="B1514" t="s">
        <v>3634</v>
      </c>
    </row>
    <row r="1515" spans="1:2" x14ac:dyDescent="0.35">
      <c r="A1515" t="s">
        <v>5562</v>
      </c>
      <c r="B1515" t="s">
        <v>3852</v>
      </c>
    </row>
    <row r="1516" spans="1:2" x14ac:dyDescent="0.35">
      <c r="A1516" t="s">
        <v>5563</v>
      </c>
      <c r="B1516" t="s">
        <v>3058</v>
      </c>
    </row>
    <row r="1517" spans="1:2" x14ac:dyDescent="0.35">
      <c r="A1517" t="s">
        <v>5564</v>
      </c>
      <c r="B1517" t="s">
        <v>3893</v>
      </c>
    </row>
    <row r="1518" spans="1:2" x14ac:dyDescent="0.35">
      <c r="A1518" t="s">
        <v>5565</v>
      </c>
      <c r="B1518" t="s">
        <v>679</v>
      </c>
    </row>
    <row r="1519" spans="1:2" x14ac:dyDescent="0.35">
      <c r="A1519" t="s">
        <v>5566</v>
      </c>
      <c r="B1519" t="s">
        <v>2967</v>
      </c>
    </row>
    <row r="1520" spans="1:2" x14ac:dyDescent="0.35">
      <c r="A1520" t="s">
        <v>5567</v>
      </c>
      <c r="B1520" t="s">
        <v>3278</v>
      </c>
    </row>
    <row r="1521" spans="1:2" x14ac:dyDescent="0.35">
      <c r="A1521" t="s">
        <v>5568</v>
      </c>
      <c r="B1521" t="s">
        <v>3979</v>
      </c>
    </row>
    <row r="1522" spans="1:2" x14ac:dyDescent="0.35">
      <c r="A1522" t="s">
        <v>5569</v>
      </c>
      <c r="B1522" t="s">
        <v>2875</v>
      </c>
    </row>
    <row r="1523" spans="1:2" x14ac:dyDescent="0.35">
      <c r="A1523" t="s">
        <v>5570</v>
      </c>
      <c r="B1523" t="s">
        <v>3897</v>
      </c>
    </row>
    <row r="1524" spans="1:2" x14ac:dyDescent="0.35">
      <c r="A1524" t="s">
        <v>5571</v>
      </c>
      <c r="B1524" t="s">
        <v>5148</v>
      </c>
    </row>
    <row r="1525" spans="1:2" x14ac:dyDescent="0.35">
      <c r="A1525" t="s">
        <v>5572</v>
      </c>
      <c r="B1525" t="s">
        <v>3901</v>
      </c>
    </row>
    <row r="1526" spans="1:2" x14ac:dyDescent="0.35">
      <c r="A1526" t="s">
        <v>5573</v>
      </c>
      <c r="B1526" t="s">
        <v>3903</v>
      </c>
    </row>
    <row r="1527" spans="1:2" x14ac:dyDescent="0.35">
      <c r="A1527" t="s">
        <v>5574</v>
      </c>
      <c r="B1527" t="s">
        <v>3416</v>
      </c>
    </row>
    <row r="1528" spans="1:2" x14ac:dyDescent="0.35">
      <c r="A1528" t="s">
        <v>5575</v>
      </c>
      <c r="B1528" t="s">
        <v>3293</v>
      </c>
    </row>
    <row r="1529" spans="1:2" x14ac:dyDescent="0.35">
      <c r="A1529" t="s">
        <v>5576</v>
      </c>
      <c r="B1529" t="s">
        <v>3907</v>
      </c>
    </row>
    <row r="1530" spans="1:2" x14ac:dyDescent="0.35">
      <c r="A1530" t="s">
        <v>5577</v>
      </c>
      <c r="B1530" t="s">
        <v>2760</v>
      </c>
    </row>
    <row r="1531" spans="1:2" x14ac:dyDescent="0.35">
      <c r="A1531" t="s">
        <v>5578</v>
      </c>
      <c r="B1531" t="s">
        <v>2045</v>
      </c>
    </row>
    <row r="1532" spans="1:2" x14ac:dyDescent="0.35">
      <c r="A1532" t="s">
        <v>5579</v>
      </c>
      <c r="B1532" t="s">
        <v>3481</v>
      </c>
    </row>
    <row r="1533" spans="1:2" x14ac:dyDescent="0.35">
      <c r="A1533" t="s">
        <v>5580</v>
      </c>
      <c r="B1533" t="s">
        <v>3905</v>
      </c>
    </row>
    <row r="1534" spans="1:2" x14ac:dyDescent="0.35">
      <c r="A1534" t="s">
        <v>5581</v>
      </c>
      <c r="B1534" t="s">
        <v>5582</v>
      </c>
    </row>
    <row r="1535" spans="1:2" x14ac:dyDescent="0.35">
      <c r="A1535" t="s">
        <v>5583</v>
      </c>
      <c r="B1535" t="s">
        <v>3970</v>
      </c>
    </row>
    <row r="1536" spans="1:2" x14ac:dyDescent="0.35">
      <c r="A1536" t="s">
        <v>5584</v>
      </c>
      <c r="B1536" t="s">
        <v>2550</v>
      </c>
    </row>
    <row r="1537" spans="1:2" x14ac:dyDescent="0.35">
      <c r="A1537" t="s">
        <v>5585</v>
      </c>
      <c r="B1537" t="s">
        <v>3719</v>
      </c>
    </row>
    <row r="1538" spans="1:2" x14ac:dyDescent="0.35">
      <c r="A1538" t="s">
        <v>5586</v>
      </c>
      <c r="B1538" t="s">
        <v>3924</v>
      </c>
    </row>
    <row r="1539" spans="1:2" x14ac:dyDescent="0.35">
      <c r="A1539" t="s">
        <v>5587</v>
      </c>
      <c r="B1539" t="s">
        <v>4269</v>
      </c>
    </row>
    <row r="1540" spans="1:2" x14ac:dyDescent="0.35">
      <c r="A1540" t="s">
        <v>5588</v>
      </c>
      <c r="B1540" t="s">
        <v>2158</v>
      </c>
    </row>
    <row r="1541" spans="1:2" x14ac:dyDescent="0.35">
      <c r="A1541" t="s">
        <v>5589</v>
      </c>
      <c r="B1541" t="s">
        <v>195</v>
      </c>
    </row>
    <row r="1542" spans="1:2" x14ac:dyDescent="0.35">
      <c r="A1542" t="s">
        <v>5590</v>
      </c>
      <c r="B1542" t="s">
        <v>478</v>
      </c>
    </row>
    <row r="1543" spans="1:2" x14ac:dyDescent="0.35">
      <c r="A1543" t="s">
        <v>5591</v>
      </c>
      <c r="B1543" t="s">
        <v>885</v>
      </c>
    </row>
    <row r="1544" spans="1:2" x14ac:dyDescent="0.35">
      <c r="A1544" t="s">
        <v>5592</v>
      </c>
      <c r="B1544" t="s">
        <v>1297</v>
      </c>
    </row>
    <row r="1545" spans="1:2" x14ac:dyDescent="0.35">
      <c r="A1545" t="s">
        <v>5593</v>
      </c>
      <c r="B1545" t="s">
        <v>1711</v>
      </c>
    </row>
    <row r="1546" spans="1:2" x14ac:dyDescent="0.35">
      <c r="A1546" t="s">
        <v>5594</v>
      </c>
      <c r="B1546" t="s">
        <v>1933</v>
      </c>
    </row>
    <row r="1547" spans="1:2" x14ac:dyDescent="0.35">
      <c r="A1547" t="s">
        <v>5595</v>
      </c>
      <c r="B1547" t="s">
        <v>2654</v>
      </c>
    </row>
    <row r="1548" spans="1:2" x14ac:dyDescent="0.35">
      <c r="A1548" t="s">
        <v>5596</v>
      </c>
      <c r="B1548" t="s">
        <v>3495</v>
      </c>
    </row>
    <row r="1549" spans="1:2" x14ac:dyDescent="0.35">
      <c r="A1549" t="s">
        <v>5597</v>
      </c>
      <c r="B1549" t="s">
        <v>3945</v>
      </c>
    </row>
    <row r="1550" spans="1:2" x14ac:dyDescent="0.35">
      <c r="A1550" t="s">
        <v>5598</v>
      </c>
      <c r="B1550" t="s">
        <v>3958</v>
      </c>
    </row>
    <row r="1551" spans="1:2" x14ac:dyDescent="0.35">
      <c r="A1551" t="s">
        <v>5599</v>
      </c>
      <c r="B1551" t="s">
        <v>2527</v>
      </c>
    </row>
    <row r="1552" spans="1:2" x14ac:dyDescent="0.35">
      <c r="A1552" t="s">
        <v>5600</v>
      </c>
      <c r="B1552" t="s">
        <v>645</v>
      </c>
    </row>
    <row r="1553" spans="1:2" x14ac:dyDescent="0.35">
      <c r="A1553" t="s">
        <v>5601</v>
      </c>
      <c r="B1553" t="s">
        <v>1544</v>
      </c>
    </row>
    <row r="1554" spans="1:2" x14ac:dyDescent="0.35">
      <c r="A1554" t="s">
        <v>5602</v>
      </c>
      <c r="B1554" t="s">
        <v>3133</v>
      </c>
    </row>
    <row r="1555" spans="1:2" x14ac:dyDescent="0.35">
      <c r="A1555" t="s">
        <v>5603</v>
      </c>
      <c r="B1555" t="s">
        <v>1084</v>
      </c>
    </row>
    <row r="1556" spans="1:2" x14ac:dyDescent="0.35">
      <c r="A1556" t="s">
        <v>5604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93210-1C1B-48B5-9DD0-AE4473C73525}">
  <dimension ref="A3:C1582"/>
  <sheetViews>
    <sheetView workbookViewId="0">
      <selection activeCell="A132" sqref="A132:C133"/>
    </sheetView>
  </sheetViews>
  <sheetFormatPr defaultRowHeight="14.5" x14ac:dyDescent="0.35"/>
  <cols>
    <col min="1" max="1" width="23.7265625" bestFit="1" customWidth="1"/>
    <col min="2" max="2" width="21.1796875" customWidth="1"/>
    <col min="3" max="3" width="18.26953125" bestFit="1" customWidth="1"/>
  </cols>
  <sheetData>
    <row r="3" spans="1:3" x14ac:dyDescent="0.35">
      <c r="A3" s="5" t="s">
        <v>4012</v>
      </c>
      <c r="B3" s="5" t="s">
        <v>4011</v>
      </c>
      <c r="C3" s="5" t="s">
        <v>5605</v>
      </c>
    </row>
    <row r="4" spans="1:3" x14ac:dyDescent="0.35">
      <c r="A4" t="s">
        <v>48</v>
      </c>
      <c r="B4" t="s">
        <v>4086</v>
      </c>
      <c r="C4" t="s">
        <v>5606</v>
      </c>
    </row>
    <row r="5" spans="1:3" x14ac:dyDescent="0.35">
      <c r="A5" t="s">
        <v>81</v>
      </c>
      <c r="B5" t="s">
        <v>4068</v>
      </c>
      <c r="C5" t="s">
        <v>5607</v>
      </c>
    </row>
    <row r="6" spans="1:3" x14ac:dyDescent="0.35">
      <c r="A6" t="s">
        <v>85</v>
      </c>
      <c r="B6" t="s">
        <v>4015</v>
      </c>
      <c r="C6" t="s">
        <v>5608</v>
      </c>
    </row>
    <row r="7" spans="1:3" x14ac:dyDescent="0.35">
      <c r="A7" t="s">
        <v>105</v>
      </c>
      <c r="B7" t="s">
        <v>4092</v>
      </c>
      <c r="C7" t="s">
        <v>1837</v>
      </c>
    </row>
    <row r="8" spans="1:3" x14ac:dyDescent="0.35">
      <c r="A8" t="s">
        <v>110</v>
      </c>
      <c r="B8" t="s">
        <v>4051</v>
      </c>
      <c r="C8" t="s">
        <v>5607</v>
      </c>
    </row>
    <row r="9" spans="1:3" x14ac:dyDescent="0.35">
      <c r="A9" t="s">
        <v>110</v>
      </c>
      <c r="B9" t="s">
        <v>4278</v>
      </c>
      <c r="C9" t="s">
        <v>5609</v>
      </c>
    </row>
    <row r="10" spans="1:3" x14ac:dyDescent="0.35">
      <c r="A10" t="s">
        <v>122</v>
      </c>
      <c r="B10" t="s">
        <v>121</v>
      </c>
      <c r="C10" t="s">
        <v>5607</v>
      </c>
    </row>
    <row r="11" spans="1:3" x14ac:dyDescent="0.35">
      <c r="A11" t="s">
        <v>170</v>
      </c>
      <c r="B11" t="s">
        <v>174</v>
      </c>
      <c r="C11" t="s">
        <v>5606</v>
      </c>
    </row>
    <row r="12" spans="1:3" x14ac:dyDescent="0.35">
      <c r="A12" t="s">
        <v>170</v>
      </c>
      <c r="B12" t="s">
        <v>5324</v>
      </c>
      <c r="C12" t="s">
        <v>5610</v>
      </c>
    </row>
    <row r="13" spans="1:3" x14ac:dyDescent="0.35">
      <c r="A13" t="s">
        <v>4025</v>
      </c>
      <c r="B13" t="s">
        <v>4024</v>
      </c>
      <c r="C13" t="s">
        <v>1837</v>
      </c>
    </row>
    <row r="14" spans="1:3" x14ac:dyDescent="0.35">
      <c r="A14" t="s">
        <v>244</v>
      </c>
      <c r="B14" t="s">
        <v>4130</v>
      </c>
      <c r="C14" t="s">
        <v>5611</v>
      </c>
    </row>
    <row r="15" spans="1:3" x14ac:dyDescent="0.35">
      <c r="A15" t="s">
        <v>244</v>
      </c>
      <c r="B15" t="s">
        <v>731</v>
      </c>
      <c r="C15" t="s">
        <v>5607</v>
      </c>
    </row>
    <row r="16" spans="1:3" x14ac:dyDescent="0.35">
      <c r="A16" t="s">
        <v>244</v>
      </c>
      <c r="B16" t="s">
        <v>4788</v>
      </c>
      <c r="C16" t="s">
        <v>5612</v>
      </c>
    </row>
    <row r="17" spans="1:3" x14ac:dyDescent="0.35">
      <c r="A17" t="s">
        <v>299</v>
      </c>
      <c r="B17" t="s">
        <v>4017</v>
      </c>
      <c r="C17" t="s">
        <v>5613</v>
      </c>
    </row>
    <row r="18" spans="1:3" x14ac:dyDescent="0.35">
      <c r="A18" t="s">
        <v>301</v>
      </c>
      <c r="B18" t="s">
        <v>4048</v>
      </c>
      <c r="C18" t="s">
        <v>5607</v>
      </c>
    </row>
    <row r="19" spans="1:3" x14ac:dyDescent="0.35">
      <c r="A19" t="s">
        <v>322</v>
      </c>
      <c r="B19" t="s">
        <v>323</v>
      </c>
      <c r="C19" t="s">
        <v>5608</v>
      </c>
    </row>
    <row r="20" spans="1:3" x14ac:dyDescent="0.35">
      <c r="A20" t="s">
        <v>322</v>
      </c>
      <c r="B20" t="s">
        <v>4157</v>
      </c>
      <c r="C20" t="s">
        <v>5608</v>
      </c>
    </row>
    <row r="21" spans="1:3" x14ac:dyDescent="0.35">
      <c r="A21" t="s">
        <v>378</v>
      </c>
      <c r="B21" t="s">
        <v>4031</v>
      </c>
      <c r="C21" t="s">
        <v>5608</v>
      </c>
    </row>
    <row r="22" spans="1:3" x14ac:dyDescent="0.35">
      <c r="A22" t="s">
        <v>402</v>
      </c>
      <c r="B22" t="s">
        <v>4073</v>
      </c>
      <c r="C22" t="s">
        <v>5607</v>
      </c>
    </row>
    <row r="23" spans="1:3" x14ac:dyDescent="0.35">
      <c r="A23" t="s">
        <v>425</v>
      </c>
      <c r="B23" t="s">
        <v>429</v>
      </c>
      <c r="C23" t="s">
        <v>5606</v>
      </c>
    </row>
    <row r="24" spans="1:3" x14ac:dyDescent="0.35">
      <c r="A24" t="s">
        <v>425</v>
      </c>
      <c r="B24" t="s">
        <v>4541</v>
      </c>
      <c r="C24" t="s">
        <v>5614</v>
      </c>
    </row>
    <row r="25" spans="1:3" x14ac:dyDescent="0.35">
      <c r="A25" t="s">
        <v>425</v>
      </c>
      <c r="B25" t="s">
        <v>4864</v>
      </c>
      <c r="C25" t="s">
        <v>1837</v>
      </c>
    </row>
    <row r="26" spans="1:3" x14ac:dyDescent="0.35">
      <c r="A26" t="s">
        <v>432</v>
      </c>
      <c r="B26" t="s">
        <v>4046</v>
      </c>
      <c r="C26" t="s">
        <v>5607</v>
      </c>
    </row>
    <row r="27" spans="1:3" x14ac:dyDescent="0.35">
      <c r="A27" t="s">
        <v>432</v>
      </c>
      <c r="B27" t="s">
        <v>4995</v>
      </c>
      <c r="C27" t="s">
        <v>5607</v>
      </c>
    </row>
    <row r="28" spans="1:3" x14ac:dyDescent="0.35">
      <c r="A28" t="s">
        <v>538</v>
      </c>
      <c r="B28" t="s">
        <v>4027</v>
      </c>
      <c r="C28" t="s">
        <v>5608</v>
      </c>
    </row>
    <row r="29" spans="1:3" x14ac:dyDescent="0.35">
      <c r="A29" t="s">
        <v>4147</v>
      </c>
      <c r="B29" t="s">
        <v>4146</v>
      </c>
      <c r="C29" t="s">
        <v>5611</v>
      </c>
    </row>
    <row r="30" spans="1:3" x14ac:dyDescent="0.35">
      <c r="A30" t="s">
        <v>578</v>
      </c>
      <c r="B30" t="s">
        <v>4066</v>
      </c>
      <c r="C30" t="s">
        <v>5607</v>
      </c>
    </row>
    <row r="31" spans="1:3" x14ac:dyDescent="0.35">
      <c r="A31" t="s">
        <v>586</v>
      </c>
      <c r="B31" t="s">
        <v>4127</v>
      </c>
      <c r="C31" t="s">
        <v>5611</v>
      </c>
    </row>
    <row r="32" spans="1:3" x14ac:dyDescent="0.35">
      <c r="A32" t="s">
        <v>599</v>
      </c>
      <c r="B32" t="s">
        <v>4099</v>
      </c>
      <c r="C32" t="s">
        <v>1837</v>
      </c>
    </row>
    <row r="33" spans="1:3" x14ac:dyDescent="0.35">
      <c r="A33" t="s">
        <v>599</v>
      </c>
      <c r="B33" t="s">
        <v>4993</v>
      </c>
      <c r="C33" t="s">
        <v>5607</v>
      </c>
    </row>
    <row r="34" spans="1:3" x14ac:dyDescent="0.35">
      <c r="A34" t="s">
        <v>607</v>
      </c>
      <c r="B34" t="s">
        <v>4100</v>
      </c>
      <c r="C34" t="s">
        <v>5607</v>
      </c>
    </row>
    <row r="35" spans="1:3" x14ac:dyDescent="0.35">
      <c r="A35" t="s">
        <v>607</v>
      </c>
      <c r="B35" t="s">
        <v>4157</v>
      </c>
      <c r="C35" t="s">
        <v>5607</v>
      </c>
    </row>
    <row r="36" spans="1:3" x14ac:dyDescent="0.35">
      <c r="A36" t="s">
        <v>654</v>
      </c>
      <c r="B36" t="s">
        <v>4083</v>
      </c>
      <c r="C36" t="s">
        <v>5606</v>
      </c>
    </row>
    <row r="37" spans="1:3" x14ac:dyDescent="0.35">
      <c r="A37" t="s">
        <v>656</v>
      </c>
      <c r="B37" t="s">
        <v>4138</v>
      </c>
      <c r="C37" t="s">
        <v>5611</v>
      </c>
    </row>
    <row r="38" spans="1:3" x14ac:dyDescent="0.35">
      <c r="A38" t="s">
        <v>688</v>
      </c>
      <c r="B38" t="s">
        <v>689</v>
      </c>
      <c r="C38" t="s">
        <v>5607</v>
      </c>
    </row>
    <row r="39" spans="1:3" x14ac:dyDescent="0.35">
      <c r="A39" t="s">
        <v>688</v>
      </c>
      <c r="B39" t="s">
        <v>4157</v>
      </c>
      <c r="C39" t="s">
        <v>5607</v>
      </c>
    </row>
    <row r="40" spans="1:3" x14ac:dyDescent="0.35">
      <c r="A40" t="s">
        <v>701</v>
      </c>
      <c r="B40" t="s">
        <v>702</v>
      </c>
      <c r="C40" t="s">
        <v>5607</v>
      </c>
    </row>
    <row r="41" spans="1:3" x14ac:dyDescent="0.35">
      <c r="A41" t="s">
        <v>701</v>
      </c>
      <c r="B41" t="s">
        <v>4157</v>
      </c>
      <c r="C41" t="s">
        <v>5607</v>
      </c>
    </row>
    <row r="42" spans="1:3" x14ac:dyDescent="0.35">
      <c r="A42" t="s">
        <v>701</v>
      </c>
      <c r="B42" t="s">
        <v>4529</v>
      </c>
      <c r="C42" t="s">
        <v>5607</v>
      </c>
    </row>
    <row r="43" spans="1:3" x14ac:dyDescent="0.35">
      <c r="A43" t="s">
        <v>721</v>
      </c>
      <c r="B43" t="s">
        <v>720</v>
      </c>
      <c r="C43" t="s">
        <v>5606</v>
      </c>
    </row>
    <row r="44" spans="1:3" x14ac:dyDescent="0.35">
      <c r="A44" t="s">
        <v>4116</v>
      </c>
      <c r="B44" t="s">
        <v>4115</v>
      </c>
      <c r="C44" t="s">
        <v>5611</v>
      </c>
    </row>
    <row r="45" spans="1:3" x14ac:dyDescent="0.35">
      <c r="A45" t="s">
        <v>758</v>
      </c>
      <c r="B45" t="s">
        <v>4033</v>
      </c>
      <c r="C45" t="s">
        <v>5611</v>
      </c>
    </row>
    <row r="46" spans="1:3" x14ac:dyDescent="0.35">
      <c r="A46" t="s">
        <v>835</v>
      </c>
      <c r="B46" t="s">
        <v>834</v>
      </c>
      <c r="C46" t="s">
        <v>5606</v>
      </c>
    </row>
    <row r="47" spans="1:3" x14ac:dyDescent="0.35">
      <c r="A47" t="s">
        <v>861</v>
      </c>
      <c r="B47" t="s">
        <v>4062</v>
      </c>
      <c r="C47" t="s">
        <v>5607</v>
      </c>
    </row>
    <row r="48" spans="1:3" x14ac:dyDescent="0.35">
      <c r="A48" t="s">
        <v>865</v>
      </c>
      <c r="B48" t="s">
        <v>4088</v>
      </c>
      <c r="C48" t="s">
        <v>1837</v>
      </c>
    </row>
    <row r="49" spans="1:3" x14ac:dyDescent="0.35">
      <c r="A49" t="s">
        <v>883</v>
      </c>
      <c r="B49" t="s">
        <v>4045</v>
      </c>
      <c r="C49" t="s">
        <v>5607</v>
      </c>
    </row>
    <row r="50" spans="1:3" x14ac:dyDescent="0.35">
      <c r="A50" t="s">
        <v>883</v>
      </c>
      <c r="B50" t="s">
        <v>881</v>
      </c>
      <c r="C50" t="s">
        <v>5607</v>
      </c>
    </row>
    <row r="51" spans="1:3" x14ac:dyDescent="0.35">
      <c r="A51" t="s">
        <v>894</v>
      </c>
      <c r="B51" t="s">
        <v>4038</v>
      </c>
      <c r="C51" t="s">
        <v>5615</v>
      </c>
    </row>
    <row r="52" spans="1:3" x14ac:dyDescent="0.35">
      <c r="A52" t="s">
        <v>902</v>
      </c>
      <c r="B52" t="s">
        <v>4156</v>
      </c>
      <c r="C52" t="s">
        <v>5607</v>
      </c>
    </row>
    <row r="53" spans="1:3" x14ac:dyDescent="0.35">
      <c r="A53" t="s">
        <v>902</v>
      </c>
      <c r="B53" t="s">
        <v>4157</v>
      </c>
      <c r="C53" t="s">
        <v>5607</v>
      </c>
    </row>
    <row r="54" spans="1:3" x14ac:dyDescent="0.35">
      <c r="A54" t="s">
        <v>909</v>
      </c>
      <c r="B54" t="s">
        <v>4034</v>
      </c>
      <c r="C54" t="s">
        <v>5607</v>
      </c>
    </row>
    <row r="55" spans="1:3" x14ac:dyDescent="0.35">
      <c r="A55" t="s">
        <v>4108</v>
      </c>
      <c r="B55" t="s">
        <v>4107</v>
      </c>
      <c r="C55" t="s">
        <v>5611</v>
      </c>
    </row>
    <row r="56" spans="1:3" x14ac:dyDescent="0.35">
      <c r="A56" t="s">
        <v>947</v>
      </c>
      <c r="B56" t="s">
        <v>4018</v>
      </c>
      <c r="C56" t="s">
        <v>5613</v>
      </c>
    </row>
    <row r="57" spans="1:3" x14ac:dyDescent="0.35">
      <c r="A57" t="s">
        <v>953</v>
      </c>
      <c r="B57" t="s">
        <v>4070</v>
      </c>
      <c r="C57" t="s">
        <v>5607</v>
      </c>
    </row>
    <row r="58" spans="1:3" x14ac:dyDescent="0.35">
      <c r="A58" s="2" t="s">
        <v>978</v>
      </c>
      <c r="B58" s="2" t="s">
        <v>982</v>
      </c>
      <c r="C58" t="s">
        <v>5606</v>
      </c>
    </row>
    <row r="59" spans="1:3" x14ac:dyDescent="0.35">
      <c r="A59" s="2" t="s">
        <v>978</v>
      </c>
      <c r="B59" s="2" t="s">
        <v>4132</v>
      </c>
      <c r="C59" t="s">
        <v>5611</v>
      </c>
    </row>
    <row r="60" spans="1:3" x14ac:dyDescent="0.35">
      <c r="A60" s="2" t="s">
        <v>978</v>
      </c>
      <c r="B60" t="s">
        <v>4347</v>
      </c>
      <c r="C60" t="s">
        <v>5614</v>
      </c>
    </row>
    <row r="61" spans="1:3" x14ac:dyDescent="0.35">
      <c r="A61" s="2" t="s">
        <v>978</v>
      </c>
      <c r="B61" t="s">
        <v>4540</v>
      </c>
      <c r="C61" t="s">
        <v>5614</v>
      </c>
    </row>
    <row r="62" spans="1:3" x14ac:dyDescent="0.35">
      <c r="A62" t="s">
        <v>995</v>
      </c>
      <c r="B62" t="s">
        <v>4028</v>
      </c>
      <c r="C62" t="s">
        <v>5608</v>
      </c>
    </row>
    <row r="63" spans="1:3" x14ac:dyDescent="0.35">
      <c r="A63" t="s">
        <v>995</v>
      </c>
      <c r="B63" t="s">
        <v>4157</v>
      </c>
      <c r="C63" t="s">
        <v>5606</v>
      </c>
    </row>
    <row r="64" spans="1:3" x14ac:dyDescent="0.35">
      <c r="A64" t="s">
        <v>995</v>
      </c>
      <c r="B64" t="s">
        <v>4157</v>
      </c>
      <c r="C64" t="s">
        <v>5608</v>
      </c>
    </row>
    <row r="65" spans="1:3" x14ac:dyDescent="0.35">
      <c r="A65" t="s">
        <v>995</v>
      </c>
      <c r="B65" t="s">
        <v>4927</v>
      </c>
      <c r="C65" t="s">
        <v>5607</v>
      </c>
    </row>
    <row r="66" spans="1:3" x14ac:dyDescent="0.35">
      <c r="A66" t="s">
        <v>1000</v>
      </c>
      <c r="B66" t="s">
        <v>4052</v>
      </c>
      <c r="C66" t="s">
        <v>5607</v>
      </c>
    </row>
    <row r="67" spans="1:3" x14ac:dyDescent="0.35">
      <c r="A67" t="s">
        <v>1002</v>
      </c>
      <c r="B67" t="s">
        <v>4047</v>
      </c>
      <c r="C67" t="s">
        <v>5607</v>
      </c>
    </row>
    <row r="68" spans="1:3" x14ac:dyDescent="0.35">
      <c r="A68" t="s">
        <v>1004</v>
      </c>
      <c r="B68" t="s">
        <v>4101</v>
      </c>
      <c r="C68" t="s">
        <v>1837</v>
      </c>
    </row>
    <row r="69" spans="1:3" x14ac:dyDescent="0.35">
      <c r="A69" t="s">
        <v>1016</v>
      </c>
      <c r="B69" t="s">
        <v>4074</v>
      </c>
      <c r="C69" t="s">
        <v>5607</v>
      </c>
    </row>
    <row r="70" spans="1:3" x14ac:dyDescent="0.35">
      <c r="A70" t="s">
        <v>1110</v>
      </c>
      <c r="B70" t="s">
        <v>4125</v>
      </c>
      <c r="C70" t="s">
        <v>5611</v>
      </c>
    </row>
    <row r="71" spans="1:3" x14ac:dyDescent="0.35">
      <c r="A71" t="s">
        <v>1145</v>
      </c>
      <c r="B71" t="s">
        <v>4030</v>
      </c>
      <c r="C71" t="s">
        <v>5608</v>
      </c>
    </row>
    <row r="72" spans="1:3" x14ac:dyDescent="0.35">
      <c r="A72" t="s">
        <v>1145</v>
      </c>
      <c r="B72" t="s">
        <v>4157</v>
      </c>
      <c r="C72" t="s">
        <v>5608</v>
      </c>
    </row>
    <row r="73" spans="1:3" x14ac:dyDescent="0.35">
      <c r="A73" t="s">
        <v>1154</v>
      </c>
      <c r="B73" t="s">
        <v>4049</v>
      </c>
      <c r="C73" t="s">
        <v>5607</v>
      </c>
    </row>
    <row r="74" spans="1:3" x14ac:dyDescent="0.35">
      <c r="A74" t="s">
        <v>1154</v>
      </c>
      <c r="B74" t="s">
        <v>4527</v>
      </c>
      <c r="C74" t="s">
        <v>5607</v>
      </c>
    </row>
    <row r="75" spans="1:3" x14ac:dyDescent="0.35">
      <c r="A75" t="s">
        <v>1154</v>
      </c>
      <c r="B75" t="s">
        <v>5048</v>
      </c>
      <c r="C75" t="s">
        <v>5611</v>
      </c>
    </row>
    <row r="76" spans="1:3" x14ac:dyDescent="0.35">
      <c r="A76" t="s">
        <v>1266</v>
      </c>
      <c r="B76" t="s">
        <v>4071</v>
      </c>
      <c r="C76" t="s">
        <v>5607</v>
      </c>
    </row>
    <row r="77" spans="1:3" x14ac:dyDescent="0.35">
      <c r="A77" t="s">
        <v>1266</v>
      </c>
      <c r="B77" t="s">
        <v>4769</v>
      </c>
      <c r="C77" t="s">
        <v>5616</v>
      </c>
    </row>
    <row r="78" spans="1:3" x14ac:dyDescent="0.35">
      <c r="A78" t="s">
        <v>1266</v>
      </c>
      <c r="B78" t="s">
        <v>4876</v>
      </c>
      <c r="C78" t="s">
        <v>5607</v>
      </c>
    </row>
    <row r="79" spans="1:3" x14ac:dyDescent="0.35">
      <c r="A79" t="s">
        <v>1345</v>
      </c>
      <c r="B79" t="s">
        <v>4140</v>
      </c>
      <c r="C79" t="s">
        <v>5611</v>
      </c>
    </row>
    <row r="80" spans="1:3" x14ac:dyDescent="0.35">
      <c r="A80" t="s">
        <v>4076</v>
      </c>
      <c r="B80" t="s">
        <v>4075</v>
      </c>
      <c r="C80" t="s">
        <v>5607</v>
      </c>
    </row>
    <row r="81" spans="1:3" x14ac:dyDescent="0.35">
      <c r="A81" t="s">
        <v>1377</v>
      </c>
      <c r="B81" t="s">
        <v>4155</v>
      </c>
      <c r="C81" t="s">
        <v>5611</v>
      </c>
    </row>
    <row r="82" spans="1:3" x14ac:dyDescent="0.35">
      <c r="A82" t="s">
        <v>1377</v>
      </c>
      <c r="B82" t="s">
        <v>5187</v>
      </c>
      <c r="C82" t="s">
        <v>5611</v>
      </c>
    </row>
    <row r="83" spans="1:3" x14ac:dyDescent="0.35">
      <c r="A83" t="s">
        <v>1381</v>
      </c>
      <c r="B83" t="s">
        <v>4089</v>
      </c>
      <c r="C83" t="s">
        <v>1837</v>
      </c>
    </row>
    <row r="84" spans="1:3" x14ac:dyDescent="0.35">
      <c r="A84" t="s">
        <v>1391</v>
      </c>
      <c r="B84" t="s">
        <v>4122</v>
      </c>
      <c r="C84" t="s">
        <v>5611</v>
      </c>
    </row>
    <row r="85" spans="1:3" x14ac:dyDescent="0.35">
      <c r="A85" t="s">
        <v>1393</v>
      </c>
      <c r="B85" t="s">
        <v>4124</v>
      </c>
      <c r="C85" t="s">
        <v>5611</v>
      </c>
    </row>
    <row r="86" spans="1:3" x14ac:dyDescent="0.35">
      <c r="A86" t="s">
        <v>1395</v>
      </c>
      <c r="B86" t="s">
        <v>4120</v>
      </c>
      <c r="C86" t="s">
        <v>5611</v>
      </c>
    </row>
    <row r="87" spans="1:3" x14ac:dyDescent="0.35">
      <c r="A87" t="s">
        <v>1397</v>
      </c>
      <c r="B87" t="s">
        <v>4114</v>
      </c>
      <c r="C87" t="s">
        <v>5611</v>
      </c>
    </row>
    <row r="88" spans="1:3" x14ac:dyDescent="0.35">
      <c r="A88" t="s">
        <v>1402</v>
      </c>
      <c r="B88" t="s">
        <v>4077</v>
      </c>
      <c r="C88" t="s">
        <v>5607</v>
      </c>
    </row>
    <row r="89" spans="1:3" x14ac:dyDescent="0.35">
      <c r="A89" t="s">
        <v>1413</v>
      </c>
      <c r="B89" t="s">
        <v>1414</v>
      </c>
      <c r="C89" t="s">
        <v>5606</v>
      </c>
    </row>
    <row r="90" spans="1:3" x14ac:dyDescent="0.35">
      <c r="A90" t="s">
        <v>1413</v>
      </c>
      <c r="B90" t="s">
        <v>4157</v>
      </c>
      <c r="C90" t="s">
        <v>5606</v>
      </c>
    </row>
    <row r="91" spans="1:3" x14ac:dyDescent="0.35">
      <c r="A91" t="s">
        <v>1464</v>
      </c>
      <c r="B91" t="s">
        <v>4036</v>
      </c>
      <c r="C91" t="s">
        <v>5615</v>
      </c>
    </row>
    <row r="92" spans="1:3" x14ac:dyDescent="0.35">
      <c r="A92" t="s">
        <v>1464</v>
      </c>
      <c r="B92" t="s">
        <v>5415</v>
      </c>
      <c r="C92" t="s">
        <v>5615</v>
      </c>
    </row>
    <row r="93" spans="1:3" x14ac:dyDescent="0.35">
      <c r="A93" t="s">
        <v>1471</v>
      </c>
      <c r="B93" t="s">
        <v>4121</v>
      </c>
      <c r="C93" t="s">
        <v>5611</v>
      </c>
    </row>
    <row r="94" spans="1:3" x14ac:dyDescent="0.35">
      <c r="A94" t="s">
        <v>1509</v>
      </c>
      <c r="B94" t="s">
        <v>1510</v>
      </c>
      <c r="C94" t="s">
        <v>5606</v>
      </c>
    </row>
    <row r="95" spans="1:3" x14ac:dyDescent="0.35">
      <c r="A95" t="s">
        <v>1509</v>
      </c>
      <c r="B95" t="s">
        <v>4157</v>
      </c>
      <c r="C95" t="s">
        <v>5606</v>
      </c>
    </row>
    <row r="96" spans="1:3" x14ac:dyDescent="0.35">
      <c r="A96" t="s">
        <v>1518</v>
      </c>
      <c r="B96" t="s">
        <v>4039</v>
      </c>
      <c r="C96" t="s">
        <v>5615</v>
      </c>
    </row>
    <row r="97" spans="1:3" x14ac:dyDescent="0.35">
      <c r="A97" t="s">
        <v>4103</v>
      </c>
      <c r="B97" t="s">
        <v>4102</v>
      </c>
      <c r="C97" t="s">
        <v>1837</v>
      </c>
    </row>
    <row r="98" spans="1:3" x14ac:dyDescent="0.35">
      <c r="A98" t="s">
        <v>4094</v>
      </c>
      <c r="B98" t="s">
        <v>4093</v>
      </c>
      <c r="C98" t="s">
        <v>1837</v>
      </c>
    </row>
    <row r="99" spans="1:3" x14ac:dyDescent="0.35">
      <c r="A99" t="s">
        <v>1635</v>
      </c>
      <c r="B99" t="s">
        <v>4128</v>
      </c>
      <c r="C99" t="s">
        <v>5611</v>
      </c>
    </row>
    <row r="100" spans="1:3" x14ac:dyDescent="0.35">
      <c r="A100" t="s">
        <v>4096</v>
      </c>
      <c r="B100" t="s">
        <v>4095</v>
      </c>
      <c r="C100" t="s">
        <v>1837</v>
      </c>
    </row>
    <row r="101" spans="1:3" x14ac:dyDescent="0.35">
      <c r="A101" t="s">
        <v>4096</v>
      </c>
      <c r="B101" t="s">
        <v>5162</v>
      </c>
      <c r="C101" t="s">
        <v>5612</v>
      </c>
    </row>
    <row r="102" spans="1:3" x14ac:dyDescent="0.35">
      <c r="A102" t="s">
        <v>1670</v>
      </c>
      <c r="B102" t="s">
        <v>4053</v>
      </c>
      <c r="C102" t="s">
        <v>5607</v>
      </c>
    </row>
    <row r="103" spans="1:3" x14ac:dyDescent="0.35">
      <c r="A103" t="s">
        <v>1677</v>
      </c>
      <c r="B103" t="s">
        <v>4021</v>
      </c>
      <c r="C103" t="s">
        <v>5613</v>
      </c>
    </row>
    <row r="104" spans="1:3" x14ac:dyDescent="0.35">
      <c r="A104" t="s">
        <v>1698</v>
      </c>
      <c r="B104" t="s">
        <v>1699</v>
      </c>
      <c r="C104" t="s">
        <v>5615</v>
      </c>
    </row>
    <row r="105" spans="1:3" x14ac:dyDescent="0.35">
      <c r="A105" t="s">
        <v>1698</v>
      </c>
      <c r="B105" t="s">
        <v>4157</v>
      </c>
      <c r="C105" t="s">
        <v>5615</v>
      </c>
    </row>
    <row r="106" spans="1:3" x14ac:dyDescent="0.35">
      <c r="A106" t="s">
        <v>1708</v>
      </c>
      <c r="B106" t="s">
        <v>4054</v>
      </c>
      <c r="C106" t="s">
        <v>5607</v>
      </c>
    </row>
    <row r="107" spans="1:3" x14ac:dyDescent="0.35">
      <c r="A107" t="s">
        <v>1708</v>
      </c>
      <c r="B107" t="s">
        <v>4157</v>
      </c>
      <c r="C107" t="s">
        <v>5607</v>
      </c>
    </row>
    <row r="108" spans="1:3" x14ac:dyDescent="0.35">
      <c r="A108" t="s">
        <v>1726</v>
      </c>
      <c r="B108" t="s">
        <v>4110</v>
      </c>
      <c r="C108" t="s">
        <v>5611</v>
      </c>
    </row>
    <row r="109" spans="1:3" x14ac:dyDescent="0.35">
      <c r="A109" t="s">
        <v>1753</v>
      </c>
      <c r="B109" t="s">
        <v>4069</v>
      </c>
      <c r="C109" t="s">
        <v>5607</v>
      </c>
    </row>
    <row r="110" spans="1:3" x14ac:dyDescent="0.35">
      <c r="A110" t="s">
        <v>4142</v>
      </c>
      <c r="B110" t="s">
        <v>4141</v>
      </c>
      <c r="C110" t="s">
        <v>5611</v>
      </c>
    </row>
    <row r="111" spans="1:3" x14ac:dyDescent="0.35">
      <c r="A111" t="s">
        <v>1853</v>
      </c>
      <c r="B111" t="s">
        <v>1854</v>
      </c>
      <c r="C111" t="s">
        <v>5607</v>
      </c>
    </row>
    <row r="112" spans="1:3" x14ac:dyDescent="0.35">
      <c r="A112" t="s">
        <v>1853</v>
      </c>
      <c r="B112" t="s">
        <v>4157</v>
      </c>
      <c r="C112" t="s">
        <v>5607</v>
      </c>
    </row>
    <row r="113" spans="1:3" x14ac:dyDescent="0.35">
      <c r="A113" t="s">
        <v>1902</v>
      </c>
      <c r="B113" t="s">
        <v>4154</v>
      </c>
      <c r="C113" t="s">
        <v>5611</v>
      </c>
    </row>
    <row r="114" spans="1:3" x14ac:dyDescent="0.35">
      <c r="A114" t="s">
        <v>1902</v>
      </c>
      <c r="B114" t="s">
        <v>4764</v>
      </c>
      <c r="C114" t="s">
        <v>1757</v>
      </c>
    </row>
    <row r="115" spans="1:3" x14ac:dyDescent="0.35">
      <c r="A115" t="s">
        <v>1914</v>
      </c>
      <c r="B115" t="s">
        <v>4055</v>
      </c>
      <c r="C115" t="s">
        <v>5607</v>
      </c>
    </row>
    <row r="116" spans="1:3" x14ac:dyDescent="0.35">
      <c r="A116" t="s">
        <v>1914</v>
      </c>
      <c r="B116" t="s">
        <v>4157</v>
      </c>
      <c r="C116" t="s">
        <v>5607</v>
      </c>
    </row>
    <row r="117" spans="1:3" x14ac:dyDescent="0.35">
      <c r="A117" s="2" t="s">
        <v>1976</v>
      </c>
      <c r="B117" s="2" t="s">
        <v>4091</v>
      </c>
      <c r="C117" s="2" t="s">
        <v>1837</v>
      </c>
    </row>
    <row r="118" spans="1:3" x14ac:dyDescent="0.35">
      <c r="A118" s="2" t="s">
        <v>1976</v>
      </c>
      <c r="B118" s="2" t="s">
        <v>4119</v>
      </c>
      <c r="C118" s="2" t="s">
        <v>5611</v>
      </c>
    </row>
    <row r="119" spans="1:3" x14ac:dyDescent="0.35">
      <c r="A119" s="2" t="s">
        <v>1976</v>
      </c>
      <c r="B119" s="2" t="s">
        <v>4139</v>
      </c>
      <c r="C119" s="2" t="s">
        <v>5611</v>
      </c>
    </row>
    <row r="120" spans="1:3" x14ac:dyDescent="0.35">
      <c r="A120" t="s">
        <v>1992</v>
      </c>
      <c r="B120" t="s">
        <v>4022</v>
      </c>
      <c r="C120" t="s">
        <v>5613</v>
      </c>
    </row>
    <row r="121" spans="1:3" x14ac:dyDescent="0.35">
      <c r="A121" s="2" t="s">
        <v>2017</v>
      </c>
      <c r="B121" s="2" t="s">
        <v>4044</v>
      </c>
      <c r="C121" s="2" t="s">
        <v>5607</v>
      </c>
    </row>
    <row r="122" spans="1:3" x14ac:dyDescent="0.35">
      <c r="A122" s="2" t="s">
        <v>2017</v>
      </c>
      <c r="B122" s="2" t="s">
        <v>4090</v>
      </c>
      <c r="C122" s="2" t="s">
        <v>1837</v>
      </c>
    </row>
    <row r="123" spans="1:3" x14ac:dyDescent="0.35">
      <c r="A123" s="2" t="s">
        <v>2017</v>
      </c>
      <c r="B123" t="s">
        <v>4157</v>
      </c>
      <c r="C123" t="s">
        <v>5607</v>
      </c>
    </row>
    <row r="124" spans="1:3" x14ac:dyDescent="0.35">
      <c r="A124" s="2" t="s">
        <v>2017</v>
      </c>
      <c r="B124" t="s">
        <v>4157</v>
      </c>
      <c r="C124" t="s">
        <v>5615</v>
      </c>
    </row>
    <row r="125" spans="1:3" x14ac:dyDescent="0.35">
      <c r="A125" s="2" t="s">
        <v>2017</v>
      </c>
      <c r="B125" t="s">
        <v>5384</v>
      </c>
      <c r="C125" t="s">
        <v>5610</v>
      </c>
    </row>
    <row r="126" spans="1:3" x14ac:dyDescent="0.35">
      <c r="A126" s="2" t="s">
        <v>2017</v>
      </c>
      <c r="B126" t="s">
        <v>2018</v>
      </c>
      <c r="C126" t="s">
        <v>5615</v>
      </c>
    </row>
    <row r="127" spans="1:3" x14ac:dyDescent="0.35">
      <c r="A127" t="s">
        <v>2061</v>
      </c>
      <c r="B127" t="s">
        <v>4041</v>
      </c>
      <c r="C127" t="s">
        <v>5615</v>
      </c>
    </row>
    <row r="128" spans="1:3" x14ac:dyDescent="0.35">
      <c r="A128" s="2" t="s">
        <v>2065</v>
      </c>
      <c r="B128" s="2" t="s">
        <v>2066</v>
      </c>
      <c r="C128" s="2" t="s">
        <v>5615</v>
      </c>
    </row>
    <row r="129" spans="1:3" x14ac:dyDescent="0.35">
      <c r="A129" s="2" t="s">
        <v>2065</v>
      </c>
      <c r="B129" t="s">
        <v>4157</v>
      </c>
      <c r="C129" t="s">
        <v>5615</v>
      </c>
    </row>
    <row r="130" spans="1:3" x14ac:dyDescent="0.35">
      <c r="A130" s="2" t="s">
        <v>2070</v>
      </c>
      <c r="B130" s="2" t="s">
        <v>4078</v>
      </c>
      <c r="C130" s="2" t="s">
        <v>5607</v>
      </c>
    </row>
    <row r="131" spans="1:3" x14ac:dyDescent="0.35">
      <c r="A131" s="2" t="s">
        <v>2070</v>
      </c>
      <c r="B131" t="s">
        <v>5118</v>
      </c>
      <c r="C131" t="s">
        <v>5607</v>
      </c>
    </row>
    <row r="132" spans="1:3" x14ac:dyDescent="0.35">
      <c r="A132" s="2" t="s">
        <v>2074</v>
      </c>
      <c r="B132" s="2" t="s">
        <v>2075</v>
      </c>
      <c r="C132" s="2" t="s">
        <v>5607</v>
      </c>
    </row>
    <row r="133" spans="1:3" x14ac:dyDescent="0.35">
      <c r="A133" s="2" t="s">
        <v>2074</v>
      </c>
      <c r="B133" t="s">
        <v>4157</v>
      </c>
      <c r="C133" t="s">
        <v>5607</v>
      </c>
    </row>
    <row r="134" spans="1:3" x14ac:dyDescent="0.35">
      <c r="A134" t="s">
        <v>2078</v>
      </c>
      <c r="B134" t="s">
        <v>4087</v>
      </c>
      <c r="C134" t="s">
        <v>1837</v>
      </c>
    </row>
    <row r="135" spans="1:3" x14ac:dyDescent="0.35">
      <c r="A135" t="s">
        <v>2110</v>
      </c>
      <c r="B135" t="s">
        <v>4056</v>
      </c>
      <c r="C135" t="s">
        <v>5607</v>
      </c>
    </row>
    <row r="136" spans="1:3" x14ac:dyDescent="0.35">
      <c r="A136" t="s">
        <v>2117</v>
      </c>
      <c r="B136" t="s">
        <v>2118</v>
      </c>
      <c r="C136" t="s">
        <v>5607</v>
      </c>
    </row>
    <row r="137" spans="1:3" x14ac:dyDescent="0.35">
      <c r="A137" t="s">
        <v>2117</v>
      </c>
      <c r="B137" t="s">
        <v>4157</v>
      </c>
      <c r="C137" t="s">
        <v>5607</v>
      </c>
    </row>
    <row r="138" spans="1:3" x14ac:dyDescent="0.35">
      <c r="A138" t="s">
        <v>2126</v>
      </c>
      <c r="B138" t="s">
        <v>4084</v>
      </c>
      <c r="C138" t="s">
        <v>5606</v>
      </c>
    </row>
    <row r="139" spans="1:3" x14ac:dyDescent="0.35">
      <c r="A139" t="s">
        <v>2167</v>
      </c>
      <c r="B139" t="s">
        <v>2168</v>
      </c>
      <c r="C139" t="s">
        <v>5607</v>
      </c>
    </row>
    <row r="140" spans="1:3" x14ac:dyDescent="0.35">
      <c r="A140" t="s">
        <v>2167</v>
      </c>
      <c r="B140" t="s">
        <v>4157</v>
      </c>
      <c r="C140" t="s">
        <v>5607</v>
      </c>
    </row>
    <row r="141" spans="1:3" x14ac:dyDescent="0.35">
      <c r="A141" t="s">
        <v>2167</v>
      </c>
      <c r="B141" t="s">
        <v>4997</v>
      </c>
      <c r="C141" t="s">
        <v>5607</v>
      </c>
    </row>
    <row r="142" spans="1:3" x14ac:dyDescent="0.35">
      <c r="A142" t="s">
        <v>2209</v>
      </c>
      <c r="B142" t="s">
        <v>4032</v>
      </c>
      <c r="C142" t="s">
        <v>5611</v>
      </c>
    </row>
    <row r="143" spans="1:3" x14ac:dyDescent="0.35">
      <c r="A143" t="s">
        <v>2332</v>
      </c>
      <c r="B143" t="s">
        <v>2333</v>
      </c>
      <c r="C143" t="s">
        <v>5614</v>
      </c>
    </row>
    <row r="144" spans="1:3" x14ac:dyDescent="0.35">
      <c r="A144" t="s">
        <v>2332</v>
      </c>
      <c r="B144" t="s">
        <v>4157</v>
      </c>
      <c r="C144" t="s">
        <v>5614</v>
      </c>
    </row>
    <row r="145" spans="1:3" x14ac:dyDescent="0.35">
      <c r="A145" t="s">
        <v>2332</v>
      </c>
      <c r="B145" t="s">
        <v>5430</v>
      </c>
      <c r="C145" t="s">
        <v>5614</v>
      </c>
    </row>
    <row r="146" spans="1:3" x14ac:dyDescent="0.35">
      <c r="A146" t="s">
        <v>2445</v>
      </c>
      <c r="B146" t="s">
        <v>4111</v>
      </c>
      <c r="C146" t="s">
        <v>5611</v>
      </c>
    </row>
    <row r="147" spans="1:3" x14ac:dyDescent="0.35">
      <c r="A147" t="s">
        <v>2454</v>
      </c>
      <c r="B147" t="s">
        <v>4150</v>
      </c>
      <c r="C147" t="s">
        <v>5611</v>
      </c>
    </row>
    <row r="148" spans="1:3" x14ac:dyDescent="0.35">
      <c r="A148" t="s">
        <v>2457</v>
      </c>
      <c r="B148" t="s">
        <v>4137</v>
      </c>
      <c r="C148" t="s">
        <v>5611</v>
      </c>
    </row>
    <row r="149" spans="1:3" x14ac:dyDescent="0.35">
      <c r="A149" t="s">
        <v>2468</v>
      </c>
      <c r="B149" t="s">
        <v>4042</v>
      </c>
      <c r="C149" t="s">
        <v>1837</v>
      </c>
    </row>
    <row r="150" spans="1:3" x14ac:dyDescent="0.35">
      <c r="A150" t="s">
        <v>2498</v>
      </c>
      <c r="B150" t="s">
        <v>4057</v>
      </c>
      <c r="C150" t="s">
        <v>5607</v>
      </c>
    </row>
    <row r="151" spans="1:3" x14ac:dyDescent="0.35">
      <c r="A151" t="s">
        <v>2498</v>
      </c>
      <c r="B151" t="s">
        <v>4157</v>
      </c>
      <c r="C151" t="s">
        <v>5607</v>
      </c>
    </row>
    <row r="152" spans="1:3" x14ac:dyDescent="0.35">
      <c r="A152" t="s">
        <v>2498</v>
      </c>
      <c r="B152" t="s">
        <v>4998</v>
      </c>
      <c r="C152" t="s">
        <v>5607</v>
      </c>
    </row>
    <row r="153" spans="1:3" x14ac:dyDescent="0.35">
      <c r="A153" t="s">
        <v>2518</v>
      </c>
      <c r="B153" t="s">
        <v>4118</v>
      </c>
      <c r="C153" t="s">
        <v>5611</v>
      </c>
    </row>
    <row r="154" spans="1:3" x14ac:dyDescent="0.35">
      <c r="A154" t="s">
        <v>2535</v>
      </c>
      <c r="B154" t="s">
        <v>4152</v>
      </c>
      <c r="C154" t="s">
        <v>5611</v>
      </c>
    </row>
    <row r="155" spans="1:3" x14ac:dyDescent="0.35">
      <c r="A155" t="s">
        <v>2557</v>
      </c>
      <c r="B155" t="s">
        <v>4097</v>
      </c>
      <c r="C155" t="s">
        <v>1837</v>
      </c>
    </row>
    <row r="156" spans="1:3" x14ac:dyDescent="0.35">
      <c r="A156" t="s">
        <v>2561</v>
      </c>
      <c r="B156" t="s">
        <v>2566</v>
      </c>
      <c r="C156" t="s">
        <v>5611</v>
      </c>
    </row>
    <row r="157" spans="1:3" x14ac:dyDescent="0.35">
      <c r="A157" t="s">
        <v>2588</v>
      </c>
      <c r="B157" t="s">
        <v>4148</v>
      </c>
      <c r="C157" t="s">
        <v>5611</v>
      </c>
    </row>
    <row r="158" spans="1:3" x14ac:dyDescent="0.35">
      <c r="A158" t="s">
        <v>2611</v>
      </c>
      <c r="B158" t="s">
        <v>4072</v>
      </c>
      <c r="C158" t="s">
        <v>5607</v>
      </c>
    </row>
    <row r="159" spans="1:3" x14ac:dyDescent="0.35">
      <c r="A159" t="s">
        <v>2611</v>
      </c>
      <c r="B159" t="s">
        <v>5120</v>
      </c>
      <c r="C159" t="s">
        <v>5607</v>
      </c>
    </row>
    <row r="160" spans="1:3" x14ac:dyDescent="0.35">
      <c r="A160" t="s">
        <v>2707</v>
      </c>
      <c r="B160" t="s">
        <v>4019</v>
      </c>
      <c r="C160" t="s">
        <v>5613</v>
      </c>
    </row>
    <row r="161" spans="1:3" x14ac:dyDescent="0.35">
      <c r="A161" t="s">
        <v>2768</v>
      </c>
      <c r="B161" t="s">
        <v>2771</v>
      </c>
      <c r="C161" t="s">
        <v>5608</v>
      </c>
    </row>
    <row r="162" spans="1:3" x14ac:dyDescent="0.35">
      <c r="A162" t="s">
        <v>2783</v>
      </c>
      <c r="B162" t="s">
        <v>4023</v>
      </c>
      <c r="C162" t="s">
        <v>5613</v>
      </c>
    </row>
    <row r="163" spans="1:3" x14ac:dyDescent="0.35">
      <c r="A163" t="s">
        <v>2783</v>
      </c>
      <c r="B163" t="s">
        <v>4157</v>
      </c>
      <c r="C163" t="s">
        <v>5609</v>
      </c>
    </row>
    <row r="164" spans="1:3" x14ac:dyDescent="0.35">
      <c r="A164" t="s">
        <v>2783</v>
      </c>
      <c r="B164" t="s">
        <v>5192</v>
      </c>
      <c r="C164" t="s">
        <v>5617</v>
      </c>
    </row>
    <row r="165" spans="1:3" x14ac:dyDescent="0.35">
      <c r="A165" t="s">
        <v>2783</v>
      </c>
      <c r="B165" t="s">
        <v>5219</v>
      </c>
      <c r="C165" t="s">
        <v>5609</v>
      </c>
    </row>
    <row r="166" spans="1:3" x14ac:dyDescent="0.35">
      <c r="A166" t="s">
        <v>2795</v>
      </c>
      <c r="B166" t="s">
        <v>4035</v>
      </c>
      <c r="C166" t="s">
        <v>5615</v>
      </c>
    </row>
    <row r="167" spans="1:3" x14ac:dyDescent="0.35">
      <c r="A167" t="s">
        <v>2795</v>
      </c>
      <c r="B167" t="s">
        <v>4157</v>
      </c>
      <c r="C167" t="s">
        <v>5615</v>
      </c>
    </row>
    <row r="168" spans="1:3" x14ac:dyDescent="0.35">
      <c r="A168" t="s">
        <v>2795</v>
      </c>
      <c r="B168" t="s">
        <v>4378</v>
      </c>
      <c r="C168" t="s">
        <v>5614</v>
      </c>
    </row>
    <row r="169" spans="1:3" x14ac:dyDescent="0.35">
      <c r="A169" t="s">
        <v>2795</v>
      </c>
      <c r="B169" t="s">
        <v>4980</v>
      </c>
      <c r="C169" t="s">
        <v>5609</v>
      </c>
    </row>
    <row r="170" spans="1:3" x14ac:dyDescent="0.35">
      <c r="A170" t="s">
        <v>2795</v>
      </c>
      <c r="B170" t="s">
        <v>5129</v>
      </c>
      <c r="C170" t="s">
        <v>5609</v>
      </c>
    </row>
    <row r="171" spans="1:3" x14ac:dyDescent="0.35">
      <c r="A171" t="s">
        <v>2795</v>
      </c>
      <c r="B171" t="s">
        <v>5184</v>
      </c>
      <c r="C171" t="s">
        <v>5611</v>
      </c>
    </row>
    <row r="172" spans="1:3" x14ac:dyDescent="0.35">
      <c r="A172" t="s">
        <v>2795</v>
      </c>
      <c r="B172" t="s">
        <v>5195</v>
      </c>
      <c r="C172" t="s">
        <v>5617</v>
      </c>
    </row>
    <row r="173" spans="1:3" x14ac:dyDescent="0.35">
      <c r="A173" t="s">
        <v>4064</v>
      </c>
      <c r="B173" t="s">
        <v>4063</v>
      </c>
      <c r="C173" t="s">
        <v>5607</v>
      </c>
    </row>
    <row r="174" spans="1:3" x14ac:dyDescent="0.35">
      <c r="A174" t="s">
        <v>2854</v>
      </c>
      <c r="B174" t="s">
        <v>4040</v>
      </c>
      <c r="C174" t="s">
        <v>5615</v>
      </c>
    </row>
    <row r="175" spans="1:3" x14ac:dyDescent="0.35">
      <c r="A175" t="s">
        <v>2854</v>
      </c>
      <c r="B175" t="s">
        <v>5558</v>
      </c>
      <c r="C175" t="s">
        <v>5618</v>
      </c>
    </row>
    <row r="176" spans="1:3" x14ac:dyDescent="0.35">
      <c r="A176" t="s">
        <v>2862</v>
      </c>
      <c r="B176" t="s">
        <v>2863</v>
      </c>
      <c r="C176" t="s">
        <v>5606</v>
      </c>
    </row>
    <row r="177" spans="1:3" x14ac:dyDescent="0.35">
      <c r="A177" t="s">
        <v>2862</v>
      </c>
      <c r="B177" t="s">
        <v>4157</v>
      </c>
      <c r="C177" t="s">
        <v>5606</v>
      </c>
    </row>
    <row r="178" spans="1:3" x14ac:dyDescent="0.35">
      <c r="A178" t="s">
        <v>2867</v>
      </c>
      <c r="B178" t="s">
        <v>2870</v>
      </c>
      <c r="C178" t="s">
        <v>5607</v>
      </c>
    </row>
    <row r="179" spans="1:3" x14ac:dyDescent="0.35">
      <c r="A179" t="s">
        <v>4136</v>
      </c>
      <c r="B179" t="s">
        <v>4135</v>
      </c>
      <c r="C179" t="s">
        <v>5611</v>
      </c>
    </row>
    <row r="180" spans="1:3" x14ac:dyDescent="0.35">
      <c r="A180" t="s">
        <v>4134</v>
      </c>
      <c r="B180" t="s">
        <v>4133</v>
      </c>
      <c r="C180" t="s">
        <v>5611</v>
      </c>
    </row>
    <row r="181" spans="1:3" x14ac:dyDescent="0.35">
      <c r="A181" t="s">
        <v>2892</v>
      </c>
      <c r="B181" t="s">
        <v>4020</v>
      </c>
      <c r="C181" t="s">
        <v>5613</v>
      </c>
    </row>
    <row r="182" spans="1:3" x14ac:dyDescent="0.35">
      <c r="A182" t="s">
        <v>2917</v>
      </c>
      <c r="B182" t="s">
        <v>4126</v>
      </c>
      <c r="C182" t="s">
        <v>5611</v>
      </c>
    </row>
    <row r="183" spans="1:3" x14ac:dyDescent="0.35">
      <c r="A183" t="s">
        <v>3003</v>
      </c>
      <c r="B183" t="s">
        <v>4016</v>
      </c>
      <c r="C183" t="s">
        <v>5608</v>
      </c>
    </row>
    <row r="184" spans="1:3" x14ac:dyDescent="0.35">
      <c r="A184" t="s">
        <v>3024</v>
      </c>
      <c r="B184" t="s">
        <v>4014</v>
      </c>
      <c r="C184" t="s">
        <v>5608</v>
      </c>
    </row>
    <row r="185" spans="1:3" x14ac:dyDescent="0.35">
      <c r="A185" t="s">
        <v>3032</v>
      </c>
      <c r="B185" t="s">
        <v>1907</v>
      </c>
      <c r="C185" t="s">
        <v>5607</v>
      </c>
    </row>
    <row r="186" spans="1:3" x14ac:dyDescent="0.35">
      <c r="A186" t="s">
        <v>3032</v>
      </c>
      <c r="B186" t="s">
        <v>5119</v>
      </c>
      <c r="C186" t="s">
        <v>5607</v>
      </c>
    </row>
    <row r="187" spans="1:3" x14ac:dyDescent="0.35">
      <c r="A187" t="s">
        <v>3032</v>
      </c>
      <c r="B187" t="s">
        <v>5311</v>
      </c>
      <c r="C187" t="s">
        <v>5619</v>
      </c>
    </row>
    <row r="188" spans="1:3" x14ac:dyDescent="0.35">
      <c r="A188" t="s">
        <v>3038</v>
      </c>
      <c r="B188" t="s">
        <v>4129</v>
      </c>
      <c r="C188" t="s">
        <v>5611</v>
      </c>
    </row>
    <row r="189" spans="1:3" x14ac:dyDescent="0.35">
      <c r="A189" t="s">
        <v>4113</v>
      </c>
      <c r="B189" t="s">
        <v>4112</v>
      </c>
      <c r="C189" t="s">
        <v>5611</v>
      </c>
    </row>
    <row r="190" spans="1:3" x14ac:dyDescent="0.35">
      <c r="A190" t="s">
        <v>3116</v>
      </c>
      <c r="B190" t="s">
        <v>4149</v>
      </c>
      <c r="C190" t="s">
        <v>5611</v>
      </c>
    </row>
    <row r="191" spans="1:3" x14ac:dyDescent="0.35">
      <c r="A191" t="s">
        <v>3126</v>
      </c>
      <c r="B191" t="s">
        <v>4037</v>
      </c>
      <c r="C191" t="s">
        <v>5615</v>
      </c>
    </row>
    <row r="192" spans="1:3" x14ac:dyDescent="0.35">
      <c r="A192" t="s">
        <v>3150</v>
      </c>
      <c r="B192" t="s">
        <v>4151</v>
      </c>
      <c r="C192" t="s">
        <v>5611</v>
      </c>
    </row>
    <row r="193" spans="1:3" x14ac:dyDescent="0.35">
      <c r="A193" t="s">
        <v>3164</v>
      </c>
      <c r="B193" t="s">
        <v>4143</v>
      </c>
      <c r="C193" t="s">
        <v>5611</v>
      </c>
    </row>
    <row r="194" spans="1:3" x14ac:dyDescent="0.35">
      <c r="A194" t="s">
        <v>3171</v>
      </c>
      <c r="B194" t="s">
        <v>4105</v>
      </c>
      <c r="C194" t="s">
        <v>1837</v>
      </c>
    </row>
    <row r="195" spans="1:3" x14ac:dyDescent="0.35">
      <c r="A195" s="2" t="s">
        <v>3226</v>
      </c>
      <c r="B195" s="2" t="s">
        <v>4081</v>
      </c>
      <c r="C195" s="2" t="s">
        <v>5614</v>
      </c>
    </row>
    <row r="196" spans="1:3" x14ac:dyDescent="0.35">
      <c r="A196" s="2" t="s">
        <v>3226</v>
      </c>
      <c r="B196" s="2" t="s">
        <v>4153</v>
      </c>
      <c r="C196" s="2" t="s">
        <v>5611</v>
      </c>
    </row>
    <row r="197" spans="1:3" x14ac:dyDescent="0.35">
      <c r="A197" s="2" t="s">
        <v>3226</v>
      </c>
      <c r="B197" t="s">
        <v>4157</v>
      </c>
      <c r="C197" t="s">
        <v>5614</v>
      </c>
    </row>
    <row r="198" spans="1:3" x14ac:dyDescent="0.35">
      <c r="A198" s="2" t="s">
        <v>3226</v>
      </c>
      <c r="B198" t="s">
        <v>4331</v>
      </c>
      <c r="C198" t="s">
        <v>5611</v>
      </c>
    </row>
    <row r="199" spans="1:3" x14ac:dyDescent="0.35">
      <c r="A199" s="2" t="s">
        <v>3226</v>
      </c>
      <c r="B199" t="s">
        <v>4627</v>
      </c>
      <c r="C199" t="s">
        <v>5615</v>
      </c>
    </row>
    <row r="200" spans="1:3" x14ac:dyDescent="0.35">
      <c r="A200" s="2" t="s">
        <v>3226</v>
      </c>
      <c r="B200" t="s">
        <v>4842</v>
      </c>
      <c r="C200" t="s">
        <v>5612</v>
      </c>
    </row>
    <row r="201" spans="1:3" x14ac:dyDescent="0.35">
      <c r="A201" s="2" t="s">
        <v>3226</v>
      </c>
      <c r="B201" t="s">
        <v>5442</v>
      </c>
      <c r="C201" t="s">
        <v>5614</v>
      </c>
    </row>
    <row r="202" spans="1:3" x14ac:dyDescent="0.35">
      <c r="A202" t="s">
        <v>3266</v>
      </c>
      <c r="B202" t="s">
        <v>4085</v>
      </c>
      <c r="C202" t="s">
        <v>5606</v>
      </c>
    </row>
    <row r="203" spans="1:3" x14ac:dyDescent="0.35">
      <c r="A203" t="s">
        <v>3266</v>
      </c>
      <c r="B203" t="s">
        <v>4157</v>
      </c>
      <c r="C203" t="s">
        <v>5606</v>
      </c>
    </row>
    <row r="204" spans="1:3" x14ac:dyDescent="0.35">
      <c r="A204" t="s">
        <v>3370</v>
      </c>
      <c r="B204" t="s">
        <v>4043</v>
      </c>
      <c r="C204" t="s">
        <v>5615</v>
      </c>
    </row>
    <row r="205" spans="1:3" x14ac:dyDescent="0.35">
      <c r="A205" t="s">
        <v>3408</v>
      </c>
      <c r="B205" t="s">
        <v>4131</v>
      </c>
      <c r="C205" t="s">
        <v>5611</v>
      </c>
    </row>
    <row r="206" spans="1:3" x14ac:dyDescent="0.35">
      <c r="A206" t="s">
        <v>3423</v>
      </c>
      <c r="B206" t="s">
        <v>4145</v>
      </c>
      <c r="C206" t="s">
        <v>5611</v>
      </c>
    </row>
    <row r="207" spans="1:3" x14ac:dyDescent="0.35">
      <c r="A207" t="s">
        <v>3423</v>
      </c>
      <c r="B207" t="s">
        <v>5113</v>
      </c>
      <c r="C207" t="s">
        <v>5612</v>
      </c>
    </row>
    <row r="208" spans="1:3" x14ac:dyDescent="0.35">
      <c r="A208" t="s">
        <v>3446</v>
      </c>
      <c r="B208" t="s">
        <v>3445</v>
      </c>
      <c r="C208" t="s">
        <v>5607</v>
      </c>
    </row>
    <row r="209" spans="1:3" x14ac:dyDescent="0.35">
      <c r="A209" t="s">
        <v>3474</v>
      </c>
      <c r="B209" t="s">
        <v>3475</v>
      </c>
      <c r="C209" t="s">
        <v>5614</v>
      </c>
    </row>
    <row r="210" spans="1:3" x14ac:dyDescent="0.35">
      <c r="A210" t="s">
        <v>3474</v>
      </c>
      <c r="B210" t="s">
        <v>4157</v>
      </c>
      <c r="C210" t="s">
        <v>5614</v>
      </c>
    </row>
    <row r="211" spans="1:3" x14ac:dyDescent="0.35">
      <c r="A211" t="s">
        <v>3524</v>
      </c>
      <c r="B211" t="s">
        <v>4058</v>
      </c>
      <c r="C211" t="s">
        <v>5607</v>
      </c>
    </row>
    <row r="212" spans="1:3" x14ac:dyDescent="0.35">
      <c r="A212" t="s">
        <v>3558</v>
      </c>
      <c r="B212" t="s">
        <v>4106</v>
      </c>
      <c r="C212" t="s">
        <v>5611</v>
      </c>
    </row>
    <row r="213" spans="1:3" x14ac:dyDescent="0.35">
      <c r="A213" t="s">
        <v>3558</v>
      </c>
      <c r="B213" t="s">
        <v>4680</v>
      </c>
      <c r="C213" t="s">
        <v>5607</v>
      </c>
    </row>
    <row r="214" spans="1:3" x14ac:dyDescent="0.35">
      <c r="A214" t="s">
        <v>3558</v>
      </c>
      <c r="B214" t="s">
        <v>5112</v>
      </c>
      <c r="C214" t="s">
        <v>5612</v>
      </c>
    </row>
    <row r="215" spans="1:3" x14ac:dyDescent="0.35">
      <c r="A215" t="s">
        <v>3587</v>
      </c>
      <c r="B215" t="s">
        <v>4082</v>
      </c>
      <c r="C215" t="s">
        <v>5614</v>
      </c>
    </row>
    <row r="216" spans="1:3" x14ac:dyDescent="0.35">
      <c r="A216" t="s">
        <v>3587</v>
      </c>
      <c r="B216" t="s">
        <v>4157</v>
      </c>
      <c r="C216" t="s">
        <v>5614</v>
      </c>
    </row>
    <row r="217" spans="1:3" x14ac:dyDescent="0.35">
      <c r="A217" t="s">
        <v>3587</v>
      </c>
      <c r="B217" t="s">
        <v>4964</v>
      </c>
      <c r="C217" t="s">
        <v>5607</v>
      </c>
    </row>
    <row r="218" spans="1:3" x14ac:dyDescent="0.35">
      <c r="A218" t="s">
        <v>3587</v>
      </c>
      <c r="B218" t="s">
        <v>5310</v>
      </c>
      <c r="C218" t="s">
        <v>5619</v>
      </c>
    </row>
    <row r="219" spans="1:3" x14ac:dyDescent="0.35">
      <c r="A219" t="s">
        <v>3587</v>
      </c>
      <c r="B219" t="s">
        <v>5383</v>
      </c>
      <c r="C219" t="s">
        <v>5612</v>
      </c>
    </row>
    <row r="220" spans="1:3" x14ac:dyDescent="0.35">
      <c r="A220" t="s">
        <v>3587</v>
      </c>
      <c r="B220" t="s">
        <v>5445</v>
      </c>
      <c r="C220" t="s">
        <v>5614</v>
      </c>
    </row>
    <row r="221" spans="1:3" x14ac:dyDescent="0.35">
      <c r="A221" t="s">
        <v>3594</v>
      </c>
      <c r="B221" t="s">
        <v>4026</v>
      </c>
      <c r="C221" t="s">
        <v>5607</v>
      </c>
    </row>
    <row r="222" spans="1:3" x14ac:dyDescent="0.35">
      <c r="A222" t="s">
        <v>3618</v>
      </c>
      <c r="B222" t="s">
        <v>4050</v>
      </c>
      <c r="C222" t="s">
        <v>5607</v>
      </c>
    </row>
    <row r="223" spans="1:3" x14ac:dyDescent="0.35">
      <c r="A223" t="s">
        <v>3618</v>
      </c>
      <c r="B223" t="s">
        <v>4157</v>
      </c>
      <c r="C223" t="s">
        <v>5607</v>
      </c>
    </row>
    <row r="224" spans="1:3" x14ac:dyDescent="0.35">
      <c r="A224" t="s">
        <v>3618</v>
      </c>
      <c r="B224" t="s">
        <v>4820</v>
      </c>
      <c r="C224" t="s">
        <v>1837</v>
      </c>
    </row>
    <row r="225" spans="1:3" x14ac:dyDescent="0.35">
      <c r="A225" t="s">
        <v>3618</v>
      </c>
      <c r="B225" t="s">
        <v>5353</v>
      </c>
      <c r="C225" t="s">
        <v>5615</v>
      </c>
    </row>
    <row r="226" spans="1:3" x14ac:dyDescent="0.35">
      <c r="A226" t="s">
        <v>3629</v>
      </c>
      <c r="B226" t="s">
        <v>4123</v>
      </c>
      <c r="C226" t="s">
        <v>5611</v>
      </c>
    </row>
    <row r="227" spans="1:3" x14ac:dyDescent="0.35">
      <c r="A227" t="s">
        <v>3636</v>
      </c>
      <c r="B227" t="s">
        <v>4060</v>
      </c>
      <c r="C227" t="s">
        <v>5607</v>
      </c>
    </row>
    <row r="228" spans="1:3" x14ac:dyDescent="0.35">
      <c r="A228" t="s">
        <v>3644</v>
      </c>
      <c r="B228" t="s">
        <v>3645</v>
      </c>
      <c r="C228" t="s">
        <v>5614</v>
      </c>
    </row>
    <row r="229" spans="1:3" x14ac:dyDescent="0.35">
      <c r="A229" t="s">
        <v>3644</v>
      </c>
      <c r="B229" t="s">
        <v>4157</v>
      </c>
      <c r="C229" t="s">
        <v>5614</v>
      </c>
    </row>
    <row r="230" spans="1:3" x14ac:dyDescent="0.35">
      <c r="A230" t="s">
        <v>3644</v>
      </c>
      <c r="B230" t="s">
        <v>5427</v>
      </c>
      <c r="C230" t="s">
        <v>5614</v>
      </c>
    </row>
    <row r="231" spans="1:3" x14ac:dyDescent="0.35">
      <c r="A231" t="s">
        <v>3649</v>
      </c>
      <c r="B231" t="s">
        <v>4109</v>
      </c>
      <c r="C231" t="s">
        <v>5611</v>
      </c>
    </row>
    <row r="232" spans="1:3" x14ac:dyDescent="0.35">
      <c r="A232" t="s">
        <v>3656</v>
      </c>
      <c r="B232" t="s">
        <v>3657</v>
      </c>
      <c r="C232" t="s">
        <v>5614</v>
      </c>
    </row>
    <row r="233" spans="1:3" x14ac:dyDescent="0.35">
      <c r="A233" t="s">
        <v>3656</v>
      </c>
      <c r="B233" t="s">
        <v>4157</v>
      </c>
      <c r="C233" t="s">
        <v>5614</v>
      </c>
    </row>
    <row r="234" spans="1:3" x14ac:dyDescent="0.35">
      <c r="A234" t="s">
        <v>3670</v>
      </c>
      <c r="B234" t="s">
        <v>4059</v>
      </c>
      <c r="C234" t="s">
        <v>5607</v>
      </c>
    </row>
    <row r="235" spans="1:3" x14ac:dyDescent="0.35">
      <c r="A235" t="s">
        <v>3678</v>
      </c>
      <c r="B235" t="s">
        <v>4098</v>
      </c>
      <c r="C235" t="s">
        <v>1837</v>
      </c>
    </row>
    <row r="236" spans="1:3" x14ac:dyDescent="0.35">
      <c r="A236" t="s">
        <v>3678</v>
      </c>
      <c r="B236" t="s">
        <v>5480</v>
      </c>
      <c r="C236" t="s">
        <v>5611</v>
      </c>
    </row>
    <row r="237" spans="1:3" x14ac:dyDescent="0.35">
      <c r="A237" t="s">
        <v>3686</v>
      </c>
      <c r="B237" t="s">
        <v>4067</v>
      </c>
      <c r="C237" t="s">
        <v>5607</v>
      </c>
    </row>
    <row r="238" spans="1:3" x14ac:dyDescent="0.35">
      <c r="A238" t="s">
        <v>3729</v>
      </c>
      <c r="B238" t="s">
        <v>4013</v>
      </c>
      <c r="C238" t="s">
        <v>5608</v>
      </c>
    </row>
    <row r="239" spans="1:3" x14ac:dyDescent="0.35">
      <c r="A239" t="s">
        <v>3742</v>
      </c>
      <c r="B239" t="s">
        <v>3743</v>
      </c>
      <c r="C239" t="s">
        <v>5607</v>
      </c>
    </row>
    <row r="240" spans="1:3" x14ac:dyDescent="0.35">
      <c r="A240" t="s">
        <v>3742</v>
      </c>
      <c r="B240" t="s">
        <v>4157</v>
      </c>
      <c r="C240" t="s">
        <v>5607</v>
      </c>
    </row>
    <row r="241" spans="1:3" x14ac:dyDescent="0.35">
      <c r="A241" t="s">
        <v>3756</v>
      </c>
      <c r="B241" t="s">
        <v>3757</v>
      </c>
      <c r="C241" t="s">
        <v>5608</v>
      </c>
    </row>
    <row r="242" spans="1:3" x14ac:dyDescent="0.35">
      <c r="A242" t="s">
        <v>3756</v>
      </c>
      <c r="B242" t="s">
        <v>4157</v>
      </c>
      <c r="C242" t="s">
        <v>5608</v>
      </c>
    </row>
    <row r="243" spans="1:3" x14ac:dyDescent="0.35">
      <c r="A243" t="s">
        <v>3836</v>
      </c>
      <c r="B243" t="s">
        <v>4144</v>
      </c>
      <c r="C243" t="s">
        <v>5611</v>
      </c>
    </row>
    <row r="244" spans="1:3" x14ac:dyDescent="0.35">
      <c r="A244" t="s">
        <v>4080</v>
      </c>
      <c r="B244" t="s">
        <v>4079</v>
      </c>
      <c r="C244" t="s">
        <v>5611</v>
      </c>
    </row>
    <row r="245" spans="1:3" x14ac:dyDescent="0.35">
      <c r="A245" t="s">
        <v>4080</v>
      </c>
      <c r="B245" t="s">
        <v>5256</v>
      </c>
      <c r="C245" t="s">
        <v>5614</v>
      </c>
    </row>
    <row r="246" spans="1:3" x14ac:dyDescent="0.35">
      <c r="A246" t="s">
        <v>3876</v>
      </c>
      <c r="B246" t="s">
        <v>4029</v>
      </c>
      <c r="C246" t="s">
        <v>5611</v>
      </c>
    </row>
    <row r="247" spans="1:3" x14ac:dyDescent="0.35">
      <c r="A247" t="s">
        <v>3880</v>
      </c>
      <c r="B247" t="s">
        <v>4117</v>
      </c>
      <c r="C247" t="s">
        <v>5611</v>
      </c>
    </row>
    <row r="248" spans="1:3" x14ac:dyDescent="0.35">
      <c r="A248" t="s">
        <v>3938</v>
      </c>
      <c r="B248" t="s">
        <v>4104</v>
      </c>
      <c r="C248" t="s">
        <v>1837</v>
      </c>
    </row>
    <row r="249" spans="1:3" x14ac:dyDescent="0.35">
      <c r="A249" t="s">
        <v>3966</v>
      </c>
      <c r="B249" t="s">
        <v>3957</v>
      </c>
      <c r="C249" t="s">
        <v>5606</v>
      </c>
    </row>
    <row r="250" spans="1:3" x14ac:dyDescent="0.35">
      <c r="A250" t="s">
        <v>3972</v>
      </c>
      <c r="B250" t="s">
        <v>3973</v>
      </c>
      <c r="C250" t="s">
        <v>5606</v>
      </c>
    </row>
    <row r="251" spans="1:3" x14ac:dyDescent="0.35">
      <c r="A251" t="s">
        <v>3972</v>
      </c>
      <c r="B251" t="s">
        <v>4157</v>
      </c>
      <c r="C251" t="s">
        <v>5606</v>
      </c>
    </row>
    <row r="252" spans="1:3" x14ac:dyDescent="0.35">
      <c r="A252" t="s">
        <v>3983</v>
      </c>
      <c r="B252" t="s">
        <v>4061</v>
      </c>
      <c r="C252" t="s">
        <v>5607</v>
      </c>
    </row>
    <row r="253" spans="1:3" x14ac:dyDescent="0.35">
      <c r="A253" t="s">
        <v>3990</v>
      </c>
      <c r="B253" t="s">
        <v>4065</v>
      </c>
      <c r="C253" t="s">
        <v>5607</v>
      </c>
    </row>
    <row r="254" spans="1:3" x14ac:dyDescent="0.35">
      <c r="A254" t="s">
        <v>2235</v>
      </c>
      <c r="B254" t="s">
        <v>4157</v>
      </c>
      <c r="C254" t="s">
        <v>5611</v>
      </c>
    </row>
    <row r="255" spans="1:3" x14ac:dyDescent="0.35">
      <c r="A255" t="s">
        <v>2235</v>
      </c>
      <c r="B255" t="s">
        <v>2236</v>
      </c>
      <c r="C255" t="s">
        <v>5611</v>
      </c>
    </row>
    <row r="256" spans="1:3" x14ac:dyDescent="0.35">
      <c r="A256" t="s">
        <v>1848</v>
      </c>
      <c r="B256" t="s">
        <v>4157</v>
      </c>
      <c r="C256" t="s">
        <v>5611</v>
      </c>
    </row>
    <row r="257" spans="1:3" x14ac:dyDescent="0.35">
      <c r="A257" t="s">
        <v>1848</v>
      </c>
      <c r="B257" t="s">
        <v>1849</v>
      </c>
      <c r="C257" t="s">
        <v>5611</v>
      </c>
    </row>
    <row r="258" spans="1:3" x14ac:dyDescent="0.35">
      <c r="A258" t="s">
        <v>1028</v>
      </c>
      <c r="B258" t="s">
        <v>4157</v>
      </c>
      <c r="C258" t="s">
        <v>5611</v>
      </c>
    </row>
    <row r="259" spans="1:3" x14ac:dyDescent="0.35">
      <c r="A259" t="s">
        <v>1028</v>
      </c>
      <c r="B259" t="s">
        <v>1029</v>
      </c>
      <c r="C259" t="s">
        <v>5611</v>
      </c>
    </row>
    <row r="260" spans="1:3" x14ac:dyDescent="0.35">
      <c r="A260" t="s">
        <v>4158</v>
      </c>
      <c r="B260" t="s">
        <v>4157</v>
      </c>
      <c r="C260" t="s">
        <v>5611</v>
      </c>
    </row>
    <row r="261" spans="1:3" x14ac:dyDescent="0.35">
      <c r="A261" t="s">
        <v>4159</v>
      </c>
      <c r="B261" t="s">
        <v>4157</v>
      </c>
      <c r="C261" t="s">
        <v>5611</v>
      </c>
    </row>
    <row r="262" spans="1:3" x14ac:dyDescent="0.35">
      <c r="A262" t="s">
        <v>328</v>
      </c>
      <c r="B262" t="s">
        <v>4157</v>
      </c>
      <c r="C262" t="s">
        <v>5611</v>
      </c>
    </row>
    <row r="263" spans="1:3" x14ac:dyDescent="0.35">
      <c r="A263" t="s">
        <v>328</v>
      </c>
      <c r="B263" t="s">
        <v>5183</v>
      </c>
      <c r="C263" t="s">
        <v>5611</v>
      </c>
    </row>
    <row r="264" spans="1:3" x14ac:dyDescent="0.35">
      <c r="A264" t="s">
        <v>2232</v>
      </c>
      <c r="B264" t="s">
        <v>4157</v>
      </c>
      <c r="C264" t="s">
        <v>5611</v>
      </c>
    </row>
    <row r="265" spans="1:3" x14ac:dyDescent="0.35">
      <c r="A265" t="s">
        <v>3309</v>
      </c>
      <c r="B265" t="s">
        <v>4157</v>
      </c>
      <c r="C265" t="s">
        <v>5611</v>
      </c>
    </row>
    <row r="266" spans="1:3" x14ac:dyDescent="0.35">
      <c r="A266" t="s">
        <v>3309</v>
      </c>
      <c r="B266" t="s">
        <v>5394</v>
      </c>
      <c r="C266" t="s">
        <v>5611</v>
      </c>
    </row>
    <row r="267" spans="1:3" x14ac:dyDescent="0.35">
      <c r="A267" t="s">
        <v>4160</v>
      </c>
      <c r="B267" t="s">
        <v>4157</v>
      </c>
      <c r="C267" t="s">
        <v>5614</v>
      </c>
    </row>
    <row r="268" spans="1:3" x14ac:dyDescent="0.35">
      <c r="A268" t="s">
        <v>4161</v>
      </c>
      <c r="B268" t="s">
        <v>4157</v>
      </c>
      <c r="C268" t="s">
        <v>5614</v>
      </c>
    </row>
    <row r="269" spans="1:3" x14ac:dyDescent="0.35">
      <c r="A269" t="s">
        <v>4162</v>
      </c>
      <c r="B269" t="s">
        <v>4157</v>
      </c>
      <c r="C269" t="s">
        <v>5614</v>
      </c>
    </row>
    <row r="270" spans="1:3" x14ac:dyDescent="0.35">
      <c r="A270" t="s">
        <v>4162</v>
      </c>
      <c r="B270" t="s">
        <v>1089</v>
      </c>
      <c r="C270" t="s">
        <v>5614</v>
      </c>
    </row>
    <row r="271" spans="1:3" x14ac:dyDescent="0.35">
      <c r="A271" t="s">
        <v>4163</v>
      </c>
      <c r="B271" t="s">
        <v>4157</v>
      </c>
      <c r="C271" t="s">
        <v>5614</v>
      </c>
    </row>
    <row r="272" spans="1:3" x14ac:dyDescent="0.35">
      <c r="A272" t="s">
        <v>4164</v>
      </c>
      <c r="B272" t="s">
        <v>4157</v>
      </c>
      <c r="C272" t="s">
        <v>5614</v>
      </c>
    </row>
    <row r="273" spans="1:3" x14ac:dyDescent="0.35">
      <c r="A273" t="s">
        <v>4165</v>
      </c>
      <c r="B273" t="s">
        <v>4157</v>
      </c>
      <c r="C273" t="s">
        <v>5614</v>
      </c>
    </row>
    <row r="274" spans="1:3" x14ac:dyDescent="0.35">
      <c r="A274" t="s">
        <v>4165</v>
      </c>
      <c r="B274" t="s">
        <v>4603</v>
      </c>
      <c r="C274" t="s">
        <v>5614</v>
      </c>
    </row>
    <row r="275" spans="1:3" x14ac:dyDescent="0.35">
      <c r="A275" t="s">
        <v>4166</v>
      </c>
      <c r="B275" t="s">
        <v>4157</v>
      </c>
      <c r="C275" t="s">
        <v>5614</v>
      </c>
    </row>
    <row r="276" spans="1:3" x14ac:dyDescent="0.35">
      <c r="A276" t="s">
        <v>4167</v>
      </c>
      <c r="B276" t="s">
        <v>4157</v>
      </c>
      <c r="C276" t="s">
        <v>5614</v>
      </c>
    </row>
    <row r="277" spans="1:3" x14ac:dyDescent="0.35">
      <c r="A277" t="s">
        <v>4168</v>
      </c>
      <c r="B277" t="s">
        <v>4157</v>
      </c>
      <c r="C277" t="s">
        <v>5614</v>
      </c>
    </row>
    <row r="278" spans="1:3" x14ac:dyDescent="0.35">
      <c r="A278" t="s">
        <v>4169</v>
      </c>
      <c r="B278" t="s">
        <v>4157</v>
      </c>
      <c r="C278" t="s">
        <v>5614</v>
      </c>
    </row>
    <row r="279" spans="1:3" x14ac:dyDescent="0.35">
      <c r="A279" t="s">
        <v>4169</v>
      </c>
      <c r="B279" t="s">
        <v>4607</v>
      </c>
      <c r="C279" t="s">
        <v>5614</v>
      </c>
    </row>
    <row r="280" spans="1:3" x14ac:dyDescent="0.35">
      <c r="A280" t="s">
        <v>4170</v>
      </c>
      <c r="B280" t="s">
        <v>4157</v>
      </c>
      <c r="C280" t="s">
        <v>5614</v>
      </c>
    </row>
    <row r="281" spans="1:3" x14ac:dyDescent="0.35">
      <c r="A281" t="s">
        <v>4170</v>
      </c>
      <c r="B281" t="s">
        <v>2144</v>
      </c>
      <c r="C281" t="s">
        <v>5614</v>
      </c>
    </row>
    <row r="282" spans="1:3" x14ac:dyDescent="0.35">
      <c r="A282" t="s">
        <v>4171</v>
      </c>
      <c r="B282" t="s">
        <v>4157</v>
      </c>
      <c r="C282" t="s">
        <v>5614</v>
      </c>
    </row>
    <row r="283" spans="1:3" x14ac:dyDescent="0.35">
      <c r="A283" t="s">
        <v>4172</v>
      </c>
      <c r="B283" t="s">
        <v>4157</v>
      </c>
      <c r="C283" t="s">
        <v>5614</v>
      </c>
    </row>
    <row r="284" spans="1:3" x14ac:dyDescent="0.35">
      <c r="A284" t="s">
        <v>4173</v>
      </c>
      <c r="B284" t="s">
        <v>4157</v>
      </c>
      <c r="C284" t="s">
        <v>5614</v>
      </c>
    </row>
    <row r="285" spans="1:3" x14ac:dyDescent="0.35">
      <c r="A285" t="s">
        <v>4174</v>
      </c>
      <c r="B285" t="s">
        <v>4157</v>
      </c>
      <c r="C285" t="s">
        <v>5606</v>
      </c>
    </row>
    <row r="286" spans="1:3" x14ac:dyDescent="0.35">
      <c r="A286" t="s">
        <v>4175</v>
      </c>
      <c r="B286" t="s">
        <v>4157</v>
      </c>
      <c r="C286" t="s">
        <v>5606</v>
      </c>
    </row>
    <row r="287" spans="1:3" x14ac:dyDescent="0.35">
      <c r="A287" t="s">
        <v>4176</v>
      </c>
      <c r="B287" t="s">
        <v>4157</v>
      </c>
      <c r="C287" t="s">
        <v>5606</v>
      </c>
    </row>
    <row r="288" spans="1:3" x14ac:dyDescent="0.35">
      <c r="A288" t="s">
        <v>4177</v>
      </c>
      <c r="B288" t="s">
        <v>4157</v>
      </c>
      <c r="C288" t="s">
        <v>5606</v>
      </c>
    </row>
    <row r="289" spans="1:3" x14ac:dyDescent="0.35">
      <c r="A289" t="s">
        <v>4178</v>
      </c>
      <c r="B289" t="s">
        <v>4157</v>
      </c>
      <c r="C289" t="s">
        <v>5606</v>
      </c>
    </row>
    <row r="290" spans="1:3" x14ac:dyDescent="0.35">
      <c r="A290" t="s">
        <v>4179</v>
      </c>
      <c r="B290" t="s">
        <v>4157</v>
      </c>
      <c r="C290" t="s">
        <v>5606</v>
      </c>
    </row>
    <row r="291" spans="1:3" x14ac:dyDescent="0.35">
      <c r="A291" t="s">
        <v>4180</v>
      </c>
      <c r="B291" t="s">
        <v>4157</v>
      </c>
      <c r="C291" t="s">
        <v>5606</v>
      </c>
    </row>
    <row r="292" spans="1:3" x14ac:dyDescent="0.35">
      <c r="A292" t="s">
        <v>4181</v>
      </c>
      <c r="B292" t="s">
        <v>4157</v>
      </c>
      <c r="C292" t="s">
        <v>5606</v>
      </c>
    </row>
    <row r="293" spans="1:3" x14ac:dyDescent="0.35">
      <c r="A293" t="s">
        <v>4182</v>
      </c>
      <c r="B293" t="s">
        <v>4157</v>
      </c>
      <c r="C293" t="s">
        <v>5606</v>
      </c>
    </row>
    <row r="294" spans="1:3" x14ac:dyDescent="0.35">
      <c r="A294" t="s">
        <v>4183</v>
      </c>
      <c r="B294" t="s">
        <v>4157</v>
      </c>
      <c r="C294" t="s">
        <v>5606</v>
      </c>
    </row>
    <row r="295" spans="1:3" x14ac:dyDescent="0.35">
      <c r="A295" t="s">
        <v>4184</v>
      </c>
      <c r="B295" t="s">
        <v>4157</v>
      </c>
      <c r="C295" t="s">
        <v>5606</v>
      </c>
    </row>
    <row r="296" spans="1:3" x14ac:dyDescent="0.35">
      <c r="A296" t="s">
        <v>4185</v>
      </c>
      <c r="B296" t="s">
        <v>4157</v>
      </c>
      <c r="C296" t="s">
        <v>5606</v>
      </c>
    </row>
    <row r="297" spans="1:3" x14ac:dyDescent="0.35">
      <c r="A297" t="s">
        <v>4186</v>
      </c>
      <c r="B297" t="s">
        <v>4157</v>
      </c>
      <c r="C297" t="s">
        <v>5606</v>
      </c>
    </row>
    <row r="298" spans="1:3" x14ac:dyDescent="0.35">
      <c r="A298" t="s">
        <v>4187</v>
      </c>
      <c r="B298" t="s">
        <v>4157</v>
      </c>
      <c r="C298" t="s">
        <v>5606</v>
      </c>
    </row>
    <row r="299" spans="1:3" x14ac:dyDescent="0.35">
      <c r="A299" t="s">
        <v>4187</v>
      </c>
      <c r="B299" t="s">
        <v>4478</v>
      </c>
      <c r="C299" t="s">
        <v>5614</v>
      </c>
    </row>
    <row r="300" spans="1:3" x14ac:dyDescent="0.35">
      <c r="A300" t="s">
        <v>4188</v>
      </c>
      <c r="B300" t="s">
        <v>4157</v>
      </c>
      <c r="C300" t="s">
        <v>5606</v>
      </c>
    </row>
    <row r="301" spans="1:3" x14ac:dyDescent="0.35">
      <c r="A301" t="s">
        <v>4189</v>
      </c>
      <c r="B301" t="s">
        <v>4157</v>
      </c>
      <c r="C301" t="s">
        <v>5606</v>
      </c>
    </row>
    <row r="302" spans="1:3" x14ac:dyDescent="0.35">
      <c r="A302" t="s">
        <v>4190</v>
      </c>
      <c r="B302" t="s">
        <v>4157</v>
      </c>
      <c r="C302" t="s">
        <v>5606</v>
      </c>
    </row>
    <row r="303" spans="1:3" x14ac:dyDescent="0.35">
      <c r="A303" t="s">
        <v>4191</v>
      </c>
      <c r="B303" t="s">
        <v>4157</v>
      </c>
      <c r="C303" t="s">
        <v>5606</v>
      </c>
    </row>
    <row r="304" spans="1:3" x14ac:dyDescent="0.35">
      <c r="A304" t="s">
        <v>4191</v>
      </c>
      <c r="B304" t="s">
        <v>2879</v>
      </c>
      <c r="C304" t="s">
        <v>5614</v>
      </c>
    </row>
    <row r="305" spans="1:3" x14ac:dyDescent="0.35">
      <c r="A305" t="s">
        <v>4192</v>
      </c>
      <c r="B305" t="s">
        <v>4157</v>
      </c>
      <c r="C305" t="s">
        <v>5606</v>
      </c>
    </row>
    <row r="306" spans="1:3" x14ac:dyDescent="0.35">
      <c r="A306" t="s">
        <v>4193</v>
      </c>
      <c r="B306" t="s">
        <v>4157</v>
      </c>
      <c r="C306" t="s">
        <v>5606</v>
      </c>
    </row>
    <row r="307" spans="1:3" x14ac:dyDescent="0.35">
      <c r="A307" t="s">
        <v>4194</v>
      </c>
      <c r="B307" t="s">
        <v>4157</v>
      </c>
      <c r="C307" t="s">
        <v>5606</v>
      </c>
    </row>
    <row r="308" spans="1:3" x14ac:dyDescent="0.35">
      <c r="A308" t="s">
        <v>4195</v>
      </c>
      <c r="B308" t="s">
        <v>4157</v>
      </c>
      <c r="C308" t="s">
        <v>5606</v>
      </c>
    </row>
    <row r="309" spans="1:3" x14ac:dyDescent="0.35">
      <c r="A309" t="s">
        <v>4196</v>
      </c>
      <c r="B309" t="s">
        <v>4157</v>
      </c>
      <c r="C309" t="s">
        <v>5606</v>
      </c>
    </row>
    <row r="310" spans="1:3" x14ac:dyDescent="0.35">
      <c r="A310" t="s">
        <v>4197</v>
      </c>
      <c r="B310" t="s">
        <v>4157</v>
      </c>
      <c r="C310" t="s">
        <v>1837</v>
      </c>
    </row>
    <row r="311" spans="1:3" x14ac:dyDescent="0.35">
      <c r="A311" t="s">
        <v>4198</v>
      </c>
      <c r="B311" t="s">
        <v>4157</v>
      </c>
      <c r="C311" t="s">
        <v>1837</v>
      </c>
    </row>
    <row r="312" spans="1:3" x14ac:dyDescent="0.35">
      <c r="A312" t="s">
        <v>4198</v>
      </c>
      <c r="B312" t="s">
        <v>4802</v>
      </c>
      <c r="C312" t="s">
        <v>5607</v>
      </c>
    </row>
    <row r="313" spans="1:3" x14ac:dyDescent="0.35">
      <c r="A313" t="s">
        <v>4199</v>
      </c>
      <c r="B313" t="s">
        <v>4157</v>
      </c>
      <c r="C313" t="s">
        <v>1837</v>
      </c>
    </row>
    <row r="314" spans="1:3" x14ac:dyDescent="0.35">
      <c r="A314" t="s">
        <v>4200</v>
      </c>
      <c r="B314" t="s">
        <v>4157</v>
      </c>
      <c r="C314" t="s">
        <v>1837</v>
      </c>
    </row>
    <row r="315" spans="1:3" x14ac:dyDescent="0.35">
      <c r="A315" t="s">
        <v>4200</v>
      </c>
      <c r="B315" t="s">
        <v>4926</v>
      </c>
      <c r="C315" t="s">
        <v>5607</v>
      </c>
    </row>
    <row r="316" spans="1:3" x14ac:dyDescent="0.35">
      <c r="A316" t="s">
        <v>4201</v>
      </c>
      <c r="B316" t="s">
        <v>4157</v>
      </c>
      <c r="C316" t="s">
        <v>1837</v>
      </c>
    </row>
    <row r="317" spans="1:3" x14ac:dyDescent="0.35">
      <c r="A317" t="s">
        <v>4202</v>
      </c>
      <c r="B317" t="s">
        <v>4157</v>
      </c>
      <c r="C317" t="s">
        <v>1837</v>
      </c>
    </row>
    <row r="318" spans="1:3" x14ac:dyDescent="0.35">
      <c r="A318" t="s">
        <v>4203</v>
      </c>
      <c r="B318" t="s">
        <v>4157</v>
      </c>
      <c r="C318" t="s">
        <v>1837</v>
      </c>
    </row>
    <row r="319" spans="1:3" x14ac:dyDescent="0.35">
      <c r="A319" t="s">
        <v>4204</v>
      </c>
      <c r="B319" t="s">
        <v>4157</v>
      </c>
      <c r="C319" t="s">
        <v>1837</v>
      </c>
    </row>
    <row r="320" spans="1:3" x14ac:dyDescent="0.35">
      <c r="A320" t="s">
        <v>4205</v>
      </c>
      <c r="B320" t="s">
        <v>4157</v>
      </c>
      <c r="C320" t="s">
        <v>1837</v>
      </c>
    </row>
    <row r="321" spans="1:3" x14ac:dyDescent="0.35">
      <c r="A321" t="s">
        <v>4205</v>
      </c>
      <c r="B321" t="s">
        <v>945</v>
      </c>
      <c r="C321" t="s">
        <v>1837</v>
      </c>
    </row>
    <row r="322" spans="1:3" x14ac:dyDescent="0.35">
      <c r="A322" t="s">
        <v>4206</v>
      </c>
      <c r="B322" t="s">
        <v>4157</v>
      </c>
      <c r="C322" t="s">
        <v>1837</v>
      </c>
    </row>
    <row r="323" spans="1:3" x14ac:dyDescent="0.35">
      <c r="A323" t="s">
        <v>4206</v>
      </c>
      <c r="B323" t="s">
        <v>4931</v>
      </c>
      <c r="C323" t="s">
        <v>5607</v>
      </c>
    </row>
    <row r="324" spans="1:3" x14ac:dyDescent="0.35">
      <c r="A324" t="s">
        <v>4206</v>
      </c>
      <c r="B324" t="s">
        <v>5403</v>
      </c>
      <c r="C324" t="s">
        <v>5612</v>
      </c>
    </row>
    <row r="325" spans="1:3" x14ac:dyDescent="0.35">
      <c r="A325" t="s">
        <v>4207</v>
      </c>
      <c r="B325" t="s">
        <v>4157</v>
      </c>
      <c r="C325" t="s">
        <v>1837</v>
      </c>
    </row>
    <row r="326" spans="1:3" x14ac:dyDescent="0.35">
      <c r="A326" t="s">
        <v>4208</v>
      </c>
      <c r="B326" t="s">
        <v>4157</v>
      </c>
      <c r="C326" t="s">
        <v>1837</v>
      </c>
    </row>
    <row r="327" spans="1:3" x14ac:dyDescent="0.35">
      <c r="A327" t="s">
        <v>4209</v>
      </c>
      <c r="B327" t="s">
        <v>4157</v>
      </c>
      <c r="C327" t="s">
        <v>1837</v>
      </c>
    </row>
    <row r="328" spans="1:3" x14ac:dyDescent="0.35">
      <c r="A328" t="s">
        <v>4210</v>
      </c>
      <c r="B328" t="s">
        <v>4157</v>
      </c>
      <c r="C328" t="s">
        <v>1837</v>
      </c>
    </row>
    <row r="329" spans="1:3" x14ac:dyDescent="0.35">
      <c r="A329" t="s">
        <v>4211</v>
      </c>
      <c r="B329" t="s">
        <v>4157</v>
      </c>
      <c r="C329" t="s">
        <v>1837</v>
      </c>
    </row>
    <row r="330" spans="1:3" x14ac:dyDescent="0.35">
      <c r="A330" t="s">
        <v>4211</v>
      </c>
      <c r="B330" t="s">
        <v>4754</v>
      </c>
      <c r="C330" t="s">
        <v>5619</v>
      </c>
    </row>
    <row r="331" spans="1:3" x14ac:dyDescent="0.35">
      <c r="A331" t="s">
        <v>4212</v>
      </c>
      <c r="B331" t="s">
        <v>4157</v>
      </c>
      <c r="C331" t="s">
        <v>1837</v>
      </c>
    </row>
    <row r="332" spans="1:3" x14ac:dyDescent="0.35">
      <c r="A332" t="s">
        <v>4212</v>
      </c>
      <c r="B332" t="s">
        <v>1139</v>
      </c>
      <c r="C332" t="s">
        <v>1837</v>
      </c>
    </row>
    <row r="333" spans="1:3" x14ac:dyDescent="0.35">
      <c r="A333" t="s">
        <v>4213</v>
      </c>
      <c r="B333" t="s">
        <v>4157</v>
      </c>
      <c r="C333" t="s">
        <v>1837</v>
      </c>
    </row>
    <row r="334" spans="1:3" x14ac:dyDescent="0.35">
      <c r="A334" t="s">
        <v>4214</v>
      </c>
      <c r="B334" t="s">
        <v>4157</v>
      </c>
      <c r="C334" t="s">
        <v>1837</v>
      </c>
    </row>
    <row r="335" spans="1:3" x14ac:dyDescent="0.35">
      <c r="A335" t="s">
        <v>4215</v>
      </c>
      <c r="B335" t="s">
        <v>4157</v>
      </c>
      <c r="C335" t="s">
        <v>1837</v>
      </c>
    </row>
    <row r="336" spans="1:3" x14ac:dyDescent="0.35">
      <c r="A336" t="s">
        <v>4216</v>
      </c>
      <c r="B336" t="s">
        <v>4157</v>
      </c>
      <c r="C336" t="s">
        <v>1837</v>
      </c>
    </row>
    <row r="337" spans="1:3" x14ac:dyDescent="0.35">
      <c r="A337" t="s">
        <v>4217</v>
      </c>
      <c r="B337" t="s">
        <v>4157</v>
      </c>
      <c r="C337" t="s">
        <v>1837</v>
      </c>
    </row>
    <row r="338" spans="1:3" x14ac:dyDescent="0.35">
      <c r="A338" t="s">
        <v>4218</v>
      </c>
      <c r="B338" t="s">
        <v>4157</v>
      </c>
      <c r="C338" t="s">
        <v>1837</v>
      </c>
    </row>
    <row r="339" spans="1:3" x14ac:dyDescent="0.35">
      <c r="A339" t="s">
        <v>4219</v>
      </c>
      <c r="B339" t="s">
        <v>4157</v>
      </c>
      <c r="C339" t="s">
        <v>1837</v>
      </c>
    </row>
    <row r="340" spans="1:3" x14ac:dyDescent="0.35">
      <c r="A340" t="s">
        <v>4220</v>
      </c>
      <c r="B340" t="s">
        <v>4157</v>
      </c>
      <c r="C340" t="s">
        <v>1837</v>
      </c>
    </row>
    <row r="341" spans="1:3" x14ac:dyDescent="0.35">
      <c r="A341" t="s">
        <v>4220</v>
      </c>
      <c r="B341" t="s">
        <v>5249</v>
      </c>
      <c r="C341" t="s">
        <v>5607</v>
      </c>
    </row>
    <row r="342" spans="1:3" x14ac:dyDescent="0.35">
      <c r="A342" t="s">
        <v>4221</v>
      </c>
      <c r="B342" t="s">
        <v>4157</v>
      </c>
      <c r="C342" t="s">
        <v>1837</v>
      </c>
    </row>
    <row r="343" spans="1:3" x14ac:dyDescent="0.35">
      <c r="A343" t="s">
        <v>4221</v>
      </c>
      <c r="B343" t="s">
        <v>4303</v>
      </c>
      <c r="C343" t="s">
        <v>5612</v>
      </c>
    </row>
    <row r="344" spans="1:3" x14ac:dyDescent="0.35">
      <c r="A344" t="s">
        <v>4221</v>
      </c>
      <c r="B344" t="s">
        <v>4572</v>
      </c>
      <c r="C344" t="s">
        <v>5615</v>
      </c>
    </row>
    <row r="345" spans="1:3" x14ac:dyDescent="0.35">
      <c r="A345" t="s">
        <v>4221</v>
      </c>
      <c r="B345" t="s">
        <v>4852</v>
      </c>
      <c r="C345" t="s">
        <v>5615</v>
      </c>
    </row>
    <row r="346" spans="1:3" x14ac:dyDescent="0.35">
      <c r="A346" t="s">
        <v>4221</v>
      </c>
      <c r="B346" t="s">
        <v>4877</v>
      </c>
      <c r="C346" t="s">
        <v>5607</v>
      </c>
    </row>
    <row r="347" spans="1:3" x14ac:dyDescent="0.35">
      <c r="A347" t="s">
        <v>4221</v>
      </c>
      <c r="B347" t="s">
        <v>5370</v>
      </c>
      <c r="C347" t="s">
        <v>1837</v>
      </c>
    </row>
    <row r="348" spans="1:3" x14ac:dyDescent="0.35">
      <c r="A348" t="s">
        <v>4222</v>
      </c>
      <c r="B348" t="s">
        <v>4157</v>
      </c>
      <c r="C348" t="s">
        <v>1837</v>
      </c>
    </row>
    <row r="349" spans="1:3" x14ac:dyDescent="0.35">
      <c r="A349" t="s">
        <v>4222</v>
      </c>
      <c r="B349" t="s">
        <v>4749</v>
      </c>
      <c r="C349" t="s">
        <v>1757</v>
      </c>
    </row>
    <row r="350" spans="1:3" x14ac:dyDescent="0.35">
      <c r="A350" t="s">
        <v>4223</v>
      </c>
      <c r="B350" t="s">
        <v>4157</v>
      </c>
      <c r="C350" t="s">
        <v>1837</v>
      </c>
    </row>
    <row r="351" spans="1:3" x14ac:dyDescent="0.35">
      <c r="A351" t="s">
        <v>4223</v>
      </c>
      <c r="B351" t="s">
        <v>4535</v>
      </c>
      <c r="C351" t="s">
        <v>5614</v>
      </c>
    </row>
    <row r="352" spans="1:3" x14ac:dyDescent="0.35">
      <c r="A352" t="s">
        <v>4223</v>
      </c>
      <c r="B352" t="s">
        <v>5368</v>
      </c>
      <c r="C352" t="s">
        <v>1837</v>
      </c>
    </row>
    <row r="353" spans="1:3" x14ac:dyDescent="0.35">
      <c r="A353" t="s">
        <v>4224</v>
      </c>
      <c r="B353" t="s">
        <v>4157</v>
      </c>
      <c r="C353" t="s">
        <v>1837</v>
      </c>
    </row>
    <row r="354" spans="1:3" x14ac:dyDescent="0.35">
      <c r="A354" t="s">
        <v>4225</v>
      </c>
      <c r="B354" t="s">
        <v>4157</v>
      </c>
      <c r="C354" t="s">
        <v>1837</v>
      </c>
    </row>
    <row r="355" spans="1:3" x14ac:dyDescent="0.35">
      <c r="A355" t="s">
        <v>4226</v>
      </c>
      <c r="B355" t="s">
        <v>4157</v>
      </c>
      <c r="C355" t="s">
        <v>1837</v>
      </c>
    </row>
    <row r="356" spans="1:3" x14ac:dyDescent="0.35">
      <c r="A356" t="s">
        <v>4226</v>
      </c>
      <c r="B356" t="s">
        <v>3234</v>
      </c>
      <c r="C356" t="s">
        <v>1837</v>
      </c>
    </row>
    <row r="357" spans="1:3" x14ac:dyDescent="0.35">
      <c r="A357" t="s">
        <v>4227</v>
      </c>
      <c r="B357" t="s">
        <v>4157</v>
      </c>
      <c r="C357" t="s">
        <v>5619</v>
      </c>
    </row>
    <row r="358" spans="1:3" x14ac:dyDescent="0.35">
      <c r="A358" t="s">
        <v>4227</v>
      </c>
      <c r="B358" t="s">
        <v>2661</v>
      </c>
      <c r="C358" t="s">
        <v>5619</v>
      </c>
    </row>
    <row r="359" spans="1:3" x14ac:dyDescent="0.35">
      <c r="A359" t="s">
        <v>4228</v>
      </c>
      <c r="B359" t="s">
        <v>4157</v>
      </c>
      <c r="C359" t="s">
        <v>5619</v>
      </c>
    </row>
    <row r="360" spans="1:3" x14ac:dyDescent="0.35">
      <c r="A360" t="s">
        <v>4229</v>
      </c>
      <c r="B360" t="s">
        <v>4157</v>
      </c>
      <c r="C360" t="s">
        <v>5619</v>
      </c>
    </row>
    <row r="361" spans="1:3" x14ac:dyDescent="0.35">
      <c r="A361" t="s">
        <v>4230</v>
      </c>
      <c r="B361" t="s">
        <v>4157</v>
      </c>
      <c r="C361" t="s">
        <v>5619</v>
      </c>
    </row>
    <row r="362" spans="1:3" x14ac:dyDescent="0.35">
      <c r="A362" t="s">
        <v>1763</v>
      </c>
      <c r="B362" t="s">
        <v>4157</v>
      </c>
      <c r="C362" t="s">
        <v>5607</v>
      </c>
    </row>
    <row r="363" spans="1:3" x14ac:dyDescent="0.35">
      <c r="A363" t="s">
        <v>1763</v>
      </c>
      <c r="B363" t="s">
        <v>4157</v>
      </c>
      <c r="C363" t="s">
        <v>5619</v>
      </c>
    </row>
    <row r="364" spans="1:3" x14ac:dyDescent="0.35">
      <c r="A364" t="s">
        <v>1763</v>
      </c>
      <c r="B364" t="s">
        <v>4336</v>
      </c>
      <c r="C364" t="s">
        <v>5611</v>
      </c>
    </row>
    <row r="365" spans="1:3" x14ac:dyDescent="0.35">
      <c r="A365" t="s">
        <v>1763</v>
      </c>
      <c r="B365" t="s">
        <v>4441</v>
      </c>
      <c r="C365" t="s">
        <v>5614</v>
      </c>
    </row>
    <row r="366" spans="1:3" x14ac:dyDescent="0.35">
      <c r="A366" t="s">
        <v>1763</v>
      </c>
      <c r="B366" t="s">
        <v>4481</v>
      </c>
      <c r="C366" t="s">
        <v>5607</v>
      </c>
    </row>
    <row r="367" spans="1:3" x14ac:dyDescent="0.35">
      <c r="A367" t="s">
        <v>4231</v>
      </c>
      <c r="B367" t="s">
        <v>4157</v>
      </c>
      <c r="C367" t="s">
        <v>5619</v>
      </c>
    </row>
    <row r="368" spans="1:3" x14ac:dyDescent="0.35">
      <c r="A368" t="s">
        <v>4232</v>
      </c>
      <c r="B368" t="s">
        <v>4157</v>
      </c>
      <c r="C368" t="s">
        <v>5619</v>
      </c>
    </row>
    <row r="369" spans="1:3" x14ac:dyDescent="0.35">
      <c r="A369" t="s">
        <v>4233</v>
      </c>
      <c r="B369" t="s">
        <v>4157</v>
      </c>
      <c r="C369" t="s">
        <v>5619</v>
      </c>
    </row>
    <row r="370" spans="1:3" x14ac:dyDescent="0.35">
      <c r="A370" t="s">
        <v>4234</v>
      </c>
      <c r="B370" t="s">
        <v>4157</v>
      </c>
      <c r="C370" t="s">
        <v>5619</v>
      </c>
    </row>
    <row r="371" spans="1:3" x14ac:dyDescent="0.35">
      <c r="A371" t="s">
        <v>4235</v>
      </c>
      <c r="B371" t="s">
        <v>4157</v>
      </c>
      <c r="C371" t="s">
        <v>5610</v>
      </c>
    </row>
    <row r="372" spans="1:3" x14ac:dyDescent="0.35">
      <c r="A372" t="s">
        <v>4236</v>
      </c>
      <c r="B372" t="s">
        <v>4157</v>
      </c>
      <c r="C372" t="s">
        <v>5610</v>
      </c>
    </row>
    <row r="373" spans="1:3" x14ac:dyDescent="0.35">
      <c r="A373" t="s">
        <v>4237</v>
      </c>
      <c r="B373" t="s">
        <v>4157</v>
      </c>
      <c r="C373" t="s">
        <v>5610</v>
      </c>
    </row>
    <row r="374" spans="1:3" x14ac:dyDescent="0.35">
      <c r="A374" t="s">
        <v>4238</v>
      </c>
      <c r="B374" t="s">
        <v>4157</v>
      </c>
      <c r="C374" t="s">
        <v>5610</v>
      </c>
    </row>
    <row r="375" spans="1:3" x14ac:dyDescent="0.35">
      <c r="A375" t="s">
        <v>4239</v>
      </c>
      <c r="B375" t="s">
        <v>4157</v>
      </c>
      <c r="C375" t="s">
        <v>5610</v>
      </c>
    </row>
    <row r="376" spans="1:3" x14ac:dyDescent="0.35">
      <c r="A376" t="s">
        <v>2422</v>
      </c>
      <c r="B376" t="s">
        <v>4157</v>
      </c>
      <c r="C376" t="s">
        <v>5607</v>
      </c>
    </row>
    <row r="377" spans="1:3" x14ac:dyDescent="0.35">
      <c r="A377" t="s">
        <v>3465</v>
      </c>
      <c r="B377" t="s">
        <v>4157</v>
      </c>
      <c r="C377" t="s">
        <v>5607</v>
      </c>
    </row>
    <row r="378" spans="1:3" x14ac:dyDescent="0.35">
      <c r="A378" t="s">
        <v>3465</v>
      </c>
      <c r="B378" t="s">
        <v>3466</v>
      </c>
      <c r="C378" t="s">
        <v>5607</v>
      </c>
    </row>
    <row r="379" spans="1:3" x14ac:dyDescent="0.35">
      <c r="A379" t="s">
        <v>2489</v>
      </c>
      <c r="B379" t="s">
        <v>4157</v>
      </c>
      <c r="C379" t="s">
        <v>5607</v>
      </c>
    </row>
    <row r="380" spans="1:3" x14ac:dyDescent="0.35">
      <c r="A380" t="s">
        <v>2489</v>
      </c>
      <c r="B380" t="s">
        <v>2490</v>
      </c>
      <c r="C380" t="s">
        <v>5607</v>
      </c>
    </row>
    <row r="381" spans="1:3" x14ac:dyDescent="0.35">
      <c r="A381" t="s">
        <v>2435</v>
      </c>
      <c r="B381" t="s">
        <v>4157</v>
      </c>
      <c r="C381" t="s">
        <v>5607</v>
      </c>
    </row>
    <row r="382" spans="1:3" x14ac:dyDescent="0.35">
      <c r="A382" t="s">
        <v>2435</v>
      </c>
      <c r="B382" t="s">
        <v>2436</v>
      </c>
      <c r="C382" t="s">
        <v>5607</v>
      </c>
    </row>
    <row r="383" spans="1:3" x14ac:dyDescent="0.35">
      <c r="A383" t="s">
        <v>2435</v>
      </c>
      <c r="B383" t="s">
        <v>5537</v>
      </c>
      <c r="C383" t="s">
        <v>5610</v>
      </c>
    </row>
    <row r="384" spans="1:3" x14ac:dyDescent="0.35">
      <c r="A384" t="s">
        <v>3471</v>
      </c>
      <c r="B384" t="s">
        <v>4157</v>
      </c>
      <c r="C384" t="s">
        <v>5607</v>
      </c>
    </row>
    <row r="385" spans="1:3" x14ac:dyDescent="0.35">
      <c r="A385" t="s">
        <v>3471</v>
      </c>
      <c r="B385" t="s">
        <v>3472</v>
      </c>
      <c r="C385" t="s">
        <v>5607</v>
      </c>
    </row>
    <row r="386" spans="1:3" x14ac:dyDescent="0.35">
      <c r="A386" t="s">
        <v>3663</v>
      </c>
      <c r="B386" t="s">
        <v>4157</v>
      </c>
      <c r="C386" t="s">
        <v>5607</v>
      </c>
    </row>
    <row r="387" spans="1:3" x14ac:dyDescent="0.35">
      <c r="A387" t="s">
        <v>4240</v>
      </c>
      <c r="B387" t="s">
        <v>4157</v>
      </c>
      <c r="C387" t="s">
        <v>5607</v>
      </c>
    </row>
    <row r="388" spans="1:3" x14ac:dyDescent="0.35">
      <c r="A388" t="s">
        <v>4240</v>
      </c>
      <c r="B388" t="s">
        <v>519</v>
      </c>
      <c r="C388" t="s">
        <v>5607</v>
      </c>
    </row>
    <row r="389" spans="1:3" x14ac:dyDescent="0.35">
      <c r="A389" t="s">
        <v>960</v>
      </c>
      <c r="B389" t="s">
        <v>4157</v>
      </c>
      <c r="C389" t="s">
        <v>5607</v>
      </c>
    </row>
    <row r="390" spans="1:3" x14ac:dyDescent="0.35">
      <c r="A390" t="s">
        <v>2139</v>
      </c>
      <c r="B390" t="s">
        <v>4157</v>
      </c>
      <c r="C390" t="s">
        <v>5607</v>
      </c>
    </row>
    <row r="391" spans="1:3" x14ac:dyDescent="0.35">
      <c r="A391" t="s">
        <v>2509</v>
      </c>
      <c r="B391" t="s">
        <v>4157</v>
      </c>
      <c r="C391" t="s">
        <v>5607</v>
      </c>
    </row>
    <row r="392" spans="1:3" x14ac:dyDescent="0.35">
      <c r="A392" t="s">
        <v>2509</v>
      </c>
      <c r="B392" t="s">
        <v>2510</v>
      </c>
      <c r="C392" t="s">
        <v>5607</v>
      </c>
    </row>
    <row r="393" spans="1:3" x14ac:dyDescent="0.35">
      <c r="A393" t="s">
        <v>1496</v>
      </c>
      <c r="B393" t="s">
        <v>4157</v>
      </c>
      <c r="C393" t="s">
        <v>5607</v>
      </c>
    </row>
    <row r="394" spans="1:3" x14ac:dyDescent="0.35">
      <c r="A394" t="s">
        <v>1496</v>
      </c>
      <c r="B394" t="s">
        <v>4486</v>
      </c>
      <c r="C394" t="s">
        <v>5607</v>
      </c>
    </row>
    <row r="395" spans="1:3" x14ac:dyDescent="0.35">
      <c r="A395" t="s">
        <v>1496</v>
      </c>
      <c r="B395" t="s">
        <v>5027</v>
      </c>
      <c r="C395" t="s">
        <v>5612</v>
      </c>
    </row>
    <row r="396" spans="1:3" x14ac:dyDescent="0.35">
      <c r="A396" t="s">
        <v>1460</v>
      </c>
      <c r="B396" t="s">
        <v>4157</v>
      </c>
      <c r="C396" t="s">
        <v>5607</v>
      </c>
    </row>
    <row r="397" spans="1:3" x14ac:dyDescent="0.35">
      <c r="A397" t="s">
        <v>4241</v>
      </c>
      <c r="B397" t="s">
        <v>4157</v>
      </c>
      <c r="C397" t="s">
        <v>5607</v>
      </c>
    </row>
    <row r="398" spans="1:3" x14ac:dyDescent="0.35">
      <c r="A398" t="s">
        <v>4242</v>
      </c>
      <c r="B398" t="s">
        <v>4157</v>
      </c>
      <c r="C398" t="s">
        <v>5607</v>
      </c>
    </row>
    <row r="399" spans="1:3" x14ac:dyDescent="0.35">
      <c r="A399" t="s">
        <v>730</v>
      </c>
      <c r="B399" t="s">
        <v>4157</v>
      </c>
      <c r="C399" t="s">
        <v>5607</v>
      </c>
    </row>
    <row r="400" spans="1:3" x14ac:dyDescent="0.35">
      <c r="A400" t="s">
        <v>730</v>
      </c>
      <c r="B400" t="s">
        <v>4531</v>
      </c>
      <c r="C400" t="s">
        <v>5607</v>
      </c>
    </row>
    <row r="401" spans="1:3" x14ac:dyDescent="0.35">
      <c r="A401" t="s">
        <v>4243</v>
      </c>
      <c r="B401" t="s">
        <v>4157</v>
      </c>
      <c r="C401" t="s">
        <v>5607</v>
      </c>
    </row>
    <row r="402" spans="1:3" x14ac:dyDescent="0.35">
      <c r="A402" t="s">
        <v>4244</v>
      </c>
      <c r="B402" t="s">
        <v>4157</v>
      </c>
      <c r="C402" t="s">
        <v>5607</v>
      </c>
    </row>
    <row r="403" spans="1:3" x14ac:dyDescent="0.35">
      <c r="A403" t="s">
        <v>4245</v>
      </c>
      <c r="B403" t="s">
        <v>4157</v>
      </c>
      <c r="C403" t="s">
        <v>5607</v>
      </c>
    </row>
    <row r="404" spans="1:3" x14ac:dyDescent="0.35">
      <c r="A404" t="s">
        <v>4246</v>
      </c>
      <c r="B404" t="s">
        <v>4157</v>
      </c>
      <c r="C404" t="s">
        <v>5607</v>
      </c>
    </row>
    <row r="405" spans="1:3" x14ac:dyDescent="0.35">
      <c r="A405" t="s">
        <v>4246</v>
      </c>
      <c r="B405" t="s">
        <v>956</v>
      </c>
      <c r="C405" t="s">
        <v>5607</v>
      </c>
    </row>
    <row r="406" spans="1:3" x14ac:dyDescent="0.35">
      <c r="A406" t="s">
        <v>4247</v>
      </c>
      <c r="B406" t="s">
        <v>4157</v>
      </c>
      <c r="C406" t="s">
        <v>5607</v>
      </c>
    </row>
    <row r="407" spans="1:3" x14ac:dyDescent="0.35">
      <c r="A407" t="s">
        <v>4248</v>
      </c>
      <c r="B407" t="s">
        <v>4157</v>
      </c>
      <c r="C407" t="s">
        <v>5607</v>
      </c>
    </row>
    <row r="408" spans="1:3" x14ac:dyDescent="0.35">
      <c r="A408" t="s">
        <v>4249</v>
      </c>
      <c r="B408" t="s">
        <v>4157</v>
      </c>
      <c r="C408" t="s">
        <v>5607</v>
      </c>
    </row>
    <row r="409" spans="1:3" x14ac:dyDescent="0.35">
      <c r="A409" t="s">
        <v>4250</v>
      </c>
      <c r="B409" t="s">
        <v>4157</v>
      </c>
      <c r="C409" t="s">
        <v>5607</v>
      </c>
    </row>
    <row r="410" spans="1:3" x14ac:dyDescent="0.35">
      <c r="A410" t="s">
        <v>4250</v>
      </c>
      <c r="B410" t="s">
        <v>965</v>
      </c>
      <c r="C410" t="s">
        <v>5607</v>
      </c>
    </row>
    <row r="411" spans="1:3" x14ac:dyDescent="0.35">
      <c r="A411" t="s">
        <v>4251</v>
      </c>
      <c r="B411" t="s">
        <v>4157</v>
      </c>
      <c r="C411" t="s">
        <v>5607</v>
      </c>
    </row>
    <row r="412" spans="1:3" x14ac:dyDescent="0.35">
      <c r="A412" t="s">
        <v>4251</v>
      </c>
      <c r="B412" t="s">
        <v>1786</v>
      </c>
      <c r="C412" t="s">
        <v>5607</v>
      </c>
    </row>
    <row r="413" spans="1:3" x14ac:dyDescent="0.35">
      <c r="A413" t="s">
        <v>4252</v>
      </c>
      <c r="B413" t="s">
        <v>4157</v>
      </c>
      <c r="C413" t="s">
        <v>5607</v>
      </c>
    </row>
    <row r="414" spans="1:3" x14ac:dyDescent="0.35">
      <c r="A414" t="s">
        <v>4253</v>
      </c>
      <c r="B414" t="s">
        <v>4157</v>
      </c>
      <c r="C414" t="s">
        <v>5607</v>
      </c>
    </row>
    <row r="415" spans="1:3" x14ac:dyDescent="0.35">
      <c r="A415" t="s">
        <v>400</v>
      </c>
      <c r="B415" t="s">
        <v>4157</v>
      </c>
      <c r="C415" t="s">
        <v>5607</v>
      </c>
    </row>
    <row r="416" spans="1:3" x14ac:dyDescent="0.35">
      <c r="A416" t="s">
        <v>4254</v>
      </c>
      <c r="B416" t="s">
        <v>4157</v>
      </c>
      <c r="C416" t="s">
        <v>5607</v>
      </c>
    </row>
    <row r="417" spans="1:3" x14ac:dyDescent="0.35">
      <c r="A417" t="s">
        <v>4255</v>
      </c>
      <c r="B417" t="s">
        <v>4157</v>
      </c>
      <c r="C417" t="s">
        <v>5607</v>
      </c>
    </row>
    <row r="418" spans="1:3" x14ac:dyDescent="0.35">
      <c r="A418" t="s">
        <v>4256</v>
      </c>
      <c r="B418" t="s">
        <v>4157</v>
      </c>
      <c r="C418" t="s">
        <v>5607</v>
      </c>
    </row>
    <row r="419" spans="1:3" x14ac:dyDescent="0.35">
      <c r="A419" t="s">
        <v>4256</v>
      </c>
      <c r="B419" t="s">
        <v>4588</v>
      </c>
      <c r="C419" t="s">
        <v>5607</v>
      </c>
    </row>
    <row r="420" spans="1:3" x14ac:dyDescent="0.35">
      <c r="A420" t="s">
        <v>457</v>
      </c>
      <c r="B420" t="s">
        <v>4157</v>
      </c>
      <c r="C420" t="s">
        <v>5607</v>
      </c>
    </row>
    <row r="421" spans="1:3" x14ac:dyDescent="0.35">
      <c r="A421" t="s">
        <v>4257</v>
      </c>
      <c r="B421" t="s">
        <v>4157</v>
      </c>
      <c r="C421" t="s">
        <v>5607</v>
      </c>
    </row>
    <row r="422" spans="1:3" x14ac:dyDescent="0.35">
      <c r="A422" t="s">
        <v>4257</v>
      </c>
      <c r="B422" t="s">
        <v>4952</v>
      </c>
      <c r="C422" t="s">
        <v>5607</v>
      </c>
    </row>
    <row r="423" spans="1:3" x14ac:dyDescent="0.35">
      <c r="A423" t="s">
        <v>4258</v>
      </c>
      <c r="B423" t="s">
        <v>4157</v>
      </c>
      <c r="C423" t="s">
        <v>5607</v>
      </c>
    </row>
    <row r="424" spans="1:3" x14ac:dyDescent="0.35">
      <c r="A424" t="s">
        <v>4259</v>
      </c>
      <c r="B424" t="s">
        <v>4157</v>
      </c>
      <c r="C424" t="s">
        <v>5607</v>
      </c>
    </row>
    <row r="425" spans="1:3" x14ac:dyDescent="0.35">
      <c r="A425" t="s">
        <v>4259</v>
      </c>
      <c r="B425" t="s">
        <v>4961</v>
      </c>
      <c r="C425" t="s">
        <v>5607</v>
      </c>
    </row>
    <row r="426" spans="1:3" x14ac:dyDescent="0.35">
      <c r="A426" t="s">
        <v>4260</v>
      </c>
      <c r="B426" t="s">
        <v>4157</v>
      </c>
      <c r="C426" t="s">
        <v>5607</v>
      </c>
    </row>
    <row r="427" spans="1:3" x14ac:dyDescent="0.35">
      <c r="A427" t="s">
        <v>4260</v>
      </c>
      <c r="B427" t="s">
        <v>4959</v>
      </c>
      <c r="C427" t="s">
        <v>5607</v>
      </c>
    </row>
    <row r="428" spans="1:3" x14ac:dyDescent="0.35">
      <c r="A428" t="s">
        <v>4261</v>
      </c>
      <c r="B428" t="s">
        <v>4157</v>
      </c>
      <c r="C428" t="s">
        <v>5607</v>
      </c>
    </row>
    <row r="429" spans="1:3" x14ac:dyDescent="0.35">
      <c r="A429" t="s">
        <v>4262</v>
      </c>
      <c r="B429" t="s">
        <v>4157</v>
      </c>
      <c r="C429" t="s">
        <v>5607</v>
      </c>
    </row>
    <row r="430" spans="1:3" x14ac:dyDescent="0.35">
      <c r="A430" t="s">
        <v>4262</v>
      </c>
      <c r="B430" t="s">
        <v>4946</v>
      </c>
      <c r="C430" t="s">
        <v>5607</v>
      </c>
    </row>
    <row r="431" spans="1:3" x14ac:dyDescent="0.35">
      <c r="A431" t="s">
        <v>4263</v>
      </c>
      <c r="B431" t="s">
        <v>4157</v>
      </c>
      <c r="C431" t="s">
        <v>5607</v>
      </c>
    </row>
    <row r="432" spans="1:3" x14ac:dyDescent="0.35">
      <c r="A432" t="s">
        <v>4264</v>
      </c>
      <c r="B432" t="s">
        <v>4157</v>
      </c>
      <c r="C432" t="s">
        <v>5607</v>
      </c>
    </row>
    <row r="433" spans="1:3" x14ac:dyDescent="0.35">
      <c r="A433" t="s">
        <v>4265</v>
      </c>
      <c r="B433" t="s">
        <v>4157</v>
      </c>
      <c r="C433" t="s">
        <v>5607</v>
      </c>
    </row>
    <row r="434" spans="1:3" x14ac:dyDescent="0.35">
      <c r="A434" t="s">
        <v>4266</v>
      </c>
      <c r="B434" t="s">
        <v>4157</v>
      </c>
      <c r="C434" t="s">
        <v>5607</v>
      </c>
    </row>
    <row r="435" spans="1:3" x14ac:dyDescent="0.35">
      <c r="A435" t="s">
        <v>4267</v>
      </c>
      <c r="B435" t="s">
        <v>4157</v>
      </c>
      <c r="C435" t="s">
        <v>5607</v>
      </c>
    </row>
    <row r="436" spans="1:3" x14ac:dyDescent="0.35">
      <c r="A436" t="s">
        <v>4267</v>
      </c>
      <c r="B436" t="s">
        <v>4955</v>
      </c>
      <c r="C436" t="s">
        <v>5607</v>
      </c>
    </row>
    <row r="437" spans="1:3" x14ac:dyDescent="0.35">
      <c r="A437" t="s">
        <v>4268</v>
      </c>
      <c r="B437" t="s">
        <v>4157</v>
      </c>
      <c r="C437" t="s">
        <v>5607</v>
      </c>
    </row>
    <row r="438" spans="1:3" x14ac:dyDescent="0.35">
      <c r="A438" t="s">
        <v>4268</v>
      </c>
      <c r="B438" t="s">
        <v>4967</v>
      </c>
      <c r="C438" t="s">
        <v>5607</v>
      </c>
    </row>
    <row r="439" spans="1:3" x14ac:dyDescent="0.35">
      <c r="A439" t="s">
        <v>4269</v>
      </c>
      <c r="B439" t="s">
        <v>4157</v>
      </c>
      <c r="C439" t="s">
        <v>5607</v>
      </c>
    </row>
    <row r="440" spans="1:3" x14ac:dyDescent="0.35">
      <c r="A440" t="s">
        <v>4269</v>
      </c>
      <c r="B440" t="s">
        <v>4929</v>
      </c>
      <c r="C440" t="s">
        <v>5607</v>
      </c>
    </row>
    <row r="441" spans="1:3" x14ac:dyDescent="0.35">
      <c r="A441" t="s">
        <v>4269</v>
      </c>
      <c r="B441" t="s">
        <v>5587</v>
      </c>
      <c r="C441" t="s">
        <v>5607</v>
      </c>
    </row>
    <row r="442" spans="1:3" x14ac:dyDescent="0.35">
      <c r="A442" t="s">
        <v>4270</v>
      </c>
      <c r="B442" t="s">
        <v>4157</v>
      </c>
      <c r="C442" t="s">
        <v>5607</v>
      </c>
    </row>
    <row r="443" spans="1:3" x14ac:dyDescent="0.35">
      <c r="A443" t="s">
        <v>4270</v>
      </c>
      <c r="B443" t="s">
        <v>4275</v>
      </c>
      <c r="C443" t="s">
        <v>1837</v>
      </c>
    </row>
    <row r="444" spans="1:3" x14ac:dyDescent="0.35">
      <c r="A444" t="s">
        <v>4270</v>
      </c>
      <c r="B444" t="s">
        <v>4991</v>
      </c>
      <c r="C444" t="s">
        <v>5607</v>
      </c>
    </row>
    <row r="445" spans="1:3" x14ac:dyDescent="0.35">
      <c r="A445" t="s">
        <v>4270</v>
      </c>
      <c r="B445" t="s">
        <v>1668</v>
      </c>
      <c r="C445" t="s">
        <v>5615</v>
      </c>
    </row>
    <row r="446" spans="1:3" x14ac:dyDescent="0.35">
      <c r="A446" t="s">
        <v>4271</v>
      </c>
      <c r="B446" t="s">
        <v>4157</v>
      </c>
      <c r="C446" t="s">
        <v>5607</v>
      </c>
    </row>
    <row r="447" spans="1:3" x14ac:dyDescent="0.35">
      <c r="A447" t="s">
        <v>4272</v>
      </c>
      <c r="B447" t="s">
        <v>4157</v>
      </c>
      <c r="C447" t="s">
        <v>5607</v>
      </c>
    </row>
    <row r="448" spans="1:3" x14ac:dyDescent="0.35">
      <c r="A448" t="s">
        <v>1184</v>
      </c>
      <c r="B448" t="s">
        <v>4157</v>
      </c>
      <c r="C448" t="s">
        <v>5615</v>
      </c>
    </row>
    <row r="449" spans="1:3" x14ac:dyDescent="0.35">
      <c r="A449" t="s">
        <v>1184</v>
      </c>
      <c r="B449" t="s">
        <v>1185</v>
      </c>
      <c r="C449" t="s">
        <v>5615</v>
      </c>
    </row>
    <row r="450" spans="1:3" x14ac:dyDescent="0.35">
      <c r="A450" t="s">
        <v>3158</v>
      </c>
      <c r="B450" t="s">
        <v>4157</v>
      </c>
      <c r="C450" t="s">
        <v>5615</v>
      </c>
    </row>
    <row r="451" spans="1:3" x14ac:dyDescent="0.35">
      <c r="A451" t="s">
        <v>2694</v>
      </c>
      <c r="B451" t="s">
        <v>4157</v>
      </c>
      <c r="C451" t="s">
        <v>5615</v>
      </c>
    </row>
    <row r="452" spans="1:3" x14ac:dyDescent="0.35">
      <c r="A452" t="s">
        <v>2100</v>
      </c>
      <c r="B452" t="s">
        <v>4157</v>
      </c>
      <c r="C452" t="s">
        <v>5615</v>
      </c>
    </row>
    <row r="453" spans="1:3" x14ac:dyDescent="0.35">
      <c r="A453" t="s">
        <v>1372</v>
      </c>
      <c r="B453" t="s">
        <v>4157</v>
      </c>
      <c r="C453" t="s">
        <v>5615</v>
      </c>
    </row>
    <row r="454" spans="1:3" x14ac:dyDescent="0.35">
      <c r="A454" t="s">
        <v>869</v>
      </c>
      <c r="B454" t="s">
        <v>4157</v>
      </c>
      <c r="C454" t="s">
        <v>5615</v>
      </c>
    </row>
    <row r="455" spans="1:3" x14ac:dyDescent="0.35">
      <c r="A455" t="s">
        <v>869</v>
      </c>
      <c r="B455" t="s">
        <v>4819</v>
      </c>
      <c r="C455" t="s">
        <v>1837</v>
      </c>
    </row>
    <row r="456" spans="1:3" x14ac:dyDescent="0.35">
      <c r="A456" t="s">
        <v>2975</v>
      </c>
      <c r="B456" t="s">
        <v>4157</v>
      </c>
      <c r="C456" t="s">
        <v>5615</v>
      </c>
    </row>
    <row r="457" spans="1:3" x14ac:dyDescent="0.35">
      <c r="A457" t="s">
        <v>927</v>
      </c>
      <c r="B457" t="s">
        <v>4157</v>
      </c>
      <c r="C457" t="s">
        <v>5615</v>
      </c>
    </row>
    <row r="458" spans="1:3" x14ac:dyDescent="0.35">
      <c r="A458" t="s">
        <v>197</v>
      </c>
      <c r="B458" t="s">
        <v>4157</v>
      </c>
      <c r="C458" t="s">
        <v>5615</v>
      </c>
    </row>
    <row r="459" spans="1:3" x14ac:dyDescent="0.35">
      <c r="A459" t="s">
        <v>3372</v>
      </c>
      <c r="B459" t="s">
        <v>4157</v>
      </c>
      <c r="C459" t="s">
        <v>5615</v>
      </c>
    </row>
    <row r="460" spans="1:3" x14ac:dyDescent="0.35">
      <c r="A460" t="s">
        <v>3398</v>
      </c>
      <c r="B460" t="s">
        <v>4157</v>
      </c>
      <c r="C460" t="s">
        <v>5615</v>
      </c>
    </row>
    <row r="461" spans="1:3" x14ac:dyDescent="0.35">
      <c r="A461" t="s">
        <v>3398</v>
      </c>
      <c r="B461" t="s">
        <v>3399</v>
      </c>
      <c r="C461" t="s">
        <v>5615</v>
      </c>
    </row>
    <row r="462" spans="1:3" x14ac:dyDescent="0.35">
      <c r="A462" t="s">
        <v>3931</v>
      </c>
      <c r="B462" t="s">
        <v>4157</v>
      </c>
      <c r="C462" t="s">
        <v>5615</v>
      </c>
    </row>
    <row r="463" spans="1:3" x14ac:dyDescent="0.35">
      <c r="A463" t="s">
        <v>3491</v>
      </c>
      <c r="B463" t="s">
        <v>4157</v>
      </c>
      <c r="C463" t="s">
        <v>5615</v>
      </c>
    </row>
    <row r="464" spans="1:3" x14ac:dyDescent="0.35">
      <c r="A464" t="s">
        <v>2912</v>
      </c>
      <c r="B464" t="s">
        <v>4157</v>
      </c>
      <c r="C464" t="s">
        <v>5615</v>
      </c>
    </row>
    <row r="465" spans="1:3" x14ac:dyDescent="0.35">
      <c r="A465" t="s">
        <v>4273</v>
      </c>
      <c r="B465" t="s">
        <v>4157</v>
      </c>
      <c r="C465" t="s">
        <v>5615</v>
      </c>
    </row>
    <row r="466" spans="1:3" x14ac:dyDescent="0.35">
      <c r="A466" t="s">
        <v>2676</v>
      </c>
      <c r="B466" t="s">
        <v>4157</v>
      </c>
      <c r="C466" t="s">
        <v>5615</v>
      </c>
    </row>
    <row r="467" spans="1:3" x14ac:dyDescent="0.35">
      <c r="A467" t="s">
        <v>2676</v>
      </c>
      <c r="B467" t="s">
        <v>2677</v>
      </c>
      <c r="C467" t="s">
        <v>5615</v>
      </c>
    </row>
    <row r="468" spans="1:3" x14ac:dyDescent="0.35">
      <c r="A468" t="s">
        <v>3563</v>
      </c>
      <c r="B468" t="s">
        <v>4157</v>
      </c>
      <c r="C468" t="s">
        <v>5615</v>
      </c>
    </row>
    <row r="469" spans="1:3" x14ac:dyDescent="0.35">
      <c r="A469" t="s">
        <v>3549</v>
      </c>
      <c r="B469" t="s">
        <v>4157</v>
      </c>
      <c r="C469" t="s">
        <v>5615</v>
      </c>
    </row>
    <row r="470" spans="1:3" x14ac:dyDescent="0.35">
      <c r="A470" t="s">
        <v>3549</v>
      </c>
      <c r="B470" t="s">
        <v>3550</v>
      </c>
      <c r="C470" t="s">
        <v>5615</v>
      </c>
    </row>
    <row r="471" spans="1:3" x14ac:dyDescent="0.35">
      <c r="A471" t="s">
        <v>779</v>
      </c>
      <c r="B471" t="s">
        <v>4157</v>
      </c>
      <c r="C471" t="s">
        <v>5615</v>
      </c>
    </row>
    <row r="472" spans="1:3" x14ac:dyDescent="0.35">
      <c r="A472" t="s">
        <v>3560</v>
      </c>
      <c r="B472" t="s">
        <v>4157</v>
      </c>
      <c r="C472" t="s">
        <v>5615</v>
      </c>
    </row>
    <row r="473" spans="1:3" x14ac:dyDescent="0.35">
      <c r="A473" t="s">
        <v>2949</v>
      </c>
      <c r="B473" t="s">
        <v>4157</v>
      </c>
      <c r="C473" t="s">
        <v>5615</v>
      </c>
    </row>
    <row r="474" spans="1:3" x14ac:dyDescent="0.35">
      <c r="A474" t="s">
        <v>3950</v>
      </c>
      <c r="B474" t="s">
        <v>4157</v>
      </c>
      <c r="C474" t="s">
        <v>5618</v>
      </c>
    </row>
    <row r="475" spans="1:3" x14ac:dyDescent="0.35">
      <c r="A475" t="s">
        <v>2495</v>
      </c>
      <c r="B475" t="s">
        <v>4157</v>
      </c>
      <c r="C475" t="s">
        <v>5618</v>
      </c>
    </row>
    <row r="476" spans="1:3" x14ac:dyDescent="0.35">
      <c r="A476" t="s">
        <v>3752</v>
      </c>
      <c r="B476" t="s">
        <v>4157</v>
      </c>
      <c r="C476" t="s">
        <v>5618</v>
      </c>
    </row>
    <row r="477" spans="1:3" x14ac:dyDescent="0.35">
      <c r="A477" t="s">
        <v>3752</v>
      </c>
      <c r="B477" t="s">
        <v>3753</v>
      </c>
      <c r="C477" t="s">
        <v>5618</v>
      </c>
    </row>
    <row r="478" spans="1:3" x14ac:dyDescent="0.35">
      <c r="A478" t="s">
        <v>677</v>
      </c>
      <c r="B478" t="s">
        <v>4157</v>
      </c>
      <c r="C478" t="s">
        <v>5618</v>
      </c>
    </row>
    <row r="479" spans="1:3" x14ac:dyDescent="0.35">
      <c r="A479" t="s">
        <v>3719</v>
      </c>
      <c r="B479" t="s">
        <v>4157</v>
      </c>
      <c r="C479" t="s">
        <v>5618</v>
      </c>
    </row>
    <row r="480" spans="1:3" x14ac:dyDescent="0.35">
      <c r="A480" t="s">
        <v>3719</v>
      </c>
      <c r="B480" t="s">
        <v>5529</v>
      </c>
      <c r="C480" t="s">
        <v>5618</v>
      </c>
    </row>
    <row r="481" spans="1:3" x14ac:dyDescent="0.35">
      <c r="A481" t="s">
        <v>3719</v>
      </c>
      <c r="B481" t="s">
        <v>5585</v>
      </c>
      <c r="C481" t="s">
        <v>5609</v>
      </c>
    </row>
    <row r="482" spans="1:3" x14ac:dyDescent="0.35">
      <c r="A482" t="s">
        <v>3224</v>
      </c>
      <c r="B482" t="s">
        <v>4157</v>
      </c>
      <c r="C482" t="s">
        <v>5618</v>
      </c>
    </row>
    <row r="483" spans="1:3" x14ac:dyDescent="0.35">
      <c r="A483" t="s">
        <v>3945</v>
      </c>
      <c r="B483" t="s">
        <v>4157</v>
      </c>
      <c r="C483" t="s">
        <v>5618</v>
      </c>
    </row>
    <row r="484" spans="1:3" x14ac:dyDescent="0.35">
      <c r="A484" t="s">
        <v>3945</v>
      </c>
      <c r="B484" t="s">
        <v>5597</v>
      </c>
      <c r="C484" t="s">
        <v>5618</v>
      </c>
    </row>
    <row r="485" spans="1:3" x14ac:dyDescent="0.35">
      <c r="A485" t="s">
        <v>2773</v>
      </c>
      <c r="B485" t="s">
        <v>4157</v>
      </c>
      <c r="C485" t="s">
        <v>5617</v>
      </c>
    </row>
    <row r="486" spans="1:3" x14ac:dyDescent="0.35">
      <c r="A486" t="s">
        <v>2773</v>
      </c>
      <c r="B486" t="s">
        <v>5190</v>
      </c>
      <c r="C486" t="s">
        <v>5617</v>
      </c>
    </row>
    <row r="487" spans="1:3" x14ac:dyDescent="0.35">
      <c r="A487" t="s">
        <v>2773</v>
      </c>
      <c r="B487" t="s">
        <v>5361</v>
      </c>
      <c r="C487" t="s">
        <v>5618</v>
      </c>
    </row>
    <row r="488" spans="1:3" x14ac:dyDescent="0.35">
      <c r="A488" t="s">
        <v>2773</v>
      </c>
      <c r="B488" t="s">
        <v>5474</v>
      </c>
      <c r="C488" t="s">
        <v>5609</v>
      </c>
    </row>
    <row r="489" spans="1:3" x14ac:dyDescent="0.35">
      <c r="A489" t="s">
        <v>2621</v>
      </c>
      <c r="B489" t="s">
        <v>4157</v>
      </c>
      <c r="C489" t="s">
        <v>5620</v>
      </c>
    </row>
    <row r="490" spans="1:3" x14ac:dyDescent="0.35">
      <c r="A490" t="s">
        <v>2621</v>
      </c>
      <c r="B490" t="s">
        <v>5133</v>
      </c>
      <c r="C490" t="s">
        <v>5617</v>
      </c>
    </row>
    <row r="491" spans="1:3" x14ac:dyDescent="0.35">
      <c r="A491" t="s">
        <v>2770</v>
      </c>
      <c r="B491" t="s">
        <v>4157</v>
      </c>
      <c r="C491" t="s">
        <v>5608</v>
      </c>
    </row>
    <row r="492" spans="1:3" x14ac:dyDescent="0.35">
      <c r="A492" t="s">
        <v>380</v>
      </c>
      <c r="B492" t="s">
        <v>4157</v>
      </c>
      <c r="C492" t="s">
        <v>5608</v>
      </c>
    </row>
    <row r="493" spans="1:3" x14ac:dyDescent="0.35">
      <c r="A493" t="s">
        <v>2792</v>
      </c>
      <c r="B493" t="s">
        <v>4157</v>
      </c>
      <c r="C493" t="s">
        <v>5608</v>
      </c>
    </row>
    <row r="494" spans="1:3" x14ac:dyDescent="0.35">
      <c r="A494" t="s">
        <v>3074</v>
      </c>
      <c r="B494" t="s">
        <v>4157</v>
      </c>
      <c r="C494" t="s">
        <v>5608</v>
      </c>
    </row>
    <row r="495" spans="1:3" x14ac:dyDescent="0.35">
      <c r="A495" t="s">
        <v>360</v>
      </c>
      <c r="B495" t="s">
        <v>4157</v>
      </c>
      <c r="C495" t="s">
        <v>5608</v>
      </c>
    </row>
    <row r="496" spans="1:3" x14ac:dyDescent="0.35">
      <c r="A496" t="s">
        <v>867</v>
      </c>
      <c r="B496" t="s">
        <v>4274</v>
      </c>
      <c r="C496" t="s">
        <v>1837</v>
      </c>
    </row>
    <row r="497" spans="1:3" x14ac:dyDescent="0.35">
      <c r="A497" t="s">
        <v>71</v>
      </c>
      <c r="B497" t="s">
        <v>4276</v>
      </c>
      <c r="C497" t="s">
        <v>1837</v>
      </c>
    </row>
    <row r="498" spans="1:3" x14ac:dyDescent="0.35">
      <c r="A498" t="s">
        <v>528</v>
      </c>
      <c r="B498" t="s">
        <v>4277</v>
      </c>
      <c r="C498" t="s">
        <v>1837</v>
      </c>
    </row>
    <row r="499" spans="1:3" x14ac:dyDescent="0.35">
      <c r="A499" t="s">
        <v>3954</v>
      </c>
      <c r="B499" t="s">
        <v>4279</v>
      </c>
      <c r="C499" t="s">
        <v>5609</v>
      </c>
    </row>
    <row r="500" spans="1:3" x14ac:dyDescent="0.35">
      <c r="A500" t="s">
        <v>4281</v>
      </c>
      <c r="B500" t="s">
        <v>4280</v>
      </c>
      <c r="C500" t="s">
        <v>5609</v>
      </c>
    </row>
    <row r="501" spans="1:3" x14ac:dyDescent="0.35">
      <c r="A501" t="s">
        <v>3477</v>
      </c>
      <c r="B501" t="s">
        <v>4282</v>
      </c>
      <c r="C501" t="s">
        <v>5609</v>
      </c>
    </row>
    <row r="502" spans="1:3" x14ac:dyDescent="0.35">
      <c r="A502" t="s">
        <v>116</v>
      </c>
      <c r="B502" t="s">
        <v>4283</v>
      </c>
      <c r="C502" t="s">
        <v>5609</v>
      </c>
    </row>
    <row r="503" spans="1:3" x14ac:dyDescent="0.35">
      <c r="A503" t="s">
        <v>129</v>
      </c>
      <c r="B503" t="s">
        <v>4284</v>
      </c>
      <c r="C503" t="s">
        <v>5609</v>
      </c>
    </row>
    <row r="504" spans="1:3" x14ac:dyDescent="0.35">
      <c r="A504" t="s">
        <v>2998</v>
      </c>
      <c r="B504" t="s">
        <v>4285</v>
      </c>
      <c r="C504" t="s">
        <v>5614</v>
      </c>
    </row>
    <row r="505" spans="1:3" x14ac:dyDescent="0.35">
      <c r="A505" t="s">
        <v>4287</v>
      </c>
      <c r="B505" t="s">
        <v>4286</v>
      </c>
      <c r="C505" t="s">
        <v>5614</v>
      </c>
    </row>
    <row r="506" spans="1:3" x14ac:dyDescent="0.35">
      <c r="A506" t="s">
        <v>150</v>
      </c>
      <c r="B506" t="s">
        <v>4288</v>
      </c>
      <c r="C506" t="s">
        <v>5614</v>
      </c>
    </row>
    <row r="507" spans="1:3" x14ac:dyDescent="0.35">
      <c r="A507" t="s">
        <v>1251</v>
      </c>
      <c r="B507" t="s">
        <v>4289</v>
      </c>
      <c r="C507" t="s">
        <v>5614</v>
      </c>
    </row>
    <row r="508" spans="1:3" x14ac:dyDescent="0.35">
      <c r="A508" t="s">
        <v>1307</v>
      </c>
      <c r="B508" t="s">
        <v>4290</v>
      </c>
      <c r="C508" t="s">
        <v>5614</v>
      </c>
    </row>
    <row r="509" spans="1:3" x14ac:dyDescent="0.35">
      <c r="A509" t="s">
        <v>1307</v>
      </c>
      <c r="B509" t="s">
        <v>4671</v>
      </c>
      <c r="C509" t="s">
        <v>5607</v>
      </c>
    </row>
    <row r="510" spans="1:3" x14ac:dyDescent="0.35">
      <c r="A510" t="s">
        <v>2427</v>
      </c>
      <c r="B510" t="s">
        <v>4291</v>
      </c>
      <c r="C510" t="s">
        <v>5614</v>
      </c>
    </row>
    <row r="511" spans="1:3" x14ac:dyDescent="0.35">
      <c r="A511" t="s">
        <v>4293</v>
      </c>
      <c r="B511" t="s">
        <v>4292</v>
      </c>
      <c r="C511" t="s">
        <v>5621</v>
      </c>
    </row>
    <row r="512" spans="1:3" x14ac:dyDescent="0.35">
      <c r="A512" t="s">
        <v>4295</v>
      </c>
      <c r="B512" t="s">
        <v>4294</v>
      </c>
      <c r="C512" t="s">
        <v>5621</v>
      </c>
    </row>
    <row r="513" spans="1:3" x14ac:dyDescent="0.35">
      <c r="A513" t="s">
        <v>4297</v>
      </c>
      <c r="B513" t="s">
        <v>4296</v>
      </c>
      <c r="C513" t="s">
        <v>5621</v>
      </c>
    </row>
    <row r="514" spans="1:3" x14ac:dyDescent="0.35">
      <c r="A514" t="s">
        <v>219</v>
      </c>
      <c r="B514" t="s">
        <v>4298</v>
      </c>
      <c r="C514" t="s">
        <v>5618</v>
      </c>
    </row>
    <row r="515" spans="1:3" x14ac:dyDescent="0.35">
      <c r="A515" t="s">
        <v>222</v>
      </c>
      <c r="B515" t="s">
        <v>4299</v>
      </c>
      <c r="C515" t="s">
        <v>1837</v>
      </c>
    </row>
    <row r="516" spans="1:3" x14ac:dyDescent="0.35">
      <c r="A516" t="s">
        <v>222</v>
      </c>
      <c r="B516" t="s">
        <v>4732</v>
      </c>
      <c r="C516" t="s">
        <v>1757</v>
      </c>
    </row>
    <row r="517" spans="1:3" x14ac:dyDescent="0.35">
      <c r="A517" t="s">
        <v>222</v>
      </c>
      <c r="B517" t="s">
        <v>4772</v>
      </c>
      <c r="C517" t="s">
        <v>1837</v>
      </c>
    </row>
    <row r="518" spans="1:3" x14ac:dyDescent="0.35">
      <c r="A518" t="s">
        <v>222</v>
      </c>
      <c r="B518" t="s">
        <v>5049</v>
      </c>
      <c r="C518" t="s">
        <v>5611</v>
      </c>
    </row>
    <row r="519" spans="1:3" x14ac:dyDescent="0.35">
      <c r="A519" t="s">
        <v>222</v>
      </c>
      <c r="B519" t="s">
        <v>5454</v>
      </c>
      <c r="C519" t="s">
        <v>5615</v>
      </c>
    </row>
    <row r="520" spans="1:3" x14ac:dyDescent="0.35">
      <c r="A520" t="s">
        <v>684</v>
      </c>
      <c r="B520" t="s">
        <v>4300</v>
      </c>
      <c r="C520" t="s">
        <v>1837</v>
      </c>
    </row>
    <row r="521" spans="1:3" x14ac:dyDescent="0.35">
      <c r="A521" t="s">
        <v>4302</v>
      </c>
      <c r="B521" t="s">
        <v>4301</v>
      </c>
      <c r="C521" t="s">
        <v>5612</v>
      </c>
    </row>
    <row r="522" spans="1:3" x14ac:dyDescent="0.35">
      <c r="A522" t="s">
        <v>592</v>
      </c>
      <c r="B522" t="s">
        <v>4304</v>
      </c>
      <c r="C522" t="s">
        <v>1837</v>
      </c>
    </row>
    <row r="523" spans="1:3" x14ac:dyDescent="0.35">
      <c r="A523" t="s">
        <v>2865</v>
      </c>
      <c r="B523" t="s">
        <v>4305</v>
      </c>
      <c r="C523" t="s">
        <v>1837</v>
      </c>
    </row>
    <row r="524" spans="1:3" x14ac:dyDescent="0.35">
      <c r="A524" t="s">
        <v>2865</v>
      </c>
      <c r="B524" t="s">
        <v>4526</v>
      </c>
      <c r="C524" t="s">
        <v>5607</v>
      </c>
    </row>
    <row r="525" spans="1:3" x14ac:dyDescent="0.35">
      <c r="A525" t="s">
        <v>2865</v>
      </c>
      <c r="B525" t="s">
        <v>5163</v>
      </c>
      <c r="C525" t="s">
        <v>5612</v>
      </c>
    </row>
    <row r="526" spans="1:3" x14ac:dyDescent="0.35">
      <c r="A526" t="s">
        <v>2403</v>
      </c>
      <c r="B526" t="s">
        <v>4306</v>
      </c>
      <c r="C526" t="s">
        <v>1837</v>
      </c>
    </row>
    <row r="527" spans="1:3" x14ac:dyDescent="0.35">
      <c r="A527" t="s">
        <v>263</v>
      </c>
      <c r="B527" t="s">
        <v>4307</v>
      </c>
      <c r="C527" t="s">
        <v>1837</v>
      </c>
    </row>
    <row r="528" spans="1:3" x14ac:dyDescent="0.35">
      <c r="A528" t="s">
        <v>770</v>
      </c>
      <c r="B528" t="s">
        <v>4308</v>
      </c>
      <c r="C528" t="s">
        <v>5619</v>
      </c>
    </row>
    <row r="529" spans="1:3" x14ac:dyDescent="0.35">
      <c r="A529" t="s">
        <v>283</v>
      </c>
      <c r="B529" t="s">
        <v>4309</v>
      </c>
      <c r="C529" t="s">
        <v>5615</v>
      </c>
    </row>
    <row r="530" spans="1:3" x14ac:dyDescent="0.35">
      <c r="A530" t="s">
        <v>831</v>
      </c>
      <c r="B530" t="s">
        <v>4310</v>
      </c>
      <c r="C530" t="s">
        <v>5615</v>
      </c>
    </row>
    <row r="531" spans="1:3" x14ac:dyDescent="0.35">
      <c r="A531" t="s">
        <v>898</v>
      </c>
      <c r="B531" t="s">
        <v>4311</v>
      </c>
      <c r="C531" t="s">
        <v>5615</v>
      </c>
    </row>
    <row r="532" spans="1:3" x14ac:dyDescent="0.35">
      <c r="A532" t="s">
        <v>281</v>
      </c>
      <c r="B532" t="s">
        <v>4312</v>
      </c>
      <c r="C532" t="s">
        <v>5615</v>
      </c>
    </row>
    <row r="533" spans="1:3" x14ac:dyDescent="0.35">
      <c r="A533" t="s">
        <v>3784</v>
      </c>
      <c r="B533" t="s">
        <v>4313</v>
      </c>
      <c r="C533" t="s">
        <v>5615</v>
      </c>
    </row>
    <row r="534" spans="1:3" x14ac:dyDescent="0.35">
      <c r="A534" t="s">
        <v>4315</v>
      </c>
      <c r="B534" t="s">
        <v>4314</v>
      </c>
      <c r="C534" t="s">
        <v>5615</v>
      </c>
    </row>
    <row r="535" spans="1:3" x14ac:dyDescent="0.35">
      <c r="A535" t="s">
        <v>4317</v>
      </c>
      <c r="B535" t="s">
        <v>4316</v>
      </c>
      <c r="C535" t="s">
        <v>5615</v>
      </c>
    </row>
    <row r="536" spans="1:3" x14ac:dyDescent="0.35">
      <c r="A536" t="s">
        <v>4319</v>
      </c>
      <c r="B536" t="s">
        <v>4318</v>
      </c>
      <c r="C536" t="s">
        <v>5615</v>
      </c>
    </row>
    <row r="537" spans="1:3" x14ac:dyDescent="0.35">
      <c r="A537" t="s">
        <v>4319</v>
      </c>
      <c r="B537" t="s">
        <v>5173</v>
      </c>
      <c r="C537" t="s">
        <v>5611</v>
      </c>
    </row>
    <row r="538" spans="1:3" x14ac:dyDescent="0.35">
      <c r="A538" t="s">
        <v>4319</v>
      </c>
      <c r="B538" t="s">
        <v>5549</v>
      </c>
      <c r="C538" t="s">
        <v>1837</v>
      </c>
    </row>
    <row r="539" spans="1:3" x14ac:dyDescent="0.35">
      <c r="A539" t="s">
        <v>2032</v>
      </c>
      <c r="B539" t="s">
        <v>4320</v>
      </c>
      <c r="C539" t="s">
        <v>5615</v>
      </c>
    </row>
    <row r="540" spans="1:3" x14ac:dyDescent="0.35">
      <c r="A540" t="s">
        <v>2032</v>
      </c>
      <c r="B540" t="s">
        <v>4501</v>
      </c>
      <c r="C540" t="s">
        <v>5607</v>
      </c>
    </row>
    <row r="541" spans="1:3" x14ac:dyDescent="0.35">
      <c r="A541" t="s">
        <v>4322</v>
      </c>
      <c r="B541" t="s">
        <v>4321</v>
      </c>
      <c r="C541" t="s">
        <v>5615</v>
      </c>
    </row>
    <row r="542" spans="1:3" x14ac:dyDescent="0.35">
      <c r="A542" t="s">
        <v>4322</v>
      </c>
      <c r="B542" t="s">
        <v>4970</v>
      </c>
      <c r="C542" t="s">
        <v>5611</v>
      </c>
    </row>
    <row r="543" spans="1:3" x14ac:dyDescent="0.35">
      <c r="A543" t="s">
        <v>4324</v>
      </c>
      <c r="B543" t="s">
        <v>4323</v>
      </c>
      <c r="C543" t="s">
        <v>5614</v>
      </c>
    </row>
    <row r="544" spans="1:3" x14ac:dyDescent="0.35">
      <c r="A544" t="s">
        <v>4326</v>
      </c>
      <c r="B544" t="s">
        <v>4325</v>
      </c>
      <c r="C544" t="s">
        <v>5614</v>
      </c>
    </row>
    <row r="545" spans="1:3" x14ac:dyDescent="0.35">
      <c r="A545" t="s">
        <v>455</v>
      </c>
      <c r="B545" t="s">
        <v>4327</v>
      </c>
      <c r="C545" t="s">
        <v>5614</v>
      </c>
    </row>
    <row r="546" spans="1:3" x14ac:dyDescent="0.35">
      <c r="A546" t="s">
        <v>1478</v>
      </c>
      <c r="B546" t="s">
        <v>4328</v>
      </c>
      <c r="C546" t="s">
        <v>5614</v>
      </c>
    </row>
    <row r="547" spans="1:3" x14ac:dyDescent="0.35">
      <c r="A547" t="s">
        <v>3762</v>
      </c>
      <c r="B547" t="s">
        <v>4329</v>
      </c>
      <c r="C547" t="s">
        <v>5614</v>
      </c>
    </row>
    <row r="548" spans="1:3" x14ac:dyDescent="0.35">
      <c r="A548" t="s">
        <v>3538</v>
      </c>
      <c r="B548" t="s">
        <v>4330</v>
      </c>
      <c r="C548" t="s">
        <v>5611</v>
      </c>
    </row>
    <row r="549" spans="1:3" x14ac:dyDescent="0.35">
      <c r="A549" t="s">
        <v>4333</v>
      </c>
      <c r="B549" t="s">
        <v>4332</v>
      </c>
      <c r="C549" t="s">
        <v>5611</v>
      </c>
    </row>
    <row r="550" spans="1:3" x14ac:dyDescent="0.35">
      <c r="A550" t="s">
        <v>2542</v>
      </c>
      <c r="B550" t="s">
        <v>4334</v>
      </c>
      <c r="C550" t="s">
        <v>5611</v>
      </c>
    </row>
    <row r="551" spans="1:3" x14ac:dyDescent="0.35">
      <c r="A551" t="s">
        <v>2542</v>
      </c>
      <c r="B551" t="s">
        <v>5031</v>
      </c>
      <c r="C551" t="s">
        <v>5612</v>
      </c>
    </row>
    <row r="552" spans="1:3" x14ac:dyDescent="0.35">
      <c r="A552" t="s">
        <v>2542</v>
      </c>
      <c r="B552" t="s">
        <v>5429</v>
      </c>
      <c r="C552" t="s">
        <v>5614</v>
      </c>
    </row>
    <row r="553" spans="1:3" x14ac:dyDescent="0.35">
      <c r="A553" t="s">
        <v>1920</v>
      </c>
      <c r="B553" t="s">
        <v>4335</v>
      </c>
      <c r="C553" t="s">
        <v>5611</v>
      </c>
    </row>
    <row r="554" spans="1:3" x14ac:dyDescent="0.35">
      <c r="A554" t="s">
        <v>2697</v>
      </c>
      <c r="B554" t="s">
        <v>4337</v>
      </c>
      <c r="C554" t="s">
        <v>5611</v>
      </c>
    </row>
    <row r="555" spans="1:3" x14ac:dyDescent="0.35">
      <c r="A555" t="s">
        <v>1404</v>
      </c>
      <c r="B555" t="s">
        <v>4338</v>
      </c>
      <c r="C555" t="s">
        <v>5611</v>
      </c>
    </row>
    <row r="556" spans="1:3" x14ac:dyDescent="0.35">
      <c r="A556" t="s">
        <v>4340</v>
      </c>
      <c r="B556" t="s">
        <v>4339</v>
      </c>
      <c r="C556" t="s">
        <v>5611</v>
      </c>
    </row>
    <row r="557" spans="1:3" x14ac:dyDescent="0.35">
      <c r="A557" t="s">
        <v>4342</v>
      </c>
      <c r="B557" t="s">
        <v>4341</v>
      </c>
      <c r="C557" t="s">
        <v>5617</v>
      </c>
    </row>
    <row r="558" spans="1:3" x14ac:dyDescent="0.35">
      <c r="A558" t="s">
        <v>3416</v>
      </c>
      <c r="B558" t="s">
        <v>4343</v>
      </c>
      <c r="C558" t="s">
        <v>5617</v>
      </c>
    </row>
    <row r="559" spans="1:3" x14ac:dyDescent="0.35">
      <c r="A559" t="s">
        <v>3416</v>
      </c>
      <c r="B559" t="s">
        <v>5574</v>
      </c>
      <c r="C559" t="s">
        <v>5618</v>
      </c>
    </row>
    <row r="560" spans="1:3" x14ac:dyDescent="0.35">
      <c r="A560" t="s">
        <v>357</v>
      </c>
      <c r="B560" t="s">
        <v>4344</v>
      </c>
      <c r="C560" t="s">
        <v>5609</v>
      </c>
    </row>
    <row r="561" spans="1:3" x14ac:dyDescent="0.35">
      <c r="A561" t="s">
        <v>2709</v>
      </c>
      <c r="B561" t="s">
        <v>4345</v>
      </c>
      <c r="C561" t="s">
        <v>5609</v>
      </c>
    </row>
    <row r="562" spans="1:3" x14ac:dyDescent="0.35">
      <c r="A562" t="s">
        <v>1482</v>
      </c>
      <c r="B562" t="s">
        <v>4346</v>
      </c>
      <c r="C562" t="s">
        <v>5614</v>
      </c>
    </row>
    <row r="563" spans="1:3" x14ac:dyDescent="0.35">
      <c r="A563" t="s">
        <v>905</v>
      </c>
      <c r="B563" t="s">
        <v>4348</v>
      </c>
      <c r="C563" t="s">
        <v>5614</v>
      </c>
    </row>
    <row r="564" spans="1:3" x14ac:dyDescent="0.35">
      <c r="A564" t="s">
        <v>4350</v>
      </c>
      <c r="B564" t="s">
        <v>4349</v>
      </c>
      <c r="C564" t="s">
        <v>5614</v>
      </c>
    </row>
    <row r="565" spans="1:3" x14ac:dyDescent="0.35">
      <c r="A565" t="s">
        <v>4350</v>
      </c>
      <c r="B565" t="s">
        <v>5437</v>
      </c>
      <c r="C565" t="s">
        <v>5614</v>
      </c>
    </row>
    <row r="566" spans="1:3" x14ac:dyDescent="0.35">
      <c r="A566" t="s">
        <v>2762</v>
      </c>
      <c r="B566" t="s">
        <v>4351</v>
      </c>
      <c r="C566" t="s">
        <v>5614</v>
      </c>
    </row>
    <row r="567" spans="1:3" x14ac:dyDescent="0.35">
      <c r="A567" t="s">
        <v>3439</v>
      </c>
      <c r="B567" t="s">
        <v>4352</v>
      </c>
      <c r="C567" t="s">
        <v>5614</v>
      </c>
    </row>
    <row r="568" spans="1:3" x14ac:dyDescent="0.35">
      <c r="A568" t="s">
        <v>369</v>
      </c>
      <c r="B568" t="s">
        <v>4353</v>
      </c>
      <c r="C568" t="s">
        <v>5617</v>
      </c>
    </row>
    <row r="569" spans="1:3" x14ac:dyDescent="0.35">
      <c r="A569" t="s">
        <v>4355</v>
      </c>
      <c r="B569" t="s">
        <v>4354</v>
      </c>
      <c r="C569" t="s">
        <v>5617</v>
      </c>
    </row>
    <row r="570" spans="1:3" x14ac:dyDescent="0.35">
      <c r="A570" t="s">
        <v>3725</v>
      </c>
      <c r="B570" t="s">
        <v>4356</v>
      </c>
      <c r="C570" t="s">
        <v>5617</v>
      </c>
    </row>
    <row r="571" spans="1:3" x14ac:dyDescent="0.35">
      <c r="A571" t="s">
        <v>371</v>
      </c>
      <c r="B571" t="s">
        <v>4357</v>
      </c>
      <c r="C571" t="s">
        <v>5609</v>
      </c>
    </row>
    <row r="572" spans="1:3" x14ac:dyDescent="0.35">
      <c r="A572" t="s">
        <v>371</v>
      </c>
      <c r="B572" t="s">
        <v>5194</v>
      </c>
      <c r="C572" t="s">
        <v>5617</v>
      </c>
    </row>
    <row r="573" spans="1:3" x14ac:dyDescent="0.35">
      <c r="A573" t="s">
        <v>371</v>
      </c>
      <c r="B573" t="s">
        <v>5371</v>
      </c>
      <c r="C573" t="s">
        <v>1837</v>
      </c>
    </row>
    <row r="574" spans="1:3" x14ac:dyDescent="0.35">
      <c r="A574" t="s">
        <v>2533</v>
      </c>
      <c r="B574" t="s">
        <v>4358</v>
      </c>
      <c r="C574" t="s">
        <v>5609</v>
      </c>
    </row>
    <row r="575" spans="1:3" x14ac:dyDescent="0.35">
      <c r="A575" t="s">
        <v>4360</v>
      </c>
      <c r="B575" t="s">
        <v>4359</v>
      </c>
      <c r="C575" t="s">
        <v>5621</v>
      </c>
    </row>
    <row r="576" spans="1:3" x14ac:dyDescent="0.35">
      <c r="A576" t="s">
        <v>4362</v>
      </c>
      <c r="B576" t="s">
        <v>4361</v>
      </c>
      <c r="C576" t="s">
        <v>5621</v>
      </c>
    </row>
    <row r="577" spans="1:3" x14ac:dyDescent="0.35">
      <c r="A577" t="s">
        <v>4364</v>
      </c>
      <c r="B577" t="s">
        <v>4363</v>
      </c>
      <c r="C577" t="s">
        <v>5621</v>
      </c>
    </row>
    <row r="578" spans="1:3" x14ac:dyDescent="0.35">
      <c r="A578" t="s">
        <v>344</v>
      </c>
      <c r="B578" t="s">
        <v>4365</v>
      </c>
      <c r="C578" t="s">
        <v>5621</v>
      </c>
    </row>
    <row r="579" spans="1:3" x14ac:dyDescent="0.35">
      <c r="A579" t="s">
        <v>534</v>
      </c>
      <c r="B579" t="s">
        <v>4366</v>
      </c>
      <c r="C579" t="s">
        <v>5621</v>
      </c>
    </row>
    <row r="580" spans="1:3" x14ac:dyDescent="0.35">
      <c r="A580" t="s">
        <v>4368</v>
      </c>
      <c r="B580" t="s">
        <v>4367</v>
      </c>
      <c r="C580" t="s">
        <v>5621</v>
      </c>
    </row>
    <row r="581" spans="1:3" x14ac:dyDescent="0.35">
      <c r="A581" t="s">
        <v>4370</v>
      </c>
      <c r="B581" t="s">
        <v>4369</v>
      </c>
      <c r="C581" t="s">
        <v>5614</v>
      </c>
    </row>
    <row r="582" spans="1:3" x14ac:dyDescent="0.35">
      <c r="A582" t="s">
        <v>4372</v>
      </c>
      <c r="B582" t="s">
        <v>4371</v>
      </c>
      <c r="C582" t="s">
        <v>5614</v>
      </c>
    </row>
    <row r="583" spans="1:3" x14ac:dyDescent="0.35">
      <c r="A583" t="s">
        <v>412</v>
      </c>
      <c r="B583" t="s">
        <v>4373</v>
      </c>
      <c r="C583" t="s">
        <v>5614</v>
      </c>
    </row>
    <row r="584" spans="1:3" x14ac:dyDescent="0.35">
      <c r="A584" t="s">
        <v>412</v>
      </c>
      <c r="B584" t="s">
        <v>4719</v>
      </c>
      <c r="C584" t="s">
        <v>5610</v>
      </c>
    </row>
    <row r="585" spans="1:3" x14ac:dyDescent="0.35">
      <c r="A585" t="s">
        <v>3028</v>
      </c>
      <c r="B585" t="s">
        <v>4374</v>
      </c>
      <c r="C585" t="s">
        <v>5614</v>
      </c>
    </row>
    <row r="586" spans="1:3" x14ac:dyDescent="0.35">
      <c r="A586" t="s">
        <v>3028</v>
      </c>
      <c r="B586" t="s">
        <v>4511</v>
      </c>
      <c r="C586" t="s">
        <v>5614</v>
      </c>
    </row>
    <row r="587" spans="1:3" x14ac:dyDescent="0.35">
      <c r="A587" t="s">
        <v>574</v>
      </c>
      <c r="B587" t="s">
        <v>4375</v>
      </c>
      <c r="C587" t="s">
        <v>5614</v>
      </c>
    </row>
    <row r="588" spans="1:3" x14ac:dyDescent="0.35">
      <c r="A588" t="s">
        <v>2674</v>
      </c>
      <c r="B588" t="s">
        <v>4376</v>
      </c>
      <c r="C588" t="s">
        <v>5614</v>
      </c>
    </row>
    <row r="589" spans="1:3" x14ac:dyDescent="0.35">
      <c r="A589" t="s">
        <v>3790</v>
      </c>
      <c r="B589" t="s">
        <v>4377</v>
      </c>
      <c r="C589" t="s">
        <v>5614</v>
      </c>
    </row>
    <row r="590" spans="1:3" x14ac:dyDescent="0.35">
      <c r="A590" t="s">
        <v>422</v>
      </c>
      <c r="B590" t="s">
        <v>4379</v>
      </c>
      <c r="C590" t="s">
        <v>5614</v>
      </c>
    </row>
    <row r="591" spans="1:3" x14ac:dyDescent="0.35">
      <c r="A591" t="s">
        <v>1714</v>
      </c>
      <c r="B591" t="s">
        <v>4380</v>
      </c>
      <c r="C591" t="s">
        <v>5614</v>
      </c>
    </row>
    <row r="592" spans="1:3" x14ac:dyDescent="0.35">
      <c r="A592" t="s">
        <v>436</v>
      </c>
      <c r="B592" t="s">
        <v>4381</v>
      </c>
      <c r="C592" t="s">
        <v>5618</v>
      </c>
    </row>
    <row r="593" spans="1:3" x14ac:dyDescent="0.35">
      <c r="A593" t="s">
        <v>436</v>
      </c>
      <c r="B593" t="s">
        <v>5040</v>
      </c>
      <c r="C593" t="s">
        <v>5612</v>
      </c>
    </row>
    <row r="594" spans="1:3" x14ac:dyDescent="0.35">
      <c r="A594" t="s">
        <v>2748</v>
      </c>
      <c r="B594" t="s">
        <v>4382</v>
      </c>
      <c r="C594" t="s">
        <v>5618</v>
      </c>
    </row>
    <row r="595" spans="1:3" x14ac:dyDescent="0.35">
      <c r="A595" t="s">
        <v>1210</v>
      </c>
      <c r="B595" t="s">
        <v>4383</v>
      </c>
      <c r="C595" t="s">
        <v>5607</v>
      </c>
    </row>
    <row r="596" spans="1:3" x14ac:dyDescent="0.35">
      <c r="A596" t="s">
        <v>1877</v>
      </c>
      <c r="B596" t="s">
        <v>4384</v>
      </c>
      <c r="C596" t="s">
        <v>5607</v>
      </c>
    </row>
    <row r="597" spans="1:3" x14ac:dyDescent="0.35">
      <c r="A597" t="s">
        <v>1244</v>
      </c>
      <c r="B597" t="s">
        <v>4385</v>
      </c>
      <c r="C597" t="s">
        <v>5607</v>
      </c>
    </row>
    <row r="598" spans="1:3" x14ac:dyDescent="0.35">
      <c r="A598" t="s">
        <v>1244</v>
      </c>
      <c r="B598" t="s">
        <v>4664</v>
      </c>
      <c r="C598" t="s">
        <v>5607</v>
      </c>
    </row>
    <row r="599" spans="1:3" x14ac:dyDescent="0.35">
      <c r="A599" t="s">
        <v>4387</v>
      </c>
      <c r="B599" t="s">
        <v>4386</v>
      </c>
      <c r="C599" t="s">
        <v>5607</v>
      </c>
    </row>
    <row r="600" spans="1:3" x14ac:dyDescent="0.35">
      <c r="A600" t="s">
        <v>162</v>
      </c>
      <c r="B600" t="s">
        <v>4388</v>
      </c>
      <c r="C600" t="s">
        <v>5607</v>
      </c>
    </row>
    <row r="601" spans="1:3" x14ac:dyDescent="0.35">
      <c r="A601" t="s">
        <v>4390</v>
      </c>
      <c r="B601" t="s">
        <v>4389</v>
      </c>
      <c r="C601" t="s">
        <v>5607</v>
      </c>
    </row>
    <row r="602" spans="1:3" x14ac:dyDescent="0.35">
      <c r="A602" t="s">
        <v>4390</v>
      </c>
      <c r="B602" t="s">
        <v>4767</v>
      </c>
      <c r="C602" t="s">
        <v>5616</v>
      </c>
    </row>
    <row r="603" spans="1:3" x14ac:dyDescent="0.35">
      <c r="A603" t="s">
        <v>240</v>
      </c>
      <c r="B603" t="s">
        <v>4391</v>
      </c>
      <c r="C603" t="s">
        <v>5607</v>
      </c>
    </row>
    <row r="604" spans="1:3" x14ac:dyDescent="0.35">
      <c r="A604" t="s">
        <v>4393</v>
      </c>
      <c r="B604" t="s">
        <v>4392</v>
      </c>
      <c r="C604" t="s">
        <v>5607</v>
      </c>
    </row>
    <row r="605" spans="1:3" x14ac:dyDescent="0.35">
      <c r="A605" t="s">
        <v>4395</v>
      </c>
      <c r="B605" t="s">
        <v>4394</v>
      </c>
      <c r="C605" t="s">
        <v>5607</v>
      </c>
    </row>
    <row r="606" spans="1:3" x14ac:dyDescent="0.35">
      <c r="A606" t="s">
        <v>4397</v>
      </c>
      <c r="B606" t="s">
        <v>4396</v>
      </c>
      <c r="C606" t="s">
        <v>5607</v>
      </c>
    </row>
    <row r="607" spans="1:3" x14ac:dyDescent="0.35">
      <c r="A607" t="s">
        <v>1305</v>
      </c>
      <c r="B607" t="s">
        <v>4398</v>
      </c>
      <c r="C607" t="s">
        <v>5607</v>
      </c>
    </row>
    <row r="608" spans="1:3" x14ac:dyDescent="0.35">
      <c r="A608" t="s">
        <v>1400</v>
      </c>
      <c r="B608" t="s">
        <v>4399</v>
      </c>
      <c r="C608" t="s">
        <v>5607</v>
      </c>
    </row>
    <row r="609" spans="1:3" x14ac:dyDescent="0.35">
      <c r="A609" t="s">
        <v>4401</v>
      </c>
      <c r="B609" t="s">
        <v>4400</v>
      </c>
      <c r="C609" t="s">
        <v>5607</v>
      </c>
    </row>
    <row r="610" spans="1:3" x14ac:dyDescent="0.35">
      <c r="A610" t="s">
        <v>4403</v>
      </c>
      <c r="B610" t="s">
        <v>4402</v>
      </c>
      <c r="C610" t="s">
        <v>5607</v>
      </c>
    </row>
    <row r="611" spans="1:3" x14ac:dyDescent="0.35">
      <c r="A611" t="s">
        <v>1949</v>
      </c>
      <c r="B611" t="s">
        <v>4404</v>
      </c>
      <c r="C611" t="s">
        <v>5607</v>
      </c>
    </row>
    <row r="612" spans="1:3" x14ac:dyDescent="0.35">
      <c r="A612" t="s">
        <v>3843</v>
      </c>
      <c r="B612" t="s">
        <v>4405</v>
      </c>
      <c r="C612" t="s">
        <v>5607</v>
      </c>
    </row>
    <row r="613" spans="1:3" x14ac:dyDescent="0.35">
      <c r="A613" t="s">
        <v>2001</v>
      </c>
      <c r="B613" t="s">
        <v>4406</v>
      </c>
      <c r="C613" t="s">
        <v>5607</v>
      </c>
    </row>
    <row r="614" spans="1:3" x14ac:dyDescent="0.35">
      <c r="A614" t="s">
        <v>4408</v>
      </c>
      <c r="B614" t="s">
        <v>4407</v>
      </c>
      <c r="C614" t="s">
        <v>5607</v>
      </c>
    </row>
    <row r="615" spans="1:3" x14ac:dyDescent="0.35">
      <c r="A615" t="s">
        <v>4410</v>
      </c>
      <c r="B615" t="s">
        <v>4409</v>
      </c>
      <c r="C615" t="s">
        <v>5607</v>
      </c>
    </row>
    <row r="616" spans="1:3" x14ac:dyDescent="0.35">
      <c r="A616" t="s">
        <v>4412</v>
      </c>
      <c r="B616" t="s">
        <v>4411</v>
      </c>
      <c r="C616" t="s">
        <v>5607</v>
      </c>
    </row>
    <row r="617" spans="1:3" x14ac:dyDescent="0.35">
      <c r="A617" t="s">
        <v>2939</v>
      </c>
      <c r="B617" t="s">
        <v>4413</v>
      </c>
      <c r="C617" t="s">
        <v>5607</v>
      </c>
    </row>
    <row r="618" spans="1:3" x14ac:dyDescent="0.35">
      <c r="A618" t="s">
        <v>938</v>
      </c>
      <c r="B618" t="s">
        <v>4414</v>
      </c>
      <c r="C618" t="s">
        <v>5607</v>
      </c>
    </row>
    <row r="619" spans="1:3" x14ac:dyDescent="0.35">
      <c r="A619" t="s">
        <v>1964</v>
      </c>
      <c r="B619" t="s">
        <v>4415</v>
      </c>
      <c r="C619" t="s">
        <v>5607</v>
      </c>
    </row>
    <row r="620" spans="1:3" x14ac:dyDescent="0.35">
      <c r="A620" t="s">
        <v>3621</v>
      </c>
      <c r="B620" t="s">
        <v>4416</v>
      </c>
      <c r="C620" t="s">
        <v>5607</v>
      </c>
    </row>
    <row r="621" spans="1:3" x14ac:dyDescent="0.35">
      <c r="A621" t="s">
        <v>1411</v>
      </c>
      <c r="B621" t="s">
        <v>4417</v>
      </c>
      <c r="C621" t="s">
        <v>5607</v>
      </c>
    </row>
    <row r="622" spans="1:3" x14ac:dyDescent="0.35">
      <c r="A622" t="s">
        <v>1221</v>
      </c>
      <c r="B622" t="s">
        <v>4418</v>
      </c>
      <c r="C622" t="s">
        <v>5607</v>
      </c>
    </row>
    <row r="623" spans="1:3" x14ac:dyDescent="0.35">
      <c r="A623" t="s">
        <v>2059</v>
      </c>
      <c r="B623" t="s">
        <v>4419</v>
      </c>
      <c r="C623" t="s">
        <v>5607</v>
      </c>
    </row>
    <row r="624" spans="1:3" x14ac:dyDescent="0.35">
      <c r="A624" t="s">
        <v>2059</v>
      </c>
      <c r="B624" t="s">
        <v>4891</v>
      </c>
      <c r="C624" t="s">
        <v>5615</v>
      </c>
    </row>
    <row r="625" spans="1:3" x14ac:dyDescent="0.35">
      <c r="A625" t="s">
        <v>4421</v>
      </c>
      <c r="B625" t="s">
        <v>4420</v>
      </c>
      <c r="C625" t="s">
        <v>5607</v>
      </c>
    </row>
    <row r="626" spans="1:3" x14ac:dyDescent="0.35">
      <c r="A626" t="s">
        <v>4421</v>
      </c>
      <c r="B626" t="s">
        <v>5203</v>
      </c>
      <c r="C626" t="s">
        <v>1837</v>
      </c>
    </row>
    <row r="627" spans="1:3" x14ac:dyDescent="0.35">
      <c r="A627" t="s">
        <v>4421</v>
      </c>
      <c r="B627" t="s">
        <v>5491</v>
      </c>
      <c r="C627" t="s">
        <v>5611</v>
      </c>
    </row>
    <row r="628" spans="1:3" x14ac:dyDescent="0.35">
      <c r="A628" t="s">
        <v>2957</v>
      </c>
      <c r="B628" t="s">
        <v>4422</v>
      </c>
      <c r="C628" t="s">
        <v>5607</v>
      </c>
    </row>
    <row r="629" spans="1:3" x14ac:dyDescent="0.35">
      <c r="A629" t="s">
        <v>2941</v>
      </c>
      <c r="B629" t="s">
        <v>4423</v>
      </c>
      <c r="C629" t="s">
        <v>5607</v>
      </c>
    </row>
    <row r="630" spans="1:3" x14ac:dyDescent="0.35">
      <c r="A630" t="s">
        <v>1951</v>
      </c>
      <c r="B630" t="s">
        <v>4424</v>
      </c>
      <c r="C630" t="s">
        <v>5607</v>
      </c>
    </row>
    <row r="631" spans="1:3" x14ac:dyDescent="0.35">
      <c r="A631" t="s">
        <v>1872</v>
      </c>
      <c r="B631" t="s">
        <v>4425</v>
      </c>
      <c r="C631" t="s">
        <v>5607</v>
      </c>
    </row>
    <row r="632" spans="1:3" x14ac:dyDescent="0.35">
      <c r="A632" t="s">
        <v>1872</v>
      </c>
      <c r="B632" t="s">
        <v>4809</v>
      </c>
      <c r="C632" t="s">
        <v>5607</v>
      </c>
    </row>
    <row r="633" spans="1:3" x14ac:dyDescent="0.35">
      <c r="A633" t="s">
        <v>1086</v>
      </c>
      <c r="B633" t="s">
        <v>4426</v>
      </c>
      <c r="C633" t="s">
        <v>5607</v>
      </c>
    </row>
    <row r="634" spans="1:3" x14ac:dyDescent="0.35">
      <c r="A634" t="s">
        <v>2472</v>
      </c>
      <c r="B634" t="s">
        <v>4427</v>
      </c>
      <c r="C634" t="s">
        <v>5607</v>
      </c>
    </row>
    <row r="635" spans="1:3" x14ac:dyDescent="0.35">
      <c r="A635" t="s">
        <v>768</v>
      </c>
      <c r="B635" t="s">
        <v>4428</v>
      </c>
      <c r="C635" t="s">
        <v>5607</v>
      </c>
    </row>
    <row r="636" spans="1:3" x14ac:dyDescent="0.35">
      <c r="A636" t="s">
        <v>565</v>
      </c>
      <c r="B636" t="s">
        <v>4429</v>
      </c>
      <c r="C636" t="s">
        <v>5607</v>
      </c>
    </row>
    <row r="637" spans="1:3" x14ac:dyDescent="0.35">
      <c r="A637" t="s">
        <v>756</v>
      </c>
      <c r="B637" t="s">
        <v>4430</v>
      </c>
      <c r="C637" t="s">
        <v>5607</v>
      </c>
    </row>
    <row r="638" spans="1:3" x14ac:dyDescent="0.35">
      <c r="A638" t="s">
        <v>784</v>
      </c>
      <c r="B638" t="s">
        <v>4431</v>
      </c>
      <c r="C638" t="s">
        <v>5607</v>
      </c>
    </row>
    <row r="639" spans="1:3" x14ac:dyDescent="0.35">
      <c r="A639" t="s">
        <v>920</v>
      </c>
      <c r="B639" t="s">
        <v>4432</v>
      </c>
      <c r="C639" t="s">
        <v>5607</v>
      </c>
    </row>
    <row r="640" spans="1:3" x14ac:dyDescent="0.35">
      <c r="A640" t="s">
        <v>3350</v>
      </c>
      <c r="B640" t="s">
        <v>4433</v>
      </c>
      <c r="C640" t="s">
        <v>5607</v>
      </c>
    </row>
    <row r="641" spans="1:3" x14ac:dyDescent="0.35">
      <c r="A641" t="s">
        <v>3929</v>
      </c>
      <c r="B641" t="s">
        <v>4434</v>
      </c>
      <c r="C641" t="s">
        <v>5607</v>
      </c>
    </row>
    <row r="642" spans="1:3" x14ac:dyDescent="0.35">
      <c r="A642" t="s">
        <v>4436</v>
      </c>
      <c r="B642" t="s">
        <v>4435</v>
      </c>
      <c r="C642" t="s">
        <v>5614</v>
      </c>
    </row>
    <row r="643" spans="1:3" x14ac:dyDescent="0.35">
      <c r="A643" t="s">
        <v>4438</v>
      </c>
      <c r="B643" t="s">
        <v>4437</v>
      </c>
      <c r="C643" t="s">
        <v>5614</v>
      </c>
    </row>
    <row r="644" spans="1:3" x14ac:dyDescent="0.35">
      <c r="A644" t="s">
        <v>4440</v>
      </c>
      <c r="B644" t="s">
        <v>4439</v>
      </c>
      <c r="C644" t="s">
        <v>5614</v>
      </c>
    </row>
    <row r="645" spans="1:3" x14ac:dyDescent="0.35">
      <c r="A645" t="s">
        <v>4443</v>
      </c>
      <c r="B645" t="s">
        <v>4442</v>
      </c>
      <c r="C645" t="s">
        <v>5614</v>
      </c>
    </row>
    <row r="646" spans="1:3" x14ac:dyDescent="0.35">
      <c r="A646" t="s">
        <v>3177</v>
      </c>
      <c r="B646" t="s">
        <v>4444</v>
      </c>
      <c r="C646" t="s">
        <v>5614</v>
      </c>
    </row>
    <row r="647" spans="1:3" x14ac:dyDescent="0.35">
      <c r="A647" t="s">
        <v>4446</v>
      </c>
      <c r="B647" t="s">
        <v>4445</v>
      </c>
      <c r="C647" t="s">
        <v>5614</v>
      </c>
    </row>
    <row r="648" spans="1:3" x14ac:dyDescent="0.35">
      <c r="A648" t="s">
        <v>4448</v>
      </c>
      <c r="B648" t="s">
        <v>4447</v>
      </c>
      <c r="C648" t="s">
        <v>5614</v>
      </c>
    </row>
    <row r="649" spans="1:3" x14ac:dyDescent="0.35">
      <c r="A649" t="s">
        <v>4450</v>
      </c>
      <c r="B649" t="s">
        <v>4449</v>
      </c>
      <c r="C649" t="s">
        <v>5614</v>
      </c>
    </row>
    <row r="650" spans="1:3" x14ac:dyDescent="0.35">
      <c r="A650" t="s">
        <v>4452</v>
      </c>
      <c r="B650" t="s">
        <v>4451</v>
      </c>
      <c r="C650" t="s">
        <v>5614</v>
      </c>
    </row>
    <row r="651" spans="1:3" x14ac:dyDescent="0.35">
      <c r="A651" t="s">
        <v>4454</v>
      </c>
      <c r="B651" t="s">
        <v>4453</v>
      </c>
      <c r="C651" t="s">
        <v>5614</v>
      </c>
    </row>
    <row r="652" spans="1:3" x14ac:dyDescent="0.35">
      <c r="A652" t="s">
        <v>406</v>
      </c>
      <c r="B652" t="s">
        <v>4455</v>
      </c>
      <c r="C652" t="s">
        <v>5614</v>
      </c>
    </row>
    <row r="653" spans="1:3" x14ac:dyDescent="0.35">
      <c r="A653" t="s">
        <v>448</v>
      </c>
      <c r="B653" t="s">
        <v>4456</v>
      </c>
      <c r="C653" t="s">
        <v>5614</v>
      </c>
    </row>
    <row r="654" spans="1:3" x14ac:dyDescent="0.35">
      <c r="A654" t="s">
        <v>1022</v>
      </c>
      <c r="B654" t="s">
        <v>4457</v>
      </c>
      <c r="C654" t="s">
        <v>5614</v>
      </c>
    </row>
    <row r="655" spans="1:3" x14ac:dyDescent="0.35">
      <c r="A655" t="s">
        <v>1107</v>
      </c>
      <c r="B655" t="s">
        <v>4458</v>
      </c>
      <c r="C655" t="s">
        <v>5614</v>
      </c>
    </row>
    <row r="656" spans="1:3" x14ac:dyDescent="0.35">
      <c r="A656" t="s">
        <v>1213</v>
      </c>
      <c r="B656" t="s">
        <v>4459</v>
      </c>
      <c r="C656" t="s">
        <v>5614</v>
      </c>
    </row>
    <row r="657" spans="1:3" x14ac:dyDescent="0.35">
      <c r="A657" t="s">
        <v>1213</v>
      </c>
      <c r="B657" t="s">
        <v>4711</v>
      </c>
      <c r="C657" t="s">
        <v>5622</v>
      </c>
    </row>
    <row r="658" spans="1:3" x14ac:dyDescent="0.35">
      <c r="A658" t="s">
        <v>1223</v>
      </c>
      <c r="B658" t="s">
        <v>4460</v>
      </c>
      <c r="C658" t="s">
        <v>5614</v>
      </c>
    </row>
    <row r="659" spans="1:3" x14ac:dyDescent="0.35">
      <c r="A659" t="s">
        <v>1284</v>
      </c>
      <c r="B659" t="s">
        <v>4461</v>
      </c>
      <c r="C659" t="s">
        <v>5614</v>
      </c>
    </row>
    <row r="660" spans="1:3" x14ac:dyDescent="0.35">
      <c r="A660" t="s">
        <v>1484</v>
      </c>
      <c r="B660" t="s">
        <v>4462</v>
      </c>
      <c r="C660" t="s">
        <v>5614</v>
      </c>
    </row>
    <row r="661" spans="1:3" x14ac:dyDescent="0.35">
      <c r="A661" t="s">
        <v>1686</v>
      </c>
      <c r="B661" t="s">
        <v>4463</v>
      </c>
      <c r="C661" t="s">
        <v>5614</v>
      </c>
    </row>
    <row r="662" spans="1:3" x14ac:dyDescent="0.35">
      <c r="A662" t="s">
        <v>1777</v>
      </c>
      <c r="B662" t="s">
        <v>4464</v>
      </c>
      <c r="C662" t="s">
        <v>5614</v>
      </c>
    </row>
    <row r="663" spans="1:3" x14ac:dyDescent="0.35">
      <c r="A663" t="s">
        <v>2345</v>
      </c>
      <c r="B663" t="s">
        <v>4465</v>
      </c>
      <c r="C663" t="s">
        <v>5614</v>
      </c>
    </row>
    <row r="664" spans="1:3" x14ac:dyDescent="0.35">
      <c r="A664" t="s">
        <v>2407</v>
      </c>
      <c r="B664" t="s">
        <v>4466</v>
      </c>
      <c r="C664" t="s">
        <v>5614</v>
      </c>
    </row>
    <row r="665" spans="1:3" x14ac:dyDescent="0.35">
      <c r="A665" t="s">
        <v>2685</v>
      </c>
      <c r="B665" t="s">
        <v>4467</v>
      </c>
      <c r="C665" t="s">
        <v>5614</v>
      </c>
    </row>
    <row r="666" spans="1:3" x14ac:dyDescent="0.35">
      <c r="A666" t="s">
        <v>3543</v>
      </c>
      <c r="B666" t="s">
        <v>4468</v>
      </c>
      <c r="C666" t="s">
        <v>5614</v>
      </c>
    </row>
    <row r="667" spans="1:3" x14ac:dyDescent="0.35">
      <c r="A667" t="s">
        <v>3697</v>
      </c>
      <c r="B667" t="s">
        <v>4469</v>
      </c>
      <c r="C667" t="s">
        <v>5614</v>
      </c>
    </row>
    <row r="668" spans="1:3" x14ac:dyDescent="0.35">
      <c r="A668" t="s">
        <v>3854</v>
      </c>
      <c r="B668" t="s">
        <v>4470</v>
      </c>
      <c r="C668" t="s">
        <v>5614</v>
      </c>
    </row>
    <row r="669" spans="1:3" x14ac:dyDescent="0.35">
      <c r="A669" t="s">
        <v>4472</v>
      </c>
      <c r="B669" t="s">
        <v>4471</v>
      </c>
      <c r="C669" t="s">
        <v>5614</v>
      </c>
    </row>
    <row r="670" spans="1:3" x14ac:dyDescent="0.35">
      <c r="A670" t="s">
        <v>4474</v>
      </c>
      <c r="B670" t="s">
        <v>4473</v>
      </c>
      <c r="C670" t="s">
        <v>5614</v>
      </c>
    </row>
    <row r="671" spans="1:3" x14ac:dyDescent="0.35">
      <c r="A671" t="s">
        <v>4476</v>
      </c>
      <c r="B671" t="s">
        <v>4475</v>
      </c>
      <c r="C671" t="s">
        <v>5614</v>
      </c>
    </row>
    <row r="672" spans="1:3" x14ac:dyDescent="0.35">
      <c r="A672" t="s">
        <v>495</v>
      </c>
      <c r="B672" t="s">
        <v>4477</v>
      </c>
      <c r="C672" t="s">
        <v>5614</v>
      </c>
    </row>
    <row r="673" spans="1:3" x14ac:dyDescent="0.35">
      <c r="A673" t="s">
        <v>1362</v>
      </c>
      <c r="B673" t="s">
        <v>4479</v>
      </c>
      <c r="C673" t="s">
        <v>5607</v>
      </c>
    </row>
    <row r="674" spans="1:3" x14ac:dyDescent="0.35">
      <c r="A674" t="s">
        <v>118</v>
      </c>
      <c r="B674" t="s">
        <v>4480</v>
      </c>
      <c r="C674" t="s">
        <v>5607</v>
      </c>
    </row>
    <row r="675" spans="1:3" x14ac:dyDescent="0.35">
      <c r="A675" t="s">
        <v>4483</v>
      </c>
      <c r="B675" t="s">
        <v>4482</v>
      </c>
      <c r="C675" t="s">
        <v>5607</v>
      </c>
    </row>
    <row r="676" spans="1:3" x14ac:dyDescent="0.35">
      <c r="A676" t="s">
        <v>126</v>
      </c>
      <c r="B676" t="s">
        <v>4484</v>
      </c>
      <c r="C676" t="s">
        <v>5607</v>
      </c>
    </row>
    <row r="677" spans="1:3" x14ac:dyDescent="0.35">
      <c r="A677" t="s">
        <v>2664</v>
      </c>
      <c r="B677" t="s">
        <v>4485</v>
      </c>
      <c r="C677" t="s">
        <v>5607</v>
      </c>
    </row>
    <row r="678" spans="1:3" x14ac:dyDescent="0.35">
      <c r="A678" t="s">
        <v>364</v>
      </c>
      <c r="B678" t="s">
        <v>4487</v>
      </c>
      <c r="C678" t="s">
        <v>5607</v>
      </c>
    </row>
    <row r="679" spans="1:3" x14ac:dyDescent="0.35">
      <c r="A679" t="s">
        <v>3674</v>
      </c>
      <c r="B679" t="s">
        <v>4488</v>
      </c>
      <c r="C679" t="s">
        <v>5607</v>
      </c>
    </row>
    <row r="680" spans="1:3" x14ac:dyDescent="0.35">
      <c r="A680" t="s">
        <v>1587</v>
      </c>
      <c r="B680" t="s">
        <v>4489</v>
      </c>
      <c r="C680" t="s">
        <v>5607</v>
      </c>
    </row>
    <row r="681" spans="1:3" x14ac:dyDescent="0.35">
      <c r="A681" t="s">
        <v>2141</v>
      </c>
      <c r="B681" t="s">
        <v>2140</v>
      </c>
      <c r="C681" t="s">
        <v>5607</v>
      </c>
    </row>
    <row r="682" spans="1:3" x14ac:dyDescent="0.35">
      <c r="A682" t="s">
        <v>2420</v>
      </c>
      <c r="B682" t="s">
        <v>2423</v>
      </c>
      <c r="C682" t="s">
        <v>5607</v>
      </c>
    </row>
    <row r="683" spans="1:3" x14ac:dyDescent="0.35">
      <c r="A683" t="s">
        <v>2416</v>
      </c>
      <c r="B683" t="s">
        <v>4490</v>
      </c>
      <c r="C683" t="s">
        <v>5607</v>
      </c>
    </row>
    <row r="684" spans="1:3" x14ac:dyDescent="0.35">
      <c r="A684" t="s">
        <v>3661</v>
      </c>
      <c r="B684" t="s">
        <v>3664</v>
      </c>
      <c r="C684" t="s">
        <v>5607</v>
      </c>
    </row>
    <row r="685" spans="1:3" x14ac:dyDescent="0.35">
      <c r="A685" t="s">
        <v>2689</v>
      </c>
      <c r="B685" t="s">
        <v>4491</v>
      </c>
      <c r="C685" t="s">
        <v>5607</v>
      </c>
    </row>
    <row r="686" spans="1:3" x14ac:dyDescent="0.35">
      <c r="A686" t="s">
        <v>907</v>
      </c>
      <c r="B686" t="s">
        <v>4492</v>
      </c>
      <c r="C686" t="s">
        <v>5607</v>
      </c>
    </row>
    <row r="687" spans="1:3" x14ac:dyDescent="0.35">
      <c r="A687" t="s">
        <v>4494</v>
      </c>
      <c r="B687" t="s">
        <v>4493</v>
      </c>
      <c r="C687" t="s">
        <v>5607</v>
      </c>
    </row>
    <row r="688" spans="1:3" x14ac:dyDescent="0.35">
      <c r="A688" t="s">
        <v>1290</v>
      </c>
      <c r="B688" t="s">
        <v>4495</v>
      </c>
      <c r="C688" t="s">
        <v>5607</v>
      </c>
    </row>
    <row r="689" spans="1:3" x14ac:dyDescent="0.35">
      <c r="A689" t="s">
        <v>1895</v>
      </c>
      <c r="B689" t="s">
        <v>4496</v>
      </c>
      <c r="C689" t="s">
        <v>5607</v>
      </c>
    </row>
    <row r="690" spans="1:3" x14ac:dyDescent="0.35">
      <c r="A690" t="s">
        <v>2194</v>
      </c>
      <c r="B690" t="s">
        <v>4497</v>
      </c>
      <c r="C690" t="s">
        <v>5607</v>
      </c>
    </row>
    <row r="691" spans="1:3" x14ac:dyDescent="0.35">
      <c r="A691" t="s">
        <v>3222</v>
      </c>
      <c r="B691" t="s">
        <v>4498</v>
      </c>
      <c r="C691" t="s">
        <v>5607</v>
      </c>
    </row>
    <row r="692" spans="1:3" x14ac:dyDescent="0.35">
      <c r="A692" t="s">
        <v>3805</v>
      </c>
      <c r="B692" t="s">
        <v>4499</v>
      </c>
      <c r="C692" t="s">
        <v>5607</v>
      </c>
    </row>
    <row r="693" spans="1:3" x14ac:dyDescent="0.35">
      <c r="A693" t="s">
        <v>851</v>
      </c>
      <c r="B693" t="s">
        <v>4500</v>
      </c>
      <c r="C693" t="s">
        <v>5607</v>
      </c>
    </row>
    <row r="694" spans="1:3" x14ac:dyDescent="0.35">
      <c r="A694" t="s">
        <v>851</v>
      </c>
      <c r="B694" t="s">
        <v>5369</v>
      </c>
      <c r="C694" t="s">
        <v>1837</v>
      </c>
    </row>
    <row r="695" spans="1:3" x14ac:dyDescent="0.35">
      <c r="A695" t="s">
        <v>215</v>
      </c>
      <c r="B695" t="s">
        <v>4502</v>
      </c>
      <c r="C695" t="s">
        <v>5607</v>
      </c>
    </row>
    <row r="696" spans="1:3" x14ac:dyDescent="0.35">
      <c r="A696" t="s">
        <v>215</v>
      </c>
      <c r="B696" t="s">
        <v>4679</v>
      </c>
      <c r="C696" t="s">
        <v>5607</v>
      </c>
    </row>
    <row r="697" spans="1:3" x14ac:dyDescent="0.35">
      <c r="A697" t="s">
        <v>2466</v>
      </c>
      <c r="B697" t="s">
        <v>4503</v>
      </c>
      <c r="C697" t="s">
        <v>5618</v>
      </c>
    </row>
    <row r="698" spans="1:3" x14ac:dyDescent="0.35">
      <c r="A698" t="s">
        <v>2466</v>
      </c>
      <c r="B698" t="s">
        <v>4987</v>
      </c>
      <c r="C698" t="s">
        <v>5609</v>
      </c>
    </row>
    <row r="699" spans="1:3" x14ac:dyDescent="0.35">
      <c r="A699" t="s">
        <v>2466</v>
      </c>
      <c r="B699" t="s">
        <v>5026</v>
      </c>
      <c r="C699" t="s">
        <v>5612</v>
      </c>
    </row>
    <row r="700" spans="1:3" x14ac:dyDescent="0.35">
      <c r="A700" t="s">
        <v>2466</v>
      </c>
      <c r="B700" t="s">
        <v>5396</v>
      </c>
      <c r="C700" t="s">
        <v>5611</v>
      </c>
    </row>
    <row r="701" spans="1:3" x14ac:dyDescent="0.35">
      <c r="A701" t="s">
        <v>2466</v>
      </c>
      <c r="B701" t="s">
        <v>5487</v>
      </c>
      <c r="C701" t="s">
        <v>5609</v>
      </c>
    </row>
    <row r="702" spans="1:3" x14ac:dyDescent="0.35">
      <c r="A702" t="s">
        <v>542</v>
      </c>
      <c r="B702" t="s">
        <v>4504</v>
      </c>
      <c r="C702" t="s">
        <v>5618</v>
      </c>
    </row>
    <row r="703" spans="1:3" x14ac:dyDescent="0.35">
      <c r="A703" t="s">
        <v>542</v>
      </c>
      <c r="B703" t="s">
        <v>4746</v>
      </c>
      <c r="C703" t="s">
        <v>5615</v>
      </c>
    </row>
    <row r="704" spans="1:3" x14ac:dyDescent="0.35">
      <c r="A704" t="s">
        <v>550</v>
      </c>
      <c r="B704" t="s">
        <v>4505</v>
      </c>
      <c r="C704" t="s">
        <v>5618</v>
      </c>
    </row>
    <row r="705" spans="1:3" x14ac:dyDescent="0.35">
      <c r="A705" t="s">
        <v>550</v>
      </c>
      <c r="B705" t="s">
        <v>5188</v>
      </c>
      <c r="C705" t="s">
        <v>5617</v>
      </c>
    </row>
    <row r="706" spans="1:3" x14ac:dyDescent="0.35">
      <c r="A706" t="s">
        <v>3567</v>
      </c>
      <c r="B706" t="s">
        <v>4506</v>
      </c>
      <c r="C706" t="s">
        <v>5618</v>
      </c>
    </row>
    <row r="707" spans="1:3" x14ac:dyDescent="0.35">
      <c r="A707" t="s">
        <v>3567</v>
      </c>
      <c r="B707" t="s">
        <v>4569</v>
      </c>
      <c r="C707" t="s">
        <v>5615</v>
      </c>
    </row>
    <row r="708" spans="1:3" x14ac:dyDescent="0.35">
      <c r="A708" t="s">
        <v>1136</v>
      </c>
      <c r="B708" t="s">
        <v>4507</v>
      </c>
      <c r="C708" t="s">
        <v>5618</v>
      </c>
    </row>
    <row r="709" spans="1:3" x14ac:dyDescent="0.35">
      <c r="A709" t="s">
        <v>582</v>
      </c>
      <c r="B709" t="s">
        <v>4508</v>
      </c>
      <c r="C709" t="s">
        <v>5609</v>
      </c>
    </row>
    <row r="710" spans="1:3" x14ac:dyDescent="0.35">
      <c r="A710" t="s">
        <v>482</v>
      </c>
      <c r="B710" t="s">
        <v>4509</v>
      </c>
      <c r="C710" t="s">
        <v>5609</v>
      </c>
    </row>
    <row r="711" spans="1:3" x14ac:dyDescent="0.35">
      <c r="A711" t="s">
        <v>3077</v>
      </c>
      <c r="B711" t="s">
        <v>4510</v>
      </c>
      <c r="C711" t="s">
        <v>5609</v>
      </c>
    </row>
    <row r="712" spans="1:3" x14ac:dyDescent="0.35">
      <c r="A712" t="s">
        <v>4513</v>
      </c>
      <c r="B712" t="s">
        <v>4512</v>
      </c>
      <c r="C712" t="s">
        <v>5612</v>
      </c>
    </row>
    <row r="713" spans="1:3" x14ac:dyDescent="0.35">
      <c r="A713" t="s">
        <v>2924</v>
      </c>
      <c r="B713" t="s">
        <v>4514</v>
      </c>
      <c r="C713" t="s">
        <v>5612</v>
      </c>
    </row>
    <row r="714" spans="1:3" x14ac:dyDescent="0.35">
      <c r="A714" t="s">
        <v>2924</v>
      </c>
      <c r="B714" t="s">
        <v>4616</v>
      </c>
      <c r="C714" t="s">
        <v>5609</v>
      </c>
    </row>
    <row r="715" spans="1:3" x14ac:dyDescent="0.35">
      <c r="A715" t="s">
        <v>4516</v>
      </c>
      <c r="B715" t="s">
        <v>4515</v>
      </c>
      <c r="C715" t="s">
        <v>5612</v>
      </c>
    </row>
    <row r="716" spans="1:3" x14ac:dyDescent="0.35">
      <c r="A716" t="s">
        <v>4518</v>
      </c>
      <c r="B716" t="s">
        <v>4517</v>
      </c>
      <c r="C716" t="s">
        <v>5612</v>
      </c>
    </row>
    <row r="717" spans="1:3" x14ac:dyDescent="0.35">
      <c r="A717" t="s">
        <v>2527</v>
      </c>
      <c r="B717" t="s">
        <v>4519</v>
      </c>
      <c r="C717" t="s">
        <v>5612</v>
      </c>
    </row>
    <row r="718" spans="1:3" x14ac:dyDescent="0.35">
      <c r="A718" t="s">
        <v>2527</v>
      </c>
      <c r="B718" t="s">
        <v>5164</v>
      </c>
      <c r="C718" t="s">
        <v>5612</v>
      </c>
    </row>
    <row r="719" spans="1:3" x14ac:dyDescent="0.35">
      <c r="A719" t="s">
        <v>2527</v>
      </c>
      <c r="B719" t="s">
        <v>5599</v>
      </c>
      <c r="C719" t="s">
        <v>5609</v>
      </c>
    </row>
    <row r="720" spans="1:3" x14ac:dyDescent="0.35">
      <c r="A720" t="s">
        <v>4521</v>
      </c>
      <c r="B720" t="s">
        <v>4520</v>
      </c>
      <c r="C720" t="s">
        <v>5612</v>
      </c>
    </row>
    <row r="721" spans="1:3" x14ac:dyDescent="0.35">
      <c r="A721" t="s">
        <v>4521</v>
      </c>
      <c r="B721" t="s">
        <v>4838</v>
      </c>
      <c r="C721" t="s">
        <v>5612</v>
      </c>
    </row>
    <row r="722" spans="1:3" x14ac:dyDescent="0.35">
      <c r="A722" t="s">
        <v>18</v>
      </c>
      <c r="B722" t="s">
        <v>4522</v>
      </c>
      <c r="C722" t="s">
        <v>5614</v>
      </c>
    </row>
    <row r="723" spans="1:3" x14ac:dyDescent="0.35">
      <c r="A723" t="s">
        <v>1031</v>
      </c>
      <c r="B723" t="s">
        <v>4523</v>
      </c>
      <c r="C723" t="s">
        <v>5614</v>
      </c>
    </row>
    <row r="724" spans="1:3" x14ac:dyDescent="0.35">
      <c r="A724" t="s">
        <v>2559</v>
      </c>
      <c r="B724" t="s">
        <v>4524</v>
      </c>
      <c r="C724" t="s">
        <v>5617</v>
      </c>
    </row>
    <row r="725" spans="1:3" x14ac:dyDescent="0.35">
      <c r="A725" t="s">
        <v>3274</v>
      </c>
      <c r="B725" t="s">
        <v>4525</v>
      </c>
      <c r="C725" t="s">
        <v>5617</v>
      </c>
    </row>
    <row r="726" spans="1:3" x14ac:dyDescent="0.35">
      <c r="A726" t="s">
        <v>699</v>
      </c>
      <c r="B726" t="s">
        <v>4528</v>
      </c>
      <c r="C726" t="s">
        <v>5607</v>
      </c>
    </row>
    <row r="727" spans="1:3" x14ac:dyDescent="0.35">
      <c r="A727" t="s">
        <v>605</v>
      </c>
      <c r="B727" t="s">
        <v>608</v>
      </c>
      <c r="C727" t="s">
        <v>5607</v>
      </c>
    </row>
    <row r="728" spans="1:3" x14ac:dyDescent="0.35">
      <c r="A728" t="s">
        <v>590</v>
      </c>
      <c r="B728" t="s">
        <v>4530</v>
      </c>
      <c r="C728" t="s">
        <v>5607</v>
      </c>
    </row>
    <row r="729" spans="1:3" x14ac:dyDescent="0.35">
      <c r="A729" t="s">
        <v>1426</v>
      </c>
      <c r="B729" t="s">
        <v>4532</v>
      </c>
      <c r="C729" t="s">
        <v>5607</v>
      </c>
    </row>
    <row r="730" spans="1:3" x14ac:dyDescent="0.35">
      <c r="A730" t="s">
        <v>710</v>
      </c>
      <c r="B730" t="s">
        <v>4533</v>
      </c>
      <c r="C730" t="s">
        <v>5617</v>
      </c>
    </row>
    <row r="731" spans="1:3" x14ac:dyDescent="0.35">
      <c r="A731" t="s">
        <v>95</v>
      </c>
      <c r="B731" t="s">
        <v>4534</v>
      </c>
      <c r="C731" t="s">
        <v>5617</v>
      </c>
    </row>
    <row r="732" spans="1:3" x14ac:dyDescent="0.35">
      <c r="A732" t="s">
        <v>4537</v>
      </c>
      <c r="B732" t="s">
        <v>4536</v>
      </c>
      <c r="C732" t="s">
        <v>5614</v>
      </c>
    </row>
    <row r="733" spans="1:3" x14ac:dyDescent="0.35">
      <c r="A733" t="s">
        <v>4539</v>
      </c>
      <c r="B733" t="s">
        <v>4538</v>
      </c>
      <c r="C733" t="s">
        <v>5614</v>
      </c>
    </row>
    <row r="734" spans="1:3" x14ac:dyDescent="0.35">
      <c r="A734" t="s">
        <v>60</v>
      </c>
      <c r="B734" t="s">
        <v>4542</v>
      </c>
      <c r="C734" t="s">
        <v>5614</v>
      </c>
    </row>
    <row r="735" spans="1:3" x14ac:dyDescent="0.35">
      <c r="A735" t="s">
        <v>486</v>
      </c>
      <c r="B735" t="s">
        <v>4543</v>
      </c>
      <c r="C735" t="s">
        <v>5614</v>
      </c>
    </row>
    <row r="736" spans="1:3" x14ac:dyDescent="0.35">
      <c r="A736" t="s">
        <v>723</v>
      </c>
      <c r="B736" t="s">
        <v>4544</v>
      </c>
      <c r="C736" t="s">
        <v>5614</v>
      </c>
    </row>
    <row r="737" spans="1:3" x14ac:dyDescent="0.35">
      <c r="A737" t="s">
        <v>725</v>
      </c>
      <c r="B737" t="s">
        <v>4545</v>
      </c>
      <c r="C737" t="s">
        <v>5614</v>
      </c>
    </row>
    <row r="738" spans="1:3" x14ac:dyDescent="0.35">
      <c r="A738" t="s">
        <v>3926</v>
      </c>
      <c r="B738" t="s">
        <v>4546</v>
      </c>
      <c r="C738" t="s">
        <v>5614</v>
      </c>
    </row>
    <row r="739" spans="1:3" x14ac:dyDescent="0.35">
      <c r="A739" t="s">
        <v>3964</v>
      </c>
      <c r="B739" t="s">
        <v>4547</v>
      </c>
      <c r="C739" t="s">
        <v>5614</v>
      </c>
    </row>
    <row r="740" spans="1:3" x14ac:dyDescent="0.35">
      <c r="A740" t="s">
        <v>4549</v>
      </c>
      <c r="B740" t="s">
        <v>4548</v>
      </c>
      <c r="C740" t="s">
        <v>5621</v>
      </c>
    </row>
    <row r="741" spans="1:3" x14ac:dyDescent="0.35">
      <c r="A741" t="s">
        <v>3137</v>
      </c>
      <c r="B741" t="s">
        <v>4550</v>
      </c>
      <c r="C741" t="s">
        <v>5617</v>
      </c>
    </row>
    <row r="742" spans="1:3" x14ac:dyDescent="0.35">
      <c r="A742" t="s">
        <v>3977</v>
      </c>
      <c r="B742" t="s">
        <v>4551</v>
      </c>
      <c r="C742" t="s">
        <v>5617</v>
      </c>
    </row>
    <row r="743" spans="1:3" x14ac:dyDescent="0.35">
      <c r="A743" t="s">
        <v>3155</v>
      </c>
      <c r="B743" t="s">
        <v>4552</v>
      </c>
      <c r="C743" t="s">
        <v>5617</v>
      </c>
    </row>
    <row r="744" spans="1:3" x14ac:dyDescent="0.35">
      <c r="A744" t="s">
        <v>303</v>
      </c>
      <c r="B744" t="s">
        <v>4553</v>
      </c>
      <c r="C744" t="s">
        <v>5614</v>
      </c>
    </row>
    <row r="745" spans="1:3" x14ac:dyDescent="0.35">
      <c r="A745" t="s">
        <v>798</v>
      </c>
      <c r="B745" t="s">
        <v>4554</v>
      </c>
      <c r="C745" t="s">
        <v>5614</v>
      </c>
    </row>
    <row r="746" spans="1:3" x14ac:dyDescent="0.35">
      <c r="A746" t="s">
        <v>649</v>
      </c>
      <c r="B746" t="s">
        <v>4555</v>
      </c>
      <c r="C746" t="s">
        <v>5614</v>
      </c>
    </row>
    <row r="747" spans="1:3" x14ac:dyDescent="0.35">
      <c r="A747" t="s">
        <v>159</v>
      </c>
      <c r="B747" t="s">
        <v>4556</v>
      </c>
      <c r="C747" t="s">
        <v>5614</v>
      </c>
    </row>
    <row r="748" spans="1:3" x14ac:dyDescent="0.35">
      <c r="A748" t="s">
        <v>2947</v>
      </c>
      <c r="B748" t="s">
        <v>4557</v>
      </c>
      <c r="C748" t="s">
        <v>5614</v>
      </c>
    </row>
    <row r="749" spans="1:3" x14ac:dyDescent="0.35">
      <c r="A749" t="s">
        <v>976</v>
      </c>
      <c r="B749" t="s">
        <v>4558</v>
      </c>
      <c r="C749" t="s">
        <v>5614</v>
      </c>
    </row>
    <row r="750" spans="1:3" x14ac:dyDescent="0.35">
      <c r="A750" t="s">
        <v>791</v>
      </c>
      <c r="B750" t="s">
        <v>4559</v>
      </c>
      <c r="C750" t="s">
        <v>5614</v>
      </c>
    </row>
    <row r="751" spans="1:3" x14ac:dyDescent="0.35">
      <c r="A751" t="s">
        <v>3079</v>
      </c>
      <c r="B751" t="s">
        <v>4560</v>
      </c>
      <c r="C751" t="s">
        <v>5614</v>
      </c>
    </row>
    <row r="752" spans="1:3" x14ac:dyDescent="0.35">
      <c r="A752" t="s">
        <v>3792</v>
      </c>
      <c r="B752" t="s">
        <v>4561</v>
      </c>
      <c r="C752" t="s">
        <v>5614</v>
      </c>
    </row>
    <row r="753" spans="1:3" x14ac:dyDescent="0.35">
      <c r="A753" t="s">
        <v>837</v>
      </c>
      <c r="B753" t="s">
        <v>4562</v>
      </c>
      <c r="C753" t="s">
        <v>5623</v>
      </c>
    </row>
    <row r="754" spans="1:3" x14ac:dyDescent="0.35">
      <c r="A754" t="s">
        <v>554</v>
      </c>
      <c r="B754" t="s">
        <v>4563</v>
      </c>
      <c r="C754" t="s">
        <v>5623</v>
      </c>
    </row>
    <row r="755" spans="1:3" x14ac:dyDescent="0.35">
      <c r="A755" t="s">
        <v>855</v>
      </c>
      <c r="B755" t="s">
        <v>4564</v>
      </c>
      <c r="C755" t="s">
        <v>5615</v>
      </c>
    </row>
    <row r="756" spans="1:3" x14ac:dyDescent="0.35">
      <c r="A756" t="s">
        <v>2729</v>
      </c>
      <c r="B756" t="s">
        <v>4565</v>
      </c>
      <c r="C756" t="s">
        <v>5615</v>
      </c>
    </row>
    <row r="757" spans="1:3" x14ac:dyDescent="0.35">
      <c r="A757" t="s">
        <v>1757</v>
      </c>
      <c r="B757" t="s">
        <v>4566</v>
      </c>
      <c r="C757" t="s">
        <v>5615</v>
      </c>
    </row>
    <row r="758" spans="1:3" x14ac:dyDescent="0.35">
      <c r="A758" t="s">
        <v>1757</v>
      </c>
      <c r="B758" t="s">
        <v>4748</v>
      </c>
      <c r="C758" t="s">
        <v>1757</v>
      </c>
    </row>
    <row r="759" spans="1:3" x14ac:dyDescent="0.35">
      <c r="A759" t="s">
        <v>2052</v>
      </c>
      <c r="B759" t="s">
        <v>4567</v>
      </c>
      <c r="C759" t="s">
        <v>5615</v>
      </c>
    </row>
    <row r="760" spans="1:3" x14ac:dyDescent="0.35">
      <c r="A760" t="s">
        <v>2052</v>
      </c>
      <c r="B760" t="s">
        <v>4745</v>
      </c>
      <c r="C760" t="s">
        <v>5615</v>
      </c>
    </row>
    <row r="761" spans="1:3" x14ac:dyDescent="0.35">
      <c r="A761" t="s">
        <v>168</v>
      </c>
      <c r="B761" t="s">
        <v>4568</v>
      </c>
      <c r="C761" t="s">
        <v>5615</v>
      </c>
    </row>
    <row r="762" spans="1:3" x14ac:dyDescent="0.35">
      <c r="A762" t="s">
        <v>2464</v>
      </c>
      <c r="B762" t="s">
        <v>4570</v>
      </c>
      <c r="C762" t="s">
        <v>5615</v>
      </c>
    </row>
    <row r="763" spans="1:3" x14ac:dyDescent="0.35">
      <c r="A763" t="s">
        <v>2852</v>
      </c>
      <c r="B763" t="s">
        <v>4571</v>
      </c>
      <c r="C763" t="s">
        <v>5615</v>
      </c>
    </row>
    <row r="764" spans="1:3" x14ac:dyDescent="0.35">
      <c r="A764" t="s">
        <v>3391</v>
      </c>
      <c r="B764" t="s">
        <v>4573</v>
      </c>
      <c r="C764" t="s">
        <v>5615</v>
      </c>
    </row>
    <row r="765" spans="1:3" x14ac:dyDescent="0.35">
      <c r="A765" t="s">
        <v>4575</v>
      </c>
      <c r="B765" t="s">
        <v>4574</v>
      </c>
      <c r="C765" t="s">
        <v>5607</v>
      </c>
    </row>
    <row r="766" spans="1:3" x14ac:dyDescent="0.35">
      <c r="A766" t="s">
        <v>1100</v>
      </c>
      <c r="B766" t="s">
        <v>4576</v>
      </c>
      <c r="C766" t="s">
        <v>5607</v>
      </c>
    </row>
    <row r="767" spans="1:3" x14ac:dyDescent="0.35">
      <c r="A767" t="s">
        <v>2135</v>
      </c>
      <c r="B767" t="s">
        <v>4577</v>
      </c>
      <c r="C767" t="s">
        <v>5607</v>
      </c>
    </row>
    <row r="768" spans="1:3" x14ac:dyDescent="0.35">
      <c r="A768" t="s">
        <v>87</v>
      </c>
      <c r="B768" t="s">
        <v>4578</v>
      </c>
      <c r="C768" t="s">
        <v>5607</v>
      </c>
    </row>
    <row r="769" spans="1:3" x14ac:dyDescent="0.35">
      <c r="A769" t="s">
        <v>1253</v>
      </c>
      <c r="B769" t="s">
        <v>4579</v>
      </c>
      <c r="C769" t="s">
        <v>5607</v>
      </c>
    </row>
    <row r="770" spans="1:3" x14ac:dyDescent="0.35">
      <c r="A770" t="s">
        <v>101</v>
      </c>
      <c r="B770" t="s">
        <v>4580</v>
      </c>
      <c r="C770" t="s">
        <v>5607</v>
      </c>
    </row>
    <row r="771" spans="1:3" x14ac:dyDescent="0.35">
      <c r="A771" t="s">
        <v>1881</v>
      </c>
      <c r="B771" t="s">
        <v>4581</v>
      </c>
      <c r="C771" t="s">
        <v>5607</v>
      </c>
    </row>
    <row r="772" spans="1:3" x14ac:dyDescent="0.35">
      <c r="A772" t="s">
        <v>1565</v>
      </c>
      <c r="B772" t="s">
        <v>4582</v>
      </c>
      <c r="C772" t="s">
        <v>5607</v>
      </c>
    </row>
    <row r="773" spans="1:3" x14ac:dyDescent="0.35">
      <c r="A773" t="s">
        <v>3788</v>
      </c>
      <c r="B773" t="s">
        <v>4583</v>
      </c>
      <c r="C773" t="s">
        <v>5607</v>
      </c>
    </row>
    <row r="774" spans="1:3" x14ac:dyDescent="0.35">
      <c r="A774" t="s">
        <v>962</v>
      </c>
      <c r="B774" t="s">
        <v>4584</v>
      </c>
      <c r="C774" t="s">
        <v>5607</v>
      </c>
    </row>
    <row r="775" spans="1:3" x14ac:dyDescent="0.35">
      <c r="A775" t="s">
        <v>2894</v>
      </c>
      <c r="B775" t="s">
        <v>4585</v>
      </c>
      <c r="C775" t="s">
        <v>5607</v>
      </c>
    </row>
    <row r="776" spans="1:3" x14ac:dyDescent="0.35">
      <c r="A776" t="s">
        <v>355</v>
      </c>
      <c r="B776" t="s">
        <v>4586</v>
      </c>
      <c r="C776" t="s">
        <v>5607</v>
      </c>
    </row>
    <row r="777" spans="1:3" x14ac:dyDescent="0.35">
      <c r="A777" t="s">
        <v>3413</v>
      </c>
      <c r="B777" t="s">
        <v>4587</v>
      </c>
      <c r="C777" t="s">
        <v>5607</v>
      </c>
    </row>
    <row r="778" spans="1:3" x14ac:dyDescent="0.35">
      <c r="A778" t="s">
        <v>992</v>
      </c>
      <c r="B778" t="s">
        <v>4589</v>
      </c>
      <c r="C778" t="s">
        <v>5618</v>
      </c>
    </row>
    <row r="779" spans="1:3" x14ac:dyDescent="0.35">
      <c r="A779" t="s">
        <v>1502</v>
      </c>
      <c r="B779" t="s">
        <v>4590</v>
      </c>
      <c r="C779" t="s">
        <v>1837</v>
      </c>
    </row>
    <row r="780" spans="1:3" x14ac:dyDescent="0.35">
      <c r="A780" t="s">
        <v>1230</v>
      </c>
      <c r="B780" t="s">
        <v>4591</v>
      </c>
      <c r="C780" t="s">
        <v>1837</v>
      </c>
    </row>
    <row r="781" spans="1:3" x14ac:dyDescent="0.35">
      <c r="A781" t="s">
        <v>2047</v>
      </c>
      <c r="B781" t="s">
        <v>4592</v>
      </c>
      <c r="C781" t="s">
        <v>1837</v>
      </c>
    </row>
    <row r="782" spans="1:3" x14ac:dyDescent="0.35">
      <c r="A782" t="s">
        <v>1049</v>
      </c>
      <c r="B782" t="s">
        <v>4593</v>
      </c>
      <c r="C782" t="s">
        <v>1837</v>
      </c>
    </row>
    <row r="783" spans="1:3" x14ac:dyDescent="0.35">
      <c r="A783" t="s">
        <v>1166</v>
      </c>
      <c r="B783" t="s">
        <v>4594</v>
      </c>
      <c r="C783" t="s">
        <v>1837</v>
      </c>
    </row>
    <row r="784" spans="1:3" x14ac:dyDescent="0.35">
      <c r="A784" t="s">
        <v>3173</v>
      </c>
      <c r="B784" t="s">
        <v>4595</v>
      </c>
      <c r="C784" t="s">
        <v>1837</v>
      </c>
    </row>
    <row r="785" spans="1:3" x14ac:dyDescent="0.35">
      <c r="A785" t="s">
        <v>1861</v>
      </c>
      <c r="B785" t="s">
        <v>4596</v>
      </c>
      <c r="C785" t="s">
        <v>5614</v>
      </c>
    </row>
    <row r="786" spans="1:3" x14ac:dyDescent="0.35">
      <c r="A786" t="s">
        <v>4598</v>
      </c>
      <c r="B786" t="s">
        <v>4597</v>
      </c>
      <c r="C786" t="s">
        <v>5614</v>
      </c>
    </row>
    <row r="787" spans="1:3" x14ac:dyDescent="0.35">
      <c r="A787" t="s">
        <v>3214</v>
      </c>
      <c r="B787" t="s">
        <v>4599</v>
      </c>
      <c r="C787" t="s">
        <v>5614</v>
      </c>
    </row>
    <row r="788" spans="1:3" x14ac:dyDescent="0.35">
      <c r="A788" t="s">
        <v>3089</v>
      </c>
      <c r="B788" t="s">
        <v>4600</v>
      </c>
      <c r="C788" t="s">
        <v>5614</v>
      </c>
    </row>
    <row r="789" spans="1:3" x14ac:dyDescent="0.35">
      <c r="A789" t="s">
        <v>3089</v>
      </c>
      <c r="B789" t="s">
        <v>4702</v>
      </c>
      <c r="C789" t="s">
        <v>5607</v>
      </c>
    </row>
    <row r="790" spans="1:3" x14ac:dyDescent="0.35">
      <c r="A790" t="s">
        <v>1073</v>
      </c>
      <c r="B790" t="s">
        <v>4601</v>
      </c>
      <c r="C790" t="s">
        <v>5614</v>
      </c>
    </row>
    <row r="791" spans="1:3" x14ac:dyDescent="0.35">
      <c r="A791" t="s">
        <v>446</v>
      </c>
      <c r="B791" t="s">
        <v>4602</v>
      </c>
      <c r="C791" t="s">
        <v>5614</v>
      </c>
    </row>
    <row r="792" spans="1:3" x14ac:dyDescent="0.35">
      <c r="A792" t="s">
        <v>1079</v>
      </c>
      <c r="B792" t="s">
        <v>4604</v>
      </c>
      <c r="C792" t="s">
        <v>5614</v>
      </c>
    </row>
    <row r="793" spans="1:3" x14ac:dyDescent="0.35">
      <c r="A793" t="s">
        <v>1203</v>
      </c>
      <c r="B793" t="s">
        <v>4605</v>
      </c>
      <c r="C793" t="s">
        <v>5614</v>
      </c>
    </row>
    <row r="794" spans="1:3" x14ac:dyDescent="0.35">
      <c r="A794" t="s">
        <v>1232</v>
      </c>
      <c r="B794" t="s">
        <v>4606</v>
      </c>
      <c r="C794" t="s">
        <v>5614</v>
      </c>
    </row>
    <row r="795" spans="1:3" x14ac:dyDescent="0.35">
      <c r="A795" t="s">
        <v>1490</v>
      </c>
      <c r="B795" t="s">
        <v>4608</v>
      </c>
      <c r="C795" t="s">
        <v>5614</v>
      </c>
    </row>
    <row r="796" spans="1:3" x14ac:dyDescent="0.35">
      <c r="A796" t="s">
        <v>1679</v>
      </c>
      <c r="B796" t="s">
        <v>4609</v>
      </c>
      <c r="C796" t="s">
        <v>5614</v>
      </c>
    </row>
    <row r="797" spans="1:3" x14ac:dyDescent="0.35">
      <c r="A797" t="s">
        <v>1681</v>
      </c>
      <c r="B797" t="s">
        <v>4610</v>
      </c>
      <c r="C797" t="s">
        <v>5614</v>
      </c>
    </row>
    <row r="798" spans="1:3" x14ac:dyDescent="0.35">
      <c r="A798" t="s">
        <v>2952</v>
      </c>
      <c r="B798" t="s">
        <v>4611</v>
      </c>
      <c r="C798" t="s">
        <v>5614</v>
      </c>
    </row>
    <row r="799" spans="1:3" x14ac:dyDescent="0.35">
      <c r="A799" t="s">
        <v>3001</v>
      </c>
      <c r="B799" t="s">
        <v>4612</v>
      </c>
      <c r="C799" t="s">
        <v>5614</v>
      </c>
    </row>
    <row r="800" spans="1:3" x14ac:dyDescent="0.35">
      <c r="A800" t="s">
        <v>3682</v>
      </c>
      <c r="B800" t="s">
        <v>4613</v>
      </c>
      <c r="C800" t="s">
        <v>5614</v>
      </c>
    </row>
    <row r="801" spans="1:3" x14ac:dyDescent="0.35">
      <c r="A801" t="s">
        <v>3807</v>
      </c>
      <c r="B801" t="s">
        <v>4614</v>
      </c>
      <c r="C801" t="s">
        <v>5614</v>
      </c>
    </row>
    <row r="802" spans="1:3" x14ac:dyDescent="0.35">
      <c r="A802" t="s">
        <v>1121</v>
      </c>
      <c r="B802" t="s">
        <v>4615</v>
      </c>
      <c r="C802" t="s">
        <v>5609</v>
      </c>
    </row>
    <row r="803" spans="1:3" x14ac:dyDescent="0.35">
      <c r="A803" t="s">
        <v>3536</v>
      </c>
      <c r="B803" t="s">
        <v>4617</v>
      </c>
      <c r="C803" t="s">
        <v>5609</v>
      </c>
    </row>
    <row r="804" spans="1:3" x14ac:dyDescent="0.35">
      <c r="A804" t="s">
        <v>2400</v>
      </c>
      <c r="B804" t="s">
        <v>4618</v>
      </c>
      <c r="C804" t="s">
        <v>5609</v>
      </c>
    </row>
    <row r="805" spans="1:3" x14ac:dyDescent="0.35">
      <c r="A805" t="s">
        <v>859</v>
      </c>
      <c r="B805" t="s">
        <v>4619</v>
      </c>
      <c r="C805" t="s">
        <v>1837</v>
      </c>
    </row>
    <row r="806" spans="1:3" x14ac:dyDescent="0.35">
      <c r="A806" t="s">
        <v>682</v>
      </c>
      <c r="B806" t="s">
        <v>687</v>
      </c>
      <c r="C806" t="s">
        <v>1837</v>
      </c>
    </row>
    <row r="807" spans="1:3" x14ac:dyDescent="0.35">
      <c r="A807" t="s">
        <v>940</v>
      </c>
      <c r="B807" t="s">
        <v>4620</v>
      </c>
      <c r="C807" t="s">
        <v>1837</v>
      </c>
    </row>
    <row r="808" spans="1:3" x14ac:dyDescent="0.35">
      <c r="A808" t="s">
        <v>3913</v>
      </c>
      <c r="B808" t="s">
        <v>4621</v>
      </c>
      <c r="C808" t="s">
        <v>1837</v>
      </c>
    </row>
    <row r="809" spans="1:3" x14ac:dyDescent="0.35">
      <c r="A809" t="s">
        <v>309</v>
      </c>
      <c r="B809" t="s">
        <v>4622</v>
      </c>
      <c r="C809" t="s">
        <v>1837</v>
      </c>
    </row>
    <row r="810" spans="1:3" x14ac:dyDescent="0.35">
      <c r="A810" t="s">
        <v>3915</v>
      </c>
      <c r="B810" t="s">
        <v>4623</v>
      </c>
      <c r="C810" t="s">
        <v>1837</v>
      </c>
    </row>
    <row r="811" spans="1:3" x14ac:dyDescent="0.35">
      <c r="A811" t="s">
        <v>1123</v>
      </c>
      <c r="B811" t="s">
        <v>4624</v>
      </c>
      <c r="C811" t="s">
        <v>1837</v>
      </c>
    </row>
    <row r="812" spans="1:3" x14ac:dyDescent="0.35">
      <c r="A812" t="s">
        <v>3994</v>
      </c>
      <c r="B812" t="s">
        <v>4625</v>
      </c>
      <c r="C812" t="s">
        <v>5615</v>
      </c>
    </row>
    <row r="813" spans="1:3" x14ac:dyDescent="0.35">
      <c r="A813" t="s">
        <v>3183</v>
      </c>
      <c r="B813" t="s">
        <v>4626</v>
      </c>
      <c r="C813" t="s">
        <v>5615</v>
      </c>
    </row>
    <row r="814" spans="1:3" x14ac:dyDescent="0.35">
      <c r="A814" t="s">
        <v>793</v>
      </c>
      <c r="B814" t="s">
        <v>4628</v>
      </c>
      <c r="C814" t="s">
        <v>5615</v>
      </c>
    </row>
    <row r="815" spans="1:3" x14ac:dyDescent="0.35">
      <c r="A815" t="s">
        <v>3672</v>
      </c>
      <c r="B815" t="s">
        <v>4629</v>
      </c>
      <c r="C815" t="s">
        <v>5615</v>
      </c>
    </row>
    <row r="816" spans="1:3" x14ac:dyDescent="0.35">
      <c r="A816" t="s">
        <v>3986</v>
      </c>
      <c r="B816" t="s">
        <v>4630</v>
      </c>
      <c r="C816" t="s">
        <v>5615</v>
      </c>
    </row>
    <row r="817" spans="1:3" x14ac:dyDescent="0.35">
      <c r="A817" t="s">
        <v>2161</v>
      </c>
      <c r="B817" t="s">
        <v>4631</v>
      </c>
      <c r="C817" t="s">
        <v>5615</v>
      </c>
    </row>
    <row r="818" spans="1:3" x14ac:dyDescent="0.35">
      <c r="A818" t="s">
        <v>2161</v>
      </c>
      <c r="B818" t="s">
        <v>5117</v>
      </c>
      <c r="C818" t="s">
        <v>5607</v>
      </c>
    </row>
    <row r="819" spans="1:3" x14ac:dyDescent="0.35">
      <c r="A819" t="s">
        <v>3981</v>
      </c>
      <c r="B819" t="s">
        <v>4632</v>
      </c>
      <c r="C819" t="s">
        <v>5615</v>
      </c>
    </row>
    <row r="820" spans="1:3" x14ac:dyDescent="0.35">
      <c r="A820" t="s">
        <v>1105</v>
      </c>
      <c r="B820" t="s">
        <v>4633</v>
      </c>
      <c r="C820" t="s">
        <v>5615</v>
      </c>
    </row>
    <row r="821" spans="1:3" x14ac:dyDescent="0.35">
      <c r="A821" t="s">
        <v>1182</v>
      </c>
      <c r="B821" t="s">
        <v>4634</v>
      </c>
      <c r="C821" t="s">
        <v>5615</v>
      </c>
    </row>
    <row r="822" spans="1:3" x14ac:dyDescent="0.35">
      <c r="A822" t="s">
        <v>1182</v>
      </c>
      <c r="B822" t="s">
        <v>5425</v>
      </c>
      <c r="C822" t="s">
        <v>5614</v>
      </c>
    </row>
    <row r="823" spans="1:3" x14ac:dyDescent="0.35">
      <c r="A823" t="s">
        <v>1168</v>
      </c>
      <c r="B823" t="s">
        <v>4635</v>
      </c>
      <c r="C823" t="s">
        <v>5615</v>
      </c>
    </row>
    <row r="824" spans="1:3" x14ac:dyDescent="0.35">
      <c r="A824" t="s">
        <v>157</v>
      </c>
      <c r="B824" t="s">
        <v>4636</v>
      </c>
      <c r="C824" t="s">
        <v>5615</v>
      </c>
    </row>
    <row r="825" spans="1:3" x14ac:dyDescent="0.35">
      <c r="A825" t="s">
        <v>2780</v>
      </c>
      <c r="B825" t="s">
        <v>4637</v>
      </c>
      <c r="C825" t="s">
        <v>5615</v>
      </c>
    </row>
    <row r="826" spans="1:3" x14ac:dyDescent="0.35">
      <c r="A826" t="s">
        <v>3181</v>
      </c>
      <c r="B826" t="s">
        <v>4638</v>
      </c>
      <c r="C826" t="s">
        <v>5615</v>
      </c>
    </row>
    <row r="827" spans="1:3" x14ac:dyDescent="0.35">
      <c r="A827" t="s">
        <v>4640</v>
      </c>
      <c r="B827" t="s">
        <v>4639</v>
      </c>
      <c r="C827" t="s">
        <v>5615</v>
      </c>
    </row>
    <row r="828" spans="1:3" x14ac:dyDescent="0.35">
      <c r="A828" t="s">
        <v>1817</v>
      </c>
      <c r="B828" t="s">
        <v>4641</v>
      </c>
      <c r="C828" t="s">
        <v>5615</v>
      </c>
    </row>
    <row r="829" spans="1:3" x14ac:dyDescent="0.35">
      <c r="A829" t="s">
        <v>603</v>
      </c>
      <c r="B829" t="s">
        <v>4642</v>
      </c>
      <c r="C829" t="s">
        <v>5615</v>
      </c>
    </row>
    <row r="830" spans="1:3" x14ac:dyDescent="0.35">
      <c r="A830" t="s">
        <v>314</v>
      </c>
      <c r="B830" t="s">
        <v>4643</v>
      </c>
      <c r="C830" t="s">
        <v>5615</v>
      </c>
    </row>
    <row r="831" spans="1:3" x14ac:dyDescent="0.35">
      <c r="A831" t="s">
        <v>314</v>
      </c>
      <c r="B831" t="s">
        <v>4930</v>
      </c>
      <c r="C831" t="s">
        <v>5607</v>
      </c>
    </row>
    <row r="832" spans="1:3" x14ac:dyDescent="0.35">
      <c r="A832" t="s">
        <v>2098</v>
      </c>
      <c r="B832" t="s">
        <v>4644</v>
      </c>
      <c r="C832" t="s">
        <v>5615</v>
      </c>
    </row>
    <row r="833" spans="1:3" x14ac:dyDescent="0.35">
      <c r="A833" t="s">
        <v>516</v>
      </c>
      <c r="B833" t="s">
        <v>4645</v>
      </c>
      <c r="C833" t="s">
        <v>5615</v>
      </c>
    </row>
    <row r="834" spans="1:3" x14ac:dyDescent="0.35">
      <c r="A834" t="s">
        <v>3909</v>
      </c>
      <c r="B834" t="s">
        <v>4646</v>
      </c>
      <c r="C834" t="s">
        <v>5623</v>
      </c>
    </row>
    <row r="835" spans="1:3" x14ac:dyDescent="0.35">
      <c r="A835" t="s">
        <v>1198</v>
      </c>
      <c r="B835" t="s">
        <v>4647</v>
      </c>
      <c r="C835" t="s">
        <v>5623</v>
      </c>
    </row>
    <row r="836" spans="1:3" x14ac:dyDescent="0.35">
      <c r="A836" t="s">
        <v>3654</v>
      </c>
      <c r="B836" t="s">
        <v>4648</v>
      </c>
      <c r="C836" t="s">
        <v>5623</v>
      </c>
    </row>
    <row r="837" spans="1:3" x14ac:dyDescent="0.35">
      <c r="A837" t="s">
        <v>4650</v>
      </c>
      <c r="B837" t="s">
        <v>4649</v>
      </c>
      <c r="C837" t="s">
        <v>5607</v>
      </c>
    </row>
    <row r="838" spans="1:3" x14ac:dyDescent="0.35">
      <c r="A838" t="s">
        <v>1442</v>
      </c>
      <c r="B838" t="s">
        <v>4651</v>
      </c>
      <c r="C838" t="s">
        <v>5607</v>
      </c>
    </row>
    <row r="839" spans="1:3" x14ac:dyDescent="0.35">
      <c r="A839" t="s">
        <v>4653</v>
      </c>
      <c r="B839" t="s">
        <v>4652</v>
      </c>
      <c r="C839" t="s">
        <v>5607</v>
      </c>
    </row>
    <row r="840" spans="1:3" x14ac:dyDescent="0.35">
      <c r="A840" t="s">
        <v>2414</v>
      </c>
      <c r="B840" t="s">
        <v>4654</v>
      </c>
      <c r="C840" t="s">
        <v>5607</v>
      </c>
    </row>
    <row r="841" spans="1:3" x14ac:dyDescent="0.35">
      <c r="A841" t="s">
        <v>4656</v>
      </c>
      <c r="B841" t="s">
        <v>4655</v>
      </c>
      <c r="C841" t="s">
        <v>5607</v>
      </c>
    </row>
    <row r="842" spans="1:3" x14ac:dyDescent="0.35">
      <c r="A842" t="s">
        <v>40</v>
      </c>
      <c r="B842" t="s">
        <v>4657</v>
      </c>
      <c r="C842" t="s">
        <v>5607</v>
      </c>
    </row>
    <row r="843" spans="1:3" x14ac:dyDescent="0.35">
      <c r="A843" t="s">
        <v>40</v>
      </c>
      <c r="B843" t="s">
        <v>5179</v>
      </c>
      <c r="C843" t="s">
        <v>5619</v>
      </c>
    </row>
    <row r="844" spans="1:3" x14ac:dyDescent="0.35">
      <c r="A844" t="s">
        <v>742</v>
      </c>
      <c r="B844" t="s">
        <v>4658</v>
      </c>
      <c r="C844" t="s">
        <v>5607</v>
      </c>
    </row>
    <row r="845" spans="1:3" x14ac:dyDescent="0.35">
      <c r="A845" t="s">
        <v>1043</v>
      </c>
      <c r="B845" t="s">
        <v>4659</v>
      </c>
      <c r="C845" t="s">
        <v>5607</v>
      </c>
    </row>
    <row r="846" spans="1:3" x14ac:dyDescent="0.35">
      <c r="A846" t="s">
        <v>2343</v>
      </c>
      <c r="B846" t="s">
        <v>4660</v>
      </c>
      <c r="C846" t="s">
        <v>5607</v>
      </c>
    </row>
    <row r="847" spans="1:3" x14ac:dyDescent="0.35">
      <c r="A847" t="s">
        <v>2352</v>
      </c>
      <c r="B847" t="s">
        <v>4661</v>
      </c>
      <c r="C847" t="s">
        <v>5607</v>
      </c>
    </row>
    <row r="848" spans="1:3" x14ac:dyDescent="0.35">
      <c r="A848" t="s">
        <v>2352</v>
      </c>
      <c r="B848" t="s">
        <v>4689</v>
      </c>
      <c r="C848" t="s">
        <v>5607</v>
      </c>
    </row>
    <row r="849" spans="1:3" x14ac:dyDescent="0.35">
      <c r="A849" t="s">
        <v>3328</v>
      </c>
      <c r="B849" t="s">
        <v>4662</v>
      </c>
      <c r="C849" t="s">
        <v>5607</v>
      </c>
    </row>
    <row r="850" spans="1:3" x14ac:dyDescent="0.35">
      <c r="A850" t="s">
        <v>3332</v>
      </c>
      <c r="B850" t="s">
        <v>4663</v>
      </c>
      <c r="C850" t="s">
        <v>5607</v>
      </c>
    </row>
    <row r="851" spans="1:3" x14ac:dyDescent="0.35">
      <c r="A851" t="s">
        <v>2082</v>
      </c>
      <c r="B851" t="s">
        <v>4665</v>
      </c>
      <c r="C851" t="s">
        <v>5607</v>
      </c>
    </row>
    <row r="852" spans="1:3" x14ac:dyDescent="0.35">
      <c r="A852" t="s">
        <v>2082</v>
      </c>
      <c r="B852" t="s">
        <v>4854</v>
      </c>
      <c r="C852" t="s">
        <v>5615</v>
      </c>
    </row>
    <row r="853" spans="1:3" x14ac:dyDescent="0.35">
      <c r="A853" t="s">
        <v>2082</v>
      </c>
      <c r="B853" t="s">
        <v>5097</v>
      </c>
      <c r="C853" t="s">
        <v>5612</v>
      </c>
    </row>
    <row r="854" spans="1:3" x14ac:dyDescent="0.35">
      <c r="A854" t="s">
        <v>1312</v>
      </c>
      <c r="B854" t="s">
        <v>4666</v>
      </c>
      <c r="C854" t="s">
        <v>5615</v>
      </c>
    </row>
    <row r="855" spans="1:3" x14ac:dyDescent="0.35">
      <c r="A855" t="s">
        <v>1312</v>
      </c>
      <c r="B855" t="s">
        <v>5030</v>
      </c>
      <c r="C855" t="s">
        <v>5612</v>
      </c>
    </row>
    <row r="856" spans="1:3" x14ac:dyDescent="0.35">
      <c r="A856" t="s">
        <v>4668</v>
      </c>
      <c r="B856" t="s">
        <v>4667</v>
      </c>
      <c r="C856" t="s">
        <v>5607</v>
      </c>
    </row>
    <row r="857" spans="1:3" x14ac:dyDescent="0.35">
      <c r="A857" t="s">
        <v>3740</v>
      </c>
      <c r="B857" t="s">
        <v>4669</v>
      </c>
      <c r="C857" t="s">
        <v>5607</v>
      </c>
    </row>
    <row r="858" spans="1:3" x14ac:dyDescent="0.35">
      <c r="A858" t="s">
        <v>38</v>
      </c>
      <c r="B858" t="s">
        <v>4670</v>
      </c>
      <c r="C858" t="s">
        <v>5607</v>
      </c>
    </row>
    <row r="859" spans="1:3" x14ac:dyDescent="0.35">
      <c r="A859" t="s">
        <v>3427</v>
      </c>
      <c r="B859" t="s">
        <v>4672</v>
      </c>
      <c r="C859" t="s">
        <v>5607</v>
      </c>
    </row>
    <row r="860" spans="1:3" x14ac:dyDescent="0.35">
      <c r="A860" t="s">
        <v>1349</v>
      </c>
      <c r="B860" t="s">
        <v>4673</v>
      </c>
      <c r="C860" t="s">
        <v>5607</v>
      </c>
    </row>
    <row r="861" spans="1:3" x14ac:dyDescent="0.35">
      <c r="A861" t="s">
        <v>1728</v>
      </c>
      <c r="B861" t="s">
        <v>4674</v>
      </c>
      <c r="C861" t="s">
        <v>5607</v>
      </c>
    </row>
    <row r="862" spans="1:3" x14ac:dyDescent="0.35">
      <c r="A862" t="s">
        <v>1728</v>
      </c>
      <c r="B862" t="s">
        <v>5501</v>
      </c>
      <c r="C862" t="s">
        <v>5619</v>
      </c>
    </row>
    <row r="863" spans="1:3" x14ac:dyDescent="0.35">
      <c r="A863" t="s">
        <v>4676</v>
      </c>
      <c r="B863" t="s">
        <v>4675</v>
      </c>
      <c r="C863" t="s">
        <v>5607</v>
      </c>
    </row>
    <row r="864" spans="1:3" x14ac:dyDescent="0.35">
      <c r="A864" t="s">
        <v>4678</v>
      </c>
      <c r="B864" t="s">
        <v>4677</v>
      </c>
      <c r="C864" t="s">
        <v>5607</v>
      </c>
    </row>
    <row r="865" spans="1:3" x14ac:dyDescent="0.35">
      <c r="A865" t="s">
        <v>320</v>
      </c>
      <c r="B865" t="s">
        <v>4681</v>
      </c>
      <c r="C865" t="s">
        <v>5607</v>
      </c>
    </row>
    <row r="866" spans="1:3" x14ac:dyDescent="0.35">
      <c r="A866" t="s">
        <v>4683</v>
      </c>
      <c r="B866" t="s">
        <v>4682</v>
      </c>
      <c r="C866" t="s">
        <v>5607</v>
      </c>
    </row>
    <row r="867" spans="1:3" x14ac:dyDescent="0.35">
      <c r="A867" t="s">
        <v>3861</v>
      </c>
      <c r="B867" t="s">
        <v>4684</v>
      </c>
      <c r="C867" t="s">
        <v>5616</v>
      </c>
    </row>
    <row r="868" spans="1:3" x14ac:dyDescent="0.35">
      <c r="A868" t="s">
        <v>631</v>
      </c>
      <c r="B868" t="s">
        <v>4685</v>
      </c>
      <c r="C868" t="s">
        <v>5607</v>
      </c>
    </row>
    <row r="869" spans="1:3" x14ac:dyDescent="0.35">
      <c r="A869" t="s">
        <v>1075</v>
      </c>
      <c r="B869" t="s">
        <v>4686</v>
      </c>
      <c r="C869" t="s">
        <v>5607</v>
      </c>
    </row>
    <row r="870" spans="1:3" x14ac:dyDescent="0.35">
      <c r="A870" t="s">
        <v>839</v>
      </c>
      <c r="B870" t="s">
        <v>4687</v>
      </c>
      <c r="C870" t="s">
        <v>5607</v>
      </c>
    </row>
    <row r="871" spans="1:3" x14ac:dyDescent="0.35">
      <c r="A871" t="s">
        <v>839</v>
      </c>
      <c r="B871" t="s">
        <v>4710</v>
      </c>
      <c r="C871" t="s">
        <v>5609</v>
      </c>
    </row>
    <row r="872" spans="1:3" x14ac:dyDescent="0.35">
      <c r="A872" t="s">
        <v>839</v>
      </c>
      <c r="B872" t="s">
        <v>4825</v>
      </c>
      <c r="C872" t="s">
        <v>5619</v>
      </c>
    </row>
    <row r="873" spans="1:3" x14ac:dyDescent="0.35">
      <c r="A873" t="s">
        <v>2202</v>
      </c>
      <c r="B873" t="s">
        <v>4688</v>
      </c>
      <c r="C873" t="s">
        <v>5607</v>
      </c>
    </row>
    <row r="874" spans="1:3" x14ac:dyDescent="0.35">
      <c r="A874" t="s">
        <v>258</v>
      </c>
      <c r="B874" t="s">
        <v>4690</v>
      </c>
      <c r="C874" t="s">
        <v>5607</v>
      </c>
    </row>
    <row r="875" spans="1:3" x14ac:dyDescent="0.35">
      <c r="A875" t="s">
        <v>633</v>
      </c>
      <c r="B875" t="s">
        <v>4691</v>
      </c>
      <c r="C875" t="s">
        <v>5607</v>
      </c>
    </row>
    <row r="876" spans="1:3" x14ac:dyDescent="0.35">
      <c r="A876" t="s">
        <v>911</v>
      </c>
      <c r="B876" t="s">
        <v>4692</v>
      </c>
      <c r="C876" t="s">
        <v>5607</v>
      </c>
    </row>
    <row r="877" spans="1:3" x14ac:dyDescent="0.35">
      <c r="A877" t="s">
        <v>4694</v>
      </c>
      <c r="B877" t="s">
        <v>4693</v>
      </c>
      <c r="C877" t="s">
        <v>5607</v>
      </c>
    </row>
    <row r="878" spans="1:3" x14ac:dyDescent="0.35">
      <c r="A878" t="s">
        <v>4694</v>
      </c>
      <c r="B878" t="s">
        <v>5140</v>
      </c>
      <c r="C878" t="s">
        <v>5614</v>
      </c>
    </row>
    <row r="879" spans="1:3" x14ac:dyDescent="0.35">
      <c r="A879" t="s">
        <v>1164</v>
      </c>
      <c r="B879" t="s">
        <v>4695</v>
      </c>
      <c r="C879" t="s">
        <v>5607</v>
      </c>
    </row>
    <row r="880" spans="1:3" x14ac:dyDescent="0.35">
      <c r="A880" t="s">
        <v>1375</v>
      </c>
      <c r="B880" t="s">
        <v>4696</v>
      </c>
      <c r="C880" t="s">
        <v>5607</v>
      </c>
    </row>
    <row r="881" spans="1:3" x14ac:dyDescent="0.35">
      <c r="A881" t="s">
        <v>1730</v>
      </c>
      <c r="B881" t="s">
        <v>4697</v>
      </c>
      <c r="C881" t="s">
        <v>5607</v>
      </c>
    </row>
    <row r="882" spans="1:3" x14ac:dyDescent="0.35">
      <c r="A882" t="s">
        <v>1819</v>
      </c>
      <c r="B882" t="s">
        <v>4698</v>
      </c>
      <c r="C882" t="s">
        <v>5607</v>
      </c>
    </row>
    <row r="883" spans="1:3" x14ac:dyDescent="0.35">
      <c r="A883" t="s">
        <v>1821</v>
      </c>
      <c r="B883" t="s">
        <v>4699</v>
      </c>
      <c r="C883" t="s">
        <v>5607</v>
      </c>
    </row>
    <row r="884" spans="1:3" x14ac:dyDescent="0.35">
      <c r="A884" t="s">
        <v>1823</v>
      </c>
      <c r="B884" t="s">
        <v>4700</v>
      </c>
      <c r="C884" t="s">
        <v>5607</v>
      </c>
    </row>
    <row r="885" spans="1:3" x14ac:dyDescent="0.35">
      <c r="A885" t="s">
        <v>2933</v>
      </c>
      <c r="B885" t="s">
        <v>4701</v>
      </c>
      <c r="C885" t="s">
        <v>5607</v>
      </c>
    </row>
    <row r="886" spans="1:3" x14ac:dyDescent="0.35">
      <c r="A886" t="s">
        <v>3374</v>
      </c>
      <c r="B886" t="s">
        <v>4703</v>
      </c>
      <c r="C886" t="s">
        <v>5607</v>
      </c>
    </row>
    <row r="887" spans="1:3" x14ac:dyDescent="0.35">
      <c r="A887" t="s">
        <v>3376</v>
      </c>
      <c r="B887" t="s">
        <v>4704</v>
      </c>
      <c r="C887" t="s">
        <v>5607</v>
      </c>
    </row>
    <row r="888" spans="1:3" x14ac:dyDescent="0.35">
      <c r="A888" t="s">
        <v>596</v>
      </c>
      <c r="B888" t="s">
        <v>4705</v>
      </c>
      <c r="C888" t="s">
        <v>5609</v>
      </c>
    </row>
    <row r="889" spans="1:3" x14ac:dyDescent="0.35">
      <c r="A889" t="s">
        <v>2487</v>
      </c>
      <c r="B889" t="s">
        <v>4706</v>
      </c>
      <c r="C889" t="s">
        <v>5609</v>
      </c>
    </row>
    <row r="890" spans="1:3" x14ac:dyDescent="0.35">
      <c r="A890" t="s">
        <v>1448</v>
      </c>
      <c r="B890" t="s">
        <v>4707</v>
      </c>
      <c r="C890" t="s">
        <v>5609</v>
      </c>
    </row>
    <row r="891" spans="1:3" x14ac:dyDescent="0.35">
      <c r="A891" t="s">
        <v>3866</v>
      </c>
      <c r="B891" t="s">
        <v>4708</v>
      </c>
      <c r="C891" t="s">
        <v>5609</v>
      </c>
    </row>
    <row r="892" spans="1:3" x14ac:dyDescent="0.35">
      <c r="A892" t="s">
        <v>1444</v>
      </c>
      <c r="B892" t="s">
        <v>4709</v>
      </c>
      <c r="C892" t="s">
        <v>5609</v>
      </c>
    </row>
    <row r="893" spans="1:3" x14ac:dyDescent="0.35">
      <c r="A893" t="s">
        <v>4713</v>
      </c>
      <c r="B893" t="s">
        <v>4712</v>
      </c>
      <c r="C893" t="s">
        <v>5622</v>
      </c>
    </row>
    <row r="894" spans="1:3" x14ac:dyDescent="0.35">
      <c r="A894" t="s">
        <v>1749</v>
      </c>
      <c r="B894" t="s">
        <v>4714</v>
      </c>
      <c r="C894" t="s">
        <v>5622</v>
      </c>
    </row>
    <row r="895" spans="1:3" x14ac:dyDescent="0.35">
      <c r="A895" t="s">
        <v>1512</v>
      </c>
      <c r="B895" t="s">
        <v>4715</v>
      </c>
      <c r="C895" t="s">
        <v>1757</v>
      </c>
    </row>
    <row r="896" spans="1:3" x14ac:dyDescent="0.35">
      <c r="A896" t="s">
        <v>800</v>
      </c>
      <c r="B896" t="s">
        <v>4716</v>
      </c>
      <c r="C896" t="s">
        <v>5610</v>
      </c>
    </row>
    <row r="897" spans="1:3" x14ac:dyDescent="0.35">
      <c r="A897" t="s">
        <v>1077</v>
      </c>
      <c r="B897" t="s">
        <v>4717</v>
      </c>
      <c r="C897" t="s">
        <v>5610</v>
      </c>
    </row>
    <row r="898" spans="1:3" x14ac:dyDescent="0.35">
      <c r="A898" t="s">
        <v>181</v>
      </c>
      <c r="B898" t="s">
        <v>4718</v>
      </c>
      <c r="C898" t="s">
        <v>5610</v>
      </c>
    </row>
    <row r="899" spans="1:3" x14ac:dyDescent="0.35">
      <c r="A899" t="s">
        <v>4721</v>
      </c>
      <c r="B899" t="s">
        <v>4720</v>
      </c>
      <c r="C899" t="s">
        <v>5610</v>
      </c>
    </row>
    <row r="900" spans="1:3" x14ac:dyDescent="0.35">
      <c r="A900" t="s">
        <v>1522</v>
      </c>
      <c r="B900" t="s">
        <v>4722</v>
      </c>
      <c r="C900" t="s">
        <v>5610</v>
      </c>
    </row>
    <row r="901" spans="1:3" x14ac:dyDescent="0.35">
      <c r="A901" t="s">
        <v>1813</v>
      </c>
      <c r="B901" t="s">
        <v>4723</v>
      </c>
      <c r="C901" t="s">
        <v>5610</v>
      </c>
    </row>
    <row r="902" spans="1:3" x14ac:dyDescent="0.35">
      <c r="A902" t="s">
        <v>2577</v>
      </c>
      <c r="B902" t="s">
        <v>4724</v>
      </c>
      <c r="C902" t="s">
        <v>5610</v>
      </c>
    </row>
    <row r="903" spans="1:3" x14ac:dyDescent="0.35">
      <c r="A903" t="s">
        <v>1546</v>
      </c>
      <c r="B903" t="s">
        <v>4725</v>
      </c>
      <c r="C903" t="s">
        <v>5621</v>
      </c>
    </row>
    <row r="904" spans="1:3" x14ac:dyDescent="0.35">
      <c r="A904" t="s">
        <v>3193</v>
      </c>
      <c r="B904" t="s">
        <v>4726</v>
      </c>
      <c r="C904" t="s">
        <v>5621</v>
      </c>
    </row>
    <row r="905" spans="1:3" x14ac:dyDescent="0.35">
      <c r="A905" t="s">
        <v>750</v>
      </c>
      <c r="B905" t="s">
        <v>4727</v>
      </c>
      <c r="C905" t="s">
        <v>5621</v>
      </c>
    </row>
    <row r="906" spans="1:3" x14ac:dyDescent="0.35">
      <c r="A906" t="s">
        <v>1551</v>
      </c>
      <c r="B906" t="s">
        <v>4728</v>
      </c>
      <c r="C906" t="s">
        <v>1757</v>
      </c>
    </row>
    <row r="907" spans="1:3" x14ac:dyDescent="0.35">
      <c r="A907" t="s">
        <v>4730</v>
      </c>
      <c r="B907" t="s">
        <v>4729</v>
      </c>
      <c r="C907" t="s">
        <v>5617</v>
      </c>
    </row>
    <row r="908" spans="1:3" x14ac:dyDescent="0.35">
      <c r="A908" t="s">
        <v>923</v>
      </c>
      <c r="B908" t="s">
        <v>4731</v>
      </c>
      <c r="C908" t="s">
        <v>5617</v>
      </c>
    </row>
    <row r="909" spans="1:3" x14ac:dyDescent="0.35">
      <c r="A909" t="s">
        <v>1554</v>
      </c>
      <c r="B909" t="s">
        <v>4733</v>
      </c>
      <c r="C909" t="s">
        <v>1757</v>
      </c>
    </row>
    <row r="910" spans="1:3" x14ac:dyDescent="0.35">
      <c r="A910" t="s">
        <v>1554</v>
      </c>
      <c r="B910" t="s">
        <v>4747</v>
      </c>
      <c r="C910" t="s">
        <v>1757</v>
      </c>
    </row>
    <row r="911" spans="1:3" x14ac:dyDescent="0.35">
      <c r="A911" t="s">
        <v>1193</v>
      </c>
      <c r="B911" t="s">
        <v>1192</v>
      </c>
      <c r="C911" t="s">
        <v>1837</v>
      </c>
    </row>
    <row r="912" spans="1:3" x14ac:dyDescent="0.35">
      <c r="A912" t="s">
        <v>1569</v>
      </c>
      <c r="B912" t="s">
        <v>4734</v>
      </c>
      <c r="C912" t="s">
        <v>1837</v>
      </c>
    </row>
    <row r="913" spans="1:3" x14ac:dyDescent="0.35">
      <c r="A913" t="s">
        <v>1569</v>
      </c>
      <c r="B913" t="s">
        <v>5301</v>
      </c>
      <c r="C913" t="s">
        <v>5615</v>
      </c>
    </row>
    <row r="914" spans="1:3" x14ac:dyDescent="0.35">
      <c r="A914" t="s">
        <v>1602</v>
      </c>
      <c r="B914" t="s">
        <v>4735</v>
      </c>
      <c r="C914" t="s">
        <v>5609</v>
      </c>
    </row>
    <row r="915" spans="1:3" x14ac:dyDescent="0.35">
      <c r="A915" t="s">
        <v>3167</v>
      </c>
      <c r="B915" t="s">
        <v>4736</v>
      </c>
      <c r="C915" t="s">
        <v>5615</v>
      </c>
    </row>
    <row r="916" spans="1:3" x14ac:dyDescent="0.35">
      <c r="A916" t="s">
        <v>3167</v>
      </c>
      <c r="B916" t="s">
        <v>4813</v>
      </c>
      <c r="C916" t="s">
        <v>5607</v>
      </c>
    </row>
    <row r="917" spans="1:3" x14ac:dyDescent="0.35">
      <c r="A917" t="s">
        <v>1439</v>
      </c>
      <c r="B917" t="s">
        <v>4737</v>
      </c>
      <c r="C917" t="s">
        <v>5615</v>
      </c>
    </row>
    <row r="918" spans="1:3" x14ac:dyDescent="0.35">
      <c r="A918" t="s">
        <v>1256</v>
      </c>
      <c r="B918" t="s">
        <v>4738</v>
      </c>
      <c r="C918" t="s">
        <v>5615</v>
      </c>
    </row>
    <row r="919" spans="1:3" x14ac:dyDescent="0.35">
      <c r="A919" t="s">
        <v>1256</v>
      </c>
      <c r="B919" t="s">
        <v>4776</v>
      </c>
      <c r="C919" t="s">
        <v>1837</v>
      </c>
    </row>
    <row r="920" spans="1:3" x14ac:dyDescent="0.35">
      <c r="A920" t="s">
        <v>1036</v>
      </c>
      <c r="B920" t="s">
        <v>4739</v>
      </c>
      <c r="C920" t="s">
        <v>5615</v>
      </c>
    </row>
    <row r="921" spans="1:3" x14ac:dyDescent="0.35">
      <c r="A921" t="s">
        <v>1722</v>
      </c>
      <c r="B921" t="s">
        <v>4740</v>
      </c>
      <c r="C921" t="s">
        <v>5615</v>
      </c>
    </row>
    <row r="922" spans="1:3" x14ac:dyDescent="0.35">
      <c r="A922" t="s">
        <v>2398</v>
      </c>
      <c r="B922" t="s">
        <v>4741</v>
      </c>
      <c r="C922" t="s">
        <v>5615</v>
      </c>
    </row>
    <row r="923" spans="1:3" x14ac:dyDescent="0.35">
      <c r="A923" t="s">
        <v>1428</v>
      </c>
      <c r="B923" t="s">
        <v>4742</v>
      </c>
      <c r="C923" t="s">
        <v>5615</v>
      </c>
    </row>
    <row r="924" spans="1:3" x14ac:dyDescent="0.35">
      <c r="A924" t="s">
        <v>1691</v>
      </c>
      <c r="B924" t="s">
        <v>4743</v>
      </c>
      <c r="C924" t="s">
        <v>5615</v>
      </c>
    </row>
    <row r="925" spans="1:3" x14ac:dyDescent="0.35">
      <c r="A925" t="s">
        <v>1280</v>
      </c>
      <c r="B925" t="s">
        <v>4744</v>
      </c>
      <c r="C925" t="s">
        <v>5615</v>
      </c>
    </row>
    <row r="926" spans="1:3" x14ac:dyDescent="0.35">
      <c r="A926" t="s">
        <v>3008</v>
      </c>
      <c r="B926" t="s">
        <v>4750</v>
      </c>
      <c r="C926" t="s">
        <v>5619</v>
      </c>
    </row>
    <row r="927" spans="1:3" x14ac:dyDescent="0.35">
      <c r="A927" t="s">
        <v>4751</v>
      </c>
      <c r="B927" t="s">
        <v>2980</v>
      </c>
      <c r="C927" t="s">
        <v>5619</v>
      </c>
    </row>
    <row r="928" spans="1:3" x14ac:dyDescent="0.35">
      <c r="A928" t="s">
        <v>503</v>
      </c>
      <c r="B928" t="s">
        <v>4752</v>
      </c>
      <c r="C928" t="s">
        <v>5619</v>
      </c>
    </row>
    <row r="929" spans="1:3" x14ac:dyDescent="0.35">
      <c r="A929" t="s">
        <v>900</v>
      </c>
      <c r="B929" t="s">
        <v>4753</v>
      </c>
      <c r="C929" t="s">
        <v>5619</v>
      </c>
    </row>
    <row r="930" spans="1:3" x14ac:dyDescent="0.35">
      <c r="A930" t="s">
        <v>4756</v>
      </c>
      <c r="B930" t="s">
        <v>4755</v>
      </c>
      <c r="C930" t="s">
        <v>5611</v>
      </c>
    </row>
    <row r="931" spans="1:3" x14ac:dyDescent="0.35">
      <c r="A931" t="s">
        <v>1389</v>
      </c>
      <c r="B931" t="s">
        <v>4757</v>
      </c>
      <c r="C931" t="s">
        <v>5611</v>
      </c>
    </row>
    <row r="932" spans="1:3" x14ac:dyDescent="0.35">
      <c r="A932" t="s">
        <v>4759</v>
      </c>
      <c r="B932" t="s">
        <v>4758</v>
      </c>
      <c r="C932" t="s">
        <v>5611</v>
      </c>
    </row>
    <row r="933" spans="1:3" x14ac:dyDescent="0.35">
      <c r="A933" t="s">
        <v>4761</v>
      </c>
      <c r="B933" t="s">
        <v>4760</v>
      </c>
      <c r="C933" t="s">
        <v>5611</v>
      </c>
    </row>
    <row r="934" spans="1:3" x14ac:dyDescent="0.35">
      <c r="A934" t="s">
        <v>1788</v>
      </c>
      <c r="B934" t="s">
        <v>4762</v>
      </c>
      <c r="C934" t="s">
        <v>1757</v>
      </c>
    </row>
    <row r="935" spans="1:3" x14ac:dyDescent="0.35">
      <c r="A935" t="s">
        <v>1134</v>
      </c>
      <c r="B935" t="s">
        <v>4763</v>
      </c>
      <c r="C935" t="s">
        <v>1757</v>
      </c>
    </row>
    <row r="936" spans="1:3" x14ac:dyDescent="0.35">
      <c r="A936" t="s">
        <v>1802</v>
      </c>
      <c r="B936" t="s">
        <v>4765</v>
      </c>
      <c r="C936" t="s">
        <v>5616</v>
      </c>
    </row>
    <row r="937" spans="1:3" x14ac:dyDescent="0.35">
      <c r="A937" t="s">
        <v>1347</v>
      </c>
      <c r="B937" t="s">
        <v>4766</v>
      </c>
      <c r="C937" t="s">
        <v>5616</v>
      </c>
    </row>
    <row r="938" spans="1:3" x14ac:dyDescent="0.35">
      <c r="A938" t="s">
        <v>1804</v>
      </c>
      <c r="B938" t="s">
        <v>4768</v>
      </c>
      <c r="C938" t="s">
        <v>5616</v>
      </c>
    </row>
    <row r="939" spans="1:3" x14ac:dyDescent="0.35">
      <c r="A939" t="s">
        <v>1827</v>
      </c>
      <c r="B939" t="s">
        <v>4770</v>
      </c>
      <c r="C939" t="s">
        <v>5618</v>
      </c>
    </row>
    <row r="940" spans="1:3" x14ac:dyDescent="0.35">
      <c r="A940" t="s">
        <v>1827</v>
      </c>
      <c r="B940" t="s">
        <v>5130</v>
      </c>
      <c r="C940" t="s">
        <v>5609</v>
      </c>
    </row>
    <row r="941" spans="1:3" x14ac:dyDescent="0.35">
      <c r="A941" t="s">
        <v>1082</v>
      </c>
      <c r="B941" t="s">
        <v>4771</v>
      </c>
      <c r="C941" t="s">
        <v>1837</v>
      </c>
    </row>
    <row r="942" spans="1:3" x14ac:dyDescent="0.35">
      <c r="A942" t="s">
        <v>3160</v>
      </c>
      <c r="B942" t="s">
        <v>4773</v>
      </c>
      <c r="C942" t="s">
        <v>1837</v>
      </c>
    </row>
    <row r="943" spans="1:3" x14ac:dyDescent="0.35">
      <c r="A943" t="s">
        <v>1738</v>
      </c>
      <c r="B943" t="s">
        <v>4774</v>
      </c>
      <c r="C943" t="s">
        <v>1837</v>
      </c>
    </row>
    <row r="944" spans="1:3" x14ac:dyDescent="0.35">
      <c r="A944" t="s">
        <v>1738</v>
      </c>
      <c r="B944" t="s">
        <v>5374</v>
      </c>
      <c r="C944" t="s">
        <v>1837</v>
      </c>
    </row>
    <row r="945" spans="1:3" x14ac:dyDescent="0.35">
      <c r="A945" t="s">
        <v>735</v>
      </c>
      <c r="B945" t="s">
        <v>4775</v>
      </c>
      <c r="C945" t="s">
        <v>1837</v>
      </c>
    </row>
    <row r="946" spans="1:3" x14ac:dyDescent="0.35">
      <c r="A946" t="s">
        <v>735</v>
      </c>
      <c r="B946" t="s">
        <v>5500</v>
      </c>
      <c r="C946" t="s">
        <v>5619</v>
      </c>
    </row>
    <row r="947" spans="1:3" x14ac:dyDescent="0.35">
      <c r="A947" t="s">
        <v>1226</v>
      </c>
      <c r="B947" t="s">
        <v>4777</v>
      </c>
      <c r="C947" t="s">
        <v>1837</v>
      </c>
    </row>
    <row r="948" spans="1:3" x14ac:dyDescent="0.35">
      <c r="A948" t="s">
        <v>3091</v>
      </c>
      <c r="B948" t="s">
        <v>4778</v>
      </c>
      <c r="C948" t="s">
        <v>1837</v>
      </c>
    </row>
    <row r="949" spans="1:3" x14ac:dyDescent="0.35">
      <c r="A949" t="s">
        <v>3095</v>
      </c>
      <c r="B949" t="s">
        <v>4779</v>
      </c>
      <c r="C949" t="s">
        <v>1837</v>
      </c>
    </row>
    <row r="950" spans="1:3" x14ac:dyDescent="0.35">
      <c r="A950" t="s">
        <v>3148</v>
      </c>
      <c r="B950" t="s">
        <v>4780</v>
      </c>
      <c r="C950" t="s">
        <v>1837</v>
      </c>
    </row>
    <row r="951" spans="1:3" x14ac:dyDescent="0.35">
      <c r="A951" t="s">
        <v>1857</v>
      </c>
      <c r="B951" t="s">
        <v>4781</v>
      </c>
      <c r="C951" t="s">
        <v>1757</v>
      </c>
    </row>
    <row r="952" spans="1:3" x14ac:dyDescent="0.35">
      <c r="A952" t="s">
        <v>1857</v>
      </c>
      <c r="B952" t="s">
        <v>5367</v>
      </c>
      <c r="C952" t="s">
        <v>5623</v>
      </c>
    </row>
    <row r="953" spans="1:3" x14ac:dyDescent="0.35">
      <c r="A953" t="s">
        <v>4783</v>
      </c>
      <c r="B953" t="s">
        <v>4782</v>
      </c>
      <c r="C953" t="s">
        <v>5612</v>
      </c>
    </row>
    <row r="954" spans="1:3" x14ac:dyDescent="0.35">
      <c r="A954" t="s">
        <v>4785</v>
      </c>
      <c r="B954" t="s">
        <v>4784</v>
      </c>
      <c r="C954" t="s">
        <v>5612</v>
      </c>
    </row>
    <row r="955" spans="1:3" x14ac:dyDescent="0.35">
      <c r="A955" t="s">
        <v>4787</v>
      </c>
      <c r="B955" t="s">
        <v>4786</v>
      </c>
      <c r="C955" t="s">
        <v>5612</v>
      </c>
    </row>
    <row r="956" spans="1:3" x14ac:dyDescent="0.35">
      <c r="A956" t="s">
        <v>4790</v>
      </c>
      <c r="B956" t="s">
        <v>4789</v>
      </c>
      <c r="C956" t="s">
        <v>5612</v>
      </c>
    </row>
    <row r="957" spans="1:3" x14ac:dyDescent="0.35">
      <c r="A957" t="s">
        <v>2910</v>
      </c>
      <c r="B957" t="s">
        <v>4791</v>
      </c>
      <c r="C957" t="s">
        <v>5612</v>
      </c>
    </row>
    <row r="958" spans="1:3" x14ac:dyDescent="0.35">
      <c r="A958" t="s">
        <v>694</v>
      </c>
      <c r="B958" t="s">
        <v>4792</v>
      </c>
      <c r="C958" t="s">
        <v>5607</v>
      </c>
    </row>
    <row r="959" spans="1:3" x14ac:dyDescent="0.35">
      <c r="A959" t="s">
        <v>694</v>
      </c>
      <c r="B959" t="s">
        <v>4908</v>
      </c>
      <c r="C959" t="s">
        <v>1837</v>
      </c>
    </row>
    <row r="960" spans="1:3" x14ac:dyDescent="0.35">
      <c r="A960" t="s">
        <v>1316</v>
      </c>
      <c r="B960" t="s">
        <v>4793</v>
      </c>
      <c r="C960" t="s">
        <v>5607</v>
      </c>
    </row>
    <row r="961" spans="1:3" x14ac:dyDescent="0.35">
      <c r="A961" t="s">
        <v>1316</v>
      </c>
      <c r="B961" t="s">
        <v>4899</v>
      </c>
      <c r="C961" t="s">
        <v>5615</v>
      </c>
    </row>
    <row r="962" spans="1:3" x14ac:dyDescent="0.35">
      <c r="A962" t="s">
        <v>1316</v>
      </c>
      <c r="B962" t="s">
        <v>5001</v>
      </c>
      <c r="C962" t="s">
        <v>5607</v>
      </c>
    </row>
    <row r="963" spans="1:3" x14ac:dyDescent="0.35">
      <c r="A963" t="s">
        <v>1316</v>
      </c>
      <c r="B963" t="s">
        <v>5210</v>
      </c>
      <c r="C963" t="s">
        <v>5615</v>
      </c>
    </row>
    <row r="964" spans="1:3" x14ac:dyDescent="0.35">
      <c r="A964" t="s">
        <v>1874</v>
      </c>
      <c r="B964" t="s">
        <v>4794</v>
      </c>
      <c r="C964" t="s">
        <v>5607</v>
      </c>
    </row>
    <row r="965" spans="1:3" x14ac:dyDescent="0.35">
      <c r="A965" t="s">
        <v>1931</v>
      </c>
      <c r="B965" t="s">
        <v>4795</v>
      </c>
      <c r="C965" t="s">
        <v>5607</v>
      </c>
    </row>
    <row r="966" spans="1:3" x14ac:dyDescent="0.35">
      <c r="A966" t="s">
        <v>3732</v>
      </c>
      <c r="B966" t="s">
        <v>4796</v>
      </c>
      <c r="C966" t="s">
        <v>5607</v>
      </c>
    </row>
    <row r="967" spans="1:3" x14ac:dyDescent="0.35">
      <c r="A967" t="s">
        <v>3871</v>
      </c>
      <c r="B967" t="s">
        <v>4797</v>
      </c>
      <c r="C967" t="s">
        <v>5607</v>
      </c>
    </row>
    <row r="968" spans="1:3" x14ac:dyDescent="0.35">
      <c r="A968" t="s">
        <v>3873</v>
      </c>
      <c r="B968" t="s">
        <v>4798</v>
      </c>
      <c r="C968" t="s">
        <v>5607</v>
      </c>
    </row>
    <row r="969" spans="1:3" x14ac:dyDescent="0.35">
      <c r="A969" t="s">
        <v>1662</v>
      </c>
      <c r="B969" t="s">
        <v>4799</v>
      </c>
      <c r="C969" t="s">
        <v>5607</v>
      </c>
    </row>
    <row r="970" spans="1:3" x14ac:dyDescent="0.35">
      <c r="A970" t="s">
        <v>1357</v>
      </c>
      <c r="B970" t="s">
        <v>4800</v>
      </c>
      <c r="C970" t="s">
        <v>5607</v>
      </c>
    </row>
    <row r="971" spans="1:3" x14ac:dyDescent="0.35">
      <c r="A971" t="s">
        <v>272</v>
      </c>
      <c r="B971" t="s">
        <v>4801</v>
      </c>
      <c r="C971" t="s">
        <v>5607</v>
      </c>
    </row>
    <row r="972" spans="1:3" x14ac:dyDescent="0.35">
      <c r="A972" t="s">
        <v>493</v>
      </c>
      <c r="B972" t="s">
        <v>409</v>
      </c>
      <c r="C972" t="s">
        <v>5607</v>
      </c>
    </row>
    <row r="973" spans="1:3" x14ac:dyDescent="0.35">
      <c r="A973" t="s">
        <v>1654</v>
      </c>
      <c r="B973" t="s">
        <v>4803</v>
      </c>
      <c r="C973" t="s">
        <v>5607</v>
      </c>
    </row>
    <row r="974" spans="1:3" x14ac:dyDescent="0.35">
      <c r="A974" t="s">
        <v>1384</v>
      </c>
      <c r="B974" t="s">
        <v>4804</v>
      </c>
      <c r="C974" t="s">
        <v>5607</v>
      </c>
    </row>
    <row r="975" spans="1:3" x14ac:dyDescent="0.35">
      <c r="A975" t="s">
        <v>1384</v>
      </c>
      <c r="B975" t="s">
        <v>4823</v>
      </c>
      <c r="C975" t="s">
        <v>1837</v>
      </c>
    </row>
    <row r="976" spans="1:3" x14ac:dyDescent="0.35">
      <c r="A976" t="s">
        <v>1656</v>
      </c>
      <c r="B976" t="s">
        <v>4805</v>
      </c>
      <c r="C976" t="s">
        <v>5607</v>
      </c>
    </row>
    <row r="977" spans="1:3" x14ac:dyDescent="0.35">
      <c r="A977" t="s">
        <v>1656</v>
      </c>
      <c r="B977" t="s">
        <v>5006</v>
      </c>
      <c r="C977" t="s">
        <v>5607</v>
      </c>
    </row>
    <row r="978" spans="1:3" x14ac:dyDescent="0.35">
      <c r="A978" t="s">
        <v>1660</v>
      </c>
      <c r="B978" t="s">
        <v>4806</v>
      </c>
      <c r="C978" t="s">
        <v>5607</v>
      </c>
    </row>
    <row r="979" spans="1:3" x14ac:dyDescent="0.35">
      <c r="A979" t="s">
        <v>1835</v>
      </c>
      <c r="B979" t="s">
        <v>4807</v>
      </c>
      <c r="C979" t="s">
        <v>5607</v>
      </c>
    </row>
    <row r="980" spans="1:3" x14ac:dyDescent="0.35">
      <c r="A980" t="s">
        <v>1870</v>
      </c>
      <c r="B980" t="s">
        <v>4808</v>
      </c>
      <c r="C980" t="s">
        <v>5607</v>
      </c>
    </row>
    <row r="981" spans="1:3" x14ac:dyDescent="0.35">
      <c r="A981" t="s">
        <v>2225</v>
      </c>
      <c r="B981" t="s">
        <v>4810</v>
      </c>
      <c r="C981" t="s">
        <v>5607</v>
      </c>
    </row>
    <row r="982" spans="1:3" x14ac:dyDescent="0.35">
      <c r="A982" t="s">
        <v>2516</v>
      </c>
      <c r="B982" t="s">
        <v>4811</v>
      </c>
      <c r="C982" t="s">
        <v>5607</v>
      </c>
    </row>
    <row r="983" spans="1:3" x14ac:dyDescent="0.35">
      <c r="A983" t="s">
        <v>2670</v>
      </c>
      <c r="B983" t="s">
        <v>4812</v>
      </c>
      <c r="C983" t="s">
        <v>5607</v>
      </c>
    </row>
    <row r="984" spans="1:3" x14ac:dyDescent="0.35">
      <c r="A984" t="s">
        <v>3254</v>
      </c>
      <c r="B984" t="s">
        <v>4814</v>
      </c>
      <c r="C984" t="s">
        <v>5607</v>
      </c>
    </row>
    <row r="985" spans="1:3" x14ac:dyDescent="0.35">
      <c r="A985" t="s">
        <v>3256</v>
      </c>
      <c r="B985" t="s">
        <v>4815</v>
      </c>
      <c r="C985" t="s">
        <v>5607</v>
      </c>
    </row>
    <row r="986" spans="1:3" x14ac:dyDescent="0.35">
      <c r="A986" t="s">
        <v>3258</v>
      </c>
      <c r="B986" t="s">
        <v>4816</v>
      </c>
      <c r="C986" t="s">
        <v>5607</v>
      </c>
    </row>
    <row r="987" spans="1:3" x14ac:dyDescent="0.35">
      <c r="A987" t="s">
        <v>3319</v>
      </c>
      <c r="B987" t="s">
        <v>4817</v>
      </c>
      <c r="C987" t="s">
        <v>5607</v>
      </c>
    </row>
    <row r="988" spans="1:3" x14ac:dyDescent="0.35">
      <c r="A988" t="s">
        <v>3638</v>
      </c>
      <c r="B988" t="s">
        <v>4818</v>
      </c>
      <c r="C988" t="s">
        <v>5607</v>
      </c>
    </row>
    <row r="989" spans="1:3" x14ac:dyDescent="0.35">
      <c r="A989" t="s">
        <v>186</v>
      </c>
      <c r="B989" t="s">
        <v>4821</v>
      </c>
      <c r="C989" t="s">
        <v>1837</v>
      </c>
    </row>
    <row r="990" spans="1:3" x14ac:dyDescent="0.35">
      <c r="A990" t="s">
        <v>505</v>
      </c>
      <c r="B990" t="s">
        <v>4822</v>
      </c>
      <c r="C990" t="s">
        <v>1837</v>
      </c>
    </row>
    <row r="991" spans="1:3" x14ac:dyDescent="0.35">
      <c r="A991" t="s">
        <v>1908</v>
      </c>
      <c r="B991" t="s">
        <v>4824</v>
      </c>
      <c r="C991" t="s">
        <v>1837</v>
      </c>
    </row>
    <row r="992" spans="1:3" x14ac:dyDescent="0.35">
      <c r="A992" t="s">
        <v>1908</v>
      </c>
      <c r="B992" t="s">
        <v>5440</v>
      </c>
      <c r="C992" t="s">
        <v>5614</v>
      </c>
    </row>
    <row r="993" spans="1:3" x14ac:dyDescent="0.35">
      <c r="A993" t="s">
        <v>3665</v>
      </c>
      <c r="B993" t="s">
        <v>4826</v>
      </c>
      <c r="C993" t="s">
        <v>5619</v>
      </c>
    </row>
    <row r="994" spans="1:3" x14ac:dyDescent="0.35">
      <c r="A994" t="s">
        <v>3459</v>
      </c>
      <c r="B994" t="s">
        <v>4827</v>
      </c>
      <c r="C994" t="s">
        <v>5619</v>
      </c>
    </row>
    <row r="995" spans="1:3" x14ac:dyDescent="0.35">
      <c r="A995" t="s">
        <v>395</v>
      </c>
      <c r="B995" t="s">
        <v>4828</v>
      </c>
      <c r="C995" t="s">
        <v>5619</v>
      </c>
    </row>
    <row r="996" spans="1:3" x14ac:dyDescent="0.35">
      <c r="A996" t="s">
        <v>990</v>
      </c>
      <c r="B996" t="s">
        <v>4829</v>
      </c>
      <c r="C996" t="s">
        <v>5619</v>
      </c>
    </row>
    <row r="997" spans="1:3" x14ac:dyDescent="0.35">
      <c r="A997" t="s">
        <v>3406</v>
      </c>
      <c r="B997" t="s">
        <v>4830</v>
      </c>
      <c r="C997" t="s">
        <v>5619</v>
      </c>
    </row>
    <row r="998" spans="1:3" x14ac:dyDescent="0.35">
      <c r="A998" t="s">
        <v>3457</v>
      </c>
      <c r="B998" t="s">
        <v>4831</v>
      </c>
      <c r="C998" t="s">
        <v>5619</v>
      </c>
    </row>
    <row r="999" spans="1:3" x14ac:dyDescent="0.35">
      <c r="A999" t="s">
        <v>3712</v>
      </c>
      <c r="B999" t="s">
        <v>4832</v>
      </c>
      <c r="C999" t="s">
        <v>5619</v>
      </c>
    </row>
    <row r="1000" spans="1:3" x14ac:dyDescent="0.35">
      <c r="A1000" t="s">
        <v>1936</v>
      </c>
      <c r="B1000" t="s">
        <v>4833</v>
      </c>
      <c r="C1000" t="s">
        <v>5618</v>
      </c>
    </row>
    <row r="1001" spans="1:3" x14ac:dyDescent="0.35">
      <c r="A1001" t="s">
        <v>4835</v>
      </c>
      <c r="B1001" t="s">
        <v>4834</v>
      </c>
      <c r="C1001" t="s">
        <v>5612</v>
      </c>
    </row>
    <row r="1002" spans="1:3" x14ac:dyDescent="0.35">
      <c r="A1002" t="s">
        <v>4837</v>
      </c>
      <c r="B1002" t="s">
        <v>4836</v>
      </c>
      <c r="C1002" t="s">
        <v>5612</v>
      </c>
    </row>
    <row r="1003" spans="1:3" x14ac:dyDescent="0.35">
      <c r="A1003" t="s">
        <v>1970</v>
      </c>
      <c r="B1003" t="s">
        <v>4839</v>
      </c>
      <c r="C1003" t="s">
        <v>5612</v>
      </c>
    </row>
    <row r="1004" spans="1:3" x14ac:dyDescent="0.35">
      <c r="A1004" t="s">
        <v>1970</v>
      </c>
      <c r="B1004" t="s">
        <v>4994</v>
      </c>
      <c r="C1004" t="s">
        <v>5607</v>
      </c>
    </row>
    <row r="1005" spans="1:3" x14ac:dyDescent="0.35">
      <c r="A1005" t="s">
        <v>4841</v>
      </c>
      <c r="B1005" t="s">
        <v>4840</v>
      </c>
      <c r="C1005" t="s">
        <v>5612</v>
      </c>
    </row>
    <row r="1006" spans="1:3" x14ac:dyDescent="0.35">
      <c r="A1006" t="s">
        <v>2181</v>
      </c>
      <c r="B1006" t="s">
        <v>4843</v>
      </c>
      <c r="C1006" t="s">
        <v>5615</v>
      </c>
    </row>
    <row r="1007" spans="1:3" x14ac:dyDescent="0.35">
      <c r="A1007" t="s">
        <v>3322</v>
      </c>
      <c r="B1007" t="s">
        <v>4844</v>
      </c>
      <c r="C1007" t="s">
        <v>5615</v>
      </c>
    </row>
    <row r="1008" spans="1:3" x14ac:dyDescent="0.35">
      <c r="A1008" t="s">
        <v>4846</v>
      </c>
      <c r="B1008" t="s">
        <v>4845</v>
      </c>
      <c r="C1008" t="s">
        <v>5615</v>
      </c>
    </row>
    <row r="1009" spans="1:3" x14ac:dyDescent="0.35">
      <c r="A1009" t="s">
        <v>4848</v>
      </c>
      <c r="B1009" t="s">
        <v>4847</v>
      </c>
      <c r="C1009" t="s">
        <v>5615</v>
      </c>
    </row>
    <row r="1010" spans="1:3" x14ac:dyDescent="0.35">
      <c r="A1010" t="s">
        <v>4850</v>
      </c>
      <c r="B1010" t="s">
        <v>4849</v>
      </c>
      <c r="C1010" t="s">
        <v>5615</v>
      </c>
    </row>
    <row r="1011" spans="1:3" x14ac:dyDescent="0.35">
      <c r="A1011" t="s">
        <v>3627</v>
      </c>
      <c r="B1011" t="s">
        <v>4851</v>
      </c>
      <c r="C1011" t="s">
        <v>5615</v>
      </c>
    </row>
    <row r="1012" spans="1:3" x14ac:dyDescent="0.35">
      <c r="A1012" t="s">
        <v>1367</v>
      </c>
      <c r="B1012" t="s">
        <v>4853</v>
      </c>
      <c r="C1012" t="s">
        <v>5615</v>
      </c>
    </row>
    <row r="1013" spans="1:3" x14ac:dyDescent="0.35">
      <c r="A1013" t="s">
        <v>4856</v>
      </c>
      <c r="B1013" t="s">
        <v>4855</v>
      </c>
      <c r="C1013" t="s">
        <v>5615</v>
      </c>
    </row>
    <row r="1014" spans="1:3" x14ac:dyDescent="0.35">
      <c r="A1014" t="s">
        <v>4858</v>
      </c>
      <c r="B1014" t="s">
        <v>4857</v>
      </c>
      <c r="C1014" t="s">
        <v>5615</v>
      </c>
    </row>
    <row r="1015" spans="1:3" x14ac:dyDescent="0.35">
      <c r="A1015" t="s">
        <v>1966</v>
      </c>
      <c r="B1015" t="s">
        <v>4859</v>
      </c>
      <c r="C1015" t="s">
        <v>5615</v>
      </c>
    </row>
    <row r="1016" spans="1:3" x14ac:dyDescent="0.35">
      <c r="A1016" t="s">
        <v>522</v>
      </c>
      <c r="B1016" t="s">
        <v>4860</v>
      </c>
      <c r="C1016" t="s">
        <v>5615</v>
      </c>
    </row>
    <row r="1017" spans="1:3" x14ac:dyDescent="0.35">
      <c r="A1017" t="s">
        <v>333</v>
      </c>
      <c r="B1017" t="s">
        <v>4861</v>
      </c>
      <c r="C1017" t="s">
        <v>1837</v>
      </c>
    </row>
    <row r="1018" spans="1:3" x14ac:dyDescent="0.35">
      <c r="A1018" t="s">
        <v>514</v>
      </c>
      <c r="B1018" t="s">
        <v>4862</v>
      </c>
      <c r="C1018" t="s">
        <v>1837</v>
      </c>
    </row>
    <row r="1019" spans="1:3" x14ac:dyDescent="0.35">
      <c r="A1019" t="s">
        <v>1982</v>
      </c>
      <c r="B1019" t="s">
        <v>4863</v>
      </c>
      <c r="C1019" t="s">
        <v>1837</v>
      </c>
    </row>
    <row r="1020" spans="1:3" x14ac:dyDescent="0.35">
      <c r="A1020" t="s">
        <v>4866</v>
      </c>
      <c r="B1020" t="s">
        <v>4865</v>
      </c>
      <c r="C1020" t="s">
        <v>1837</v>
      </c>
    </row>
    <row r="1021" spans="1:3" x14ac:dyDescent="0.35">
      <c r="A1021" t="s">
        <v>1597</v>
      </c>
      <c r="B1021" t="s">
        <v>4867</v>
      </c>
      <c r="C1021" t="s">
        <v>1837</v>
      </c>
    </row>
    <row r="1022" spans="1:3" x14ac:dyDescent="0.35">
      <c r="A1022" t="s">
        <v>1980</v>
      </c>
      <c r="B1022" t="s">
        <v>4868</v>
      </c>
      <c r="C1022" t="s">
        <v>1837</v>
      </c>
    </row>
    <row r="1023" spans="1:3" x14ac:dyDescent="0.35">
      <c r="A1023" t="s">
        <v>1986</v>
      </c>
      <c r="B1023" t="s">
        <v>4869</v>
      </c>
      <c r="C1023" t="s">
        <v>5611</v>
      </c>
    </row>
    <row r="1024" spans="1:3" x14ac:dyDescent="0.35">
      <c r="A1024" t="s">
        <v>3082</v>
      </c>
      <c r="B1024" t="s">
        <v>4870</v>
      </c>
      <c r="C1024" t="s">
        <v>5609</v>
      </c>
    </row>
    <row r="1025" spans="1:3" x14ac:dyDescent="0.35">
      <c r="A1025" t="s">
        <v>2641</v>
      </c>
      <c r="B1025" t="s">
        <v>4871</v>
      </c>
      <c r="C1025" t="s">
        <v>5609</v>
      </c>
    </row>
    <row r="1026" spans="1:3" x14ac:dyDescent="0.35">
      <c r="A1026" t="s">
        <v>2007</v>
      </c>
      <c r="B1026" t="s">
        <v>4872</v>
      </c>
      <c r="C1026" t="s">
        <v>5607</v>
      </c>
    </row>
    <row r="1027" spans="1:3" x14ac:dyDescent="0.35">
      <c r="A1027" t="s">
        <v>2009</v>
      </c>
      <c r="B1027" t="s">
        <v>4873</v>
      </c>
      <c r="C1027" t="s">
        <v>5607</v>
      </c>
    </row>
    <row r="1028" spans="1:3" x14ac:dyDescent="0.35">
      <c r="A1028" t="s">
        <v>4875</v>
      </c>
      <c r="B1028" t="s">
        <v>4874</v>
      </c>
      <c r="C1028" t="s">
        <v>5607</v>
      </c>
    </row>
    <row r="1029" spans="1:3" x14ac:dyDescent="0.35">
      <c r="A1029" t="s">
        <v>3778</v>
      </c>
      <c r="B1029" t="s">
        <v>4878</v>
      </c>
      <c r="C1029" t="s">
        <v>5607</v>
      </c>
    </row>
    <row r="1030" spans="1:3" x14ac:dyDescent="0.35">
      <c r="A1030" t="s">
        <v>3780</v>
      </c>
      <c r="B1030" t="s">
        <v>4879</v>
      </c>
      <c r="C1030" t="s">
        <v>5607</v>
      </c>
    </row>
    <row r="1031" spans="1:3" x14ac:dyDescent="0.35">
      <c r="A1031" t="s">
        <v>2049</v>
      </c>
      <c r="B1031" t="s">
        <v>4880</v>
      </c>
      <c r="C1031" t="s">
        <v>5607</v>
      </c>
    </row>
    <row r="1032" spans="1:3" x14ac:dyDescent="0.35">
      <c r="A1032" t="s">
        <v>1514</v>
      </c>
      <c r="B1032" t="s">
        <v>4881</v>
      </c>
      <c r="C1032" t="s">
        <v>5607</v>
      </c>
    </row>
    <row r="1033" spans="1:3" x14ac:dyDescent="0.35">
      <c r="A1033" t="s">
        <v>4883</v>
      </c>
      <c r="B1033" t="s">
        <v>4882</v>
      </c>
      <c r="C1033" t="s">
        <v>5607</v>
      </c>
    </row>
    <row r="1034" spans="1:3" x14ac:dyDescent="0.35">
      <c r="A1034" t="s">
        <v>526</v>
      </c>
      <c r="B1034" t="s">
        <v>4884</v>
      </c>
      <c r="C1034" t="s">
        <v>1837</v>
      </c>
    </row>
    <row r="1035" spans="1:3" x14ac:dyDescent="0.35">
      <c r="A1035" t="s">
        <v>2024</v>
      </c>
      <c r="B1035" t="s">
        <v>4885</v>
      </c>
      <c r="C1035" t="s">
        <v>1837</v>
      </c>
    </row>
    <row r="1036" spans="1:3" x14ac:dyDescent="0.35">
      <c r="A1036" t="s">
        <v>2758</v>
      </c>
      <c r="B1036" t="s">
        <v>4886</v>
      </c>
      <c r="C1036" t="s">
        <v>1837</v>
      </c>
    </row>
    <row r="1037" spans="1:3" x14ac:dyDescent="0.35">
      <c r="A1037" t="s">
        <v>1369</v>
      </c>
      <c r="B1037" t="s">
        <v>4887</v>
      </c>
      <c r="C1037" t="s">
        <v>1837</v>
      </c>
    </row>
    <row r="1038" spans="1:3" x14ac:dyDescent="0.35">
      <c r="A1038" t="s">
        <v>1629</v>
      </c>
      <c r="B1038" t="s">
        <v>4888</v>
      </c>
      <c r="C1038" t="s">
        <v>1837</v>
      </c>
    </row>
    <row r="1039" spans="1:3" x14ac:dyDescent="0.35">
      <c r="A1039" t="s">
        <v>2113</v>
      </c>
      <c r="B1039" t="s">
        <v>4889</v>
      </c>
      <c r="C1039" t="s">
        <v>1837</v>
      </c>
    </row>
    <row r="1040" spans="1:3" x14ac:dyDescent="0.35">
      <c r="A1040" t="s">
        <v>3301</v>
      </c>
      <c r="B1040" t="s">
        <v>4890</v>
      </c>
      <c r="C1040" t="s">
        <v>1837</v>
      </c>
    </row>
    <row r="1041" spans="1:3" x14ac:dyDescent="0.35">
      <c r="A1041" t="s">
        <v>91</v>
      </c>
      <c r="B1041" t="s">
        <v>4892</v>
      </c>
      <c r="C1041" t="s">
        <v>5615</v>
      </c>
    </row>
    <row r="1042" spans="1:3" x14ac:dyDescent="0.35">
      <c r="A1042" t="s">
        <v>490</v>
      </c>
      <c r="B1042" t="s">
        <v>4893</v>
      </c>
      <c r="C1042" t="s">
        <v>5615</v>
      </c>
    </row>
    <row r="1043" spans="1:3" x14ac:dyDescent="0.35">
      <c r="A1043" t="s">
        <v>3317</v>
      </c>
      <c r="B1043" t="s">
        <v>4894</v>
      </c>
      <c r="C1043" t="s">
        <v>5615</v>
      </c>
    </row>
    <row r="1044" spans="1:3" x14ac:dyDescent="0.35">
      <c r="A1044" t="s">
        <v>2122</v>
      </c>
      <c r="B1044" t="s">
        <v>4895</v>
      </c>
      <c r="C1044" t="s">
        <v>5615</v>
      </c>
    </row>
    <row r="1045" spans="1:3" x14ac:dyDescent="0.35">
      <c r="A1045" t="s">
        <v>536</v>
      </c>
      <c r="B1045" t="s">
        <v>4896</v>
      </c>
      <c r="C1045" t="s">
        <v>5615</v>
      </c>
    </row>
    <row r="1046" spans="1:3" x14ac:dyDescent="0.35">
      <c r="A1046" t="s">
        <v>1575</v>
      </c>
      <c r="B1046" t="s">
        <v>4897</v>
      </c>
      <c r="C1046" t="s">
        <v>5615</v>
      </c>
    </row>
    <row r="1047" spans="1:3" x14ac:dyDescent="0.35">
      <c r="A1047" t="s">
        <v>1208</v>
      </c>
      <c r="B1047" t="s">
        <v>4898</v>
      </c>
      <c r="C1047" t="s">
        <v>5615</v>
      </c>
    </row>
    <row r="1048" spans="1:3" x14ac:dyDescent="0.35">
      <c r="A1048" t="s">
        <v>1327</v>
      </c>
      <c r="B1048" t="s">
        <v>4900</v>
      </c>
      <c r="C1048" t="s">
        <v>5615</v>
      </c>
    </row>
    <row r="1049" spans="1:3" x14ac:dyDescent="0.35">
      <c r="A1049" t="s">
        <v>2152</v>
      </c>
      <c r="B1049" t="s">
        <v>4901</v>
      </c>
      <c r="C1049" t="s">
        <v>5623</v>
      </c>
    </row>
    <row r="1050" spans="1:3" x14ac:dyDescent="0.35">
      <c r="A1050" t="s">
        <v>2152</v>
      </c>
      <c r="B1050" t="s">
        <v>5025</v>
      </c>
      <c r="C1050" t="s">
        <v>5612</v>
      </c>
    </row>
    <row r="1051" spans="1:3" x14ac:dyDescent="0.35">
      <c r="A1051" t="s">
        <v>2152</v>
      </c>
      <c r="B1051" t="s">
        <v>5041</v>
      </c>
      <c r="C1051" t="s">
        <v>5612</v>
      </c>
    </row>
    <row r="1052" spans="1:3" x14ac:dyDescent="0.35">
      <c r="A1052" t="s">
        <v>2175</v>
      </c>
      <c r="B1052" t="s">
        <v>4902</v>
      </c>
      <c r="C1052" t="s">
        <v>5618</v>
      </c>
    </row>
    <row r="1053" spans="1:3" x14ac:dyDescent="0.35">
      <c r="A1053" t="s">
        <v>2197</v>
      </c>
      <c r="B1053" t="s">
        <v>4903</v>
      </c>
      <c r="C1053" t="s">
        <v>1837</v>
      </c>
    </row>
    <row r="1054" spans="1:3" x14ac:dyDescent="0.35">
      <c r="A1054" t="s">
        <v>3816</v>
      </c>
      <c r="B1054" t="s">
        <v>4904</v>
      </c>
      <c r="C1054" t="s">
        <v>1837</v>
      </c>
    </row>
    <row r="1055" spans="1:3" x14ac:dyDescent="0.35">
      <c r="A1055" t="s">
        <v>744</v>
      </c>
      <c r="B1055" t="s">
        <v>4905</v>
      </c>
      <c r="C1055" t="s">
        <v>1837</v>
      </c>
    </row>
    <row r="1056" spans="1:3" x14ac:dyDescent="0.35">
      <c r="A1056" t="s">
        <v>744</v>
      </c>
      <c r="B1056" t="s">
        <v>2797</v>
      </c>
      <c r="C1056" t="s">
        <v>5612</v>
      </c>
    </row>
    <row r="1057" spans="1:3" x14ac:dyDescent="0.35">
      <c r="A1057" t="s">
        <v>1590</v>
      </c>
      <c r="B1057" t="s">
        <v>4906</v>
      </c>
      <c r="C1057" t="s">
        <v>1837</v>
      </c>
    </row>
    <row r="1058" spans="1:3" x14ac:dyDescent="0.35">
      <c r="A1058" t="s">
        <v>3858</v>
      </c>
      <c r="B1058" t="s">
        <v>4907</v>
      </c>
      <c r="C1058" t="s">
        <v>1837</v>
      </c>
    </row>
    <row r="1059" spans="1:3" x14ac:dyDescent="0.35">
      <c r="A1059" t="s">
        <v>1735</v>
      </c>
      <c r="B1059" t="s">
        <v>4909</v>
      </c>
      <c r="C1059" t="s">
        <v>1837</v>
      </c>
    </row>
    <row r="1060" spans="1:3" x14ac:dyDescent="0.35">
      <c r="A1060" t="s">
        <v>1055</v>
      </c>
      <c r="B1060" t="s">
        <v>4910</v>
      </c>
      <c r="C1060" t="s">
        <v>1837</v>
      </c>
    </row>
    <row r="1061" spans="1:3" x14ac:dyDescent="0.35">
      <c r="A1061" t="s">
        <v>2212</v>
      </c>
      <c r="B1061" t="s">
        <v>4911</v>
      </c>
      <c r="C1061" t="s">
        <v>5615</v>
      </c>
    </row>
    <row r="1062" spans="1:3" x14ac:dyDescent="0.35">
      <c r="A1062" t="s">
        <v>4913</v>
      </c>
      <c r="B1062" t="s">
        <v>4912</v>
      </c>
      <c r="C1062" t="s">
        <v>5615</v>
      </c>
    </row>
    <row r="1063" spans="1:3" x14ac:dyDescent="0.35">
      <c r="A1063" t="s">
        <v>2214</v>
      </c>
      <c r="B1063" t="s">
        <v>4914</v>
      </c>
      <c r="C1063" t="s">
        <v>5615</v>
      </c>
    </row>
    <row r="1064" spans="1:3" x14ac:dyDescent="0.35">
      <c r="A1064" t="s">
        <v>4916</v>
      </c>
      <c r="B1064" t="s">
        <v>4915</v>
      </c>
      <c r="C1064" t="s">
        <v>5615</v>
      </c>
    </row>
    <row r="1065" spans="1:3" x14ac:dyDescent="0.35">
      <c r="A1065" t="s">
        <v>3188</v>
      </c>
      <c r="B1065" t="s">
        <v>4917</v>
      </c>
      <c r="C1065" t="s">
        <v>5615</v>
      </c>
    </row>
    <row r="1066" spans="1:3" x14ac:dyDescent="0.35">
      <c r="A1066" t="s">
        <v>4919</v>
      </c>
      <c r="B1066" t="s">
        <v>4918</v>
      </c>
      <c r="C1066" t="s">
        <v>5609</v>
      </c>
    </row>
    <row r="1067" spans="1:3" x14ac:dyDescent="0.35">
      <c r="A1067" t="s">
        <v>4919</v>
      </c>
      <c r="B1067" t="s">
        <v>5059</v>
      </c>
      <c r="C1067" t="s">
        <v>5621</v>
      </c>
    </row>
    <row r="1068" spans="1:3" x14ac:dyDescent="0.35">
      <c r="A1068" t="s">
        <v>2325</v>
      </c>
      <c r="B1068" t="s">
        <v>4920</v>
      </c>
      <c r="C1068" t="s">
        <v>5609</v>
      </c>
    </row>
    <row r="1069" spans="1:3" x14ac:dyDescent="0.35">
      <c r="A1069" t="s">
        <v>2327</v>
      </c>
      <c r="B1069" t="s">
        <v>4921</v>
      </c>
      <c r="C1069" t="s">
        <v>5616</v>
      </c>
    </row>
    <row r="1070" spans="1:3" x14ac:dyDescent="0.35">
      <c r="A1070" t="s">
        <v>398</v>
      </c>
      <c r="B1070" t="s">
        <v>4922</v>
      </c>
      <c r="C1070" t="s">
        <v>5616</v>
      </c>
    </row>
    <row r="1071" spans="1:3" x14ac:dyDescent="0.35">
      <c r="A1071" t="s">
        <v>3054</v>
      </c>
      <c r="B1071" t="s">
        <v>4923</v>
      </c>
      <c r="C1071" t="s">
        <v>5616</v>
      </c>
    </row>
    <row r="1072" spans="1:3" x14ac:dyDescent="0.35">
      <c r="A1072" t="s">
        <v>2821</v>
      </c>
      <c r="B1072" t="s">
        <v>4924</v>
      </c>
      <c r="C1072" t="s">
        <v>5616</v>
      </c>
    </row>
    <row r="1073" spans="1:3" x14ac:dyDescent="0.35">
      <c r="A1073" t="s">
        <v>638</v>
      </c>
      <c r="B1073" t="s">
        <v>4925</v>
      </c>
      <c r="C1073" t="s">
        <v>5615</v>
      </c>
    </row>
    <row r="1074" spans="1:3" x14ac:dyDescent="0.35">
      <c r="A1074" t="s">
        <v>207</v>
      </c>
      <c r="B1074" t="s">
        <v>4928</v>
      </c>
      <c r="C1074" t="s">
        <v>5607</v>
      </c>
    </row>
    <row r="1075" spans="1:3" x14ac:dyDescent="0.35">
      <c r="A1075" t="s">
        <v>874</v>
      </c>
      <c r="B1075" t="s">
        <v>4932</v>
      </c>
      <c r="C1075" t="s">
        <v>5607</v>
      </c>
    </row>
    <row r="1076" spans="1:3" x14ac:dyDescent="0.35">
      <c r="A1076" t="s">
        <v>874</v>
      </c>
      <c r="B1076" t="s">
        <v>5174</v>
      </c>
      <c r="C1076" t="s">
        <v>5612</v>
      </c>
    </row>
    <row r="1077" spans="1:3" x14ac:dyDescent="0.35">
      <c r="A1077" t="s">
        <v>1330</v>
      </c>
      <c r="B1077" t="s">
        <v>4933</v>
      </c>
      <c r="C1077" t="s">
        <v>5607</v>
      </c>
    </row>
    <row r="1078" spans="1:3" x14ac:dyDescent="0.35">
      <c r="A1078" t="s">
        <v>1437</v>
      </c>
      <c r="B1078" t="s">
        <v>4934</v>
      </c>
      <c r="C1078" t="s">
        <v>5607</v>
      </c>
    </row>
    <row r="1079" spans="1:3" x14ac:dyDescent="0.35">
      <c r="A1079" t="s">
        <v>3616</v>
      </c>
      <c r="B1079" t="s">
        <v>4935</v>
      </c>
      <c r="C1079" t="s">
        <v>5607</v>
      </c>
    </row>
    <row r="1080" spans="1:3" x14ac:dyDescent="0.35">
      <c r="A1080" t="s">
        <v>1693</v>
      </c>
      <c r="B1080" t="s">
        <v>4936</v>
      </c>
      <c r="C1080" t="s">
        <v>5607</v>
      </c>
    </row>
    <row r="1081" spans="1:3" x14ac:dyDescent="0.35">
      <c r="A1081" t="s">
        <v>1718</v>
      </c>
      <c r="B1081" t="s">
        <v>4937</v>
      </c>
      <c r="C1081" t="s">
        <v>5607</v>
      </c>
    </row>
    <row r="1082" spans="1:3" x14ac:dyDescent="0.35">
      <c r="A1082" t="s">
        <v>1792</v>
      </c>
      <c r="B1082" t="s">
        <v>4938</v>
      </c>
      <c r="C1082" t="s">
        <v>5607</v>
      </c>
    </row>
    <row r="1083" spans="1:3" x14ac:dyDescent="0.35">
      <c r="A1083" t="s">
        <v>1794</v>
      </c>
      <c r="B1083" t="s">
        <v>4939</v>
      </c>
      <c r="C1083" t="s">
        <v>5607</v>
      </c>
    </row>
    <row r="1084" spans="1:3" x14ac:dyDescent="0.35">
      <c r="A1084" t="s">
        <v>1799</v>
      </c>
      <c r="B1084" t="s">
        <v>4940</v>
      </c>
      <c r="C1084" t="s">
        <v>5607</v>
      </c>
    </row>
    <row r="1085" spans="1:3" x14ac:dyDescent="0.35">
      <c r="A1085" t="s">
        <v>1808</v>
      </c>
      <c r="B1085" t="s">
        <v>4941</v>
      </c>
      <c r="C1085" t="s">
        <v>5607</v>
      </c>
    </row>
    <row r="1086" spans="1:3" x14ac:dyDescent="0.35">
      <c r="A1086" t="s">
        <v>1833</v>
      </c>
      <c r="B1086" t="s">
        <v>4942</v>
      </c>
      <c r="C1086" t="s">
        <v>5607</v>
      </c>
    </row>
    <row r="1087" spans="1:3" x14ac:dyDescent="0.35">
      <c r="A1087" t="s">
        <v>2028</v>
      </c>
      <c r="B1087" t="s">
        <v>4943</v>
      </c>
      <c r="C1087" t="s">
        <v>5607</v>
      </c>
    </row>
    <row r="1088" spans="1:3" x14ac:dyDescent="0.35">
      <c r="A1088" t="s">
        <v>2190</v>
      </c>
      <c r="B1088" t="s">
        <v>4944</v>
      </c>
      <c r="C1088" t="s">
        <v>5607</v>
      </c>
    </row>
    <row r="1089" spans="1:3" x14ac:dyDescent="0.35">
      <c r="A1089" t="s">
        <v>2192</v>
      </c>
      <c r="B1089" t="s">
        <v>4945</v>
      </c>
      <c r="C1089" t="s">
        <v>5607</v>
      </c>
    </row>
    <row r="1090" spans="1:3" x14ac:dyDescent="0.35">
      <c r="A1090" t="s">
        <v>2341</v>
      </c>
      <c r="B1090" t="s">
        <v>4947</v>
      </c>
      <c r="C1090" t="s">
        <v>5607</v>
      </c>
    </row>
    <row r="1091" spans="1:3" x14ac:dyDescent="0.35">
      <c r="A1091" t="s">
        <v>2364</v>
      </c>
      <c r="B1091" t="s">
        <v>4948</v>
      </c>
      <c r="C1091" t="s">
        <v>5607</v>
      </c>
    </row>
    <row r="1092" spans="1:3" x14ac:dyDescent="0.35">
      <c r="A1092" t="s">
        <v>2409</v>
      </c>
      <c r="B1092" t="s">
        <v>4949</v>
      </c>
      <c r="C1092" t="s">
        <v>5607</v>
      </c>
    </row>
    <row r="1093" spans="1:3" x14ac:dyDescent="0.35">
      <c r="A1093" t="s">
        <v>2418</v>
      </c>
      <c r="B1093" t="s">
        <v>4950</v>
      </c>
      <c r="C1093" t="s">
        <v>5607</v>
      </c>
    </row>
    <row r="1094" spans="1:3" x14ac:dyDescent="0.35">
      <c r="A1094" t="s">
        <v>2440</v>
      </c>
      <c r="B1094" t="s">
        <v>4951</v>
      </c>
      <c r="C1094" t="s">
        <v>5607</v>
      </c>
    </row>
    <row r="1095" spans="1:3" x14ac:dyDescent="0.35">
      <c r="A1095" t="s">
        <v>2831</v>
      </c>
      <c r="B1095" t="s">
        <v>4953</v>
      </c>
      <c r="C1095" t="s">
        <v>5607</v>
      </c>
    </row>
    <row r="1096" spans="1:3" x14ac:dyDescent="0.35">
      <c r="A1096" t="s">
        <v>2833</v>
      </c>
      <c r="B1096" t="s">
        <v>4954</v>
      </c>
      <c r="C1096" t="s">
        <v>5607</v>
      </c>
    </row>
    <row r="1097" spans="1:3" x14ac:dyDescent="0.35">
      <c r="A1097" t="s">
        <v>2883</v>
      </c>
      <c r="B1097" t="s">
        <v>4956</v>
      </c>
      <c r="C1097" t="s">
        <v>5607</v>
      </c>
    </row>
    <row r="1098" spans="1:3" x14ac:dyDescent="0.35">
      <c r="A1098" t="s">
        <v>2885</v>
      </c>
      <c r="B1098" t="s">
        <v>4957</v>
      </c>
      <c r="C1098" t="s">
        <v>5607</v>
      </c>
    </row>
    <row r="1099" spans="1:3" x14ac:dyDescent="0.35">
      <c r="A1099" t="s">
        <v>1608</v>
      </c>
      <c r="B1099" t="s">
        <v>4958</v>
      </c>
      <c r="C1099" t="s">
        <v>5607</v>
      </c>
    </row>
    <row r="1100" spans="1:3" x14ac:dyDescent="0.35">
      <c r="A1100" t="s">
        <v>3185</v>
      </c>
      <c r="B1100" t="s">
        <v>4960</v>
      </c>
      <c r="C1100" t="s">
        <v>5607</v>
      </c>
    </row>
    <row r="1101" spans="1:3" x14ac:dyDescent="0.35">
      <c r="A1101" t="s">
        <v>3348</v>
      </c>
      <c r="B1101" t="s">
        <v>4962</v>
      </c>
      <c r="C1101" t="s">
        <v>5607</v>
      </c>
    </row>
    <row r="1102" spans="1:3" x14ac:dyDescent="0.35">
      <c r="A1102" t="s">
        <v>3451</v>
      </c>
      <c r="B1102" t="s">
        <v>4963</v>
      </c>
      <c r="C1102" t="s">
        <v>5607</v>
      </c>
    </row>
    <row r="1103" spans="1:3" x14ac:dyDescent="0.35">
      <c r="A1103" t="s">
        <v>3801</v>
      </c>
      <c r="B1103" t="s">
        <v>4965</v>
      </c>
      <c r="C1103" t="s">
        <v>5607</v>
      </c>
    </row>
    <row r="1104" spans="1:3" x14ac:dyDescent="0.35">
      <c r="A1104" t="s">
        <v>3840</v>
      </c>
      <c r="B1104" t="s">
        <v>4966</v>
      </c>
      <c r="C1104" t="s">
        <v>5607</v>
      </c>
    </row>
    <row r="1105" spans="1:3" x14ac:dyDescent="0.35">
      <c r="A1105" t="s">
        <v>1942</v>
      </c>
      <c r="B1105" t="s">
        <v>4968</v>
      </c>
      <c r="C1105" t="s">
        <v>5611</v>
      </c>
    </row>
    <row r="1106" spans="1:3" x14ac:dyDescent="0.35">
      <c r="A1106" t="s">
        <v>2348</v>
      </c>
      <c r="B1106" t="s">
        <v>4969</v>
      </c>
      <c r="C1106" t="s">
        <v>5611</v>
      </c>
    </row>
    <row r="1107" spans="1:3" x14ac:dyDescent="0.35">
      <c r="A1107" t="s">
        <v>2512</v>
      </c>
      <c r="B1107" t="s">
        <v>4971</v>
      </c>
      <c r="C1107" t="s">
        <v>5614</v>
      </c>
    </row>
    <row r="1108" spans="1:3" x14ac:dyDescent="0.35">
      <c r="A1108" t="s">
        <v>464</v>
      </c>
      <c r="B1108" t="s">
        <v>4972</v>
      </c>
      <c r="C1108" t="s">
        <v>5614</v>
      </c>
    </row>
    <row r="1109" spans="1:3" x14ac:dyDescent="0.35">
      <c r="A1109" t="s">
        <v>464</v>
      </c>
      <c r="B1109" t="s">
        <v>5297</v>
      </c>
      <c r="C1109" t="s">
        <v>5615</v>
      </c>
    </row>
    <row r="1110" spans="1:3" x14ac:dyDescent="0.35">
      <c r="A1110" t="s">
        <v>141</v>
      </c>
      <c r="B1110" t="s">
        <v>4973</v>
      </c>
      <c r="C1110" t="s">
        <v>5614</v>
      </c>
    </row>
    <row r="1111" spans="1:3" x14ac:dyDescent="0.35">
      <c r="A1111" t="s">
        <v>2387</v>
      </c>
      <c r="B1111" t="s">
        <v>4974</v>
      </c>
      <c r="C1111" t="s">
        <v>5614</v>
      </c>
    </row>
    <row r="1112" spans="1:3" x14ac:dyDescent="0.35">
      <c r="A1112" t="s">
        <v>3286</v>
      </c>
      <c r="B1112" t="s">
        <v>4975</v>
      </c>
      <c r="C1112" t="s">
        <v>5614</v>
      </c>
    </row>
    <row r="1113" spans="1:3" x14ac:dyDescent="0.35">
      <c r="A1113" t="s">
        <v>2411</v>
      </c>
      <c r="B1113" t="s">
        <v>4976</v>
      </c>
      <c r="C1113" t="s">
        <v>5611</v>
      </c>
    </row>
    <row r="1114" spans="1:3" x14ac:dyDescent="0.35">
      <c r="A1114" t="s">
        <v>2424</v>
      </c>
      <c r="B1114" t="s">
        <v>4977</v>
      </c>
      <c r="C1114" t="s">
        <v>5609</v>
      </c>
    </row>
    <row r="1115" spans="1:3" x14ac:dyDescent="0.35">
      <c r="A1115" t="s">
        <v>3911</v>
      </c>
      <c r="B1115" t="s">
        <v>4978</v>
      </c>
      <c r="C1115" t="s">
        <v>5609</v>
      </c>
    </row>
    <row r="1116" spans="1:3" x14ac:dyDescent="0.35">
      <c r="A1116" t="s">
        <v>2433</v>
      </c>
      <c r="B1116" t="s">
        <v>4979</v>
      </c>
      <c r="C1116" t="s">
        <v>5609</v>
      </c>
    </row>
    <row r="1117" spans="1:3" x14ac:dyDescent="0.35">
      <c r="A1117" t="s">
        <v>847</v>
      </c>
      <c r="B1117" t="s">
        <v>4981</v>
      </c>
      <c r="C1117" t="s">
        <v>5609</v>
      </c>
    </row>
    <row r="1118" spans="1:3" x14ac:dyDescent="0.35">
      <c r="A1118" t="s">
        <v>2741</v>
      </c>
      <c r="B1118" t="s">
        <v>4982</v>
      </c>
      <c r="C1118" t="s">
        <v>5609</v>
      </c>
    </row>
    <row r="1119" spans="1:3" x14ac:dyDescent="0.35">
      <c r="A1119" t="s">
        <v>331</v>
      </c>
      <c r="B1119" t="s">
        <v>4983</v>
      </c>
      <c r="C1119" t="s">
        <v>5609</v>
      </c>
    </row>
    <row r="1120" spans="1:3" x14ac:dyDescent="0.35">
      <c r="A1120" t="s">
        <v>260</v>
      </c>
      <c r="B1120" t="s">
        <v>4984</v>
      </c>
      <c r="C1120" t="s">
        <v>5618</v>
      </c>
    </row>
    <row r="1121" spans="1:3" x14ac:dyDescent="0.35">
      <c r="A1121" t="s">
        <v>3522</v>
      </c>
      <c r="B1121" t="s">
        <v>4985</v>
      </c>
      <c r="C1121" t="s">
        <v>5618</v>
      </c>
    </row>
    <row r="1122" spans="1:3" x14ac:dyDescent="0.35">
      <c r="A1122" t="s">
        <v>2462</v>
      </c>
      <c r="B1122" t="s">
        <v>4986</v>
      </c>
      <c r="C1122" t="s">
        <v>5615</v>
      </c>
    </row>
    <row r="1123" spans="1:3" x14ac:dyDescent="0.35">
      <c r="A1123" t="s">
        <v>2699</v>
      </c>
      <c r="B1123" t="s">
        <v>4988</v>
      </c>
      <c r="C1123" t="s">
        <v>5609</v>
      </c>
    </row>
    <row r="1124" spans="1:3" x14ac:dyDescent="0.35">
      <c r="A1124" t="s">
        <v>3362</v>
      </c>
      <c r="B1124" t="s">
        <v>4989</v>
      </c>
      <c r="C1124" t="s">
        <v>5618</v>
      </c>
    </row>
    <row r="1125" spans="1:3" x14ac:dyDescent="0.35">
      <c r="A1125" t="s">
        <v>3710</v>
      </c>
      <c r="B1125" t="s">
        <v>4990</v>
      </c>
      <c r="C1125" t="s">
        <v>5618</v>
      </c>
    </row>
    <row r="1126" spans="1:3" x14ac:dyDescent="0.35">
      <c r="A1126" t="s">
        <v>3430</v>
      </c>
      <c r="B1126" t="s">
        <v>4992</v>
      </c>
      <c r="C1126" t="s">
        <v>5607</v>
      </c>
    </row>
    <row r="1127" spans="1:3" x14ac:dyDescent="0.35">
      <c r="A1127" t="s">
        <v>1549</v>
      </c>
      <c r="B1127" t="s">
        <v>4996</v>
      </c>
      <c r="C1127" t="s">
        <v>5607</v>
      </c>
    </row>
    <row r="1128" spans="1:3" x14ac:dyDescent="0.35">
      <c r="A1128" t="s">
        <v>2503</v>
      </c>
      <c r="B1128" t="s">
        <v>4999</v>
      </c>
      <c r="C1128" t="s">
        <v>5607</v>
      </c>
    </row>
    <row r="1129" spans="1:3" x14ac:dyDescent="0.35">
      <c r="A1129" t="s">
        <v>3448</v>
      </c>
      <c r="B1129" t="s">
        <v>5000</v>
      </c>
      <c r="C1129" t="s">
        <v>5607</v>
      </c>
    </row>
    <row r="1130" spans="1:3" x14ac:dyDescent="0.35">
      <c r="A1130" t="s">
        <v>2507</v>
      </c>
      <c r="B1130" t="s">
        <v>5002</v>
      </c>
      <c r="C1130" t="s">
        <v>5607</v>
      </c>
    </row>
    <row r="1131" spans="1:3" x14ac:dyDescent="0.35">
      <c r="A1131" t="s">
        <v>1743</v>
      </c>
      <c r="B1131" t="s">
        <v>5003</v>
      </c>
      <c r="C1131" t="s">
        <v>5607</v>
      </c>
    </row>
    <row r="1132" spans="1:3" x14ac:dyDescent="0.35">
      <c r="A1132" t="s">
        <v>1743</v>
      </c>
      <c r="B1132" t="s">
        <v>5423</v>
      </c>
      <c r="C1132" t="s">
        <v>5618</v>
      </c>
    </row>
    <row r="1133" spans="1:3" x14ac:dyDescent="0.35">
      <c r="A1133" t="s">
        <v>351</v>
      </c>
      <c r="B1133" t="s">
        <v>5004</v>
      </c>
      <c r="C1133" t="s">
        <v>5607</v>
      </c>
    </row>
    <row r="1134" spans="1:3" x14ac:dyDescent="0.35">
      <c r="A1134" t="s">
        <v>665</v>
      </c>
      <c r="B1134" t="s">
        <v>5005</v>
      </c>
      <c r="C1134" t="s">
        <v>5607</v>
      </c>
    </row>
    <row r="1135" spans="1:3" x14ac:dyDescent="0.35">
      <c r="A1135" t="s">
        <v>1863</v>
      </c>
      <c r="B1135" t="s">
        <v>5007</v>
      </c>
      <c r="C1135" t="s">
        <v>5607</v>
      </c>
    </row>
    <row r="1136" spans="1:3" x14ac:dyDescent="0.35">
      <c r="A1136" t="s">
        <v>1883</v>
      </c>
      <c r="B1136" t="s">
        <v>5008</v>
      </c>
      <c r="C1136" t="s">
        <v>5607</v>
      </c>
    </row>
    <row r="1137" spans="1:3" x14ac:dyDescent="0.35">
      <c r="A1137" t="s">
        <v>3640</v>
      </c>
      <c r="B1137" t="s">
        <v>5009</v>
      </c>
      <c r="C1137" t="s">
        <v>5607</v>
      </c>
    </row>
    <row r="1138" spans="1:3" x14ac:dyDescent="0.35">
      <c r="A1138" t="s">
        <v>3794</v>
      </c>
      <c r="B1138" t="s">
        <v>5010</v>
      </c>
      <c r="C1138" t="s">
        <v>5607</v>
      </c>
    </row>
    <row r="1139" spans="1:3" x14ac:dyDescent="0.35">
      <c r="A1139" t="s">
        <v>2522</v>
      </c>
      <c r="B1139" t="s">
        <v>5011</v>
      </c>
      <c r="C1139" t="s">
        <v>5609</v>
      </c>
    </row>
    <row r="1140" spans="1:3" x14ac:dyDescent="0.35">
      <c r="A1140" t="s">
        <v>660</v>
      </c>
      <c r="B1140" t="s">
        <v>5012</v>
      </c>
      <c r="C1140" t="s">
        <v>5609</v>
      </c>
    </row>
    <row r="1141" spans="1:3" x14ac:dyDescent="0.35">
      <c r="A1141" t="s">
        <v>2538</v>
      </c>
      <c r="B1141" t="s">
        <v>5013</v>
      </c>
      <c r="C1141" t="s">
        <v>5617</v>
      </c>
    </row>
    <row r="1142" spans="1:3" x14ac:dyDescent="0.35">
      <c r="A1142" t="s">
        <v>3884</v>
      </c>
      <c r="B1142" t="s">
        <v>5014</v>
      </c>
      <c r="C1142" t="s">
        <v>5617</v>
      </c>
    </row>
    <row r="1143" spans="1:3" x14ac:dyDescent="0.35">
      <c r="A1143" t="s">
        <v>5016</v>
      </c>
      <c r="B1143" t="s">
        <v>5015</v>
      </c>
      <c r="C1143" t="s">
        <v>5612</v>
      </c>
    </row>
    <row r="1144" spans="1:3" x14ac:dyDescent="0.35">
      <c r="A1144" t="s">
        <v>5018</v>
      </c>
      <c r="B1144" t="s">
        <v>5017</v>
      </c>
      <c r="C1144" t="s">
        <v>5612</v>
      </c>
    </row>
    <row r="1145" spans="1:3" x14ac:dyDescent="0.35">
      <c r="A1145" t="s">
        <v>5020</v>
      </c>
      <c r="B1145" t="s">
        <v>5019</v>
      </c>
      <c r="C1145" t="s">
        <v>5612</v>
      </c>
    </row>
    <row r="1146" spans="1:3" x14ac:dyDescent="0.35">
      <c r="A1146" t="s">
        <v>5022</v>
      </c>
      <c r="B1146" t="s">
        <v>5021</v>
      </c>
      <c r="C1146" t="s">
        <v>5612</v>
      </c>
    </row>
    <row r="1147" spans="1:3" x14ac:dyDescent="0.35">
      <c r="A1147" t="s">
        <v>5024</v>
      </c>
      <c r="B1147" t="s">
        <v>5023</v>
      </c>
      <c r="C1147" t="s">
        <v>5612</v>
      </c>
    </row>
    <row r="1148" spans="1:3" x14ac:dyDescent="0.35">
      <c r="A1148" t="s">
        <v>5029</v>
      </c>
      <c r="B1148" t="s">
        <v>5028</v>
      </c>
      <c r="C1148" t="s">
        <v>5612</v>
      </c>
    </row>
    <row r="1149" spans="1:3" x14ac:dyDescent="0.35">
      <c r="A1149" t="s">
        <v>5033</v>
      </c>
      <c r="B1149" t="s">
        <v>5032</v>
      </c>
      <c r="C1149" t="s">
        <v>5612</v>
      </c>
    </row>
    <row r="1150" spans="1:3" x14ac:dyDescent="0.35">
      <c r="A1150" t="s">
        <v>5035</v>
      </c>
      <c r="B1150" t="s">
        <v>5034</v>
      </c>
      <c r="C1150" t="s">
        <v>5612</v>
      </c>
    </row>
    <row r="1151" spans="1:3" x14ac:dyDescent="0.35">
      <c r="A1151" t="s">
        <v>5037</v>
      </c>
      <c r="B1151" t="s">
        <v>5036</v>
      </c>
      <c r="C1151" t="s">
        <v>5612</v>
      </c>
    </row>
    <row r="1152" spans="1:3" x14ac:dyDescent="0.35">
      <c r="A1152" t="s">
        <v>5039</v>
      </c>
      <c r="B1152" t="s">
        <v>5038</v>
      </c>
      <c r="C1152" t="s">
        <v>5612</v>
      </c>
    </row>
    <row r="1153" spans="1:3" x14ac:dyDescent="0.35">
      <c r="A1153" t="s">
        <v>5043</v>
      </c>
      <c r="B1153" t="s">
        <v>5042</v>
      </c>
      <c r="C1153" t="s">
        <v>5612</v>
      </c>
    </row>
    <row r="1154" spans="1:3" x14ac:dyDescent="0.35">
      <c r="A1154" t="s">
        <v>2756</v>
      </c>
      <c r="B1154" t="s">
        <v>5044</v>
      </c>
      <c r="C1154" t="s">
        <v>5612</v>
      </c>
    </row>
    <row r="1155" spans="1:3" x14ac:dyDescent="0.35">
      <c r="A1155" t="s">
        <v>2571</v>
      </c>
      <c r="B1155" t="s">
        <v>5045</v>
      </c>
      <c r="C1155" t="s">
        <v>5612</v>
      </c>
    </row>
    <row r="1156" spans="1:3" x14ac:dyDescent="0.35">
      <c r="A1156" t="s">
        <v>2553</v>
      </c>
      <c r="B1156" t="s">
        <v>5046</v>
      </c>
      <c r="C1156" t="s">
        <v>5618</v>
      </c>
    </row>
    <row r="1157" spans="1:3" x14ac:dyDescent="0.35">
      <c r="A1157" t="s">
        <v>1297</v>
      </c>
      <c r="B1157" t="s">
        <v>5047</v>
      </c>
      <c r="C1157" t="s">
        <v>5611</v>
      </c>
    </row>
    <row r="1158" spans="1:3" x14ac:dyDescent="0.35">
      <c r="A1158" t="s">
        <v>1297</v>
      </c>
      <c r="B1158" t="s">
        <v>5592</v>
      </c>
      <c r="C1158" t="s">
        <v>5607</v>
      </c>
    </row>
    <row r="1159" spans="1:3" x14ac:dyDescent="0.35">
      <c r="A1159" t="s">
        <v>5051</v>
      </c>
      <c r="B1159" t="s">
        <v>5050</v>
      </c>
      <c r="C1159" t="s">
        <v>5611</v>
      </c>
    </row>
    <row r="1160" spans="1:3" x14ac:dyDescent="0.35">
      <c r="A1160" t="s">
        <v>5053</v>
      </c>
      <c r="B1160" t="s">
        <v>5052</v>
      </c>
      <c r="C1160" t="s">
        <v>5611</v>
      </c>
    </row>
    <row r="1161" spans="1:3" x14ac:dyDescent="0.35">
      <c r="A1161" t="s">
        <v>1614</v>
      </c>
      <c r="B1161" t="s">
        <v>5054</v>
      </c>
      <c r="C1161" t="s">
        <v>5611</v>
      </c>
    </row>
    <row r="1162" spans="1:3" x14ac:dyDescent="0.35">
      <c r="A1162" t="s">
        <v>3891</v>
      </c>
      <c r="B1162" t="s">
        <v>5055</v>
      </c>
      <c r="C1162" t="s">
        <v>5609</v>
      </c>
    </row>
    <row r="1163" spans="1:3" x14ac:dyDescent="0.35">
      <c r="A1163" t="s">
        <v>2579</v>
      </c>
      <c r="B1163" t="s">
        <v>5056</v>
      </c>
      <c r="C1163" t="s">
        <v>5609</v>
      </c>
    </row>
    <row r="1164" spans="1:3" x14ac:dyDescent="0.35">
      <c r="A1164" t="s">
        <v>5058</v>
      </c>
      <c r="B1164" t="s">
        <v>5057</v>
      </c>
      <c r="C1164" t="s">
        <v>5621</v>
      </c>
    </row>
    <row r="1165" spans="1:3" x14ac:dyDescent="0.35">
      <c r="A1165" t="s">
        <v>89</v>
      </c>
      <c r="B1165" t="s">
        <v>5060</v>
      </c>
      <c r="C1165" t="s">
        <v>5621</v>
      </c>
    </row>
    <row r="1166" spans="1:3" x14ac:dyDescent="0.35">
      <c r="A1166" t="s">
        <v>5062</v>
      </c>
      <c r="B1166" t="s">
        <v>5061</v>
      </c>
      <c r="C1166" t="s">
        <v>5621</v>
      </c>
    </row>
    <row r="1167" spans="1:3" x14ac:dyDescent="0.35">
      <c r="A1167" t="s">
        <v>5064</v>
      </c>
      <c r="B1167" t="s">
        <v>5063</v>
      </c>
      <c r="C1167" t="s">
        <v>5621</v>
      </c>
    </row>
    <row r="1168" spans="1:3" x14ac:dyDescent="0.35">
      <c r="A1168" t="s">
        <v>5066</v>
      </c>
      <c r="B1168" t="s">
        <v>5065</v>
      </c>
      <c r="C1168" t="s">
        <v>5621</v>
      </c>
    </row>
    <row r="1169" spans="1:3" x14ac:dyDescent="0.35">
      <c r="A1169" t="s">
        <v>5068</v>
      </c>
      <c r="B1169" t="s">
        <v>5067</v>
      </c>
      <c r="C1169" t="s">
        <v>5621</v>
      </c>
    </row>
    <row r="1170" spans="1:3" x14ac:dyDescent="0.35">
      <c r="A1170" t="s">
        <v>5070</v>
      </c>
      <c r="B1170" t="s">
        <v>5069</v>
      </c>
      <c r="C1170" t="s">
        <v>5621</v>
      </c>
    </row>
    <row r="1171" spans="1:3" x14ac:dyDescent="0.35">
      <c r="A1171" t="s">
        <v>5072</v>
      </c>
      <c r="B1171" t="s">
        <v>5071</v>
      </c>
      <c r="C1171" t="s">
        <v>5621</v>
      </c>
    </row>
    <row r="1172" spans="1:3" x14ac:dyDescent="0.35">
      <c r="A1172" t="s">
        <v>5074</v>
      </c>
      <c r="B1172" t="s">
        <v>5073</v>
      </c>
      <c r="C1172" t="s">
        <v>5621</v>
      </c>
    </row>
    <row r="1173" spans="1:3" x14ac:dyDescent="0.35">
      <c r="A1173" t="s">
        <v>5076</v>
      </c>
      <c r="B1173" t="s">
        <v>5075</v>
      </c>
      <c r="C1173" t="s">
        <v>5621</v>
      </c>
    </row>
    <row r="1174" spans="1:3" x14ac:dyDescent="0.35">
      <c r="A1174" t="s">
        <v>5078</v>
      </c>
      <c r="B1174" t="s">
        <v>5077</v>
      </c>
      <c r="C1174" t="s">
        <v>5621</v>
      </c>
    </row>
    <row r="1175" spans="1:3" x14ac:dyDescent="0.35">
      <c r="A1175" t="s">
        <v>5080</v>
      </c>
      <c r="B1175" t="s">
        <v>5079</v>
      </c>
      <c r="C1175" t="s">
        <v>5621</v>
      </c>
    </row>
    <row r="1176" spans="1:3" x14ac:dyDescent="0.35">
      <c r="A1176" t="s">
        <v>5082</v>
      </c>
      <c r="B1176" t="s">
        <v>5081</v>
      </c>
      <c r="C1176" t="s">
        <v>5621</v>
      </c>
    </row>
    <row r="1177" spans="1:3" x14ac:dyDescent="0.35">
      <c r="A1177" t="s">
        <v>5084</v>
      </c>
      <c r="B1177" t="s">
        <v>5083</v>
      </c>
      <c r="C1177" t="s">
        <v>5621</v>
      </c>
    </row>
    <row r="1178" spans="1:3" x14ac:dyDescent="0.35">
      <c r="A1178" t="s">
        <v>5086</v>
      </c>
      <c r="B1178" t="s">
        <v>5085</v>
      </c>
      <c r="C1178" t="s">
        <v>5621</v>
      </c>
    </row>
    <row r="1179" spans="1:3" x14ac:dyDescent="0.35">
      <c r="A1179" t="s">
        <v>2590</v>
      </c>
      <c r="B1179" t="s">
        <v>5087</v>
      </c>
      <c r="C1179" t="s">
        <v>5614</v>
      </c>
    </row>
    <row r="1180" spans="1:3" x14ac:dyDescent="0.35">
      <c r="A1180" t="s">
        <v>569</v>
      </c>
      <c r="B1180" t="s">
        <v>5088</v>
      </c>
      <c r="C1180" t="s">
        <v>5614</v>
      </c>
    </row>
    <row r="1181" spans="1:3" x14ac:dyDescent="0.35">
      <c r="A1181" t="s">
        <v>569</v>
      </c>
      <c r="B1181" t="s">
        <v>5150</v>
      </c>
      <c r="C1181" t="s">
        <v>5619</v>
      </c>
    </row>
    <row r="1182" spans="1:3" x14ac:dyDescent="0.35">
      <c r="A1182" t="s">
        <v>1717</v>
      </c>
      <c r="B1182" t="s">
        <v>5089</v>
      </c>
      <c r="C1182" t="s">
        <v>5614</v>
      </c>
    </row>
    <row r="1183" spans="1:3" x14ac:dyDescent="0.35">
      <c r="A1183" t="s">
        <v>1539</v>
      </c>
      <c r="B1183" t="s">
        <v>5090</v>
      </c>
      <c r="C1183" t="s">
        <v>5614</v>
      </c>
    </row>
    <row r="1184" spans="1:3" x14ac:dyDescent="0.35">
      <c r="A1184" t="s">
        <v>5092</v>
      </c>
      <c r="B1184" t="s">
        <v>5091</v>
      </c>
      <c r="C1184" t="s">
        <v>5614</v>
      </c>
    </row>
    <row r="1185" spans="1:3" x14ac:dyDescent="0.35">
      <c r="A1185" t="s">
        <v>509</v>
      </c>
      <c r="B1185" t="s">
        <v>5093</v>
      </c>
      <c r="C1185" t="s">
        <v>5614</v>
      </c>
    </row>
    <row r="1186" spans="1:3" x14ac:dyDescent="0.35">
      <c r="A1186" t="s">
        <v>2597</v>
      </c>
      <c r="B1186" t="s">
        <v>5094</v>
      </c>
      <c r="C1186" t="s">
        <v>1757</v>
      </c>
    </row>
    <row r="1187" spans="1:3" x14ac:dyDescent="0.35">
      <c r="A1187" t="s">
        <v>5096</v>
      </c>
      <c r="B1187" t="s">
        <v>5095</v>
      </c>
      <c r="C1187" t="s">
        <v>5612</v>
      </c>
    </row>
    <row r="1188" spans="1:3" x14ac:dyDescent="0.35">
      <c r="A1188" t="s">
        <v>5099</v>
      </c>
      <c r="B1188" t="s">
        <v>5098</v>
      </c>
      <c r="C1188" t="s">
        <v>5612</v>
      </c>
    </row>
    <row r="1189" spans="1:3" x14ac:dyDescent="0.35">
      <c r="A1189" t="s">
        <v>5101</v>
      </c>
      <c r="B1189" t="s">
        <v>5100</v>
      </c>
      <c r="C1189" t="s">
        <v>5612</v>
      </c>
    </row>
    <row r="1190" spans="1:3" x14ac:dyDescent="0.35">
      <c r="A1190" t="s">
        <v>5103</v>
      </c>
      <c r="B1190" t="s">
        <v>5102</v>
      </c>
      <c r="C1190" t="s">
        <v>5612</v>
      </c>
    </row>
    <row r="1191" spans="1:3" x14ac:dyDescent="0.35">
      <c r="A1191" t="s">
        <v>5105</v>
      </c>
      <c r="B1191" t="s">
        <v>5104</v>
      </c>
      <c r="C1191" t="s">
        <v>5612</v>
      </c>
    </row>
    <row r="1192" spans="1:3" x14ac:dyDescent="0.35">
      <c r="A1192" t="s">
        <v>5107</v>
      </c>
      <c r="B1192" t="s">
        <v>5106</v>
      </c>
      <c r="C1192" t="s">
        <v>5612</v>
      </c>
    </row>
    <row r="1193" spans="1:3" x14ac:dyDescent="0.35">
      <c r="A1193" t="s">
        <v>5109</v>
      </c>
      <c r="B1193" t="s">
        <v>5108</v>
      </c>
      <c r="C1193" t="s">
        <v>5612</v>
      </c>
    </row>
    <row r="1194" spans="1:3" x14ac:dyDescent="0.35">
      <c r="A1194" t="s">
        <v>5111</v>
      </c>
      <c r="B1194" t="s">
        <v>5110</v>
      </c>
      <c r="C1194" t="s">
        <v>5612</v>
      </c>
    </row>
    <row r="1195" spans="1:3" x14ac:dyDescent="0.35">
      <c r="A1195" t="s">
        <v>789</v>
      </c>
      <c r="B1195" t="s">
        <v>5114</v>
      </c>
      <c r="C1195" t="s">
        <v>5612</v>
      </c>
    </row>
    <row r="1196" spans="1:3" x14ac:dyDescent="0.35">
      <c r="A1196" t="s">
        <v>5116</v>
      </c>
      <c r="B1196" t="s">
        <v>5115</v>
      </c>
      <c r="C1196" t="s">
        <v>5612</v>
      </c>
    </row>
    <row r="1197" spans="1:3" x14ac:dyDescent="0.35">
      <c r="A1197" t="s">
        <v>3387</v>
      </c>
      <c r="B1197" t="s">
        <v>5121</v>
      </c>
      <c r="C1197" t="s">
        <v>5607</v>
      </c>
    </row>
    <row r="1198" spans="1:3" x14ac:dyDescent="0.35">
      <c r="A1198" t="s">
        <v>3688</v>
      </c>
      <c r="B1198" t="s">
        <v>5122</v>
      </c>
      <c r="C1198" t="s">
        <v>5607</v>
      </c>
    </row>
    <row r="1199" spans="1:3" x14ac:dyDescent="0.35">
      <c r="A1199" t="s">
        <v>3820</v>
      </c>
      <c r="B1199" t="s">
        <v>5123</v>
      </c>
      <c r="C1199" t="s">
        <v>5607</v>
      </c>
    </row>
    <row r="1200" spans="1:3" x14ac:dyDescent="0.35">
      <c r="A1200" t="s">
        <v>1701</v>
      </c>
      <c r="B1200" t="s">
        <v>5124</v>
      </c>
      <c r="C1200" t="s">
        <v>5607</v>
      </c>
    </row>
    <row r="1201" spans="1:3" x14ac:dyDescent="0.35">
      <c r="A1201" t="s">
        <v>1747</v>
      </c>
      <c r="B1201" t="s">
        <v>5125</v>
      </c>
      <c r="C1201" t="s">
        <v>5607</v>
      </c>
    </row>
    <row r="1202" spans="1:3" x14ac:dyDescent="0.35">
      <c r="A1202" t="s">
        <v>2609</v>
      </c>
      <c r="B1202" t="s">
        <v>5126</v>
      </c>
      <c r="C1202" t="s">
        <v>5607</v>
      </c>
    </row>
    <row r="1203" spans="1:3" x14ac:dyDescent="0.35">
      <c r="A1203" t="s">
        <v>2619</v>
      </c>
      <c r="B1203" t="s">
        <v>5127</v>
      </c>
      <c r="C1203" t="s">
        <v>5609</v>
      </c>
    </row>
    <row r="1204" spans="1:3" x14ac:dyDescent="0.35">
      <c r="A1204" t="s">
        <v>137</v>
      </c>
      <c r="B1204" t="s">
        <v>5128</v>
      </c>
      <c r="C1204" t="s">
        <v>5609</v>
      </c>
    </row>
    <row r="1205" spans="1:3" x14ac:dyDescent="0.35">
      <c r="A1205" t="s">
        <v>386</v>
      </c>
      <c r="B1205" t="s">
        <v>5131</v>
      </c>
      <c r="C1205" t="s">
        <v>5617</v>
      </c>
    </row>
    <row r="1206" spans="1:3" x14ac:dyDescent="0.35">
      <c r="A1206" t="s">
        <v>386</v>
      </c>
      <c r="B1206" t="s">
        <v>5215</v>
      </c>
      <c r="C1206" t="s">
        <v>5617</v>
      </c>
    </row>
    <row r="1207" spans="1:3" x14ac:dyDescent="0.35">
      <c r="A1207" t="s">
        <v>2484</v>
      </c>
      <c r="B1207" t="s">
        <v>5132</v>
      </c>
      <c r="C1207" t="s">
        <v>5617</v>
      </c>
    </row>
    <row r="1208" spans="1:3" x14ac:dyDescent="0.35">
      <c r="A1208" t="s">
        <v>2691</v>
      </c>
      <c r="B1208" t="s">
        <v>5134</v>
      </c>
      <c r="C1208" t="s">
        <v>5623</v>
      </c>
    </row>
    <row r="1209" spans="1:3" x14ac:dyDescent="0.35">
      <c r="A1209" t="s">
        <v>3120</v>
      </c>
      <c r="B1209" t="s">
        <v>5135</v>
      </c>
      <c r="C1209" t="s">
        <v>5623</v>
      </c>
    </row>
    <row r="1210" spans="1:3" x14ac:dyDescent="0.35">
      <c r="A1210" t="s">
        <v>3120</v>
      </c>
      <c r="B1210" t="s">
        <v>5365</v>
      </c>
      <c r="C1210" t="s">
        <v>5623</v>
      </c>
    </row>
    <row r="1211" spans="1:3" x14ac:dyDescent="0.35">
      <c r="A1211" t="s">
        <v>5137</v>
      </c>
      <c r="B1211" t="s">
        <v>5136</v>
      </c>
      <c r="C1211" t="s">
        <v>5614</v>
      </c>
    </row>
    <row r="1212" spans="1:3" x14ac:dyDescent="0.35">
      <c r="A1212" t="s">
        <v>5139</v>
      </c>
      <c r="B1212" t="s">
        <v>5138</v>
      </c>
      <c r="C1212" t="s">
        <v>5614</v>
      </c>
    </row>
    <row r="1213" spans="1:3" x14ac:dyDescent="0.35">
      <c r="A1213" t="s">
        <v>5141</v>
      </c>
      <c r="B1213" t="s">
        <v>1432</v>
      </c>
      <c r="C1213" t="s">
        <v>5614</v>
      </c>
    </row>
    <row r="1214" spans="1:3" x14ac:dyDescent="0.35">
      <c r="A1214" t="s">
        <v>53</v>
      </c>
      <c r="B1214" t="s">
        <v>5142</v>
      </c>
      <c r="C1214" t="s">
        <v>5614</v>
      </c>
    </row>
    <row r="1215" spans="1:3" x14ac:dyDescent="0.35">
      <c r="A1215" t="s">
        <v>256</v>
      </c>
      <c r="B1215" t="s">
        <v>5143</v>
      </c>
      <c r="C1215" t="s">
        <v>5614</v>
      </c>
    </row>
    <row r="1216" spans="1:3" x14ac:dyDescent="0.35">
      <c r="A1216" t="s">
        <v>1646</v>
      </c>
      <c r="B1216" t="s">
        <v>5144</v>
      </c>
      <c r="C1216" t="s">
        <v>5614</v>
      </c>
    </row>
    <row r="1217" spans="1:3" x14ac:dyDescent="0.35">
      <c r="A1217" t="s">
        <v>2632</v>
      </c>
      <c r="B1217" t="s">
        <v>5145</v>
      </c>
      <c r="C1217" t="s">
        <v>5617</v>
      </c>
    </row>
    <row r="1218" spans="1:3" x14ac:dyDescent="0.35">
      <c r="A1218" t="s">
        <v>3528</v>
      </c>
      <c r="B1218" t="s">
        <v>5146</v>
      </c>
      <c r="C1218" t="s">
        <v>5617</v>
      </c>
    </row>
    <row r="1219" spans="1:3" x14ac:dyDescent="0.35">
      <c r="A1219" t="s">
        <v>5148</v>
      </c>
      <c r="B1219" t="s">
        <v>5147</v>
      </c>
      <c r="C1219" t="s">
        <v>5617</v>
      </c>
    </row>
    <row r="1220" spans="1:3" x14ac:dyDescent="0.35">
      <c r="A1220" t="s">
        <v>5148</v>
      </c>
      <c r="B1220" t="s">
        <v>5149</v>
      </c>
      <c r="C1220" t="s">
        <v>5618</v>
      </c>
    </row>
    <row r="1221" spans="1:3" x14ac:dyDescent="0.35">
      <c r="A1221" t="s">
        <v>5148</v>
      </c>
      <c r="B1221" t="s">
        <v>5571</v>
      </c>
      <c r="C1221" t="s">
        <v>5609</v>
      </c>
    </row>
    <row r="1222" spans="1:3" x14ac:dyDescent="0.35">
      <c r="A1222" t="s">
        <v>5152</v>
      </c>
      <c r="B1222" t="s">
        <v>5151</v>
      </c>
      <c r="C1222" t="s">
        <v>5619</v>
      </c>
    </row>
    <row r="1223" spans="1:3" x14ac:dyDescent="0.35">
      <c r="A1223" t="s">
        <v>200</v>
      </c>
      <c r="B1223" t="s">
        <v>5153</v>
      </c>
      <c r="C1223" t="s">
        <v>5619</v>
      </c>
    </row>
    <row r="1224" spans="1:3" x14ac:dyDescent="0.35">
      <c r="A1224" t="s">
        <v>667</v>
      </c>
      <c r="B1224" t="s">
        <v>5154</v>
      </c>
      <c r="C1224" t="s">
        <v>5619</v>
      </c>
    </row>
    <row r="1225" spans="1:3" x14ac:dyDescent="0.35">
      <c r="A1225" t="s">
        <v>5156</v>
      </c>
      <c r="B1225" t="s">
        <v>5155</v>
      </c>
      <c r="C1225" t="s">
        <v>5619</v>
      </c>
    </row>
    <row r="1226" spans="1:3" x14ac:dyDescent="0.35">
      <c r="A1226" t="s">
        <v>1604</v>
      </c>
      <c r="B1226" t="s">
        <v>5157</v>
      </c>
      <c r="C1226" t="s">
        <v>5619</v>
      </c>
    </row>
    <row r="1227" spans="1:3" x14ac:dyDescent="0.35">
      <c r="A1227" t="s">
        <v>2658</v>
      </c>
      <c r="B1227" t="s">
        <v>5158</v>
      </c>
      <c r="C1227" t="s">
        <v>5619</v>
      </c>
    </row>
    <row r="1228" spans="1:3" x14ac:dyDescent="0.35">
      <c r="A1228" t="s">
        <v>2701</v>
      </c>
      <c r="B1228" t="s">
        <v>5159</v>
      </c>
      <c r="C1228" t="s">
        <v>5618</v>
      </c>
    </row>
    <row r="1229" spans="1:3" x14ac:dyDescent="0.35">
      <c r="A1229" t="s">
        <v>2721</v>
      </c>
      <c r="B1229" t="s">
        <v>5160</v>
      </c>
      <c r="C1229" t="s">
        <v>5618</v>
      </c>
    </row>
    <row r="1230" spans="1:3" x14ac:dyDescent="0.35">
      <c r="A1230" t="s">
        <v>2713</v>
      </c>
      <c r="B1230" t="s">
        <v>5161</v>
      </c>
      <c r="C1230" t="s">
        <v>5618</v>
      </c>
    </row>
    <row r="1231" spans="1:3" x14ac:dyDescent="0.35">
      <c r="A1231" t="s">
        <v>5166</v>
      </c>
      <c r="B1231" t="s">
        <v>5165</v>
      </c>
      <c r="C1231" t="s">
        <v>5612</v>
      </c>
    </row>
    <row r="1232" spans="1:3" x14ac:dyDescent="0.35">
      <c r="A1232" t="s">
        <v>5168</v>
      </c>
      <c r="B1232" t="s">
        <v>5167</v>
      </c>
      <c r="C1232" t="s">
        <v>5612</v>
      </c>
    </row>
    <row r="1233" spans="1:3" x14ac:dyDescent="0.35">
      <c r="A1233" t="s">
        <v>5168</v>
      </c>
      <c r="B1233" t="s">
        <v>5228</v>
      </c>
      <c r="C1233" t="s">
        <v>5611</v>
      </c>
    </row>
    <row r="1234" spans="1:3" x14ac:dyDescent="0.35">
      <c r="A1234" t="s">
        <v>5170</v>
      </c>
      <c r="B1234" t="s">
        <v>5169</v>
      </c>
      <c r="C1234" t="s">
        <v>5612</v>
      </c>
    </row>
    <row r="1235" spans="1:3" x14ac:dyDescent="0.35">
      <c r="A1235" t="s">
        <v>5172</v>
      </c>
      <c r="B1235" t="s">
        <v>5171</v>
      </c>
      <c r="C1235" t="s">
        <v>5612</v>
      </c>
    </row>
    <row r="1236" spans="1:3" x14ac:dyDescent="0.35">
      <c r="A1236" t="s">
        <v>5176</v>
      </c>
      <c r="B1236" t="s">
        <v>5175</v>
      </c>
      <c r="C1236" t="s">
        <v>5609</v>
      </c>
    </row>
    <row r="1237" spans="1:3" x14ac:dyDescent="0.35">
      <c r="A1237" t="s">
        <v>2727</v>
      </c>
      <c r="B1237" t="s">
        <v>5177</v>
      </c>
      <c r="C1237" t="s">
        <v>5609</v>
      </c>
    </row>
    <row r="1238" spans="1:3" x14ac:dyDescent="0.35">
      <c r="A1238" t="s">
        <v>809</v>
      </c>
      <c r="B1238" t="s">
        <v>5178</v>
      </c>
      <c r="C1238" t="s">
        <v>5619</v>
      </c>
    </row>
    <row r="1239" spans="1:3" x14ac:dyDescent="0.35">
      <c r="A1239" t="s">
        <v>2739</v>
      </c>
      <c r="B1239" t="s">
        <v>5180</v>
      </c>
      <c r="C1239" t="s">
        <v>5609</v>
      </c>
    </row>
    <row r="1240" spans="1:3" x14ac:dyDescent="0.35">
      <c r="A1240" t="s">
        <v>3958</v>
      </c>
      <c r="B1240" t="s">
        <v>5181</v>
      </c>
      <c r="C1240" t="s">
        <v>5609</v>
      </c>
    </row>
    <row r="1241" spans="1:3" x14ac:dyDescent="0.35">
      <c r="A1241" t="s">
        <v>3958</v>
      </c>
      <c r="B1241" t="s">
        <v>5211</v>
      </c>
      <c r="C1241" t="s">
        <v>5617</v>
      </c>
    </row>
    <row r="1242" spans="1:3" x14ac:dyDescent="0.35">
      <c r="A1242" t="s">
        <v>3958</v>
      </c>
      <c r="B1242" t="s">
        <v>5598</v>
      </c>
      <c r="C1242" t="s">
        <v>5609</v>
      </c>
    </row>
    <row r="1243" spans="1:3" x14ac:dyDescent="0.35">
      <c r="A1243" t="s">
        <v>2744</v>
      </c>
      <c r="B1243" t="s">
        <v>5182</v>
      </c>
      <c r="C1243" t="s">
        <v>5611</v>
      </c>
    </row>
    <row r="1244" spans="1:3" x14ac:dyDescent="0.35">
      <c r="A1244" t="s">
        <v>5186</v>
      </c>
      <c r="B1244" t="s">
        <v>5185</v>
      </c>
      <c r="C1244" t="s">
        <v>5611</v>
      </c>
    </row>
    <row r="1245" spans="1:3" x14ac:dyDescent="0.35">
      <c r="A1245" t="s">
        <v>2548</v>
      </c>
      <c r="B1245" t="s">
        <v>5189</v>
      </c>
      <c r="C1245" t="s">
        <v>5617</v>
      </c>
    </row>
    <row r="1246" spans="1:3" x14ac:dyDescent="0.35">
      <c r="A1246" t="s">
        <v>1011</v>
      </c>
      <c r="B1246" t="s">
        <v>5191</v>
      </c>
      <c r="C1246" t="s">
        <v>5609</v>
      </c>
    </row>
    <row r="1247" spans="1:3" x14ac:dyDescent="0.35">
      <c r="A1247" t="s">
        <v>1536</v>
      </c>
      <c r="B1247" t="s">
        <v>5193</v>
      </c>
      <c r="C1247" t="s">
        <v>5617</v>
      </c>
    </row>
    <row r="1248" spans="1:3" x14ac:dyDescent="0.35">
      <c r="A1248" t="s">
        <v>64</v>
      </c>
      <c r="B1248" t="s">
        <v>5196</v>
      </c>
      <c r="C1248" t="s">
        <v>5617</v>
      </c>
    </row>
    <row r="1249" spans="1:3" x14ac:dyDescent="0.35">
      <c r="A1249" t="s">
        <v>2815</v>
      </c>
      <c r="B1249" t="s">
        <v>5197</v>
      </c>
      <c r="C1249" t="s">
        <v>5609</v>
      </c>
    </row>
    <row r="1250" spans="1:3" x14ac:dyDescent="0.35">
      <c r="A1250" t="s">
        <v>4006</v>
      </c>
      <c r="B1250" t="s">
        <v>5198</v>
      </c>
      <c r="C1250" t="s">
        <v>5623</v>
      </c>
    </row>
    <row r="1251" spans="1:3" x14ac:dyDescent="0.35">
      <c r="A1251" t="s">
        <v>5200</v>
      </c>
      <c r="B1251" t="s">
        <v>5199</v>
      </c>
      <c r="C1251" t="s">
        <v>1837</v>
      </c>
    </row>
    <row r="1252" spans="1:3" x14ac:dyDescent="0.35">
      <c r="A1252" t="s">
        <v>5202</v>
      </c>
      <c r="B1252" t="s">
        <v>5201</v>
      </c>
      <c r="C1252" t="s">
        <v>1837</v>
      </c>
    </row>
    <row r="1253" spans="1:3" x14ac:dyDescent="0.35">
      <c r="A1253" t="s">
        <v>5205</v>
      </c>
      <c r="B1253" t="s">
        <v>5204</v>
      </c>
      <c r="C1253" t="s">
        <v>1837</v>
      </c>
    </row>
    <row r="1254" spans="1:3" x14ac:dyDescent="0.35">
      <c r="A1254" t="s">
        <v>5207</v>
      </c>
      <c r="B1254" t="s">
        <v>5206</v>
      </c>
      <c r="C1254" t="s">
        <v>1837</v>
      </c>
    </row>
    <row r="1255" spans="1:3" x14ac:dyDescent="0.35">
      <c r="A1255" t="s">
        <v>1355</v>
      </c>
      <c r="B1255" t="s">
        <v>5208</v>
      </c>
      <c r="C1255" t="s">
        <v>1837</v>
      </c>
    </row>
    <row r="1256" spans="1:3" x14ac:dyDescent="0.35">
      <c r="A1256" t="s">
        <v>2841</v>
      </c>
      <c r="B1256" t="s">
        <v>5209</v>
      </c>
      <c r="C1256" t="s">
        <v>5615</v>
      </c>
    </row>
    <row r="1257" spans="1:3" x14ac:dyDescent="0.35">
      <c r="A1257" t="s">
        <v>5213</v>
      </c>
      <c r="B1257" t="s">
        <v>5212</v>
      </c>
      <c r="C1257" t="s">
        <v>5617</v>
      </c>
    </row>
    <row r="1258" spans="1:3" x14ac:dyDescent="0.35">
      <c r="A1258" t="s">
        <v>2705</v>
      </c>
      <c r="B1258" t="s">
        <v>5214</v>
      </c>
      <c r="C1258" t="s">
        <v>5617</v>
      </c>
    </row>
    <row r="1259" spans="1:3" x14ac:dyDescent="0.35">
      <c r="A1259" t="s">
        <v>2718</v>
      </c>
      <c r="B1259" t="s">
        <v>5216</v>
      </c>
      <c r="C1259" t="s">
        <v>5617</v>
      </c>
    </row>
    <row r="1260" spans="1:3" x14ac:dyDescent="0.35">
      <c r="A1260" t="s">
        <v>2843</v>
      </c>
      <c r="B1260" t="s">
        <v>5217</v>
      </c>
      <c r="C1260" t="s">
        <v>5618</v>
      </c>
    </row>
    <row r="1261" spans="1:3" x14ac:dyDescent="0.35">
      <c r="A1261" t="s">
        <v>3071</v>
      </c>
      <c r="B1261" t="s">
        <v>5218</v>
      </c>
      <c r="C1261" t="s">
        <v>5609</v>
      </c>
    </row>
    <row r="1262" spans="1:3" x14ac:dyDescent="0.35">
      <c r="A1262" t="s">
        <v>3056</v>
      </c>
      <c r="B1262" t="s">
        <v>5220</v>
      </c>
      <c r="C1262" t="s">
        <v>5609</v>
      </c>
    </row>
    <row r="1263" spans="1:3" x14ac:dyDescent="0.35">
      <c r="A1263" t="s">
        <v>5222</v>
      </c>
      <c r="B1263" t="s">
        <v>5221</v>
      </c>
      <c r="C1263" t="s">
        <v>5609</v>
      </c>
    </row>
    <row r="1264" spans="1:3" x14ac:dyDescent="0.35">
      <c r="A1264" t="s">
        <v>5224</v>
      </c>
      <c r="B1264" t="s">
        <v>5223</v>
      </c>
      <c r="C1264" t="s">
        <v>5621</v>
      </c>
    </row>
    <row r="1265" spans="1:3" x14ac:dyDescent="0.35">
      <c r="A1265" t="s">
        <v>367</v>
      </c>
      <c r="B1265" t="s">
        <v>5225</v>
      </c>
      <c r="C1265" t="s">
        <v>5621</v>
      </c>
    </row>
    <row r="1266" spans="1:3" x14ac:dyDescent="0.35">
      <c r="A1266" t="s">
        <v>2860</v>
      </c>
      <c r="B1266" t="s">
        <v>5226</v>
      </c>
      <c r="C1266" t="s">
        <v>5617</v>
      </c>
    </row>
    <row r="1267" spans="1:3" x14ac:dyDescent="0.35">
      <c r="A1267" t="s">
        <v>2752</v>
      </c>
      <c r="B1267" t="s">
        <v>5227</v>
      </c>
      <c r="C1267" t="s">
        <v>5617</v>
      </c>
    </row>
    <row r="1268" spans="1:3" x14ac:dyDescent="0.35">
      <c r="A1268" t="s">
        <v>5230</v>
      </c>
      <c r="B1268" t="s">
        <v>5229</v>
      </c>
      <c r="C1268" t="s">
        <v>5611</v>
      </c>
    </row>
    <row r="1269" spans="1:3" x14ac:dyDescent="0.35">
      <c r="A1269" t="s">
        <v>5232</v>
      </c>
      <c r="B1269" t="s">
        <v>5231</v>
      </c>
      <c r="C1269" t="s">
        <v>5611</v>
      </c>
    </row>
    <row r="1270" spans="1:3" x14ac:dyDescent="0.35">
      <c r="A1270" t="s">
        <v>307</v>
      </c>
      <c r="B1270" t="s">
        <v>5233</v>
      </c>
      <c r="C1270" t="s">
        <v>5607</v>
      </c>
    </row>
    <row r="1271" spans="1:3" x14ac:dyDescent="0.35">
      <c r="A1271" t="s">
        <v>2137</v>
      </c>
      <c r="B1271" t="s">
        <v>5234</v>
      </c>
      <c r="C1271" t="s">
        <v>5607</v>
      </c>
    </row>
    <row r="1272" spans="1:3" x14ac:dyDescent="0.35">
      <c r="A1272" t="s">
        <v>2914</v>
      </c>
      <c r="B1272" t="s">
        <v>5235</v>
      </c>
      <c r="C1272" t="s">
        <v>5607</v>
      </c>
    </row>
    <row r="1273" spans="1:3" x14ac:dyDescent="0.35">
      <c r="A1273" t="s">
        <v>2042</v>
      </c>
      <c r="B1273" t="s">
        <v>5236</v>
      </c>
      <c r="C1273" t="s">
        <v>5607</v>
      </c>
    </row>
    <row r="1274" spans="1:3" x14ac:dyDescent="0.35">
      <c r="A1274" t="s">
        <v>1336</v>
      </c>
      <c r="B1274" t="s">
        <v>5237</v>
      </c>
      <c r="C1274" t="s">
        <v>5607</v>
      </c>
    </row>
    <row r="1275" spans="1:3" x14ac:dyDescent="0.35">
      <c r="A1275" t="s">
        <v>2223</v>
      </c>
      <c r="B1275" t="s">
        <v>5238</v>
      </c>
      <c r="C1275" t="s">
        <v>5607</v>
      </c>
    </row>
    <row r="1276" spans="1:3" x14ac:dyDescent="0.35">
      <c r="A1276" t="s">
        <v>3750</v>
      </c>
      <c r="B1276" t="s">
        <v>5239</v>
      </c>
      <c r="C1276" t="s">
        <v>5607</v>
      </c>
    </row>
    <row r="1277" spans="1:3" x14ac:dyDescent="0.35">
      <c r="A1277" t="s">
        <v>3895</v>
      </c>
      <c r="B1277" t="s">
        <v>5240</v>
      </c>
      <c r="C1277" t="s">
        <v>5607</v>
      </c>
    </row>
    <row r="1278" spans="1:3" x14ac:dyDescent="0.35">
      <c r="A1278" t="s">
        <v>76</v>
      </c>
      <c r="B1278" t="s">
        <v>5241</v>
      </c>
      <c r="C1278" t="s">
        <v>5607</v>
      </c>
    </row>
    <row r="1279" spans="1:3" x14ac:dyDescent="0.35">
      <c r="A1279" t="s">
        <v>2329</v>
      </c>
      <c r="B1279" t="s">
        <v>5242</v>
      </c>
      <c r="C1279" t="s">
        <v>5607</v>
      </c>
    </row>
    <row r="1280" spans="1:3" x14ac:dyDescent="0.35">
      <c r="A1280" t="s">
        <v>1761</v>
      </c>
      <c r="B1280" t="s">
        <v>5243</v>
      </c>
      <c r="C1280" t="s">
        <v>5607</v>
      </c>
    </row>
    <row r="1281" spans="1:3" x14ac:dyDescent="0.35">
      <c r="A1281" t="s">
        <v>1114</v>
      </c>
      <c r="B1281" t="s">
        <v>5244</v>
      </c>
      <c r="C1281" t="s">
        <v>5607</v>
      </c>
    </row>
    <row r="1282" spans="1:3" x14ac:dyDescent="0.35">
      <c r="A1282" t="s">
        <v>1034</v>
      </c>
      <c r="B1282" t="s">
        <v>5245</v>
      </c>
      <c r="C1282" t="s">
        <v>5607</v>
      </c>
    </row>
    <row r="1283" spans="1:3" x14ac:dyDescent="0.35">
      <c r="A1283" t="s">
        <v>1112</v>
      </c>
      <c r="B1283" t="s">
        <v>5246</v>
      </c>
      <c r="C1283" t="s">
        <v>5607</v>
      </c>
    </row>
    <row r="1284" spans="1:3" x14ac:dyDescent="0.35">
      <c r="A1284" t="s">
        <v>1286</v>
      </c>
      <c r="B1284" t="s">
        <v>5247</v>
      </c>
      <c r="C1284" t="s">
        <v>5607</v>
      </c>
    </row>
    <row r="1285" spans="1:3" x14ac:dyDescent="0.35">
      <c r="A1285" t="s">
        <v>1815</v>
      </c>
      <c r="B1285" t="s">
        <v>5248</v>
      </c>
      <c r="C1285" t="s">
        <v>5607</v>
      </c>
    </row>
    <row r="1286" spans="1:3" x14ac:dyDescent="0.35">
      <c r="A1286" t="s">
        <v>2131</v>
      </c>
      <c r="B1286" t="s">
        <v>5250</v>
      </c>
      <c r="C1286" t="s">
        <v>5607</v>
      </c>
    </row>
    <row r="1287" spans="1:3" x14ac:dyDescent="0.35">
      <c r="A1287" t="s">
        <v>2133</v>
      </c>
      <c r="B1287" t="s">
        <v>5251</v>
      </c>
      <c r="C1287" t="s">
        <v>5607</v>
      </c>
    </row>
    <row r="1288" spans="1:3" x14ac:dyDescent="0.35">
      <c r="A1288" t="s">
        <v>3303</v>
      </c>
      <c r="B1288" t="s">
        <v>5252</v>
      </c>
      <c r="C1288" t="s">
        <v>5607</v>
      </c>
    </row>
    <row r="1289" spans="1:3" x14ac:dyDescent="0.35">
      <c r="A1289" t="s">
        <v>3330</v>
      </c>
      <c r="B1289" t="s">
        <v>5253</v>
      </c>
      <c r="C1289" t="s">
        <v>5607</v>
      </c>
    </row>
    <row r="1290" spans="1:3" x14ac:dyDescent="0.35">
      <c r="A1290" t="s">
        <v>3337</v>
      </c>
      <c r="B1290" t="s">
        <v>5254</v>
      </c>
      <c r="C1290" t="s">
        <v>5607</v>
      </c>
    </row>
    <row r="1291" spans="1:3" x14ac:dyDescent="0.35">
      <c r="A1291" t="s">
        <v>3988</v>
      </c>
      <c r="B1291" t="s">
        <v>5255</v>
      </c>
      <c r="C1291" t="s">
        <v>5607</v>
      </c>
    </row>
    <row r="1292" spans="1:3" x14ac:dyDescent="0.35">
      <c r="A1292" t="s">
        <v>2393</v>
      </c>
      <c r="B1292" t="s">
        <v>5257</v>
      </c>
      <c r="C1292" t="s">
        <v>5614</v>
      </c>
    </row>
    <row r="1293" spans="1:3" x14ac:dyDescent="0.35">
      <c r="A1293" t="s">
        <v>3307</v>
      </c>
      <c r="B1293" t="s">
        <v>5258</v>
      </c>
      <c r="C1293" t="s">
        <v>5614</v>
      </c>
    </row>
    <row r="1294" spans="1:3" x14ac:dyDescent="0.35">
      <c r="A1294" t="s">
        <v>1217</v>
      </c>
      <c r="B1294" t="s">
        <v>5259</v>
      </c>
      <c r="C1294" t="s">
        <v>5614</v>
      </c>
    </row>
    <row r="1295" spans="1:3" x14ac:dyDescent="0.35">
      <c r="A1295" t="s">
        <v>1424</v>
      </c>
      <c r="B1295" t="s">
        <v>5260</v>
      </c>
      <c r="C1295" t="s">
        <v>5614</v>
      </c>
    </row>
    <row r="1296" spans="1:3" x14ac:dyDescent="0.35">
      <c r="A1296" t="s">
        <v>1885</v>
      </c>
      <c r="B1296" t="s">
        <v>5261</v>
      </c>
      <c r="C1296" t="s">
        <v>5614</v>
      </c>
    </row>
    <row r="1297" spans="1:3" x14ac:dyDescent="0.35">
      <c r="A1297" t="s">
        <v>2146</v>
      </c>
      <c r="B1297" t="s">
        <v>5262</v>
      </c>
      <c r="C1297" t="s">
        <v>5614</v>
      </c>
    </row>
    <row r="1298" spans="1:3" x14ac:dyDescent="0.35">
      <c r="A1298" t="s">
        <v>2391</v>
      </c>
      <c r="B1298" t="s">
        <v>5263</v>
      </c>
      <c r="C1298" t="s">
        <v>5614</v>
      </c>
    </row>
    <row r="1299" spans="1:3" x14ac:dyDescent="0.35">
      <c r="A1299" t="s">
        <v>1767</v>
      </c>
      <c r="B1299" t="s">
        <v>5264</v>
      </c>
      <c r="C1299" t="s">
        <v>5614</v>
      </c>
    </row>
    <row r="1300" spans="1:3" x14ac:dyDescent="0.35">
      <c r="A1300" t="s">
        <v>3574</v>
      </c>
      <c r="B1300" t="s">
        <v>5265</v>
      </c>
      <c r="C1300" t="s">
        <v>5614</v>
      </c>
    </row>
    <row r="1301" spans="1:3" x14ac:dyDescent="0.35">
      <c r="A1301" t="s">
        <v>511</v>
      </c>
      <c r="B1301" t="s">
        <v>5266</v>
      </c>
      <c r="C1301" t="s">
        <v>5614</v>
      </c>
    </row>
    <row r="1302" spans="1:3" x14ac:dyDescent="0.35">
      <c r="A1302" t="s">
        <v>2962</v>
      </c>
      <c r="B1302" t="s">
        <v>5267</v>
      </c>
      <c r="C1302" t="s">
        <v>5614</v>
      </c>
    </row>
    <row r="1303" spans="1:3" x14ac:dyDescent="0.35">
      <c r="A1303" t="s">
        <v>3065</v>
      </c>
      <c r="B1303" t="s">
        <v>5268</v>
      </c>
      <c r="C1303" t="s">
        <v>5614</v>
      </c>
    </row>
    <row r="1304" spans="1:3" x14ac:dyDescent="0.35">
      <c r="A1304" t="s">
        <v>5270</v>
      </c>
      <c r="B1304" t="s">
        <v>5269</v>
      </c>
      <c r="C1304" t="s">
        <v>5614</v>
      </c>
    </row>
    <row r="1305" spans="1:3" x14ac:dyDescent="0.35">
      <c r="A1305" t="s">
        <v>3062</v>
      </c>
      <c r="B1305" t="s">
        <v>5271</v>
      </c>
      <c r="C1305" t="s">
        <v>5614</v>
      </c>
    </row>
    <row r="1306" spans="1:3" x14ac:dyDescent="0.35">
      <c r="A1306" t="s">
        <v>175</v>
      </c>
      <c r="B1306" t="s">
        <v>5272</v>
      </c>
      <c r="C1306" t="s">
        <v>5614</v>
      </c>
    </row>
    <row r="1307" spans="1:3" x14ac:dyDescent="0.35">
      <c r="A1307" t="s">
        <v>1091</v>
      </c>
      <c r="B1307" t="s">
        <v>5273</v>
      </c>
      <c r="C1307" t="s">
        <v>5614</v>
      </c>
    </row>
    <row r="1308" spans="1:3" x14ac:dyDescent="0.35">
      <c r="A1308" t="s">
        <v>1621</v>
      </c>
      <c r="B1308" t="s">
        <v>5274</v>
      </c>
      <c r="C1308" t="s">
        <v>5614</v>
      </c>
    </row>
    <row r="1309" spans="1:3" x14ac:dyDescent="0.35">
      <c r="A1309" t="s">
        <v>1623</v>
      </c>
      <c r="B1309" t="s">
        <v>5275</v>
      </c>
      <c r="C1309" t="s">
        <v>5614</v>
      </c>
    </row>
    <row r="1310" spans="1:3" x14ac:dyDescent="0.35">
      <c r="A1310" t="s">
        <v>1898</v>
      </c>
      <c r="B1310" t="s">
        <v>5276</v>
      </c>
      <c r="C1310" t="s">
        <v>5614</v>
      </c>
    </row>
    <row r="1311" spans="1:3" x14ac:dyDescent="0.35">
      <c r="A1311" t="s">
        <v>1900</v>
      </c>
      <c r="B1311" t="s">
        <v>5277</v>
      </c>
      <c r="C1311" t="s">
        <v>5614</v>
      </c>
    </row>
    <row r="1312" spans="1:3" x14ac:dyDescent="0.35">
      <c r="A1312" t="s">
        <v>1924</v>
      </c>
      <c r="B1312" t="s">
        <v>5278</v>
      </c>
      <c r="C1312" t="s">
        <v>5614</v>
      </c>
    </row>
    <row r="1313" spans="1:3" x14ac:dyDescent="0.35">
      <c r="A1313" t="s">
        <v>2790</v>
      </c>
      <c r="B1313" t="s">
        <v>5279</v>
      </c>
      <c r="C1313" t="s">
        <v>5614</v>
      </c>
    </row>
    <row r="1314" spans="1:3" x14ac:dyDescent="0.35">
      <c r="A1314" t="s">
        <v>2945</v>
      </c>
      <c r="B1314" t="s">
        <v>5280</v>
      </c>
      <c r="C1314" t="s">
        <v>5614</v>
      </c>
    </row>
    <row r="1315" spans="1:3" x14ac:dyDescent="0.35">
      <c r="A1315" t="s">
        <v>2960</v>
      </c>
      <c r="B1315" t="s">
        <v>5281</v>
      </c>
      <c r="C1315" t="s">
        <v>5614</v>
      </c>
    </row>
    <row r="1316" spans="1:3" x14ac:dyDescent="0.35">
      <c r="A1316" t="s">
        <v>2964</v>
      </c>
      <c r="B1316" t="s">
        <v>5282</v>
      </c>
      <c r="C1316" t="s">
        <v>5614</v>
      </c>
    </row>
    <row r="1317" spans="1:3" x14ac:dyDescent="0.35">
      <c r="A1317" t="s">
        <v>2985</v>
      </c>
      <c r="B1317" t="s">
        <v>5283</v>
      </c>
      <c r="C1317" t="s">
        <v>5614</v>
      </c>
    </row>
    <row r="1318" spans="1:3" x14ac:dyDescent="0.35">
      <c r="A1318" t="s">
        <v>3435</v>
      </c>
      <c r="B1318" t="s">
        <v>5284</v>
      </c>
      <c r="C1318" t="s">
        <v>5614</v>
      </c>
    </row>
    <row r="1319" spans="1:3" x14ac:dyDescent="0.35">
      <c r="A1319" t="s">
        <v>3509</v>
      </c>
      <c r="B1319" t="s">
        <v>5285</v>
      </c>
      <c r="C1319" t="s">
        <v>5614</v>
      </c>
    </row>
    <row r="1320" spans="1:3" x14ac:dyDescent="0.35">
      <c r="A1320" t="s">
        <v>3513</v>
      </c>
      <c r="B1320" t="s">
        <v>5286</v>
      </c>
      <c r="C1320" t="s">
        <v>5614</v>
      </c>
    </row>
    <row r="1321" spans="1:3" x14ac:dyDescent="0.35">
      <c r="A1321" t="s">
        <v>3515</v>
      </c>
      <c r="B1321" t="s">
        <v>5287</v>
      </c>
      <c r="C1321" t="s">
        <v>5614</v>
      </c>
    </row>
    <row r="1322" spans="1:3" x14ac:dyDescent="0.35">
      <c r="A1322" t="s">
        <v>3517</v>
      </c>
      <c r="B1322" t="s">
        <v>5288</v>
      </c>
      <c r="C1322" t="s">
        <v>5614</v>
      </c>
    </row>
    <row r="1323" spans="1:3" x14ac:dyDescent="0.35">
      <c r="A1323" t="s">
        <v>3565</v>
      </c>
      <c r="B1323" t="s">
        <v>5289</v>
      </c>
      <c r="C1323" t="s">
        <v>5614</v>
      </c>
    </row>
    <row r="1324" spans="1:3" x14ac:dyDescent="0.35">
      <c r="A1324" t="s">
        <v>3824</v>
      </c>
      <c r="B1324" t="s">
        <v>5290</v>
      </c>
      <c r="C1324" t="s">
        <v>5614</v>
      </c>
    </row>
    <row r="1325" spans="1:3" x14ac:dyDescent="0.35">
      <c r="A1325" t="s">
        <v>3918</v>
      </c>
      <c r="B1325" t="s">
        <v>5291</v>
      </c>
      <c r="C1325" t="s">
        <v>5614</v>
      </c>
    </row>
    <row r="1326" spans="1:3" x14ac:dyDescent="0.35">
      <c r="A1326" t="s">
        <v>2977</v>
      </c>
      <c r="B1326" t="s">
        <v>5292</v>
      </c>
      <c r="C1326" t="s">
        <v>5615</v>
      </c>
    </row>
    <row r="1327" spans="1:3" x14ac:dyDescent="0.35">
      <c r="A1327" t="s">
        <v>818</v>
      </c>
      <c r="B1327" t="s">
        <v>5293</v>
      </c>
      <c r="C1327" t="s">
        <v>5615</v>
      </c>
    </row>
    <row r="1328" spans="1:3" x14ac:dyDescent="0.35">
      <c r="A1328" t="s">
        <v>202</v>
      </c>
      <c r="B1328" t="s">
        <v>5294</v>
      </c>
      <c r="C1328" t="s">
        <v>5615</v>
      </c>
    </row>
    <row r="1329" spans="1:3" x14ac:dyDescent="0.35">
      <c r="A1329" t="s">
        <v>623</v>
      </c>
      <c r="B1329" t="s">
        <v>5295</v>
      </c>
      <c r="C1329" t="s">
        <v>5615</v>
      </c>
    </row>
    <row r="1330" spans="1:3" x14ac:dyDescent="0.35">
      <c r="A1330" t="s">
        <v>1334</v>
      </c>
      <c r="B1330" t="s">
        <v>5296</v>
      </c>
      <c r="C1330" t="s">
        <v>5615</v>
      </c>
    </row>
    <row r="1331" spans="1:3" x14ac:dyDescent="0.35">
      <c r="A1331" t="s">
        <v>933</v>
      </c>
      <c r="B1331" t="s">
        <v>5298</v>
      </c>
      <c r="C1331" t="s">
        <v>5615</v>
      </c>
    </row>
    <row r="1332" spans="1:3" x14ac:dyDescent="0.35">
      <c r="A1332" t="s">
        <v>931</v>
      </c>
      <c r="B1332" t="s">
        <v>5299</v>
      </c>
      <c r="C1332" t="s">
        <v>5615</v>
      </c>
    </row>
    <row r="1333" spans="1:3" x14ac:dyDescent="0.35">
      <c r="A1333" t="s">
        <v>929</v>
      </c>
      <c r="B1333" t="s">
        <v>5300</v>
      </c>
      <c r="C1333" t="s">
        <v>5615</v>
      </c>
    </row>
    <row r="1334" spans="1:3" x14ac:dyDescent="0.35">
      <c r="A1334" t="s">
        <v>925</v>
      </c>
      <c r="B1334" t="s">
        <v>5302</v>
      </c>
      <c r="C1334" t="s">
        <v>5615</v>
      </c>
    </row>
    <row r="1335" spans="1:3" x14ac:dyDescent="0.35">
      <c r="A1335" t="s">
        <v>3026</v>
      </c>
      <c r="B1335" t="s">
        <v>5303</v>
      </c>
      <c r="C1335" t="s">
        <v>5618</v>
      </c>
    </row>
    <row r="1336" spans="1:3" x14ac:dyDescent="0.35">
      <c r="A1336" t="s">
        <v>99</v>
      </c>
      <c r="B1336" t="s">
        <v>5304</v>
      </c>
      <c r="C1336" t="s">
        <v>5619</v>
      </c>
    </row>
    <row r="1337" spans="1:3" x14ac:dyDescent="0.35">
      <c r="A1337" t="s">
        <v>584</v>
      </c>
      <c r="B1337" t="s">
        <v>5305</v>
      </c>
      <c r="C1337" t="s">
        <v>5619</v>
      </c>
    </row>
    <row r="1338" spans="1:3" x14ac:dyDescent="0.35">
      <c r="A1338" t="s">
        <v>786</v>
      </c>
      <c r="B1338" t="s">
        <v>5306</v>
      </c>
      <c r="C1338" t="s">
        <v>5619</v>
      </c>
    </row>
    <row r="1339" spans="1:3" x14ac:dyDescent="0.35">
      <c r="A1339" t="s">
        <v>2711</v>
      </c>
      <c r="B1339" t="s">
        <v>5307</v>
      </c>
      <c r="C1339" t="s">
        <v>5619</v>
      </c>
    </row>
    <row r="1340" spans="1:3" x14ac:dyDescent="0.35">
      <c r="A1340" t="s">
        <v>2928</v>
      </c>
      <c r="B1340" t="s">
        <v>5308</v>
      </c>
      <c r="C1340" t="s">
        <v>5619</v>
      </c>
    </row>
    <row r="1341" spans="1:3" x14ac:dyDescent="0.35">
      <c r="A1341" t="s">
        <v>4002</v>
      </c>
      <c r="B1341" t="s">
        <v>5309</v>
      </c>
      <c r="C1341" t="s">
        <v>5619</v>
      </c>
    </row>
    <row r="1342" spans="1:3" x14ac:dyDescent="0.35">
      <c r="A1342" t="s">
        <v>3601</v>
      </c>
      <c r="B1342" t="s">
        <v>5312</v>
      </c>
      <c r="C1342" t="s">
        <v>5611</v>
      </c>
    </row>
    <row r="1343" spans="1:3" x14ac:dyDescent="0.35">
      <c r="A1343" t="s">
        <v>3046</v>
      </c>
      <c r="B1343" t="s">
        <v>5313</v>
      </c>
      <c r="C1343" t="s">
        <v>5611</v>
      </c>
    </row>
    <row r="1344" spans="1:3" x14ac:dyDescent="0.35">
      <c r="A1344" t="s">
        <v>892</v>
      </c>
      <c r="B1344" t="s">
        <v>5314</v>
      </c>
      <c r="C1344" t="s">
        <v>5611</v>
      </c>
    </row>
    <row r="1345" spans="1:3" x14ac:dyDescent="0.35">
      <c r="A1345" t="s">
        <v>5316</v>
      </c>
      <c r="B1345" t="s">
        <v>5315</v>
      </c>
      <c r="C1345" t="s">
        <v>5621</v>
      </c>
    </row>
    <row r="1346" spans="1:3" x14ac:dyDescent="0.35">
      <c r="A1346" t="s">
        <v>5318</v>
      </c>
      <c r="B1346" t="s">
        <v>5317</v>
      </c>
      <c r="C1346" t="s">
        <v>5621</v>
      </c>
    </row>
    <row r="1347" spans="1:3" x14ac:dyDescent="0.35">
      <c r="A1347" t="s">
        <v>5320</v>
      </c>
      <c r="B1347" t="s">
        <v>5319</v>
      </c>
      <c r="C1347" t="s">
        <v>5611</v>
      </c>
    </row>
    <row r="1348" spans="1:3" x14ac:dyDescent="0.35">
      <c r="A1348" t="s">
        <v>5322</v>
      </c>
      <c r="B1348" t="s">
        <v>5321</v>
      </c>
      <c r="C1348" t="s">
        <v>5609</v>
      </c>
    </row>
    <row r="1349" spans="1:3" x14ac:dyDescent="0.35">
      <c r="A1349" t="s">
        <v>2492</v>
      </c>
      <c r="B1349" t="s">
        <v>5323</v>
      </c>
      <c r="C1349" t="s">
        <v>5609</v>
      </c>
    </row>
    <row r="1350" spans="1:3" x14ac:dyDescent="0.35">
      <c r="A1350" t="s">
        <v>3101</v>
      </c>
      <c r="B1350" t="s">
        <v>5325</v>
      </c>
      <c r="C1350" t="s">
        <v>5610</v>
      </c>
    </row>
    <row r="1351" spans="1:3" x14ac:dyDescent="0.35">
      <c r="A1351" t="s">
        <v>1922</v>
      </c>
      <c r="B1351" t="s">
        <v>5326</v>
      </c>
      <c r="C1351" t="s">
        <v>5610</v>
      </c>
    </row>
    <row r="1352" spans="1:3" x14ac:dyDescent="0.35">
      <c r="A1352" t="s">
        <v>3526</v>
      </c>
      <c r="B1352" t="s">
        <v>5327</v>
      </c>
      <c r="C1352" t="s">
        <v>5610</v>
      </c>
    </row>
    <row r="1353" spans="1:3" x14ac:dyDescent="0.35">
      <c r="A1353" t="s">
        <v>2935</v>
      </c>
      <c r="B1353" t="s">
        <v>5328</v>
      </c>
      <c r="C1353" t="s">
        <v>5610</v>
      </c>
    </row>
    <row r="1354" spans="1:3" x14ac:dyDescent="0.35">
      <c r="A1354" t="s">
        <v>3295</v>
      </c>
      <c r="B1354" t="s">
        <v>5329</v>
      </c>
      <c r="C1354" t="s">
        <v>5610</v>
      </c>
    </row>
    <row r="1355" spans="1:3" x14ac:dyDescent="0.35">
      <c r="A1355" t="s">
        <v>2095</v>
      </c>
      <c r="B1355" t="s">
        <v>5330</v>
      </c>
      <c r="C1355" t="s">
        <v>5610</v>
      </c>
    </row>
    <row r="1356" spans="1:3" x14ac:dyDescent="0.35">
      <c r="A1356" t="s">
        <v>1422</v>
      </c>
      <c r="B1356" t="s">
        <v>5331</v>
      </c>
      <c r="C1356" t="s">
        <v>5610</v>
      </c>
    </row>
    <row r="1357" spans="1:3" x14ac:dyDescent="0.35">
      <c r="A1357" t="s">
        <v>145</v>
      </c>
      <c r="B1357" t="s">
        <v>5332</v>
      </c>
      <c r="C1357" t="s">
        <v>5610</v>
      </c>
    </row>
    <row r="1358" spans="1:3" x14ac:dyDescent="0.35">
      <c r="A1358" t="s">
        <v>890</v>
      </c>
      <c r="B1358" t="s">
        <v>5333</v>
      </c>
      <c r="C1358" t="s">
        <v>5610</v>
      </c>
    </row>
    <row r="1359" spans="1:3" x14ac:dyDescent="0.35">
      <c r="A1359" t="s">
        <v>5335</v>
      </c>
      <c r="B1359" t="s">
        <v>5334</v>
      </c>
      <c r="C1359" t="s">
        <v>5614</v>
      </c>
    </row>
    <row r="1360" spans="1:3" x14ac:dyDescent="0.35">
      <c r="A1360" t="s">
        <v>5337</v>
      </c>
      <c r="B1360" t="s">
        <v>5336</v>
      </c>
      <c r="C1360" t="s">
        <v>5614</v>
      </c>
    </row>
    <row r="1361" spans="1:3" x14ac:dyDescent="0.35">
      <c r="A1361" t="s">
        <v>5339</v>
      </c>
      <c r="B1361" t="s">
        <v>5338</v>
      </c>
      <c r="C1361" t="s">
        <v>5614</v>
      </c>
    </row>
    <row r="1362" spans="1:3" x14ac:dyDescent="0.35">
      <c r="A1362" t="s">
        <v>3104</v>
      </c>
      <c r="B1362" t="s">
        <v>5340</v>
      </c>
      <c r="C1362" t="s">
        <v>5614</v>
      </c>
    </row>
    <row r="1363" spans="1:3" x14ac:dyDescent="0.35">
      <c r="A1363" t="s">
        <v>3106</v>
      </c>
      <c r="B1363" t="s">
        <v>5341</v>
      </c>
      <c r="C1363" t="s">
        <v>5614</v>
      </c>
    </row>
    <row r="1364" spans="1:3" x14ac:dyDescent="0.35">
      <c r="A1364" t="s">
        <v>3190</v>
      </c>
      <c r="B1364" t="s">
        <v>5342</v>
      </c>
      <c r="C1364" t="s">
        <v>5614</v>
      </c>
    </row>
    <row r="1365" spans="1:3" x14ac:dyDescent="0.35">
      <c r="A1365" t="s">
        <v>58</v>
      </c>
      <c r="B1365" t="s">
        <v>5343</v>
      </c>
      <c r="C1365" t="s">
        <v>1837</v>
      </c>
    </row>
    <row r="1366" spans="1:3" x14ac:dyDescent="0.35">
      <c r="A1366" t="s">
        <v>2084</v>
      </c>
      <c r="B1366" t="s">
        <v>5344</v>
      </c>
      <c r="C1366" t="s">
        <v>1837</v>
      </c>
    </row>
    <row r="1367" spans="1:3" x14ac:dyDescent="0.35">
      <c r="A1367" t="s">
        <v>2086</v>
      </c>
      <c r="B1367" t="s">
        <v>5345</v>
      </c>
      <c r="C1367" t="s">
        <v>1837</v>
      </c>
    </row>
    <row r="1368" spans="1:3" x14ac:dyDescent="0.35">
      <c r="A1368" t="s">
        <v>2943</v>
      </c>
      <c r="B1368" t="s">
        <v>5346</v>
      </c>
      <c r="C1368" t="s">
        <v>1837</v>
      </c>
    </row>
    <row r="1369" spans="1:3" x14ac:dyDescent="0.35">
      <c r="A1369" t="s">
        <v>3111</v>
      </c>
      <c r="B1369" t="s">
        <v>5347</v>
      </c>
      <c r="C1369" t="s">
        <v>1837</v>
      </c>
    </row>
    <row r="1370" spans="1:3" x14ac:dyDescent="0.35">
      <c r="A1370" t="s">
        <v>3394</v>
      </c>
      <c r="B1370" t="s">
        <v>5348</v>
      </c>
      <c r="C1370" t="s">
        <v>1837</v>
      </c>
    </row>
    <row r="1371" spans="1:3" x14ac:dyDescent="0.35">
      <c r="A1371" t="s">
        <v>3113</v>
      </c>
      <c r="B1371" t="s">
        <v>5349</v>
      </c>
      <c r="C1371" t="s">
        <v>1757</v>
      </c>
    </row>
    <row r="1372" spans="1:3" x14ac:dyDescent="0.35">
      <c r="A1372" t="s">
        <v>1837</v>
      </c>
      <c r="B1372" t="s">
        <v>5350</v>
      </c>
      <c r="C1372" t="s">
        <v>5615</v>
      </c>
    </row>
    <row r="1373" spans="1:3" x14ac:dyDescent="0.35">
      <c r="A1373" t="s">
        <v>1038</v>
      </c>
      <c r="B1373" t="s">
        <v>5351</v>
      </c>
      <c r="C1373" t="s">
        <v>5615</v>
      </c>
    </row>
    <row r="1374" spans="1:3" x14ac:dyDescent="0.35">
      <c r="A1374" t="s">
        <v>1040</v>
      </c>
      <c r="B1374" t="s">
        <v>5352</v>
      </c>
      <c r="C1374" t="s">
        <v>5615</v>
      </c>
    </row>
    <row r="1375" spans="1:3" x14ac:dyDescent="0.35">
      <c r="A1375" t="s">
        <v>1096</v>
      </c>
      <c r="B1375" t="s">
        <v>5354</v>
      </c>
      <c r="C1375" t="s">
        <v>5615</v>
      </c>
    </row>
    <row r="1376" spans="1:3" x14ac:dyDescent="0.35">
      <c r="A1376" t="s">
        <v>211</v>
      </c>
      <c r="B1376" t="s">
        <v>5355</v>
      </c>
      <c r="C1376" t="s">
        <v>5615</v>
      </c>
    </row>
    <row r="1377" spans="1:3" x14ac:dyDescent="0.35">
      <c r="A1377" t="s">
        <v>3010</v>
      </c>
      <c r="B1377" t="s">
        <v>5356</v>
      </c>
      <c r="C1377" t="s">
        <v>5615</v>
      </c>
    </row>
    <row r="1378" spans="1:3" x14ac:dyDescent="0.35">
      <c r="A1378" t="s">
        <v>1162</v>
      </c>
      <c r="B1378" t="s">
        <v>5357</v>
      </c>
      <c r="C1378" t="s">
        <v>5615</v>
      </c>
    </row>
    <row r="1379" spans="1:3" x14ac:dyDescent="0.35">
      <c r="A1379" t="s">
        <v>2204</v>
      </c>
      <c r="B1379" t="s">
        <v>5358</v>
      </c>
      <c r="C1379" t="s">
        <v>5615</v>
      </c>
    </row>
    <row r="1380" spans="1:3" x14ac:dyDescent="0.35">
      <c r="A1380" t="s">
        <v>1527</v>
      </c>
      <c r="B1380" t="s">
        <v>5359</v>
      </c>
      <c r="C1380" t="s">
        <v>5618</v>
      </c>
    </row>
    <row r="1381" spans="1:3" x14ac:dyDescent="0.35">
      <c r="A1381" t="s">
        <v>3297</v>
      </c>
      <c r="B1381" t="s">
        <v>5360</v>
      </c>
      <c r="C1381" t="s">
        <v>5618</v>
      </c>
    </row>
    <row r="1382" spans="1:3" x14ac:dyDescent="0.35">
      <c r="A1382" t="s">
        <v>3289</v>
      </c>
      <c r="B1382" t="s">
        <v>5362</v>
      </c>
      <c r="C1382" t="s">
        <v>5618</v>
      </c>
    </row>
    <row r="1383" spans="1:3" x14ac:dyDescent="0.35">
      <c r="A1383" t="s">
        <v>3139</v>
      </c>
      <c r="B1383" t="s">
        <v>5363</v>
      </c>
      <c r="C1383" t="s">
        <v>5618</v>
      </c>
    </row>
    <row r="1384" spans="1:3" x14ac:dyDescent="0.35">
      <c r="A1384" t="s">
        <v>2889</v>
      </c>
      <c r="B1384" t="s">
        <v>5364</v>
      </c>
      <c r="C1384" t="s">
        <v>5618</v>
      </c>
    </row>
    <row r="1385" spans="1:3" x14ac:dyDescent="0.35">
      <c r="A1385" t="s">
        <v>3291</v>
      </c>
      <c r="B1385" t="s">
        <v>5366</v>
      </c>
      <c r="C1385" t="s">
        <v>5623</v>
      </c>
    </row>
    <row r="1386" spans="1:3" x14ac:dyDescent="0.35">
      <c r="A1386" t="s">
        <v>166</v>
      </c>
      <c r="B1386" t="s">
        <v>5372</v>
      </c>
      <c r="C1386" t="s">
        <v>1837</v>
      </c>
    </row>
    <row r="1387" spans="1:3" x14ac:dyDescent="0.35">
      <c r="A1387" t="s">
        <v>1720</v>
      </c>
      <c r="B1387" t="s">
        <v>5373</v>
      </c>
      <c r="C1387" t="s">
        <v>1837</v>
      </c>
    </row>
    <row r="1388" spans="1:3" x14ac:dyDescent="0.35">
      <c r="A1388" t="s">
        <v>888</v>
      </c>
      <c r="B1388" t="s">
        <v>5375</v>
      </c>
      <c r="C1388" t="s">
        <v>1837</v>
      </c>
    </row>
    <row r="1389" spans="1:3" x14ac:dyDescent="0.35">
      <c r="A1389" t="s">
        <v>3246</v>
      </c>
      <c r="B1389" t="s">
        <v>5376</v>
      </c>
      <c r="C1389" t="s">
        <v>5617</v>
      </c>
    </row>
    <row r="1390" spans="1:3" x14ac:dyDescent="0.35">
      <c r="A1390" t="s">
        <v>1474</v>
      </c>
      <c r="B1390" t="s">
        <v>5377</v>
      </c>
      <c r="C1390" t="s">
        <v>5617</v>
      </c>
    </row>
    <row r="1391" spans="1:3" x14ac:dyDescent="0.35">
      <c r="A1391" t="s">
        <v>2357</v>
      </c>
      <c r="B1391" t="s">
        <v>5378</v>
      </c>
      <c r="C1391" t="s">
        <v>5617</v>
      </c>
    </row>
    <row r="1392" spans="1:3" x14ac:dyDescent="0.35">
      <c r="A1392" t="s">
        <v>5380</v>
      </c>
      <c r="B1392" t="s">
        <v>5379</v>
      </c>
      <c r="C1392" t="s">
        <v>5609</v>
      </c>
    </row>
    <row r="1393" spans="1:3" x14ac:dyDescent="0.35">
      <c r="A1393" t="s">
        <v>5382</v>
      </c>
      <c r="B1393" t="s">
        <v>5381</v>
      </c>
      <c r="C1393" t="s">
        <v>5612</v>
      </c>
    </row>
    <row r="1394" spans="1:3" x14ac:dyDescent="0.35">
      <c r="A1394" t="s">
        <v>1332</v>
      </c>
      <c r="B1394" t="s">
        <v>5385</v>
      </c>
      <c r="C1394" t="s">
        <v>5610</v>
      </c>
    </row>
    <row r="1395" spans="1:3" x14ac:dyDescent="0.35">
      <c r="A1395" t="s">
        <v>3264</v>
      </c>
      <c r="B1395" t="s">
        <v>5386</v>
      </c>
      <c r="C1395" t="s">
        <v>5610</v>
      </c>
    </row>
    <row r="1396" spans="1:3" x14ac:dyDescent="0.35">
      <c r="A1396" t="s">
        <v>692</v>
      </c>
      <c r="B1396" t="s">
        <v>5387</v>
      </c>
      <c r="C1396" t="s">
        <v>5610</v>
      </c>
    </row>
    <row r="1397" spans="1:3" x14ac:dyDescent="0.35">
      <c r="A1397" t="s">
        <v>3555</v>
      </c>
      <c r="B1397" t="s">
        <v>5388</v>
      </c>
      <c r="C1397" t="s">
        <v>5610</v>
      </c>
    </row>
    <row r="1398" spans="1:3" x14ac:dyDescent="0.35">
      <c r="A1398" t="s">
        <v>480</v>
      </c>
      <c r="B1398" t="s">
        <v>5389</v>
      </c>
      <c r="C1398" t="s">
        <v>5610</v>
      </c>
    </row>
    <row r="1399" spans="1:3" x14ac:dyDescent="0.35">
      <c r="A1399" t="s">
        <v>2644</v>
      </c>
      <c r="B1399" t="s">
        <v>5390</v>
      </c>
      <c r="C1399" t="s">
        <v>5610</v>
      </c>
    </row>
    <row r="1400" spans="1:3" x14ac:dyDescent="0.35">
      <c r="A1400" t="s">
        <v>2955</v>
      </c>
      <c r="B1400" t="s">
        <v>5391</v>
      </c>
      <c r="C1400" t="s">
        <v>5610</v>
      </c>
    </row>
    <row r="1401" spans="1:3" x14ac:dyDescent="0.35">
      <c r="A1401" t="s">
        <v>3553</v>
      </c>
      <c r="B1401" t="s">
        <v>5392</v>
      </c>
      <c r="C1401" t="s">
        <v>5610</v>
      </c>
    </row>
    <row r="1402" spans="1:3" x14ac:dyDescent="0.35">
      <c r="A1402" t="s">
        <v>3585</v>
      </c>
      <c r="B1402" t="s">
        <v>5393</v>
      </c>
      <c r="C1402" t="s">
        <v>5610</v>
      </c>
    </row>
    <row r="1403" spans="1:3" x14ac:dyDescent="0.35">
      <c r="A1403" t="s">
        <v>1775</v>
      </c>
      <c r="B1403" t="s">
        <v>5395</v>
      </c>
      <c r="C1403" t="s">
        <v>5611</v>
      </c>
    </row>
    <row r="1404" spans="1:3" x14ac:dyDescent="0.35">
      <c r="A1404" t="s">
        <v>3315</v>
      </c>
      <c r="B1404" t="s">
        <v>5397</v>
      </c>
      <c r="C1404" t="s">
        <v>5618</v>
      </c>
    </row>
    <row r="1405" spans="1:3" x14ac:dyDescent="0.35">
      <c r="A1405" t="s">
        <v>2668</v>
      </c>
      <c r="B1405" t="s">
        <v>5398</v>
      </c>
      <c r="C1405" t="s">
        <v>5618</v>
      </c>
    </row>
    <row r="1406" spans="1:3" x14ac:dyDescent="0.35">
      <c r="A1406" t="s">
        <v>3572</v>
      </c>
      <c r="B1406" t="s">
        <v>5399</v>
      </c>
      <c r="C1406" t="s">
        <v>5618</v>
      </c>
    </row>
    <row r="1407" spans="1:3" x14ac:dyDescent="0.35">
      <c r="A1407" t="s">
        <v>3141</v>
      </c>
      <c r="B1407" t="s">
        <v>5400</v>
      </c>
      <c r="C1407" t="s">
        <v>5618</v>
      </c>
    </row>
    <row r="1408" spans="1:3" x14ac:dyDescent="0.35">
      <c r="A1408" t="s">
        <v>3952</v>
      </c>
      <c r="B1408" t="s">
        <v>5401</v>
      </c>
      <c r="C1408" t="s">
        <v>5618</v>
      </c>
    </row>
    <row r="1409" spans="1:3" x14ac:dyDescent="0.35">
      <c r="A1409" t="s">
        <v>3324</v>
      </c>
      <c r="B1409" t="s">
        <v>5402</v>
      </c>
      <c r="C1409" t="s">
        <v>1757</v>
      </c>
    </row>
    <row r="1410" spans="1:3" x14ac:dyDescent="0.35">
      <c r="A1410" t="s">
        <v>5405</v>
      </c>
      <c r="B1410" t="s">
        <v>5404</v>
      </c>
      <c r="C1410" t="s">
        <v>5612</v>
      </c>
    </row>
    <row r="1411" spans="1:3" x14ac:dyDescent="0.35">
      <c r="A1411" t="s">
        <v>5407</v>
      </c>
      <c r="B1411" t="s">
        <v>5406</v>
      </c>
      <c r="C1411" t="s">
        <v>5612</v>
      </c>
    </row>
    <row r="1412" spans="1:3" x14ac:dyDescent="0.35">
      <c r="A1412" t="s">
        <v>5409</v>
      </c>
      <c r="B1412" t="s">
        <v>5408</v>
      </c>
      <c r="C1412" t="s">
        <v>5612</v>
      </c>
    </row>
    <row r="1413" spans="1:3" x14ac:dyDescent="0.35">
      <c r="A1413" t="s">
        <v>5411</v>
      </c>
      <c r="B1413" t="s">
        <v>5410</v>
      </c>
      <c r="C1413" t="s">
        <v>5612</v>
      </c>
    </row>
    <row r="1414" spans="1:3" x14ac:dyDescent="0.35">
      <c r="A1414" t="s">
        <v>5413</v>
      </c>
      <c r="B1414" t="s">
        <v>5412</v>
      </c>
      <c r="C1414" t="s">
        <v>5615</v>
      </c>
    </row>
    <row r="1415" spans="1:3" x14ac:dyDescent="0.35">
      <c r="A1415" t="s">
        <v>2014</v>
      </c>
      <c r="B1415" t="s">
        <v>5414</v>
      </c>
      <c r="C1415" t="s">
        <v>5615</v>
      </c>
    </row>
    <row r="1416" spans="1:3" x14ac:dyDescent="0.35">
      <c r="A1416" t="s">
        <v>1879</v>
      </c>
      <c r="B1416" t="s">
        <v>5416</v>
      </c>
      <c r="C1416" t="s">
        <v>5615</v>
      </c>
    </row>
    <row r="1417" spans="1:3" x14ac:dyDescent="0.35">
      <c r="A1417" t="s">
        <v>3396</v>
      </c>
      <c r="B1417" t="s">
        <v>5417</v>
      </c>
      <c r="C1417" t="s">
        <v>5615</v>
      </c>
    </row>
    <row r="1418" spans="1:3" x14ac:dyDescent="0.35">
      <c r="A1418" t="s">
        <v>1295</v>
      </c>
      <c r="B1418" t="s">
        <v>5418</v>
      </c>
      <c r="C1418" t="s">
        <v>5611</v>
      </c>
    </row>
    <row r="1419" spans="1:3" x14ac:dyDescent="0.35">
      <c r="A1419" t="s">
        <v>1343</v>
      </c>
      <c r="B1419" t="s">
        <v>5419</v>
      </c>
      <c r="C1419" t="s">
        <v>5611</v>
      </c>
    </row>
    <row r="1420" spans="1:3" x14ac:dyDescent="0.35">
      <c r="A1420" t="s">
        <v>78</v>
      </c>
      <c r="B1420" t="s">
        <v>5420</v>
      </c>
      <c r="C1420" t="s">
        <v>5611</v>
      </c>
    </row>
    <row r="1421" spans="1:3" x14ac:dyDescent="0.35">
      <c r="A1421" t="s">
        <v>1263</v>
      </c>
      <c r="B1421" t="s">
        <v>5421</v>
      </c>
      <c r="C1421" t="s">
        <v>5611</v>
      </c>
    </row>
    <row r="1422" spans="1:3" x14ac:dyDescent="0.35">
      <c r="A1422" t="s">
        <v>2906</v>
      </c>
      <c r="B1422" t="s">
        <v>5422</v>
      </c>
      <c r="C1422" t="s">
        <v>5611</v>
      </c>
    </row>
    <row r="1423" spans="1:3" x14ac:dyDescent="0.35">
      <c r="A1423" t="s">
        <v>3411</v>
      </c>
      <c r="B1423" t="s">
        <v>5424</v>
      </c>
      <c r="C1423" t="s">
        <v>5618</v>
      </c>
    </row>
    <row r="1424" spans="1:3" x14ac:dyDescent="0.35">
      <c r="A1424" t="s">
        <v>2921</v>
      </c>
      <c r="B1424" t="s">
        <v>5426</v>
      </c>
      <c r="C1424" t="s">
        <v>5614</v>
      </c>
    </row>
    <row r="1425" spans="1:3" x14ac:dyDescent="0.35">
      <c r="A1425" t="s">
        <v>3786</v>
      </c>
      <c r="B1425" t="s">
        <v>5428</v>
      </c>
      <c r="C1425" t="s">
        <v>5614</v>
      </c>
    </row>
    <row r="1426" spans="1:3" x14ac:dyDescent="0.35">
      <c r="A1426" t="s">
        <v>613</v>
      </c>
      <c r="B1426" t="s">
        <v>5431</v>
      </c>
      <c r="C1426" t="s">
        <v>5614</v>
      </c>
    </row>
    <row r="1427" spans="1:3" x14ac:dyDescent="0.35">
      <c r="A1427" t="s">
        <v>51</v>
      </c>
      <c r="B1427" t="s">
        <v>5432</v>
      </c>
      <c r="C1427" t="s">
        <v>5614</v>
      </c>
    </row>
    <row r="1428" spans="1:3" x14ac:dyDescent="0.35">
      <c r="A1428" t="s">
        <v>473</v>
      </c>
      <c r="B1428" t="s">
        <v>5433</v>
      </c>
      <c r="C1428" t="s">
        <v>5614</v>
      </c>
    </row>
    <row r="1429" spans="1:3" x14ac:dyDescent="0.35">
      <c r="A1429" t="s">
        <v>615</v>
      </c>
      <c r="B1429" t="s">
        <v>5434</v>
      </c>
      <c r="C1429" t="s">
        <v>5614</v>
      </c>
    </row>
    <row r="1430" spans="1:3" x14ac:dyDescent="0.35">
      <c r="A1430" t="s">
        <v>807</v>
      </c>
      <c r="B1430" t="s">
        <v>5435</v>
      </c>
      <c r="C1430" t="s">
        <v>5614</v>
      </c>
    </row>
    <row r="1431" spans="1:3" x14ac:dyDescent="0.35">
      <c r="A1431" t="s">
        <v>1228</v>
      </c>
      <c r="B1431" t="s">
        <v>5436</v>
      </c>
      <c r="C1431" t="s">
        <v>5614</v>
      </c>
    </row>
    <row r="1432" spans="1:3" x14ac:dyDescent="0.35">
      <c r="A1432" t="s">
        <v>1247</v>
      </c>
      <c r="B1432" t="s">
        <v>5438</v>
      </c>
      <c r="C1432" t="s">
        <v>5614</v>
      </c>
    </row>
    <row r="1433" spans="1:3" x14ac:dyDescent="0.35">
      <c r="A1433" t="s">
        <v>1406</v>
      </c>
      <c r="B1433" t="s">
        <v>5439</v>
      </c>
      <c r="C1433" t="s">
        <v>5614</v>
      </c>
    </row>
    <row r="1434" spans="1:3" x14ac:dyDescent="0.35">
      <c r="A1434" t="s">
        <v>3220</v>
      </c>
      <c r="B1434" t="s">
        <v>5441</v>
      </c>
      <c r="C1434" t="s">
        <v>5614</v>
      </c>
    </row>
    <row r="1435" spans="1:3" x14ac:dyDescent="0.35">
      <c r="A1435" t="s">
        <v>3437</v>
      </c>
      <c r="B1435" t="s">
        <v>5443</v>
      </c>
      <c r="C1435" t="s">
        <v>5614</v>
      </c>
    </row>
    <row r="1436" spans="1:3" x14ac:dyDescent="0.35">
      <c r="A1436" t="s">
        <v>3738</v>
      </c>
      <c r="B1436" t="s">
        <v>5444</v>
      </c>
      <c r="C1436" t="s">
        <v>5614</v>
      </c>
    </row>
    <row r="1437" spans="1:3" x14ac:dyDescent="0.35">
      <c r="A1437" t="s">
        <v>4004</v>
      </c>
      <c r="B1437" t="s">
        <v>5446</v>
      </c>
      <c r="C1437" t="s">
        <v>5614</v>
      </c>
    </row>
    <row r="1438" spans="1:3" x14ac:dyDescent="0.35">
      <c r="A1438" t="s">
        <v>3469</v>
      </c>
      <c r="B1438" t="s">
        <v>5447</v>
      </c>
      <c r="C1438" t="s">
        <v>5614</v>
      </c>
    </row>
    <row r="1439" spans="1:3" x14ac:dyDescent="0.35">
      <c r="A1439" t="s">
        <v>610</v>
      </c>
      <c r="B1439" t="s">
        <v>5448</v>
      </c>
      <c r="C1439" t="s">
        <v>5614</v>
      </c>
    </row>
    <row r="1440" spans="1:3" x14ac:dyDescent="0.35">
      <c r="A1440" t="s">
        <v>2937</v>
      </c>
      <c r="B1440" t="s">
        <v>5449</v>
      </c>
      <c r="C1440" t="s">
        <v>5614</v>
      </c>
    </row>
    <row r="1441" spans="1:3" x14ac:dyDescent="0.35">
      <c r="A1441" t="s">
        <v>3479</v>
      </c>
      <c r="B1441" t="s">
        <v>5450</v>
      </c>
      <c r="C1441" t="s">
        <v>5623</v>
      </c>
    </row>
    <row r="1442" spans="1:3" x14ac:dyDescent="0.35">
      <c r="A1442" t="s">
        <v>349</v>
      </c>
      <c r="B1442" t="s">
        <v>5451</v>
      </c>
      <c r="C1442" t="s">
        <v>5623</v>
      </c>
    </row>
    <row r="1443" spans="1:3" x14ac:dyDescent="0.35">
      <c r="A1443" t="s">
        <v>1998</v>
      </c>
      <c r="B1443" t="s">
        <v>5452</v>
      </c>
      <c r="C1443" t="s">
        <v>5615</v>
      </c>
    </row>
    <row r="1444" spans="1:3" x14ac:dyDescent="0.35">
      <c r="A1444" t="s">
        <v>3493</v>
      </c>
      <c r="B1444" t="s">
        <v>5453</v>
      </c>
      <c r="C1444" t="s">
        <v>5615</v>
      </c>
    </row>
    <row r="1445" spans="1:3" x14ac:dyDescent="0.35">
      <c r="A1445" t="s">
        <v>3933</v>
      </c>
      <c r="B1445" t="s">
        <v>5455</v>
      </c>
      <c r="C1445" t="s">
        <v>5615</v>
      </c>
    </row>
    <row r="1446" spans="1:3" x14ac:dyDescent="0.35">
      <c r="A1446" t="s">
        <v>3935</v>
      </c>
      <c r="B1446" t="s">
        <v>5456</v>
      </c>
      <c r="C1446" t="s">
        <v>5615</v>
      </c>
    </row>
    <row r="1447" spans="1:3" x14ac:dyDescent="0.35">
      <c r="A1447" t="s">
        <v>2573</v>
      </c>
      <c r="B1447" t="s">
        <v>5457</v>
      </c>
      <c r="C1447" t="s">
        <v>5615</v>
      </c>
    </row>
    <row r="1448" spans="1:3" x14ac:dyDescent="0.35">
      <c r="A1448" t="s">
        <v>2575</v>
      </c>
      <c r="B1448" t="s">
        <v>5458</v>
      </c>
      <c r="C1448" t="s">
        <v>5615</v>
      </c>
    </row>
    <row r="1449" spans="1:3" x14ac:dyDescent="0.35">
      <c r="A1449" t="s">
        <v>2104</v>
      </c>
      <c r="B1449" t="s">
        <v>5459</v>
      </c>
      <c r="C1449" t="s">
        <v>5615</v>
      </c>
    </row>
    <row r="1450" spans="1:3" x14ac:dyDescent="0.35">
      <c r="A1450" t="s">
        <v>2187</v>
      </c>
      <c r="B1450" t="s">
        <v>5460</v>
      </c>
      <c r="C1450" t="s">
        <v>5615</v>
      </c>
    </row>
    <row r="1451" spans="1:3" x14ac:dyDescent="0.35">
      <c r="A1451" t="s">
        <v>3498</v>
      </c>
      <c r="B1451" t="s">
        <v>5461</v>
      </c>
      <c r="C1451" t="s">
        <v>5618</v>
      </c>
    </row>
    <row r="1452" spans="1:3" x14ac:dyDescent="0.35">
      <c r="A1452" t="s">
        <v>1954</v>
      </c>
      <c r="B1452" t="s">
        <v>5462</v>
      </c>
      <c r="C1452" t="s">
        <v>5615</v>
      </c>
    </row>
    <row r="1453" spans="1:3" x14ac:dyDescent="0.35">
      <c r="A1453" t="s">
        <v>2239</v>
      </c>
      <c r="B1453" t="s">
        <v>5463</v>
      </c>
      <c r="C1453" t="s">
        <v>5615</v>
      </c>
    </row>
    <row r="1454" spans="1:3" x14ac:dyDescent="0.35">
      <c r="A1454" t="s">
        <v>5465</v>
      </c>
      <c r="B1454" t="s">
        <v>5464</v>
      </c>
      <c r="C1454" t="s">
        <v>5621</v>
      </c>
    </row>
    <row r="1455" spans="1:3" x14ac:dyDescent="0.35">
      <c r="A1455" t="s">
        <v>5467</v>
      </c>
      <c r="B1455" t="s">
        <v>5466</v>
      </c>
      <c r="C1455" t="s">
        <v>5621</v>
      </c>
    </row>
    <row r="1456" spans="1:3" x14ac:dyDescent="0.35">
      <c r="A1456" t="s">
        <v>675</v>
      </c>
      <c r="B1456" t="s">
        <v>5468</v>
      </c>
      <c r="C1456" t="s">
        <v>1837</v>
      </c>
    </row>
    <row r="1457" spans="1:3" x14ac:dyDescent="0.35">
      <c r="A1457" t="s">
        <v>3421</v>
      </c>
      <c r="B1457" t="s">
        <v>5469</v>
      </c>
      <c r="C1457" t="s">
        <v>1837</v>
      </c>
    </row>
    <row r="1458" spans="1:3" x14ac:dyDescent="0.35">
      <c r="A1458" t="s">
        <v>3382</v>
      </c>
      <c r="B1458" t="s">
        <v>5470</v>
      </c>
      <c r="C1458" t="s">
        <v>1837</v>
      </c>
    </row>
    <row r="1459" spans="1:3" x14ac:dyDescent="0.35">
      <c r="A1459" t="s">
        <v>3583</v>
      </c>
      <c r="B1459" t="s">
        <v>5471</v>
      </c>
      <c r="C1459" t="s">
        <v>5611</v>
      </c>
    </row>
    <row r="1460" spans="1:3" x14ac:dyDescent="0.35">
      <c r="A1460" t="s">
        <v>5473</v>
      </c>
      <c r="B1460" t="s">
        <v>5472</v>
      </c>
      <c r="C1460" t="s">
        <v>5611</v>
      </c>
    </row>
    <row r="1461" spans="1:3" x14ac:dyDescent="0.35">
      <c r="A1461" t="s">
        <v>3632</v>
      </c>
      <c r="B1461" t="s">
        <v>5475</v>
      </c>
      <c r="C1461" t="s">
        <v>5609</v>
      </c>
    </row>
    <row r="1462" spans="1:3" x14ac:dyDescent="0.35">
      <c r="A1462" t="s">
        <v>5477</v>
      </c>
      <c r="B1462" t="s">
        <v>5476</v>
      </c>
      <c r="C1462" t="s">
        <v>5624</v>
      </c>
    </row>
    <row r="1463" spans="1:3" x14ac:dyDescent="0.35">
      <c r="A1463" t="s">
        <v>5479</v>
      </c>
      <c r="B1463" t="s">
        <v>5478</v>
      </c>
      <c r="C1463" t="s">
        <v>5624</v>
      </c>
    </row>
    <row r="1464" spans="1:3" x14ac:dyDescent="0.35">
      <c r="A1464" t="s">
        <v>3691</v>
      </c>
      <c r="B1464" t="s">
        <v>5481</v>
      </c>
      <c r="C1464" t="s">
        <v>5615</v>
      </c>
    </row>
    <row r="1465" spans="1:3" x14ac:dyDescent="0.35">
      <c r="A1465" t="s">
        <v>3882</v>
      </c>
      <c r="B1465" t="s">
        <v>5482</v>
      </c>
      <c r="C1465" t="s">
        <v>5615</v>
      </c>
    </row>
    <row r="1466" spans="1:3" x14ac:dyDescent="0.35">
      <c r="A1466" t="s">
        <v>2581</v>
      </c>
      <c r="B1466" t="s">
        <v>5483</v>
      </c>
      <c r="C1466" t="s">
        <v>5615</v>
      </c>
    </row>
    <row r="1467" spans="1:3" x14ac:dyDescent="0.35">
      <c r="A1467" t="s">
        <v>796</v>
      </c>
      <c r="B1467" t="s">
        <v>5484</v>
      </c>
      <c r="C1467" t="s">
        <v>5615</v>
      </c>
    </row>
    <row r="1468" spans="1:3" x14ac:dyDescent="0.35">
      <c r="A1468" t="s">
        <v>2482</v>
      </c>
      <c r="B1468" t="s">
        <v>5485</v>
      </c>
      <c r="C1468" t="s">
        <v>5615</v>
      </c>
    </row>
    <row r="1469" spans="1:3" x14ac:dyDescent="0.35">
      <c r="A1469" t="s">
        <v>1542</v>
      </c>
      <c r="B1469" t="s">
        <v>5486</v>
      </c>
      <c r="C1469" t="s">
        <v>5615</v>
      </c>
    </row>
    <row r="1470" spans="1:3" x14ac:dyDescent="0.35">
      <c r="A1470" t="s">
        <v>384</v>
      </c>
      <c r="B1470" t="s">
        <v>5488</v>
      </c>
      <c r="C1470" t="s">
        <v>5609</v>
      </c>
    </row>
    <row r="1471" spans="1:3" x14ac:dyDescent="0.35">
      <c r="A1471" t="s">
        <v>5490</v>
      </c>
      <c r="B1471" t="s">
        <v>5489</v>
      </c>
      <c r="C1471" t="s">
        <v>5611</v>
      </c>
    </row>
    <row r="1472" spans="1:3" x14ac:dyDescent="0.35">
      <c r="A1472" t="s">
        <v>5493</v>
      </c>
      <c r="B1472" t="s">
        <v>5492</v>
      </c>
      <c r="C1472" t="s">
        <v>5611</v>
      </c>
    </row>
    <row r="1473" spans="1:3" x14ac:dyDescent="0.35">
      <c r="A1473" t="s">
        <v>567</v>
      </c>
      <c r="B1473" t="s">
        <v>5494</v>
      </c>
      <c r="C1473" t="s">
        <v>5611</v>
      </c>
    </row>
    <row r="1474" spans="1:3" x14ac:dyDescent="0.35">
      <c r="A1474" t="s">
        <v>827</v>
      </c>
      <c r="B1474" t="s">
        <v>5495</v>
      </c>
      <c r="C1474" t="s">
        <v>5619</v>
      </c>
    </row>
    <row r="1475" spans="1:3" x14ac:dyDescent="0.35">
      <c r="A1475" t="s">
        <v>1618</v>
      </c>
      <c r="B1475" t="s">
        <v>5496</v>
      </c>
      <c r="C1475" t="s">
        <v>5619</v>
      </c>
    </row>
    <row r="1476" spans="1:3" x14ac:dyDescent="0.35">
      <c r="A1476" t="s">
        <v>3346</v>
      </c>
      <c r="B1476" t="s">
        <v>5497</v>
      </c>
      <c r="C1476" t="s">
        <v>5619</v>
      </c>
    </row>
    <row r="1477" spans="1:3" x14ac:dyDescent="0.35">
      <c r="A1477" t="s">
        <v>3889</v>
      </c>
      <c r="B1477" t="s">
        <v>5498</v>
      </c>
      <c r="C1477" t="s">
        <v>5619</v>
      </c>
    </row>
    <row r="1478" spans="1:3" x14ac:dyDescent="0.35">
      <c r="A1478" t="s">
        <v>3339</v>
      </c>
      <c r="B1478" t="s">
        <v>5499</v>
      </c>
      <c r="C1478" t="s">
        <v>5619</v>
      </c>
    </row>
    <row r="1479" spans="1:3" x14ac:dyDescent="0.35">
      <c r="A1479" t="s">
        <v>1644</v>
      </c>
      <c r="B1479" t="s">
        <v>5502</v>
      </c>
      <c r="C1479" t="s">
        <v>5619</v>
      </c>
    </row>
    <row r="1480" spans="1:3" x14ac:dyDescent="0.35">
      <c r="A1480" t="s">
        <v>5504</v>
      </c>
      <c r="B1480" t="s">
        <v>5503</v>
      </c>
      <c r="C1480" t="s">
        <v>5619</v>
      </c>
    </row>
    <row r="1481" spans="1:3" x14ac:dyDescent="0.35">
      <c r="A1481" t="s">
        <v>46</v>
      </c>
      <c r="B1481" t="s">
        <v>5505</v>
      </c>
      <c r="C1481" t="s">
        <v>5619</v>
      </c>
    </row>
    <row r="1482" spans="1:3" x14ac:dyDescent="0.35">
      <c r="A1482" t="s">
        <v>5507</v>
      </c>
      <c r="B1482" t="s">
        <v>5506</v>
      </c>
      <c r="C1482" t="s">
        <v>5619</v>
      </c>
    </row>
    <row r="1483" spans="1:3" x14ac:dyDescent="0.35">
      <c r="A1483" t="s">
        <v>1353</v>
      </c>
      <c r="B1483" t="s">
        <v>5508</v>
      </c>
      <c r="C1483" t="s">
        <v>5619</v>
      </c>
    </row>
    <row r="1484" spans="1:3" x14ac:dyDescent="0.35">
      <c r="A1484" t="s">
        <v>3280</v>
      </c>
      <c r="B1484" t="s">
        <v>5509</v>
      </c>
      <c r="C1484" t="s">
        <v>5619</v>
      </c>
    </row>
    <row r="1485" spans="1:3" x14ac:dyDescent="0.35">
      <c r="A1485" t="s">
        <v>988</v>
      </c>
      <c r="B1485" t="s">
        <v>5510</v>
      </c>
      <c r="C1485" t="s">
        <v>5619</v>
      </c>
    </row>
    <row r="1486" spans="1:3" x14ac:dyDescent="0.35">
      <c r="A1486" t="s">
        <v>5512</v>
      </c>
      <c r="B1486" t="s">
        <v>5511</v>
      </c>
      <c r="C1486" t="s">
        <v>5619</v>
      </c>
    </row>
    <row r="1487" spans="1:3" x14ac:dyDescent="0.35">
      <c r="A1487" t="s">
        <v>916</v>
      </c>
      <c r="B1487" t="s">
        <v>5513</v>
      </c>
      <c r="C1487" t="s">
        <v>5619</v>
      </c>
    </row>
    <row r="1488" spans="1:3" x14ac:dyDescent="0.35">
      <c r="A1488" t="s">
        <v>3702</v>
      </c>
      <c r="B1488" t="s">
        <v>5514</v>
      </c>
      <c r="C1488" t="s">
        <v>5619</v>
      </c>
    </row>
    <row r="1489" spans="1:3" x14ac:dyDescent="0.35">
      <c r="A1489" t="s">
        <v>2092</v>
      </c>
      <c r="B1489" t="s">
        <v>5515</v>
      </c>
      <c r="C1489" t="s">
        <v>5619</v>
      </c>
    </row>
    <row r="1490" spans="1:3" x14ac:dyDescent="0.35">
      <c r="A1490" t="s">
        <v>5517</v>
      </c>
      <c r="B1490" t="s">
        <v>5516</v>
      </c>
      <c r="C1490" t="s">
        <v>5619</v>
      </c>
    </row>
    <row r="1491" spans="1:3" x14ac:dyDescent="0.35">
      <c r="A1491" t="s">
        <v>5519</v>
      </c>
      <c r="B1491" t="s">
        <v>5518</v>
      </c>
      <c r="C1491" t="s">
        <v>5619</v>
      </c>
    </row>
    <row r="1492" spans="1:3" x14ac:dyDescent="0.35">
      <c r="A1492" t="s">
        <v>2687</v>
      </c>
      <c r="B1492" t="s">
        <v>5520</v>
      </c>
      <c r="C1492" t="s">
        <v>5619</v>
      </c>
    </row>
    <row r="1493" spans="1:3" x14ac:dyDescent="0.35">
      <c r="A1493" t="s">
        <v>5522</v>
      </c>
      <c r="B1493" t="s">
        <v>5521</v>
      </c>
      <c r="C1493" t="s">
        <v>5619</v>
      </c>
    </row>
    <row r="1494" spans="1:3" x14ac:dyDescent="0.35">
      <c r="A1494" t="s">
        <v>290</v>
      </c>
      <c r="B1494" t="s">
        <v>5523</v>
      </c>
      <c r="C1494" t="s">
        <v>5619</v>
      </c>
    </row>
    <row r="1495" spans="1:3" x14ac:dyDescent="0.35">
      <c r="A1495" t="s">
        <v>1240</v>
      </c>
      <c r="B1495" t="s">
        <v>5524</v>
      </c>
      <c r="C1495" t="s">
        <v>5619</v>
      </c>
    </row>
    <row r="1496" spans="1:3" x14ac:dyDescent="0.35">
      <c r="A1496" t="s">
        <v>1242</v>
      </c>
      <c r="B1496" t="s">
        <v>5525</v>
      </c>
      <c r="C1496" t="s">
        <v>5619</v>
      </c>
    </row>
    <row r="1497" spans="1:3" x14ac:dyDescent="0.35">
      <c r="A1497" t="s">
        <v>3864</v>
      </c>
      <c r="B1497" t="s">
        <v>5526</v>
      </c>
      <c r="C1497" t="s">
        <v>5619</v>
      </c>
    </row>
    <row r="1498" spans="1:3" x14ac:dyDescent="0.35">
      <c r="A1498" t="s">
        <v>3747</v>
      </c>
      <c r="B1498" t="s">
        <v>5527</v>
      </c>
      <c r="C1498" t="s">
        <v>5618</v>
      </c>
    </row>
    <row r="1499" spans="1:3" x14ac:dyDescent="0.35">
      <c r="A1499" t="s">
        <v>3897</v>
      </c>
      <c r="B1499" t="s">
        <v>5528</v>
      </c>
      <c r="C1499" t="s">
        <v>5618</v>
      </c>
    </row>
    <row r="1500" spans="1:3" x14ac:dyDescent="0.35">
      <c r="A1500" t="s">
        <v>3897</v>
      </c>
      <c r="B1500" t="s">
        <v>5570</v>
      </c>
      <c r="C1500" t="s">
        <v>5609</v>
      </c>
    </row>
    <row r="1501" spans="1:3" x14ac:dyDescent="0.35">
      <c r="A1501" t="s">
        <v>663</v>
      </c>
      <c r="B1501" t="s">
        <v>5530</v>
      </c>
      <c r="C1501" t="s">
        <v>5618</v>
      </c>
    </row>
    <row r="1502" spans="1:3" x14ac:dyDescent="0.35">
      <c r="A1502" t="s">
        <v>1641</v>
      </c>
      <c r="B1502" t="s">
        <v>5531</v>
      </c>
      <c r="C1502" t="s">
        <v>5610</v>
      </c>
    </row>
    <row r="1503" spans="1:3" x14ac:dyDescent="0.35">
      <c r="A1503" t="s">
        <v>3767</v>
      </c>
      <c r="B1503" t="s">
        <v>5532</v>
      </c>
      <c r="C1503" t="s">
        <v>5610</v>
      </c>
    </row>
    <row r="1504" spans="1:3" x14ac:dyDescent="0.35">
      <c r="A1504" t="s">
        <v>3769</v>
      </c>
      <c r="B1504" t="s">
        <v>5533</v>
      </c>
      <c r="C1504" t="s">
        <v>5610</v>
      </c>
    </row>
    <row r="1505" spans="1:3" x14ac:dyDescent="0.35">
      <c r="A1505" t="s">
        <v>3380</v>
      </c>
      <c r="B1505" t="s">
        <v>5534</v>
      </c>
      <c r="C1505" t="s">
        <v>5610</v>
      </c>
    </row>
    <row r="1506" spans="1:3" x14ac:dyDescent="0.35">
      <c r="A1506" t="s">
        <v>3996</v>
      </c>
      <c r="B1506" t="s">
        <v>5535</v>
      </c>
      <c r="C1506" t="s">
        <v>5610</v>
      </c>
    </row>
    <row r="1507" spans="1:3" x14ac:dyDescent="0.35">
      <c r="A1507" t="s">
        <v>3015</v>
      </c>
      <c r="B1507" t="s">
        <v>5536</v>
      </c>
      <c r="C1507" t="s">
        <v>5610</v>
      </c>
    </row>
    <row r="1508" spans="1:3" x14ac:dyDescent="0.35">
      <c r="A1508" t="s">
        <v>1059</v>
      </c>
      <c r="B1508" t="s">
        <v>5538</v>
      </c>
      <c r="C1508" t="s">
        <v>5610</v>
      </c>
    </row>
    <row r="1509" spans="1:3" x14ac:dyDescent="0.35">
      <c r="A1509" t="s">
        <v>1516</v>
      </c>
      <c r="B1509" t="s">
        <v>5539</v>
      </c>
      <c r="C1509" t="s">
        <v>5610</v>
      </c>
    </row>
    <row r="1510" spans="1:3" x14ac:dyDescent="0.35">
      <c r="A1510" t="s">
        <v>1417</v>
      </c>
      <c r="B1510" t="s">
        <v>5540</v>
      </c>
      <c r="C1510" t="s">
        <v>5610</v>
      </c>
    </row>
    <row r="1511" spans="1:3" x14ac:dyDescent="0.35">
      <c r="A1511" t="s">
        <v>1583</v>
      </c>
      <c r="B1511" t="s">
        <v>5541</v>
      </c>
      <c r="C1511" t="s">
        <v>5610</v>
      </c>
    </row>
    <row r="1512" spans="1:3" x14ac:dyDescent="0.35">
      <c r="A1512" t="s">
        <v>2183</v>
      </c>
      <c r="B1512" t="s">
        <v>5542</v>
      </c>
      <c r="C1512" t="s">
        <v>5610</v>
      </c>
    </row>
    <row r="1513" spans="1:3" x14ac:dyDescent="0.35">
      <c r="A1513" t="s">
        <v>2811</v>
      </c>
      <c r="B1513" t="s">
        <v>5543</v>
      </c>
      <c r="C1513" t="s">
        <v>5610</v>
      </c>
    </row>
    <row r="1514" spans="1:3" x14ac:dyDescent="0.35">
      <c r="A1514" t="s">
        <v>3013</v>
      </c>
      <c r="B1514" t="s">
        <v>5544</v>
      </c>
      <c r="C1514" t="s">
        <v>5610</v>
      </c>
    </row>
    <row r="1515" spans="1:3" x14ac:dyDescent="0.35">
      <c r="A1515" t="s">
        <v>3812</v>
      </c>
      <c r="B1515" t="s">
        <v>5545</v>
      </c>
      <c r="C1515" t="s">
        <v>5610</v>
      </c>
    </row>
    <row r="1516" spans="1:3" x14ac:dyDescent="0.35">
      <c r="A1516" t="s">
        <v>3834</v>
      </c>
      <c r="B1516" t="s">
        <v>5546</v>
      </c>
      <c r="C1516" t="s">
        <v>5610</v>
      </c>
    </row>
    <row r="1517" spans="1:3" x14ac:dyDescent="0.35">
      <c r="A1517" t="s">
        <v>5548</v>
      </c>
      <c r="B1517" t="s">
        <v>5547</v>
      </c>
      <c r="C1517" t="s">
        <v>1837</v>
      </c>
    </row>
    <row r="1518" spans="1:3" x14ac:dyDescent="0.35">
      <c r="A1518" t="s">
        <v>5551</v>
      </c>
      <c r="B1518" t="s">
        <v>5550</v>
      </c>
      <c r="C1518" t="s">
        <v>1837</v>
      </c>
    </row>
    <row r="1519" spans="1:3" x14ac:dyDescent="0.35">
      <c r="A1519" t="s">
        <v>5553</v>
      </c>
      <c r="B1519" t="s">
        <v>5552</v>
      </c>
      <c r="C1519" t="s">
        <v>1837</v>
      </c>
    </row>
    <row r="1520" spans="1:3" x14ac:dyDescent="0.35">
      <c r="A1520" t="s">
        <v>1061</v>
      </c>
      <c r="B1520" t="s">
        <v>5554</v>
      </c>
      <c r="C1520" t="s">
        <v>1837</v>
      </c>
    </row>
    <row r="1521" spans="1:3" x14ac:dyDescent="0.35">
      <c r="A1521" t="s">
        <v>3145</v>
      </c>
      <c r="B1521" t="s">
        <v>5555</v>
      </c>
      <c r="C1521" t="s">
        <v>1837</v>
      </c>
    </row>
    <row r="1522" spans="1:3" x14ac:dyDescent="0.35">
      <c r="A1522" t="s">
        <v>3577</v>
      </c>
      <c r="B1522" t="s">
        <v>5556</v>
      </c>
      <c r="C1522" t="s">
        <v>1837</v>
      </c>
    </row>
    <row r="1523" spans="1:3" x14ac:dyDescent="0.35">
      <c r="A1523" t="s">
        <v>3352</v>
      </c>
      <c r="B1523" t="s">
        <v>5557</v>
      </c>
      <c r="C1523" t="s">
        <v>5618</v>
      </c>
    </row>
    <row r="1524" spans="1:3" x14ac:dyDescent="0.35">
      <c r="A1524" t="s">
        <v>5560</v>
      </c>
      <c r="B1524" t="s">
        <v>5559</v>
      </c>
      <c r="C1524" t="s">
        <v>5618</v>
      </c>
    </row>
    <row r="1525" spans="1:3" x14ac:dyDescent="0.35">
      <c r="A1525" t="s">
        <v>3634</v>
      </c>
      <c r="B1525" t="s">
        <v>5561</v>
      </c>
      <c r="C1525" t="s">
        <v>5618</v>
      </c>
    </row>
    <row r="1526" spans="1:3" x14ac:dyDescent="0.35">
      <c r="A1526" t="s">
        <v>3852</v>
      </c>
      <c r="B1526" t="s">
        <v>5562</v>
      </c>
      <c r="C1526" t="s">
        <v>5618</v>
      </c>
    </row>
    <row r="1527" spans="1:3" x14ac:dyDescent="0.35">
      <c r="A1527" t="s">
        <v>3058</v>
      </c>
      <c r="B1527" t="s">
        <v>5563</v>
      </c>
      <c r="C1527" t="s">
        <v>5618</v>
      </c>
    </row>
    <row r="1528" spans="1:3" x14ac:dyDescent="0.35">
      <c r="A1528" t="s">
        <v>3893</v>
      </c>
      <c r="B1528" t="s">
        <v>5564</v>
      </c>
      <c r="C1528" t="s">
        <v>5617</v>
      </c>
    </row>
    <row r="1529" spans="1:3" x14ac:dyDescent="0.35">
      <c r="A1529" t="s">
        <v>679</v>
      </c>
      <c r="B1529" t="s">
        <v>5565</v>
      </c>
      <c r="C1529" t="s">
        <v>5617</v>
      </c>
    </row>
    <row r="1530" spans="1:3" x14ac:dyDescent="0.35">
      <c r="A1530" t="s">
        <v>2967</v>
      </c>
      <c r="B1530" t="s">
        <v>5566</v>
      </c>
      <c r="C1530" t="s">
        <v>5617</v>
      </c>
    </row>
    <row r="1531" spans="1:3" x14ac:dyDescent="0.35">
      <c r="A1531" t="s">
        <v>3278</v>
      </c>
      <c r="B1531" t="s">
        <v>5567</v>
      </c>
      <c r="C1531" t="s">
        <v>5617</v>
      </c>
    </row>
    <row r="1532" spans="1:3" x14ac:dyDescent="0.35">
      <c r="A1532" t="s">
        <v>3979</v>
      </c>
      <c r="B1532" t="s">
        <v>5568</v>
      </c>
      <c r="C1532" t="s">
        <v>5609</v>
      </c>
    </row>
    <row r="1533" spans="1:3" x14ac:dyDescent="0.35">
      <c r="A1533" t="s">
        <v>2875</v>
      </c>
      <c r="B1533" t="s">
        <v>5569</v>
      </c>
      <c r="C1533" t="s">
        <v>5609</v>
      </c>
    </row>
    <row r="1534" spans="1:3" x14ac:dyDescent="0.35">
      <c r="A1534" t="s">
        <v>3901</v>
      </c>
      <c r="B1534" t="s">
        <v>5572</v>
      </c>
      <c r="C1534" t="s">
        <v>5609</v>
      </c>
    </row>
    <row r="1535" spans="1:3" x14ac:dyDescent="0.35">
      <c r="A1535" t="s">
        <v>3903</v>
      </c>
      <c r="B1535" t="s">
        <v>5573</v>
      </c>
      <c r="C1535" t="s">
        <v>5618</v>
      </c>
    </row>
    <row r="1536" spans="1:3" x14ac:dyDescent="0.35">
      <c r="A1536" t="s">
        <v>3293</v>
      </c>
      <c r="B1536" t="s">
        <v>5575</v>
      </c>
      <c r="C1536" t="s">
        <v>5618</v>
      </c>
    </row>
    <row r="1537" spans="1:3" x14ac:dyDescent="0.35">
      <c r="A1537" t="s">
        <v>3907</v>
      </c>
      <c r="B1537" t="s">
        <v>5576</v>
      </c>
      <c r="C1537" t="s">
        <v>1837</v>
      </c>
    </row>
    <row r="1538" spans="1:3" x14ac:dyDescent="0.35">
      <c r="A1538" t="s">
        <v>2760</v>
      </c>
      <c r="B1538" t="s">
        <v>5577</v>
      </c>
      <c r="C1538" t="s">
        <v>1837</v>
      </c>
    </row>
    <row r="1539" spans="1:3" x14ac:dyDescent="0.35">
      <c r="A1539" t="s">
        <v>2045</v>
      </c>
      <c r="B1539" t="s">
        <v>5578</v>
      </c>
      <c r="C1539" t="s">
        <v>1837</v>
      </c>
    </row>
    <row r="1540" spans="1:3" x14ac:dyDescent="0.35">
      <c r="A1540" t="s">
        <v>3481</v>
      </c>
      <c r="B1540" t="s">
        <v>5579</v>
      </c>
      <c r="C1540" t="s">
        <v>1837</v>
      </c>
    </row>
    <row r="1541" spans="1:3" x14ac:dyDescent="0.35">
      <c r="A1541" t="s">
        <v>3905</v>
      </c>
      <c r="B1541" t="s">
        <v>5580</v>
      </c>
      <c r="C1541" t="s">
        <v>1837</v>
      </c>
    </row>
    <row r="1542" spans="1:3" x14ac:dyDescent="0.35">
      <c r="A1542" t="s">
        <v>5582</v>
      </c>
      <c r="B1542" t="s">
        <v>5581</v>
      </c>
      <c r="C1542" t="s">
        <v>5617</v>
      </c>
    </row>
    <row r="1543" spans="1:3" x14ac:dyDescent="0.35">
      <c r="A1543" t="s">
        <v>3970</v>
      </c>
      <c r="B1543" t="s">
        <v>5583</v>
      </c>
      <c r="C1543" t="s">
        <v>5617</v>
      </c>
    </row>
    <row r="1544" spans="1:3" x14ac:dyDescent="0.35">
      <c r="A1544" t="s">
        <v>2550</v>
      </c>
      <c r="B1544" t="s">
        <v>5584</v>
      </c>
      <c r="C1544" t="s">
        <v>5609</v>
      </c>
    </row>
    <row r="1545" spans="1:3" x14ac:dyDescent="0.35">
      <c r="A1545" t="s">
        <v>3924</v>
      </c>
      <c r="B1545" t="s">
        <v>5586</v>
      </c>
      <c r="C1545" t="s">
        <v>5618</v>
      </c>
    </row>
    <row r="1546" spans="1:3" x14ac:dyDescent="0.35">
      <c r="A1546" t="s">
        <v>2158</v>
      </c>
      <c r="B1546" t="s">
        <v>5588</v>
      </c>
      <c r="C1546" t="s">
        <v>5607</v>
      </c>
    </row>
    <row r="1547" spans="1:3" x14ac:dyDescent="0.35">
      <c r="A1547" t="s">
        <v>195</v>
      </c>
      <c r="B1547" t="s">
        <v>5589</v>
      </c>
      <c r="C1547" t="s">
        <v>5607</v>
      </c>
    </row>
    <row r="1548" spans="1:3" x14ac:dyDescent="0.35">
      <c r="A1548" t="s">
        <v>478</v>
      </c>
      <c r="B1548" t="s">
        <v>5590</v>
      </c>
      <c r="C1548" t="s">
        <v>5607</v>
      </c>
    </row>
    <row r="1549" spans="1:3" x14ac:dyDescent="0.35">
      <c r="A1549" t="s">
        <v>885</v>
      </c>
      <c r="B1549" t="s">
        <v>5591</v>
      </c>
      <c r="C1549" t="s">
        <v>5607</v>
      </c>
    </row>
    <row r="1550" spans="1:3" x14ac:dyDescent="0.35">
      <c r="A1550" t="s">
        <v>1711</v>
      </c>
      <c r="B1550" t="s">
        <v>5593</v>
      </c>
      <c r="C1550" t="s">
        <v>5607</v>
      </c>
    </row>
    <row r="1551" spans="1:3" x14ac:dyDescent="0.35">
      <c r="A1551" t="s">
        <v>1933</v>
      </c>
      <c r="B1551" t="s">
        <v>5594</v>
      </c>
      <c r="C1551" t="s">
        <v>5607</v>
      </c>
    </row>
    <row r="1552" spans="1:3" x14ac:dyDescent="0.35">
      <c r="A1552" t="s">
        <v>2654</v>
      </c>
      <c r="B1552" t="s">
        <v>5595</v>
      </c>
      <c r="C1552" t="s">
        <v>5607</v>
      </c>
    </row>
    <row r="1553" spans="1:3" x14ac:dyDescent="0.35">
      <c r="A1553" t="s">
        <v>3495</v>
      </c>
      <c r="B1553" t="s">
        <v>5596</v>
      </c>
      <c r="C1553" t="s">
        <v>5607</v>
      </c>
    </row>
    <row r="1554" spans="1:3" x14ac:dyDescent="0.35">
      <c r="A1554" t="s">
        <v>645</v>
      </c>
      <c r="B1554" t="s">
        <v>5600</v>
      </c>
      <c r="C1554" t="s">
        <v>5617</v>
      </c>
    </row>
    <row r="1555" spans="1:3" x14ac:dyDescent="0.35">
      <c r="A1555" t="s">
        <v>1544</v>
      </c>
      <c r="B1555" t="s">
        <v>5601</v>
      </c>
      <c r="C1555" t="s">
        <v>5617</v>
      </c>
    </row>
    <row r="1556" spans="1:3" x14ac:dyDescent="0.35">
      <c r="A1556" t="s">
        <v>3133</v>
      </c>
      <c r="B1556" t="s">
        <v>5602</v>
      </c>
      <c r="C1556" t="s">
        <v>5617</v>
      </c>
    </row>
    <row r="1557" spans="1:3" x14ac:dyDescent="0.35">
      <c r="A1557" t="s">
        <v>1084</v>
      </c>
      <c r="B1557" t="s">
        <v>5603</v>
      </c>
      <c r="C1557" t="s">
        <v>5617</v>
      </c>
    </row>
    <row r="1558" spans="1:3" x14ac:dyDescent="0.35">
      <c r="A1558" t="s">
        <v>4157</v>
      </c>
      <c r="B1558" t="s">
        <v>4157</v>
      </c>
      <c r="C1558" t="s">
        <v>5611</v>
      </c>
    </row>
    <row r="1559" spans="1:3" x14ac:dyDescent="0.35">
      <c r="A1559" t="s">
        <v>4157</v>
      </c>
      <c r="B1559" t="s">
        <v>4157</v>
      </c>
      <c r="C1559" t="s">
        <v>5614</v>
      </c>
    </row>
    <row r="1560" spans="1:3" x14ac:dyDescent="0.35">
      <c r="A1560" t="s">
        <v>4157</v>
      </c>
      <c r="B1560" t="s">
        <v>4157</v>
      </c>
      <c r="C1560" t="s">
        <v>5607</v>
      </c>
    </row>
    <row r="1561" spans="1:3" x14ac:dyDescent="0.35">
      <c r="A1561" t="s">
        <v>4157</v>
      </c>
      <c r="B1561" t="s">
        <v>4157</v>
      </c>
      <c r="C1561" t="s">
        <v>1837</v>
      </c>
    </row>
    <row r="1562" spans="1:3" x14ac:dyDescent="0.35">
      <c r="A1562" t="s">
        <v>4157</v>
      </c>
      <c r="B1562" t="s">
        <v>4157</v>
      </c>
      <c r="C1562" t="s">
        <v>5615</v>
      </c>
    </row>
    <row r="1563" spans="1:3" x14ac:dyDescent="0.35">
      <c r="A1563" t="s">
        <v>4157</v>
      </c>
      <c r="B1563" t="s">
        <v>4157</v>
      </c>
      <c r="C1563" t="s">
        <v>5613</v>
      </c>
    </row>
    <row r="1564" spans="1:3" x14ac:dyDescent="0.35">
      <c r="A1564" t="s">
        <v>4157</v>
      </c>
      <c r="B1564" t="s">
        <v>4157</v>
      </c>
      <c r="C1564" t="s">
        <v>5608</v>
      </c>
    </row>
    <row r="1565" spans="1:3" x14ac:dyDescent="0.35">
      <c r="A1565" t="s">
        <v>4157</v>
      </c>
      <c r="B1565" t="s">
        <v>4157</v>
      </c>
      <c r="C1565" t="s">
        <v>5619</v>
      </c>
    </row>
    <row r="1566" spans="1:3" x14ac:dyDescent="0.35">
      <c r="A1566" t="s">
        <v>4157</v>
      </c>
      <c r="B1566" t="s">
        <v>4157</v>
      </c>
      <c r="C1566" t="s">
        <v>5610</v>
      </c>
    </row>
    <row r="1567" spans="1:3" x14ac:dyDescent="0.35">
      <c r="A1567" t="s">
        <v>4157</v>
      </c>
      <c r="B1567" t="s">
        <v>4157</v>
      </c>
      <c r="C1567" t="s">
        <v>5618</v>
      </c>
    </row>
    <row r="1568" spans="1:3" x14ac:dyDescent="0.35">
      <c r="A1568" t="s">
        <v>4157</v>
      </c>
      <c r="B1568" t="s">
        <v>4157</v>
      </c>
      <c r="C1568" t="s">
        <v>5609</v>
      </c>
    </row>
    <row r="1569" spans="1:3" x14ac:dyDescent="0.35">
      <c r="A1569" t="s">
        <v>4157</v>
      </c>
      <c r="B1569" t="s">
        <v>4157</v>
      </c>
      <c r="C1569" t="s">
        <v>5612</v>
      </c>
    </row>
    <row r="1570" spans="1:3" x14ac:dyDescent="0.35">
      <c r="A1570" t="s">
        <v>4157</v>
      </c>
      <c r="B1570" t="s">
        <v>4157</v>
      </c>
      <c r="C1570" t="s">
        <v>5616</v>
      </c>
    </row>
    <row r="1571" spans="1:3" x14ac:dyDescent="0.35">
      <c r="A1571" t="s">
        <v>4157</v>
      </c>
      <c r="B1571" t="s">
        <v>4157</v>
      </c>
      <c r="C1571" t="s">
        <v>5622</v>
      </c>
    </row>
    <row r="1572" spans="1:3" x14ac:dyDescent="0.35">
      <c r="A1572" t="s">
        <v>4157</v>
      </c>
      <c r="B1572" t="s">
        <v>4157</v>
      </c>
      <c r="C1572" t="s">
        <v>5624</v>
      </c>
    </row>
    <row r="1573" spans="1:3" x14ac:dyDescent="0.35">
      <c r="A1573" t="s">
        <v>4157</v>
      </c>
      <c r="B1573" t="s">
        <v>4157</v>
      </c>
      <c r="C1573" t="s">
        <v>5625</v>
      </c>
    </row>
    <row r="1574" spans="1:3" x14ac:dyDescent="0.35">
      <c r="A1574" t="s">
        <v>4157</v>
      </c>
      <c r="B1574" t="s">
        <v>4157</v>
      </c>
      <c r="C1574" t="s">
        <v>5626</v>
      </c>
    </row>
    <row r="1575" spans="1:3" x14ac:dyDescent="0.35">
      <c r="A1575" t="s">
        <v>4157</v>
      </c>
      <c r="B1575" t="s">
        <v>4157</v>
      </c>
      <c r="C1575" t="s">
        <v>5627</v>
      </c>
    </row>
    <row r="1576" spans="1:3" x14ac:dyDescent="0.35">
      <c r="A1576" t="s">
        <v>4157</v>
      </c>
      <c r="B1576" t="s">
        <v>4157</v>
      </c>
      <c r="C1576" t="s">
        <v>5628</v>
      </c>
    </row>
    <row r="1577" spans="1:3" x14ac:dyDescent="0.35">
      <c r="A1577" t="s">
        <v>4157</v>
      </c>
      <c r="B1577" t="s">
        <v>4157</v>
      </c>
      <c r="C1577" t="s">
        <v>5629</v>
      </c>
    </row>
    <row r="1578" spans="1:3" x14ac:dyDescent="0.35">
      <c r="A1578" t="s">
        <v>4157</v>
      </c>
      <c r="B1578" t="s">
        <v>4157</v>
      </c>
      <c r="C1578" t="s">
        <v>3155</v>
      </c>
    </row>
    <row r="1579" spans="1:3" x14ac:dyDescent="0.35">
      <c r="A1579" t="s">
        <v>4157</v>
      </c>
      <c r="B1579" t="s">
        <v>4157</v>
      </c>
      <c r="C1579" t="s">
        <v>5630</v>
      </c>
    </row>
    <row r="1580" spans="1:3" x14ac:dyDescent="0.35">
      <c r="A1580" t="s">
        <v>4157</v>
      </c>
      <c r="B1580" t="s">
        <v>4157</v>
      </c>
      <c r="C1580" t="s">
        <v>5631</v>
      </c>
    </row>
    <row r="1581" spans="1:3" x14ac:dyDescent="0.35">
      <c r="A1581" t="s">
        <v>4157</v>
      </c>
      <c r="B1581" t="s">
        <v>4157</v>
      </c>
      <c r="C1581" t="s">
        <v>5632</v>
      </c>
    </row>
    <row r="1582" spans="1:3" x14ac:dyDescent="0.35">
      <c r="A1582" t="s">
        <v>4157</v>
      </c>
      <c r="B1582" t="s">
        <v>4157</v>
      </c>
      <c r="C1582" t="s">
        <v>5633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164DA-A4C5-49FE-8548-A4A7285A5CD2}">
  <dimension ref="A3:T1785"/>
  <sheetViews>
    <sheetView topLeftCell="G181" workbookViewId="0">
      <selection activeCell="K193" sqref="K193"/>
    </sheetView>
  </sheetViews>
  <sheetFormatPr defaultRowHeight="14.5" x14ac:dyDescent="0.35"/>
  <cols>
    <col min="1" max="1" width="17.1796875" bestFit="1" customWidth="1"/>
    <col min="2" max="2" width="12.54296875" bestFit="1" customWidth="1"/>
    <col min="3" max="3" width="11.54296875" bestFit="1" customWidth="1"/>
    <col min="6" max="6" width="18.26953125" bestFit="1" customWidth="1"/>
    <col min="7" max="7" width="12.54296875" bestFit="1" customWidth="1"/>
    <col min="10" max="10" width="34.7265625" bestFit="1" customWidth="1"/>
    <col min="11" max="11" width="19.08984375" customWidth="1"/>
    <col min="12" max="12" width="18.26953125" bestFit="1" customWidth="1"/>
    <col min="13" max="13" width="17.1796875" bestFit="1" customWidth="1"/>
    <col min="16" max="16" width="30.1796875" bestFit="1" customWidth="1"/>
    <col min="17" max="17" width="15.453125" bestFit="1" customWidth="1"/>
    <col min="18" max="18" width="34.7265625" bestFit="1" customWidth="1"/>
    <col min="19" max="19" width="18.26953125" bestFit="1" customWidth="1"/>
    <col min="20" max="20" width="17.1796875" bestFit="1" customWidth="1"/>
  </cols>
  <sheetData>
    <row r="3" spans="1:20" x14ac:dyDescent="0.35">
      <c r="A3" s="5" t="s">
        <v>5634</v>
      </c>
      <c r="B3" s="5" t="s">
        <v>5635</v>
      </c>
      <c r="F3" s="5" t="s">
        <v>5605</v>
      </c>
      <c r="G3" s="5" t="s">
        <v>5636</v>
      </c>
      <c r="J3" s="5" t="s">
        <v>5637</v>
      </c>
      <c r="K3" s="5" t="s">
        <v>5638</v>
      </c>
      <c r="L3" s="5" t="s">
        <v>5605</v>
      </c>
      <c r="M3" s="5" t="s">
        <v>5634</v>
      </c>
      <c r="P3" s="5" t="s">
        <v>4012</v>
      </c>
      <c r="Q3" s="5" t="s">
        <v>4011</v>
      </c>
      <c r="R3" s="5" t="s">
        <v>5637</v>
      </c>
      <c r="S3" s="5" t="s">
        <v>5605</v>
      </c>
      <c r="T3" s="5" t="s">
        <v>5634</v>
      </c>
    </row>
    <row r="4" spans="1:20" x14ac:dyDescent="0.35">
      <c r="A4" t="s">
        <v>5639</v>
      </c>
      <c r="B4" t="s">
        <v>5640</v>
      </c>
      <c r="F4" t="s">
        <v>5629</v>
      </c>
      <c r="G4" t="s">
        <v>5641</v>
      </c>
      <c r="J4" t="s">
        <v>5642</v>
      </c>
      <c r="K4" t="s">
        <v>5643</v>
      </c>
      <c r="L4" t="s">
        <v>5630</v>
      </c>
      <c r="M4" t="s">
        <v>5644</v>
      </c>
      <c r="P4" t="s">
        <v>5186</v>
      </c>
      <c r="Q4" t="s">
        <v>5185</v>
      </c>
      <c r="R4" t="s">
        <v>5645</v>
      </c>
      <c r="S4" t="s">
        <v>5611</v>
      </c>
      <c r="T4" t="s">
        <v>1448</v>
      </c>
    </row>
    <row r="5" spans="1:20" x14ac:dyDescent="0.35">
      <c r="A5" t="s">
        <v>5646</v>
      </c>
      <c r="B5" t="s">
        <v>5647</v>
      </c>
      <c r="F5" t="s">
        <v>5611</v>
      </c>
      <c r="G5" t="s">
        <v>5641</v>
      </c>
      <c r="J5" t="s">
        <v>5648</v>
      </c>
      <c r="K5" t="s">
        <v>5649</v>
      </c>
      <c r="L5" t="s">
        <v>5632</v>
      </c>
      <c r="M5" t="s">
        <v>5650</v>
      </c>
      <c r="P5" t="s">
        <v>18</v>
      </c>
      <c r="Q5" t="s">
        <v>4522</v>
      </c>
      <c r="R5" t="s">
        <v>4513</v>
      </c>
      <c r="S5" t="s">
        <v>5614</v>
      </c>
      <c r="T5" t="s">
        <v>5646</v>
      </c>
    </row>
    <row r="6" spans="1:20" x14ac:dyDescent="0.35">
      <c r="A6" t="s">
        <v>1448</v>
      </c>
      <c r="B6" t="s">
        <v>5651</v>
      </c>
      <c r="F6" t="s">
        <v>5626</v>
      </c>
      <c r="G6" t="s">
        <v>5652</v>
      </c>
      <c r="J6" t="s">
        <v>70</v>
      </c>
      <c r="K6" t="s">
        <v>5653</v>
      </c>
      <c r="L6" t="s">
        <v>1837</v>
      </c>
      <c r="M6" t="s">
        <v>5646</v>
      </c>
      <c r="P6" t="s">
        <v>4195</v>
      </c>
      <c r="Q6" t="s">
        <v>4157</v>
      </c>
      <c r="R6" t="s">
        <v>2628</v>
      </c>
      <c r="S6" t="s">
        <v>5606</v>
      </c>
      <c r="T6" t="s">
        <v>5646</v>
      </c>
    </row>
    <row r="7" spans="1:20" x14ac:dyDescent="0.35">
      <c r="A7" t="s">
        <v>5650</v>
      </c>
      <c r="B7" t="s">
        <v>5654</v>
      </c>
      <c r="F7" t="s">
        <v>5614</v>
      </c>
      <c r="G7" t="s">
        <v>5655</v>
      </c>
      <c r="J7" t="s">
        <v>5656</v>
      </c>
      <c r="K7" t="s">
        <v>5657</v>
      </c>
      <c r="L7" t="s">
        <v>5612</v>
      </c>
      <c r="M7" t="s">
        <v>1448</v>
      </c>
      <c r="P7" t="s">
        <v>38</v>
      </c>
      <c r="Q7" t="s">
        <v>4670</v>
      </c>
      <c r="R7" t="s">
        <v>1349</v>
      </c>
      <c r="S7" t="s">
        <v>5607</v>
      </c>
      <c r="T7" t="s">
        <v>5650</v>
      </c>
    </row>
    <row r="8" spans="1:20" x14ac:dyDescent="0.35">
      <c r="A8" t="s">
        <v>5658</v>
      </c>
      <c r="B8" t="s">
        <v>5659</v>
      </c>
      <c r="F8" t="s">
        <v>5607</v>
      </c>
      <c r="G8" t="s">
        <v>5660</v>
      </c>
      <c r="J8" t="s">
        <v>110</v>
      </c>
      <c r="K8" t="s">
        <v>5661</v>
      </c>
      <c r="L8" t="s">
        <v>5609</v>
      </c>
      <c r="M8" t="s">
        <v>5658</v>
      </c>
      <c r="P8" s="2" t="s">
        <v>40</v>
      </c>
      <c r="Q8" s="2" t="s">
        <v>4657</v>
      </c>
      <c r="R8" s="2" t="s">
        <v>1244</v>
      </c>
      <c r="S8" t="s">
        <v>5607</v>
      </c>
      <c r="T8" t="s">
        <v>5650</v>
      </c>
    </row>
    <row r="9" spans="1:20" x14ac:dyDescent="0.35">
      <c r="A9" t="s">
        <v>5662</v>
      </c>
      <c r="B9" t="s">
        <v>5663</v>
      </c>
      <c r="F9" t="s">
        <v>5606</v>
      </c>
      <c r="G9" t="s">
        <v>5664</v>
      </c>
      <c r="J9" t="s">
        <v>5665</v>
      </c>
      <c r="K9" t="s">
        <v>5666</v>
      </c>
      <c r="L9" t="s">
        <v>5609</v>
      </c>
      <c r="M9" t="s">
        <v>5658</v>
      </c>
      <c r="P9" s="2"/>
      <c r="Q9" s="2" t="s">
        <v>5179</v>
      </c>
      <c r="R9" s="2" t="s">
        <v>5667</v>
      </c>
      <c r="S9" t="s">
        <v>5619</v>
      </c>
      <c r="T9" t="s">
        <v>5646</v>
      </c>
    </row>
    <row r="10" spans="1:20" x14ac:dyDescent="0.35">
      <c r="A10" t="s">
        <v>5668</v>
      </c>
      <c r="B10" t="s">
        <v>5669</v>
      </c>
      <c r="F10" t="s">
        <v>5622</v>
      </c>
      <c r="G10" t="s">
        <v>5664</v>
      </c>
      <c r="J10" t="s">
        <v>129</v>
      </c>
      <c r="K10" t="s">
        <v>5670</v>
      </c>
      <c r="L10" t="s">
        <v>5609</v>
      </c>
      <c r="M10" t="s">
        <v>5658</v>
      </c>
      <c r="P10" t="s">
        <v>4683</v>
      </c>
      <c r="Q10" t="s">
        <v>4682</v>
      </c>
      <c r="R10" t="s">
        <v>1349</v>
      </c>
      <c r="S10" t="s">
        <v>5607</v>
      </c>
      <c r="T10" t="s">
        <v>5650</v>
      </c>
    </row>
    <row r="11" spans="1:20" x14ac:dyDescent="0.35">
      <c r="A11" t="s">
        <v>5644</v>
      </c>
      <c r="B11" t="s">
        <v>5671</v>
      </c>
      <c r="F11" t="s">
        <v>5630</v>
      </c>
      <c r="G11" t="s">
        <v>5672</v>
      </c>
      <c r="J11" t="s">
        <v>4161</v>
      </c>
      <c r="K11" t="s">
        <v>5673</v>
      </c>
      <c r="L11" t="s">
        <v>5614</v>
      </c>
      <c r="M11" t="s">
        <v>5646</v>
      </c>
      <c r="P11" t="s">
        <v>46</v>
      </c>
      <c r="Q11" t="s">
        <v>5505</v>
      </c>
      <c r="R11" t="s">
        <v>3702</v>
      </c>
      <c r="S11" t="s">
        <v>5619</v>
      </c>
      <c r="T11" t="s">
        <v>5646</v>
      </c>
    </row>
    <row r="12" spans="1:20" x14ac:dyDescent="0.35">
      <c r="B12" t="s">
        <v>5674</v>
      </c>
      <c r="F12" t="s">
        <v>5628</v>
      </c>
      <c r="G12" t="s">
        <v>5675</v>
      </c>
      <c r="J12" t="s">
        <v>5676</v>
      </c>
      <c r="K12" t="s">
        <v>5677</v>
      </c>
      <c r="L12" t="s">
        <v>5625</v>
      </c>
      <c r="M12" t="s">
        <v>1448</v>
      </c>
      <c r="P12" t="s">
        <v>48</v>
      </c>
      <c r="Q12" t="s">
        <v>4086</v>
      </c>
      <c r="R12" t="s">
        <v>719</v>
      </c>
      <c r="S12" t="s">
        <v>5606</v>
      </c>
      <c r="T12" t="s">
        <v>5646</v>
      </c>
    </row>
    <row r="13" spans="1:20" x14ac:dyDescent="0.35">
      <c r="A13" t="s">
        <v>5678</v>
      </c>
      <c r="B13" t="s">
        <v>5679</v>
      </c>
      <c r="F13" t="s">
        <v>1757</v>
      </c>
      <c r="G13" t="s">
        <v>5680</v>
      </c>
      <c r="J13" t="s">
        <v>4025</v>
      </c>
      <c r="K13" t="s">
        <v>5681</v>
      </c>
      <c r="L13" t="s">
        <v>5621</v>
      </c>
      <c r="M13" t="s">
        <v>5678</v>
      </c>
      <c r="P13" t="s">
        <v>51</v>
      </c>
      <c r="Q13" t="s">
        <v>5432</v>
      </c>
      <c r="R13" t="s">
        <v>5682</v>
      </c>
      <c r="S13" t="s">
        <v>5614</v>
      </c>
      <c r="T13" t="s">
        <v>5646</v>
      </c>
    </row>
    <row r="14" spans="1:20" x14ac:dyDescent="0.35">
      <c r="F14" t="s">
        <v>1837</v>
      </c>
      <c r="G14" t="s">
        <v>5683</v>
      </c>
      <c r="J14" t="s">
        <v>219</v>
      </c>
      <c r="K14" t="s">
        <v>5684</v>
      </c>
      <c r="L14" t="s">
        <v>5618</v>
      </c>
      <c r="M14" t="s">
        <v>5658</v>
      </c>
      <c r="P14" t="s">
        <v>53</v>
      </c>
      <c r="Q14" t="s">
        <v>5142</v>
      </c>
      <c r="R14" t="s">
        <v>2628</v>
      </c>
      <c r="S14" t="s">
        <v>5614</v>
      </c>
      <c r="T14" t="s">
        <v>5646</v>
      </c>
    </row>
    <row r="15" spans="1:20" x14ac:dyDescent="0.35">
      <c r="F15" t="s">
        <v>5619</v>
      </c>
      <c r="G15" t="s">
        <v>5685</v>
      </c>
      <c r="J15" t="s">
        <v>5686</v>
      </c>
      <c r="K15" t="s">
        <v>5687</v>
      </c>
      <c r="L15" t="s">
        <v>1837</v>
      </c>
      <c r="M15" t="s">
        <v>5646</v>
      </c>
      <c r="P15" t="s">
        <v>4224</v>
      </c>
      <c r="Q15" t="s">
        <v>4157</v>
      </c>
      <c r="R15" t="s">
        <v>3576</v>
      </c>
      <c r="S15" t="s">
        <v>1837</v>
      </c>
      <c r="T15" t="s">
        <v>5646</v>
      </c>
    </row>
    <row r="16" spans="1:20" x14ac:dyDescent="0.35">
      <c r="F16" t="s">
        <v>5615</v>
      </c>
      <c r="G16" t="s">
        <v>5688</v>
      </c>
      <c r="J16" t="s">
        <v>5689</v>
      </c>
      <c r="K16" t="s">
        <v>5690</v>
      </c>
      <c r="L16" t="s">
        <v>3155</v>
      </c>
      <c r="M16" t="s">
        <v>5668</v>
      </c>
      <c r="P16" t="s">
        <v>58</v>
      </c>
      <c r="Q16" t="s">
        <v>5343</v>
      </c>
      <c r="R16" t="s">
        <v>3110</v>
      </c>
      <c r="S16" t="s">
        <v>1837</v>
      </c>
      <c r="T16" t="s">
        <v>5646</v>
      </c>
    </row>
    <row r="17" spans="6:20" x14ac:dyDescent="0.35">
      <c r="F17" t="s">
        <v>5612</v>
      </c>
      <c r="G17" t="s">
        <v>5691</v>
      </c>
      <c r="J17" t="s">
        <v>5692</v>
      </c>
      <c r="K17" t="s">
        <v>5693</v>
      </c>
      <c r="L17" t="s">
        <v>5612</v>
      </c>
      <c r="M17" t="s">
        <v>1448</v>
      </c>
      <c r="P17" t="s">
        <v>60</v>
      </c>
      <c r="Q17" t="s">
        <v>4542</v>
      </c>
      <c r="R17" t="s">
        <v>719</v>
      </c>
      <c r="S17" t="s">
        <v>5614</v>
      </c>
      <c r="T17" t="s">
        <v>5646</v>
      </c>
    </row>
    <row r="18" spans="6:20" x14ac:dyDescent="0.35">
      <c r="F18" t="s">
        <v>5609</v>
      </c>
      <c r="G18" t="s">
        <v>5694</v>
      </c>
      <c r="J18" t="s">
        <v>262</v>
      </c>
      <c r="K18" t="s">
        <v>5695</v>
      </c>
      <c r="L18" t="s">
        <v>1837</v>
      </c>
      <c r="M18" t="s">
        <v>5646</v>
      </c>
      <c r="P18" t="s">
        <v>4172</v>
      </c>
      <c r="Q18" t="s">
        <v>4157</v>
      </c>
      <c r="R18" t="s">
        <v>5696</v>
      </c>
      <c r="S18" t="s">
        <v>5614</v>
      </c>
      <c r="T18" t="s">
        <v>5646</v>
      </c>
    </row>
    <row r="19" spans="6:20" x14ac:dyDescent="0.35">
      <c r="F19" t="s">
        <v>5631</v>
      </c>
      <c r="G19" t="s">
        <v>5697</v>
      </c>
      <c r="J19" t="s">
        <v>4228</v>
      </c>
      <c r="K19" t="s">
        <v>5698</v>
      </c>
      <c r="L19" t="s">
        <v>5619</v>
      </c>
      <c r="M19" t="s">
        <v>5646</v>
      </c>
      <c r="P19" t="s">
        <v>64</v>
      </c>
      <c r="Q19" t="s">
        <v>5196</v>
      </c>
      <c r="R19" t="s">
        <v>2795</v>
      </c>
      <c r="S19" t="s">
        <v>5617</v>
      </c>
      <c r="T19" t="s">
        <v>5658</v>
      </c>
    </row>
    <row r="20" spans="6:20" x14ac:dyDescent="0.35">
      <c r="F20" t="s">
        <v>5621</v>
      </c>
      <c r="G20" t="s">
        <v>5699</v>
      </c>
      <c r="J20" t="s">
        <v>283</v>
      </c>
      <c r="K20" t="s">
        <v>5700</v>
      </c>
      <c r="L20" t="s">
        <v>5615</v>
      </c>
      <c r="M20" t="s">
        <v>5650</v>
      </c>
      <c r="P20" t="s">
        <v>71</v>
      </c>
      <c r="Q20" t="s">
        <v>4276</v>
      </c>
      <c r="R20" t="s">
        <v>70</v>
      </c>
      <c r="S20" t="s">
        <v>1837</v>
      </c>
      <c r="T20" t="s">
        <v>5646</v>
      </c>
    </row>
    <row r="21" spans="6:20" x14ac:dyDescent="0.35">
      <c r="F21" t="s">
        <v>5613</v>
      </c>
      <c r="G21" t="s">
        <v>5701</v>
      </c>
      <c r="J21" t="s">
        <v>287</v>
      </c>
      <c r="K21" t="s">
        <v>5702</v>
      </c>
      <c r="L21" t="s">
        <v>5614</v>
      </c>
      <c r="M21" t="s">
        <v>5646</v>
      </c>
      <c r="P21" t="s">
        <v>4201</v>
      </c>
      <c r="Q21" t="s">
        <v>4157</v>
      </c>
      <c r="R21" t="s">
        <v>70</v>
      </c>
      <c r="S21" t="s">
        <v>1837</v>
      </c>
      <c r="T21" t="s">
        <v>5646</v>
      </c>
    </row>
    <row r="22" spans="6:20" x14ac:dyDescent="0.35">
      <c r="F22" t="s">
        <v>5627</v>
      </c>
      <c r="G22" t="s">
        <v>5703</v>
      </c>
      <c r="J22" t="s">
        <v>299</v>
      </c>
      <c r="K22" t="s">
        <v>5704</v>
      </c>
      <c r="L22" t="s">
        <v>5613</v>
      </c>
      <c r="M22" t="s">
        <v>5678</v>
      </c>
      <c r="P22" s="2" t="s">
        <v>4390</v>
      </c>
      <c r="Q22" s="2" t="s">
        <v>4389</v>
      </c>
      <c r="R22" s="2" t="s">
        <v>457</v>
      </c>
      <c r="S22" t="s">
        <v>5607</v>
      </c>
      <c r="T22" t="s">
        <v>5650</v>
      </c>
    </row>
    <row r="23" spans="6:20" x14ac:dyDescent="0.35">
      <c r="F23" t="s">
        <v>5608</v>
      </c>
      <c r="G23" t="s">
        <v>5705</v>
      </c>
      <c r="J23" t="s">
        <v>5706</v>
      </c>
      <c r="K23" t="s">
        <v>5707</v>
      </c>
      <c r="L23" t="s">
        <v>5633</v>
      </c>
      <c r="M23" t="s">
        <v>5650</v>
      </c>
      <c r="P23" s="2"/>
      <c r="Q23" s="2" t="s">
        <v>4767</v>
      </c>
      <c r="R23" s="2" t="s">
        <v>5708</v>
      </c>
      <c r="S23" t="s">
        <v>5616</v>
      </c>
      <c r="T23" t="s">
        <v>5650</v>
      </c>
    </row>
    <row r="24" spans="6:20" x14ac:dyDescent="0.35">
      <c r="F24" t="s">
        <v>3155</v>
      </c>
      <c r="G24" t="s">
        <v>5709</v>
      </c>
      <c r="J24" t="s">
        <v>5710</v>
      </c>
      <c r="K24" t="s">
        <v>5711</v>
      </c>
      <c r="L24" t="s">
        <v>5613</v>
      </c>
      <c r="M24" t="s">
        <v>5678</v>
      </c>
      <c r="P24" t="s">
        <v>76</v>
      </c>
      <c r="Q24" t="s">
        <v>5241</v>
      </c>
      <c r="R24" t="s">
        <v>2914</v>
      </c>
      <c r="S24" t="s">
        <v>5607</v>
      </c>
      <c r="T24" t="s">
        <v>5650</v>
      </c>
    </row>
    <row r="25" spans="6:20" x14ac:dyDescent="0.35">
      <c r="F25" t="s">
        <v>5623</v>
      </c>
      <c r="G25" t="s">
        <v>5712</v>
      </c>
      <c r="J25" t="s">
        <v>5713</v>
      </c>
      <c r="K25" t="s">
        <v>5714</v>
      </c>
      <c r="L25" t="s">
        <v>5611</v>
      </c>
      <c r="M25" t="s">
        <v>1448</v>
      </c>
      <c r="P25" t="s">
        <v>78</v>
      </c>
      <c r="Q25" t="s">
        <v>5420</v>
      </c>
      <c r="R25" t="s">
        <v>5715</v>
      </c>
      <c r="S25" t="s">
        <v>5611</v>
      </c>
      <c r="T25" t="s">
        <v>1448</v>
      </c>
    </row>
    <row r="26" spans="6:20" x14ac:dyDescent="0.35">
      <c r="F26" t="s">
        <v>5632</v>
      </c>
      <c r="G26" t="s">
        <v>5716</v>
      </c>
      <c r="J26" t="s">
        <v>5717</v>
      </c>
      <c r="K26" t="s">
        <v>5718</v>
      </c>
      <c r="L26" t="s">
        <v>5608</v>
      </c>
      <c r="M26" t="s">
        <v>5678</v>
      </c>
      <c r="P26" t="s">
        <v>81</v>
      </c>
      <c r="Q26" t="s">
        <v>4068</v>
      </c>
      <c r="R26" t="s">
        <v>5719</v>
      </c>
      <c r="S26" t="s">
        <v>5607</v>
      </c>
      <c r="T26" t="s">
        <v>5650</v>
      </c>
    </row>
    <row r="27" spans="6:20" x14ac:dyDescent="0.35">
      <c r="F27" t="s">
        <v>5633</v>
      </c>
      <c r="G27" t="s">
        <v>5720</v>
      </c>
      <c r="J27" t="s">
        <v>5721</v>
      </c>
      <c r="K27" t="s">
        <v>5722</v>
      </c>
      <c r="L27" t="s">
        <v>5617</v>
      </c>
      <c r="M27" t="s">
        <v>5658</v>
      </c>
      <c r="P27" t="s">
        <v>4342</v>
      </c>
      <c r="Q27" t="s">
        <v>4341</v>
      </c>
      <c r="R27" t="s">
        <v>5721</v>
      </c>
      <c r="S27" t="s">
        <v>5617</v>
      </c>
      <c r="T27" t="s">
        <v>5658</v>
      </c>
    </row>
    <row r="28" spans="6:20" x14ac:dyDescent="0.35">
      <c r="F28" t="s">
        <v>5625</v>
      </c>
      <c r="G28" t="s">
        <v>5723</v>
      </c>
      <c r="J28" t="s">
        <v>5724</v>
      </c>
      <c r="K28" t="s">
        <v>5725</v>
      </c>
      <c r="L28" t="s">
        <v>5630</v>
      </c>
      <c r="M28" t="s">
        <v>5644</v>
      </c>
      <c r="P28" t="s">
        <v>85</v>
      </c>
      <c r="Q28" t="s">
        <v>4015</v>
      </c>
      <c r="R28" t="s">
        <v>3024</v>
      </c>
      <c r="S28" t="s">
        <v>5608</v>
      </c>
      <c r="T28" t="s">
        <v>5678</v>
      </c>
    </row>
    <row r="29" spans="6:20" x14ac:dyDescent="0.35">
      <c r="F29" t="s">
        <v>5624</v>
      </c>
      <c r="G29" t="s">
        <v>5726</v>
      </c>
      <c r="J29" t="s">
        <v>357</v>
      </c>
      <c r="K29" t="s">
        <v>5727</v>
      </c>
      <c r="L29" t="s">
        <v>5609</v>
      </c>
      <c r="M29" t="s">
        <v>5658</v>
      </c>
      <c r="P29" t="s">
        <v>87</v>
      </c>
      <c r="Q29" t="s">
        <v>4578</v>
      </c>
      <c r="R29" t="s">
        <v>955</v>
      </c>
      <c r="S29" t="s">
        <v>5607</v>
      </c>
      <c r="T29" t="s">
        <v>5650</v>
      </c>
    </row>
    <row r="30" spans="6:20" x14ac:dyDescent="0.35">
      <c r="F30" t="s">
        <v>5616</v>
      </c>
      <c r="G30" t="s">
        <v>5728</v>
      </c>
      <c r="J30" t="s">
        <v>5729</v>
      </c>
      <c r="K30" t="s">
        <v>5730</v>
      </c>
      <c r="L30" t="s">
        <v>5616</v>
      </c>
      <c r="M30" t="s">
        <v>5650</v>
      </c>
      <c r="P30" t="s">
        <v>89</v>
      </c>
      <c r="Q30" t="s">
        <v>5060</v>
      </c>
      <c r="R30" t="s">
        <v>5621</v>
      </c>
      <c r="S30" t="s">
        <v>5621</v>
      </c>
      <c r="T30" t="s">
        <v>5678</v>
      </c>
    </row>
    <row r="31" spans="6:20" x14ac:dyDescent="0.35">
      <c r="F31" t="s">
        <v>5610</v>
      </c>
      <c r="G31" t="s">
        <v>5731</v>
      </c>
      <c r="J31" t="s">
        <v>5732</v>
      </c>
      <c r="K31" t="s">
        <v>5733</v>
      </c>
      <c r="L31" t="s">
        <v>5614</v>
      </c>
      <c r="M31" t="s">
        <v>5646</v>
      </c>
      <c r="P31" t="s">
        <v>91</v>
      </c>
      <c r="Q31" t="s">
        <v>4892</v>
      </c>
      <c r="R31" t="s">
        <v>5615</v>
      </c>
      <c r="S31" t="s">
        <v>5615</v>
      </c>
      <c r="T31" t="s">
        <v>5650</v>
      </c>
    </row>
    <row r="32" spans="6:20" x14ac:dyDescent="0.35">
      <c r="F32" t="s">
        <v>5618</v>
      </c>
      <c r="G32" t="s">
        <v>5734</v>
      </c>
      <c r="J32" t="s">
        <v>369</v>
      </c>
      <c r="K32" t="s">
        <v>5735</v>
      </c>
      <c r="L32" t="s">
        <v>5617</v>
      </c>
      <c r="M32" t="s">
        <v>5658</v>
      </c>
      <c r="P32" t="s">
        <v>95</v>
      </c>
      <c r="Q32" t="s">
        <v>4534</v>
      </c>
      <c r="R32" t="s">
        <v>710</v>
      </c>
      <c r="S32" t="s">
        <v>5617</v>
      </c>
      <c r="T32" t="s">
        <v>5658</v>
      </c>
    </row>
    <row r="33" spans="6:20" x14ac:dyDescent="0.35">
      <c r="F33" t="s">
        <v>5620</v>
      </c>
      <c r="G33" t="s">
        <v>5736</v>
      </c>
      <c r="J33" t="s">
        <v>371</v>
      </c>
      <c r="K33" t="s">
        <v>5737</v>
      </c>
      <c r="L33" t="s">
        <v>5609</v>
      </c>
      <c r="M33" t="s">
        <v>5658</v>
      </c>
      <c r="P33" t="s">
        <v>99</v>
      </c>
      <c r="Q33" t="s">
        <v>5304</v>
      </c>
      <c r="R33" t="s">
        <v>3032</v>
      </c>
      <c r="S33" t="s">
        <v>5619</v>
      </c>
      <c r="T33" t="s">
        <v>5646</v>
      </c>
    </row>
    <row r="34" spans="6:20" x14ac:dyDescent="0.35">
      <c r="F34" t="s">
        <v>5617</v>
      </c>
      <c r="G34" t="s">
        <v>5738</v>
      </c>
      <c r="J34" t="s">
        <v>5739</v>
      </c>
      <c r="K34" t="s">
        <v>5740</v>
      </c>
      <c r="L34" t="s">
        <v>5621</v>
      </c>
      <c r="M34" t="s">
        <v>5678</v>
      </c>
      <c r="P34" t="s">
        <v>101</v>
      </c>
      <c r="Q34" t="s">
        <v>4580</v>
      </c>
      <c r="R34" t="s">
        <v>955</v>
      </c>
      <c r="S34" t="s">
        <v>5607</v>
      </c>
      <c r="T34" t="s">
        <v>5650</v>
      </c>
    </row>
    <row r="35" spans="6:20" x14ac:dyDescent="0.35">
      <c r="J35" t="s">
        <v>5741</v>
      </c>
      <c r="K35" t="s">
        <v>5742</v>
      </c>
      <c r="L35" t="s">
        <v>5621</v>
      </c>
      <c r="M35" t="s">
        <v>5678</v>
      </c>
      <c r="P35" t="s">
        <v>105</v>
      </c>
      <c r="Q35" t="s">
        <v>4092</v>
      </c>
      <c r="R35" t="s">
        <v>1976</v>
      </c>
      <c r="S35" t="s">
        <v>1837</v>
      </c>
      <c r="T35" t="s">
        <v>5646</v>
      </c>
    </row>
    <row r="36" spans="6:20" x14ac:dyDescent="0.35">
      <c r="J36" t="s">
        <v>5743</v>
      </c>
      <c r="K36" t="s">
        <v>5744</v>
      </c>
      <c r="L36" t="s">
        <v>5614</v>
      </c>
      <c r="M36" t="s">
        <v>5646</v>
      </c>
      <c r="P36" s="2" t="s">
        <v>110</v>
      </c>
      <c r="Q36" s="2" t="s">
        <v>4278</v>
      </c>
      <c r="R36" t="s">
        <v>110</v>
      </c>
      <c r="S36" t="s">
        <v>5609</v>
      </c>
      <c r="T36" t="s">
        <v>5658</v>
      </c>
    </row>
    <row r="37" spans="6:20" x14ac:dyDescent="0.35">
      <c r="J37" t="s">
        <v>4222</v>
      </c>
      <c r="K37" t="s">
        <v>5745</v>
      </c>
      <c r="L37" t="s">
        <v>5614</v>
      </c>
      <c r="M37" t="s">
        <v>5646</v>
      </c>
      <c r="P37" s="2"/>
      <c r="Q37" s="2" t="s">
        <v>4051</v>
      </c>
      <c r="R37" t="s">
        <v>5746</v>
      </c>
      <c r="S37" t="s">
        <v>5607</v>
      </c>
      <c r="T37" t="s">
        <v>5650</v>
      </c>
    </row>
    <row r="38" spans="6:20" x14ac:dyDescent="0.35">
      <c r="J38" t="s">
        <v>436</v>
      </c>
      <c r="K38" t="s">
        <v>5747</v>
      </c>
      <c r="L38" t="s">
        <v>5618</v>
      </c>
      <c r="M38" t="s">
        <v>5658</v>
      </c>
      <c r="P38" t="s">
        <v>4297</v>
      </c>
      <c r="Q38" t="s">
        <v>4296</v>
      </c>
      <c r="R38" t="s">
        <v>4025</v>
      </c>
      <c r="S38" t="s">
        <v>5621</v>
      </c>
      <c r="T38" t="s">
        <v>5678</v>
      </c>
    </row>
    <row r="39" spans="6:20" x14ac:dyDescent="0.35">
      <c r="J39" t="s">
        <v>457</v>
      </c>
      <c r="K39" t="s">
        <v>5748</v>
      </c>
      <c r="L39" t="s">
        <v>5607</v>
      </c>
      <c r="M39" t="s">
        <v>5650</v>
      </c>
      <c r="P39" t="s">
        <v>116</v>
      </c>
      <c r="Q39" t="s">
        <v>4283</v>
      </c>
      <c r="R39" t="s">
        <v>129</v>
      </c>
      <c r="S39" t="s">
        <v>5609</v>
      </c>
      <c r="T39" t="s">
        <v>5658</v>
      </c>
    </row>
    <row r="40" spans="6:20" x14ac:dyDescent="0.35">
      <c r="J40" t="s">
        <v>5749</v>
      </c>
      <c r="K40" t="s">
        <v>5750</v>
      </c>
      <c r="L40" t="s">
        <v>5613</v>
      </c>
      <c r="M40" t="s">
        <v>5678</v>
      </c>
      <c r="P40" t="s">
        <v>118</v>
      </c>
      <c r="Q40" t="s">
        <v>4480</v>
      </c>
      <c r="R40" t="s">
        <v>5607</v>
      </c>
      <c r="S40" t="s">
        <v>5607</v>
      </c>
      <c r="T40" t="s">
        <v>5650</v>
      </c>
    </row>
    <row r="41" spans="6:20" x14ac:dyDescent="0.35">
      <c r="J41" t="s">
        <v>5751</v>
      </c>
      <c r="K41" t="s">
        <v>5752</v>
      </c>
      <c r="L41" t="s">
        <v>5626</v>
      </c>
      <c r="M41" t="s">
        <v>5639</v>
      </c>
      <c r="P41" t="s">
        <v>4247</v>
      </c>
      <c r="Q41" t="s">
        <v>4157</v>
      </c>
      <c r="R41" t="s">
        <v>955</v>
      </c>
      <c r="S41" t="s">
        <v>5607</v>
      </c>
      <c r="T41" t="s">
        <v>5650</v>
      </c>
    </row>
    <row r="42" spans="6:20" x14ac:dyDescent="0.35">
      <c r="J42" t="s">
        <v>5753</v>
      </c>
      <c r="K42" t="s">
        <v>5754</v>
      </c>
      <c r="L42" t="s">
        <v>5626</v>
      </c>
      <c r="M42" t="s">
        <v>5639</v>
      </c>
      <c r="P42" t="s">
        <v>122</v>
      </c>
      <c r="Q42" t="s">
        <v>121</v>
      </c>
      <c r="R42" t="s">
        <v>955</v>
      </c>
      <c r="S42" t="s">
        <v>5607</v>
      </c>
      <c r="T42" t="s">
        <v>5650</v>
      </c>
    </row>
    <row r="43" spans="6:20" x14ac:dyDescent="0.35">
      <c r="J43" t="s">
        <v>5755</v>
      </c>
      <c r="K43" t="s">
        <v>5756</v>
      </c>
      <c r="L43" t="s">
        <v>5614</v>
      </c>
      <c r="M43" t="s">
        <v>5646</v>
      </c>
      <c r="P43" t="s">
        <v>126</v>
      </c>
      <c r="Q43" t="s">
        <v>4484</v>
      </c>
      <c r="R43" t="s">
        <v>5607</v>
      </c>
      <c r="S43" t="s">
        <v>5607</v>
      </c>
      <c r="T43" t="s">
        <v>5650</v>
      </c>
    </row>
    <row r="44" spans="6:20" x14ac:dyDescent="0.35">
      <c r="J44" s="2" t="s">
        <v>5757</v>
      </c>
      <c r="K44" s="2" t="s">
        <v>5758</v>
      </c>
      <c r="L44" s="2" t="s">
        <v>5614</v>
      </c>
      <c r="M44" t="s">
        <v>5646</v>
      </c>
      <c r="P44" t="s">
        <v>129</v>
      </c>
      <c r="Q44" t="s">
        <v>4284</v>
      </c>
      <c r="R44" t="s">
        <v>129</v>
      </c>
      <c r="S44" t="s">
        <v>5609</v>
      </c>
      <c r="T44" t="s">
        <v>5658</v>
      </c>
    </row>
    <row r="45" spans="6:20" x14ac:dyDescent="0.35">
      <c r="J45" s="2"/>
      <c r="K45" s="2"/>
      <c r="L45" s="2" t="s">
        <v>5622</v>
      </c>
      <c r="M45" t="s">
        <v>5646</v>
      </c>
      <c r="P45" s="2" t="s">
        <v>4919</v>
      </c>
      <c r="Q45" s="2" t="s">
        <v>5059</v>
      </c>
      <c r="R45" s="2" t="s">
        <v>5621</v>
      </c>
      <c r="S45" t="s">
        <v>5621</v>
      </c>
      <c r="T45" t="s">
        <v>5678</v>
      </c>
    </row>
    <row r="46" spans="6:20" x14ac:dyDescent="0.35">
      <c r="J46" t="s">
        <v>4240</v>
      </c>
      <c r="K46" t="s">
        <v>5759</v>
      </c>
      <c r="L46" t="s">
        <v>5607</v>
      </c>
      <c r="M46" t="s">
        <v>5650</v>
      </c>
      <c r="P46" s="2"/>
      <c r="Q46" s="2" t="s">
        <v>4918</v>
      </c>
      <c r="R46" s="2" t="s">
        <v>2325</v>
      </c>
      <c r="S46" t="s">
        <v>5609</v>
      </c>
      <c r="T46" t="s">
        <v>5658</v>
      </c>
    </row>
    <row r="47" spans="6:20" x14ac:dyDescent="0.35">
      <c r="J47" s="2" t="s">
        <v>5607</v>
      </c>
      <c r="K47" s="2" t="s">
        <v>5759</v>
      </c>
      <c r="L47" t="s">
        <v>5607</v>
      </c>
      <c r="M47" t="s">
        <v>5650</v>
      </c>
      <c r="P47" t="s">
        <v>137</v>
      </c>
      <c r="Q47" t="s">
        <v>5128</v>
      </c>
      <c r="R47" t="s">
        <v>2619</v>
      </c>
      <c r="S47" t="s">
        <v>5609</v>
      </c>
      <c r="T47" t="s">
        <v>5658</v>
      </c>
    </row>
    <row r="48" spans="6:20" x14ac:dyDescent="0.35">
      <c r="J48" s="2"/>
      <c r="K48" s="2" t="s">
        <v>5760</v>
      </c>
      <c r="L48" t="s">
        <v>5607</v>
      </c>
      <c r="M48" t="s">
        <v>5650</v>
      </c>
      <c r="P48" t="s">
        <v>4183</v>
      </c>
      <c r="Q48" t="s">
        <v>4157</v>
      </c>
      <c r="R48" t="s">
        <v>2628</v>
      </c>
      <c r="S48" t="s">
        <v>5606</v>
      </c>
      <c r="T48" t="s">
        <v>5646</v>
      </c>
    </row>
    <row r="49" spans="10:20" x14ac:dyDescent="0.35">
      <c r="J49" t="s">
        <v>534</v>
      </c>
      <c r="K49" t="s">
        <v>5761</v>
      </c>
      <c r="L49" t="s">
        <v>5618</v>
      </c>
      <c r="M49" t="s">
        <v>5658</v>
      </c>
      <c r="P49" t="s">
        <v>141</v>
      </c>
      <c r="Q49" t="s">
        <v>4973</v>
      </c>
      <c r="R49" t="s">
        <v>5762</v>
      </c>
      <c r="S49" t="s">
        <v>5614</v>
      </c>
      <c r="T49" t="s">
        <v>5646</v>
      </c>
    </row>
    <row r="50" spans="10:20" x14ac:dyDescent="0.35">
      <c r="J50" t="s">
        <v>5763</v>
      </c>
      <c r="K50" t="s">
        <v>5764</v>
      </c>
      <c r="L50" t="s">
        <v>5625</v>
      </c>
      <c r="M50" t="s">
        <v>1448</v>
      </c>
      <c r="P50" t="s">
        <v>145</v>
      </c>
      <c r="Q50" t="s">
        <v>5332</v>
      </c>
      <c r="R50" t="s">
        <v>3101</v>
      </c>
      <c r="S50" t="s">
        <v>5610</v>
      </c>
      <c r="T50" t="s">
        <v>5646</v>
      </c>
    </row>
    <row r="51" spans="10:20" x14ac:dyDescent="0.35">
      <c r="J51" t="s">
        <v>5765</v>
      </c>
      <c r="K51" t="s">
        <v>5766</v>
      </c>
      <c r="L51" t="s">
        <v>5625</v>
      </c>
      <c r="M51" t="s">
        <v>1448</v>
      </c>
      <c r="P51" t="s">
        <v>4161</v>
      </c>
      <c r="Q51" t="s">
        <v>4157</v>
      </c>
      <c r="R51" t="s">
        <v>4161</v>
      </c>
      <c r="S51" t="s">
        <v>5614</v>
      </c>
      <c r="T51" t="s">
        <v>5646</v>
      </c>
    </row>
    <row r="52" spans="10:20" x14ac:dyDescent="0.35">
      <c r="J52" t="s">
        <v>550</v>
      </c>
      <c r="K52" t="s">
        <v>5767</v>
      </c>
      <c r="L52" t="s">
        <v>5618</v>
      </c>
      <c r="M52" t="s">
        <v>5658</v>
      </c>
      <c r="P52" t="s">
        <v>150</v>
      </c>
      <c r="Q52" t="s">
        <v>4288</v>
      </c>
      <c r="R52" t="s">
        <v>4161</v>
      </c>
      <c r="S52" t="s">
        <v>5614</v>
      </c>
      <c r="T52" t="s">
        <v>5646</v>
      </c>
    </row>
    <row r="53" spans="10:20" x14ac:dyDescent="0.35">
      <c r="J53" t="s">
        <v>582</v>
      </c>
      <c r="K53" t="s">
        <v>5768</v>
      </c>
      <c r="L53" t="s">
        <v>5609</v>
      </c>
      <c r="M53" t="s">
        <v>5658</v>
      </c>
      <c r="P53" t="s">
        <v>5224</v>
      </c>
      <c r="Q53" t="s">
        <v>5223</v>
      </c>
      <c r="R53" t="s">
        <v>5769</v>
      </c>
      <c r="S53" t="s">
        <v>5621</v>
      </c>
      <c r="T53" t="s">
        <v>5678</v>
      </c>
    </row>
    <row r="54" spans="10:20" x14ac:dyDescent="0.35">
      <c r="J54" t="s">
        <v>5770</v>
      </c>
      <c r="K54" t="s">
        <v>5771</v>
      </c>
      <c r="L54" t="s">
        <v>5616</v>
      </c>
      <c r="M54" t="s">
        <v>5650</v>
      </c>
      <c r="P54" t="s">
        <v>157</v>
      </c>
      <c r="Q54" t="s">
        <v>4636</v>
      </c>
      <c r="R54" t="s">
        <v>5772</v>
      </c>
      <c r="S54" t="s">
        <v>5615</v>
      </c>
      <c r="T54" t="s">
        <v>5650</v>
      </c>
    </row>
    <row r="55" spans="10:20" x14ac:dyDescent="0.35">
      <c r="J55" s="2" t="s">
        <v>4513</v>
      </c>
      <c r="K55" s="2" t="s">
        <v>5773</v>
      </c>
      <c r="L55" s="2" t="s">
        <v>5614</v>
      </c>
      <c r="M55" t="s">
        <v>5646</v>
      </c>
      <c r="P55" t="s">
        <v>159</v>
      </c>
      <c r="Q55" t="s">
        <v>4556</v>
      </c>
      <c r="R55" t="s">
        <v>773</v>
      </c>
      <c r="S55" t="s">
        <v>5614</v>
      </c>
      <c r="T55" t="s">
        <v>5646</v>
      </c>
    </row>
    <row r="56" spans="10:20" x14ac:dyDescent="0.35">
      <c r="J56" s="2"/>
      <c r="K56" s="2"/>
      <c r="L56" s="2" t="s">
        <v>5612</v>
      </c>
      <c r="M56" t="s">
        <v>1448</v>
      </c>
      <c r="P56" t="s">
        <v>162</v>
      </c>
      <c r="Q56" t="s">
        <v>4388</v>
      </c>
      <c r="R56" t="s">
        <v>457</v>
      </c>
      <c r="S56" t="s">
        <v>5607</v>
      </c>
      <c r="T56" t="s">
        <v>5650</v>
      </c>
    </row>
    <row r="57" spans="10:20" x14ac:dyDescent="0.35">
      <c r="J57" t="s">
        <v>5774</v>
      </c>
      <c r="K57" t="s">
        <v>5775</v>
      </c>
      <c r="L57" t="s">
        <v>5616</v>
      </c>
      <c r="M57" t="s">
        <v>5650</v>
      </c>
      <c r="P57" t="s">
        <v>5409</v>
      </c>
      <c r="Q57" t="s">
        <v>5408</v>
      </c>
      <c r="R57" t="s">
        <v>5776</v>
      </c>
      <c r="S57" t="s">
        <v>5612</v>
      </c>
      <c r="T57" t="s">
        <v>1448</v>
      </c>
    </row>
    <row r="58" spans="10:20" x14ac:dyDescent="0.35">
      <c r="J58" t="s">
        <v>5777</v>
      </c>
      <c r="K58" t="s">
        <v>5778</v>
      </c>
      <c r="L58" t="s">
        <v>5625</v>
      </c>
      <c r="M58" t="s">
        <v>1448</v>
      </c>
      <c r="P58" t="s">
        <v>166</v>
      </c>
      <c r="Q58" t="s">
        <v>5372</v>
      </c>
      <c r="R58" t="s">
        <v>5779</v>
      </c>
      <c r="S58" t="s">
        <v>1837</v>
      </c>
      <c r="T58" t="s">
        <v>5646</v>
      </c>
    </row>
    <row r="59" spans="10:20" x14ac:dyDescent="0.35">
      <c r="J59" t="s">
        <v>653</v>
      </c>
      <c r="K59" t="s">
        <v>5780</v>
      </c>
      <c r="L59" t="s">
        <v>5613</v>
      </c>
      <c r="M59" t="s">
        <v>5678</v>
      </c>
      <c r="P59" t="s">
        <v>4355</v>
      </c>
      <c r="Q59" t="s">
        <v>4354</v>
      </c>
      <c r="R59" t="s">
        <v>369</v>
      </c>
      <c r="S59" t="s">
        <v>5617</v>
      </c>
      <c r="T59" t="s">
        <v>5658</v>
      </c>
    </row>
    <row r="60" spans="10:20" x14ac:dyDescent="0.35">
      <c r="J60" t="s">
        <v>5781</v>
      </c>
      <c r="K60" t="s">
        <v>5782</v>
      </c>
      <c r="L60" t="s">
        <v>5617</v>
      </c>
      <c r="M60" t="s">
        <v>5658</v>
      </c>
      <c r="P60" t="s">
        <v>168</v>
      </c>
      <c r="Q60" t="s">
        <v>4568</v>
      </c>
      <c r="R60" t="s">
        <v>855</v>
      </c>
      <c r="S60" t="s">
        <v>5615</v>
      </c>
      <c r="T60" t="s">
        <v>5650</v>
      </c>
    </row>
    <row r="61" spans="10:20" x14ac:dyDescent="0.35">
      <c r="J61" t="s">
        <v>5783</v>
      </c>
      <c r="K61" t="s">
        <v>5784</v>
      </c>
      <c r="L61" t="s">
        <v>5607</v>
      </c>
      <c r="M61" t="s">
        <v>5650</v>
      </c>
      <c r="P61" s="2" t="s">
        <v>170</v>
      </c>
      <c r="Q61" s="2" t="s">
        <v>5324</v>
      </c>
      <c r="R61" s="2" t="s">
        <v>3101</v>
      </c>
      <c r="S61" t="s">
        <v>5610</v>
      </c>
      <c r="T61" t="s">
        <v>5646</v>
      </c>
    </row>
    <row r="62" spans="10:20" x14ac:dyDescent="0.35">
      <c r="J62" t="s">
        <v>710</v>
      </c>
      <c r="K62" t="s">
        <v>5785</v>
      </c>
      <c r="L62" t="s">
        <v>5617</v>
      </c>
      <c r="M62" t="s">
        <v>5658</v>
      </c>
      <c r="P62" s="2"/>
      <c r="Q62" s="2" t="s">
        <v>174</v>
      </c>
      <c r="R62" s="2" t="s">
        <v>5786</v>
      </c>
      <c r="S62" t="s">
        <v>5606</v>
      </c>
      <c r="T62" t="s">
        <v>5646</v>
      </c>
    </row>
    <row r="63" spans="10:20" x14ac:dyDescent="0.35">
      <c r="J63" s="2" t="s">
        <v>719</v>
      </c>
      <c r="K63" s="2" t="s">
        <v>5787</v>
      </c>
      <c r="L63" s="2" t="s">
        <v>5614</v>
      </c>
      <c r="M63" t="s">
        <v>5646</v>
      </c>
      <c r="P63" t="s">
        <v>4179</v>
      </c>
      <c r="Q63" t="s">
        <v>4157</v>
      </c>
      <c r="R63" t="s">
        <v>5786</v>
      </c>
      <c r="S63" t="s">
        <v>5606</v>
      </c>
      <c r="T63" t="s">
        <v>5646</v>
      </c>
    </row>
    <row r="64" spans="10:20" x14ac:dyDescent="0.35">
      <c r="J64" s="2"/>
      <c r="K64" s="2"/>
      <c r="L64" s="2" t="s">
        <v>5606</v>
      </c>
      <c r="M64" t="s">
        <v>5646</v>
      </c>
      <c r="P64" t="s">
        <v>175</v>
      </c>
      <c r="Q64" t="s">
        <v>5272</v>
      </c>
      <c r="R64" t="s">
        <v>5788</v>
      </c>
      <c r="S64" t="s">
        <v>5614</v>
      </c>
      <c r="T64" t="s">
        <v>5646</v>
      </c>
    </row>
    <row r="65" spans="10:20" x14ac:dyDescent="0.35">
      <c r="J65" s="2"/>
      <c r="K65" s="2"/>
      <c r="L65" s="2" t="s">
        <v>5622</v>
      </c>
      <c r="M65" t="s">
        <v>5646</v>
      </c>
      <c r="P65" t="s">
        <v>181</v>
      </c>
      <c r="Q65" t="s">
        <v>4718</v>
      </c>
      <c r="R65" t="s">
        <v>1522</v>
      </c>
      <c r="S65" t="s">
        <v>5610</v>
      </c>
      <c r="T65" t="s">
        <v>5646</v>
      </c>
    </row>
    <row r="66" spans="10:20" x14ac:dyDescent="0.35">
      <c r="J66" t="s">
        <v>5789</v>
      </c>
      <c r="K66" t="s">
        <v>5790</v>
      </c>
      <c r="L66" t="s">
        <v>5633</v>
      </c>
      <c r="M66" t="s">
        <v>5650</v>
      </c>
      <c r="P66" t="s">
        <v>4194</v>
      </c>
      <c r="Q66" t="s">
        <v>4157</v>
      </c>
      <c r="R66" t="s">
        <v>2628</v>
      </c>
      <c r="S66" t="s">
        <v>5606</v>
      </c>
      <c r="T66" t="s">
        <v>5646</v>
      </c>
    </row>
    <row r="67" spans="10:20" x14ac:dyDescent="0.35">
      <c r="J67" t="s">
        <v>5791</v>
      </c>
      <c r="K67" t="s">
        <v>5792</v>
      </c>
      <c r="L67" t="s">
        <v>5621</v>
      </c>
      <c r="M67" t="s">
        <v>5678</v>
      </c>
      <c r="P67" t="s">
        <v>186</v>
      </c>
      <c r="Q67" t="s">
        <v>4821</v>
      </c>
      <c r="R67" t="s">
        <v>1910</v>
      </c>
      <c r="S67" t="s">
        <v>1837</v>
      </c>
      <c r="T67" t="s">
        <v>5646</v>
      </c>
    </row>
    <row r="68" spans="10:20" x14ac:dyDescent="0.35">
      <c r="J68" t="s">
        <v>767</v>
      </c>
      <c r="K68" t="s">
        <v>5793</v>
      </c>
      <c r="L68" t="s">
        <v>5626</v>
      </c>
      <c r="M68" t="s">
        <v>5639</v>
      </c>
      <c r="P68" t="s">
        <v>4025</v>
      </c>
      <c r="Q68" t="s">
        <v>4024</v>
      </c>
      <c r="R68" t="s">
        <v>1004</v>
      </c>
      <c r="S68" t="s">
        <v>1837</v>
      </c>
      <c r="T68" t="s">
        <v>5646</v>
      </c>
    </row>
    <row r="69" spans="10:20" x14ac:dyDescent="0.35">
      <c r="J69" s="2" t="s">
        <v>773</v>
      </c>
      <c r="K69" s="2" t="s">
        <v>5794</v>
      </c>
      <c r="L69" t="s">
        <v>5617</v>
      </c>
      <c r="M69" t="s">
        <v>5658</v>
      </c>
      <c r="P69" t="s">
        <v>195</v>
      </c>
      <c r="Q69" t="s">
        <v>5589</v>
      </c>
      <c r="R69" t="s">
        <v>3938</v>
      </c>
      <c r="S69" t="s">
        <v>5607</v>
      </c>
      <c r="T69" t="s">
        <v>5650</v>
      </c>
    </row>
    <row r="70" spans="10:20" x14ac:dyDescent="0.35">
      <c r="J70" s="2"/>
      <c r="K70" s="2" t="s">
        <v>5795</v>
      </c>
      <c r="L70" t="s">
        <v>5614</v>
      </c>
      <c r="M70" t="s">
        <v>5646</v>
      </c>
      <c r="P70" t="s">
        <v>197</v>
      </c>
      <c r="Q70" t="s">
        <v>4157</v>
      </c>
      <c r="R70" t="s">
        <v>3370</v>
      </c>
      <c r="S70" t="s">
        <v>5615</v>
      </c>
      <c r="T70" t="s">
        <v>5650</v>
      </c>
    </row>
    <row r="71" spans="10:20" x14ac:dyDescent="0.35">
      <c r="J71" s="2"/>
      <c r="K71" s="2"/>
      <c r="L71" t="s">
        <v>5622</v>
      </c>
      <c r="M71" t="s">
        <v>5646</v>
      </c>
      <c r="P71" t="s">
        <v>200</v>
      </c>
      <c r="Q71" t="s">
        <v>5153</v>
      </c>
      <c r="R71" t="s">
        <v>2658</v>
      </c>
      <c r="S71" t="s">
        <v>5619</v>
      </c>
      <c r="T71" t="s">
        <v>5646</v>
      </c>
    </row>
    <row r="72" spans="10:20" x14ac:dyDescent="0.35">
      <c r="J72" s="2" t="s">
        <v>5796</v>
      </c>
      <c r="K72" s="2" t="s">
        <v>5797</v>
      </c>
      <c r="L72" s="2" t="s">
        <v>5614</v>
      </c>
      <c r="M72" t="s">
        <v>5646</v>
      </c>
      <c r="P72" t="s">
        <v>202</v>
      </c>
      <c r="Q72" t="s">
        <v>5294</v>
      </c>
      <c r="R72" t="s">
        <v>5798</v>
      </c>
      <c r="S72" t="s">
        <v>5615</v>
      </c>
      <c r="T72" t="s">
        <v>5650</v>
      </c>
    </row>
    <row r="73" spans="10:20" x14ac:dyDescent="0.35">
      <c r="J73" s="2"/>
      <c r="K73" s="2"/>
      <c r="L73" s="2" t="s">
        <v>5622</v>
      </c>
      <c r="M73" t="s">
        <v>5646</v>
      </c>
      <c r="P73" t="s">
        <v>207</v>
      </c>
      <c r="Q73" t="s">
        <v>4928</v>
      </c>
      <c r="R73" t="s">
        <v>5799</v>
      </c>
      <c r="S73" t="s">
        <v>5607</v>
      </c>
      <c r="T73" t="s">
        <v>5650</v>
      </c>
    </row>
    <row r="74" spans="10:20" x14ac:dyDescent="0.35">
      <c r="J74" t="s">
        <v>5800</v>
      </c>
      <c r="K74" t="s">
        <v>5801</v>
      </c>
      <c r="L74" t="s">
        <v>5625</v>
      </c>
      <c r="M74" t="s">
        <v>1448</v>
      </c>
      <c r="P74" t="s">
        <v>4266</v>
      </c>
      <c r="Q74" t="s">
        <v>4157</v>
      </c>
      <c r="R74" t="s">
        <v>5799</v>
      </c>
      <c r="S74" t="s">
        <v>5607</v>
      </c>
      <c r="T74" t="s">
        <v>5650</v>
      </c>
    </row>
    <row r="75" spans="10:20" x14ac:dyDescent="0.35">
      <c r="J75" t="s">
        <v>5802</v>
      </c>
      <c r="K75" t="s">
        <v>5803</v>
      </c>
      <c r="L75" t="s">
        <v>5616</v>
      </c>
      <c r="M75" t="s">
        <v>5650</v>
      </c>
      <c r="P75" t="s">
        <v>211</v>
      </c>
      <c r="Q75" t="s">
        <v>5355</v>
      </c>
      <c r="R75" t="s">
        <v>3126</v>
      </c>
      <c r="S75" t="s">
        <v>5615</v>
      </c>
      <c r="T75" t="s">
        <v>5650</v>
      </c>
    </row>
    <row r="76" spans="10:20" x14ac:dyDescent="0.35">
      <c r="J76" t="s">
        <v>837</v>
      </c>
      <c r="K76" t="s">
        <v>5804</v>
      </c>
      <c r="L76" t="s">
        <v>5623</v>
      </c>
      <c r="M76" t="s">
        <v>5658</v>
      </c>
      <c r="P76" s="2" t="s">
        <v>215</v>
      </c>
      <c r="Q76" s="2" t="s">
        <v>4679</v>
      </c>
      <c r="R76" t="s">
        <v>1349</v>
      </c>
      <c r="S76" t="s">
        <v>5607</v>
      </c>
      <c r="T76" t="s">
        <v>5650</v>
      </c>
    </row>
    <row r="77" spans="10:20" x14ac:dyDescent="0.35">
      <c r="J77" t="s">
        <v>855</v>
      </c>
      <c r="K77" t="s">
        <v>5805</v>
      </c>
      <c r="L77" t="s">
        <v>5615</v>
      </c>
      <c r="M77" t="s">
        <v>5650</v>
      </c>
      <c r="P77" s="2"/>
      <c r="Q77" s="2" t="s">
        <v>4502</v>
      </c>
      <c r="R77" t="s">
        <v>5607</v>
      </c>
      <c r="S77" t="s">
        <v>5607</v>
      </c>
      <c r="T77" t="s">
        <v>5650</v>
      </c>
    </row>
    <row r="78" spans="10:20" x14ac:dyDescent="0.35">
      <c r="J78" t="s">
        <v>5806</v>
      </c>
      <c r="K78" t="s">
        <v>5807</v>
      </c>
      <c r="L78" t="s">
        <v>5628</v>
      </c>
      <c r="M78" t="s">
        <v>5668</v>
      </c>
      <c r="P78" t="s">
        <v>5080</v>
      </c>
      <c r="Q78" t="s">
        <v>5079</v>
      </c>
      <c r="R78" t="s">
        <v>5621</v>
      </c>
      <c r="S78" t="s">
        <v>5621</v>
      </c>
      <c r="T78" t="s">
        <v>5678</v>
      </c>
    </row>
    <row r="79" spans="10:20" x14ac:dyDescent="0.35">
      <c r="J79" t="s">
        <v>955</v>
      </c>
      <c r="K79" t="s">
        <v>5808</v>
      </c>
      <c r="L79" t="s">
        <v>5607</v>
      </c>
      <c r="M79" t="s">
        <v>5650</v>
      </c>
      <c r="P79" t="s">
        <v>219</v>
      </c>
      <c r="Q79" t="s">
        <v>4298</v>
      </c>
      <c r="R79" t="s">
        <v>219</v>
      </c>
      <c r="S79" t="s">
        <v>5618</v>
      </c>
      <c r="T79" t="s">
        <v>5658</v>
      </c>
    </row>
    <row r="80" spans="10:20" x14ac:dyDescent="0.35">
      <c r="J80" t="s">
        <v>5103</v>
      </c>
      <c r="K80" t="s">
        <v>5809</v>
      </c>
      <c r="L80" t="s">
        <v>5607</v>
      </c>
      <c r="M80" t="s">
        <v>5650</v>
      </c>
      <c r="P80" s="2" t="s">
        <v>222</v>
      </c>
      <c r="Q80" s="2" t="s">
        <v>4732</v>
      </c>
      <c r="R80" s="2" t="s">
        <v>1554</v>
      </c>
      <c r="S80" t="s">
        <v>1757</v>
      </c>
      <c r="T80" t="s">
        <v>5658</v>
      </c>
    </row>
    <row r="81" spans="10:20" x14ac:dyDescent="0.35">
      <c r="J81" t="s">
        <v>992</v>
      </c>
      <c r="K81" t="s">
        <v>5810</v>
      </c>
      <c r="L81" t="s">
        <v>5618</v>
      </c>
      <c r="M81" t="s">
        <v>5658</v>
      </c>
      <c r="P81" s="2"/>
      <c r="Q81" s="2" t="s">
        <v>5454</v>
      </c>
      <c r="R81" s="2" t="s">
        <v>5811</v>
      </c>
      <c r="S81" t="s">
        <v>5615</v>
      </c>
      <c r="T81" t="s">
        <v>5650</v>
      </c>
    </row>
    <row r="82" spans="10:20" x14ac:dyDescent="0.35">
      <c r="J82" t="s">
        <v>1004</v>
      </c>
      <c r="K82" t="s">
        <v>5812</v>
      </c>
      <c r="L82" t="s">
        <v>1837</v>
      </c>
      <c r="M82" t="s">
        <v>5646</v>
      </c>
      <c r="P82" s="2"/>
      <c r="Q82" s="2" t="s">
        <v>4299</v>
      </c>
      <c r="R82" s="2" t="s">
        <v>5686</v>
      </c>
      <c r="S82" t="s">
        <v>1837</v>
      </c>
      <c r="T82" t="s">
        <v>5646</v>
      </c>
    </row>
    <row r="83" spans="10:20" x14ac:dyDescent="0.35">
      <c r="J83" t="s">
        <v>5813</v>
      </c>
      <c r="K83" t="s">
        <v>5814</v>
      </c>
      <c r="L83" t="s">
        <v>1837</v>
      </c>
      <c r="M83" t="s">
        <v>5646</v>
      </c>
      <c r="P83" s="2"/>
      <c r="Q83" s="2" t="s">
        <v>4772</v>
      </c>
      <c r="R83" s="2" t="s">
        <v>1856</v>
      </c>
      <c r="S83" t="s">
        <v>1837</v>
      </c>
      <c r="T83" t="s">
        <v>5646</v>
      </c>
    </row>
    <row r="84" spans="10:20" x14ac:dyDescent="0.35">
      <c r="J84" t="s">
        <v>5815</v>
      </c>
      <c r="K84" t="s">
        <v>5816</v>
      </c>
      <c r="L84" t="s">
        <v>5610</v>
      </c>
      <c r="M84" t="s">
        <v>5646</v>
      </c>
      <c r="P84" s="2"/>
      <c r="Q84" s="2" t="s">
        <v>5049</v>
      </c>
      <c r="R84" s="2" t="s">
        <v>2561</v>
      </c>
      <c r="S84" t="s">
        <v>5611</v>
      </c>
      <c r="T84" t="s">
        <v>1448</v>
      </c>
    </row>
    <row r="85" spans="10:20" x14ac:dyDescent="0.35">
      <c r="J85" t="s">
        <v>5817</v>
      </c>
      <c r="K85" t="s">
        <v>5818</v>
      </c>
      <c r="L85" t="s">
        <v>5614</v>
      </c>
      <c r="M85" t="s">
        <v>5646</v>
      </c>
      <c r="P85" t="s">
        <v>4199</v>
      </c>
      <c r="Q85" t="s">
        <v>4157</v>
      </c>
      <c r="R85" t="s">
        <v>70</v>
      </c>
      <c r="S85" t="s">
        <v>1837</v>
      </c>
      <c r="T85" t="s">
        <v>5646</v>
      </c>
    </row>
    <row r="86" spans="10:20" x14ac:dyDescent="0.35">
      <c r="J86" t="s">
        <v>5819</v>
      </c>
      <c r="K86" t="s">
        <v>5818</v>
      </c>
      <c r="L86" t="s">
        <v>5614</v>
      </c>
      <c r="M86" t="s">
        <v>5646</v>
      </c>
      <c r="P86" t="s">
        <v>4273</v>
      </c>
      <c r="Q86" t="s">
        <v>4157</v>
      </c>
      <c r="R86" t="s">
        <v>5811</v>
      </c>
      <c r="S86" t="s">
        <v>5615</v>
      </c>
      <c r="T86" t="s">
        <v>5650</v>
      </c>
    </row>
    <row r="87" spans="10:20" x14ac:dyDescent="0.35">
      <c r="J87" t="s">
        <v>4454</v>
      </c>
      <c r="K87" t="s">
        <v>5820</v>
      </c>
      <c r="L87" t="s">
        <v>5625</v>
      </c>
      <c r="M87" t="s">
        <v>1448</v>
      </c>
      <c r="P87" t="s">
        <v>240</v>
      </c>
      <c r="Q87" t="s">
        <v>4391</v>
      </c>
      <c r="R87" t="s">
        <v>457</v>
      </c>
      <c r="S87" t="s">
        <v>5607</v>
      </c>
      <c r="T87" t="s">
        <v>5650</v>
      </c>
    </row>
    <row r="88" spans="10:20" x14ac:dyDescent="0.35">
      <c r="J88" t="s">
        <v>5821</v>
      </c>
      <c r="K88" t="s">
        <v>5822</v>
      </c>
      <c r="L88" t="s">
        <v>5609</v>
      </c>
      <c r="M88" t="s">
        <v>5658</v>
      </c>
      <c r="P88" s="2" t="s">
        <v>244</v>
      </c>
      <c r="Q88" s="2" t="s">
        <v>731</v>
      </c>
      <c r="R88" s="2" t="s">
        <v>5783</v>
      </c>
      <c r="S88" t="s">
        <v>5607</v>
      </c>
      <c r="T88" t="s">
        <v>5650</v>
      </c>
    </row>
    <row r="89" spans="10:20" x14ac:dyDescent="0.35">
      <c r="J89" t="s">
        <v>5823</v>
      </c>
      <c r="K89" t="s">
        <v>5824</v>
      </c>
      <c r="L89" t="s">
        <v>1837</v>
      </c>
      <c r="M89" t="s">
        <v>5646</v>
      </c>
      <c r="P89" s="2"/>
      <c r="Q89" s="2" t="s">
        <v>4788</v>
      </c>
      <c r="R89" s="2" t="s">
        <v>5825</v>
      </c>
      <c r="S89" t="s">
        <v>5612</v>
      </c>
      <c r="T89" t="s">
        <v>1448</v>
      </c>
    </row>
    <row r="90" spans="10:20" x14ac:dyDescent="0.35">
      <c r="J90" t="s">
        <v>5826</v>
      </c>
      <c r="K90" t="s">
        <v>5827</v>
      </c>
      <c r="L90" t="s">
        <v>5625</v>
      </c>
      <c r="M90" t="s">
        <v>1448</v>
      </c>
      <c r="P90" s="2"/>
      <c r="Q90" s="2" t="s">
        <v>4130</v>
      </c>
      <c r="R90" s="2" t="s">
        <v>5828</v>
      </c>
      <c r="S90" t="s">
        <v>5611</v>
      </c>
      <c r="T90" t="s">
        <v>1448</v>
      </c>
    </row>
    <row r="91" spans="10:20" x14ac:dyDescent="0.35">
      <c r="J91" t="s">
        <v>5829</v>
      </c>
      <c r="K91" t="s">
        <v>5830</v>
      </c>
      <c r="L91" t="s">
        <v>5632</v>
      </c>
      <c r="M91" t="s">
        <v>5650</v>
      </c>
      <c r="P91" t="s">
        <v>5035</v>
      </c>
      <c r="Q91" t="s">
        <v>5034</v>
      </c>
      <c r="R91" t="s">
        <v>5831</v>
      </c>
      <c r="S91" t="s">
        <v>5612</v>
      </c>
      <c r="T91" t="s">
        <v>1448</v>
      </c>
    </row>
    <row r="92" spans="10:20" x14ac:dyDescent="0.35">
      <c r="J92" t="s">
        <v>5832</v>
      </c>
      <c r="K92" t="s">
        <v>5833</v>
      </c>
      <c r="L92" t="s">
        <v>5626</v>
      </c>
      <c r="M92" t="s">
        <v>5639</v>
      </c>
      <c r="P92" t="s">
        <v>256</v>
      </c>
      <c r="Q92" t="s">
        <v>5143</v>
      </c>
      <c r="R92" t="s">
        <v>2628</v>
      </c>
      <c r="S92" t="s">
        <v>5614</v>
      </c>
      <c r="T92" t="s">
        <v>5646</v>
      </c>
    </row>
    <row r="93" spans="10:20" x14ac:dyDescent="0.35">
      <c r="J93" t="s">
        <v>1184</v>
      </c>
      <c r="K93" t="s">
        <v>5834</v>
      </c>
      <c r="L93" t="s">
        <v>5615</v>
      </c>
      <c r="M93" t="s">
        <v>5650</v>
      </c>
      <c r="P93" t="s">
        <v>258</v>
      </c>
      <c r="Q93" t="s">
        <v>4690</v>
      </c>
      <c r="R93" t="s">
        <v>1375</v>
      </c>
      <c r="S93" t="s">
        <v>5607</v>
      </c>
      <c r="T93" t="s">
        <v>5650</v>
      </c>
    </row>
    <row r="94" spans="10:20" x14ac:dyDescent="0.35">
      <c r="J94" t="s">
        <v>5772</v>
      </c>
      <c r="K94" t="s">
        <v>5835</v>
      </c>
      <c r="L94" t="s">
        <v>5615</v>
      </c>
      <c r="M94" t="s">
        <v>5650</v>
      </c>
      <c r="P94" t="s">
        <v>260</v>
      </c>
      <c r="Q94" t="s">
        <v>4984</v>
      </c>
      <c r="R94" t="s">
        <v>5836</v>
      </c>
      <c r="S94" t="s">
        <v>5618</v>
      </c>
      <c r="T94" t="s">
        <v>5658</v>
      </c>
    </row>
    <row r="95" spans="10:20" x14ac:dyDescent="0.35">
      <c r="J95" t="s">
        <v>1198</v>
      </c>
      <c r="K95" t="s">
        <v>5837</v>
      </c>
      <c r="L95" t="s">
        <v>5623</v>
      </c>
      <c r="M95" t="s">
        <v>5658</v>
      </c>
      <c r="P95" t="s">
        <v>263</v>
      </c>
      <c r="Q95" t="s">
        <v>4307</v>
      </c>
      <c r="R95" t="s">
        <v>262</v>
      </c>
      <c r="S95" t="s">
        <v>1837</v>
      </c>
      <c r="T95" t="s">
        <v>5646</v>
      </c>
    </row>
    <row r="96" spans="10:20" x14ac:dyDescent="0.35">
      <c r="J96" t="s">
        <v>1244</v>
      </c>
      <c r="K96" t="s">
        <v>5838</v>
      </c>
      <c r="L96" t="s">
        <v>5607</v>
      </c>
      <c r="M96" t="s">
        <v>5650</v>
      </c>
      <c r="P96" t="s">
        <v>4228</v>
      </c>
      <c r="Q96" t="s">
        <v>4157</v>
      </c>
      <c r="R96" t="s">
        <v>4228</v>
      </c>
      <c r="S96" t="s">
        <v>5619</v>
      </c>
      <c r="T96" t="s">
        <v>5646</v>
      </c>
    </row>
    <row r="97" spans="10:20" x14ac:dyDescent="0.35">
      <c r="J97" t="s">
        <v>5839</v>
      </c>
      <c r="K97" t="s">
        <v>5840</v>
      </c>
      <c r="L97" t="s">
        <v>5616</v>
      </c>
      <c r="M97" t="s">
        <v>5650</v>
      </c>
      <c r="P97" s="2" t="s">
        <v>4269</v>
      </c>
      <c r="Q97" s="2" t="s">
        <v>5587</v>
      </c>
      <c r="R97" s="2" t="s">
        <v>3938</v>
      </c>
      <c r="S97" t="s">
        <v>5607</v>
      </c>
      <c r="T97" t="s">
        <v>5650</v>
      </c>
    </row>
    <row r="98" spans="10:20" x14ac:dyDescent="0.35">
      <c r="J98" t="s">
        <v>1312</v>
      </c>
      <c r="K98" t="s">
        <v>5841</v>
      </c>
      <c r="L98" t="s">
        <v>5615</v>
      </c>
      <c r="M98" t="s">
        <v>5650</v>
      </c>
      <c r="P98" s="2"/>
      <c r="Q98" s="2" t="s">
        <v>4929</v>
      </c>
      <c r="R98" s="2" t="s">
        <v>5799</v>
      </c>
      <c r="S98" t="s">
        <v>5607</v>
      </c>
      <c r="T98" t="s">
        <v>5650</v>
      </c>
    </row>
    <row r="99" spans="10:20" x14ac:dyDescent="0.35">
      <c r="J99" s="2" t="s">
        <v>1349</v>
      </c>
      <c r="K99" s="2" t="s">
        <v>5842</v>
      </c>
      <c r="L99" s="2" t="s">
        <v>5607</v>
      </c>
      <c r="M99" t="s">
        <v>5650</v>
      </c>
      <c r="P99" s="2"/>
      <c r="Q99" s="2" t="s">
        <v>4157</v>
      </c>
      <c r="R99" s="2" t="s">
        <v>5799</v>
      </c>
      <c r="S99" t="s">
        <v>5607</v>
      </c>
      <c r="T99" t="s">
        <v>5650</v>
      </c>
    </row>
    <row r="100" spans="10:20" x14ac:dyDescent="0.35">
      <c r="J100" s="2"/>
      <c r="K100" s="2"/>
      <c r="L100" s="2" t="s">
        <v>5616</v>
      </c>
      <c r="M100" t="s">
        <v>5650</v>
      </c>
      <c r="P100" t="s">
        <v>272</v>
      </c>
      <c r="Q100" t="s">
        <v>4801</v>
      </c>
      <c r="R100" t="s">
        <v>1872</v>
      </c>
      <c r="S100" t="s">
        <v>5607</v>
      </c>
      <c r="T100" t="s">
        <v>5650</v>
      </c>
    </row>
    <row r="101" spans="10:20" x14ac:dyDescent="0.35">
      <c r="J101" t="s">
        <v>1367</v>
      </c>
      <c r="K101" t="s">
        <v>5843</v>
      </c>
      <c r="L101" t="s">
        <v>5615</v>
      </c>
      <c r="M101" t="s">
        <v>5650</v>
      </c>
      <c r="P101" t="s">
        <v>4835</v>
      </c>
      <c r="Q101" t="s">
        <v>4834</v>
      </c>
      <c r="R101" t="s">
        <v>1957</v>
      </c>
      <c r="S101" t="s">
        <v>5612</v>
      </c>
      <c r="T101" t="s">
        <v>1448</v>
      </c>
    </row>
    <row r="102" spans="10:20" x14ac:dyDescent="0.35">
      <c r="J102" t="s">
        <v>1375</v>
      </c>
      <c r="K102" t="s">
        <v>5844</v>
      </c>
      <c r="L102" t="s">
        <v>5607</v>
      </c>
      <c r="M102" t="s">
        <v>5650</v>
      </c>
      <c r="P102" t="s">
        <v>4315</v>
      </c>
      <c r="Q102" t="s">
        <v>4314</v>
      </c>
      <c r="R102" t="s">
        <v>283</v>
      </c>
      <c r="S102" t="s">
        <v>5615</v>
      </c>
      <c r="T102" t="s">
        <v>5650</v>
      </c>
    </row>
    <row r="103" spans="10:20" x14ac:dyDescent="0.35">
      <c r="J103" t="s">
        <v>5845</v>
      </c>
      <c r="K103" t="s">
        <v>5846</v>
      </c>
      <c r="L103" t="s">
        <v>5613</v>
      </c>
      <c r="M103" t="s">
        <v>5678</v>
      </c>
      <c r="P103" t="s">
        <v>281</v>
      </c>
      <c r="Q103" t="s">
        <v>4312</v>
      </c>
      <c r="R103" t="s">
        <v>283</v>
      </c>
      <c r="S103" t="s">
        <v>5615</v>
      </c>
      <c r="T103" t="s">
        <v>5650</v>
      </c>
    </row>
    <row r="104" spans="10:20" x14ac:dyDescent="0.35">
      <c r="J104" t="s">
        <v>1447</v>
      </c>
      <c r="K104" t="s">
        <v>5847</v>
      </c>
      <c r="L104" t="s">
        <v>5608</v>
      </c>
      <c r="M104" t="s">
        <v>5678</v>
      </c>
      <c r="P104" t="s">
        <v>283</v>
      </c>
      <c r="Q104" t="s">
        <v>4309</v>
      </c>
      <c r="R104" t="s">
        <v>283</v>
      </c>
      <c r="S104" t="s">
        <v>5615</v>
      </c>
      <c r="T104" t="s">
        <v>5650</v>
      </c>
    </row>
    <row r="105" spans="10:20" x14ac:dyDescent="0.35">
      <c r="J105" t="s">
        <v>5848</v>
      </c>
      <c r="K105" t="s">
        <v>5849</v>
      </c>
      <c r="L105" t="s">
        <v>5609</v>
      </c>
      <c r="M105" t="s">
        <v>5658</v>
      </c>
      <c r="P105" t="s">
        <v>4317</v>
      </c>
      <c r="Q105" t="s">
        <v>4316</v>
      </c>
      <c r="R105" t="s">
        <v>283</v>
      </c>
      <c r="S105" t="s">
        <v>5615</v>
      </c>
      <c r="T105" t="s">
        <v>5650</v>
      </c>
    </row>
    <row r="106" spans="10:20" x14ac:dyDescent="0.35">
      <c r="J106" t="s">
        <v>5850</v>
      </c>
      <c r="K106" t="s">
        <v>5851</v>
      </c>
      <c r="L106" t="s">
        <v>5609</v>
      </c>
      <c r="M106" t="s">
        <v>5658</v>
      </c>
      <c r="P106" t="s">
        <v>4324</v>
      </c>
      <c r="Q106" t="s">
        <v>4323</v>
      </c>
      <c r="R106" t="s">
        <v>287</v>
      </c>
      <c r="S106" t="s">
        <v>5614</v>
      </c>
      <c r="T106" t="s">
        <v>5646</v>
      </c>
    </row>
    <row r="107" spans="10:20" x14ac:dyDescent="0.35">
      <c r="J107" t="s">
        <v>1457</v>
      </c>
      <c r="K107" t="s">
        <v>5852</v>
      </c>
      <c r="L107" t="s">
        <v>5607</v>
      </c>
      <c r="M107" t="s">
        <v>5650</v>
      </c>
      <c r="P107" t="s">
        <v>290</v>
      </c>
      <c r="Q107" t="s">
        <v>5523</v>
      </c>
      <c r="R107" t="s">
        <v>3702</v>
      </c>
      <c r="S107" t="s">
        <v>5619</v>
      </c>
      <c r="T107" t="s">
        <v>5646</v>
      </c>
    </row>
    <row r="108" spans="10:20" x14ac:dyDescent="0.35">
      <c r="J108" t="s">
        <v>1474</v>
      </c>
      <c r="K108" t="s">
        <v>5853</v>
      </c>
      <c r="L108" t="s">
        <v>5630</v>
      </c>
      <c r="M108" t="s">
        <v>5644</v>
      </c>
      <c r="P108" t="s">
        <v>4440</v>
      </c>
      <c r="Q108" t="s">
        <v>4439</v>
      </c>
      <c r="R108" t="s">
        <v>5755</v>
      </c>
      <c r="S108" t="s">
        <v>5614</v>
      </c>
      <c r="T108" t="s">
        <v>5646</v>
      </c>
    </row>
    <row r="109" spans="10:20" x14ac:dyDescent="0.35">
      <c r="J109" t="s">
        <v>5854</v>
      </c>
      <c r="K109" t="s">
        <v>5855</v>
      </c>
      <c r="L109" t="s">
        <v>5632</v>
      </c>
      <c r="M109" t="s">
        <v>5650</v>
      </c>
      <c r="P109" t="s">
        <v>5335</v>
      </c>
      <c r="Q109" t="s">
        <v>5334</v>
      </c>
      <c r="R109" t="s">
        <v>3103</v>
      </c>
      <c r="S109" t="s">
        <v>5614</v>
      </c>
      <c r="T109" t="s">
        <v>5646</v>
      </c>
    </row>
    <row r="110" spans="10:20" x14ac:dyDescent="0.35">
      <c r="J110" s="2" t="s">
        <v>5786</v>
      </c>
      <c r="K110" s="2" t="s">
        <v>5856</v>
      </c>
      <c r="L110" s="2" t="s">
        <v>5606</v>
      </c>
      <c r="M110" t="s">
        <v>5646</v>
      </c>
      <c r="P110" t="s">
        <v>299</v>
      </c>
      <c r="Q110" t="s">
        <v>4017</v>
      </c>
      <c r="R110" t="s">
        <v>299</v>
      </c>
      <c r="S110" t="s">
        <v>5613</v>
      </c>
      <c r="T110" t="s">
        <v>5678</v>
      </c>
    </row>
    <row r="111" spans="10:20" x14ac:dyDescent="0.35">
      <c r="J111" s="2"/>
      <c r="K111" s="2"/>
      <c r="L111" s="2" t="s">
        <v>5622</v>
      </c>
      <c r="M111" t="s">
        <v>5646</v>
      </c>
      <c r="P111" t="s">
        <v>301</v>
      </c>
      <c r="Q111" t="s">
        <v>4048</v>
      </c>
      <c r="R111" t="s">
        <v>5746</v>
      </c>
      <c r="S111" t="s">
        <v>5607</v>
      </c>
      <c r="T111" t="s">
        <v>5650</v>
      </c>
    </row>
    <row r="112" spans="10:20" x14ac:dyDescent="0.35">
      <c r="J112" t="s">
        <v>5606</v>
      </c>
      <c r="K112" t="s">
        <v>5856</v>
      </c>
      <c r="L112" t="s">
        <v>5622</v>
      </c>
      <c r="M112" t="s">
        <v>5646</v>
      </c>
      <c r="P112" t="s">
        <v>303</v>
      </c>
      <c r="Q112" t="s">
        <v>4553</v>
      </c>
      <c r="R112" t="s">
        <v>773</v>
      </c>
      <c r="S112" t="s">
        <v>5614</v>
      </c>
      <c r="T112" t="s">
        <v>5646</v>
      </c>
    </row>
    <row r="113" spans="10:20" x14ac:dyDescent="0.35">
      <c r="J113" t="s">
        <v>1512</v>
      </c>
      <c r="K113" t="s">
        <v>5857</v>
      </c>
      <c r="L113" t="s">
        <v>1757</v>
      </c>
      <c r="M113" t="s">
        <v>5658</v>
      </c>
      <c r="P113" t="s">
        <v>307</v>
      </c>
      <c r="Q113" t="s">
        <v>5233</v>
      </c>
      <c r="R113" t="s">
        <v>2914</v>
      </c>
      <c r="S113" t="s">
        <v>5607</v>
      </c>
      <c r="T113" t="s">
        <v>5650</v>
      </c>
    </row>
    <row r="114" spans="10:20" x14ac:dyDescent="0.35">
      <c r="J114" t="s">
        <v>5858</v>
      </c>
      <c r="K114" t="s">
        <v>5859</v>
      </c>
      <c r="L114" t="s">
        <v>5631</v>
      </c>
      <c r="M114" t="s">
        <v>5678</v>
      </c>
      <c r="P114" t="s">
        <v>309</v>
      </c>
      <c r="Q114" t="s">
        <v>4622</v>
      </c>
      <c r="R114" t="s">
        <v>5823</v>
      </c>
      <c r="S114" t="s">
        <v>1837</v>
      </c>
      <c r="T114" t="s">
        <v>5646</v>
      </c>
    </row>
    <row r="115" spans="10:20" x14ac:dyDescent="0.35">
      <c r="J115" t="s">
        <v>1522</v>
      </c>
      <c r="K115" t="s">
        <v>5860</v>
      </c>
      <c r="L115" t="s">
        <v>5610</v>
      </c>
      <c r="M115" t="s">
        <v>5646</v>
      </c>
      <c r="P115" t="s">
        <v>5407</v>
      </c>
      <c r="Q115" t="s">
        <v>5406</v>
      </c>
      <c r="R115" t="s">
        <v>5776</v>
      </c>
      <c r="S115" t="s">
        <v>5612</v>
      </c>
      <c r="T115" t="s">
        <v>1448</v>
      </c>
    </row>
    <row r="116" spans="10:20" x14ac:dyDescent="0.35">
      <c r="J116" t="s">
        <v>5861</v>
      </c>
      <c r="K116" t="s">
        <v>5862</v>
      </c>
      <c r="L116" t="s">
        <v>5613</v>
      </c>
      <c r="M116" t="s">
        <v>5678</v>
      </c>
      <c r="P116" s="2" t="s">
        <v>314</v>
      </c>
      <c r="Q116" s="2" t="s">
        <v>4643</v>
      </c>
      <c r="R116" s="2" t="s">
        <v>5772</v>
      </c>
      <c r="S116" t="s">
        <v>5615</v>
      </c>
      <c r="T116" t="s">
        <v>5650</v>
      </c>
    </row>
    <row r="117" spans="10:20" x14ac:dyDescent="0.35">
      <c r="J117" t="s">
        <v>1546</v>
      </c>
      <c r="K117" t="s">
        <v>5863</v>
      </c>
      <c r="L117" t="s">
        <v>5621</v>
      </c>
      <c r="M117" t="s">
        <v>5678</v>
      </c>
      <c r="P117" s="2"/>
      <c r="Q117" s="2" t="s">
        <v>4930</v>
      </c>
      <c r="R117" s="2" t="s">
        <v>5799</v>
      </c>
      <c r="S117" t="s">
        <v>5607</v>
      </c>
      <c r="T117" t="s">
        <v>5650</v>
      </c>
    </row>
    <row r="118" spans="10:20" x14ac:dyDescent="0.35">
      <c r="J118" t="s">
        <v>5864</v>
      </c>
      <c r="K118" t="s">
        <v>5865</v>
      </c>
      <c r="L118" t="s">
        <v>5615</v>
      </c>
      <c r="M118" t="s">
        <v>5650</v>
      </c>
      <c r="P118" t="s">
        <v>320</v>
      </c>
      <c r="Q118" t="s">
        <v>4681</v>
      </c>
      <c r="R118" t="s">
        <v>1349</v>
      </c>
      <c r="S118" t="s">
        <v>5607</v>
      </c>
      <c r="T118" t="s">
        <v>5650</v>
      </c>
    </row>
    <row r="119" spans="10:20" x14ac:dyDescent="0.35">
      <c r="J119" t="s">
        <v>1551</v>
      </c>
      <c r="K119" t="s">
        <v>5866</v>
      </c>
      <c r="L119" t="s">
        <v>1757</v>
      </c>
      <c r="M119" t="s">
        <v>5658</v>
      </c>
      <c r="P119" s="2" t="s">
        <v>322</v>
      </c>
      <c r="Q119" s="2" t="s">
        <v>323</v>
      </c>
      <c r="R119" s="2" t="s">
        <v>2768</v>
      </c>
      <c r="S119" t="s">
        <v>5608</v>
      </c>
      <c r="T119" t="s">
        <v>5678</v>
      </c>
    </row>
    <row r="120" spans="10:20" x14ac:dyDescent="0.35">
      <c r="J120" t="s">
        <v>5867</v>
      </c>
      <c r="K120" t="s">
        <v>5868</v>
      </c>
      <c r="L120" t="s">
        <v>5617</v>
      </c>
      <c r="M120" t="s">
        <v>5658</v>
      </c>
      <c r="P120" s="2"/>
      <c r="Q120" s="2" t="s">
        <v>4157</v>
      </c>
      <c r="R120" s="2" t="s">
        <v>2768</v>
      </c>
      <c r="S120" t="s">
        <v>5608</v>
      </c>
      <c r="T120" t="s">
        <v>5678</v>
      </c>
    </row>
    <row r="121" spans="10:20" x14ac:dyDescent="0.35">
      <c r="J121" t="s">
        <v>1554</v>
      </c>
      <c r="K121" t="s">
        <v>5869</v>
      </c>
      <c r="L121" t="s">
        <v>1757</v>
      </c>
      <c r="M121" t="s">
        <v>5658</v>
      </c>
      <c r="P121" t="s">
        <v>5082</v>
      </c>
      <c r="Q121" t="s">
        <v>5081</v>
      </c>
      <c r="R121" t="s">
        <v>5621</v>
      </c>
      <c r="S121" t="s">
        <v>5621</v>
      </c>
      <c r="T121" t="s">
        <v>5678</v>
      </c>
    </row>
    <row r="122" spans="10:20" x14ac:dyDescent="0.35">
      <c r="J122" t="s">
        <v>5870</v>
      </c>
      <c r="K122" t="s">
        <v>5871</v>
      </c>
      <c r="L122" t="s">
        <v>1837</v>
      </c>
      <c r="M122" t="s">
        <v>5646</v>
      </c>
      <c r="P122" s="2" t="s">
        <v>328</v>
      </c>
      <c r="Q122" s="2" t="s">
        <v>5183</v>
      </c>
      <c r="R122" s="2" t="s">
        <v>5645</v>
      </c>
      <c r="S122" t="s">
        <v>5611</v>
      </c>
      <c r="T122" t="s">
        <v>1448</v>
      </c>
    </row>
    <row r="123" spans="10:20" x14ac:dyDescent="0.35">
      <c r="J123" t="s">
        <v>5872</v>
      </c>
      <c r="K123" t="s">
        <v>5873</v>
      </c>
      <c r="L123" t="s">
        <v>5608</v>
      </c>
      <c r="M123" t="s">
        <v>5678</v>
      </c>
      <c r="P123" s="2"/>
      <c r="Q123" s="2" t="s">
        <v>4157</v>
      </c>
      <c r="R123" s="2" t="s">
        <v>5645</v>
      </c>
      <c r="S123" t="s">
        <v>5611</v>
      </c>
      <c r="T123" t="s">
        <v>1448</v>
      </c>
    </row>
    <row r="124" spans="10:20" x14ac:dyDescent="0.35">
      <c r="J124" t="s">
        <v>1602</v>
      </c>
      <c r="K124" t="s">
        <v>5874</v>
      </c>
      <c r="L124" t="s">
        <v>5609</v>
      </c>
      <c r="M124" t="s">
        <v>5658</v>
      </c>
      <c r="P124" t="s">
        <v>331</v>
      </c>
      <c r="Q124" t="s">
        <v>4983</v>
      </c>
      <c r="R124" t="s">
        <v>5609</v>
      </c>
      <c r="S124" t="s">
        <v>5609</v>
      </c>
      <c r="T124" t="s">
        <v>5658</v>
      </c>
    </row>
    <row r="125" spans="10:20" x14ac:dyDescent="0.35">
      <c r="J125" t="s">
        <v>5875</v>
      </c>
      <c r="K125" t="s">
        <v>5876</v>
      </c>
      <c r="L125" t="s">
        <v>5632</v>
      </c>
      <c r="M125" t="s">
        <v>5650</v>
      </c>
      <c r="P125" t="s">
        <v>333</v>
      </c>
      <c r="Q125" t="s">
        <v>4861</v>
      </c>
      <c r="R125" t="s">
        <v>1976</v>
      </c>
      <c r="S125" t="s">
        <v>1837</v>
      </c>
      <c r="T125" t="s">
        <v>5646</v>
      </c>
    </row>
    <row r="126" spans="10:20" x14ac:dyDescent="0.35">
      <c r="J126" t="s">
        <v>5877</v>
      </c>
      <c r="K126" t="s">
        <v>5878</v>
      </c>
      <c r="L126" t="s">
        <v>5607</v>
      </c>
      <c r="M126" t="s">
        <v>5650</v>
      </c>
      <c r="P126" t="s">
        <v>4438</v>
      </c>
      <c r="Q126" t="s">
        <v>4437</v>
      </c>
      <c r="R126" t="s">
        <v>5755</v>
      </c>
      <c r="S126" t="s">
        <v>5614</v>
      </c>
      <c r="T126" t="s">
        <v>5646</v>
      </c>
    </row>
    <row r="127" spans="10:20" x14ac:dyDescent="0.35">
      <c r="J127" t="s">
        <v>1691</v>
      </c>
      <c r="K127" t="s">
        <v>5879</v>
      </c>
      <c r="L127" t="s">
        <v>5615</v>
      </c>
      <c r="M127" t="s">
        <v>5650</v>
      </c>
      <c r="P127" t="s">
        <v>344</v>
      </c>
      <c r="Q127" t="s">
        <v>4365</v>
      </c>
      <c r="R127" t="s">
        <v>5741</v>
      </c>
      <c r="S127" t="s">
        <v>5621</v>
      </c>
      <c r="T127" t="s">
        <v>5678</v>
      </c>
    </row>
    <row r="128" spans="10:20" x14ac:dyDescent="0.35">
      <c r="J128" t="s">
        <v>1693</v>
      </c>
      <c r="K128" t="s">
        <v>5880</v>
      </c>
      <c r="L128" t="s">
        <v>5607</v>
      </c>
      <c r="M128" t="s">
        <v>5650</v>
      </c>
      <c r="P128" t="s">
        <v>4362</v>
      </c>
      <c r="Q128" t="s">
        <v>4361</v>
      </c>
      <c r="R128" t="s">
        <v>5739</v>
      </c>
      <c r="S128" t="s">
        <v>5621</v>
      </c>
      <c r="T128" t="s">
        <v>5678</v>
      </c>
    </row>
    <row r="129" spans="10:20" x14ac:dyDescent="0.35">
      <c r="J129" t="s">
        <v>5881</v>
      </c>
      <c r="K129" t="s">
        <v>5882</v>
      </c>
      <c r="L129" t="s">
        <v>5632</v>
      </c>
      <c r="M129" t="s">
        <v>5650</v>
      </c>
      <c r="P129" t="s">
        <v>349</v>
      </c>
      <c r="Q129" t="s">
        <v>5451</v>
      </c>
      <c r="R129" t="s">
        <v>3479</v>
      </c>
      <c r="S129" t="s">
        <v>5623</v>
      </c>
      <c r="T129" t="s">
        <v>5658</v>
      </c>
    </row>
    <row r="130" spans="10:20" x14ac:dyDescent="0.35">
      <c r="J130" t="s">
        <v>5883</v>
      </c>
      <c r="K130" t="s">
        <v>5884</v>
      </c>
      <c r="L130" t="s">
        <v>5632</v>
      </c>
      <c r="M130" t="s">
        <v>5650</v>
      </c>
      <c r="P130" t="s">
        <v>351</v>
      </c>
      <c r="Q130" t="s">
        <v>5004</v>
      </c>
      <c r="R130" t="s">
        <v>5885</v>
      </c>
      <c r="S130" t="s">
        <v>5607</v>
      </c>
      <c r="T130" t="s">
        <v>5650</v>
      </c>
    </row>
    <row r="131" spans="10:20" x14ac:dyDescent="0.35">
      <c r="J131" t="s">
        <v>5886</v>
      </c>
      <c r="K131" t="s">
        <v>5887</v>
      </c>
      <c r="L131" t="s">
        <v>1757</v>
      </c>
      <c r="M131" t="s">
        <v>5658</v>
      </c>
      <c r="P131" t="s">
        <v>355</v>
      </c>
      <c r="Q131" t="s">
        <v>4586</v>
      </c>
      <c r="R131" t="s">
        <v>5103</v>
      </c>
      <c r="S131" t="s">
        <v>5607</v>
      </c>
      <c r="T131" t="s">
        <v>5650</v>
      </c>
    </row>
    <row r="132" spans="10:20" x14ac:dyDescent="0.35">
      <c r="J132" t="s">
        <v>5888</v>
      </c>
      <c r="K132" t="s">
        <v>5889</v>
      </c>
      <c r="L132" t="s">
        <v>5619</v>
      </c>
      <c r="M132" t="s">
        <v>5646</v>
      </c>
      <c r="P132" t="s">
        <v>357</v>
      </c>
      <c r="Q132" t="s">
        <v>4344</v>
      </c>
      <c r="R132" t="s">
        <v>357</v>
      </c>
      <c r="S132" t="s">
        <v>5609</v>
      </c>
      <c r="T132" t="s">
        <v>5658</v>
      </c>
    </row>
    <row r="133" spans="10:20" x14ac:dyDescent="0.35">
      <c r="J133" t="s">
        <v>1779</v>
      </c>
      <c r="K133" t="s">
        <v>5890</v>
      </c>
      <c r="L133" t="s">
        <v>5611</v>
      </c>
      <c r="M133" t="s">
        <v>1448</v>
      </c>
      <c r="P133" t="s">
        <v>360</v>
      </c>
      <c r="Q133" t="s">
        <v>4157</v>
      </c>
      <c r="R133" t="s">
        <v>3074</v>
      </c>
      <c r="S133" t="s">
        <v>5608</v>
      </c>
      <c r="T133" t="s">
        <v>5678</v>
      </c>
    </row>
    <row r="134" spans="10:20" x14ac:dyDescent="0.35">
      <c r="J134" t="s">
        <v>1788</v>
      </c>
      <c r="K134" t="s">
        <v>5891</v>
      </c>
      <c r="L134" t="s">
        <v>1757</v>
      </c>
      <c r="M134" t="s">
        <v>5658</v>
      </c>
      <c r="P134" t="s">
        <v>5066</v>
      </c>
      <c r="Q134" t="s">
        <v>5065</v>
      </c>
      <c r="R134" t="s">
        <v>5621</v>
      </c>
      <c r="S134" t="s">
        <v>5621</v>
      </c>
      <c r="T134" t="s">
        <v>5678</v>
      </c>
    </row>
    <row r="135" spans="10:20" x14ac:dyDescent="0.35">
      <c r="J135" t="s">
        <v>5892</v>
      </c>
      <c r="K135" t="s">
        <v>5893</v>
      </c>
      <c r="L135" t="s">
        <v>5610</v>
      </c>
      <c r="M135" t="s">
        <v>5646</v>
      </c>
      <c r="P135" t="s">
        <v>364</v>
      </c>
      <c r="Q135" t="s">
        <v>4487</v>
      </c>
      <c r="R135" t="s">
        <v>5607</v>
      </c>
      <c r="S135" t="s">
        <v>5607</v>
      </c>
      <c r="T135" t="s">
        <v>5650</v>
      </c>
    </row>
    <row r="136" spans="10:20" x14ac:dyDescent="0.35">
      <c r="J136" t="s">
        <v>5708</v>
      </c>
      <c r="K136" t="s">
        <v>5894</v>
      </c>
      <c r="L136" t="s">
        <v>5616</v>
      </c>
      <c r="M136" t="s">
        <v>5650</v>
      </c>
      <c r="P136" t="s">
        <v>367</v>
      </c>
      <c r="Q136" t="s">
        <v>5225</v>
      </c>
      <c r="R136" t="s">
        <v>5769</v>
      </c>
      <c r="S136" t="s">
        <v>5621</v>
      </c>
      <c r="T136" t="s">
        <v>5678</v>
      </c>
    </row>
    <row r="137" spans="10:20" x14ac:dyDescent="0.35">
      <c r="J137" t="s">
        <v>5895</v>
      </c>
      <c r="K137" t="s">
        <v>5896</v>
      </c>
      <c r="L137" t="s">
        <v>5616</v>
      </c>
      <c r="M137" t="s">
        <v>5650</v>
      </c>
      <c r="P137" t="s">
        <v>369</v>
      </c>
      <c r="Q137" t="s">
        <v>4353</v>
      </c>
      <c r="R137" t="s">
        <v>369</v>
      </c>
      <c r="S137" t="s">
        <v>5617</v>
      </c>
      <c r="T137" t="s">
        <v>5658</v>
      </c>
    </row>
    <row r="138" spans="10:20" x14ac:dyDescent="0.35">
      <c r="J138" t="s">
        <v>1827</v>
      </c>
      <c r="K138" t="s">
        <v>5897</v>
      </c>
      <c r="L138" t="s">
        <v>5618</v>
      </c>
      <c r="M138" t="s">
        <v>5658</v>
      </c>
      <c r="P138" s="2" t="s">
        <v>371</v>
      </c>
      <c r="Q138" s="2" t="s">
        <v>4357</v>
      </c>
      <c r="R138" s="2" t="s">
        <v>371</v>
      </c>
      <c r="S138" t="s">
        <v>5609</v>
      </c>
      <c r="T138" t="s">
        <v>5658</v>
      </c>
    </row>
    <row r="139" spans="10:20" x14ac:dyDescent="0.35">
      <c r="J139" t="s">
        <v>1856</v>
      </c>
      <c r="K139" t="s">
        <v>5898</v>
      </c>
      <c r="L139" t="s">
        <v>1837</v>
      </c>
      <c r="M139" t="s">
        <v>5646</v>
      </c>
      <c r="P139" s="2"/>
      <c r="Q139" s="2" t="s">
        <v>5194</v>
      </c>
      <c r="R139" s="2" t="s">
        <v>2795</v>
      </c>
      <c r="S139" t="s">
        <v>5617</v>
      </c>
      <c r="T139" t="s">
        <v>5658</v>
      </c>
    </row>
    <row r="140" spans="10:20" x14ac:dyDescent="0.35">
      <c r="J140" t="s">
        <v>5899</v>
      </c>
      <c r="K140" t="s">
        <v>5900</v>
      </c>
      <c r="L140" t="s">
        <v>1757</v>
      </c>
      <c r="M140" t="s">
        <v>5658</v>
      </c>
      <c r="P140" s="2"/>
      <c r="Q140" s="2" t="s">
        <v>5371</v>
      </c>
      <c r="R140" s="2" t="s">
        <v>5779</v>
      </c>
      <c r="S140" t="s">
        <v>1837</v>
      </c>
      <c r="T140" t="s">
        <v>5646</v>
      </c>
    </row>
    <row r="141" spans="10:20" x14ac:dyDescent="0.35">
      <c r="J141" t="s">
        <v>5825</v>
      </c>
      <c r="K141" t="s">
        <v>5901</v>
      </c>
      <c r="L141" t="s">
        <v>5612</v>
      </c>
      <c r="M141" t="s">
        <v>1448</v>
      </c>
      <c r="P141" t="s">
        <v>378</v>
      </c>
      <c r="Q141" t="s">
        <v>4031</v>
      </c>
      <c r="R141" t="s">
        <v>3756</v>
      </c>
      <c r="S141" t="s">
        <v>5608</v>
      </c>
      <c r="T141" t="s">
        <v>5678</v>
      </c>
    </row>
    <row r="142" spans="10:20" x14ac:dyDescent="0.35">
      <c r="J142" t="s">
        <v>1872</v>
      </c>
      <c r="K142" t="s">
        <v>5902</v>
      </c>
      <c r="L142" t="s">
        <v>5607</v>
      </c>
      <c r="M142" t="s">
        <v>5650</v>
      </c>
      <c r="P142" t="s">
        <v>380</v>
      </c>
      <c r="Q142" t="s">
        <v>4157</v>
      </c>
      <c r="R142" t="s">
        <v>3756</v>
      </c>
      <c r="S142" t="s">
        <v>5608</v>
      </c>
      <c r="T142" t="s">
        <v>5678</v>
      </c>
    </row>
    <row r="143" spans="10:20" x14ac:dyDescent="0.35">
      <c r="J143" t="s">
        <v>5903</v>
      </c>
      <c r="K143" t="s">
        <v>5904</v>
      </c>
      <c r="L143" t="s">
        <v>5616</v>
      </c>
      <c r="M143" t="s">
        <v>5650</v>
      </c>
      <c r="P143" t="s">
        <v>5058</v>
      </c>
      <c r="Q143" t="s">
        <v>5057</v>
      </c>
      <c r="R143" t="s">
        <v>5621</v>
      </c>
      <c r="S143" t="s">
        <v>5621</v>
      </c>
      <c r="T143" t="s">
        <v>5678</v>
      </c>
    </row>
    <row r="144" spans="10:20" x14ac:dyDescent="0.35">
      <c r="J144" t="s">
        <v>4412</v>
      </c>
      <c r="K144" t="s">
        <v>5905</v>
      </c>
      <c r="L144" t="s">
        <v>5615</v>
      </c>
      <c r="M144" t="s">
        <v>5650</v>
      </c>
      <c r="P144" t="s">
        <v>384</v>
      </c>
      <c r="Q144" t="s">
        <v>5488</v>
      </c>
      <c r="R144" t="s">
        <v>5906</v>
      </c>
      <c r="S144" t="s">
        <v>5609</v>
      </c>
      <c r="T144" t="s">
        <v>5658</v>
      </c>
    </row>
    <row r="145" spans="10:20" x14ac:dyDescent="0.35">
      <c r="J145" t="s">
        <v>1910</v>
      </c>
      <c r="K145" t="s">
        <v>5907</v>
      </c>
      <c r="L145" t="s">
        <v>1837</v>
      </c>
      <c r="M145" t="s">
        <v>5646</v>
      </c>
      <c r="P145" s="2" t="s">
        <v>386</v>
      </c>
      <c r="Q145" s="2" t="s">
        <v>5215</v>
      </c>
      <c r="R145" s="2" t="s">
        <v>5908</v>
      </c>
      <c r="S145" t="s">
        <v>5617</v>
      </c>
      <c r="T145" t="s">
        <v>5658</v>
      </c>
    </row>
    <row r="146" spans="10:20" x14ac:dyDescent="0.35">
      <c r="J146" t="s">
        <v>5909</v>
      </c>
      <c r="K146" t="s">
        <v>5910</v>
      </c>
      <c r="L146" t="s">
        <v>5619</v>
      </c>
      <c r="M146" t="s">
        <v>5646</v>
      </c>
      <c r="P146" s="2"/>
      <c r="Q146" s="2" t="s">
        <v>5131</v>
      </c>
      <c r="R146" s="2" t="s">
        <v>2621</v>
      </c>
      <c r="S146" t="s">
        <v>5617</v>
      </c>
      <c r="T146" t="s">
        <v>5658</v>
      </c>
    </row>
    <row r="147" spans="10:20" x14ac:dyDescent="0.35">
      <c r="J147" t="s">
        <v>1936</v>
      </c>
      <c r="K147" t="s">
        <v>5911</v>
      </c>
      <c r="L147" t="s">
        <v>5618</v>
      </c>
      <c r="M147" t="s">
        <v>5658</v>
      </c>
      <c r="P147" t="s">
        <v>5316</v>
      </c>
      <c r="Q147" t="s">
        <v>5315</v>
      </c>
      <c r="R147" t="s">
        <v>5912</v>
      </c>
      <c r="S147" t="s">
        <v>5621</v>
      </c>
      <c r="T147" t="s">
        <v>5678</v>
      </c>
    </row>
    <row r="148" spans="10:20" x14ac:dyDescent="0.35">
      <c r="J148" t="s">
        <v>1957</v>
      </c>
      <c r="K148" t="s">
        <v>5913</v>
      </c>
      <c r="L148" t="s">
        <v>5612</v>
      </c>
      <c r="M148" t="s">
        <v>1448</v>
      </c>
      <c r="P148" t="s">
        <v>395</v>
      </c>
      <c r="Q148" t="s">
        <v>4828</v>
      </c>
      <c r="R148" t="s">
        <v>5909</v>
      </c>
      <c r="S148" t="s">
        <v>5619</v>
      </c>
      <c r="T148" t="s">
        <v>5646</v>
      </c>
    </row>
    <row r="149" spans="10:20" x14ac:dyDescent="0.35">
      <c r="J149" t="s">
        <v>1959</v>
      </c>
      <c r="K149" t="s">
        <v>5914</v>
      </c>
      <c r="L149" t="s">
        <v>5615</v>
      </c>
      <c r="M149" t="s">
        <v>5650</v>
      </c>
      <c r="P149" t="s">
        <v>398</v>
      </c>
      <c r="Q149" t="s">
        <v>4922</v>
      </c>
      <c r="R149" t="s">
        <v>2327</v>
      </c>
      <c r="S149" t="s">
        <v>5616</v>
      </c>
      <c r="T149" t="s">
        <v>5650</v>
      </c>
    </row>
    <row r="150" spans="10:20" x14ac:dyDescent="0.35">
      <c r="J150" t="s">
        <v>5915</v>
      </c>
      <c r="K150" t="s">
        <v>5916</v>
      </c>
      <c r="L150" t="s">
        <v>5615</v>
      </c>
      <c r="M150" t="s">
        <v>5650</v>
      </c>
      <c r="P150" t="s">
        <v>400</v>
      </c>
      <c r="Q150" t="s">
        <v>4157</v>
      </c>
      <c r="R150" t="s">
        <v>5103</v>
      </c>
      <c r="S150" t="s">
        <v>5607</v>
      </c>
      <c r="T150" t="s">
        <v>5650</v>
      </c>
    </row>
    <row r="151" spans="10:20" x14ac:dyDescent="0.35">
      <c r="J151" t="s">
        <v>1976</v>
      </c>
      <c r="K151" t="s">
        <v>5917</v>
      </c>
      <c r="L151" t="s">
        <v>1837</v>
      </c>
      <c r="M151" t="s">
        <v>5646</v>
      </c>
      <c r="P151" t="s">
        <v>402</v>
      </c>
      <c r="Q151" t="s">
        <v>4073</v>
      </c>
      <c r="R151" t="s">
        <v>955</v>
      </c>
      <c r="S151" t="s">
        <v>5607</v>
      </c>
      <c r="T151" t="s">
        <v>5650</v>
      </c>
    </row>
    <row r="152" spans="10:20" x14ac:dyDescent="0.35">
      <c r="J152" t="s">
        <v>1986</v>
      </c>
      <c r="K152" t="s">
        <v>5918</v>
      </c>
      <c r="L152" t="s">
        <v>5611</v>
      </c>
      <c r="M152" t="s">
        <v>1448</v>
      </c>
      <c r="P152" t="s">
        <v>406</v>
      </c>
      <c r="Q152" t="s">
        <v>4455</v>
      </c>
      <c r="R152" t="s">
        <v>5755</v>
      </c>
      <c r="S152" t="s">
        <v>5614</v>
      </c>
      <c r="T152" t="s">
        <v>5646</v>
      </c>
    </row>
    <row r="153" spans="10:20" x14ac:dyDescent="0.35">
      <c r="J153" t="s">
        <v>5919</v>
      </c>
      <c r="K153" t="s">
        <v>5920</v>
      </c>
      <c r="L153" t="s">
        <v>5609</v>
      </c>
      <c r="M153" t="s">
        <v>5658</v>
      </c>
      <c r="P153" t="s">
        <v>4249</v>
      </c>
      <c r="Q153" t="s">
        <v>4157</v>
      </c>
      <c r="R153" t="s">
        <v>955</v>
      </c>
      <c r="S153" t="s">
        <v>5607</v>
      </c>
      <c r="T153" t="s">
        <v>5650</v>
      </c>
    </row>
    <row r="154" spans="10:20" x14ac:dyDescent="0.35">
      <c r="J154" t="s">
        <v>2007</v>
      </c>
      <c r="K154" t="s">
        <v>5921</v>
      </c>
      <c r="L154" t="s">
        <v>5607</v>
      </c>
      <c r="M154" t="s">
        <v>5650</v>
      </c>
      <c r="P154" s="2" t="s">
        <v>412</v>
      </c>
      <c r="Q154" s="2" t="s">
        <v>4719</v>
      </c>
      <c r="R154" s="2" t="s">
        <v>1522</v>
      </c>
      <c r="S154" t="s">
        <v>5610</v>
      </c>
      <c r="T154" t="s">
        <v>5646</v>
      </c>
    </row>
    <row r="155" spans="10:20" x14ac:dyDescent="0.35">
      <c r="J155" t="s">
        <v>2017</v>
      </c>
      <c r="K155" t="s">
        <v>5922</v>
      </c>
      <c r="L155" t="s">
        <v>1837</v>
      </c>
      <c r="M155" t="s">
        <v>5646</v>
      </c>
      <c r="P155" s="2"/>
      <c r="Q155" s="2" t="s">
        <v>4373</v>
      </c>
      <c r="R155" s="2" t="s">
        <v>5743</v>
      </c>
      <c r="S155" t="s">
        <v>5614</v>
      </c>
      <c r="T155" t="s">
        <v>5646</v>
      </c>
    </row>
    <row r="156" spans="10:20" x14ac:dyDescent="0.35">
      <c r="J156" t="s">
        <v>2065</v>
      </c>
      <c r="K156" t="s">
        <v>5923</v>
      </c>
      <c r="L156" t="s">
        <v>5615</v>
      </c>
      <c r="M156" t="s">
        <v>5650</v>
      </c>
      <c r="P156" t="s">
        <v>4238</v>
      </c>
      <c r="Q156" t="s">
        <v>4157</v>
      </c>
      <c r="R156" t="s">
        <v>4237</v>
      </c>
      <c r="S156" t="s">
        <v>5610</v>
      </c>
      <c r="T156" t="s">
        <v>5646</v>
      </c>
    </row>
    <row r="157" spans="10:20" x14ac:dyDescent="0.35">
      <c r="J157" t="s">
        <v>5924</v>
      </c>
      <c r="K157" t="s">
        <v>5925</v>
      </c>
      <c r="L157" t="s">
        <v>5610</v>
      </c>
      <c r="M157" t="s">
        <v>5646</v>
      </c>
      <c r="P157" s="2" t="s">
        <v>4222</v>
      </c>
      <c r="Q157" s="2" t="s">
        <v>4749</v>
      </c>
      <c r="R157" s="2" t="s">
        <v>5886</v>
      </c>
      <c r="S157" t="s">
        <v>1757</v>
      </c>
      <c r="T157" t="s">
        <v>5658</v>
      </c>
    </row>
    <row r="158" spans="10:20" x14ac:dyDescent="0.35">
      <c r="J158" t="s">
        <v>5926</v>
      </c>
      <c r="K158" t="s">
        <v>5927</v>
      </c>
      <c r="L158" t="s">
        <v>1837</v>
      </c>
      <c r="M158" t="s">
        <v>5646</v>
      </c>
      <c r="P158" s="2"/>
      <c r="Q158" s="2" t="s">
        <v>4157</v>
      </c>
      <c r="R158" s="2" t="s">
        <v>5779</v>
      </c>
      <c r="S158" t="s">
        <v>1837</v>
      </c>
      <c r="T158" t="s">
        <v>5646</v>
      </c>
    </row>
    <row r="159" spans="10:20" x14ac:dyDescent="0.35">
      <c r="J159" t="s">
        <v>5615</v>
      </c>
      <c r="K159" t="s">
        <v>5928</v>
      </c>
      <c r="L159" t="s">
        <v>5615</v>
      </c>
      <c r="M159" t="s">
        <v>5650</v>
      </c>
      <c r="P159" t="s">
        <v>422</v>
      </c>
      <c r="Q159" t="s">
        <v>4379</v>
      </c>
      <c r="R159" t="s">
        <v>4222</v>
      </c>
      <c r="S159" t="s">
        <v>5614</v>
      </c>
      <c r="T159" t="s">
        <v>5646</v>
      </c>
    </row>
    <row r="160" spans="10:20" x14ac:dyDescent="0.35">
      <c r="J160" t="s">
        <v>5929</v>
      </c>
      <c r="K160" t="s">
        <v>5930</v>
      </c>
      <c r="L160" t="s">
        <v>5616</v>
      </c>
      <c r="M160" t="s">
        <v>5650</v>
      </c>
      <c r="P160" s="2" t="s">
        <v>425</v>
      </c>
      <c r="Q160" s="2" t="s">
        <v>429</v>
      </c>
      <c r="R160" s="2" t="s">
        <v>719</v>
      </c>
      <c r="S160" t="s">
        <v>5606</v>
      </c>
      <c r="T160" t="s">
        <v>5646</v>
      </c>
    </row>
    <row r="161" spans="10:20" x14ac:dyDescent="0.35">
      <c r="J161" t="s">
        <v>2152</v>
      </c>
      <c r="K161" t="s">
        <v>5931</v>
      </c>
      <c r="L161" t="s">
        <v>5623</v>
      </c>
      <c r="M161" t="s">
        <v>5658</v>
      </c>
      <c r="P161" s="2"/>
      <c r="Q161" s="2" t="s">
        <v>4541</v>
      </c>
      <c r="R161" s="2" t="s">
        <v>719</v>
      </c>
      <c r="S161" t="s">
        <v>5614</v>
      </c>
      <c r="T161" t="s">
        <v>5646</v>
      </c>
    </row>
    <row r="162" spans="10:20" x14ac:dyDescent="0.35">
      <c r="J162" t="s">
        <v>2175</v>
      </c>
      <c r="K162" t="s">
        <v>5932</v>
      </c>
      <c r="L162" t="s">
        <v>5618</v>
      </c>
      <c r="M162" t="s">
        <v>5658</v>
      </c>
      <c r="P162" s="2"/>
      <c r="Q162" s="2" t="s">
        <v>4864</v>
      </c>
      <c r="R162" s="2" t="s">
        <v>1976</v>
      </c>
      <c r="S162" t="s">
        <v>1837</v>
      </c>
      <c r="T162" t="s">
        <v>5646</v>
      </c>
    </row>
    <row r="163" spans="10:20" x14ac:dyDescent="0.35">
      <c r="J163" t="s">
        <v>2196</v>
      </c>
      <c r="K163" t="s">
        <v>5933</v>
      </c>
      <c r="L163" t="s">
        <v>1837</v>
      </c>
      <c r="M163" t="s">
        <v>5646</v>
      </c>
      <c r="P163" t="s">
        <v>4175</v>
      </c>
      <c r="Q163" t="s">
        <v>4157</v>
      </c>
      <c r="R163" t="s">
        <v>719</v>
      </c>
      <c r="S163" t="s">
        <v>5606</v>
      </c>
      <c r="T163" t="s">
        <v>5646</v>
      </c>
    </row>
    <row r="164" spans="10:20" x14ac:dyDescent="0.35">
      <c r="J164" t="s">
        <v>5934</v>
      </c>
      <c r="K164" t="s">
        <v>5935</v>
      </c>
      <c r="L164" t="s">
        <v>5615</v>
      </c>
      <c r="M164" t="s">
        <v>5650</v>
      </c>
      <c r="P164" s="2" t="s">
        <v>432</v>
      </c>
      <c r="Q164" s="2" t="s">
        <v>4046</v>
      </c>
      <c r="R164" s="2" t="s">
        <v>5746</v>
      </c>
      <c r="S164" t="s">
        <v>5607</v>
      </c>
      <c r="T164" t="s">
        <v>5650</v>
      </c>
    </row>
    <row r="165" spans="10:20" x14ac:dyDescent="0.35">
      <c r="J165" t="s">
        <v>5936</v>
      </c>
      <c r="K165" t="s">
        <v>5937</v>
      </c>
      <c r="L165" t="s">
        <v>5611</v>
      </c>
      <c r="M165" t="s">
        <v>1448</v>
      </c>
      <c r="P165" s="2"/>
      <c r="Q165" s="2" t="s">
        <v>4995</v>
      </c>
      <c r="R165" s="2" t="s">
        <v>5746</v>
      </c>
      <c r="S165" t="s">
        <v>5607</v>
      </c>
      <c r="T165" t="s">
        <v>5650</v>
      </c>
    </row>
    <row r="166" spans="10:20" x14ac:dyDescent="0.35">
      <c r="J166" t="s">
        <v>2325</v>
      </c>
      <c r="K166" t="s">
        <v>5938</v>
      </c>
      <c r="L166" t="s">
        <v>5609</v>
      </c>
      <c r="M166" t="s">
        <v>5658</v>
      </c>
      <c r="P166" s="2" t="s">
        <v>436</v>
      </c>
      <c r="Q166" s="2" t="s">
        <v>4381</v>
      </c>
      <c r="R166" s="2" t="s">
        <v>436</v>
      </c>
      <c r="S166" s="2" t="s">
        <v>5618</v>
      </c>
      <c r="T166" s="2" t="s">
        <v>5658</v>
      </c>
    </row>
    <row r="167" spans="10:20" x14ac:dyDescent="0.35">
      <c r="J167" t="s">
        <v>2327</v>
      </c>
      <c r="K167" t="s">
        <v>5939</v>
      </c>
      <c r="L167" t="s">
        <v>5616</v>
      </c>
      <c r="M167" t="s">
        <v>5650</v>
      </c>
      <c r="P167" s="2"/>
      <c r="Q167" s="2" t="s">
        <v>5040</v>
      </c>
      <c r="R167" s="2" t="s">
        <v>5831</v>
      </c>
      <c r="S167" s="2" t="s">
        <v>5612</v>
      </c>
      <c r="T167" s="2" t="s">
        <v>1448</v>
      </c>
    </row>
    <row r="168" spans="10:20" x14ac:dyDescent="0.35">
      <c r="J168" t="s">
        <v>5940</v>
      </c>
      <c r="K168" t="s">
        <v>5941</v>
      </c>
      <c r="L168" t="s">
        <v>5615</v>
      </c>
      <c r="M168" t="s">
        <v>5650</v>
      </c>
      <c r="P168" t="s">
        <v>5200</v>
      </c>
      <c r="Q168" t="s">
        <v>5199</v>
      </c>
      <c r="R168" t="s">
        <v>2839</v>
      </c>
      <c r="S168" t="s">
        <v>1837</v>
      </c>
      <c r="T168" t="s">
        <v>5646</v>
      </c>
    </row>
    <row r="169" spans="10:20" x14ac:dyDescent="0.35">
      <c r="J169" t="s">
        <v>5799</v>
      </c>
      <c r="K169" t="s">
        <v>5942</v>
      </c>
      <c r="L169" t="s">
        <v>5607</v>
      </c>
      <c r="M169" t="s">
        <v>5650</v>
      </c>
      <c r="P169" t="s">
        <v>446</v>
      </c>
      <c r="Q169" t="s">
        <v>4602</v>
      </c>
      <c r="R169" t="s">
        <v>5817</v>
      </c>
      <c r="S169" t="s">
        <v>5614</v>
      </c>
      <c r="T169" t="s">
        <v>5646</v>
      </c>
    </row>
    <row r="170" spans="10:20" x14ac:dyDescent="0.35">
      <c r="J170" t="s">
        <v>5943</v>
      </c>
      <c r="K170" t="s">
        <v>5944</v>
      </c>
      <c r="L170" t="s">
        <v>5611</v>
      </c>
      <c r="M170" t="s">
        <v>1448</v>
      </c>
      <c r="P170" t="s">
        <v>448</v>
      </c>
      <c r="Q170" t="s">
        <v>4456</v>
      </c>
      <c r="R170" t="s">
        <v>5755</v>
      </c>
      <c r="S170" t="s">
        <v>5614</v>
      </c>
      <c r="T170" t="s">
        <v>5646</v>
      </c>
    </row>
    <row r="171" spans="10:20" x14ac:dyDescent="0.35">
      <c r="J171" t="s">
        <v>5762</v>
      </c>
      <c r="K171" t="s">
        <v>5945</v>
      </c>
      <c r="L171" t="s">
        <v>5614</v>
      </c>
      <c r="M171" t="s">
        <v>5646</v>
      </c>
      <c r="P171" s="2" t="s">
        <v>4165</v>
      </c>
      <c r="Q171" s="2" t="s">
        <v>4603</v>
      </c>
      <c r="R171" s="2" t="s">
        <v>5817</v>
      </c>
      <c r="S171" t="s">
        <v>5614</v>
      </c>
      <c r="T171" t="s">
        <v>5646</v>
      </c>
    </row>
    <row r="172" spans="10:20" x14ac:dyDescent="0.35">
      <c r="J172" t="s">
        <v>5946</v>
      </c>
      <c r="K172" t="s">
        <v>5947</v>
      </c>
      <c r="L172" t="s">
        <v>5611</v>
      </c>
      <c r="M172" t="s">
        <v>1448</v>
      </c>
      <c r="P172" s="2"/>
      <c r="Q172" s="2" t="s">
        <v>4157</v>
      </c>
      <c r="R172" s="2" t="s">
        <v>5819</v>
      </c>
      <c r="S172" t="s">
        <v>5614</v>
      </c>
      <c r="T172" t="s">
        <v>5646</v>
      </c>
    </row>
    <row r="173" spans="10:20" x14ac:dyDescent="0.35">
      <c r="J173" t="s">
        <v>5948</v>
      </c>
      <c r="K173" t="s">
        <v>5949</v>
      </c>
      <c r="L173" t="s">
        <v>5609</v>
      </c>
      <c r="M173" t="s">
        <v>5658</v>
      </c>
      <c r="P173" t="s">
        <v>455</v>
      </c>
      <c r="Q173" t="s">
        <v>4327</v>
      </c>
      <c r="R173" t="s">
        <v>287</v>
      </c>
      <c r="S173" t="s">
        <v>5614</v>
      </c>
      <c r="T173" t="s">
        <v>5646</v>
      </c>
    </row>
    <row r="174" spans="10:20" x14ac:dyDescent="0.35">
      <c r="J174" t="s">
        <v>2433</v>
      </c>
      <c r="K174" t="s">
        <v>5950</v>
      </c>
      <c r="L174" t="s">
        <v>5609</v>
      </c>
      <c r="M174" t="s">
        <v>5658</v>
      </c>
      <c r="P174" s="2" t="s">
        <v>457</v>
      </c>
      <c r="Q174" s="2" t="s">
        <v>4157</v>
      </c>
      <c r="R174" s="2" t="s">
        <v>5103</v>
      </c>
      <c r="S174" t="s">
        <v>5607</v>
      </c>
      <c r="T174" t="s">
        <v>5650</v>
      </c>
    </row>
    <row r="175" spans="10:20" x14ac:dyDescent="0.35">
      <c r="J175" t="s">
        <v>5951</v>
      </c>
      <c r="K175" t="s">
        <v>5952</v>
      </c>
      <c r="L175" t="s">
        <v>5626</v>
      </c>
      <c r="M175" t="s">
        <v>5639</v>
      </c>
      <c r="P175" t="s">
        <v>4387</v>
      </c>
      <c r="Q175" t="s">
        <v>4386</v>
      </c>
      <c r="R175" t="s">
        <v>457</v>
      </c>
      <c r="S175" t="s">
        <v>5607</v>
      </c>
      <c r="T175" t="s">
        <v>5650</v>
      </c>
    </row>
    <row r="176" spans="10:20" x14ac:dyDescent="0.35">
      <c r="J176" t="s">
        <v>5609</v>
      </c>
      <c r="K176" t="s">
        <v>5953</v>
      </c>
      <c r="L176" t="s">
        <v>5609</v>
      </c>
      <c r="M176" t="s">
        <v>5658</v>
      </c>
      <c r="P176" t="s">
        <v>4401</v>
      </c>
      <c r="Q176" t="s">
        <v>4400</v>
      </c>
      <c r="R176" t="s">
        <v>457</v>
      </c>
      <c r="S176" t="s">
        <v>5607</v>
      </c>
      <c r="T176" t="s">
        <v>5650</v>
      </c>
    </row>
    <row r="177" spans="10:20" x14ac:dyDescent="0.35">
      <c r="J177" t="s">
        <v>5836</v>
      </c>
      <c r="K177" t="s">
        <v>5954</v>
      </c>
      <c r="L177" t="s">
        <v>5618</v>
      </c>
      <c r="M177" t="s">
        <v>5658</v>
      </c>
      <c r="P177" s="2" t="s">
        <v>464</v>
      </c>
      <c r="Q177" s="2" t="s">
        <v>5297</v>
      </c>
      <c r="R177" s="2" t="s">
        <v>5798</v>
      </c>
      <c r="S177" t="s">
        <v>5615</v>
      </c>
      <c r="T177" t="s">
        <v>5650</v>
      </c>
    </row>
    <row r="178" spans="10:20" x14ac:dyDescent="0.35">
      <c r="J178" t="s">
        <v>2462</v>
      </c>
      <c r="K178" t="s">
        <v>5955</v>
      </c>
      <c r="L178" t="s">
        <v>5615</v>
      </c>
      <c r="M178" t="s">
        <v>5650</v>
      </c>
      <c r="P178" s="2"/>
      <c r="Q178" s="2" t="s">
        <v>4972</v>
      </c>
      <c r="R178" s="2" t="s">
        <v>5762</v>
      </c>
      <c r="S178" t="s">
        <v>5614</v>
      </c>
      <c r="T178" t="s">
        <v>5646</v>
      </c>
    </row>
    <row r="179" spans="10:20" x14ac:dyDescent="0.35">
      <c r="J179" t="s">
        <v>2466</v>
      </c>
      <c r="K179" t="s">
        <v>5956</v>
      </c>
      <c r="L179" t="s">
        <v>5609</v>
      </c>
      <c r="M179" t="s">
        <v>5658</v>
      </c>
      <c r="P179" t="s">
        <v>5139</v>
      </c>
      <c r="Q179" t="s">
        <v>5138</v>
      </c>
      <c r="R179" t="s">
        <v>2628</v>
      </c>
      <c r="S179" t="s">
        <v>5614</v>
      </c>
      <c r="T179" t="s">
        <v>5646</v>
      </c>
    </row>
    <row r="180" spans="10:20" x14ac:dyDescent="0.35">
      <c r="J180" t="s">
        <v>5957</v>
      </c>
      <c r="K180" t="s">
        <v>5958</v>
      </c>
      <c r="L180" t="s">
        <v>5613</v>
      </c>
      <c r="M180" t="s">
        <v>5678</v>
      </c>
      <c r="P180" t="s">
        <v>473</v>
      </c>
      <c r="Q180" t="s">
        <v>5433</v>
      </c>
      <c r="R180" t="s">
        <v>5682</v>
      </c>
      <c r="S180" t="s">
        <v>5614</v>
      </c>
      <c r="T180" t="s">
        <v>5646</v>
      </c>
    </row>
    <row r="181" spans="10:20" x14ac:dyDescent="0.35">
      <c r="J181" t="s">
        <v>2495</v>
      </c>
      <c r="K181" t="s">
        <v>5959</v>
      </c>
      <c r="L181" t="s">
        <v>5618</v>
      </c>
      <c r="M181" t="s">
        <v>5658</v>
      </c>
      <c r="P181" t="s">
        <v>478</v>
      </c>
      <c r="Q181" t="s">
        <v>5590</v>
      </c>
      <c r="R181" t="s">
        <v>3938</v>
      </c>
      <c r="S181" t="s">
        <v>5607</v>
      </c>
      <c r="T181" t="s">
        <v>5650</v>
      </c>
    </row>
    <row r="182" spans="10:20" x14ac:dyDescent="0.35">
      <c r="J182" t="s">
        <v>5746</v>
      </c>
      <c r="K182" t="s">
        <v>5960</v>
      </c>
      <c r="L182" t="s">
        <v>5607</v>
      </c>
      <c r="M182" t="s">
        <v>5650</v>
      </c>
      <c r="P182" t="s">
        <v>480</v>
      </c>
      <c r="Q182" t="s">
        <v>5389</v>
      </c>
      <c r="R182" t="s">
        <v>5961</v>
      </c>
      <c r="S182" t="s">
        <v>5610</v>
      </c>
      <c r="T182" t="s">
        <v>5646</v>
      </c>
    </row>
    <row r="183" spans="10:20" x14ac:dyDescent="0.35">
      <c r="J183" t="s">
        <v>5885</v>
      </c>
      <c r="K183" t="s">
        <v>5962</v>
      </c>
      <c r="L183" t="s">
        <v>5607</v>
      </c>
      <c r="M183" t="s">
        <v>5650</v>
      </c>
      <c r="P183" t="s">
        <v>482</v>
      </c>
      <c r="Q183" t="s">
        <v>4509</v>
      </c>
      <c r="R183" t="s">
        <v>582</v>
      </c>
      <c r="S183" t="s">
        <v>5609</v>
      </c>
      <c r="T183" t="s">
        <v>5658</v>
      </c>
    </row>
    <row r="184" spans="10:20" x14ac:dyDescent="0.35">
      <c r="J184" t="s">
        <v>5963</v>
      </c>
      <c r="K184" t="s">
        <v>5964</v>
      </c>
      <c r="L184" t="s">
        <v>5625</v>
      </c>
      <c r="M184" t="s">
        <v>1448</v>
      </c>
      <c r="P184" t="s">
        <v>486</v>
      </c>
      <c r="Q184" t="s">
        <v>4543</v>
      </c>
      <c r="R184" t="s">
        <v>719</v>
      </c>
      <c r="S184" t="s">
        <v>5614</v>
      </c>
      <c r="T184" t="s">
        <v>5646</v>
      </c>
    </row>
    <row r="185" spans="10:20" x14ac:dyDescent="0.35">
      <c r="J185" t="s">
        <v>2522</v>
      </c>
      <c r="K185" t="s">
        <v>5965</v>
      </c>
      <c r="L185" t="s">
        <v>5609</v>
      </c>
      <c r="M185" t="s">
        <v>5658</v>
      </c>
      <c r="P185" t="s">
        <v>490</v>
      </c>
      <c r="Q185" t="s">
        <v>4893</v>
      </c>
      <c r="R185" t="s">
        <v>5615</v>
      </c>
      <c r="S185" t="s">
        <v>5615</v>
      </c>
      <c r="T185" t="s">
        <v>5650</v>
      </c>
    </row>
    <row r="186" spans="10:20" x14ac:dyDescent="0.35">
      <c r="J186" t="s">
        <v>2538</v>
      </c>
      <c r="K186" t="s">
        <v>5966</v>
      </c>
      <c r="L186" t="s">
        <v>5617</v>
      </c>
      <c r="M186" t="s">
        <v>5658</v>
      </c>
      <c r="P186" t="s">
        <v>493</v>
      </c>
      <c r="Q186" t="s">
        <v>409</v>
      </c>
      <c r="R186" t="s">
        <v>1872</v>
      </c>
      <c r="S186" t="s">
        <v>5607</v>
      </c>
      <c r="T186" t="s">
        <v>5650</v>
      </c>
    </row>
    <row r="187" spans="10:20" x14ac:dyDescent="0.35">
      <c r="J187" t="s">
        <v>2540</v>
      </c>
      <c r="K187" t="s">
        <v>5967</v>
      </c>
      <c r="L187" t="s">
        <v>5612</v>
      </c>
      <c r="M187" t="s">
        <v>1448</v>
      </c>
      <c r="P187" t="s">
        <v>495</v>
      </c>
      <c r="Q187" t="s">
        <v>4477</v>
      </c>
      <c r="R187" t="s">
        <v>5757</v>
      </c>
      <c r="S187" t="s">
        <v>5614</v>
      </c>
      <c r="T187" t="s">
        <v>5646</v>
      </c>
    </row>
    <row r="188" spans="10:20" x14ac:dyDescent="0.35">
      <c r="J188" t="s">
        <v>5831</v>
      </c>
      <c r="K188" t="s">
        <v>5968</v>
      </c>
      <c r="L188" t="s">
        <v>5612</v>
      </c>
      <c r="M188" t="s">
        <v>1448</v>
      </c>
      <c r="P188" t="s">
        <v>5230</v>
      </c>
      <c r="Q188" t="s">
        <v>5229</v>
      </c>
      <c r="R188" t="s">
        <v>2896</v>
      </c>
      <c r="S188" t="s">
        <v>5611</v>
      </c>
      <c r="T188" t="s">
        <v>1448</v>
      </c>
    </row>
    <row r="189" spans="10:20" x14ac:dyDescent="0.35">
      <c r="J189" t="s">
        <v>2553</v>
      </c>
      <c r="K189" t="s">
        <v>5969</v>
      </c>
      <c r="L189" t="s">
        <v>5618</v>
      </c>
      <c r="M189" t="s">
        <v>5658</v>
      </c>
      <c r="P189" t="s">
        <v>503</v>
      </c>
      <c r="Q189" t="s">
        <v>4752</v>
      </c>
      <c r="R189" t="s">
        <v>5888</v>
      </c>
      <c r="S189" t="s">
        <v>5619</v>
      </c>
      <c r="T189" t="s">
        <v>5646</v>
      </c>
    </row>
    <row r="190" spans="10:20" x14ac:dyDescent="0.35">
      <c r="J190" t="s">
        <v>2561</v>
      </c>
      <c r="K190" t="s">
        <v>5970</v>
      </c>
      <c r="L190" t="s">
        <v>5611</v>
      </c>
      <c r="M190" t="s">
        <v>1448</v>
      </c>
      <c r="P190" t="s">
        <v>505</v>
      </c>
      <c r="Q190" t="s">
        <v>4822</v>
      </c>
      <c r="R190" t="s">
        <v>1910</v>
      </c>
      <c r="S190" t="s">
        <v>1837</v>
      </c>
      <c r="T190" t="s">
        <v>5646</v>
      </c>
    </row>
    <row r="191" spans="10:20" x14ac:dyDescent="0.35">
      <c r="J191" t="s">
        <v>2579</v>
      </c>
      <c r="K191" t="s">
        <v>5971</v>
      </c>
      <c r="L191" t="s">
        <v>5609</v>
      </c>
      <c r="M191" t="s">
        <v>5658</v>
      </c>
      <c r="P191" t="s">
        <v>509</v>
      </c>
      <c r="Q191" t="s">
        <v>5093</v>
      </c>
      <c r="R191" t="s">
        <v>5972</v>
      </c>
      <c r="S191" t="s">
        <v>5614</v>
      </c>
      <c r="T191" t="s">
        <v>5646</v>
      </c>
    </row>
    <row r="192" spans="10:20" x14ac:dyDescent="0.35">
      <c r="J192" t="s">
        <v>5621</v>
      </c>
      <c r="K192" t="s">
        <v>5973</v>
      </c>
      <c r="L192" t="s">
        <v>5621</v>
      </c>
      <c r="M192" t="s">
        <v>5678</v>
      </c>
      <c r="P192" t="s">
        <v>511</v>
      </c>
      <c r="Q192" t="s">
        <v>5266</v>
      </c>
      <c r="R192" t="s">
        <v>5788</v>
      </c>
      <c r="S192" t="s">
        <v>5614</v>
      </c>
      <c r="T192" t="s">
        <v>5646</v>
      </c>
    </row>
    <row r="193" spans="10:20" x14ac:dyDescent="0.35">
      <c r="J193" s="2" t="s">
        <v>5972</v>
      </c>
      <c r="K193" s="2" t="s">
        <v>5974</v>
      </c>
      <c r="L193" s="2" t="s">
        <v>5614</v>
      </c>
      <c r="M193" t="s">
        <v>5646</v>
      </c>
      <c r="P193" t="s">
        <v>514</v>
      </c>
      <c r="Q193" t="s">
        <v>4862</v>
      </c>
      <c r="R193" t="s">
        <v>1976</v>
      </c>
      <c r="S193" t="s">
        <v>1837</v>
      </c>
      <c r="T193" t="s">
        <v>5646</v>
      </c>
    </row>
    <row r="194" spans="10:20" x14ac:dyDescent="0.35">
      <c r="J194" s="2"/>
      <c r="K194" s="2"/>
      <c r="L194" s="2" t="s">
        <v>5622</v>
      </c>
      <c r="M194" t="s">
        <v>5646</v>
      </c>
      <c r="P194" t="s">
        <v>5033</v>
      </c>
      <c r="Q194" t="s">
        <v>5032</v>
      </c>
      <c r="R194" t="s">
        <v>5831</v>
      </c>
      <c r="S194" t="s">
        <v>5612</v>
      </c>
      <c r="T194" t="s">
        <v>1448</v>
      </c>
    </row>
    <row r="195" spans="10:20" x14ac:dyDescent="0.35">
      <c r="J195" t="s">
        <v>4237</v>
      </c>
      <c r="K195" t="s">
        <v>5975</v>
      </c>
      <c r="L195" t="s">
        <v>5610</v>
      </c>
      <c r="M195" t="s">
        <v>5646</v>
      </c>
      <c r="P195" t="s">
        <v>516</v>
      </c>
      <c r="Q195" t="s">
        <v>4645</v>
      </c>
      <c r="R195" t="s">
        <v>5772</v>
      </c>
      <c r="S195" t="s">
        <v>5615</v>
      </c>
      <c r="T195" t="s">
        <v>5650</v>
      </c>
    </row>
    <row r="196" spans="10:20" x14ac:dyDescent="0.35">
      <c r="J196" t="s">
        <v>2597</v>
      </c>
      <c r="K196" t="s">
        <v>5976</v>
      </c>
      <c r="L196" t="s">
        <v>1757</v>
      </c>
      <c r="M196" t="s">
        <v>5658</v>
      </c>
      <c r="P196" s="2" t="s">
        <v>4240</v>
      </c>
      <c r="Q196" s="2" t="s">
        <v>519</v>
      </c>
      <c r="R196" s="2" t="s">
        <v>5607</v>
      </c>
      <c r="S196" t="s">
        <v>5607</v>
      </c>
      <c r="T196" t="s">
        <v>5650</v>
      </c>
    </row>
    <row r="197" spans="10:20" x14ac:dyDescent="0.35">
      <c r="J197" t="s">
        <v>5977</v>
      </c>
      <c r="K197" t="s">
        <v>5978</v>
      </c>
      <c r="L197" t="s">
        <v>5618</v>
      </c>
      <c r="M197" t="s">
        <v>5658</v>
      </c>
      <c r="P197" s="2"/>
      <c r="Q197" s="2" t="s">
        <v>4157</v>
      </c>
      <c r="R197" s="2" t="s">
        <v>4240</v>
      </c>
      <c r="S197" t="s">
        <v>5607</v>
      </c>
      <c r="T197" t="s">
        <v>5650</v>
      </c>
    </row>
    <row r="198" spans="10:20" x14ac:dyDescent="0.35">
      <c r="J198" t="s">
        <v>5979</v>
      </c>
      <c r="K198" t="s">
        <v>5980</v>
      </c>
      <c r="L198" t="s">
        <v>5625</v>
      </c>
      <c r="M198" t="s">
        <v>1448</v>
      </c>
      <c r="P198" t="s">
        <v>522</v>
      </c>
      <c r="Q198" t="s">
        <v>4860</v>
      </c>
      <c r="R198" t="s">
        <v>5915</v>
      </c>
      <c r="S198" t="s">
        <v>5615</v>
      </c>
      <c r="T198" t="s">
        <v>5650</v>
      </c>
    </row>
    <row r="199" spans="10:20" x14ac:dyDescent="0.35">
      <c r="J199" t="s">
        <v>5981</v>
      </c>
      <c r="K199" t="s">
        <v>5982</v>
      </c>
      <c r="L199" t="s">
        <v>5612</v>
      </c>
      <c r="M199" t="s">
        <v>1448</v>
      </c>
      <c r="P199" t="s">
        <v>4656</v>
      </c>
      <c r="Q199" t="s">
        <v>4655</v>
      </c>
      <c r="R199" t="s">
        <v>1244</v>
      </c>
      <c r="S199" t="s">
        <v>5607</v>
      </c>
      <c r="T199" t="s">
        <v>5650</v>
      </c>
    </row>
    <row r="200" spans="10:20" x14ac:dyDescent="0.35">
      <c r="J200" t="s">
        <v>5719</v>
      </c>
      <c r="K200" t="s">
        <v>5983</v>
      </c>
      <c r="L200" t="s">
        <v>5607</v>
      </c>
      <c r="M200" t="s">
        <v>5650</v>
      </c>
      <c r="P200" t="s">
        <v>4197</v>
      </c>
      <c r="Q200" t="s">
        <v>4157</v>
      </c>
      <c r="R200" t="s">
        <v>70</v>
      </c>
      <c r="S200" t="s">
        <v>1837</v>
      </c>
      <c r="T200" t="s">
        <v>5646</v>
      </c>
    </row>
    <row r="201" spans="10:20" x14ac:dyDescent="0.35">
      <c r="J201" t="s">
        <v>2619</v>
      </c>
      <c r="K201" t="s">
        <v>5984</v>
      </c>
      <c r="L201" t="s">
        <v>5609</v>
      </c>
      <c r="M201" t="s">
        <v>5658</v>
      </c>
      <c r="P201" t="s">
        <v>526</v>
      </c>
      <c r="Q201" t="s">
        <v>4884</v>
      </c>
      <c r="R201" t="s">
        <v>2017</v>
      </c>
      <c r="S201" t="s">
        <v>1837</v>
      </c>
      <c r="T201" t="s">
        <v>5646</v>
      </c>
    </row>
    <row r="202" spans="10:20" x14ac:dyDescent="0.35">
      <c r="J202" s="2" t="s">
        <v>2621</v>
      </c>
      <c r="K202" s="2" t="s">
        <v>5985</v>
      </c>
      <c r="L202" t="s">
        <v>5626</v>
      </c>
      <c r="M202" t="s">
        <v>5639</v>
      </c>
      <c r="P202" t="s">
        <v>528</v>
      </c>
      <c r="Q202" t="s">
        <v>4277</v>
      </c>
      <c r="R202" t="s">
        <v>70</v>
      </c>
      <c r="S202" t="s">
        <v>1837</v>
      </c>
      <c r="T202" t="s">
        <v>5646</v>
      </c>
    </row>
    <row r="203" spans="10:20" x14ac:dyDescent="0.35">
      <c r="J203" s="2"/>
      <c r="K203" s="2" t="s">
        <v>5986</v>
      </c>
      <c r="L203" t="s">
        <v>5620</v>
      </c>
      <c r="M203" t="s">
        <v>5662</v>
      </c>
      <c r="P203" t="s">
        <v>534</v>
      </c>
      <c r="Q203" t="s">
        <v>4366</v>
      </c>
      <c r="R203" t="s">
        <v>5741</v>
      </c>
      <c r="S203" t="s">
        <v>5621</v>
      </c>
      <c r="T203" t="s">
        <v>5678</v>
      </c>
    </row>
    <row r="204" spans="10:20" x14ac:dyDescent="0.35">
      <c r="J204" s="2"/>
      <c r="K204" s="2"/>
      <c r="L204" t="s">
        <v>5617</v>
      </c>
      <c r="M204" t="s">
        <v>5658</v>
      </c>
      <c r="P204" t="s">
        <v>536</v>
      </c>
      <c r="Q204" t="s">
        <v>4896</v>
      </c>
      <c r="R204" t="s">
        <v>5615</v>
      </c>
      <c r="S204" t="s">
        <v>5615</v>
      </c>
      <c r="T204" t="s">
        <v>5650</v>
      </c>
    </row>
    <row r="205" spans="10:20" x14ac:dyDescent="0.35">
      <c r="J205" t="s">
        <v>5987</v>
      </c>
      <c r="K205" t="s">
        <v>5988</v>
      </c>
      <c r="L205" t="s">
        <v>5623</v>
      </c>
      <c r="M205" t="s">
        <v>5658</v>
      </c>
      <c r="P205" t="s">
        <v>538</v>
      </c>
      <c r="Q205" t="s">
        <v>4027</v>
      </c>
      <c r="R205" t="s">
        <v>3729</v>
      </c>
      <c r="S205" t="s">
        <v>5608</v>
      </c>
      <c r="T205" t="s">
        <v>5678</v>
      </c>
    </row>
    <row r="206" spans="10:20" x14ac:dyDescent="0.35">
      <c r="J206" t="s">
        <v>5989</v>
      </c>
      <c r="K206" t="s">
        <v>5990</v>
      </c>
      <c r="L206" t="s">
        <v>5626</v>
      </c>
      <c r="M206" t="s">
        <v>5639</v>
      </c>
      <c r="P206" s="2" t="s">
        <v>542</v>
      </c>
      <c r="Q206" s="2" t="s">
        <v>4504</v>
      </c>
      <c r="R206" s="2" t="s">
        <v>534</v>
      </c>
      <c r="S206" t="s">
        <v>5618</v>
      </c>
      <c r="T206" t="s">
        <v>5658</v>
      </c>
    </row>
    <row r="207" spans="10:20" x14ac:dyDescent="0.35">
      <c r="J207" s="2" t="s">
        <v>2628</v>
      </c>
      <c r="K207" s="2" t="s">
        <v>5991</v>
      </c>
      <c r="L207" s="2" t="s">
        <v>5614</v>
      </c>
      <c r="M207" t="s">
        <v>5646</v>
      </c>
      <c r="P207" s="2"/>
      <c r="Q207" s="2" t="s">
        <v>4746</v>
      </c>
      <c r="R207" s="2" t="s">
        <v>1691</v>
      </c>
      <c r="S207" t="s">
        <v>5615</v>
      </c>
      <c r="T207" t="s">
        <v>5650</v>
      </c>
    </row>
    <row r="208" spans="10:20" x14ac:dyDescent="0.35">
      <c r="J208" s="2"/>
      <c r="K208" s="2"/>
      <c r="L208" s="2" t="s">
        <v>5606</v>
      </c>
      <c r="M208" t="s">
        <v>5646</v>
      </c>
      <c r="P208" s="2" t="s">
        <v>550</v>
      </c>
      <c r="Q208" s="2" t="s">
        <v>4505</v>
      </c>
      <c r="R208" s="2" t="s">
        <v>550</v>
      </c>
      <c r="S208" t="s">
        <v>5618</v>
      </c>
      <c r="T208" t="s">
        <v>5658</v>
      </c>
    </row>
    <row r="209" spans="10:20" x14ac:dyDescent="0.35">
      <c r="J209" s="2"/>
      <c r="K209" s="2"/>
      <c r="L209" s="2" t="s">
        <v>5622</v>
      </c>
      <c r="M209" t="s">
        <v>5646</v>
      </c>
      <c r="P209" s="2"/>
      <c r="Q209" s="2" t="s">
        <v>5188</v>
      </c>
      <c r="R209" s="2" t="s">
        <v>2773</v>
      </c>
      <c r="S209" t="s">
        <v>5617</v>
      </c>
      <c r="T209" t="s">
        <v>5658</v>
      </c>
    </row>
    <row r="210" spans="10:20" x14ac:dyDescent="0.35">
      <c r="J210" t="s">
        <v>2632</v>
      </c>
      <c r="K210" t="s">
        <v>5992</v>
      </c>
      <c r="L210" t="s">
        <v>5617</v>
      </c>
      <c r="M210" t="s">
        <v>5658</v>
      </c>
      <c r="P210" t="s">
        <v>554</v>
      </c>
      <c r="Q210" t="s">
        <v>4563</v>
      </c>
      <c r="R210" t="s">
        <v>837</v>
      </c>
      <c r="S210" t="s">
        <v>5623</v>
      </c>
      <c r="T210" t="s">
        <v>5658</v>
      </c>
    </row>
    <row r="211" spans="10:20" x14ac:dyDescent="0.35">
      <c r="J211" t="s">
        <v>5148</v>
      </c>
      <c r="K211" t="s">
        <v>5993</v>
      </c>
      <c r="L211" t="s">
        <v>5618</v>
      </c>
      <c r="M211" t="s">
        <v>5658</v>
      </c>
      <c r="P211" t="s">
        <v>4295</v>
      </c>
      <c r="Q211" t="s">
        <v>4294</v>
      </c>
      <c r="R211" t="s">
        <v>4025</v>
      </c>
      <c r="S211" t="s">
        <v>5621</v>
      </c>
      <c r="T211" t="s">
        <v>5678</v>
      </c>
    </row>
    <row r="212" spans="10:20" x14ac:dyDescent="0.35">
      <c r="J212" t="s">
        <v>2648</v>
      </c>
      <c r="K212" t="s">
        <v>5994</v>
      </c>
      <c r="L212" t="s">
        <v>5608</v>
      </c>
      <c r="M212" t="s">
        <v>5678</v>
      </c>
      <c r="P212" t="s">
        <v>4147</v>
      </c>
      <c r="Q212" t="s">
        <v>4146</v>
      </c>
      <c r="R212" t="s">
        <v>3836</v>
      </c>
      <c r="S212" t="s">
        <v>5611</v>
      </c>
      <c r="T212" t="s">
        <v>1448</v>
      </c>
    </row>
    <row r="213" spans="10:20" x14ac:dyDescent="0.35">
      <c r="J213" t="s">
        <v>2658</v>
      </c>
      <c r="K213" t="s">
        <v>5995</v>
      </c>
      <c r="L213" t="s">
        <v>5619</v>
      </c>
      <c r="M213" t="s">
        <v>5646</v>
      </c>
      <c r="P213" t="s">
        <v>565</v>
      </c>
      <c r="Q213" t="s">
        <v>4429</v>
      </c>
      <c r="R213" t="s">
        <v>457</v>
      </c>
      <c r="S213" t="s">
        <v>5607</v>
      </c>
      <c r="T213" t="s">
        <v>5650</v>
      </c>
    </row>
    <row r="214" spans="10:20" x14ac:dyDescent="0.35">
      <c r="J214" t="s">
        <v>2694</v>
      </c>
      <c r="K214" t="s">
        <v>5996</v>
      </c>
      <c r="L214" t="s">
        <v>5615</v>
      </c>
      <c r="M214" t="s">
        <v>5650</v>
      </c>
      <c r="P214" t="s">
        <v>567</v>
      </c>
      <c r="Q214" t="s">
        <v>5494</v>
      </c>
      <c r="R214" t="s">
        <v>5997</v>
      </c>
      <c r="S214" t="s">
        <v>5611</v>
      </c>
      <c r="T214" t="s">
        <v>1448</v>
      </c>
    </row>
    <row r="215" spans="10:20" x14ac:dyDescent="0.35">
      <c r="J215" t="s">
        <v>2701</v>
      </c>
      <c r="K215" t="s">
        <v>5998</v>
      </c>
      <c r="L215" t="s">
        <v>5618</v>
      </c>
      <c r="M215" t="s">
        <v>5658</v>
      </c>
      <c r="P215" s="2" t="s">
        <v>569</v>
      </c>
      <c r="Q215" s="2" t="s">
        <v>5150</v>
      </c>
      <c r="R215" s="2" t="s">
        <v>2658</v>
      </c>
      <c r="S215" t="s">
        <v>5619</v>
      </c>
      <c r="T215" t="s">
        <v>5646</v>
      </c>
    </row>
    <row r="216" spans="10:20" x14ac:dyDescent="0.35">
      <c r="J216" t="s">
        <v>2713</v>
      </c>
      <c r="K216" t="s">
        <v>5999</v>
      </c>
      <c r="L216" t="s">
        <v>5618</v>
      </c>
      <c r="M216" t="s">
        <v>5658</v>
      </c>
      <c r="P216" s="2"/>
      <c r="Q216" s="2" t="s">
        <v>5088</v>
      </c>
      <c r="R216" s="2" t="s">
        <v>5972</v>
      </c>
      <c r="S216" t="s">
        <v>5614</v>
      </c>
      <c r="T216" t="s">
        <v>5646</v>
      </c>
    </row>
    <row r="217" spans="10:20" x14ac:dyDescent="0.35">
      <c r="J217" s="2" t="s">
        <v>2723</v>
      </c>
      <c r="K217" s="2" t="s">
        <v>6000</v>
      </c>
      <c r="L217" t="s">
        <v>5612</v>
      </c>
      <c r="M217" t="s">
        <v>1448</v>
      </c>
      <c r="P217" t="s">
        <v>574</v>
      </c>
      <c r="Q217" t="s">
        <v>4375</v>
      </c>
      <c r="R217" t="s">
        <v>4222</v>
      </c>
      <c r="S217" t="s">
        <v>5614</v>
      </c>
      <c r="T217" t="s">
        <v>5646</v>
      </c>
    </row>
    <row r="218" spans="10:20" x14ac:dyDescent="0.35">
      <c r="J218" s="2"/>
      <c r="K218" s="2" t="s">
        <v>6001</v>
      </c>
      <c r="L218" t="s">
        <v>5629</v>
      </c>
      <c r="M218" t="s">
        <v>1448</v>
      </c>
      <c r="P218" t="s">
        <v>4203</v>
      </c>
      <c r="Q218" t="s">
        <v>4157</v>
      </c>
      <c r="R218" t="s">
        <v>70</v>
      </c>
      <c r="S218" t="s">
        <v>1837</v>
      </c>
      <c r="T218" t="s">
        <v>5646</v>
      </c>
    </row>
    <row r="219" spans="10:20" x14ac:dyDescent="0.35">
      <c r="J219" s="2"/>
      <c r="K219" s="2"/>
      <c r="L219" t="s">
        <v>5611</v>
      </c>
      <c r="M219" t="s">
        <v>1448</v>
      </c>
      <c r="P219" t="s">
        <v>578</v>
      </c>
      <c r="Q219" t="s">
        <v>4066</v>
      </c>
      <c r="R219" t="s">
        <v>5719</v>
      </c>
      <c r="S219" t="s">
        <v>5607</v>
      </c>
      <c r="T219" t="s">
        <v>5650</v>
      </c>
    </row>
    <row r="220" spans="10:20" x14ac:dyDescent="0.35">
      <c r="J220" t="s">
        <v>2727</v>
      </c>
      <c r="K220" t="s">
        <v>6002</v>
      </c>
      <c r="L220" t="s">
        <v>5609</v>
      </c>
      <c r="M220" t="s">
        <v>5658</v>
      </c>
      <c r="P220" t="s">
        <v>582</v>
      </c>
      <c r="Q220" t="s">
        <v>4508</v>
      </c>
      <c r="R220" t="s">
        <v>582</v>
      </c>
      <c r="S220" t="s">
        <v>5609</v>
      </c>
      <c r="T220" t="s">
        <v>5658</v>
      </c>
    </row>
    <row r="221" spans="10:20" x14ac:dyDescent="0.35">
      <c r="J221" t="s">
        <v>5667</v>
      </c>
      <c r="K221" t="s">
        <v>6003</v>
      </c>
      <c r="L221" t="s">
        <v>5619</v>
      </c>
      <c r="M221" t="s">
        <v>5646</v>
      </c>
      <c r="P221" t="s">
        <v>584</v>
      </c>
      <c r="Q221" t="s">
        <v>5305</v>
      </c>
      <c r="R221" t="s">
        <v>3032</v>
      </c>
      <c r="S221" t="s">
        <v>5619</v>
      </c>
      <c r="T221" t="s">
        <v>5646</v>
      </c>
    </row>
    <row r="222" spans="10:20" x14ac:dyDescent="0.35">
      <c r="J222" t="s">
        <v>2739</v>
      </c>
      <c r="K222" t="s">
        <v>6004</v>
      </c>
      <c r="L222" t="s">
        <v>5609</v>
      </c>
      <c r="M222" t="s">
        <v>5658</v>
      </c>
      <c r="P222" t="s">
        <v>586</v>
      </c>
      <c r="Q222" t="s">
        <v>4127</v>
      </c>
      <c r="R222" t="s">
        <v>1986</v>
      </c>
      <c r="S222" t="s">
        <v>5611</v>
      </c>
      <c r="T222" t="s">
        <v>1448</v>
      </c>
    </row>
    <row r="223" spans="10:20" x14ac:dyDescent="0.35">
      <c r="J223" t="s">
        <v>5645</v>
      </c>
      <c r="K223" t="s">
        <v>6005</v>
      </c>
      <c r="L223" t="s">
        <v>5611</v>
      </c>
      <c r="M223" t="s">
        <v>1448</v>
      </c>
      <c r="P223" t="s">
        <v>590</v>
      </c>
      <c r="Q223" t="s">
        <v>4530</v>
      </c>
      <c r="R223" t="s">
        <v>5783</v>
      </c>
      <c r="S223" t="s">
        <v>5607</v>
      </c>
      <c r="T223" t="s">
        <v>5650</v>
      </c>
    </row>
    <row r="224" spans="10:20" x14ac:dyDescent="0.35">
      <c r="J224" t="s">
        <v>2760</v>
      </c>
      <c r="K224" t="s">
        <v>6006</v>
      </c>
      <c r="L224" t="s">
        <v>5625</v>
      </c>
      <c r="M224" t="s">
        <v>1448</v>
      </c>
      <c r="P224" t="s">
        <v>592</v>
      </c>
      <c r="Q224" t="s">
        <v>4304</v>
      </c>
      <c r="R224" t="s">
        <v>262</v>
      </c>
      <c r="S224" t="s">
        <v>1837</v>
      </c>
      <c r="T224" t="s">
        <v>5646</v>
      </c>
    </row>
    <row r="225" spans="10:20" x14ac:dyDescent="0.35">
      <c r="J225" t="s">
        <v>2768</v>
      </c>
      <c r="K225" t="s">
        <v>6007</v>
      </c>
      <c r="L225" t="s">
        <v>5608</v>
      </c>
      <c r="M225" t="s">
        <v>5678</v>
      </c>
      <c r="P225" t="s">
        <v>4875</v>
      </c>
      <c r="Q225" t="s">
        <v>4874</v>
      </c>
      <c r="R225" t="s">
        <v>2007</v>
      </c>
      <c r="S225" t="s">
        <v>5607</v>
      </c>
      <c r="T225" t="s">
        <v>5650</v>
      </c>
    </row>
    <row r="226" spans="10:20" x14ac:dyDescent="0.35">
      <c r="J226" t="s">
        <v>2773</v>
      </c>
      <c r="K226" t="s">
        <v>6008</v>
      </c>
      <c r="L226" t="s">
        <v>5617</v>
      </c>
      <c r="M226" t="s">
        <v>5658</v>
      </c>
      <c r="P226" t="s">
        <v>596</v>
      </c>
      <c r="Q226" t="s">
        <v>4705</v>
      </c>
      <c r="R226" t="s">
        <v>5848</v>
      </c>
      <c r="S226" t="s">
        <v>5609</v>
      </c>
      <c r="T226" t="s">
        <v>5658</v>
      </c>
    </row>
    <row r="227" spans="10:20" x14ac:dyDescent="0.35">
      <c r="J227" s="2" t="s">
        <v>2783</v>
      </c>
      <c r="K227" s="2" t="s">
        <v>6009</v>
      </c>
      <c r="L227" s="2" t="s">
        <v>5609</v>
      </c>
      <c r="M227" t="s">
        <v>5658</v>
      </c>
      <c r="P227" s="2" t="s">
        <v>599</v>
      </c>
      <c r="Q227" s="2" t="s">
        <v>4993</v>
      </c>
      <c r="R227" s="2" t="s">
        <v>5746</v>
      </c>
      <c r="S227" t="s">
        <v>5607</v>
      </c>
      <c r="T227" t="s">
        <v>5650</v>
      </c>
    </row>
    <row r="228" spans="10:20" x14ac:dyDescent="0.35">
      <c r="J228" s="2"/>
      <c r="K228" s="2"/>
      <c r="L228" s="2" t="s">
        <v>5617</v>
      </c>
      <c r="M228" t="s">
        <v>5658</v>
      </c>
      <c r="P228" s="2"/>
      <c r="Q228" s="2" t="s">
        <v>4099</v>
      </c>
      <c r="R228" s="2" t="s">
        <v>1976</v>
      </c>
      <c r="S228" t="s">
        <v>1837</v>
      </c>
      <c r="T228" t="s">
        <v>5646</v>
      </c>
    </row>
    <row r="229" spans="10:20" x14ac:dyDescent="0.35">
      <c r="J229" t="s">
        <v>2792</v>
      </c>
      <c r="K229" t="s">
        <v>6010</v>
      </c>
      <c r="L229" t="s">
        <v>5608</v>
      </c>
      <c r="M229" t="s">
        <v>5678</v>
      </c>
      <c r="P229" t="s">
        <v>603</v>
      </c>
      <c r="Q229" t="s">
        <v>4642</v>
      </c>
      <c r="R229" t="s">
        <v>5772</v>
      </c>
      <c r="S229" t="s">
        <v>5615</v>
      </c>
      <c r="T229" t="s">
        <v>5650</v>
      </c>
    </row>
    <row r="230" spans="10:20" x14ac:dyDescent="0.35">
      <c r="J230" t="s">
        <v>2795</v>
      </c>
      <c r="K230" t="s">
        <v>6011</v>
      </c>
      <c r="L230" t="s">
        <v>5617</v>
      </c>
      <c r="M230" t="s">
        <v>5658</v>
      </c>
      <c r="P230" t="s">
        <v>605</v>
      </c>
      <c r="Q230" t="s">
        <v>608</v>
      </c>
      <c r="R230" t="s">
        <v>5783</v>
      </c>
      <c r="S230" t="s">
        <v>5607</v>
      </c>
      <c r="T230" t="s">
        <v>5650</v>
      </c>
    </row>
    <row r="231" spans="10:20" x14ac:dyDescent="0.35">
      <c r="J231" t="s">
        <v>2814</v>
      </c>
      <c r="K231" t="s">
        <v>6003</v>
      </c>
      <c r="L231" t="s">
        <v>5619</v>
      </c>
      <c r="M231" t="s">
        <v>5646</v>
      </c>
      <c r="P231" s="2" t="s">
        <v>607</v>
      </c>
      <c r="Q231" s="2" t="s">
        <v>4100</v>
      </c>
      <c r="R231" s="2" t="s">
        <v>5783</v>
      </c>
      <c r="S231" t="s">
        <v>5607</v>
      </c>
      <c r="T231" t="s">
        <v>5650</v>
      </c>
    </row>
    <row r="232" spans="10:20" x14ac:dyDescent="0.35">
      <c r="J232" t="s">
        <v>2815</v>
      </c>
      <c r="K232" t="s">
        <v>6012</v>
      </c>
      <c r="L232" t="s">
        <v>5609</v>
      </c>
      <c r="M232" t="s">
        <v>5658</v>
      </c>
      <c r="P232" s="2"/>
      <c r="Q232" s="2" t="s">
        <v>4157</v>
      </c>
      <c r="R232" s="2" t="s">
        <v>5783</v>
      </c>
      <c r="S232" t="s">
        <v>5607</v>
      </c>
      <c r="T232" t="s">
        <v>5650</v>
      </c>
    </row>
    <row r="233" spans="10:20" x14ac:dyDescent="0.35">
      <c r="J233" t="s">
        <v>6013</v>
      </c>
      <c r="K233" t="s">
        <v>6014</v>
      </c>
      <c r="L233" t="s">
        <v>5623</v>
      </c>
      <c r="M233" t="s">
        <v>5658</v>
      </c>
      <c r="P233" t="s">
        <v>610</v>
      </c>
      <c r="Q233" t="s">
        <v>5448</v>
      </c>
      <c r="R233" t="s">
        <v>5682</v>
      </c>
      <c r="S233" t="s">
        <v>5614</v>
      </c>
      <c r="T233" t="s">
        <v>5646</v>
      </c>
    </row>
    <row r="234" spans="10:20" x14ac:dyDescent="0.35">
      <c r="J234" t="s">
        <v>2839</v>
      </c>
      <c r="K234" t="s">
        <v>6015</v>
      </c>
      <c r="L234" t="s">
        <v>1837</v>
      </c>
      <c r="M234" t="s">
        <v>5646</v>
      </c>
      <c r="P234" t="s">
        <v>613</v>
      </c>
      <c r="Q234" t="s">
        <v>5431</v>
      </c>
      <c r="R234" t="s">
        <v>5682</v>
      </c>
      <c r="S234" t="s">
        <v>5614</v>
      </c>
      <c r="T234" t="s">
        <v>5646</v>
      </c>
    </row>
    <row r="235" spans="10:20" x14ac:dyDescent="0.35">
      <c r="J235" t="s">
        <v>2841</v>
      </c>
      <c r="K235" t="s">
        <v>6016</v>
      </c>
      <c r="L235" t="s">
        <v>5615</v>
      </c>
      <c r="M235" t="s">
        <v>5650</v>
      </c>
      <c r="P235" t="s">
        <v>615</v>
      </c>
      <c r="Q235" t="s">
        <v>5434</v>
      </c>
      <c r="R235" t="s">
        <v>5682</v>
      </c>
      <c r="S235" t="s">
        <v>5614</v>
      </c>
      <c r="T235" t="s">
        <v>5646</v>
      </c>
    </row>
    <row r="236" spans="10:20" x14ac:dyDescent="0.35">
      <c r="J236" t="s">
        <v>6017</v>
      </c>
      <c r="K236" t="s">
        <v>6018</v>
      </c>
      <c r="L236" t="s">
        <v>5625</v>
      </c>
      <c r="M236" t="s">
        <v>1448</v>
      </c>
      <c r="P236" t="s">
        <v>5512</v>
      </c>
      <c r="Q236" t="s">
        <v>5511</v>
      </c>
      <c r="R236" t="s">
        <v>3702</v>
      </c>
      <c r="S236" t="s">
        <v>5619</v>
      </c>
      <c r="T236" t="s">
        <v>5646</v>
      </c>
    </row>
    <row r="237" spans="10:20" x14ac:dyDescent="0.35">
      <c r="J237" t="s">
        <v>5908</v>
      </c>
      <c r="K237" t="s">
        <v>6019</v>
      </c>
      <c r="L237" t="s">
        <v>5617</v>
      </c>
      <c r="M237" t="s">
        <v>5658</v>
      </c>
      <c r="P237" t="s">
        <v>4234</v>
      </c>
      <c r="Q237" t="s">
        <v>4157</v>
      </c>
      <c r="R237" t="s">
        <v>2814</v>
      </c>
      <c r="S237" t="s">
        <v>5619</v>
      </c>
      <c r="T237" t="s">
        <v>5646</v>
      </c>
    </row>
    <row r="238" spans="10:20" x14ac:dyDescent="0.35">
      <c r="J238" t="s">
        <v>2843</v>
      </c>
      <c r="K238" t="s">
        <v>6020</v>
      </c>
      <c r="L238" t="s">
        <v>5618</v>
      </c>
      <c r="M238" t="s">
        <v>5658</v>
      </c>
      <c r="P238" t="s">
        <v>623</v>
      </c>
      <c r="Q238" t="s">
        <v>5295</v>
      </c>
      <c r="R238" t="s">
        <v>5798</v>
      </c>
      <c r="S238" t="s">
        <v>5615</v>
      </c>
      <c r="T238" t="s">
        <v>5650</v>
      </c>
    </row>
    <row r="239" spans="10:20" x14ac:dyDescent="0.35">
      <c r="J239" t="s">
        <v>6021</v>
      </c>
      <c r="K239" t="s">
        <v>6022</v>
      </c>
      <c r="L239" t="s">
        <v>5609</v>
      </c>
      <c r="M239" t="s">
        <v>5658</v>
      </c>
      <c r="P239" t="s">
        <v>4513</v>
      </c>
      <c r="Q239" t="s">
        <v>4512</v>
      </c>
      <c r="R239" t="s">
        <v>4513</v>
      </c>
      <c r="S239" t="s">
        <v>5612</v>
      </c>
      <c r="T239" t="s">
        <v>1448</v>
      </c>
    </row>
    <row r="240" spans="10:20" x14ac:dyDescent="0.35">
      <c r="J240" t="s">
        <v>5769</v>
      </c>
      <c r="K240" t="s">
        <v>6023</v>
      </c>
      <c r="L240" t="s">
        <v>5621</v>
      </c>
      <c r="M240" t="s">
        <v>5678</v>
      </c>
      <c r="P240" t="s">
        <v>631</v>
      </c>
      <c r="Q240" t="s">
        <v>4685</v>
      </c>
      <c r="R240" t="s">
        <v>1375</v>
      </c>
      <c r="S240" t="s">
        <v>5607</v>
      </c>
      <c r="T240" t="s">
        <v>5650</v>
      </c>
    </row>
    <row r="241" spans="10:20" x14ac:dyDescent="0.35">
      <c r="J241" t="s">
        <v>5608</v>
      </c>
      <c r="K241" t="s">
        <v>6024</v>
      </c>
      <c r="L241" t="s">
        <v>5608</v>
      </c>
      <c r="M241" t="s">
        <v>5678</v>
      </c>
      <c r="P241" t="s">
        <v>633</v>
      </c>
      <c r="Q241" t="s">
        <v>4691</v>
      </c>
      <c r="R241" t="s">
        <v>1375</v>
      </c>
      <c r="S241" t="s">
        <v>5607</v>
      </c>
      <c r="T241" t="s">
        <v>5650</v>
      </c>
    </row>
    <row r="242" spans="10:20" x14ac:dyDescent="0.35">
      <c r="J242" t="s">
        <v>6025</v>
      </c>
      <c r="K242" t="s">
        <v>6026</v>
      </c>
      <c r="L242" t="s">
        <v>5625</v>
      </c>
      <c r="M242" t="s">
        <v>1448</v>
      </c>
      <c r="P242" t="s">
        <v>638</v>
      </c>
      <c r="Q242" t="s">
        <v>4925</v>
      </c>
      <c r="R242" t="s">
        <v>5940</v>
      </c>
      <c r="S242" t="s">
        <v>5615</v>
      </c>
      <c r="T242" t="s">
        <v>5650</v>
      </c>
    </row>
    <row r="243" spans="10:20" x14ac:dyDescent="0.35">
      <c r="J243" t="s">
        <v>2860</v>
      </c>
      <c r="K243" t="s">
        <v>6027</v>
      </c>
      <c r="L243" t="s">
        <v>5617</v>
      </c>
      <c r="M243" t="s">
        <v>5658</v>
      </c>
      <c r="P243" t="s">
        <v>4410</v>
      </c>
      <c r="Q243" t="s">
        <v>4409</v>
      </c>
      <c r="R243" t="s">
        <v>457</v>
      </c>
      <c r="S243" t="s">
        <v>5607</v>
      </c>
      <c r="T243" t="s">
        <v>5650</v>
      </c>
    </row>
    <row r="244" spans="10:20" x14ac:dyDescent="0.35">
      <c r="J244" t="s">
        <v>2881</v>
      </c>
      <c r="K244" t="s">
        <v>6028</v>
      </c>
      <c r="L244" t="s">
        <v>5625</v>
      </c>
      <c r="M244" t="s">
        <v>1448</v>
      </c>
      <c r="P244" t="s">
        <v>645</v>
      </c>
      <c r="Q244" t="s">
        <v>5600</v>
      </c>
      <c r="R244" t="s">
        <v>5617</v>
      </c>
      <c r="S244" t="s">
        <v>5617</v>
      </c>
      <c r="T244" t="s">
        <v>5658</v>
      </c>
    </row>
    <row r="245" spans="10:20" x14ac:dyDescent="0.35">
      <c r="J245" t="s">
        <v>6029</v>
      </c>
      <c r="K245" t="s">
        <v>6030</v>
      </c>
      <c r="L245" t="s">
        <v>5625</v>
      </c>
      <c r="M245" t="s">
        <v>1448</v>
      </c>
      <c r="P245" t="s">
        <v>4372</v>
      </c>
      <c r="Q245" t="s">
        <v>4371</v>
      </c>
      <c r="R245" t="s">
        <v>5743</v>
      </c>
      <c r="S245" t="s">
        <v>5614</v>
      </c>
      <c r="T245" t="s">
        <v>5646</v>
      </c>
    </row>
    <row r="246" spans="10:20" x14ac:dyDescent="0.35">
      <c r="J246" t="s">
        <v>6031</v>
      </c>
      <c r="K246" t="s">
        <v>6032</v>
      </c>
      <c r="L246" t="s">
        <v>5630</v>
      </c>
      <c r="M246" t="s">
        <v>5644</v>
      </c>
      <c r="P246" t="s">
        <v>649</v>
      </c>
      <c r="Q246" t="s">
        <v>4555</v>
      </c>
      <c r="R246" t="s">
        <v>773</v>
      </c>
      <c r="S246" t="s">
        <v>5614</v>
      </c>
      <c r="T246" t="s">
        <v>5646</v>
      </c>
    </row>
    <row r="247" spans="10:20" x14ac:dyDescent="0.35">
      <c r="J247" t="s">
        <v>2896</v>
      </c>
      <c r="K247" t="s">
        <v>6033</v>
      </c>
      <c r="L247" t="s">
        <v>5611</v>
      </c>
      <c r="M247" t="s">
        <v>1448</v>
      </c>
      <c r="P247" t="s">
        <v>4182</v>
      </c>
      <c r="Q247" t="s">
        <v>4157</v>
      </c>
      <c r="R247" t="s">
        <v>5786</v>
      </c>
      <c r="S247" t="s">
        <v>5606</v>
      </c>
      <c r="T247" t="s">
        <v>5646</v>
      </c>
    </row>
    <row r="248" spans="10:20" x14ac:dyDescent="0.35">
      <c r="J248" t="s">
        <v>2914</v>
      </c>
      <c r="K248" t="s">
        <v>6034</v>
      </c>
      <c r="L248" t="s">
        <v>5607</v>
      </c>
      <c r="M248" t="s">
        <v>5650</v>
      </c>
      <c r="P248" t="s">
        <v>654</v>
      </c>
      <c r="Q248" t="s">
        <v>4083</v>
      </c>
      <c r="R248" t="s">
        <v>5786</v>
      </c>
      <c r="S248" t="s">
        <v>5606</v>
      </c>
      <c r="T248" t="s">
        <v>5646</v>
      </c>
    </row>
    <row r="249" spans="10:20" x14ac:dyDescent="0.35">
      <c r="J249" t="s">
        <v>6035</v>
      </c>
      <c r="K249" t="s">
        <v>6036</v>
      </c>
      <c r="L249" t="s">
        <v>5616</v>
      </c>
      <c r="M249" t="s">
        <v>5650</v>
      </c>
      <c r="P249" t="s">
        <v>656</v>
      </c>
      <c r="Q249" t="s">
        <v>4138</v>
      </c>
      <c r="R249" t="s">
        <v>2561</v>
      </c>
      <c r="S249" t="s">
        <v>5611</v>
      </c>
      <c r="T249" t="s">
        <v>1448</v>
      </c>
    </row>
    <row r="250" spans="10:20" x14ac:dyDescent="0.35">
      <c r="J250" t="s">
        <v>6037</v>
      </c>
      <c r="K250" t="s">
        <v>6038</v>
      </c>
      <c r="L250" t="s">
        <v>5616</v>
      </c>
      <c r="M250" t="s">
        <v>5650</v>
      </c>
      <c r="P250" t="s">
        <v>660</v>
      </c>
      <c r="Q250" t="s">
        <v>5012</v>
      </c>
      <c r="R250" t="s">
        <v>2522</v>
      </c>
      <c r="S250" t="s">
        <v>5609</v>
      </c>
      <c r="T250" t="s">
        <v>5658</v>
      </c>
    </row>
    <row r="251" spans="10:20" x14ac:dyDescent="0.35">
      <c r="J251" t="s">
        <v>5696</v>
      </c>
      <c r="K251" t="s">
        <v>6039</v>
      </c>
      <c r="L251" t="s">
        <v>5614</v>
      </c>
      <c r="M251" t="s">
        <v>5646</v>
      </c>
      <c r="P251" t="s">
        <v>663</v>
      </c>
      <c r="Q251" t="s">
        <v>5530</v>
      </c>
      <c r="R251" t="s">
        <v>3752</v>
      </c>
      <c r="S251" t="s">
        <v>5618</v>
      </c>
      <c r="T251" t="s">
        <v>5658</v>
      </c>
    </row>
    <row r="252" spans="10:20" x14ac:dyDescent="0.35">
      <c r="J252" t="s">
        <v>5788</v>
      </c>
      <c r="K252" t="s">
        <v>6040</v>
      </c>
      <c r="L252" t="s">
        <v>5614</v>
      </c>
      <c r="M252" t="s">
        <v>5646</v>
      </c>
      <c r="P252" t="s">
        <v>665</v>
      </c>
      <c r="Q252" t="s">
        <v>5005</v>
      </c>
      <c r="R252" t="s">
        <v>5885</v>
      </c>
      <c r="S252" t="s">
        <v>5607</v>
      </c>
      <c r="T252" t="s">
        <v>5650</v>
      </c>
    </row>
    <row r="253" spans="10:20" x14ac:dyDescent="0.35">
      <c r="J253" t="s">
        <v>5798</v>
      </c>
      <c r="K253" t="s">
        <v>6041</v>
      </c>
      <c r="L253" t="s">
        <v>5615</v>
      </c>
      <c r="M253" t="s">
        <v>5650</v>
      </c>
      <c r="P253" t="s">
        <v>5519</v>
      </c>
      <c r="Q253" t="s">
        <v>5518</v>
      </c>
      <c r="R253" t="s">
        <v>3702</v>
      </c>
      <c r="S253" t="s">
        <v>5619</v>
      </c>
      <c r="T253" t="s">
        <v>5646</v>
      </c>
    </row>
    <row r="254" spans="10:20" x14ac:dyDescent="0.35">
      <c r="J254" t="s">
        <v>3024</v>
      </c>
      <c r="K254" t="s">
        <v>6042</v>
      </c>
      <c r="L254" t="s">
        <v>5608</v>
      </c>
      <c r="M254" t="s">
        <v>5678</v>
      </c>
      <c r="P254" t="s">
        <v>667</v>
      </c>
      <c r="Q254" t="s">
        <v>5154</v>
      </c>
      <c r="R254" t="s">
        <v>2658</v>
      </c>
      <c r="S254" t="s">
        <v>5619</v>
      </c>
      <c r="T254" t="s">
        <v>5646</v>
      </c>
    </row>
    <row r="255" spans="10:20" x14ac:dyDescent="0.35">
      <c r="J255" t="s">
        <v>3026</v>
      </c>
      <c r="K255" t="s">
        <v>6043</v>
      </c>
      <c r="L255" t="s">
        <v>5618</v>
      </c>
      <c r="M255" t="s">
        <v>5658</v>
      </c>
      <c r="P255" t="s">
        <v>675</v>
      </c>
      <c r="Q255" t="s">
        <v>5468</v>
      </c>
      <c r="R255" t="s">
        <v>3587</v>
      </c>
      <c r="S255" t="s">
        <v>1837</v>
      </c>
      <c r="T255" t="s">
        <v>5646</v>
      </c>
    </row>
    <row r="256" spans="10:20" x14ac:dyDescent="0.35">
      <c r="J256" t="s">
        <v>3032</v>
      </c>
      <c r="K256" t="s">
        <v>6044</v>
      </c>
      <c r="L256" t="s">
        <v>5619</v>
      </c>
      <c r="M256" t="s">
        <v>5646</v>
      </c>
      <c r="P256" t="s">
        <v>677</v>
      </c>
      <c r="Q256" t="s">
        <v>4157</v>
      </c>
      <c r="R256" t="s">
        <v>3752</v>
      </c>
      <c r="S256" t="s">
        <v>5618</v>
      </c>
      <c r="T256" t="s">
        <v>5658</v>
      </c>
    </row>
    <row r="257" spans="10:20" x14ac:dyDescent="0.35">
      <c r="J257" t="s">
        <v>6045</v>
      </c>
      <c r="K257" t="s">
        <v>6046</v>
      </c>
      <c r="L257" t="s">
        <v>5611</v>
      </c>
      <c r="M257" t="s">
        <v>1448</v>
      </c>
      <c r="P257" t="s">
        <v>679</v>
      </c>
      <c r="Q257" t="s">
        <v>5565</v>
      </c>
      <c r="R257" t="s">
        <v>3893</v>
      </c>
      <c r="S257" t="s">
        <v>5617</v>
      </c>
      <c r="T257" t="s">
        <v>5658</v>
      </c>
    </row>
    <row r="258" spans="10:20" x14ac:dyDescent="0.35">
      <c r="J258" s="2" t="s">
        <v>5912</v>
      </c>
      <c r="K258" s="2" t="s">
        <v>6047</v>
      </c>
      <c r="L258" t="s">
        <v>5621</v>
      </c>
      <c r="M258" t="s">
        <v>5678</v>
      </c>
      <c r="P258" t="s">
        <v>682</v>
      </c>
      <c r="Q258" t="s">
        <v>687</v>
      </c>
      <c r="R258" t="s">
        <v>5823</v>
      </c>
      <c r="S258" t="s">
        <v>1837</v>
      </c>
      <c r="T258" t="s">
        <v>5646</v>
      </c>
    </row>
    <row r="259" spans="10:20" x14ac:dyDescent="0.35">
      <c r="J259" s="2"/>
      <c r="K259" s="2" t="s">
        <v>6048</v>
      </c>
      <c r="L259" t="s">
        <v>5616</v>
      </c>
      <c r="M259" t="s">
        <v>5650</v>
      </c>
      <c r="P259" t="s">
        <v>684</v>
      </c>
      <c r="Q259" t="s">
        <v>4300</v>
      </c>
      <c r="R259" t="s">
        <v>5686</v>
      </c>
      <c r="S259" t="s">
        <v>1837</v>
      </c>
      <c r="T259" t="s">
        <v>5646</v>
      </c>
    </row>
    <row r="260" spans="10:20" x14ac:dyDescent="0.35">
      <c r="J260" t="s">
        <v>3074</v>
      </c>
      <c r="K260" t="s">
        <v>6049</v>
      </c>
      <c r="L260" t="s">
        <v>5608</v>
      </c>
      <c r="M260" t="s">
        <v>5678</v>
      </c>
      <c r="P260" t="s">
        <v>4218</v>
      </c>
      <c r="Q260" t="s">
        <v>4157</v>
      </c>
      <c r="R260" t="s">
        <v>6050</v>
      </c>
      <c r="S260" t="s">
        <v>1837</v>
      </c>
      <c r="T260" t="s">
        <v>5646</v>
      </c>
    </row>
    <row r="261" spans="10:20" x14ac:dyDescent="0.35">
      <c r="J261" t="s">
        <v>5320</v>
      </c>
      <c r="K261" t="s">
        <v>6051</v>
      </c>
      <c r="L261" t="s">
        <v>5611</v>
      </c>
      <c r="M261" t="s">
        <v>1448</v>
      </c>
      <c r="P261" s="2" t="s">
        <v>688</v>
      </c>
      <c r="Q261" s="2" t="s">
        <v>689</v>
      </c>
      <c r="R261" s="2" t="s">
        <v>5746</v>
      </c>
      <c r="S261" t="s">
        <v>5607</v>
      </c>
      <c r="T261" t="s">
        <v>5650</v>
      </c>
    </row>
    <row r="262" spans="10:20" x14ac:dyDescent="0.35">
      <c r="J262" t="s">
        <v>5322</v>
      </c>
      <c r="K262" t="s">
        <v>6052</v>
      </c>
      <c r="L262" t="s">
        <v>5609</v>
      </c>
      <c r="M262" t="s">
        <v>5658</v>
      </c>
      <c r="P262" s="2"/>
      <c r="Q262" s="2" t="s">
        <v>4157</v>
      </c>
      <c r="R262" s="2" t="s">
        <v>5746</v>
      </c>
      <c r="S262" t="s">
        <v>5607</v>
      </c>
      <c r="T262" t="s">
        <v>5650</v>
      </c>
    </row>
    <row r="263" spans="10:20" x14ac:dyDescent="0.35">
      <c r="J263" t="s">
        <v>3101</v>
      </c>
      <c r="K263" t="s">
        <v>6053</v>
      </c>
      <c r="L263" t="s">
        <v>5610</v>
      </c>
      <c r="M263" t="s">
        <v>5646</v>
      </c>
      <c r="P263" t="s">
        <v>4403</v>
      </c>
      <c r="Q263" t="s">
        <v>4402</v>
      </c>
      <c r="R263" t="s">
        <v>457</v>
      </c>
      <c r="S263" t="s">
        <v>5607</v>
      </c>
      <c r="T263" t="s">
        <v>5650</v>
      </c>
    </row>
    <row r="264" spans="10:20" x14ac:dyDescent="0.35">
      <c r="J264" s="2" t="s">
        <v>3103</v>
      </c>
      <c r="K264" s="2" t="s">
        <v>6054</v>
      </c>
      <c r="L264" s="2" t="s">
        <v>5614</v>
      </c>
      <c r="M264" t="s">
        <v>5646</v>
      </c>
      <c r="P264" t="s">
        <v>692</v>
      </c>
      <c r="Q264" t="s">
        <v>5387</v>
      </c>
      <c r="R264" t="s">
        <v>5961</v>
      </c>
      <c r="S264" t="s">
        <v>5610</v>
      </c>
      <c r="T264" t="s">
        <v>5646</v>
      </c>
    </row>
    <row r="265" spans="10:20" x14ac:dyDescent="0.35">
      <c r="J265" s="2"/>
      <c r="K265" s="2"/>
      <c r="L265" s="2" t="s">
        <v>5622</v>
      </c>
      <c r="M265" t="s">
        <v>5646</v>
      </c>
      <c r="P265" s="2" t="s">
        <v>694</v>
      </c>
      <c r="Q265" s="2" t="s">
        <v>4792</v>
      </c>
      <c r="R265" s="2" t="s">
        <v>1872</v>
      </c>
      <c r="S265" t="s">
        <v>5607</v>
      </c>
      <c r="T265" t="s">
        <v>5650</v>
      </c>
    </row>
    <row r="266" spans="10:20" x14ac:dyDescent="0.35">
      <c r="J266" t="s">
        <v>3110</v>
      </c>
      <c r="K266" t="s">
        <v>6055</v>
      </c>
      <c r="L266" t="s">
        <v>1837</v>
      </c>
      <c r="M266" t="s">
        <v>5646</v>
      </c>
      <c r="P266" s="2"/>
      <c r="Q266" s="2" t="s">
        <v>4908</v>
      </c>
      <c r="R266" s="2" t="s">
        <v>2196</v>
      </c>
      <c r="S266" t="s">
        <v>1837</v>
      </c>
      <c r="T266" t="s">
        <v>5646</v>
      </c>
    </row>
    <row r="267" spans="10:20" x14ac:dyDescent="0.35">
      <c r="J267" t="s">
        <v>3113</v>
      </c>
      <c r="K267" t="s">
        <v>6056</v>
      </c>
      <c r="L267" t="s">
        <v>1757</v>
      </c>
      <c r="M267" t="s">
        <v>5658</v>
      </c>
      <c r="P267" t="s">
        <v>699</v>
      </c>
      <c r="Q267" t="s">
        <v>4528</v>
      </c>
      <c r="R267" t="s">
        <v>5783</v>
      </c>
      <c r="S267" t="s">
        <v>5607</v>
      </c>
      <c r="T267" t="s">
        <v>5650</v>
      </c>
    </row>
    <row r="268" spans="10:20" x14ac:dyDescent="0.35">
      <c r="J268" t="s">
        <v>3126</v>
      </c>
      <c r="K268" t="s">
        <v>6057</v>
      </c>
      <c r="L268" t="s">
        <v>5615</v>
      </c>
      <c r="M268" t="s">
        <v>5650</v>
      </c>
      <c r="P268" s="2" t="s">
        <v>701</v>
      </c>
      <c r="Q268" s="2" t="s">
        <v>702</v>
      </c>
      <c r="R268" s="2" t="s">
        <v>5783</v>
      </c>
      <c r="S268" t="s">
        <v>5607</v>
      </c>
      <c r="T268" t="s">
        <v>5650</v>
      </c>
    </row>
    <row r="269" spans="10:20" x14ac:dyDescent="0.35">
      <c r="J269" t="s">
        <v>6058</v>
      </c>
      <c r="K269" t="s">
        <v>6059</v>
      </c>
      <c r="L269" t="s">
        <v>5618</v>
      </c>
      <c r="M269" t="s">
        <v>5658</v>
      </c>
      <c r="P269" s="2"/>
      <c r="Q269" s="2" t="s">
        <v>4529</v>
      </c>
      <c r="R269" s="2" t="s">
        <v>5783</v>
      </c>
      <c r="S269" t="s">
        <v>5607</v>
      </c>
      <c r="T269" t="s">
        <v>5650</v>
      </c>
    </row>
    <row r="270" spans="10:20" x14ac:dyDescent="0.35">
      <c r="J270" t="s">
        <v>3139</v>
      </c>
      <c r="K270" t="s">
        <v>6060</v>
      </c>
      <c r="L270" t="s">
        <v>5618</v>
      </c>
      <c r="M270" t="s">
        <v>5658</v>
      </c>
      <c r="P270" s="2"/>
      <c r="Q270" s="2" t="s">
        <v>4157</v>
      </c>
      <c r="R270" s="2" t="s">
        <v>5783</v>
      </c>
      <c r="S270" t="s">
        <v>5607</v>
      </c>
      <c r="T270" t="s">
        <v>5650</v>
      </c>
    </row>
    <row r="271" spans="10:20" x14ac:dyDescent="0.35">
      <c r="J271" t="s">
        <v>6061</v>
      </c>
      <c r="K271" t="s">
        <v>6062</v>
      </c>
      <c r="L271" t="s">
        <v>5628</v>
      </c>
      <c r="M271" t="s">
        <v>5668</v>
      </c>
      <c r="P271" t="s">
        <v>4188</v>
      </c>
      <c r="Q271" t="s">
        <v>4157</v>
      </c>
      <c r="R271" t="s">
        <v>2628</v>
      </c>
      <c r="S271" t="s">
        <v>5606</v>
      </c>
      <c r="T271" t="s">
        <v>5646</v>
      </c>
    </row>
    <row r="272" spans="10:20" x14ac:dyDescent="0.35">
      <c r="J272" t="s">
        <v>6063</v>
      </c>
      <c r="K272" t="s">
        <v>6064</v>
      </c>
      <c r="L272" t="s">
        <v>3155</v>
      </c>
      <c r="M272" t="s">
        <v>5668</v>
      </c>
      <c r="P272" t="s">
        <v>710</v>
      </c>
      <c r="Q272" t="s">
        <v>4533</v>
      </c>
      <c r="R272" t="s">
        <v>710</v>
      </c>
      <c r="S272" t="s">
        <v>5617</v>
      </c>
      <c r="T272" t="s">
        <v>5658</v>
      </c>
    </row>
    <row r="273" spans="10:20" x14ac:dyDescent="0.35">
      <c r="J273" t="s">
        <v>6065</v>
      </c>
      <c r="K273" t="s">
        <v>6066</v>
      </c>
      <c r="L273" t="s">
        <v>5623</v>
      </c>
      <c r="M273" t="s">
        <v>5658</v>
      </c>
      <c r="P273" s="2" t="s">
        <v>4198</v>
      </c>
      <c r="Q273" s="2" t="s">
        <v>4802</v>
      </c>
      <c r="R273" s="2" t="s">
        <v>1872</v>
      </c>
      <c r="S273" t="s">
        <v>5607</v>
      </c>
      <c r="T273" t="s">
        <v>5650</v>
      </c>
    </row>
    <row r="274" spans="10:20" x14ac:dyDescent="0.35">
      <c r="J274" t="s">
        <v>6050</v>
      </c>
      <c r="K274" t="s">
        <v>6067</v>
      </c>
      <c r="L274" t="s">
        <v>1837</v>
      </c>
      <c r="M274" t="s">
        <v>5646</v>
      </c>
      <c r="P274" s="2"/>
      <c r="Q274" s="2" t="s">
        <v>4157</v>
      </c>
      <c r="R274" s="2" t="s">
        <v>70</v>
      </c>
      <c r="S274" t="s">
        <v>1837</v>
      </c>
      <c r="T274" t="s">
        <v>5646</v>
      </c>
    </row>
    <row r="275" spans="10:20" x14ac:dyDescent="0.35">
      <c r="J275" t="s">
        <v>6068</v>
      </c>
      <c r="K275" t="s">
        <v>6069</v>
      </c>
      <c r="L275" t="s">
        <v>5616</v>
      </c>
      <c r="M275" t="s">
        <v>5650</v>
      </c>
      <c r="P275" t="s">
        <v>4537</v>
      </c>
      <c r="Q275" t="s">
        <v>4536</v>
      </c>
      <c r="R275" t="s">
        <v>719</v>
      </c>
      <c r="S275" t="s">
        <v>5614</v>
      </c>
      <c r="T275" t="s">
        <v>5646</v>
      </c>
    </row>
    <row r="276" spans="10:20" x14ac:dyDescent="0.35">
      <c r="J276" t="s">
        <v>6070</v>
      </c>
      <c r="K276" t="s">
        <v>6071</v>
      </c>
      <c r="L276" t="s">
        <v>5613</v>
      </c>
      <c r="M276" t="s">
        <v>5678</v>
      </c>
      <c r="P276" t="s">
        <v>4785</v>
      </c>
      <c r="Q276" t="s">
        <v>4784</v>
      </c>
      <c r="R276" t="s">
        <v>5825</v>
      </c>
      <c r="S276" t="s">
        <v>5612</v>
      </c>
      <c r="T276" t="s">
        <v>1448</v>
      </c>
    </row>
    <row r="277" spans="10:20" x14ac:dyDescent="0.35">
      <c r="J277" t="s">
        <v>6072</v>
      </c>
      <c r="K277" t="s">
        <v>6073</v>
      </c>
      <c r="L277" t="s">
        <v>5616</v>
      </c>
      <c r="M277" t="s">
        <v>5650</v>
      </c>
      <c r="P277" t="s">
        <v>4176</v>
      </c>
      <c r="Q277" t="s">
        <v>4157</v>
      </c>
      <c r="R277" t="s">
        <v>719</v>
      </c>
      <c r="S277" t="s">
        <v>5606</v>
      </c>
      <c r="T277" t="s">
        <v>5646</v>
      </c>
    </row>
    <row r="278" spans="10:20" x14ac:dyDescent="0.35">
      <c r="J278" t="s">
        <v>6074</v>
      </c>
      <c r="K278" t="s">
        <v>6075</v>
      </c>
      <c r="L278" t="s">
        <v>5613</v>
      </c>
      <c r="M278" t="s">
        <v>5678</v>
      </c>
      <c r="P278" t="s">
        <v>721</v>
      </c>
      <c r="Q278" t="s">
        <v>720</v>
      </c>
      <c r="R278" t="s">
        <v>719</v>
      </c>
      <c r="S278" t="s">
        <v>5606</v>
      </c>
      <c r="T278" t="s">
        <v>5646</v>
      </c>
    </row>
    <row r="279" spans="10:20" x14ac:dyDescent="0.35">
      <c r="J279" t="s">
        <v>5779</v>
      </c>
      <c r="K279" t="s">
        <v>6076</v>
      </c>
      <c r="L279" t="s">
        <v>1837</v>
      </c>
      <c r="M279" t="s">
        <v>5646</v>
      </c>
      <c r="P279" t="s">
        <v>723</v>
      </c>
      <c r="Q279" t="s">
        <v>4544</v>
      </c>
      <c r="R279" t="s">
        <v>719</v>
      </c>
      <c r="S279" t="s">
        <v>5614</v>
      </c>
      <c r="T279" t="s">
        <v>5646</v>
      </c>
    </row>
    <row r="280" spans="10:20" x14ac:dyDescent="0.35">
      <c r="J280" t="s">
        <v>5632</v>
      </c>
      <c r="K280" t="s">
        <v>6077</v>
      </c>
      <c r="L280" t="s">
        <v>5632</v>
      </c>
      <c r="M280" t="s">
        <v>5650</v>
      </c>
      <c r="P280" t="s">
        <v>725</v>
      </c>
      <c r="Q280" t="s">
        <v>4545</v>
      </c>
      <c r="R280" t="s">
        <v>719</v>
      </c>
      <c r="S280" t="s">
        <v>5614</v>
      </c>
      <c r="T280" t="s">
        <v>5646</v>
      </c>
    </row>
    <row r="281" spans="10:20" x14ac:dyDescent="0.35">
      <c r="J281" t="s">
        <v>3246</v>
      </c>
      <c r="K281" t="s">
        <v>6078</v>
      </c>
      <c r="L281" t="s">
        <v>5617</v>
      </c>
      <c r="M281" t="s">
        <v>5658</v>
      </c>
      <c r="P281" t="s">
        <v>4474</v>
      </c>
      <c r="Q281" t="s">
        <v>4473</v>
      </c>
      <c r="R281" t="s">
        <v>5757</v>
      </c>
      <c r="S281" t="s">
        <v>5614</v>
      </c>
      <c r="T281" t="s">
        <v>5646</v>
      </c>
    </row>
    <row r="282" spans="10:20" x14ac:dyDescent="0.35">
      <c r="J282" t="s">
        <v>6079</v>
      </c>
      <c r="K282" t="s">
        <v>6080</v>
      </c>
      <c r="L282" t="s">
        <v>5609</v>
      </c>
      <c r="M282" t="s">
        <v>5658</v>
      </c>
      <c r="P282" s="2" t="s">
        <v>730</v>
      </c>
      <c r="Q282" s="2" t="s">
        <v>4531</v>
      </c>
      <c r="R282" s="2" t="s">
        <v>5783</v>
      </c>
      <c r="S282" t="s">
        <v>5607</v>
      </c>
      <c r="T282" t="s">
        <v>5650</v>
      </c>
    </row>
    <row r="283" spans="10:20" x14ac:dyDescent="0.35">
      <c r="J283" t="s">
        <v>3272</v>
      </c>
      <c r="K283" t="s">
        <v>6081</v>
      </c>
      <c r="L283" t="s">
        <v>5612</v>
      </c>
      <c r="M283" t="s">
        <v>1448</v>
      </c>
      <c r="P283" s="2"/>
      <c r="Q283" s="2" t="s">
        <v>4157</v>
      </c>
      <c r="R283" s="2" t="s">
        <v>5783</v>
      </c>
      <c r="S283" t="s">
        <v>5607</v>
      </c>
      <c r="T283" t="s">
        <v>5650</v>
      </c>
    </row>
    <row r="284" spans="10:20" x14ac:dyDescent="0.35">
      <c r="J284" t="s">
        <v>5961</v>
      </c>
      <c r="K284" t="s">
        <v>6082</v>
      </c>
      <c r="L284" t="s">
        <v>5610</v>
      </c>
      <c r="M284" t="s">
        <v>5646</v>
      </c>
      <c r="P284" s="2" t="s">
        <v>735</v>
      </c>
      <c r="Q284" s="2" t="s">
        <v>5500</v>
      </c>
      <c r="R284" s="2" t="s">
        <v>6083</v>
      </c>
      <c r="S284" t="s">
        <v>5619</v>
      </c>
      <c r="T284" t="s">
        <v>5646</v>
      </c>
    </row>
    <row r="285" spans="10:20" x14ac:dyDescent="0.35">
      <c r="J285" t="s">
        <v>6084</v>
      </c>
      <c r="K285" t="s">
        <v>6085</v>
      </c>
      <c r="L285" t="s">
        <v>5611</v>
      </c>
      <c r="M285" t="s">
        <v>1448</v>
      </c>
      <c r="P285" s="2"/>
      <c r="Q285" s="2" t="s">
        <v>4775</v>
      </c>
      <c r="R285" s="2" t="s">
        <v>1856</v>
      </c>
      <c r="S285" t="s">
        <v>1837</v>
      </c>
      <c r="T285" t="s">
        <v>5646</v>
      </c>
    </row>
    <row r="286" spans="10:20" x14ac:dyDescent="0.35">
      <c r="J286" t="s">
        <v>3315</v>
      </c>
      <c r="K286" t="s">
        <v>6086</v>
      </c>
      <c r="L286" t="s">
        <v>5618</v>
      </c>
      <c r="M286" t="s">
        <v>5658</v>
      </c>
      <c r="P286" t="s">
        <v>4239</v>
      </c>
      <c r="Q286" t="s">
        <v>4157</v>
      </c>
      <c r="R286" t="s">
        <v>4237</v>
      </c>
      <c r="S286" t="s">
        <v>5610</v>
      </c>
      <c r="T286" t="s">
        <v>5646</v>
      </c>
    </row>
    <row r="287" spans="10:20" x14ac:dyDescent="0.35">
      <c r="J287" t="s">
        <v>6087</v>
      </c>
      <c r="K287" t="s">
        <v>6088</v>
      </c>
      <c r="L287" t="s">
        <v>5625</v>
      </c>
      <c r="M287" t="s">
        <v>1448</v>
      </c>
      <c r="P287" t="s">
        <v>742</v>
      </c>
      <c r="Q287" t="s">
        <v>4658</v>
      </c>
      <c r="R287" t="s">
        <v>1244</v>
      </c>
      <c r="S287" t="s">
        <v>5607</v>
      </c>
      <c r="T287" t="s">
        <v>5650</v>
      </c>
    </row>
    <row r="288" spans="10:20" x14ac:dyDescent="0.35">
      <c r="J288" t="s">
        <v>3324</v>
      </c>
      <c r="K288" t="s">
        <v>6089</v>
      </c>
      <c r="L288" t="s">
        <v>1757</v>
      </c>
      <c r="M288" t="s">
        <v>5658</v>
      </c>
      <c r="P288" s="2" t="s">
        <v>744</v>
      </c>
      <c r="Q288" s="2" t="s">
        <v>4905</v>
      </c>
      <c r="R288" s="2" t="s">
        <v>2196</v>
      </c>
      <c r="S288" t="s">
        <v>1837</v>
      </c>
      <c r="T288" t="s">
        <v>5646</v>
      </c>
    </row>
    <row r="289" spans="10:20" x14ac:dyDescent="0.35">
      <c r="J289" t="s">
        <v>6090</v>
      </c>
      <c r="K289" t="s">
        <v>6091</v>
      </c>
      <c r="L289" t="s">
        <v>5616</v>
      </c>
      <c r="M289" t="s">
        <v>5650</v>
      </c>
      <c r="P289" s="2"/>
      <c r="Q289" s="2" t="s">
        <v>2797</v>
      </c>
      <c r="R289" s="2" t="s">
        <v>5981</v>
      </c>
      <c r="S289" t="s">
        <v>5612</v>
      </c>
      <c r="T289" t="s">
        <v>1448</v>
      </c>
    </row>
    <row r="290" spans="10:20" x14ac:dyDescent="0.35">
      <c r="J290" t="s">
        <v>5776</v>
      </c>
      <c r="K290" t="s">
        <v>6092</v>
      </c>
      <c r="L290" t="s">
        <v>5612</v>
      </c>
      <c r="M290" t="s">
        <v>1448</v>
      </c>
      <c r="P290" t="s">
        <v>750</v>
      </c>
      <c r="Q290" t="s">
        <v>4727</v>
      </c>
      <c r="R290" t="s">
        <v>1546</v>
      </c>
      <c r="S290" t="s">
        <v>5621</v>
      </c>
      <c r="T290" t="s">
        <v>5678</v>
      </c>
    </row>
    <row r="291" spans="10:20" x14ac:dyDescent="0.35">
      <c r="J291" t="s">
        <v>3370</v>
      </c>
      <c r="K291" t="s">
        <v>6093</v>
      </c>
      <c r="L291" t="s">
        <v>5615</v>
      </c>
      <c r="M291" t="s">
        <v>5650</v>
      </c>
      <c r="P291" t="s">
        <v>4116</v>
      </c>
      <c r="Q291" t="s">
        <v>4115</v>
      </c>
      <c r="R291" t="s">
        <v>1779</v>
      </c>
      <c r="S291" t="s">
        <v>5611</v>
      </c>
      <c r="T291" t="s">
        <v>1448</v>
      </c>
    </row>
    <row r="292" spans="10:20" x14ac:dyDescent="0.35">
      <c r="J292" t="s">
        <v>5633</v>
      </c>
      <c r="K292" t="s">
        <v>6094</v>
      </c>
      <c r="L292" t="s">
        <v>5633</v>
      </c>
      <c r="M292" t="s">
        <v>5650</v>
      </c>
      <c r="P292" t="s">
        <v>756</v>
      </c>
      <c r="Q292" t="s">
        <v>4430</v>
      </c>
      <c r="R292" t="s">
        <v>457</v>
      </c>
      <c r="S292" t="s">
        <v>5607</v>
      </c>
      <c r="T292" t="s">
        <v>5650</v>
      </c>
    </row>
    <row r="293" spans="10:20" x14ac:dyDescent="0.35">
      <c r="J293" t="s">
        <v>3398</v>
      </c>
      <c r="K293" t="s">
        <v>6095</v>
      </c>
      <c r="L293" t="s">
        <v>5615</v>
      </c>
      <c r="M293" t="s">
        <v>5650</v>
      </c>
      <c r="P293" t="s">
        <v>758</v>
      </c>
      <c r="Q293" t="s">
        <v>4033</v>
      </c>
      <c r="R293" t="s">
        <v>1986</v>
      </c>
      <c r="S293" t="s">
        <v>5611</v>
      </c>
      <c r="T293" t="s">
        <v>1448</v>
      </c>
    </row>
    <row r="294" spans="10:20" x14ac:dyDescent="0.35">
      <c r="J294" t="s">
        <v>5715</v>
      </c>
      <c r="K294" t="s">
        <v>6096</v>
      </c>
      <c r="L294" t="s">
        <v>5611</v>
      </c>
      <c r="M294" t="s">
        <v>1448</v>
      </c>
      <c r="P294" t="s">
        <v>4549</v>
      </c>
      <c r="Q294" t="s">
        <v>4548</v>
      </c>
      <c r="R294" t="s">
        <v>5791</v>
      </c>
      <c r="S294" t="s">
        <v>5621</v>
      </c>
      <c r="T294" t="s">
        <v>5678</v>
      </c>
    </row>
    <row r="295" spans="10:20" x14ac:dyDescent="0.35">
      <c r="J295" t="s">
        <v>3411</v>
      </c>
      <c r="K295" t="s">
        <v>6097</v>
      </c>
      <c r="L295" t="s">
        <v>5618</v>
      </c>
      <c r="M295" t="s">
        <v>5658</v>
      </c>
      <c r="P295" t="s">
        <v>5092</v>
      </c>
      <c r="Q295" t="s">
        <v>5091</v>
      </c>
      <c r="R295" t="s">
        <v>5972</v>
      </c>
      <c r="S295" t="s">
        <v>5614</v>
      </c>
      <c r="T295" t="s">
        <v>5646</v>
      </c>
    </row>
    <row r="296" spans="10:20" x14ac:dyDescent="0.35">
      <c r="J296" t="s">
        <v>3421</v>
      </c>
      <c r="K296" t="s">
        <v>6098</v>
      </c>
      <c r="L296" t="s">
        <v>5625</v>
      </c>
      <c r="M296" t="s">
        <v>1448</v>
      </c>
      <c r="P296" t="s">
        <v>768</v>
      </c>
      <c r="Q296" t="s">
        <v>4428</v>
      </c>
      <c r="R296" t="s">
        <v>457</v>
      </c>
      <c r="S296" t="s">
        <v>5607</v>
      </c>
      <c r="T296" t="s">
        <v>5650</v>
      </c>
    </row>
    <row r="297" spans="10:20" x14ac:dyDescent="0.35">
      <c r="J297" t="s">
        <v>5682</v>
      </c>
      <c r="K297" t="s">
        <v>6099</v>
      </c>
      <c r="L297" t="s">
        <v>5614</v>
      </c>
      <c r="M297" t="s">
        <v>5646</v>
      </c>
      <c r="P297" t="s">
        <v>770</v>
      </c>
      <c r="Q297" t="s">
        <v>4308</v>
      </c>
      <c r="R297" t="s">
        <v>4228</v>
      </c>
      <c r="S297" t="s">
        <v>5619</v>
      </c>
      <c r="T297" t="s">
        <v>5646</v>
      </c>
    </row>
    <row r="298" spans="10:20" x14ac:dyDescent="0.35">
      <c r="J298" t="s">
        <v>6100</v>
      </c>
      <c r="K298" t="s">
        <v>6101</v>
      </c>
      <c r="L298" t="s">
        <v>5616</v>
      </c>
      <c r="M298" t="s">
        <v>5650</v>
      </c>
      <c r="P298" s="2" t="s">
        <v>4206</v>
      </c>
      <c r="Q298" s="2" t="s">
        <v>5403</v>
      </c>
      <c r="R298" s="2" t="s">
        <v>5776</v>
      </c>
      <c r="S298" t="s">
        <v>5612</v>
      </c>
      <c r="T298" t="s">
        <v>1448</v>
      </c>
    </row>
    <row r="299" spans="10:20" x14ac:dyDescent="0.35">
      <c r="J299" t="s">
        <v>3479</v>
      </c>
      <c r="K299" t="s">
        <v>6102</v>
      </c>
      <c r="L299" t="s">
        <v>5623</v>
      </c>
      <c r="M299" t="s">
        <v>5658</v>
      </c>
      <c r="P299" s="2"/>
      <c r="Q299" s="2" t="s">
        <v>4931</v>
      </c>
      <c r="R299" s="2" t="s">
        <v>5799</v>
      </c>
      <c r="S299" t="s">
        <v>5607</v>
      </c>
      <c r="T299" t="s">
        <v>5650</v>
      </c>
    </row>
    <row r="300" spans="10:20" x14ac:dyDescent="0.35">
      <c r="J300" t="s">
        <v>6103</v>
      </c>
      <c r="K300" t="s">
        <v>6104</v>
      </c>
      <c r="L300" t="s">
        <v>5616</v>
      </c>
      <c r="M300" t="s">
        <v>5650</v>
      </c>
      <c r="P300" s="2"/>
      <c r="Q300" s="2" t="s">
        <v>4157</v>
      </c>
      <c r="R300" s="2" t="s">
        <v>70</v>
      </c>
      <c r="S300" t="s">
        <v>1837</v>
      </c>
      <c r="T300" t="s">
        <v>5646</v>
      </c>
    </row>
    <row r="301" spans="10:20" x14ac:dyDescent="0.35">
      <c r="J301" t="s">
        <v>6105</v>
      </c>
      <c r="K301" t="s">
        <v>6106</v>
      </c>
      <c r="L301" t="s">
        <v>3155</v>
      </c>
      <c r="M301" t="s">
        <v>5668</v>
      </c>
      <c r="P301" t="s">
        <v>779</v>
      </c>
      <c r="Q301" t="s">
        <v>4157</v>
      </c>
      <c r="R301" t="s">
        <v>3549</v>
      </c>
      <c r="S301" t="s">
        <v>5615</v>
      </c>
      <c r="T301" t="s">
        <v>5650</v>
      </c>
    </row>
    <row r="302" spans="10:20" x14ac:dyDescent="0.35">
      <c r="J302" t="s">
        <v>5811</v>
      </c>
      <c r="K302" t="s">
        <v>6107</v>
      </c>
      <c r="L302" t="s">
        <v>5615</v>
      </c>
      <c r="M302" t="s">
        <v>5650</v>
      </c>
      <c r="P302" t="s">
        <v>784</v>
      </c>
      <c r="Q302" t="s">
        <v>4431</v>
      </c>
      <c r="R302" t="s">
        <v>457</v>
      </c>
      <c r="S302" t="s">
        <v>5607</v>
      </c>
      <c r="T302" t="s">
        <v>5650</v>
      </c>
    </row>
    <row r="303" spans="10:20" x14ac:dyDescent="0.35">
      <c r="J303" t="s">
        <v>3498</v>
      </c>
      <c r="K303" t="s">
        <v>6108</v>
      </c>
      <c r="L303" t="s">
        <v>5618</v>
      </c>
      <c r="M303" t="s">
        <v>5658</v>
      </c>
      <c r="P303" t="s">
        <v>786</v>
      </c>
      <c r="Q303" t="s">
        <v>5306</v>
      </c>
      <c r="R303" t="s">
        <v>3032</v>
      </c>
      <c r="S303" t="s">
        <v>5619</v>
      </c>
      <c r="T303" t="s">
        <v>5646</v>
      </c>
    </row>
    <row r="304" spans="10:20" x14ac:dyDescent="0.35">
      <c r="J304" t="s">
        <v>6109</v>
      </c>
      <c r="K304" t="s">
        <v>6110</v>
      </c>
      <c r="L304" t="s">
        <v>5625</v>
      </c>
      <c r="M304" t="s">
        <v>1448</v>
      </c>
      <c r="P304" t="s">
        <v>789</v>
      </c>
      <c r="Q304" t="s">
        <v>5114</v>
      </c>
      <c r="R304" t="s">
        <v>5981</v>
      </c>
      <c r="S304" t="s">
        <v>5612</v>
      </c>
      <c r="T304" t="s">
        <v>1448</v>
      </c>
    </row>
    <row r="305" spans="10:20" x14ac:dyDescent="0.35">
      <c r="J305" t="s">
        <v>6111</v>
      </c>
      <c r="K305" t="s">
        <v>6112</v>
      </c>
      <c r="L305" t="s">
        <v>5615</v>
      </c>
      <c r="M305" t="s">
        <v>5650</v>
      </c>
      <c r="P305" t="s">
        <v>791</v>
      </c>
      <c r="Q305" t="s">
        <v>4559</v>
      </c>
      <c r="R305" t="s">
        <v>5796</v>
      </c>
      <c r="S305" t="s">
        <v>5614</v>
      </c>
      <c r="T305" t="s">
        <v>5646</v>
      </c>
    </row>
    <row r="306" spans="10:20" x14ac:dyDescent="0.35">
      <c r="J306" t="s">
        <v>6113</v>
      </c>
      <c r="K306" t="s">
        <v>6114</v>
      </c>
      <c r="L306" t="s">
        <v>5625</v>
      </c>
      <c r="M306" t="s">
        <v>1448</v>
      </c>
      <c r="P306" t="s">
        <v>793</v>
      </c>
      <c r="Q306" t="s">
        <v>4628</v>
      </c>
      <c r="R306" t="s">
        <v>1184</v>
      </c>
      <c r="S306" t="s">
        <v>5615</v>
      </c>
      <c r="T306" t="s">
        <v>5650</v>
      </c>
    </row>
    <row r="307" spans="10:20" x14ac:dyDescent="0.35">
      <c r="J307" t="s">
        <v>6115</v>
      </c>
      <c r="K307" t="s">
        <v>6116</v>
      </c>
      <c r="L307" t="s">
        <v>5628</v>
      </c>
      <c r="M307" t="s">
        <v>5668</v>
      </c>
      <c r="P307" t="s">
        <v>796</v>
      </c>
      <c r="Q307" t="s">
        <v>5484</v>
      </c>
      <c r="R307" t="s">
        <v>3691</v>
      </c>
      <c r="S307" t="s">
        <v>5615</v>
      </c>
      <c r="T307" t="s">
        <v>5650</v>
      </c>
    </row>
    <row r="308" spans="10:20" x14ac:dyDescent="0.35">
      <c r="J308" t="s">
        <v>3549</v>
      </c>
      <c r="K308" t="s">
        <v>6117</v>
      </c>
      <c r="L308" t="s">
        <v>5615</v>
      </c>
      <c r="M308" t="s">
        <v>5650</v>
      </c>
      <c r="P308" t="s">
        <v>798</v>
      </c>
      <c r="Q308" t="s">
        <v>4554</v>
      </c>
      <c r="R308" t="s">
        <v>773</v>
      </c>
      <c r="S308" t="s">
        <v>5614</v>
      </c>
      <c r="T308" t="s">
        <v>5646</v>
      </c>
    </row>
    <row r="309" spans="10:20" x14ac:dyDescent="0.35">
      <c r="J309" t="s">
        <v>6118</v>
      </c>
      <c r="K309" t="s">
        <v>6119</v>
      </c>
      <c r="L309" t="s">
        <v>5621</v>
      </c>
      <c r="M309" t="s">
        <v>5678</v>
      </c>
      <c r="P309" t="s">
        <v>800</v>
      </c>
      <c r="Q309" t="s">
        <v>4716</v>
      </c>
      <c r="R309" t="s">
        <v>1522</v>
      </c>
      <c r="S309" t="s">
        <v>5610</v>
      </c>
      <c r="T309" t="s">
        <v>5646</v>
      </c>
    </row>
    <row r="310" spans="10:20" x14ac:dyDescent="0.35">
      <c r="J310" t="s">
        <v>6120</v>
      </c>
      <c r="K310" t="s">
        <v>6121</v>
      </c>
      <c r="L310" t="s">
        <v>5615</v>
      </c>
      <c r="M310" t="s">
        <v>5650</v>
      </c>
      <c r="P310" t="s">
        <v>4678</v>
      </c>
      <c r="Q310" t="s">
        <v>4677</v>
      </c>
      <c r="R310" t="s">
        <v>1349</v>
      </c>
      <c r="S310" t="s">
        <v>5607</v>
      </c>
      <c r="T310" t="s">
        <v>5650</v>
      </c>
    </row>
    <row r="311" spans="10:20" x14ac:dyDescent="0.35">
      <c r="J311" t="s">
        <v>3576</v>
      </c>
      <c r="K311" t="s">
        <v>6122</v>
      </c>
      <c r="L311" t="s">
        <v>1837</v>
      </c>
      <c r="M311" t="s">
        <v>5646</v>
      </c>
      <c r="P311" t="s">
        <v>807</v>
      </c>
      <c r="Q311" t="s">
        <v>5435</v>
      </c>
      <c r="R311" t="s">
        <v>5682</v>
      </c>
      <c r="S311" t="s">
        <v>5614</v>
      </c>
      <c r="T311" t="s">
        <v>5646</v>
      </c>
    </row>
    <row r="312" spans="10:20" x14ac:dyDescent="0.35">
      <c r="J312" t="s">
        <v>3587</v>
      </c>
      <c r="K312" t="s">
        <v>6123</v>
      </c>
      <c r="L312" t="s">
        <v>1837</v>
      </c>
      <c r="M312" t="s">
        <v>5646</v>
      </c>
      <c r="P312" t="s">
        <v>809</v>
      </c>
      <c r="Q312" t="s">
        <v>5178</v>
      </c>
      <c r="R312" t="s">
        <v>5667</v>
      </c>
      <c r="S312" t="s">
        <v>5619</v>
      </c>
      <c r="T312" t="s">
        <v>5646</v>
      </c>
    </row>
    <row r="313" spans="10:20" x14ac:dyDescent="0.35">
      <c r="J313" t="s">
        <v>6124</v>
      </c>
      <c r="K313" t="s">
        <v>6125</v>
      </c>
      <c r="L313" t="s">
        <v>5625</v>
      </c>
      <c r="M313" t="s">
        <v>1448</v>
      </c>
      <c r="P313" t="s">
        <v>4233</v>
      </c>
      <c r="Q313" t="s">
        <v>4157</v>
      </c>
      <c r="R313" t="s">
        <v>2814</v>
      </c>
      <c r="S313" t="s">
        <v>5619</v>
      </c>
      <c r="T313" t="s">
        <v>5646</v>
      </c>
    </row>
    <row r="314" spans="10:20" x14ac:dyDescent="0.35">
      <c r="J314" t="s">
        <v>6126</v>
      </c>
      <c r="K314" t="s">
        <v>6127</v>
      </c>
      <c r="L314" t="s">
        <v>5632</v>
      </c>
      <c r="M314" t="s">
        <v>5650</v>
      </c>
      <c r="P314" t="s">
        <v>4236</v>
      </c>
      <c r="Q314" t="s">
        <v>4157</v>
      </c>
      <c r="R314" t="s">
        <v>4237</v>
      </c>
      <c r="S314" t="s">
        <v>5610</v>
      </c>
      <c r="T314" t="s">
        <v>5646</v>
      </c>
    </row>
    <row r="315" spans="10:20" x14ac:dyDescent="0.35">
      <c r="J315" t="s">
        <v>5828</v>
      </c>
      <c r="K315" t="s">
        <v>6128</v>
      </c>
      <c r="L315" t="s">
        <v>5611</v>
      </c>
      <c r="M315" t="s">
        <v>1448</v>
      </c>
      <c r="P315" t="s">
        <v>818</v>
      </c>
      <c r="Q315" t="s">
        <v>5293</v>
      </c>
      <c r="R315" t="s">
        <v>5798</v>
      </c>
      <c r="S315" t="s">
        <v>5615</v>
      </c>
      <c r="T315" t="s">
        <v>5650</v>
      </c>
    </row>
    <row r="316" spans="10:20" x14ac:dyDescent="0.35">
      <c r="J316" t="s">
        <v>3632</v>
      </c>
      <c r="K316" t="s">
        <v>6129</v>
      </c>
      <c r="L316" t="s">
        <v>5609</v>
      </c>
      <c r="M316" t="s">
        <v>5658</v>
      </c>
      <c r="P316" t="s">
        <v>827</v>
      </c>
      <c r="Q316" t="s">
        <v>5495</v>
      </c>
      <c r="R316" t="s">
        <v>6083</v>
      </c>
      <c r="S316" t="s">
        <v>5619</v>
      </c>
      <c r="T316" t="s">
        <v>5646</v>
      </c>
    </row>
    <row r="317" spans="10:20" x14ac:dyDescent="0.35">
      <c r="J317" t="s">
        <v>6130</v>
      </c>
      <c r="K317" t="s">
        <v>6131</v>
      </c>
      <c r="L317" t="s">
        <v>5625</v>
      </c>
      <c r="M317" t="s">
        <v>1448</v>
      </c>
      <c r="P317" t="s">
        <v>831</v>
      </c>
      <c r="Q317" t="s">
        <v>4310</v>
      </c>
      <c r="R317" t="s">
        <v>283</v>
      </c>
      <c r="S317" t="s">
        <v>5615</v>
      </c>
      <c r="T317" t="s">
        <v>5650</v>
      </c>
    </row>
    <row r="318" spans="10:20" x14ac:dyDescent="0.35">
      <c r="J318" t="s">
        <v>6132</v>
      </c>
      <c r="K318" t="s">
        <v>6133</v>
      </c>
      <c r="L318" t="s">
        <v>5624</v>
      </c>
      <c r="M318" t="s">
        <v>5650</v>
      </c>
      <c r="P318" t="s">
        <v>4178</v>
      </c>
      <c r="Q318" t="s">
        <v>4157</v>
      </c>
      <c r="R318" t="s">
        <v>719</v>
      </c>
      <c r="S318" t="s">
        <v>5606</v>
      </c>
      <c r="T318" t="s">
        <v>5646</v>
      </c>
    </row>
    <row r="319" spans="10:20" x14ac:dyDescent="0.35">
      <c r="J319" t="s">
        <v>6134</v>
      </c>
      <c r="K319" t="s">
        <v>6135</v>
      </c>
      <c r="L319" t="s">
        <v>5611</v>
      </c>
      <c r="M319" t="s">
        <v>1448</v>
      </c>
      <c r="P319" t="s">
        <v>835</v>
      </c>
      <c r="Q319" t="s">
        <v>834</v>
      </c>
      <c r="R319" t="s">
        <v>719</v>
      </c>
      <c r="S319" t="s">
        <v>5606</v>
      </c>
      <c r="T319" t="s">
        <v>5646</v>
      </c>
    </row>
    <row r="320" spans="10:20" x14ac:dyDescent="0.35">
      <c r="J320" t="s">
        <v>3691</v>
      </c>
      <c r="K320" t="s">
        <v>6136</v>
      </c>
      <c r="L320" t="s">
        <v>5615</v>
      </c>
      <c r="M320" t="s">
        <v>5650</v>
      </c>
      <c r="P320" t="s">
        <v>837</v>
      </c>
      <c r="Q320" t="s">
        <v>4562</v>
      </c>
      <c r="R320" t="s">
        <v>837</v>
      </c>
      <c r="S320" t="s">
        <v>5623</v>
      </c>
      <c r="T320" t="s">
        <v>5658</v>
      </c>
    </row>
    <row r="321" spans="10:20" x14ac:dyDescent="0.35">
      <c r="J321" t="s">
        <v>5906</v>
      </c>
      <c r="K321" t="s">
        <v>6137</v>
      </c>
      <c r="L321" t="s">
        <v>5609</v>
      </c>
      <c r="M321" t="s">
        <v>5658</v>
      </c>
      <c r="P321" s="2" t="s">
        <v>839</v>
      </c>
      <c r="Q321" s="2" t="s">
        <v>4710</v>
      </c>
      <c r="R321" s="2" t="s">
        <v>5850</v>
      </c>
      <c r="S321" t="s">
        <v>5609</v>
      </c>
      <c r="T321" t="s">
        <v>5658</v>
      </c>
    </row>
    <row r="322" spans="10:20" x14ac:dyDescent="0.35">
      <c r="J322" t="s">
        <v>5997</v>
      </c>
      <c r="K322" t="s">
        <v>6138</v>
      </c>
      <c r="L322" t="s">
        <v>5611</v>
      </c>
      <c r="M322" t="s">
        <v>1448</v>
      </c>
      <c r="P322" s="2"/>
      <c r="Q322" s="2" t="s">
        <v>4687</v>
      </c>
      <c r="R322" s="2" t="s">
        <v>1375</v>
      </c>
      <c r="S322" t="s">
        <v>5607</v>
      </c>
      <c r="T322" t="s">
        <v>5650</v>
      </c>
    </row>
    <row r="323" spans="10:20" x14ac:dyDescent="0.35">
      <c r="J323" t="s">
        <v>6083</v>
      </c>
      <c r="K323" t="s">
        <v>6139</v>
      </c>
      <c r="L323" t="s">
        <v>5619</v>
      </c>
      <c r="M323" t="s">
        <v>5646</v>
      </c>
      <c r="P323" s="2"/>
      <c r="Q323" s="2" t="s">
        <v>4825</v>
      </c>
      <c r="R323" s="2" t="s">
        <v>5909</v>
      </c>
      <c r="S323" t="s">
        <v>5619</v>
      </c>
      <c r="T323" t="s">
        <v>5646</v>
      </c>
    </row>
    <row r="324" spans="10:20" x14ac:dyDescent="0.35">
      <c r="J324" t="s">
        <v>3702</v>
      </c>
      <c r="K324" t="s">
        <v>6140</v>
      </c>
      <c r="L324" t="s">
        <v>5619</v>
      </c>
      <c r="M324" t="s">
        <v>5646</v>
      </c>
      <c r="P324" t="s">
        <v>847</v>
      </c>
      <c r="Q324" t="s">
        <v>4981</v>
      </c>
      <c r="R324" t="s">
        <v>5609</v>
      </c>
      <c r="S324" t="s">
        <v>5609</v>
      </c>
      <c r="T324" t="s">
        <v>5658</v>
      </c>
    </row>
    <row r="325" spans="10:20" x14ac:dyDescent="0.35">
      <c r="J325" t="s">
        <v>6141</v>
      </c>
      <c r="K325" t="s">
        <v>6142</v>
      </c>
      <c r="L325" t="s">
        <v>5630</v>
      </c>
      <c r="M325" t="s">
        <v>5644</v>
      </c>
      <c r="P325" s="2" t="s">
        <v>851</v>
      </c>
      <c r="Q325" s="2" t="s">
        <v>5369</v>
      </c>
      <c r="R325" s="2" t="s">
        <v>5779</v>
      </c>
      <c r="S325" t="s">
        <v>1837</v>
      </c>
      <c r="T325" t="s">
        <v>5646</v>
      </c>
    </row>
    <row r="326" spans="10:20" x14ac:dyDescent="0.35">
      <c r="J326" t="s">
        <v>3729</v>
      </c>
      <c r="K326" t="s">
        <v>6143</v>
      </c>
      <c r="L326" t="s">
        <v>5608</v>
      </c>
      <c r="M326" t="s">
        <v>5678</v>
      </c>
      <c r="P326" s="2"/>
      <c r="Q326" s="2" t="s">
        <v>4500</v>
      </c>
      <c r="R326" s="2" t="s">
        <v>5607</v>
      </c>
      <c r="S326" t="s">
        <v>5607</v>
      </c>
      <c r="T326" t="s">
        <v>5650</v>
      </c>
    </row>
    <row r="327" spans="10:20" x14ac:dyDescent="0.35">
      <c r="J327" t="s">
        <v>3747</v>
      </c>
      <c r="K327" t="s">
        <v>6144</v>
      </c>
      <c r="L327" t="s">
        <v>5618</v>
      </c>
      <c r="M327" t="s">
        <v>5658</v>
      </c>
      <c r="P327" t="s">
        <v>855</v>
      </c>
      <c r="Q327" t="s">
        <v>4564</v>
      </c>
      <c r="R327" t="s">
        <v>855</v>
      </c>
      <c r="S327" t="s">
        <v>5615</v>
      </c>
      <c r="T327" t="s">
        <v>5650</v>
      </c>
    </row>
    <row r="328" spans="10:20" x14ac:dyDescent="0.35">
      <c r="J328" t="s">
        <v>3752</v>
      </c>
      <c r="K328" t="s">
        <v>6145</v>
      </c>
      <c r="L328" t="s">
        <v>5618</v>
      </c>
      <c r="M328" t="s">
        <v>5658</v>
      </c>
      <c r="P328" t="s">
        <v>859</v>
      </c>
      <c r="Q328" t="s">
        <v>4619</v>
      </c>
      <c r="R328" t="s">
        <v>5823</v>
      </c>
      <c r="S328" t="s">
        <v>1837</v>
      </c>
      <c r="T328" t="s">
        <v>5646</v>
      </c>
    </row>
    <row r="329" spans="10:20" x14ac:dyDescent="0.35">
      <c r="J329" t="s">
        <v>3756</v>
      </c>
      <c r="K329" t="s">
        <v>6146</v>
      </c>
      <c r="L329" t="s">
        <v>5608</v>
      </c>
      <c r="M329" t="s">
        <v>5678</v>
      </c>
      <c r="P329" t="s">
        <v>861</v>
      </c>
      <c r="Q329" t="s">
        <v>4062</v>
      </c>
      <c r="R329" t="s">
        <v>5719</v>
      </c>
      <c r="S329" t="s">
        <v>5607</v>
      </c>
      <c r="T329" t="s">
        <v>5650</v>
      </c>
    </row>
    <row r="330" spans="10:20" x14ac:dyDescent="0.35">
      <c r="J330" t="s">
        <v>5610</v>
      </c>
      <c r="K330" t="s">
        <v>6147</v>
      </c>
      <c r="L330" t="s">
        <v>5610</v>
      </c>
      <c r="M330" t="s">
        <v>5646</v>
      </c>
      <c r="P330" t="s">
        <v>865</v>
      </c>
      <c r="Q330" t="s">
        <v>4088</v>
      </c>
      <c r="R330" t="s">
        <v>2017</v>
      </c>
      <c r="S330" t="s">
        <v>1837</v>
      </c>
      <c r="T330" t="s">
        <v>5646</v>
      </c>
    </row>
    <row r="331" spans="10:20" x14ac:dyDescent="0.35">
      <c r="J331" t="s">
        <v>3776</v>
      </c>
      <c r="K331" t="s">
        <v>6148</v>
      </c>
      <c r="L331" t="s">
        <v>1837</v>
      </c>
      <c r="M331" t="s">
        <v>5646</v>
      </c>
      <c r="P331" t="s">
        <v>867</v>
      </c>
      <c r="Q331" t="s">
        <v>4274</v>
      </c>
      <c r="R331" t="s">
        <v>70</v>
      </c>
      <c r="S331" t="s">
        <v>1837</v>
      </c>
      <c r="T331" t="s">
        <v>5646</v>
      </c>
    </row>
    <row r="332" spans="10:20" x14ac:dyDescent="0.35">
      <c r="J332" t="s">
        <v>6149</v>
      </c>
      <c r="K332" t="s">
        <v>6150</v>
      </c>
      <c r="L332" t="s">
        <v>5614</v>
      </c>
      <c r="M332" t="s">
        <v>5646</v>
      </c>
      <c r="P332" s="2" t="s">
        <v>869</v>
      </c>
      <c r="Q332" s="2" t="s">
        <v>4819</v>
      </c>
      <c r="R332" s="2" t="s">
        <v>1910</v>
      </c>
      <c r="S332" t="s">
        <v>1837</v>
      </c>
      <c r="T332" t="s">
        <v>5646</v>
      </c>
    </row>
    <row r="333" spans="10:20" x14ac:dyDescent="0.35">
      <c r="J333" t="s">
        <v>3824</v>
      </c>
      <c r="K333" t="s">
        <v>6122</v>
      </c>
      <c r="L333" t="s">
        <v>1837</v>
      </c>
      <c r="M333" t="s">
        <v>5646</v>
      </c>
      <c r="P333" s="2"/>
      <c r="Q333" s="2" t="s">
        <v>4157</v>
      </c>
      <c r="R333" s="2" t="s">
        <v>2694</v>
      </c>
      <c r="S333" t="s">
        <v>5615</v>
      </c>
      <c r="T333" t="s">
        <v>5650</v>
      </c>
    </row>
    <row r="334" spans="10:20" x14ac:dyDescent="0.35">
      <c r="J334" t="s">
        <v>3836</v>
      </c>
      <c r="K334" t="s">
        <v>6151</v>
      </c>
      <c r="L334" t="s">
        <v>5611</v>
      </c>
      <c r="M334" t="s">
        <v>1448</v>
      </c>
      <c r="P334" s="2" t="s">
        <v>874</v>
      </c>
      <c r="Q334" s="2" t="s">
        <v>4932</v>
      </c>
      <c r="R334" s="2" t="s">
        <v>5799</v>
      </c>
      <c r="S334" t="s">
        <v>5607</v>
      </c>
      <c r="T334" t="s">
        <v>5650</v>
      </c>
    </row>
    <row r="335" spans="10:20" x14ac:dyDescent="0.35">
      <c r="J335" t="s">
        <v>5618</v>
      </c>
      <c r="K335" t="s">
        <v>6152</v>
      </c>
      <c r="L335" t="s">
        <v>5618</v>
      </c>
      <c r="M335" t="s">
        <v>5658</v>
      </c>
      <c r="P335" s="2"/>
      <c r="Q335" s="2" t="s">
        <v>5174</v>
      </c>
      <c r="R335" s="2" t="s">
        <v>2723</v>
      </c>
      <c r="S335" t="s">
        <v>5612</v>
      </c>
      <c r="T335" t="s">
        <v>1448</v>
      </c>
    </row>
    <row r="336" spans="10:20" x14ac:dyDescent="0.35">
      <c r="J336" t="s">
        <v>6153</v>
      </c>
      <c r="K336" t="s">
        <v>6154</v>
      </c>
      <c r="L336" t="s">
        <v>5618</v>
      </c>
      <c r="M336" t="s">
        <v>5658</v>
      </c>
      <c r="P336" t="s">
        <v>4271</v>
      </c>
      <c r="Q336" t="s">
        <v>4157</v>
      </c>
      <c r="R336" t="s">
        <v>5746</v>
      </c>
      <c r="S336" t="s">
        <v>5607</v>
      </c>
      <c r="T336" t="s">
        <v>5650</v>
      </c>
    </row>
    <row r="337" spans="10:20" x14ac:dyDescent="0.35">
      <c r="J337" t="s">
        <v>6155</v>
      </c>
      <c r="K337" t="s">
        <v>6156</v>
      </c>
      <c r="L337" t="s">
        <v>5608</v>
      </c>
      <c r="M337" t="s">
        <v>5678</v>
      </c>
      <c r="P337" s="2" t="s">
        <v>883</v>
      </c>
      <c r="Q337" s="2" t="s">
        <v>881</v>
      </c>
      <c r="R337" s="2" t="s">
        <v>457</v>
      </c>
      <c r="S337" t="s">
        <v>5607</v>
      </c>
      <c r="T337" t="s">
        <v>5650</v>
      </c>
    </row>
    <row r="338" spans="10:20" x14ac:dyDescent="0.35">
      <c r="J338" t="s">
        <v>6157</v>
      </c>
      <c r="K338" t="s">
        <v>6158</v>
      </c>
      <c r="L338" t="s">
        <v>5627</v>
      </c>
      <c r="M338" t="s">
        <v>5639</v>
      </c>
      <c r="P338" s="2"/>
      <c r="Q338" s="2" t="s">
        <v>4045</v>
      </c>
      <c r="R338" s="2" t="s">
        <v>5746</v>
      </c>
      <c r="S338" t="s">
        <v>5607</v>
      </c>
      <c r="T338" t="s">
        <v>5650</v>
      </c>
    </row>
    <row r="339" spans="10:20" x14ac:dyDescent="0.35">
      <c r="J339" t="s">
        <v>3893</v>
      </c>
      <c r="K339" t="s">
        <v>6159</v>
      </c>
      <c r="L339" t="s">
        <v>5617</v>
      </c>
      <c r="M339" t="s">
        <v>5658</v>
      </c>
      <c r="P339" t="s">
        <v>885</v>
      </c>
      <c r="Q339" t="s">
        <v>5591</v>
      </c>
      <c r="R339" t="s">
        <v>3938</v>
      </c>
      <c r="S339" t="s">
        <v>5607</v>
      </c>
      <c r="T339" t="s">
        <v>5650</v>
      </c>
    </row>
    <row r="340" spans="10:20" x14ac:dyDescent="0.35">
      <c r="J340" s="2" t="s">
        <v>3897</v>
      </c>
      <c r="K340" s="2" t="s">
        <v>6160</v>
      </c>
      <c r="L340" t="s">
        <v>5609</v>
      </c>
      <c r="M340" t="s">
        <v>5658</v>
      </c>
      <c r="P340" t="s">
        <v>888</v>
      </c>
      <c r="Q340" t="s">
        <v>5375</v>
      </c>
      <c r="R340" t="s">
        <v>5779</v>
      </c>
      <c r="S340" t="s">
        <v>1837</v>
      </c>
      <c r="T340" t="s">
        <v>5646</v>
      </c>
    </row>
    <row r="341" spans="10:20" x14ac:dyDescent="0.35">
      <c r="J341" s="2"/>
      <c r="K341" s="2" t="s">
        <v>6161</v>
      </c>
      <c r="L341" t="s">
        <v>5608</v>
      </c>
      <c r="M341" t="s">
        <v>5678</v>
      </c>
      <c r="P341" t="s">
        <v>890</v>
      </c>
      <c r="Q341" t="s">
        <v>5333</v>
      </c>
      <c r="R341" t="s">
        <v>3101</v>
      </c>
      <c r="S341" t="s">
        <v>5610</v>
      </c>
      <c r="T341" t="s">
        <v>5646</v>
      </c>
    </row>
    <row r="342" spans="10:20" x14ac:dyDescent="0.35">
      <c r="J342" t="s">
        <v>3901</v>
      </c>
      <c r="K342" t="s">
        <v>6162</v>
      </c>
      <c r="L342" t="s">
        <v>5609</v>
      </c>
      <c r="M342" t="s">
        <v>5658</v>
      </c>
      <c r="P342" t="s">
        <v>892</v>
      </c>
      <c r="Q342" t="s">
        <v>5314</v>
      </c>
      <c r="R342" t="s">
        <v>6045</v>
      </c>
      <c r="S342" t="s">
        <v>5611</v>
      </c>
      <c r="T342" t="s">
        <v>1448</v>
      </c>
    </row>
    <row r="343" spans="10:20" x14ac:dyDescent="0.35">
      <c r="J343" t="s">
        <v>3903</v>
      </c>
      <c r="K343" t="s">
        <v>6163</v>
      </c>
      <c r="L343" t="s">
        <v>5618</v>
      </c>
      <c r="M343" t="s">
        <v>5658</v>
      </c>
      <c r="P343" t="s">
        <v>894</v>
      </c>
      <c r="Q343" t="s">
        <v>4038</v>
      </c>
      <c r="R343" t="s">
        <v>3126</v>
      </c>
      <c r="S343" t="s">
        <v>5615</v>
      </c>
      <c r="T343" t="s">
        <v>5650</v>
      </c>
    </row>
    <row r="344" spans="10:20" x14ac:dyDescent="0.35">
      <c r="J344" t="s">
        <v>6164</v>
      </c>
      <c r="K344" t="s">
        <v>6165</v>
      </c>
      <c r="L344" t="s">
        <v>1837</v>
      </c>
      <c r="M344" t="s">
        <v>5646</v>
      </c>
      <c r="P344" t="s">
        <v>898</v>
      </c>
      <c r="Q344" t="s">
        <v>4311</v>
      </c>
      <c r="R344" t="s">
        <v>283</v>
      </c>
      <c r="S344" t="s">
        <v>5615</v>
      </c>
      <c r="T344" t="s">
        <v>5650</v>
      </c>
    </row>
    <row r="345" spans="10:20" x14ac:dyDescent="0.35">
      <c r="J345" t="s">
        <v>3911</v>
      </c>
      <c r="K345" t="s">
        <v>6166</v>
      </c>
      <c r="L345" t="s">
        <v>5617</v>
      </c>
      <c r="M345" t="s">
        <v>5658</v>
      </c>
      <c r="P345" t="s">
        <v>900</v>
      </c>
      <c r="Q345" t="s">
        <v>4753</v>
      </c>
      <c r="R345" t="s">
        <v>5888</v>
      </c>
      <c r="S345" t="s">
        <v>5619</v>
      </c>
      <c r="T345" t="s">
        <v>5646</v>
      </c>
    </row>
    <row r="346" spans="10:20" x14ac:dyDescent="0.35">
      <c r="J346" t="s">
        <v>3917</v>
      </c>
      <c r="K346" t="s">
        <v>6167</v>
      </c>
      <c r="L346" t="s">
        <v>5609</v>
      </c>
      <c r="M346" t="s">
        <v>5658</v>
      </c>
      <c r="P346" s="2" t="s">
        <v>902</v>
      </c>
      <c r="Q346" s="2" t="s">
        <v>4156</v>
      </c>
      <c r="R346" s="2" t="s">
        <v>5746</v>
      </c>
      <c r="S346" s="2" t="s">
        <v>5607</v>
      </c>
      <c r="T346" s="2" t="s">
        <v>5650</v>
      </c>
    </row>
    <row r="347" spans="10:20" x14ac:dyDescent="0.35">
      <c r="J347" t="s">
        <v>3924</v>
      </c>
      <c r="K347" t="s">
        <v>6168</v>
      </c>
      <c r="L347" t="s">
        <v>5618</v>
      </c>
      <c r="M347" t="s">
        <v>5658</v>
      </c>
      <c r="P347" s="2"/>
      <c r="Q347" s="2" t="s">
        <v>4157</v>
      </c>
      <c r="R347" s="2" t="s">
        <v>5746</v>
      </c>
      <c r="S347" s="2" t="s">
        <v>5607</v>
      </c>
      <c r="T347" s="2" t="s">
        <v>5650</v>
      </c>
    </row>
    <row r="348" spans="10:20" x14ac:dyDescent="0.35">
      <c r="J348" t="s">
        <v>3938</v>
      </c>
      <c r="K348" t="s">
        <v>6169</v>
      </c>
      <c r="L348" t="s">
        <v>5607</v>
      </c>
      <c r="M348" t="s">
        <v>5650</v>
      </c>
      <c r="P348" t="s">
        <v>905</v>
      </c>
      <c r="Q348" t="s">
        <v>4348</v>
      </c>
      <c r="R348" t="s">
        <v>5732</v>
      </c>
      <c r="S348" t="s">
        <v>5614</v>
      </c>
      <c r="T348" t="s">
        <v>5646</v>
      </c>
    </row>
    <row r="349" spans="10:20" x14ac:dyDescent="0.35">
      <c r="J349" t="s">
        <v>3945</v>
      </c>
      <c r="K349" t="s">
        <v>6170</v>
      </c>
      <c r="L349" t="s">
        <v>5618</v>
      </c>
      <c r="M349" t="s">
        <v>5658</v>
      </c>
      <c r="P349" t="s">
        <v>907</v>
      </c>
      <c r="Q349" t="s">
        <v>4492</v>
      </c>
      <c r="R349" t="s">
        <v>5607</v>
      </c>
      <c r="S349" t="s">
        <v>5607</v>
      </c>
      <c r="T349" t="s">
        <v>5650</v>
      </c>
    </row>
    <row r="350" spans="10:20" x14ac:dyDescent="0.35">
      <c r="J350" t="s">
        <v>3958</v>
      </c>
      <c r="K350" t="s">
        <v>6171</v>
      </c>
      <c r="L350" t="s">
        <v>5609</v>
      </c>
      <c r="M350" t="s">
        <v>5658</v>
      </c>
      <c r="P350" t="s">
        <v>909</v>
      </c>
      <c r="Q350" t="s">
        <v>4034</v>
      </c>
      <c r="R350" t="s">
        <v>5719</v>
      </c>
      <c r="S350" t="s">
        <v>5607</v>
      </c>
      <c r="T350" t="s">
        <v>5650</v>
      </c>
    </row>
    <row r="351" spans="10:20" x14ac:dyDescent="0.35">
      <c r="J351" t="s">
        <v>5617</v>
      </c>
      <c r="K351" t="s">
        <v>6172</v>
      </c>
      <c r="L351" t="s">
        <v>5617</v>
      </c>
      <c r="M351" t="s">
        <v>5658</v>
      </c>
      <c r="P351" t="s">
        <v>911</v>
      </c>
      <c r="Q351" t="s">
        <v>4692</v>
      </c>
      <c r="R351" t="s">
        <v>1375</v>
      </c>
      <c r="S351" t="s">
        <v>5607</v>
      </c>
      <c r="T351" t="s">
        <v>5650</v>
      </c>
    </row>
    <row r="352" spans="10:20" x14ac:dyDescent="0.35">
      <c r="P352" t="s">
        <v>916</v>
      </c>
      <c r="Q352" t="s">
        <v>5513</v>
      </c>
      <c r="R352" t="s">
        <v>3702</v>
      </c>
      <c r="S352" t="s">
        <v>5619</v>
      </c>
      <c r="T352" t="s">
        <v>5646</v>
      </c>
    </row>
    <row r="353" spans="16:20" x14ac:dyDescent="0.35">
      <c r="P353" t="s">
        <v>920</v>
      </c>
      <c r="Q353" t="s">
        <v>4432</v>
      </c>
      <c r="R353" t="s">
        <v>457</v>
      </c>
      <c r="S353" t="s">
        <v>5607</v>
      </c>
      <c r="T353" t="s">
        <v>5650</v>
      </c>
    </row>
    <row r="354" spans="16:20" x14ac:dyDescent="0.35">
      <c r="P354" t="s">
        <v>4108</v>
      </c>
      <c r="Q354" t="s">
        <v>4107</v>
      </c>
      <c r="R354" t="s">
        <v>1779</v>
      </c>
      <c r="S354" t="s">
        <v>5611</v>
      </c>
      <c r="T354" t="s">
        <v>1448</v>
      </c>
    </row>
    <row r="355" spans="16:20" x14ac:dyDescent="0.35">
      <c r="P355" t="s">
        <v>923</v>
      </c>
      <c r="Q355" t="s">
        <v>4731</v>
      </c>
      <c r="R355" t="s">
        <v>5867</v>
      </c>
      <c r="S355" t="s">
        <v>5617</v>
      </c>
      <c r="T355" t="s">
        <v>5658</v>
      </c>
    </row>
    <row r="356" spans="16:20" x14ac:dyDescent="0.35">
      <c r="P356" t="s">
        <v>925</v>
      </c>
      <c r="Q356" t="s">
        <v>5302</v>
      </c>
      <c r="R356" t="s">
        <v>5798</v>
      </c>
      <c r="S356" t="s">
        <v>5615</v>
      </c>
      <c r="T356" t="s">
        <v>5650</v>
      </c>
    </row>
    <row r="357" spans="16:20" x14ac:dyDescent="0.35">
      <c r="P357" t="s">
        <v>927</v>
      </c>
      <c r="Q357" t="s">
        <v>4157</v>
      </c>
      <c r="R357" t="s">
        <v>5798</v>
      </c>
      <c r="S357" t="s">
        <v>5615</v>
      </c>
      <c r="T357" t="s">
        <v>5650</v>
      </c>
    </row>
    <row r="358" spans="16:20" x14ac:dyDescent="0.35">
      <c r="P358" t="s">
        <v>929</v>
      </c>
      <c r="Q358" t="s">
        <v>5300</v>
      </c>
      <c r="R358" t="s">
        <v>5798</v>
      </c>
      <c r="S358" t="s">
        <v>5615</v>
      </c>
      <c r="T358" t="s">
        <v>5650</v>
      </c>
    </row>
    <row r="359" spans="16:20" x14ac:dyDescent="0.35">
      <c r="P359" t="s">
        <v>931</v>
      </c>
      <c r="Q359" t="s">
        <v>5299</v>
      </c>
      <c r="R359" t="s">
        <v>5798</v>
      </c>
      <c r="S359" t="s">
        <v>5615</v>
      </c>
      <c r="T359" t="s">
        <v>5650</v>
      </c>
    </row>
    <row r="360" spans="16:20" x14ac:dyDescent="0.35">
      <c r="P360" t="s">
        <v>933</v>
      </c>
      <c r="Q360" t="s">
        <v>5298</v>
      </c>
      <c r="R360" t="s">
        <v>5798</v>
      </c>
      <c r="S360" t="s">
        <v>5615</v>
      </c>
      <c r="T360" t="s">
        <v>5650</v>
      </c>
    </row>
    <row r="361" spans="16:20" x14ac:dyDescent="0.35">
      <c r="P361" t="s">
        <v>938</v>
      </c>
      <c r="Q361" t="s">
        <v>4414</v>
      </c>
      <c r="R361" t="s">
        <v>457</v>
      </c>
      <c r="S361" t="s">
        <v>5607</v>
      </c>
      <c r="T361" t="s">
        <v>5650</v>
      </c>
    </row>
    <row r="362" spans="16:20" x14ac:dyDescent="0.35">
      <c r="P362" t="s">
        <v>940</v>
      </c>
      <c r="Q362" t="s">
        <v>4620</v>
      </c>
      <c r="R362" t="s">
        <v>5823</v>
      </c>
      <c r="S362" t="s">
        <v>1837</v>
      </c>
      <c r="T362" t="s">
        <v>5646</v>
      </c>
    </row>
    <row r="363" spans="16:20" x14ac:dyDescent="0.35">
      <c r="P363" s="2" t="s">
        <v>4205</v>
      </c>
      <c r="Q363" s="2" t="s">
        <v>945</v>
      </c>
      <c r="R363" s="2" t="s">
        <v>3110</v>
      </c>
      <c r="S363" t="s">
        <v>1837</v>
      </c>
      <c r="T363" t="s">
        <v>5646</v>
      </c>
    </row>
    <row r="364" spans="16:20" x14ac:dyDescent="0.35">
      <c r="P364" s="2"/>
      <c r="Q364" s="2" t="s">
        <v>4157</v>
      </c>
      <c r="R364" s="2" t="s">
        <v>70</v>
      </c>
      <c r="S364" t="s">
        <v>1837</v>
      </c>
      <c r="T364" t="s">
        <v>5646</v>
      </c>
    </row>
    <row r="365" spans="16:20" x14ac:dyDescent="0.35">
      <c r="P365" t="s">
        <v>947</v>
      </c>
      <c r="Q365" t="s">
        <v>4018</v>
      </c>
      <c r="R365" t="s">
        <v>299</v>
      </c>
      <c r="S365" t="s">
        <v>5613</v>
      </c>
      <c r="T365" t="s">
        <v>5678</v>
      </c>
    </row>
    <row r="366" spans="16:20" x14ac:dyDescent="0.35">
      <c r="P366" t="s">
        <v>953</v>
      </c>
      <c r="Q366" t="s">
        <v>4070</v>
      </c>
      <c r="R366" t="s">
        <v>955</v>
      </c>
      <c r="S366" t="s">
        <v>5607</v>
      </c>
      <c r="T366" t="s">
        <v>5650</v>
      </c>
    </row>
    <row r="367" spans="16:20" x14ac:dyDescent="0.35">
      <c r="P367" s="2" t="s">
        <v>4246</v>
      </c>
      <c r="Q367" s="2" t="s">
        <v>956</v>
      </c>
      <c r="R367" s="2" t="s">
        <v>955</v>
      </c>
      <c r="S367" t="s">
        <v>5607</v>
      </c>
      <c r="T367" t="s">
        <v>5650</v>
      </c>
    </row>
    <row r="368" spans="16:20" x14ac:dyDescent="0.35">
      <c r="P368" s="2"/>
      <c r="Q368" s="2" t="s">
        <v>4157</v>
      </c>
      <c r="R368" s="2" t="s">
        <v>955</v>
      </c>
      <c r="S368" t="s">
        <v>5607</v>
      </c>
      <c r="T368" t="s">
        <v>5650</v>
      </c>
    </row>
    <row r="369" spans="16:20" x14ac:dyDescent="0.35">
      <c r="P369" t="s">
        <v>5103</v>
      </c>
      <c r="Q369" t="s">
        <v>5102</v>
      </c>
      <c r="R369" t="s">
        <v>5981</v>
      </c>
      <c r="S369" t="s">
        <v>5612</v>
      </c>
      <c r="T369" t="s">
        <v>1448</v>
      </c>
    </row>
    <row r="370" spans="16:20" x14ac:dyDescent="0.35">
      <c r="P370" t="s">
        <v>960</v>
      </c>
      <c r="Q370" t="s">
        <v>4157</v>
      </c>
      <c r="R370" t="s">
        <v>4240</v>
      </c>
      <c r="S370" t="s">
        <v>5607</v>
      </c>
      <c r="T370" t="s">
        <v>5650</v>
      </c>
    </row>
    <row r="371" spans="16:20" x14ac:dyDescent="0.35">
      <c r="P371" t="s">
        <v>962</v>
      </c>
      <c r="Q371" t="s">
        <v>4584</v>
      </c>
      <c r="R371" t="s">
        <v>5103</v>
      </c>
      <c r="S371" t="s">
        <v>5607</v>
      </c>
      <c r="T371" t="s">
        <v>5650</v>
      </c>
    </row>
    <row r="372" spans="16:20" x14ac:dyDescent="0.35">
      <c r="P372" s="2" t="s">
        <v>4250</v>
      </c>
      <c r="Q372" s="2" t="s">
        <v>965</v>
      </c>
      <c r="R372" s="2" t="s">
        <v>5103</v>
      </c>
      <c r="S372" t="s">
        <v>5607</v>
      </c>
      <c r="T372" t="s">
        <v>5650</v>
      </c>
    </row>
    <row r="373" spans="16:20" x14ac:dyDescent="0.35">
      <c r="P373" s="2"/>
      <c r="Q373" s="2" t="s">
        <v>4157</v>
      </c>
      <c r="R373" s="2" t="s">
        <v>5103</v>
      </c>
      <c r="S373" t="s">
        <v>5607</v>
      </c>
      <c r="T373" t="s">
        <v>5650</v>
      </c>
    </row>
    <row r="374" spans="16:20" x14ac:dyDescent="0.35">
      <c r="P374" t="s">
        <v>5086</v>
      </c>
      <c r="Q374" t="s">
        <v>5085</v>
      </c>
      <c r="R374" t="s">
        <v>5621</v>
      </c>
      <c r="S374" t="s">
        <v>5621</v>
      </c>
      <c r="T374" t="s">
        <v>5678</v>
      </c>
    </row>
    <row r="375" spans="16:20" x14ac:dyDescent="0.35">
      <c r="P375" t="s">
        <v>4368</v>
      </c>
      <c r="Q375" t="s">
        <v>4367</v>
      </c>
      <c r="R375" t="s">
        <v>5741</v>
      </c>
      <c r="S375" t="s">
        <v>5621</v>
      </c>
      <c r="T375" t="s">
        <v>5678</v>
      </c>
    </row>
    <row r="376" spans="16:20" x14ac:dyDescent="0.35">
      <c r="P376" t="s">
        <v>976</v>
      </c>
      <c r="Q376" t="s">
        <v>4558</v>
      </c>
      <c r="R376" t="s">
        <v>5796</v>
      </c>
      <c r="S376" t="s">
        <v>5614</v>
      </c>
      <c r="T376" t="s">
        <v>5646</v>
      </c>
    </row>
    <row r="377" spans="16:20" x14ac:dyDescent="0.35">
      <c r="P377" s="2" t="s">
        <v>978</v>
      </c>
      <c r="Q377" s="2" t="s">
        <v>4347</v>
      </c>
      <c r="R377" s="2" t="s">
        <v>5732</v>
      </c>
      <c r="S377" t="s">
        <v>5614</v>
      </c>
      <c r="T377" t="s">
        <v>5646</v>
      </c>
    </row>
    <row r="378" spans="16:20" x14ac:dyDescent="0.35">
      <c r="P378" s="2"/>
      <c r="Q378" s="2" t="s">
        <v>4540</v>
      </c>
      <c r="R378" s="2" t="s">
        <v>719</v>
      </c>
      <c r="S378" t="s">
        <v>5614</v>
      </c>
      <c r="T378" t="s">
        <v>5646</v>
      </c>
    </row>
    <row r="379" spans="16:20" x14ac:dyDescent="0.35">
      <c r="P379" s="2"/>
      <c r="Q379" s="2" t="s">
        <v>982</v>
      </c>
      <c r="R379" s="2" t="s">
        <v>719</v>
      </c>
      <c r="S379" t="s">
        <v>5606</v>
      </c>
      <c r="T379" t="s">
        <v>5646</v>
      </c>
    </row>
    <row r="380" spans="16:20" x14ac:dyDescent="0.35">
      <c r="P380" s="2"/>
      <c r="Q380" s="2" t="s">
        <v>4132</v>
      </c>
      <c r="R380" s="2" t="s">
        <v>5715</v>
      </c>
      <c r="S380" t="s">
        <v>5611</v>
      </c>
      <c r="T380" t="s">
        <v>1448</v>
      </c>
    </row>
    <row r="381" spans="16:20" x14ac:dyDescent="0.35">
      <c r="P381" t="s">
        <v>4177</v>
      </c>
      <c r="Q381" t="s">
        <v>4157</v>
      </c>
      <c r="R381" t="s">
        <v>719</v>
      </c>
      <c r="S381" t="s">
        <v>5606</v>
      </c>
      <c r="T381" t="s">
        <v>5646</v>
      </c>
    </row>
    <row r="382" spans="16:20" x14ac:dyDescent="0.35">
      <c r="P382" t="s">
        <v>988</v>
      </c>
      <c r="Q382" t="s">
        <v>5510</v>
      </c>
      <c r="R382" t="s">
        <v>3702</v>
      </c>
      <c r="S382" t="s">
        <v>5619</v>
      </c>
      <c r="T382" t="s">
        <v>5646</v>
      </c>
    </row>
    <row r="383" spans="16:20" x14ac:dyDescent="0.35">
      <c r="P383" t="s">
        <v>990</v>
      </c>
      <c r="Q383" t="s">
        <v>4829</v>
      </c>
      <c r="R383" t="s">
        <v>5909</v>
      </c>
      <c r="S383" t="s">
        <v>5619</v>
      </c>
      <c r="T383" t="s">
        <v>5646</v>
      </c>
    </row>
    <row r="384" spans="16:20" x14ac:dyDescent="0.35">
      <c r="P384" t="s">
        <v>992</v>
      </c>
      <c r="Q384" t="s">
        <v>4589</v>
      </c>
      <c r="R384" t="s">
        <v>992</v>
      </c>
      <c r="S384" t="s">
        <v>5618</v>
      </c>
      <c r="T384" t="s">
        <v>5658</v>
      </c>
    </row>
    <row r="385" spans="16:20" x14ac:dyDescent="0.35">
      <c r="P385" s="2" t="s">
        <v>995</v>
      </c>
      <c r="Q385" s="2" t="s">
        <v>4028</v>
      </c>
      <c r="R385" s="2" t="s">
        <v>3756</v>
      </c>
      <c r="S385" t="s">
        <v>5608</v>
      </c>
      <c r="T385" t="s">
        <v>5678</v>
      </c>
    </row>
    <row r="386" spans="16:20" x14ac:dyDescent="0.35">
      <c r="P386" s="2"/>
      <c r="Q386" s="2" t="s">
        <v>4927</v>
      </c>
      <c r="R386" s="2" t="s">
        <v>5799</v>
      </c>
      <c r="S386" t="s">
        <v>5607</v>
      </c>
      <c r="T386" t="s">
        <v>5650</v>
      </c>
    </row>
    <row r="387" spans="16:20" x14ac:dyDescent="0.35">
      <c r="P387" s="2"/>
      <c r="Q387" s="2" t="s">
        <v>4157</v>
      </c>
      <c r="R387" s="2" t="s">
        <v>719</v>
      </c>
      <c r="S387" t="s">
        <v>5606</v>
      </c>
      <c r="T387" t="s">
        <v>5646</v>
      </c>
    </row>
    <row r="388" spans="16:20" x14ac:dyDescent="0.35">
      <c r="P388" s="2"/>
      <c r="Q388" s="2"/>
      <c r="R388" s="2" t="s">
        <v>3756</v>
      </c>
      <c r="S388" t="s">
        <v>5608</v>
      </c>
      <c r="T388" t="s">
        <v>5678</v>
      </c>
    </row>
    <row r="389" spans="16:20" x14ac:dyDescent="0.35">
      <c r="P389" t="s">
        <v>1000</v>
      </c>
      <c r="Q389" t="s">
        <v>4052</v>
      </c>
      <c r="R389" t="s">
        <v>5746</v>
      </c>
      <c r="S389" t="s">
        <v>5607</v>
      </c>
      <c r="T389" t="s">
        <v>5650</v>
      </c>
    </row>
    <row r="390" spans="16:20" x14ac:dyDescent="0.35">
      <c r="P390" t="s">
        <v>1002</v>
      </c>
      <c r="Q390" t="s">
        <v>4047</v>
      </c>
      <c r="R390" t="s">
        <v>5746</v>
      </c>
      <c r="S390" t="s">
        <v>5607</v>
      </c>
      <c r="T390" t="s">
        <v>5650</v>
      </c>
    </row>
    <row r="391" spans="16:20" x14ac:dyDescent="0.35">
      <c r="P391" t="s">
        <v>1004</v>
      </c>
      <c r="Q391" t="s">
        <v>4101</v>
      </c>
      <c r="R391" t="s">
        <v>1004</v>
      </c>
      <c r="S391" t="s">
        <v>1837</v>
      </c>
      <c r="T391" t="s">
        <v>5646</v>
      </c>
    </row>
    <row r="392" spans="16:20" x14ac:dyDescent="0.35">
      <c r="P392" t="s">
        <v>1011</v>
      </c>
      <c r="Q392" t="s">
        <v>5191</v>
      </c>
      <c r="R392" t="s">
        <v>2783</v>
      </c>
      <c r="S392" t="s">
        <v>5609</v>
      </c>
      <c r="T392" t="s">
        <v>5658</v>
      </c>
    </row>
    <row r="393" spans="16:20" x14ac:dyDescent="0.35">
      <c r="P393" t="s">
        <v>5205</v>
      </c>
      <c r="Q393" t="s">
        <v>5204</v>
      </c>
      <c r="R393" t="s">
        <v>2839</v>
      </c>
      <c r="S393" t="s">
        <v>1837</v>
      </c>
      <c r="T393" t="s">
        <v>5646</v>
      </c>
    </row>
    <row r="394" spans="16:20" x14ac:dyDescent="0.35">
      <c r="P394" t="s">
        <v>1016</v>
      </c>
      <c r="Q394" t="s">
        <v>4074</v>
      </c>
      <c r="R394" t="s">
        <v>5719</v>
      </c>
      <c r="S394" t="s">
        <v>5607</v>
      </c>
      <c r="T394" t="s">
        <v>5650</v>
      </c>
    </row>
    <row r="395" spans="16:20" x14ac:dyDescent="0.35">
      <c r="P395" t="s">
        <v>1022</v>
      </c>
      <c r="Q395" t="s">
        <v>4457</v>
      </c>
      <c r="R395" t="s">
        <v>5755</v>
      </c>
      <c r="S395" t="s">
        <v>5614</v>
      </c>
      <c r="T395" t="s">
        <v>5646</v>
      </c>
    </row>
    <row r="396" spans="16:20" x14ac:dyDescent="0.35">
      <c r="P396" t="s">
        <v>4190</v>
      </c>
      <c r="Q396" t="s">
        <v>4157</v>
      </c>
      <c r="R396" t="s">
        <v>2628</v>
      </c>
      <c r="S396" t="s">
        <v>5606</v>
      </c>
      <c r="T396" t="s">
        <v>5646</v>
      </c>
    </row>
    <row r="397" spans="16:20" x14ac:dyDescent="0.35">
      <c r="P397" t="s">
        <v>5137</v>
      </c>
      <c r="Q397" t="s">
        <v>5136</v>
      </c>
      <c r="R397" t="s">
        <v>2628</v>
      </c>
      <c r="S397" t="s">
        <v>5614</v>
      </c>
      <c r="T397" t="s">
        <v>5646</v>
      </c>
    </row>
    <row r="398" spans="16:20" x14ac:dyDescent="0.35">
      <c r="P398" s="2" t="s">
        <v>1028</v>
      </c>
      <c r="Q398" s="2" t="s">
        <v>1029</v>
      </c>
      <c r="R398" s="2" t="s">
        <v>2561</v>
      </c>
      <c r="S398" t="s">
        <v>5611</v>
      </c>
      <c r="T398" t="s">
        <v>1448</v>
      </c>
    </row>
    <row r="399" spans="16:20" x14ac:dyDescent="0.35">
      <c r="P399" s="2"/>
      <c r="Q399" s="2" t="s">
        <v>4157</v>
      </c>
      <c r="R399" s="2" t="s">
        <v>2561</v>
      </c>
      <c r="S399" t="s">
        <v>5611</v>
      </c>
      <c r="T399" t="s">
        <v>1448</v>
      </c>
    </row>
    <row r="400" spans="16:20" x14ac:dyDescent="0.35">
      <c r="P400" t="s">
        <v>1031</v>
      </c>
      <c r="Q400" t="s">
        <v>4523</v>
      </c>
      <c r="R400" t="s">
        <v>4513</v>
      </c>
      <c r="S400" t="s">
        <v>5614</v>
      </c>
      <c r="T400" t="s">
        <v>5646</v>
      </c>
    </row>
    <row r="401" spans="16:20" x14ac:dyDescent="0.35">
      <c r="P401" t="s">
        <v>1034</v>
      </c>
      <c r="Q401" t="s">
        <v>5245</v>
      </c>
      <c r="R401" t="s">
        <v>2914</v>
      </c>
      <c r="S401" t="s">
        <v>5607</v>
      </c>
      <c r="T401" t="s">
        <v>5650</v>
      </c>
    </row>
    <row r="402" spans="16:20" x14ac:dyDescent="0.35">
      <c r="P402" t="s">
        <v>1036</v>
      </c>
      <c r="Q402" t="s">
        <v>4739</v>
      </c>
      <c r="R402" t="s">
        <v>1691</v>
      </c>
      <c r="S402" t="s">
        <v>5615</v>
      </c>
      <c r="T402" t="s">
        <v>5650</v>
      </c>
    </row>
    <row r="403" spans="16:20" x14ac:dyDescent="0.35">
      <c r="P403" t="s">
        <v>1038</v>
      </c>
      <c r="Q403" t="s">
        <v>5351</v>
      </c>
      <c r="R403" t="s">
        <v>3126</v>
      </c>
      <c r="S403" t="s">
        <v>5615</v>
      </c>
      <c r="T403" t="s">
        <v>5650</v>
      </c>
    </row>
    <row r="404" spans="16:20" x14ac:dyDescent="0.35">
      <c r="P404" t="s">
        <v>1040</v>
      </c>
      <c r="Q404" t="s">
        <v>5352</v>
      </c>
      <c r="R404" t="s">
        <v>3126</v>
      </c>
      <c r="S404" t="s">
        <v>5615</v>
      </c>
      <c r="T404" t="s">
        <v>5650</v>
      </c>
    </row>
    <row r="405" spans="16:20" x14ac:dyDescent="0.35">
      <c r="P405" t="s">
        <v>1043</v>
      </c>
      <c r="Q405" t="s">
        <v>4659</v>
      </c>
      <c r="R405" t="s">
        <v>1244</v>
      </c>
      <c r="S405" t="s">
        <v>5607</v>
      </c>
      <c r="T405" t="s">
        <v>5650</v>
      </c>
    </row>
    <row r="406" spans="16:20" x14ac:dyDescent="0.35">
      <c r="P406" t="s">
        <v>1049</v>
      </c>
      <c r="Q406" t="s">
        <v>4593</v>
      </c>
      <c r="R406" t="s">
        <v>5813</v>
      </c>
      <c r="S406" t="s">
        <v>1837</v>
      </c>
      <c r="T406" t="s">
        <v>5646</v>
      </c>
    </row>
    <row r="407" spans="16:20" x14ac:dyDescent="0.35">
      <c r="P407" t="s">
        <v>5152</v>
      </c>
      <c r="Q407" t="s">
        <v>5151</v>
      </c>
      <c r="R407" t="s">
        <v>2658</v>
      </c>
      <c r="S407" t="s">
        <v>5619</v>
      </c>
      <c r="T407" t="s">
        <v>5646</v>
      </c>
    </row>
    <row r="408" spans="16:20" x14ac:dyDescent="0.35">
      <c r="P408" t="s">
        <v>1055</v>
      </c>
      <c r="Q408" t="s">
        <v>4910</v>
      </c>
      <c r="R408" t="s">
        <v>2196</v>
      </c>
      <c r="S408" t="s">
        <v>1837</v>
      </c>
      <c r="T408" t="s">
        <v>5646</v>
      </c>
    </row>
    <row r="409" spans="16:20" x14ac:dyDescent="0.35">
      <c r="P409" t="s">
        <v>1059</v>
      </c>
      <c r="Q409" t="s">
        <v>5538</v>
      </c>
      <c r="R409" t="s">
        <v>5610</v>
      </c>
      <c r="S409" t="s">
        <v>5610</v>
      </c>
      <c r="T409" t="s">
        <v>5646</v>
      </c>
    </row>
    <row r="410" spans="16:20" x14ac:dyDescent="0.35">
      <c r="P410" t="s">
        <v>1061</v>
      </c>
      <c r="Q410" t="s">
        <v>5554</v>
      </c>
      <c r="R410" t="s">
        <v>3776</v>
      </c>
      <c r="S410" t="s">
        <v>1837</v>
      </c>
      <c r="T410" t="s">
        <v>5646</v>
      </c>
    </row>
    <row r="411" spans="16:20" x14ac:dyDescent="0.35">
      <c r="P411" s="2" t="s">
        <v>4694</v>
      </c>
      <c r="Q411" s="2" t="s">
        <v>5140</v>
      </c>
      <c r="R411" s="2" t="s">
        <v>2628</v>
      </c>
      <c r="S411" s="2" t="s">
        <v>5614</v>
      </c>
      <c r="T411" s="2" t="s">
        <v>5646</v>
      </c>
    </row>
    <row r="412" spans="16:20" x14ac:dyDescent="0.35">
      <c r="P412" s="2"/>
      <c r="Q412" s="2" t="s">
        <v>4693</v>
      </c>
      <c r="R412" s="2" t="s">
        <v>1375</v>
      </c>
      <c r="S412" s="2" t="s">
        <v>5607</v>
      </c>
      <c r="T412" s="2" t="s">
        <v>5650</v>
      </c>
    </row>
    <row r="413" spans="16:20" x14ac:dyDescent="0.35">
      <c r="P413" t="s">
        <v>5156</v>
      </c>
      <c r="Q413" t="s">
        <v>5155</v>
      </c>
      <c r="R413" t="s">
        <v>2658</v>
      </c>
      <c r="S413" t="s">
        <v>5619</v>
      </c>
      <c r="T413" t="s">
        <v>5646</v>
      </c>
    </row>
    <row r="414" spans="16:20" x14ac:dyDescent="0.35">
      <c r="P414" t="s">
        <v>4166</v>
      </c>
      <c r="Q414" t="s">
        <v>4157</v>
      </c>
      <c r="R414" t="s">
        <v>5819</v>
      </c>
      <c r="S414" t="s">
        <v>5614</v>
      </c>
      <c r="T414" t="s">
        <v>5646</v>
      </c>
    </row>
    <row r="415" spans="16:20" x14ac:dyDescent="0.35">
      <c r="P415" t="s">
        <v>1073</v>
      </c>
      <c r="Q415" t="s">
        <v>4601</v>
      </c>
      <c r="R415" t="s">
        <v>5817</v>
      </c>
      <c r="S415" t="s">
        <v>5614</v>
      </c>
      <c r="T415" t="s">
        <v>5646</v>
      </c>
    </row>
    <row r="416" spans="16:20" x14ac:dyDescent="0.35">
      <c r="P416" t="s">
        <v>1075</v>
      </c>
      <c r="Q416" t="s">
        <v>4686</v>
      </c>
      <c r="R416" t="s">
        <v>1375</v>
      </c>
      <c r="S416" t="s">
        <v>5607</v>
      </c>
      <c r="T416" t="s">
        <v>5650</v>
      </c>
    </row>
    <row r="417" spans="16:20" x14ac:dyDescent="0.35">
      <c r="P417" t="s">
        <v>1077</v>
      </c>
      <c r="Q417" t="s">
        <v>4717</v>
      </c>
      <c r="R417" t="s">
        <v>1522</v>
      </c>
      <c r="S417" t="s">
        <v>5610</v>
      </c>
      <c r="T417" t="s">
        <v>5646</v>
      </c>
    </row>
    <row r="418" spans="16:20" x14ac:dyDescent="0.35">
      <c r="P418" t="s">
        <v>1079</v>
      </c>
      <c r="Q418" t="s">
        <v>4604</v>
      </c>
      <c r="R418" t="s">
        <v>5817</v>
      </c>
      <c r="S418" t="s">
        <v>5614</v>
      </c>
      <c r="T418" t="s">
        <v>5646</v>
      </c>
    </row>
    <row r="419" spans="16:20" x14ac:dyDescent="0.35">
      <c r="P419" t="s">
        <v>1082</v>
      </c>
      <c r="Q419" t="s">
        <v>4771</v>
      </c>
      <c r="R419" t="s">
        <v>1856</v>
      </c>
      <c r="S419" t="s">
        <v>1837</v>
      </c>
      <c r="T419" t="s">
        <v>5646</v>
      </c>
    </row>
    <row r="420" spans="16:20" x14ac:dyDescent="0.35">
      <c r="P420" t="s">
        <v>1084</v>
      </c>
      <c r="Q420" t="s">
        <v>5603</v>
      </c>
      <c r="R420" t="s">
        <v>5617</v>
      </c>
      <c r="S420" t="s">
        <v>5617</v>
      </c>
      <c r="T420" t="s">
        <v>5658</v>
      </c>
    </row>
    <row r="421" spans="16:20" x14ac:dyDescent="0.35">
      <c r="P421" t="s">
        <v>1086</v>
      </c>
      <c r="Q421" t="s">
        <v>4426</v>
      </c>
      <c r="R421" t="s">
        <v>457</v>
      </c>
      <c r="S421" t="s">
        <v>5607</v>
      </c>
      <c r="T421" t="s">
        <v>5650</v>
      </c>
    </row>
    <row r="422" spans="16:20" x14ac:dyDescent="0.35">
      <c r="P422" s="2" t="s">
        <v>4162</v>
      </c>
      <c r="Q422" s="2" t="s">
        <v>1089</v>
      </c>
      <c r="R422" s="2" t="s">
        <v>4161</v>
      </c>
      <c r="S422" t="s">
        <v>5614</v>
      </c>
      <c r="T422" t="s">
        <v>5646</v>
      </c>
    </row>
    <row r="423" spans="16:20" x14ac:dyDescent="0.35">
      <c r="P423" s="2"/>
      <c r="Q423" s="2" t="s">
        <v>4157</v>
      </c>
      <c r="R423" s="2" t="s">
        <v>4161</v>
      </c>
      <c r="S423" t="s">
        <v>5614</v>
      </c>
      <c r="T423" t="s">
        <v>5646</v>
      </c>
    </row>
    <row r="424" spans="16:20" x14ac:dyDescent="0.35">
      <c r="P424" t="s">
        <v>1091</v>
      </c>
      <c r="Q424" t="s">
        <v>5273</v>
      </c>
      <c r="R424" t="s">
        <v>5788</v>
      </c>
      <c r="S424" t="s">
        <v>5614</v>
      </c>
      <c r="T424" t="s">
        <v>5646</v>
      </c>
    </row>
    <row r="425" spans="16:20" x14ac:dyDescent="0.35">
      <c r="P425" t="s">
        <v>1096</v>
      </c>
      <c r="Q425" t="s">
        <v>5354</v>
      </c>
      <c r="R425" t="s">
        <v>3126</v>
      </c>
      <c r="S425" t="s">
        <v>5615</v>
      </c>
      <c r="T425" t="s">
        <v>5650</v>
      </c>
    </row>
    <row r="426" spans="16:20" x14ac:dyDescent="0.35">
      <c r="P426" t="s">
        <v>4575</v>
      </c>
      <c r="Q426" t="s">
        <v>4574</v>
      </c>
      <c r="R426" t="s">
        <v>955</v>
      </c>
      <c r="S426" t="s">
        <v>5607</v>
      </c>
      <c r="T426" t="s">
        <v>5650</v>
      </c>
    </row>
    <row r="427" spans="16:20" x14ac:dyDescent="0.35">
      <c r="P427" t="s">
        <v>1100</v>
      </c>
      <c r="Q427" t="s">
        <v>4576</v>
      </c>
      <c r="R427" t="s">
        <v>955</v>
      </c>
      <c r="S427" t="s">
        <v>5607</v>
      </c>
      <c r="T427" t="s">
        <v>5650</v>
      </c>
    </row>
    <row r="428" spans="16:20" x14ac:dyDescent="0.35">
      <c r="P428" t="s">
        <v>4333</v>
      </c>
      <c r="Q428" t="s">
        <v>4332</v>
      </c>
      <c r="R428" t="s">
        <v>5713</v>
      </c>
      <c r="S428" t="s">
        <v>5611</v>
      </c>
      <c r="T428" t="s">
        <v>1448</v>
      </c>
    </row>
    <row r="429" spans="16:20" x14ac:dyDescent="0.35">
      <c r="P429" t="s">
        <v>4340</v>
      </c>
      <c r="Q429" t="s">
        <v>4339</v>
      </c>
      <c r="R429" t="s">
        <v>5713</v>
      </c>
      <c r="S429" t="s">
        <v>5611</v>
      </c>
      <c r="T429" t="s">
        <v>1448</v>
      </c>
    </row>
    <row r="430" spans="16:20" x14ac:dyDescent="0.35">
      <c r="P430" t="s">
        <v>1105</v>
      </c>
      <c r="Q430" t="s">
        <v>4633</v>
      </c>
      <c r="R430" t="s">
        <v>1184</v>
      </c>
      <c r="S430" t="s">
        <v>5615</v>
      </c>
      <c r="T430" t="s">
        <v>5650</v>
      </c>
    </row>
    <row r="431" spans="16:20" x14ac:dyDescent="0.35">
      <c r="P431" t="s">
        <v>1107</v>
      </c>
      <c r="Q431" t="s">
        <v>4458</v>
      </c>
      <c r="R431" t="s">
        <v>5755</v>
      </c>
      <c r="S431" t="s">
        <v>5614</v>
      </c>
      <c r="T431" t="s">
        <v>5646</v>
      </c>
    </row>
    <row r="432" spans="16:20" x14ac:dyDescent="0.35">
      <c r="P432" t="s">
        <v>1110</v>
      </c>
      <c r="Q432" t="s">
        <v>4125</v>
      </c>
      <c r="R432" t="s">
        <v>1986</v>
      </c>
      <c r="S432" t="s">
        <v>5611</v>
      </c>
      <c r="T432" t="s">
        <v>1448</v>
      </c>
    </row>
    <row r="433" spans="16:20" x14ac:dyDescent="0.35">
      <c r="P433" t="s">
        <v>1112</v>
      </c>
      <c r="Q433" t="s">
        <v>5246</v>
      </c>
      <c r="R433" t="s">
        <v>2914</v>
      </c>
      <c r="S433" t="s">
        <v>5607</v>
      </c>
      <c r="T433" t="s">
        <v>5650</v>
      </c>
    </row>
    <row r="434" spans="16:20" x14ac:dyDescent="0.35">
      <c r="P434" t="s">
        <v>1114</v>
      </c>
      <c r="Q434" t="s">
        <v>5244</v>
      </c>
      <c r="R434" t="s">
        <v>2914</v>
      </c>
      <c r="S434" t="s">
        <v>5607</v>
      </c>
      <c r="T434" t="s">
        <v>5650</v>
      </c>
    </row>
    <row r="435" spans="16:20" x14ac:dyDescent="0.35">
      <c r="P435" t="s">
        <v>4454</v>
      </c>
      <c r="Q435" t="s">
        <v>4453</v>
      </c>
      <c r="R435" t="s">
        <v>5755</v>
      </c>
      <c r="S435" t="s">
        <v>5614</v>
      </c>
      <c r="T435" t="s">
        <v>5646</v>
      </c>
    </row>
    <row r="436" spans="16:20" x14ac:dyDescent="0.35">
      <c r="P436" t="s">
        <v>1121</v>
      </c>
      <c r="Q436" t="s">
        <v>4615</v>
      </c>
      <c r="R436" t="s">
        <v>5821</v>
      </c>
      <c r="S436" t="s">
        <v>5609</v>
      </c>
      <c r="T436" t="s">
        <v>5658</v>
      </c>
    </row>
    <row r="437" spans="16:20" x14ac:dyDescent="0.35">
      <c r="P437" t="s">
        <v>1123</v>
      </c>
      <c r="Q437" t="s">
        <v>4624</v>
      </c>
      <c r="R437" t="s">
        <v>5823</v>
      </c>
      <c r="S437" t="s">
        <v>1837</v>
      </c>
      <c r="T437" t="s">
        <v>5646</v>
      </c>
    </row>
    <row r="438" spans="16:20" x14ac:dyDescent="0.35">
      <c r="P438" t="s">
        <v>4189</v>
      </c>
      <c r="Q438" t="s">
        <v>4157</v>
      </c>
      <c r="R438" t="s">
        <v>2628</v>
      </c>
      <c r="S438" t="s">
        <v>5606</v>
      </c>
      <c r="T438" t="s">
        <v>5646</v>
      </c>
    </row>
    <row r="439" spans="16:20" x14ac:dyDescent="0.35">
      <c r="P439" t="s">
        <v>4370</v>
      </c>
      <c r="Q439" t="s">
        <v>4369</v>
      </c>
      <c r="R439" t="s">
        <v>5743</v>
      </c>
      <c r="S439" t="s">
        <v>5614</v>
      </c>
      <c r="T439" t="s">
        <v>5646</v>
      </c>
    </row>
    <row r="440" spans="16:20" x14ac:dyDescent="0.35">
      <c r="P440" t="s">
        <v>1134</v>
      </c>
      <c r="Q440" t="s">
        <v>4763</v>
      </c>
      <c r="R440" t="s">
        <v>1788</v>
      </c>
      <c r="S440" t="s">
        <v>1757</v>
      </c>
      <c r="T440" t="s">
        <v>5658</v>
      </c>
    </row>
    <row r="441" spans="16:20" x14ac:dyDescent="0.35">
      <c r="P441" t="s">
        <v>1136</v>
      </c>
      <c r="Q441" t="s">
        <v>4507</v>
      </c>
      <c r="R441" t="s">
        <v>550</v>
      </c>
      <c r="S441" t="s">
        <v>5618</v>
      </c>
      <c r="T441" t="s">
        <v>5658</v>
      </c>
    </row>
    <row r="442" spans="16:20" x14ac:dyDescent="0.35">
      <c r="P442" s="2" t="s">
        <v>4212</v>
      </c>
      <c r="Q442" s="2" t="s">
        <v>1139</v>
      </c>
      <c r="R442" s="2" t="s">
        <v>5926</v>
      </c>
      <c r="S442" t="s">
        <v>1837</v>
      </c>
      <c r="T442" t="s">
        <v>5646</v>
      </c>
    </row>
    <row r="443" spans="16:20" x14ac:dyDescent="0.35">
      <c r="P443" s="2"/>
      <c r="Q443" s="2" t="s">
        <v>4157</v>
      </c>
      <c r="R443" s="2" t="s">
        <v>5926</v>
      </c>
      <c r="S443" t="s">
        <v>1837</v>
      </c>
      <c r="T443" t="s">
        <v>5646</v>
      </c>
    </row>
    <row r="444" spans="16:20" x14ac:dyDescent="0.35">
      <c r="P444" t="s">
        <v>5020</v>
      </c>
      <c r="Q444" t="s">
        <v>5019</v>
      </c>
      <c r="R444" t="s">
        <v>2540</v>
      </c>
      <c r="S444" t="s">
        <v>5612</v>
      </c>
      <c r="T444" t="s">
        <v>1448</v>
      </c>
    </row>
    <row r="445" spans="16:20" x14ac:dyDescent="0.35">
      <c r="P445" s="2" t="s">
        <v>1145</v>
      </c>
      <c r="Q445" s="2" t="s">
        <v>4030</v>
      </c>
      <c r="R445" s="2" t="s">
        <v>3756</v>
      </c>
      <c r="S445" t="s">
        <v>5608</v>
      </c>
      <c r="T445" t="s">
        <v>5678</v>
      </c>
    </row>
    <row r="446" spans="16:20" x14ac:dyDescent="0.35">
      <c r="P446" s="2"/>
      <c r="Q446" s="2" t="s">
        <v>4157</v>
      </c>
      <c r="R446" s="2" t="s">
        <v>3756</v>
      </c>
      <c r="S446" t="s">
        <v>5608</v>
      </c>
      <c r="T446" t="s">
        <v>5678</v>
      </c>
    </row>
    <row r="447" spans="16:20" x14ac:dyDescent="0.35">
      <c r="P447" t="s">
        <v>5037</v>
      </c>
      <c r="Q447" t="s">
        <v>5036</v>
      </c>
      <c r="R447" t="s">
        <v>5831</v>
      </c>
      <c r="S447" t="s">
        <v>5612</v>
      </c>
      <c r="T447" t="s">
        <v>1448</v>
      </c>
    </row>
    <row r="448" spans="16:20" x14ac:dyDescent="0.35">
      <c r="P448" s="2" t="s">
        <v>1154</v>
      </c>
      <c r="Q448" s="2" t="s">
        <v>4527</v>
      </c>
      <c r="R448" s="2" t="s">
        <v>5783</v>
      </c>
      <c r="S448" t="s">
        <v>5607</v>
      </c>
      <c r="T448" t="s">
        <v>5650</v>
      </c>
    </row>
    <row r="449" spans="16:20" x14ac:dyDescent="0.35">
      <c r="P449" s="2"/>
      <c r="Q449" s="2" t="s">
        <v>4049</v>
      </c>
      <c r="R449" s="2" t="s">
        <v>5783</v>
      </c>
      <c r="S449" t="s">
        <v>5607</v>
      </c>
      <c r="T449" t="s">
        <v>5650</v>
      </c>
    </row>
    <row r="450" spans="16:20" x14ac:dyDescent="0.35">
      <c r="P450" s="2"/>
      <c r="Q450" s="2" t="s">
        <v>5048</v>
      </c>
      <c r="R450" s="2" t="s">
        <v>2561</v>
      </c>
      <c r="S450" t="s">
        <v>5611</v>
      </c>
      <c r="T450" t="s">
        <v>1448</v>
      </c>
    </row>
    <row r="451" spans="16:20" x14ac:dyDescent="0.35">
      <c r="P451" t="s">
        <v>4244</v>
      </c>
      <c r="Q451" t="s">
        <v>4157</v>
      </c>
      <c r="R451" t="s">
        <v>5783</v>
      </c>
      <c r="S451" t="s">
        <v>5607</v>
      </c>
      <c r="T451" t="s">
        <v>5650</v>
      </c>
    </row>
    <row r="452" spans="16:20" x14ac:dyDescent="0.35">
      <c r="P452" t="s">
        <v>1162</v>
      </c>
      <c r="Q452" t="s">
        <v>5357</v>
      </c>
      <c r="R452" t="s">
        <v>3126</v>
      </c>
      <c r="S452" t="s">
        <v>5615</v>
      </c>
      <c r="T452" t="s">
        <v>5650</v>
      </c>
    </row>
    <row r="453" spans="16:20" x14ac:dyDescent="0.35">
      <c r="P453" t="s">
        <v>1164</v>
      </c>
      <c r="Q453" t="s">
        <v>4695</v>
      </c>
      <c r="R453" t="s">
        <v>1375</v>
      </c>
      <c r="S453" t="s">
        <v>5607</v>
      </c>
      <c r="T453" t="s">
        <v>5650</v>
      </c>
    </row>
    <row r="454" spans="16:20" x14ac:dyDescent="0.35">
      <c r="P454" t="s">
        <v>1166</v>
      </c>
      <c r="Q454" t="s">
        <v>4594</v>
      </c>
      <c r="R454" t="s">
        <v>5813</v>
      </c>
      <c r="S454" t="s">
        <v>1837</v>
      </c>
      <c r="T454" t="s">
        <v>5646</v>
      </c>
    </row>
    <row r="455" spans="16:20" x14ac:dyDescent="0.35">
      <c r="P455" t="s">
        <v>1168</v>
      </c>
      <c r="Q455" t="s">
        <v>4635</v>
      </c>
      <c r="R455" t="s">
        <v>1184</v>
      </c>
      <c r="S455" t="s">
        <v>5615</v>
      </c>
      <c r="T455" t="s">
        <v>5650</v>
      </c>
    </row>
    <row r="456" spans="16:20" x14ac:dyDescent="0.35">
      <c r="P456" s="2" t="s">
        <v>4421</v>
      </c>
      <c r="Q456" s="2" t="s">
        <v>4420</v>
      </c>
      <c r="R456" s="2" t="s">
        <v>457</v>
      </c>
      <c r="S456" t="s">
        <v>5607</v>
      </c>
      <c r="T456" t="s">
        <v>5650</v>
      </c>
    </row>
    <row r="457" spans="16:20" x14ac:dyDescent="0.35">
      <c r="P457" s="2"/>
      <c r="Q457" s="2" t="s">
        <v>5203</v>
      </c>
      <c r="R457" s="2" t="s">
        <v>2839</v>
      </c>
      <c r="S457" t="s">
        <v>1837</v>
      </c>
      <c r="T457" t="s">
        <v>5646</v>
      </c>
    </row>
    <row r="458" spans="16:20" x14ac:dyDescent="0.35">
      <c r="P458" s="2"/>
      <c r="Q458" s="2" t="s">
        <v>5491</v>
      </c>
      <c r="R458" s="2" t="s">
        <v>5997</v>
      </c>
      <c r="S458" t="s">
        <v>5611</v>
      </c>
      <c r="T458" t="s">
        <v>1448</v>
      </c>
    </row>
    <row r="459" spans="16:20" x14ac:dyDescent="0.35">
      <c r="P459" s="2" t="s">
        <v>1182</v>
      </c>
      <c r="Q459" s="2" t="s">
        <v>5425</v>
      </c>
      <c r="R459" s="2" t="s">
        <v>5682</v>
      </c>
      <c r="S459" t="s">
        <v>5614</v>
      </c>
      <c r="T459" t="s">
        <v>5646</v>
      </c>
    </row>
    <row r="460" spans="16:20" x14ac:dyDescent="0.35">
      <c r="P460" s="2"/>
      <c r="Q460" s="2" t="s">
        <v>4634</v>
      </c>
      <c r="R460" s="2" t="s">
        <v>1184</v>
      </c>
      <c r="S460" t="s">
        <v>5615</v>
      </c>
      <c r="T460" t="s">
        <v>5650</v>
      </c>
    </row>
    <row r="461" spans="16:20" x14ac:dyDescent="0.35">
      <c r="P461" s="2" t="s">
        <v>1184</v>
      </c>
      <c r="Q461" s="2" t="s">
        <v>1185</v>
      </c>
      <c r="R461" s="2" t="s">
        <v>1184</v>
      </c>
      <c r="S461" t="s">
        <v>5615</v>
      </c>
      <c r="T461" t="s">
        <v>5650</v>
      </c>
    </row>
    <row r="462" spans="16:20" x14ac:dyDescent="0.35">
      <c r="P462" s="2"/>
      <c r="Q462" s="2" t="s">
        <v>4157</v>
      </c>
      <c r="R462" s="2" t="s">
        <v>1184</v>
      </c>
      <c r="S462" t="s">
        <v>5615</v>
      </c>
      <c r="T462" t="s">
        <v>5650</v>
      </c>
    </row>
    <row r="463" spans="16:20" x14ac:dyDescent="0.35">
      <c r="P463" t="s">
        <v>4258</v>
      </c>
      <c r="Q463" t="s">
        <v>4157</v>
      </c>
      <c r="R463" t="s">
        <v>5799</v>
      </c>
      <c r="S463" t="s">
        <v>5607</v>
      </c>
      <c r="T463" t="s">
        <v>5650</v>
      </c>
    </row>
    <row r="464" spans="16:20" x14ac:dyDescent="0.35">
      <c r="P464" t="s">
        <v>1193</v>
      </c>
      <c r="Q464" t="s">
        <v>1192</v>
      </c>
      <c r="R464" t="s">
        <v>5870</v>
      </c>
      <c r="S464" t="s">
        <v>1837</v>
      </c>
      <c r="T464" t="s">
        <v>5646</v>
      </c>
    </row>
    <row r="465" spans="16:20" x14ac:dyDescent="0.35">
      <c r="P465" t="s">
        <v>4209</v>
      </c>
      <c r="Q465" t="s">
        <v>4157</v>
      </c>
      <c r="R465" t="s">
        <v>5870</v>
      </c>
      <c r="S465" t="s">
        <v>1837</v>
      </c>
      <c r="T465" t="s">
        <v>5646</v>
      </c>
    </row>
    <row r="466" spans="16:20" x14ac:dyDescent="0.35">
      <c r="P466" t="s">
        <v>1198</v>
      </c>
      <c r="Q466" t="s">
        <v>4647</v>
      </c>
      <c r="R466" t="s">
        <v>1198</v>
      </c>
      <c r="S466" t="s">
        <v>5623</v>
      </c>
      <c r="T466" t="s">
        <v>5658</v>
      </c>
    </row>
    <row r="467" spans="16:20" x14ac:dyDescent="0.35">
      <c r="P467" t="s">
        <v>5172</v>
      </c>
      <c r="Q467" t="s">
        <v>5171</v>
      </c>
      <c r="R467" t="s">
        <v>2723</v>
      </c>
      <c r="S467" t="s">
        <v>5612</v>
      </c>
      <c r="T467" t="s">
        <v>1448</v>
      </c>
    </row>
    <row r="468" spans="16:20" x14ac:dyDescent="0.35">
      <c r="P468" t="s">
        <v>1203</v>
      </c>
      <c r="Q468" t="s">
        <v>4605</v>
      </c>
      <c r="R468" t="s">
        <v>5817</v>
      </c>
      <c r="S468" t="s">
        <v>5614</v>
      </c>
      <c r="T468" t="s">
        <v>5646</v>
      </c>
    </row>
    <row r="469" spans="16:20" x14ac:dyDescent="0.35">
      <c r="P469" t="s">
        <v>1208</v>
      </c>
      <c r="Q469" t="s">
        <v>4898</v>
      </c>
      <c r="R469" t="s">
        <v>5615</v>
      </c>
      <c r="S469" t="s">
        <v>5615</v>
      </c>
      <c r="T469" t="s">
        <v>5650</v>
      </c>
    </row>
    <row r="470" spans="16:20" x14ac:dyDescent="0.35">
      <c r="P470" t="s">
        <v>1210</v>
      </c>
      <c r="Q470" t="s">
        <v>4383</v>
      </c>
      <c r="R470" t="s">
        <v>457</v>
      </c>
      <c r="S470" t="s">
        <v>5607</v>
      </c>
      <c r="T470" t="s">
        <v>5650</v>
      </c>
    </row>
    <row r="471" spans="16:20" x14ac:dyDescent="0.35">
      <c r="P471" t="s">
        <v>1213</v>
      </c>
      <c r="Q471" t="s">
        <v>4711</v>
      </c>
      <c r="R471" t="s">
        <v>5786</v>
      </c>
      <c r="S471" t="s">
        <v>5622</v>
      </c>
      <c r="T471" t="s">
        <v>5646</v>
      </c>
    </row>
    <row r="472" spans="16:20" x14ac:dyDescent="0.35">
      <c r="Q472" t="s">
        <v>4459</v>
      </c>
      <c r="R472" t="s">
        <v>5755</v>
      </c>
      <c r="S472" t="s">
        <v>5614</v>
      </c>
      <c r="T472" t="s">
        <v>5646</v>
      </c>
    </row>
    <row r="473" spans="16:20" x14ac:dyDescent="0.35">
      <c r="P473" t="s">
        <v>1217</v>
      </c>
      <c r="Q473" t="s">
        <v>5259</v>
      </c>
      <c r="R473" t="s">
        <v>5696</v>
      </c>
      <c r="S473" t="s">
        <v>5614</v>
      </c>
      <c r="T473" t="s">
        <v>5646</v>
      </c>
    </row>
    <row r="474" spans="16:20" x14ac:dyDescent="0.35">
      <c r="P474" t="s">
        <v>1221</v>
      </c>
      <c r="Q474" t="s">
        <v>4418</v>
      </c>
      <c r="R474" t="s">
        <v>457</v>
      </c>
      <c r="S474" t="s">
        <v>5607</v>
      </c>
      <c r="T474" t="s">
        <v>5650</v>
      </c>
    </row>
    <row r="475" spans="16:20" x14ac:dyDescent="0.35">
      <c r="P475" t="s">
        <v>1223</v>
      </c>
      <c r="Q475" t="s">
        <v>4460</v>
      </c>
      <c r="R475" t="s">
        <v>5755</v>
      </c>
      <c r="S475" t="s">
        <v>5614</v>
      </c>
      <c r="T475" t="s">
        <v>5646</v>
      </c>
    </row>
    <row r="476" spans="16:20" x14ac:dyDescent="0.35">
      <c r="P476" t="s">
        <v>1226</v>
      </c>
      <c r="Q476" t="s">
        <v>4777</v>
      </c>
      <c r="R476" t="s">
        <v>1856</v>
      </c>
      <c r="S476" t="s">
        <v>1837</v>
      </c>
      <c r="T476" t="s">
        <v>5646</v>
      </c>
    </row>
    <row r="477" spans="16:20" x14ac:dyDescent="0.35">
      <c r="P477" t="s">
        <v>1228</v>
      </c>
      <c r="Q477" t="s">
        <v>5436</v>
      </c>
      <c r="R477" t="s">
        <v>5682</v>
      </c>
      <c r="S477" t="s">
        <v>5614</v>
      </c>
      <c r="T477" t="s">
        <v>5646</v>
      </c>
    </row>
    <row r="478" spans="16:20" x14ac:dyDescent="0.35">
      <c r="P478" t="s">
        <v>1230</v>
      </c>
      <c r="Q478" t="s">
        <v>4591</v>
      </c>
      <c r="R478" t="s">
        <v>1004</v>
      </c>
      <c r="S478" t="s">
        <v>1837</v>
      </c>
      <c r="T478" t="s">
        <v>5646</v>
      </c>
    </row>
    <row r="479" spans="16:20" x14ac:dyDescent="0.35">
      <c r="P479" t="s">
        <v>1232</v>
      </c>
      <c r="Q479" t="s">
        <v>4606</v>
      </c>
      <c r="R479" t="s">
        <v>5817</v>
      </c>
      <c r="S479" t="s">
        <v>5614</v>
      </c>
      <c r="T479" t="s">
        <v>5646</v>
      </c>
    </row>
    <row r="480" spans="16:20" x14ac:dyDescent="0.35">
      <c r="P480" t="s">
        <v>4350</v>
      </c>
      <c r="Q480" t="s">
        <v>4349</v>
      </c>
      <c r="R480" t="s">
        <v>5732</v>
      </c>
      <c r="S480" t="s">
        <v>5614</v>
      </c>
      <c r="T480" t="s">
        <v>5646</v>
      </c>
    </row>
    <row r="481" spans="16:20" x14ac:dyDescent="0.35">
      <c r="Q481" t="s">
        <v>5437</v>
      </c>
      <c r="R481" t="s">
        <v>5682</v>
      </c>
      <c r="S481" t="s">
        <v>5614</v>
      </c>
      <c r="T481" t="s">
        <v>5646</v>
      </c>
    </row>
    <row r="482" spans="16:20" x14ac:dyDescent="0.35">
      <c r="P482" t="s">
        <v>1240</v>
      </c>
      <c r="Q482" t="s">
        <v>5524</v>
      </c>
      <c r="R482" t="s">
        <v>3702</v>
      </c>
      <c r="S482" t="s">
        <v>5619</v>
      </c>
      <c r="T482" t="s">
        <v>5646</v>
      </c>
    </row>
    <row r="483" spans="16:20" x14ac:dyDescent="0.35">
      <c r="P483" t="s">
        <v>1242</v>
      </c>
      <c r="Q483" t="s">
        <v>5525</v>
      </c>
      <c r="R483" t="s">
        <v>3702</v>
      </c>
      <c r="S483" t="s">
        <v>5619</v>
      </c>
      <c r="T483" t="s">
        <v>5646</v>
      </c>
    </row>
    <row r="484" spans="16:20" x14ac:dyDescent="0.35">
      <c r="P484" t="s">
        <v>1244</v>
      </c>
      <c r="Q484" t="s">
        <v>4385</v>
      </c>
      <c r="R484" t="s">
        <v>457</v>
      </c>
      <c r="S484" t="s">
        <v>5607</v>
      </c>
      <c r="T484" t="s">
        <v>5650</v>
      </c>
    </row>
    <row r="485" spans="16:20" x14ac:dyDescent="0.35">
      <c r="Q485" t="s">
        <v>4664</v>
      </c>
      <c r="R485" t="s">
        <v>1244</v>
      </c>
      <c r="S485" t="s">
        <v>5607</v>
      </c>
      <c r="T485" t="s">
        <v>5650</v>
      </c>
    </row>
    <row r="486" spans="16:20" x14ac:dyDescent="0.35">
      <c r="P486" t="s">
        <v>1247</v>
      </c>
      <c r="Q486" t="s">
        <v>5438</v>
      </c>
      <c r="R486" t="s">
        <v>5682</v>
      </c>
      <c r="S486" t="s">
        <v>5614</v>
      </c>
      <c r="T486" t="s">
        <v>5646</v>
      </c>
    </row>
    <row r="487" spans="16:20" x14ac:dyDescent="0.35">
      <c r="P487" t="s">
        <v>1251</v>
      </c>
      <c r="Q487" t="s">
        <v>4289</v>
      </c>
      <c r="R487" t="s">
        <v>4161</v>
      </c>
      <c r="S487" t="s">
        <v>5614</v>
      </c>
      <c r="T487" t="s">
        <v>5646</v>
      </c>
    </row>
    <row r="488" spans="16:20" x14ac:dyDescent="0.35">
      <c r="P488" t="s">
        <v>1253</v>
      </c>
      <c r="Q488" t="s">
        <v>4579</v>
      </c>
      <c r="R488" t="s">
        <v>955</v>
      </c>
      <c r="S488" t="s">
        <v>5607</v>
      </c>
      <c r="T488" t="s">
        <v>5650</v>
      </c>
    </row>
    <row r="489" spans="16:20" x14ac:dyDescent="0.35">
      <c r="P489" t="s">
        <v>1256</v>
      </c>
      <c r="Q489" t="s">
        <v>4738</v>
      </c>
      <c r="R489" t="s">
        <v>1691</v>
      </c>
      <c r="S489" t="s">
        <v>5615</v>
      </c>
      <c r="T489" t="s">
        <v>5650</v>
      </c>
    </row>
    <row r="490" spans="16:20" x14ac:dyDescent="0.35">
      <c r="Q490" t="s">
        <v>4776</v>
      </c>
      <c r="R490" t="s">
        <v>1856</v>
      </c>
      <c r="S490" t="s">
        <v>1837</v>
      </c>
      <c r="T490" t="s">
        <v>5646</v>
      </c>
    </row>
    <row r="491" spans="16:20" x14ac:dyDescent="0.35">
      <c r="P491" t="s">
        <v>4235</v>
      </c>
      <c r="Q491" t="s">
        <v>4157</v>
      </c>
      <c r="R491" t="s">
        <v>4237</v>
      </c>
      <c r="S491" t="s">
        <v>5610</v>
      </c>
      <c r="T491" t="s">
        <v>5646</v>
      </c>
    </row>
    <row r="492" spans="16:20" x14ac:dyDescent="0.35">
      <c r="P492" t="s">
        <v>1263</v>
      </c>
      <c r="Q492" t="s">
        <v>5421</v>
      </c>
      <c r="R492" t="s">
        <v>5715</v>
      </c>
      <c r="S492" t="s">
        <v>5611</v>
      </c>
      <c r="T492" t="s">
        <v>1448</v>
      </c>
    </row>
    <row r="493" spans="16:20" x14ac:dyDescent="0.35">
      <c r="P493" t="s">
        <v>1266</v>
      </c>
      <c r="Q493" t="s">
        <v>4876</v>
      </c>
      <c r="R493" t="s">
        <v>2007</v>
      </c>
      <c r="S493" t="s">
        <v>5607</v>
      </c>
      <c r="T493" t="s">
        <v>5650</v>
      </c>
    </row>
    <row r="494" spans="16:20" x14ac:dyDescent="0.35">
      <c r="Q494" t="s">
        <v>4071</v>
      </c>
      <c r="R494" t="s">
        <v>5719</v>
      </c>
      <c r="S494" t="s">
        <v>5607</v>
      </c>
      <c r="T494" t="s">
        <v>5650</v>
      </c>
    </row>
    <row r="495" spans="16:20" x14ac:dyDescent="0.35">
      <c r="Q495" t="s">
        <v>4769</v>
      </c>
      <c r="R495" t="s">
        <v>5708</v>
      </c>
      <c r="S495" t="s">
        <v>5616</v>
      </c>
      <c r="T495" t="s">
        <v>5650</v>
      </c>
    </row>
    <row r="496" spans="16:20" x14ac:dyDescent="0.35">
      <c r="P496" t="s">
        <v>4254</v>
      </c>
      <c r="Q496" t="s">
        <v>4157</v>
      </c>
      <c r="R496" t="s">
        <v>5103</v>
      </c>
      <c r="S496" t="s">
        <v>5607</v>
      </c>
      <c r="T496" t="s">
        <v>5650</v>
      </c>
    </row>
    <row r="497" spans="16:20" x14ac:dyDescent="0.35">
      <c r="P497" t="s">
        <v>4169</v>
      </c>
      <c r="Q497" t="s">
        <v>4607</v>
      </c>
      <c r="R497" t="s">
        <v>5817</v>
      </c>
      <c r="S497" t="s">
        <v>5614</v>
      </c>
      <c r="T497" t="s">
        <v>5646</v>
      </c>
    </row>
    <row r="498" spans="16:20" x14ac:dyDescent="0.35">
      <c r="Q498" t="s">
        <v>4157</v>
      </c>
      <c r="R498" t="s">
        <v>5819</v>
      </c>
      <c r="S498" t="s">
        <v>5614</v>
      </c>
      <c r="T498" t="s">
        <v>5646</v>
      </c>
    </row>
    <row r="499" spans="16:20" x14ac:dyDescent="0.35">
      <c r="P499" t="s">
        <v>1280</v>
      </c>
      <c r="Q499" t="s">
        <v>4744</v>
      </c>
      <c r="R499" t="s">
        <v>1691</v>
      </c>
      <c r="S499" t="s">
        <v>5615</v>
      </c>
      <c r="T499" t="s">
        <v>5650</v>
      </c>
    </row>
    <row r="500" spans="16:20" x14ac:dyDescent="0.35">
      <c r="P500" t="s">
        <v>1284</v>
      </c>
      <c r="Q500" t="s">
        <v>4461</v>
      </c>
      <c r="R500" t="s">
        <v>5755</v>
      </c>
      <c r="S500" t="s">
        <v>5614</v>
      </c>
      <c r="T500" t="s">
        <v>5646</v>
      </c>
    </row>
    <row r="501" spans="16:20" x14ac:dyDescent="0.35">
      <c r="P501" t="s">
        <v>1286</v>
      </c>
      <c r="Q501" t="s">
        <v>5247</v>
      </c>
      <c r="R501" t="s">
        <v>2914</v>
      </c>
      <c r="S501" t="s">
        <v>5607</v>
      </c>
      <c r="T501" t="s">
        <v>5650</v>
      </c>
    </row>
    <row r="502" spans="16:20" x14ac:dyDescent="0.35">
      <c r="P502" t="s">
        <v>1290</v>
      </c>
      <c r="Q502" t="s">
        <v>4495</v>
      </c>
      <c r="R502" t="s">
        <v>5607</v>
      </c>
      <c r="S502" t="s">
        <v>5607</v>
      </c>
      <c r="T502" t="s">
        <v>5650</v>
      </c>
    </row>
    <row r="503" spans="16:20" x14ac:dyDescent="0.35">
      <c r="P503" t="s">
        <v>1295</v>
      </c>
      <c r="Q503" t="s">
        <v>5418</v>
      </c>
      <c r="R503" t="s">
        <v>5715</v>
      </c>
      <c r="S503" t="s">
        <v>5611</v>
      </c>
      <c r="T503" t="s">
        <v>1448</v>
      </c>
    </row>
    <row r="504" spans="16:20" x14ac:dyDescent="0.35">
      <c r="P504" t="s">
        <v>1297</v>
      </c>
      <c r="Q504" t="s">
        <v>5047</v>
      </c>
      <c r="R504" t="s">
        <v>2561</v>
      </c>
      <c r="S504" t="s">
        <v>5611</v>
      </c>
      <c r="T504" t="s">
        <v>1448</v>
      </c>
    </row>
    <row r="505" spans="16:20" x14ac:dyDescent="0.35">
      <c r="Q505" t="s">
        <v>5592</v>
      </c>
      <c r="R505" t="s">
        <v>3938</v>
      </c>
      <c r="S505" t="s">
        <v>5607</v>
      </c>
      <c r="T505" t="s">
        <v>5650</v>
      </c>
    </row>
    <row r="506" spans="16:20" x14ac:dyDescent="0.35">
      <c r="P506" t="s">
        <v>1305</v>
      </c>
      <c r="Q506" t="s">
        <v>4398</v>
      </c>
      <c r="R506" t="s">
        <v>457</v>
      </c>
      <c r="S506" t="s">
        <v>5607</v>
      </c>
      <c r="T506" t="s">
        <v>5650</v>
      </c>
    </row>
    <row r="507" spans="16:20" x14ac:dyDescent="0.35">
      <c r="P507" t="s">
        <v>1307</v>
      </c>
      <c r="Q507" t="s">
        <v>4671</v>
      </c>
      <c r="R507" t="s">
        <v>1349</v>
      </c>
      <c r="S507" t="s">
        <v>5607</v>
      </c>
      <c r="T507" t="s">
        <v>5650</v>
      </c>
    </row>
    <row r="508" spans="16:20" x14ac:dyDescent="0.35">
      <c r="Q508" t="s">
        <v>4290</v>
      </c>
      <c r="R508" t="s">
        <v>4161</v>
      </c>
      <c r="S508" t="s">
        <v>5614</v>
      </c>
      <c r="T508" t="s">
        <v>5646</v>
      </c>
    </row>
    <row r="509" spans="16:20" x14ac:dyDescent="0.35">
      <c r="P509" t="s">
        <v>1312</v>
      </c>
      <c r="Q509" t="s">
        <v>5030</v>
      </c>
      <c r="R509" t="s">
        <v>5831</v>
      </c>
      <c r="S509" t="s">
        <v>5612</v>
      </c>
      <c r="T509" t="s">
        <v>1448</v>
      </c>
    </row>
    <row r="510" spans="16:20" x14ac:dyDescent="0.35">
      <c r="Q510" t="s">
        <v>4666</v>
      </c>
      <c r="R510" t="s">
        <v>1312</v>
      </c>
      <c r="S510" t="s">
        <v>5615</v>
      </c>
      <c r="T510" t="s">
        <v>5650</v>
      </c>
    </row>
    <row r="511" spans="16:20" x14ac:dyDescent="0.35">
      <c r="P511" t="s">
        <v>1316</v>
      </c>
      <c r="Q511" t="s">
        <v>4899</v>
      </c>
      <c r="R511" t="s">
        <v>5615</v>
      </c>
      <c r="S511" t="s">
        <v>5615</v>
      </c>
      <c r="T511" t="s">
        <v>5650</v>
      </c>
    </row>
    <row r="512" spans="16:20" x14ac:dyDescent="0.35">
      <c r="Q512" t="s">
        <v>5210</v>
      </c>
      <c r="R512" t="s">
        <v>2841</v>
      </c>
      <c r="S512" t="s">
        <v>5615</v>
      </c>
      <c r="T512" t="s">
        <v>5650</v>
      </c>
    </row>
    <row r="513" spans="16:20" x14ac:dyDescent="0.35">
      <c r="Q513" t="s">
        <v>4793</v>
      </c>
      <c r="R513" t="s">
        <v>1872</v>
      </c>
      <c r="S513" t="s">
        <v>5607</v>
      </c>
      <c r="T513" t="s">
        <v>5650</v>
      </c>
    </row>
    <row r="514" spans="16:20" x14ac:dyDescent="0.35">
      <c r="Q514" t="s">
        <v>5001</v>
      </c>
      <c r="R514" t="s">
        <v>5885</v>
      </c>
      <c r="S514" t="s">
        <v>5607</v>
      </c>
      <c r="T514" t="s">
        <v>5650</v>
      </c>
    </row>
    <row r="515" spans="16:20" x14ac:dyDescent="0.35">
      <c r="P515" t="s">
        <v>4215</v>
      </c>
      <c r="Q515" t="s">
        <v>4157</v>
      </c>
      <c r="R515" t="s">
        <v>6050</v>
      </c>
      <c r="S515" t="s">
        <v>1837</v>
      </c>
      <c r="T515" t="s">
        <v>5646</v>
      </c>
    </row>
    <row r="516" spans="16:20" x14ac:dyDescent="0.35">
      <c r="P516" t="s">
        <v>1327</v>
      </c>
      <c r="Q516" t="s">
        <v>4900</v>
      </c>
      <c r="R516" t="s">
        <v>5615</v>
      </c>
      <c r="S516" t="s">
        <v>5615</v>
      </c>
      <c r="T516" t="s">
        <v>5650</v>
      </c>
    </row>
    <row r="517" spans="16:20" x14ac:dyDescent="0.35">
      <c r="P517" t="s">
        <v>1330</v>
      </c>
      <c r="Q517" t="s">
        <v>4933</v>
      </c>
      <c r="R517" t="s">
        <v>5799</v>
      </c>
      <c r="S517" t="s">
        <v>5607</v>
      </c>
      <c r="T517" t="s">
        <v>5650</v>
      </c>
    </row>
    <row r="518" spans="16:20" x14ac:dyDescent="0.35">
      <c r="P518" t="s">
        <v>1332</v>
      </c>
      <c r="Q518" t="s">
        <v>5385</v>
      </c>
      <c r="R518" t="s">
        <v>5961</v>
      </c>
      <c r="S518" t="s">
        <v>5610</v>
      </c>
      <c r="T518" t="s">
        <v>5646</v>
      </c>
    </row>
    <row r="519" spans="16:20" x14ac:dyDescent="0.35">
      <c r="P519" t="s">
        <v>1334</v>
      </c>
      <c r="Q519" t="s">
        <v>5296</v>
      </c>
      <c r="R519" t="s">
        <v>5798</v>
      </c>
      <c r="S519" t="s">
        <v>5615</v>
      </c>
      <c r="T519" t="s">
        <v>5650</v>
      </c>
    </row>
    <row r="520" spans="16:20" x14ac:dyDescent="0.35">
      <c r="P520" t="s">
        <v>1336</v>
      </c>
      <c r="Q520" t="s">
        <v>5237</v>
      </c>
      <c r="R520" t="s">
        <v>2914</v>
      </c>
      <c r="S520" t="s">
        <v>5607</v>
      </c>
      <c r="T520" t="s">
        <v>5650</v>
      </c>
    </row>
    <row r="521" spans="16:20" x14ac:dyDescent="0.35">
      <c r="P521" t="s">
        <v>5553</v>
      </c>
      <c r="Q521" t="s">
        <v>5552</v>
      </c>
      <c r="R521" t="s">
        <v>3776</v>
      </c>
      <c r="S521" t="s">
        <v>1837</v>
      </c>
      <c r="T521" t="s">
        <v>5646</v>
      </c>
    </row>
    <row r="522" spans="16:20" x14ac:dyDescent="0.35">
      <c r="P522" t="s">
        <v>1343</v>
      </c>
      <c r="Q522" t="s">
        <v>5419</v>
      </c>
      <c r="R522" t="s">
        <v>5715</v>
      </c>
      <c r="S522" t="s">
        <v>5611</v>
      </c>
      <c r="T522" t="s">
        <v>1448</v>
      </c>
    </row>
    <row r="523" spans="16:20" x14ac:dyDescent="0.35">
      <c r="P523" t="s">
        <v>1345</v>
      </c>
      <c r="Q523" t="s">
        <v>4140</v>
      </c>
      <c r="R523" t="s">
        <v>2561</v>
      </c>
      <c r="S523" t="s">
        <v>5611</v>
      </c>
      <c r="T523" t="s">
        <v>1448</v>
      </c>
    </row>
    <row r="524" spans="16:20" x14ac:dyDescent="0.35">
      <c r="P524" t="s">
        <v>1347</v>
      </c>
      <c r="Q524" t="s">
        <v>4766</v>
      </c>
      <c r="R524" t="s">
        <v>5708</v>
      </c>
      <c r="S524" t="s">
        <v>5616</v>
      </c>
      <c r="T524" t="s">
        <v>5650</v>
      </c>
    </row>
    <row r="525" spans="16:20" x14ac:dyDescent="0.35">
      <c r="P525" t="s">
        <v>1349</v>
      </c>
      <c r="Q525" t="s">
        <v>4673</v>
      </c>
      <c r="R525" t="s">
        <v>1349</v>
      </c>
      <c r="S525" t="s">
        <v>5607</v>
      </c>
      <c r="T525" t="s">
        <v>5650</v>
      </c>
    </row>
    <row r="526" spans="16:20" x14ac:dyDescent="0.35">
      <c r="P526" t="s">
        <v>1353</v>
      </c>
      <c r="Q526" t="s">
        <v>5508</v>
      </c>
      <c r="R526" t="s">
        <v>3702</v>
      </c>
      <c r="S526" t="s">
        <v>5619</v>
      </c>
      <c r="T526" t="s">
        <v>5646</v>
      </c>
    </row>
    <row r="527" spans="16:20" x14ac:dyDescent="0.35">
      <c r="P527" t="s">
        <v>1355</v>
      </c>
      <c r="Q527" t="s">
        <v>5208</v>
      </c>
      <c r="R527" t="s">
        <v>2839</v>
      </c>
      <c r="S527" t="s">
        <v>1837</v>
      </c>
      <c r="T527" t="s">
        <v>5646</v>
      </c>
    </row>
    <row r="528" spans="16:20" x14ac:dyDescent="0.35">
      <c r="P528" t="s">
        <v>1357</v>
      </c>
      <c r="Q528" t="s">
        <v>4800</v>
      </c>
      <c r="R528" t="s">
        <v>1872</v>
      </c>
      <c r="S528" t="s">
        <v>5607</v>
      </c>
      <c r="T528" t="s">
        <v>5650</v>
      </c>
    </row>
    <row r="529" spans="16:20" x14ac:dyDescent="0.35">
      <c r="P529" t="s">
        <v>4076</v>
      </c>
      <c r="Q529" t="s">
        <v>4075</v>
      </c>
      <c r="R529" t="s">
        <v>5719</v>
      </c>
      <c r="S529" t="s">
        <v>5607</v>
      </c>
      <c r="T529" t="s">
        <v>5650</v>
      </c>
    </row>
    <row r="530" spans="16:20" x14ac:dyDescent="0.35">
      <c r="P530" t="s">
        <v>1362</v>
      </c>
      <c r="Q530" t="s">
        <v>4479</v>
      </c>
      <c r="R530" t="s">
        <v>5607</v>
      </c>
      <c r="S530" t="s">
        <v>5607</v>
      </c>
      <c r="T530" t="s">
        <v>5650</v>
      </c>
    </row>
    <row r="531" spans="16:20" x14ac:dyDescent="0.35">
      <c r="P531" t="s">
        <v>4229</v>
      </c>
      <c r="Q531" t="s">
        <v>4157</v>
      </c>
      <c r="R531" t="s">
        <v>4228</v>
      </c>
      <c r="S531" t="s">
        <v>5619</v>
      </c>
      <c r="T531" t="s">
        <v>5646</v>
      </c>
    </row>
    <row r="532" spans="16:20" x14ac:dyDescent="0.35">
      <c r="P532" t="s">
        <v>1367</v>
      </c>
      <c r="Q532" t="s">
        <v>4853</v>
      </c>
      <c r="R532" t="s">
        <v>1959</v>
      </c>
      <c r="S532" t="s">
        <v>5615</v>
      </c>
      <c r="T532" t="s">
        <v>5650</v>
      </c>
    </row>
    <row r="533" spans="16:20" x14ac:dyDescent="0.35">
      <c r="P533" t="s">
        <v>1369</v>
      </c>
      <c r="Q533" t="s">
        <v>4887</v>
      </c>
      <c r="R533" t="s">
        <v>5926</v>
      </c>
      <c r="S533" t="s">
        <v>1837</v>
      </c>
      <c r="T533" t="s">
        <v>5646</v>
      </c>
    </row>
    <row r="534" spans="16:20" x14ac:dyDescent="0.35">
      <c r="P534" t="s">
        <v>1372</v>
      </c>
      <c r="Q534" t="s">
        <v>4157</v>
      </c>
      <c r="R534" t="s">
        <v>2694</v>
      </c>
      <c r="S534" t="s">
        <v>5615</v>
      </c>
      <c r="T534" t="s">
        <v>5650</v>
      </c>
    </row>
    <row r="535" spans="16:20" x14ac:dyDescent="0.35">
      <c r="P535" t="s">
        <v>1375</v>
      </c>
      <c r="Q535" t="s">
        <v>4696</v>
      </c>
      <c r="R535" t="s">
        <v>1375</v>
      </c>
      <c r="S535" t="s">
        <v>5607</v>
      </c>
      <c r="T535" t="s">
        <v>5650</v>
      </c>
    </row>
    <row r="536" spans="16:20" x14ac:dyDescent="0.35">
      <c r="P536" t="s">
        <v>1377</v>
      </c>
      <c r="Q536" t="s">
        <v>5187</v>
      </c>
      <c r="R536" t="s">
        <v>5645</v>
      </c>
      <c r="S536" t="s">
        <v>5611</v>
      </c>
      <c r="T536" t="s">
        <v>1448</v>
      </c>
    </row>
    <row r="537" spans="16:20" x14ac:dyDescent="0.35">
      <c r="Q537" t="s">
        <v>4155</v>
      </c>
      <c r="R537" t="s">
        <v>3836</v>
      </c>
      <c r="S537" t="s">
        <v>5611</v>
      </c>
      <c r="T537" t="s">
        <v>1448</v>
      </c>
    </row>
    <row r="538" spans="16:20" x14ac:dyDescent="0.35">
      <c r="P538" t="s">
        <v>1381</v>
      </c>
      <c r="Q538" t="s">
        <v>4089</v>
      </c>
      <c r="R538" t="s">
        <v>2017</v>
      </c>
      <c r="S538" t="s">
        <v>1837</v>
      </c>
      <c r="T538" t="s">
        <v>5646</v>
      </c>
    </row>
    <row r="539" spans="16:20" x14ac:dyDescent="0.35">
      <c r="P539" t="s">
        <v>1384</v>
      </c>
      <c r="Q539" t="s">
        <v>4804</v>
      </c>
      <c r="R539" t="s">
        <v>1872</v>
      </c>
      <c r="S539" t="s">
        <v>5607</v>
      </c>
      <c r="T539" t="s">
        <v>5650</v>
      </c>
    </row>
    <row r="540" spans="16:20" x14ac:dyDescent="0.35">
      <c r="Q540" t="s">
        <v>4823</v>
      </c>
      <c r="R540" t="s">
        <v>1910</v>
      </c>
      <c r="S540" t="s">
        <v>1837</v>
      </c>
      <c r="T540" t="s">
        <v>5646</v>
      </c>
    </row>
    <row r="541" spans="16:20" x14ac:dyDescent="0.35">
      <c r="P541" t="s">
        <v>1389</v>
      </c>
      <c r="Q541" t="s">
        <v>4757</v>
      </c>
      <c r="R541" t="s">
        <v>1779</v>
      </c>
      <c r="S541" t="s">
        <v>5611</v>
      </c>
      <c r="T541" t="s">
        <v>1448</v>
      </c>
    </row>
    <row r="542" spans="16:20" x14ac:dyDescent="0.35">
      <c r="P542" t="s">
        <v>1391</v>
      </c>
      <c r="Q542" t="s">
        <v>4122</v>
      </c>
      <c r="R542" t="s">
        <v>1779</v>
      </c>
      <c r="S542" t="s">
        <v>5611</v>
      </c>
      <c r="T542" t="s">
        <v>1448</v>
      </c>
    </row>
    <row r="543" spans="16:20" x14ac:dyDescent="0.35">
      <c r="P543" t="s">
        <v>1393</v>
      </c>
      <c r="Q543" t="s">
        <v>4124</v>
      </c>
      <c r="R543" t="s">
        <v>1779</v>
      </c>
      <c r="S543" t="s">
        <v>5611</v>
      </c>
      <c r="T543" t="s">
        <v>1448</v>
      </c>
    </row>
    <row r="544" spans="16:20" x14ac:dyDescent="0.35">
      <c r="P544" t="s">
        <v>1395</v>
      </c>
      <c r="Q544" t="s">
        <v>4120</v>
      </c>
      <c r="R544" t="s">
        <v>1779</v>
      </c>
      <c r="S544" t="s">
        <v>5611</v>
      </c>
      <c r="T544" t="s">
        <v>1448</v>
      </c>
    </row>
    <row r="545" spans="16:20" x14ac:dyDescent="0.35">
      <c r="P545" t="s">
        <v>1397</v>
      </c>
      <c r="Q545" t="s">
        <v>4114</v>
      </c>
      <c r="R545" t="s">
        <v>1779</v>
      </c>
      <c r="S545" t="s">
        <v>5611</v>
      </c>
      <c r="T545" t="s">
        <v>1448</v>
      </c>
    </row>
    <row r="546" spans="16:20" x14ac:dyDescent="0.35">
      <c r="P546" t="s">
        <v>1400</v>
      </c>
      <c r="Q546" t="s">
        <v>4399</v>
      </c>
      <c r="R546" t="s">
        <v>457</v>
      </c>
      <c r="S546" t="s">
        <v>5607</v>
      </c>
      <c r="T546" t="s">
        <v>5650</v>
      </c>
    </row>
    <row r="547" spans="16:20" x14ac:dyDescent="0.35">
      <c r="P547" t="s">
        <v>1402</v>
      </c>
      <c r="Q547" t="s">
        <v>4077</v>
      </c>
      <c r="R547" t="s">
        <v>5719</v>
      </c>
      <c r="S547" t="s">
        <v>5607</v>
      </c>
      <c r="T547" t="s">
        <v>5650</v>
      </c>
    </row>
    <row r="548" spans="16:20" x14ac:dyDescent="0.35">
      <c r="P548" t="s">
        <v>1404</v>
      </c>
      <c r="Q548" t="s">
        <v>4338</v>
      </c>
      <c r="R548" t="s">
        <v>5713</v>
      </c>
      <c r="S548" t="s">
        <v>5611</v>
      </c>
      <c r="T548" t="s">
        <v>1448</v>
      </c>
    </row>
    <row r="549" spans="16:20" x14ac:dyDescent="0.35">
      <c r="P549" t="s">
        <v>1406</v>
      </c>
      <c r="Q549" t="s">
        <v>5439</v>
      </c>
      <c r="R549" t="s">
        <v>5682</v>
      </c>
      <c r="S549" t="s">
        <v>5614</v>
      </c>
      <c r="T549" t="s">
        <v>5646</v>
      </c>
    </row>
    <row r="550" spans="16:20" x14ac:dyDescent="0.35">
      <c r="P550" t="s">
        <v>4185</v>
      </c>
      <c r="Q550" t="s">
        <v>4157</v>
      </c>
      <c r="R550" t="s">
        <v>2628</v>
      </c>
      <c r="S550" t="s">
        <v>5606</v>
      </c>
      <c r="T550" t="s">
        <v>5646</v>
      </c>
    </row>
    <row r="551" spans="16:20" x14ac:dyDescent="0.35">
      <c r="P551" t="s">
        <v>1411</v>
      </c>
      <c r="Q551" t="s">
        <v>4417</v>
      </c>
      <c r="R551" t="s">
        <v>457</v>
      </c>
      <c r="S551" t="s">
        <v>5607</v>
      </c>
      <c r="T551" t="s">
        <v>5650</v>
      </c>
    </row>
    <row r="552" spans="16:20" x14ac:dyDescent="0.35">
      <c r="P552" t="s">
        <v>1413</v>
      </c>
      <c r="Q552" t="s">
        <v>1414</v>
      </c>
      <c r="R552" t="s">
        <v>719</v>
      </c>
      <c r="S552" t="s">
        <v>5606</v>
      </c>
      <c r="T552" t="s">
        <v>5646</v>
      </c>
    </row>
    <row r="553" spans="16:20" x14ac:dyDescent="0.35">
      <c r="Q553" t="s">
        <v>4157</v>
      </c>
      <c r="R553" t="s">
        <v>719</v>
      </c>
      <c r="S553" t="s">
        <v>5606</v>
      </c>
      <c r="T553" t="s">
        <v>5646</v>
      </c>
    </row>
    <row r="554" spans="16:20" x14ac:dyDescent="0.35">
      <c r="P554" t="s">
        <v>1417</v>
      </c>
      <c r="Q554" t="s">
        <v>5540</v>
      </c>
      <c r="R554" t="s">
        <v>5610</v>
      </c>
      <c r="S554" t="s">
        <v>5610</v>
      </c>
      <c r="T554" t="s">
        <v>5646</v>
      </c>
    </row>
    <row r="555" spans="16:20" x14ac:dyDescent="0.35">
      <c r="P555" t="s">
        <v>1422</v>
      </c>
      <c r="Q555" t="s">
        <v>5331</v>
      </c>
      <c r="R555" t="s">
        <v>3101</v>
      </c>
      <c r="S555" t="s">
        <v>5610</v>
      </c>
      <c r="T555" t="s">
        <v>5646</v>
      </c>
    </row>
    <row r="556" spans="16:20" x14ac:dyDescent="0.35">
      <c r="P556" t="s">
        <v>1424</v>
      </c>
      <c r="Q556" t="s">
        <v>5260</v>
      </c>
      <c r="R556" t="s">
        <v>5696</v>
      </c>
      <c r="S556" t="s">
        <v>5614</v>
      </c>
      <c r="T556" t="s">
        <v>5646</v>
      </c>
    </row>
    <row r="557" spans="16:20" x14ac:dyDescent="0.35">
      <c r="P557" t="s">
        <v>1426</v>
      </c>
      <c r="Q557" t="s">
        <v>4532</v>
      </c>
      <c r="R557" t="s">
        <v>5783</v>
      </c>
      <c r="S557" t="s">
        <v>5607</v>
      </c>
      <c r="T557" t="s">
        <v>5650</v>
      </c>
    </row>
    <row r="558" spans="16:20" x14ac:dyDescent="0.35">
      <c r="P558" t="s">
        <v>1428</v>
      </c>
      <c r="Q558" t="s">
        <v>4742</v>
      </c>
      <c r="R558" t="s">
        <v>1691</v>
      </c>
      <c r="S558" t="s">
        <v>5615</v>
      </c>
      <c r="T558" t="s">
        <v>5650</v>
      </c>
    </row>
    <row r="559" spans="16:20" x14ac:dyDescent="0.35">
      <c r="P559" t="s">
        <v>4186</v>
      </c>
      <c r="Q559" t="s">
        <v>4157</v>
      </c>
      <c r="R559" t="s">
        <v>2628</v>
      </c>
      <c r="S559" t="s">
        <v>5606</v>
      </c>
      <c r="T559" t="s">
        <v>5646</v>
      </c>
    </row>
    <row r="560" spans="16:20" x14ac:dyDescent="0.35">
      <c r="P560" t="s">
        <v>5141</v>
      </c>
      <c r="Q560" t="s">
        <v>1432</v>
      </c>
      <c r="R560" t="s">
        <v>2628</v>
      </c>
      <c r="S560" t="s">
        <v>5614</v>
      </c>
      <c r="T560" t="s">
        <v>5646</v>
      </c>
    </row>
    <row r="561" spans="16:20" x14ac:dyDescent="0.35">
      <c r="P561" t="s">
        <v>4265</v>
      </c>
      <c r="Q561" t="s">
        <v>4157</v>
      </c>
      <c r="R561" t="s">
        <v>5799</v>
      </c>
      <c r="S561" t="s">
        <v>5607</v>
      </c>
      <c r="T561" t="s">
        <v>5650</v>
      </c>
    </row>
    <row r="562" spans="16:20" x14ac:dyDescent="0.35">
      <c r="P562" t="s">
        <v>1437</v>
      </c>
      <c r="Q562" t="s">
        <v>4934</v>
      </c>
      <c r="R562" t="s">
        <v>5799</v>
      </c>
      <c r="S562" t="s">
        <v>5607</v>
      </c>
      <c r="T562" t="s">
        <v>5650</v>
      </c>
    </row>
    <row r="563" spans="16:20" x14ac:dyDescent="0.35">
      <c r="P563" t="s">
        <v>1439</v>
      </c>
      <c r="Q563" t="s">
        <v>4737</v>
      </c>
      <c r="R563" t="s">
        <v>1691</v>
      </c>
      <c r="S563" t="s">
        <v>5615</v>
      </c>
      <c r="T563" t="s">
        <v>5650</v>
      </c>
    </row>
    <row r="564" spans="16:20" x14ac:dyDescent="0.35">
      <c r="P564" t="s">
        <v>1442</v>
      </c>
      <c r="Q564" t="s">
        <v>4651</v>
      </c>
      <c r="R564" t="s">
        <v>1244</v>
      </c>
      <c r="S564" t="s">
        <v>5607</v>
      </c>
      <c r="T564" t="s">
        <v>5650</v>
      </c>
    </row>
    <row r="565" spans="16:20" x14ac:dyDescent="0.35">
      <c r="P565" t="s">
        <v>1444</v>
      </c>
      <c r="Q565" t="s">
        <v>4709</v>
      </c>
      <c r="R565" t="s">
        <v>5850</v>
      </c>
      <c r="S565" t="s">
        <v>5609</v>
      </c>
      <c r="T565" t="s">
        <v>5658</v>
      </c>
    </row>
    <row r="566" spans="16:20" x14ac:dyDescent="0.35">
      <c r="P566" t="s">
        <v>1448</v>
      </c>
      <c r="Q566" t="s">
        <v>4707</v>
      </c>
      <c r="R566" t="s">
        <v>5850</v>
      </c>
      <c r="S566" t="s">
        <v>5609</v>
      </c>
      <c r="T566" t="s">
        <v>5658</v>
      </c>
    </row>
    <row r="567" spans="16:20" x14ac:dyDescent="0.35">
      <c r="P567" t="s">
        <v>4187</v>
      </c>
      <c r="Q567" t="s">
        <v>4478</v>
      </c>
      <c r="R567" t="s">
        <v>5757</v>
      </c>
      <c r="S567" t="s">
        <v>5614</v>
      </c>
      <c r="T567" t="s">
        <v>5646</v>
      </c>
    </row>
    <row r="568" spans="16:20" x14ac:dyDescent="0.35">
      <c r="Q568" t="s">
        <v>4157</v>
      </c>
      <c r="R568" t="s">
        <v>2628</v>
      </c>
      <c r="S568" t="s">
        <v>5606</v>
      </c>
      <c r="T568" t="s">
        <v>5646</v>
      </c>
    </row>
    <row r="569" spans="16:20" x14ac:dyDescent="0.35">
      <c r="P569" t="s">
        <v>4200</v>
      </c>
      <c r="Q569" t="s">
        <v>4926</v>
      </c>
      <c r="R569" t="s">
        <v>5799</v>
      </c>
      <c r="S569" t="s">
        <v>5607</v>
      </c>
      <c r="T569" t="s">
        <v>5650</v>
      </c>
    </row>
    <row r="570" spans="16:20" x14ac:dyDescent="0.35">
      <c r="Q570" t="s">
        <v>4157</v>
      </c>
      <c r="R570" t="s">
        <v>70</v>
      </c>
      <c r="S570" t="s">
        <v>1837</v>
      </c>
      <c r="T570" t="s">
        <v>5646</v>
      </c>
    </row>
    <row r="571" spans="16:20" x14ac:dyDescent="0.35">
      <c r="P571" t="s">
        <v>1460</v>
      </c>
      <c r="Q571" t="s">
        <v>4157</v>
      </c>
      <c r="R571" t="s">
        <v>4240</v>
      </c>
      <c r="S571" t="s">
        <v>5607</v>
      </c>
      <c r="T571" t="s">
        <v>5650</v>
      </c>
    </row>
    <row r="572" spans="16:20" x14ac:dyDescent="0.35">
      <c r="P572" t="s">
        <v>1464</v>
      </c>
      <c r="Q572" t="s">
        <v>4036</v>
      </c>
      <c r="R572" t="s">
        <v>3370</v>
      </c>
      <c r="S572" t="s">
        <v>5615</v>
      </c>
      <c r="T572" t="s">
        <v>5650</v>
      </c>
    </row>
    <row r="573" spans="16:20" x14ac:dyDescent="0.35">
      <c r="Q573" t="s">
        <v>5415</v>
      </c>
      <c r="R573" t="s">
        <v>3370</v>
      </c>
      <c r="S573" t="s">
        <v>5615</v>
      </c>
      <c r="T573" t="s">
        <v>5650</v>
      </c>
    </row>
    <row r="574" spans="16:20" x14ac:dyDescent="0.35">
      <c r="P574" t="s">
        <v>1471</v>
      </c>
      <c r="Q574" t="s">
        <v>4121</v>
      </c>
      <c r="R574" t="s">
        <v>1779</v>
      </c>
      <c r="S574" t="s">
        <v>5611</v>
      </c>
      <c r="T574" t="s">
        <v>1448</v>
      </c>
    </row>
    <row r="575" spans="16:20" x14ac:dyDescent="0.35">
      <c r="P575" t="s">
        <v>1474</v>
      </c>
      <c r="Q575" t="s">
        <v>5377</v>
      </c>
      <c r="R575" t="s">
        <v>3246</v>
      </c>
      <c r="S575" t="s">
        <v>5617</v>
      </c>
      <c r="T575" t="s">
        <v>5658</v>
      </c>
    </row>
    <row r="576" spans="16:20" x14ac:dyDescent="0.35">
      <c r="P576" t="s">
        <v>1478</v>
      </c>
      <c r="Q576" t="s">
        <v>4328</v>
      </c>
      <c r="R576" t="s">
        <v>287</v>
      </c>
      <c r="S576" t="s">
        <v>5614</v>
      </c>
      <c r="T576" t="s">
        <v>5646</v>
      </c>
    </row>
    <row r="577" spans="16:20" x14ac:dyDescent="0.35">
      <c r="P577" t="s">
        <v>5039</v>
      </c>
      <c r="Q577" t="s">
        <v>5038</v>
      </c>
      <c r="R577" t="s">
        <v>5831</v>
      </c>
      <c r="S577" t="s">
        <v>5612</v>
      </c>
      <c r="T577" t="s">
        <v>1448</v>
      </c>
    </row>
    <row r="578" spans="16:20" x14ac:dyDescent="0.35">
      <c r="P578" t="s">
        <v>5096</v>
      </c>
      <c r="Q578" t="s">
        <v>5095</v>
      </c>
      <c r="R578" t="s">
        <v>5981</v>
      </c>
      <c r="S578" t="s">
        <v>5612</v>
      </c>
      <c r="T578" t="s">
        <v>1448</v>
      </c>
    </row>
    <row r="579" spans="16:20" x14ac:dyDescent="0.35">
      <c r="P579" t="s">
        <v>1482</v>
      </c>
      <c r="Q579" t="s">
        <v>4346</v>
      </c>
      <c r="R579" t="s">
        <v>5732</v>
      </c>
      <c r="S579" t="s">
        <v>5614</v>
      </c>
      <c r="T579" t="s">
        <v>5646</v>
      </c>
    </row>
    <row r="580" spans="16:20" x14ac:dyDescent="0.35">
      <c r="P580" t="s">
        <v>1484</v>
      </c>
      <c r="Q580" t="s">
        <v>4462</v>
      </c>
      <c r="R580" t="s">
        <v>5755</v>
      </c>
      <c r="S580" t="s">
        <v>5614</v>
      </c>
      <c r="T580" t="s">
        <v>5646</v>
      </c>
    </row>
    <row r="581" spans="16:20" x14ac:dyDescent="0.35">
      <c r="P581" t="s">
        <v>1490</v>
      </c>
      <c r="Q581" t="s">
        <v>4608</v>
      </c>
      <c r="R581" t="s">
        <v>5817</v>
      </c>
      <c r="S581" t="s">
        <v>5614</v>
      </c>
      <c r="T581" t="s">
        <v>5646</v>
      </c>
    </row>
    <row r="582" spans="16:20" x14ac:dyDescent="0.35">
      <c r="P582" t="s">
        <v>1496</v>
      </c>
      <c r="Q582" t="s">
        <v>4486</v>
      </c>
      <c r="R582" t="s">
        <v>5607</v>
      </c>
      <c r="S582" t="s">
        <v>5607</v>
      </c>
      <c r="T582" t="s">
        <v>5650</v>
      </c>
    </row>
    <row r="583" spans="16:20" x14ac:dyDescent="0.35">
      <c r="Q583" t="s">
        <v>5027</v>
      </c>
      <c r="R583" t="s">
        <v>2540</v>
      </c>
      <c r="S583" t="s">
        <v>5612</v>
      </c>
      <c r="T583" t="s">
        <v>1448</v>
      </c>
    </row>
    <row r="584" spans="16:20" x14ac:dyDescent="0.35">
      <c r="Q584" t="s">
        <v>4157</v>
      </c>
      <c r="R584" t="s">
        <v>4240</v>
      </c>
      <c r="S584" t="s">
        <v>5607</v>
      </c>
      <c r="T584" t="s">
        <v>5650</v>
      </c>
    </row>
    <row r="585" spans="16:20" x14ac:dyDescent="0.35">
      <c r="P585" t="s">
        <v>4208</v>
      </c>
      <c r="Q585" t="s">
        <v>4157</v>
      </c>
      <c r="R585" t="s">
        <v>5870</v>
      </c>
      <c r="S585" t="s">
        <v>1837</v>
      </c>
      <c r="T585" t="s">
        <v>5646</v>
      </c>
    </row>
    <row r="586" spans="16:20" x14ac:dyDescent="0.35">
      <c r="P586" t="s">
        <v>4408</v>
      </c>
      <c r="Q586" t="s">
        <v>4407</v>
      </c>
      <c r="R586" t="s">
        <v>457</v>
      </c>
      <c r="S586" t="s">
        <v>5607</v>
      </c>
      <c r="T586" t="s">
        <v>5650</v>
      </c>
    </row>
    <row r="587" spans="16:20" x14ac:dyDescent="0.35">
      <c r="P587" t="s">
        <v>1502</v>
      </c>
      <c r="Q587" t="s">
        <v>4590</v>
      </c>
      <c r="R587" t="s">
        <v>1004</v>
      </c>
      <c r="S587" t="s">
        <v>1837</v>
      </c>
      <c r="T587" t="s">
        <v>5646</v>
      </c>
    </row>
    <row r="588" spans="16:20" x14ac:dyDescent="0.35">
      <c r="P588" t="s">
        <v>1509</v>
      </c>
      <c r="Q588" t="s">
        <v>1510</v>
      </c>
      <c r="R588" t="s">
        <v>5786</v>
      </c>
      <c r="S588" t="s">
        <v>5606</v>
      </c>
      <c r="T588" t="s">
        <v>5646</v>
      </c>
    </row>
    <row r="589" spans="16:20" x14ac:dyDescent="0.35">
      <c r="Q589" t="s">
        <v>4157</v>
      </c>
      <c r="R589" t="s">
        <v>5786</v>
      </c>
      <c r="S589" t="s">
        <v>5606</v>
      </c>
      <c r="T589" t="s">
        <v>5646</v>
      </c>
    </row>
    <row r="590" spans="16:20" x14ac:dyDescent="0.35">
      <c r="P590" t="s">
        <v>1512</v>
      </c>
      <c r="Q590" t="s">
        <v>4715</v>
      </c>
      <c r="R590" t="s">
        <v>1512</v>
      </c>
      <c r="S590" t="s">
        <v>1757</v>
      </c>
      <c r="T590" t="s">
        <v>5658</v>
      </c>
    </row>
    <row r="591" spans="16:20" x14ac:dyDescent="0.35">
      <c r="P591" t="s">
        <v>1514</v>
      </c>
      <c r="Q591" t="s">
        <v>4881</v>
      </c>
      <c r="R591" t="s">
        <v>2007</v>
      </c>
      <c r="S591" t="s">
        <v>5607</v>
      </c>
      <c r="T591" t="s">
        <v>5650</v>
      </c>
    </row>
    <row r="592" spans="16:20" x14ac:dyDescent="0.35">
      <c r="P592" t="s">
        <v>1516</v>
      </c>
      <c r="Q592" t="s">
        <v>5539</v>
      </c>
      <c r="R592" t="s">
        <v>5610</v>
      </c>
      <c r="S592" t="s">
        <v>5610</v>
      </c>
      <c r="T592" t="s">
        <v>5646</v>
      </c>
    </row>
    <row r="593" spans="16:20" x14ac:dyDescent="0.35">
      <c r="P593" t="s">
        <v>1518</v>
      </c>
      <c r="Q593" t="s">
        <v>4039</v>
      </c>
      <c r="R593" t="s">
        <v>3126</v>
      </c>
      <c r="S593" t="s">
        <v>5615</v>
      </c>
      <c r="T593" t="s">
        <v>5650</v>
      </c>
    </row>
    <row r="594" spans="16:20" x14ac:dyDescent="0.35">
      <c r="P594" t="s">
        <v>1522</v>
      </c>
      <c r="Q594" t="s">
        <v>4722</v>
      </c>
      <c r="R594" t="s">
        <v>1522</v>
      </c>
      <c r="S594" t="s">
        <v>5610</v>
      </c>
      <c r="T594" t="s">
        <v>5646</v>
      </c>
    </row>
    <row r="595" spans="16:20" x14ac:dyDescent="0.35">
      <c r="P595" t="s">
        <v>5022</v>
      </c>
      <c r="Q595" t="s">
        <v>5021</v>
      </c>
      <c r="R595" t="s">
        <v>2540</v>
      </c>
      <c r="S595" t="s">
        <v>5612</v>
      </c>
      <c r="T595" t="s">
        <v>1448</v>
      </c>
    </row>
    <row r="596" spans="16:20" x14ac:dyDescent="0.35">
      <c r="P596" t="s">
        <v>1527</v>
      </c>
      <c r="Q596" t="s">
        <v>5359</v>
      </c>
      <c r="R596" t="s">
        <v>6058</v>
      </c>
      <c r="S596" t="s">
        <v>5618</v>
      </c>
      <c r="T596" t="s">
        <v>5658</v>
      </c>
    </row>
    <row r="597" spans="16:20" x14ac:dyDescent="0.35">
      <c r="P597" t="s">
        <v>5072</v>
      </c>
      <c r="Q597" t="s">
        <v>5071</v>
      </c>
      <c r="R597" t="s">
        <v>5621</v>
      </c>
      <c r="S597" t="s">
        <v>5621</v>
      </c>
      <c r="T597" t="s">
        <v>5678</v>
      </c>
    </row>
    <row r="598" spans="16:20" x14ac:dyDescent="0.35">
      <c r="P598" t="s">
        <v>5062</v>
      </c>
      <c r="Q598" t="s">
        <v>5061</v>
      </c>
      <c r="R598" t="s">
        <v>5621</v>
      </c>
      <c r="S598" t="s">
        <v>5621</v>
      </c>
      <c r="T598" t="s">
        <v>5678</v>
      </c>
    </row>
    <row r="599" spans="16:20" x14ac:dyDescent="0.35">
      <c r="P599" t="s">
        <v>4730</v>
      </c>
      <c r="Q599" t="s">
        <v>4729</v>
      </c>
      <c r="R599" t="s">
        <v>5867</v>
      </c>
      <c r="S599" t="s">
        <v>5617</v>
      </c>
      <c r="T599" t="s">
        <v>5658</v>
      </c>
    </row>
    <row r="600" spans="16:20" x14ac:dyDescent="0.35">
      <c r="P600" t="s">
        <v>1536</v>
      </c>
      <c r="Q600" t="s">
        <v>5193</v>
      </c>
      <c r="R600" t="s">
        <v>2783</v>
      </c>
      <c r="S600" t="s">
        <v>5617</v>
      </c>
      <c r="T600" t="s">
        <v>5658</v>
      </c>
    </row>
    <row r="601" spans="16:20" x14ac:dyDescent="0.35">
      <c r="P601" t="s">
        <v>1539</v>
      </c>
      <c r="Q601" t="s">
        <v>5090</v>
      </c>
      <c r="R601" t="s">
        <v>5972</v>
      </c>
      <c r="S601" t="s">
        <v>5614</v>
      </c>
      <c r="T601" t="s">
        <v>5646</v>
      </c>
    </row>
    <row r="602" spans="16:20" x14ac:dyDescent="0.35">
      <c r="P602" t="s">
        <v>1542</v>
      </c>
      <c r="Q602" t="s">
        <v>5486</v>
      </c>
      <c r="R602" t="s">
        <v>3691</v>
      </c>
      <c r="S602" t="s">
        <v>5615</v>
      </c>
      <c r="T602" t="s">
        <v>5650</v>
      </c>
    </row>
    <row r="603" spans="16:20" x14ac:dyDescent="0.35">
      <c r="P603" t="s">
        <v>1544</v>
      </c>
      <c r="Q603" t="s">
        <v>5601</v>
      </c>
      <c r="R603" t="s">
        <v>5617</v>
      </c>
      <c r="S603" t="s">
        <v>5617</v>
      </c>
      <c r="T603" t="s">
        <v>5658</v>
      </c>
    </row>
    <row r="604" spans="16:20" x14ac:dyDescent="0.35">
      <c r="P604" t="s">
        <v>1546</v>
      </c>
      <c r="Q604" t="s">
        <v>4725</v>
      </c>
      <c r="R604" t="s">
        <v>1546</v>
      </c>
      <c r="S604" t="s">
        <v>5621</v>
      </c>
      <c r="T604" t="s">
        <v>5678</v>
      </c>
    </row>
    <row r="605" spans="16:20" x14ac:dyDescent="0.35">
      <c r="P605" t="s">
        <v>1549</v>
      </c>
      <c r="Q605" t="s">
        <v>4996</v>
      </c>
      <c r="R605" t="s">
        <v>5746</v>
      </c>
      <c r="S605" t="s">
        <v>5607</v>
      </c>
      <c r="T605" t="s">
        <v>5650</v>
      </c>
    </row>
    <row r="606" spans="16:20" x14ac:dyDescent="0.35">
      <c r="P606" t="s">
        <v>1551</v>
      </c>
      <c r="Q606" t="s">
        <v>4728</v>
      </c>
      <c r="R606" t="s">
        <v>1551</v>
      </c>
      <c r="S606" t="s">
        <v>1757</v>
      </c>
      <c r="T606" t="s">
        <v>5658</v>
      </c>
    </row>
    <row r="607" spans="16:20" x14ac:dyDescent="0.35">
      <c r="P607" t="s">
        <v>1554</v>
      </c>
      <c r="Q607" t="s">
        <v>4747</v>
      </c>
      <c r="R607" t="s">
        <v>5886</v>
      </c>
      <c r="S607" t="s">
        <v>1757</v>
      </c>
      <c r="T607" t="s">
        <v>5658</v>
      </c>
    </row>
    <row r="608" spans="16:20" x14ac:dyDescent="0.35">
      <c r="Q608" t="s">
        <v>4733</v>
      </c>
      <c r="R608" t="s">
        <v>1554</v>
      </c>
      <c r="S608" t="s">
        <v>1757</v>
      </c>
      <c r="T608" t="s">
        <v>5658</v>
      </c>
    </row>
    <row r="609" spans="16:20" x14ac:dyDescent="0.35">
      <c r="P609" t="s">
        <v>4103</v>
      </c>
      <c r="Q609" t="s">
        <v>4102</v>
      </c>
      <c r="R609" t="s">
        <v>1004</v>
      </c>
      <c r="S609" t="s">
        <v>1837</v>
      </c>
      <c r="T609" t="s">
        <v>5646</v>
      </c>
    </row>
    <row r="610" spans="16:20" x14ac:dyDescent="0.35">
      <c r="P610" t="s">
        <v>1565</v>
      </c>
      <c r="Q610" t="s">
        <v>4582</v>
      </c>
      <c r="R610" t="s">
        <v>5103</v>
      </c>
      <c r="S610" t="s">
        <v>5607</v>
      </c>
      <c r="T610" t="s">
        <v>5650</v>
      </c>
    </row>
    <row r="611" spans="16:20" x14ac:dyDescent="0.35">
      <c r="P611" t="s">
        <v>1569</v>
      </c>
      <c r="Q611" t="s">
        <v>5301</v>
      </c>
      <c r="R611" t="s">
        <v>5798</v>
      </c>
      <c r="S611" t="s">
        <v>5615</v>
      </c>
      <c r="T611" t="s">
        <v>5650</v>
      </c>
    </row>
    <row r="612" spans="16:20" x14ac:dyDescent="0.35">
      <c r="Q612" t="s">
        <v>4734</v>
      </c>
      <c r="R612" t="s">
        <v>5870</v>
      </c>
      <c r="S612" t="s">
        <v>1837</v>
      </c>
      <c r="T612" t="s">
        <v>5646</v>
      </c>
    </row>
    <row r="613" spans="16:20" x14ac:dyDescent="0.35">
      <c r="P613" t="s">
        <v>4210</v>
      </c>
      <c r="Q613" t="s">
        <v>4157</v>
      </c>
      <c r="R613" t="s">
        <v>5870</v>
      </c>
      <c r="S613" t="s">
        <v>1837</v>
      </c>
      <c r="T613" t="s">
        <v>5646</v>
      </c>
    </row>
    <row r="614" spans="16:20" x14ac:dyDescent="0.35">
      <c r="P614" t="s">
        <v>1575</v>
      </c>
      <c r="Q614" t="s">
        <v>4897</v>
      </c>
      <c r="R614" t="s">
        <v>5615</v>
      </c>
      <c r="S614" t="s">
        <v>5615</v>
      </c>
      <c r="T614" t="s">
        <v>5650</v>
      </c>
    </row>
    <row r="615" spans="16:20" x14ac:dyDescent="0.35">
      <c r="P615" t="s">
        <v>4184</v>
      </c>
      <c r="Q615" t="s">
        <v>4157</v>
      </c>
      <c r="R615" t="s">
        <v>2628</v>
      </c>
      <c r="S615" t="s">
        <v>5606</v>
      </c>
      <c r="T615" t="s">
        <v>5646</v>
      </c>
    </row>
    <row r="616" spans="16:20" x14ac:dyDescent="0.35">
      <c r="P616" t="s">
        <v>1583</v>
      </c>
      <c r="Q616" t="s">
        <v>5541</v>
      </c>
      <c r="R616" t="s">
        <v>5610</v>
      </c>
      <c r="S616" t="s">
        <v>5610</v>
      </c>
      <c r="T616" t="s">
        <v>5646</v>
      </c>
    </row>
    <row r="617" spans="16:20" x14ac:dyDescent="0.35">
      <c r="P617" t="s">
        <v>1587</v>
      </c>
      <c r="Q617" t="s">
        <v>4489</v>
      </c>
      <c r="R617" t="s">
        <v>5607</v>
      </c>
      <c r="S617" t="s">
        <v>5607</v>
      </c>
      <c r="T617" t="s">
        <v>5650</v>
      </c>
    </row>
    <row r="618" spans="16:20" x14ac:dyDescent="0.35">
      <c r="P618" t="s">
        <v>1590</v>
      </c>
      <c r="Q618" t="s">
        <v>4906</v>
      </c>
      <c r="R618" t="s">
        <v>2196</v>
      </c>
      <c r="S618" t="s">
        <v>1837</v>
      </c>
      <c r="T618" t="s">
        <v>5646</v>
      </c>
    </row>
    <row r="619" spans="16:20" x14ac:dyDescent="0.35">
      <c r="P619" t="s">
        <v>4448</v>
      </c>
      <c r="Q619" t="s">
        <v>4447</v>
      </c>
      <c r="R619" t="s">
        <v>5755</v>
      </c>
      <c r="S619" t="s">
        <v>5614</v>
      </c>
      <c r="T619" t="s">
        <v>5646</v>
      </c>
    </row>
    <row r="620" spans="16:20" x14ac:dyDescent="0.35">
      <c r="P620" t="s">
        <v>1597</v>
      </c>
      <c r="Q620" t="s">
        <v>4867</v>
      </c>
      <c r="R620" t="s">
        <v>1976</v>
      </c>
      <c r="S620" t="s">
        <v>1837</v>
      </c>
      <c r="T620" t="s">
        <v>5646</v>
      </c>
    </row>
    <row r="621" spans="16:20" x14ac:dyDescent="0.35">
      <c r="P621" t="s">
        <v>4094</v>
      </c>
      <c r="Q621" t="s">
        <v>4093</v>
      </c>
      <c r="R621" t="s">
        <v>1976</v>
      </c>
      <c r="S621" t="s">
        <v>1837</v>
      </c>
      <c r="T621" t="s">
        <v>5646</v>
      </c>
    </row>
    <row r="622" spans="16:20" x14ac:dyDescent="0.35">
      <c r="P622" t="s">
        <v>1602</v>
      </c>
      <c r="Q622" t="s">
        <v>4735</v>
      </c>
      <c r="R622" t="s">
        <v>1602</v>
      </c>
      <c r="S622" t="s">
        <v>5609</v>
      </c>
      <c r="T622" t="s">
        <v>5658</v>
      </c>
    </row>
    <row r="623" spans="16:20" x14ac:dyDescent="0.35">
      <c r="P623" t="s">
        <v>1604</v>
      </c>
      <c r="Q623" t="s">
        <v>5157</v>
      </c>
      <c r="R623" t="s">
        <v>2658</v>
      </c>
      <c r="S623" t="s">
        <v>5619</v>
      </c>
      <c r="T623" t="s">
        <v>5646</v>
      </c>
    </row>
    <row r="624" spans="16:20" x14ac:dyDescent="0.35">
      <c r="P624" t="s">
        <v>1608</v>
      </c>
      <c r="Q624" t="s">
        <v>4958</v>
      </c>
      <c r="R624" t="s">
        <v>5799</v>
      </c>
      <c r="S624" t="s">
        <v>5607</v>
      </c>
      <c r="T624" t="s">
        <v>5650</v>
      </c>
    </row>
    <row r="625" spans="16:20" x14ac:dyDescent="0.35">
      <c r="P625" t="s">
        <v>4713</v>
      </c>
      <c r="Q625" t="s">
        <v>4712</v>
      </c>
      <c r="R625" t="s">
        <v>5786</v>
      </c>
      <c r="S625" t="s">
        <v>5622</v>
      </c>
      <c r="T625" t="s">
        <v>5646</v>
      </c>
    </row>
    <row r="626" spans="16:20" x14ac:dyDescent="0.35">
      <c r="P626" t="s">
        <v>1614</v>
      </c>
      <c r="Q626" t="s">
        <v>5054</v>
      </c>
      <c r="R626" t="s">
        <v>2561</v>
      </c>
      <c r="S626" t="s">
        <v>5611</v>
      </c>
      <c r="T626" t="s">
        <v>1448</v>
      </c>
    </row>
    <row r="627" spans="16:20" x14ac:dyDescent="0.35">
      <c r="P627" t="s">
        <v>4216</v>
      </c>
      <c r="Q627" t="s">
        <v>4157</v>
      </c>
      <c r="R627" t="s">
        <v>6050</v>
      </c>
      <c r="S627" t="s">
        <v>1837</v>
      </c>
      <c r="T627" t="s">
        <v>5646</v>
      </c>
    </row>
    <row r="628" spans="16:20" x14ac:dyDescent="0.35">
      <c r="P628" t="s">
        <v>1618</v>
      </c>
      <c r="Q628" t="s">
        <v>5496</v>
      </c>
      <c r="R628" t="s">
        <v>6083</v>
      </c>
      <c r="S628" t="s">
        <v>5619</v>
      </c>
      <c r="T628" t="s">
        <v>5646</v>
      </c>
    </row>
    <row r="629" spans="16:20" x14ac:dyDescent="0.35">
      <c r="P629" t="s">
        <v>1621</v>
      </c>
      <c r="Q629" t="s">
        <v>5274</v>
      </c>
      <c r="R629" t="s">
        <v>5788</v>
      </c>
      <c r="S629" t="s">
        <v>5614</v>
      </c>
      <c r="T629" t="s">
        <v>5646</v>
      </c>
    </row>
    <row r="630" spans="16:20" x14ac:dyDescent="0.35">
      <c r="P630" t="s">
        <v>1623</v>
      </c>
      <c r="Q630" t="s">
        <v>5275</v>
      </c>
      <c r="R630" t="s">
        <v>5788</v>
      </c>
      <c r="S630" t="s">
        <v>5614</v>
      </c>
      <c r="T630" t="s">
        <v>5646</v>
      </c>
    </row>
    <row r="631" spans="16:20" x14ac:dyDescent="0.35">
      <c r="P631" t="s">
        <v>5213</v>
      </c>
      <c r="Q631" t="s">
        <v>5212</v>
      </c>
      <c r="R631" t="s">
        <v>5908</v>
      </c>
      <c r="S631" t="s">
        <v>5617</v>
      </c>
      <c r="T631" t="s">
        <v>5658</v>
      </c>
    </row>
    <row r="632" spans="16:20" x14ac:dyDescent="0.35">
      <c r="P632" t="s">
        <v>4214</v>
      </c>
      <c r="Q632" t="s">
        <v>4157</v>
      </c>
      <c r="R632" t="s">
        <v>5926</v>
      </c>
      <c r="S632" t="s">
        <v>1837</v>
      </c>
      <c r="T632" t="s">
        <v>5646</v>
      </c>
    </row>
    <row r="633" spans="16:20" x14ac:dyDescent="0.35">
      <c r="P633" t="s">
        <v>1629</v>
      </c>
      <c r="Q633" t="s">
        <v>4888</v>
      </c>
      <c r="R633" t="s">
        <v>5926</v>
      </c>
      <c r="S633" t="s">
        <v>1837</v>
      </c>
      <c r="T633" t="s">
        <v>5646</v>
      </c>
    </row>
    <row r="634" spans="16:20" x14ac:dyDescent="0.35">
      <c r="P634" t="s">
        <v>5473</v>
      </c>
      <c r="Q634" t="s">
        <v>5472</v>
      </c>
      <c r="R634" t="s">
        <v>5828</v>
      </c>
      <c r="S634" t="s">
        <v>5611</v>
      </c>
      <c r="T634" t="s">
        <v>1448</v>
      </c>
    </row>
    <row r="635" spans="16:20" x14ac:dyDescent="0.35">
      <c r="P635" t="s">
        <v>1635</v>
      </c>
      <c r="Q635" t="s">
        <v>4128</v>
      </c>
      <c r="R635" t="s">
        <v>5828</v>
      </c>
      <c r="S635" t="s">
        <v>5611</v>
      </c>
      <c r="T635" t="s">
        <v>1448</v>
      </c>
    </row>
    <row r="636" spans="16:20" x14ac:dyDescent="0.35">
      <c r="P636" t="s">
        <v>1641</v>
      </c>
      <c r="Q636" t="s">
        <v>5531</v>
      </c>
      <c r="R636" t="s">
        <v>5610</v>
      </c>
      <c r="S636" t="s">
        <v>5610</v>
      </c>
      <c r="T636" t="s">
        <v>5646</v>
      </c>
    </row>
    <row r="637" spans="16:20" x14ac:dyDescent="0.35">
      <c r="P637" t="s">
        <v>1644</v>
      </c>
      <c r="Q637" t="s">
        <v>5502</v>
      </c>
      <c r="R637" t="s">
        <v>3702</v>
      </c>
      <c r="S637" t="s">
        <v>5619</v>
      </c>
      <c r="T637" t="s">
        <v>5646</v>
      </c>
    </row>
    <row r="638" spans="16:20" x14ac:dyDescent="0.35">
      <c r="P638" t="s">
        <v>1646</v>
      </c>
      <c r="Q638" t="s">
        <v>5144</v>
      </c>
      <c r="R638" t="s">
        <v>2628</v>
      </c>
      <c r="S638" t="s">
        <v>5614</v>
      </c>
      <c r="T638" t="s">
        <v>5646</v>
      </c>
    </row>
    <row r="639" spans="16:20" x14ac:dyDescent="0.35">
      <c r="P639" t="s">
        <v>4096</v>
      </c>
      <c r="Q639" t="s">
        <v>4095</v>
      </c>
      <c r="R639" t="s">
        <v>1976</v>
      </c>
      <c r="S639" t="s">
        <v>1837</v>
      </c>
      <c r="T639" t="s">
        <v>5646</v>
      </c>
    </row>
    <row r="640" spans="16:20" x14ac:dyDescent="0.35">
      <c r="Q640" t="s">
        <v>5162</v>
      </c>
      <c r="R640" t="s">
        <v>2723</v>
      </c>
      <c r="S640" t="s">
        <v>5612</v>
      </c>
      <c r="T640" t="s">
        <v>1448</v>
      </c>
    </row>
    <row r="641" spans="16:20" x14ac:dyDescent="0.35">
      <c r="P641" t="s">
        <v>1654</v>
      </c>
      <c r="Q641" t="s">
        <v>4803</v>
      </c>
      <c r="R641" t="s">
        <v>1872</v>
      </c>
      <c r="S641" t="s">
        <v>5607</v>
      </c>
      <c r="T641" t="s">
        <v>5650</v>
      </c>
    </row>
    <row r="642" spans="16:20" x14ac:dyDescent="0.35">
      <c r="P642" t="s">
        <v>1656</v>
      </c>
      <c r="Q642" t="s">
        <v>5006</v>
      </c>
      <c r="R642" t="s">
        <v>5885</v>
      </c>
      <c r="S642" t="s">
        <v>5607</v>
      </c>
      <c r="T642" t="s">
        <v>5650</v>
      </c>
    </row>
    <row r="643" spans="16:20" x14ac:dyDescent="0.35">
      <c r="Q643" t="s">
        <v>4805</v>
      </c>
      <c r="R643" t="s">
        <v>1872</v>
      </c>
      <c r="S643" t="s">
        <v>5607</v>
      </c>
      <c r="T643" t="s">
        <v>5650</v>
      </c>
    </row>
    <row r="644" spans="16:20" x14ac:dyDescent="0.35">
      <c r="P644" t="s">
        <v>1660</v>
      </c>
      <c r="Q644" t="s">
        <v>4806</v>
      </c>
      <c r="R644" t="s">
        <v>1872</v>
      </c>
      <c r="S644" t="s">
        <v>5607</v>
      </c>
      <c r="T644" t="s">
        <v>5650</v>
      </c>
    </row>
    <row r="645" spans="16:20" x14ac:dyDescent="0.35">
      <c r="P645" t="s">
        <v>1662</v>
      </c>
      <c r="Q645" t="s">
        <v>4799</v>
      </c>
      <c r="R645" t="s">
        <v>1872</v>
      </c>
      <c r="S645" t="s">
        <v>5607</v>
      </c>
      <c r="T645" t="s">
        <v>5650</v>
      </c>
    </row>
    <row r="646" spans="16:20" x14ac:dyDescent="0.35">
      <c r="P646" t="s">
        <v>4168</v>
      </c>
      <c r="Q646" t="s">
        <v>4157</v>
      </c>
      <c r="R646" t="s">
        <v>5819</v>
      </c>
      <c r="S646" t="s">
        <v>5614</v>
      </c>
      <c r="T646" t="s">
        <v>5646</v>
      </c>
    </row>
    <row r="647" spans="16:20" x14ac:dyDescent="0.35">
      <c r="P647" t="s">
        <v>4395</v>
      </c>
      <c r="Q647" t="s">
        <v>4394</v>
      </c>
      <c r="R647" t="s">
        <v>457</v>
      </c>
      <c r="S647" t="s">
        <v>5607</v>
      </c>
      <c r="T647" t="s">
        <v>5650</v>
      </c>
    </row>
    <row r="648" spans="16:20" x14ac:dyDescent="0.35">
      <c r="P648" t="s">
        <v>4397</v>
      </c>
      <c r="Q648" t="s">
        <v>4396</v>
      </c>
      <c r="R648" t="s">
        <v>457</v>
      </c>
      <c r="S648" t="s">
        <v>5607</v>
      </c>
      <c r="T648" t="s">
        <v>5650</v>
      </c>
    </row>
    <row r="649" spans="16:20" x14ac:dyDescent="0.35">
      <c r="P649" t="s">
        <v>4270</v>
      </c>
      <c r="Q649" t="s">
        <v>1668</v>
      </c>
      <c r="R649" t="s">
        <v>3370</v>
      </c>
      <c r="S649" t="s">
        <v>5615</v>
      </c>
      <c r="T649" t="s">
        <v>5650</v>
      </c>
    </row>
    <row r="650" spans="16:20" x14ac:dyDescent="0.35">
      <c r="Q650" t="s">
        <v>4991</v>
      </c>
      <c r="R650" t="s">
        <v>5746</v>
      </c>
      <c r="S650" t="s">
        <v>5607</v>
      </c>
      <c r="T650" t="s">
        <v>5650</v>
      </c>
    </row>
    <row r="651" spans="16:20" x14ac:dyDescent="0.35">
      <c r="Q651" t="s">
        <v>4275</v>
      </c>
      <c r="R651" t="s">
        <v>70</v>
      </c>
      <c r="S651" t="s">
        <v>1837</v>
      </c>
      <c r="T651" t="s">
        <v>5646</v>
      </c>
    </row>
    <row r="652" spans="16:20" x14ac:dyDescent="0.35">
      <c r="Q652" t="s">
        <v>4157</v>
      </c>
      <c r="R652" t="s">
        <v>5746</v>
      </c>
      <c r="S652" t="s">
        <v>5607</v>
      </c>
      <c r="T652" t="s">
        <v>5650</v>
      </c>
    </row>
    <row r="653" spans="16:20" x14ac:dyDescent="0.35">
      <c r="P653" t="s">
        <v>1670</v>
      </c>
      <c r="Q653" t="s">
        <v>4053</v>
      </c>
      <c r="R653" t="s">
        <v>5746</v>
      </c>
      <c r="S653" t="s">
        <v>5607</v>
      </c>
      <c r="T653" t="s">
        <v>5650</v>
      </c>
    </row>
    <row r="654" spans="16:20" x14ac:dyDescent="0.35">
      <c r="P654" t="s">
        <v>1677</v>
      </c>
      <c r="Q654" t="s">
        <v>4021</v>
      </c>
      <c r="R654" t="s">
        <v>299</v>
      </c>
      <c r="S654" t="s">
        <v>5613</v>
      </c>
      <c r="T654" t="s">
        <v>5678</v>
      </c>
    </row>
    <row r="655" spans="16:20" x14ac:dyDescent="0.35">
      <c r="P655" t="s">
        <v>1679</v>
      </c>
      <c r="Q655" t="s">
        <v>4609</v>
      </c>
      <c r="R655" t="s">
        <v>5817</v>
      </c>
      <c r="S655" t="s">
        <v>5614</v>
      </c>
      <c r="T655" t="s">
        <v>5646</v>
      </c>
    </row>
    <row r="656" spans="16:20" x14ac:dyDescent="0.35">
      <c r="P656" t="s">
        <v>1681</v>
      </c>
      <c r="Q656" t="s">
        <v>4610</v>
      </c>
      <c r="R656" t="s">
        <v>5817</v>
      </c>
      <c r="S656" t="s">
        <v>5614</v>
      </c>
      <c r="T656" t="s">
        <v>5646</v>
      </c>
    </row>
    <row r="657" spans="16:20" x14ac:dyDescent="0.35">
      <c r="P657" t="s">
        <v>1686</v>
      </c>
      <c r="Q657" t="s">
        <v>4463</v>
      </c>
      <c r="R657" t="s">
        <v>5755</v>
      </c>
      <c r="S657" t="s">
        <v>5614</v>
      </c>
      <c r="T657" t="s">
        <v>5646</v>
      </c>
    </row>
    <row r="658" spans="16:20" x14ac:dyDescent="0.35">
      <c r="P658" t="s">
        <v>4858</v>
      </c>
      <c r="Q658" t="s">
        <v>4857</v>
      </c>
      <c r="R658" t="s">
        <v>5915</v>
      </c>
      <c r="S658" t="s">
        <v>5615</v>
      </c>
      <c r="T658" t="s">
        <v>5650</v>
      </c>
    </row>
    <row r="659" spans="16:20" x14ac:dyDescent="0.35">
      <c r="P659" t="s">
        <v>1691</v>
      </c>
      <c r="Q659" t="s">
        <v>4743</v>
      </c>
      <c r="R659" t="s">
        <v>1691</v>
      </c>
      <c r="S659" t="s">
        <v>5615</v>
      </c>
      <c r="T659" t="s">
        <v>5650</v>
      </c>
    </row>
    <row r="660" spans="16:20" x14ac:dyDescent="0.35">
      <c r="P660" t="s">
        <v>1693</v>
      </c>
      <c r="Q660" t="s">
        <v>4936</v>
      </c>
      <c r="R660" t="s">
        <v>5799</v>
      </c>
      <c r="S660" t="s">
        <v>5607</v>
      </c>
      <c r="T660" t="s">
        <v>5650</v>
      </c>
    </row>
    <row r="661" spans="16:20" x14ac:dyDescent="0.35">
      <c r="P661" t="s">
        <v>4263</v>
      </c>
      <c r="Q661" t="s">
        <v>4157</v>
      </c>
      <c r="R661" t="s">
        <v>5799</v>
      </c>
      <c r="S661" t="s">
        <v>5607</v>
      </c>
      <c r="T661" t="s">
        <v>5650</v>
      </c>
    </row>
    <row r="662" spans="16:20" x14ac:dyDescent="0.35">
      <c r="P662" t="s">
        <v>1698</v>
      </c>
      <c r="Q662" t="s">
        <v>1699</v>
      </c>
      <c r="R662" t="s">
        <v>5772</v>
      </c>
      <c r="S662" t="s">
        <v>5615</v>
      </c>
      <c r="T662" t="s">
        <v>5650</v>
      </c>
    </row>
    <row r="663" spans="16:20" x14ac:dyDescent="0.35">
      <c r="Q663" t="s">
        <v>4157</v>
      </c>
      <c r="R663" t="s">
        <v>5772</v>
      </c>
      <c r="S663" t="s">
        <v>5615</v>
      </c>
      <c r="T663" t="s">
        <v>5650</v>
      </c>
    </row>
    <row r="664" spans="16:20" x14ac:dyDescent="0.35">
      <c r="P664" t="s">
        <v>1701</v>
      </c>
      <c r="Q664" t="s">
        <v>5124</v>
      </c>
      <c r="R664" t="s">
        <v>5719</v>
      </c>
      <c r="S664" t="s">
        <v>5607</v>
      </c>
      <c r="T664" t="s">
        <v>5650</v>
      </c>
    </row>
    <row r="665" spans="16:20" x14ac:dyDescent="0.35">
      <c r="P665" t="s">
        <v>4252</v>
      </c>
      <c r="Q665" t="s">
        <v>4157</v>
      </c>
      <c r="R665" t="s">
        <v>5103</v>
      </c>
      <c r="S665" t="s">
        <v>5607</v>
      </c>
      <c r="T665" t="s">
        <v>5650</v>
      </c>
    </row>
    <row r="666" spans="16:20" x14ac:dyDescent="0.35">
      <c r="P666" t="s">
        <v>1708</v>
      </c>
      <c r="Q666" t="s">
        <v>4054</v>
      </c>
      <c r="R666" t="s">
        <v>5746</v>
      </c>
      <c r="S666" t="s">
        <v>5607</v>
      </c>
      <c r="T666" t="s">
        <v>5650</v>
      </c>
    </row>
    <row r="667" spans="16:20" x14ac:dyDescent="0.35">
      <c r="Q667" t="s">
        <v>4157</v>
      </c>
      <c r="R667" t="s">
        <v>5746</v>
      </c>
      <c r="S667" t="s">
        <v>5607</v>
      </c>
      <c r="T667" t="s">
        <v>5650</v>
      </c>
    </row>
    <row r="668" spans="16:20" x14ac:dyDescent="0.35">
      <c r="P668" t="s">
        <v>1711</v>
      </c>
      <c r="Q668" t="s">
        <v>5593</v>
      </c>
      <c r="R668" t="s">
        <v>3938</v>
      </c>
      <c r="S668" t="s">
        <v>5607</v>
      </c>
      <c r="T668" t="s">
        <v>5650</v>
      </c>
    </row>
    <row r="669" spans="16:20" x14ac:dyDescent="0.35">
      <c r="P669" t="s">
        <v>1714</v>
      </c>
      <c r="Q669" t="s">
        <v>4380</v>
      </c>
      <c r="R669" t="s">
        <v>4222</v>
      </c>
      <c r="S669" t="s">
        <v>5614</v>
      </c>
      <c r="T669" t="s">
        <v>5646</v>
      </c>
    </row>
    <row r="670" spans="16:20" x14ac:dyDescent="0.35">
      <c r="P670" t="s">
        <v>1717</v>
      </c>
      <c r="Q670" t="s">
        <v>5089</v>
      </c>
      <c r="R670" t="s">
        <v>5972</v>
      </c>
      <c r="S670" t="s">
        <v>5614</v>
      </c>
      <c r="T670" t="s">
        <v>5646</v>
      </c>
    </row>
    <row r="671" spans="16:20" x14ac:dyDescent="0.35">
      <c r="P671" t="s">
        <v>1718</v>
      </c>
      <c r="Q671" t="s">
        <v>4937</v>
      </c>
      <c r="R671" t="s">
        <v>5799</v>
      </c>
      <c r="S671" t="s">
        <v>5607</v>
      </c>
      <c r="T671" t="s">
        <v>5650</v>
      </c>
    </row>
    <row r="672" spans="16:20" x14ac:dyDescent="0.35">
      <c r="P672" t="s">
        <v>1720</v>
      </c>
      <c r="Q672" t="s">
        <v>5373</v>
      </c>
      <c r="R672" t="s">
        <v>5779</v>
      </c>
      <c r="S672" t="s">
        <v>1837</v>
      </c>
      <c r="T672" t="s">
        <v>5646</v>
      </c>
    </row>
    <row r="673" spans="16:20" x14ac:dyDescent="0.35">
      <c r="P673" t="s">
        <v>1722</v>
      </c>
      <c r="Q673" t="s">
        <v>4740</v>
      </c>
      <c r="R673" t="s">
        <v>1691</v>
      </c>
      <c r="S673" t="s">
        <v>5615</v>
      </c>
      <c r="T673" t="s">
        <v>5650</v>
      </c>
    </row>
    <row r="674" spans="16:20" x14ac:dyDescent="0.35">
      <c r="P674" t="s">
        <v>1726</v>
      </c>
      <c r="Q674" t="s">
        <v>4110</v>
      </c>
      <c r="R674" t="s">
        <v>1779</v>
      </c>
      <c r="S674" t="s">
        <v>5611</v>
      </c>
      <c r="T674" t="s">
        <v>1448</v>
      </c>
    </row>
    <row r="675" spans="16:20" x14ac:dyDescent="0.35">
      <c r="P675" t="s">
        <v>1728</v>
      </c>
      <c r="Q675" t="s">
        <v>5501</v>
      </c>
      <c r="R675" t="s">
        <v>3702</v>
      </c>
      <c r="S675" t="s">
        <v>5619</v>
      </c>
      <c r="T675" t="s">
        <v>5646</v>
      </c>
    </row>
    <row r="676" spans="16:20" x14ac:dyDescent="0.35">
      <c r="Q676" t="s">
        <v>4674</v>
      </c>
      <c r="R676" t="s">
        <v>1349</v>
      </c>
      <c r="S676" t="s">
        <v>5607</v>
      </c>
      <c r="T676" t="s">
        <v>5650</v>
      </c>
    </row>
    <row r="677" spans="16:20" x14ac:dyDescent="0.35">
      <c r="P677" t="s">
        <v>1730</v>
      </c>
      <c r="Q677" t="s">
        <v>4697</v>
      </c>
      <c r="R677" t="s">
        <v>1375</v>
      </c>
      <c r="S677" t="s">
        <v>5607</v>
      </c>
      <c r="T677" t="s">
        <v>5650</v>
      </c>
    </row>
    <row r="678" spans="16:20" x14ac:dyDescent="0.35">
      <c r="P678" t="s">
        <v>1735</v>
      </c>
      <c r="Q678" t="s">
        <v>4909</v>
      </c>
      <c r="R678" t="s">
        <v>2196</v>
      </c>
      <c r="S678" t="s">
        <v>1837</v>
      </c>
      <c r="T678" t="s">
        <v>5646</v>
      </c>
    </row>
    <row r="679" spans="16:20" x14ac:dyDescent="0.35">
      <c r="P679" t="s">
        <v>1738</v>
      </c>
      <c r="Q679" t="s">
        <v>5374</v>
      </c>
      <c r="R679" t="s">
        <v>5779</v>
      </c>
      <c r="S679" t="s">
        <v>1837</v>
      </c>
      <c r="T679" t="s">
        <v>5646</v>
      </c>
    </row>
    <row r="680" spans="16:20" x14ac:dyDescent="0.35">
      <c r="Q680" t="s">
        <v>4774</v>
      </c>
      <c r="R680" t="s">
        <v>1856</v>
      </c>
      <c r="S680" t="s">
        <v>1837</v>
      </c>
      <c r="T680" t="s">
        <v>5646</v>
      </c>
    </row>
    <row r="681" spans="16:20" x14ac:dyDescent="0.35">
      <c r="P681" t="s">
        <v>1743</v>
      </c>
      <c r="Q681" t="s">
        <v>5423</v>
      </c>
      <c r="R681" t="s">
        <v>3411</v>
      </c>
      <c r="S681" t="s">
        <v>5618</v>
      </c>
      <c r="T681" t="s">
        <v>5658</v>
      </c>
    </row>
    <row r="682" spans="16:20" x14ac:dyDescent="0.35">
      <c r="Q682" t="s">
        <v>5003</v>
      </c>
      <c r="R682" t="s">
        <v>5885</v>
      </c>
      <c r="S682" t="s">
        <v>5607</v>
      </c>
      <c r="T682" t="s">
        <v>5650</v>
      </c>
    </row>
    <row r="683" spans="16:20" x14ac:dyDescent="0.35">
      <c r="P683" t="s">
        <v>1747</v>
      </c>
      <c r="Q683" t="s">
        <v>5125</v>
      </c>
      <c r="R683" t="s">
        <v>5719</v>
      </c>
      <c r="S683" t="s">
        <v>5607</v>
      </c>
      <c r="T683" t="s">
        <v>5650</v>
      </c>
    </row>
    <row r="684" spans="16:20" x14ac:dyDescent="0.35">
      <c r="P684" t="s">
        <v>1749</v>
      </c>
      <c r="Q684" t="s">
        <v>4714</v>
      </c>
      <c r="R684" t="s">
        <v>5786</v>
      </c>
      <c r="S684" t="s">
        <v>5622</v>
      </c>
      <c r="T684" t="s">
        <v>5646</v>
      </c>
    </row>
    <row r="685" spans="16:20" x14ac:dyDescent="0.35">
      <c r="P685" t="s">
        <v>1753</v>
      </c>
      <c r="Q685" t="s">
        <v>4069</v>
      </c>
      <c r="R685" t="s">
        <v>5719</v>
      </c>
      <c r="S685" t="s">
        <v>5607</v>
      </c>
      <c r="T685" t="s">
        <v>5650</v>
      </c>
    </row>
    <row r="686" spans="16:20" x14ac:dyDescent="0.35">
      <c r="P686" t="s">
        <v>1757</v>
      </c>
      <c r="Q686" t="s">
        <v>4748</v>
      </c>
      <c r="R686" t="s">
        <v>5886</v>
      </c>
      <c r="S686" t="s">
        <v>1757</v>
      </c>
      <c r="T686" t="s">
        <v>5658</v>
      </c>
    </row>
    <row r="687" spans="16:20" x14ac:dyDescent="0.35">
      <c r="Q687" t="s">
        <v>4566</v>
      </c>
      <c r="R687" t="s">
        <v>855</v>
      </c>
      <c r="S687" t="s">
        <v>5615</v>
      </c>
      <c r="T687" t="s">
        <v>5650</v>
      </c>
    </row>
    <row r="688" spans="16:20" x14ac:dyDescent="0.35">
      <c r="P688" t="s">
        <v>1761</v>
      </c>
      <c r="Q688" t="s">
        <v>5243</v>
      </c>
      <c r="R688" t="s">
        <v>2914</v>
      </c>
      <c r="S688" t="s">
        <v>5607</v>
      </c>
      <c r="T688" t="s">
        <v>5650</v>
      </c>
    </row>
    <row r="689" spans="16:20" x14ac:dyDescent="0.35">
      <c r="P689" t="s">
        <v>1763</v>
      </c>
      <c r="Q689" t="s">
        <v>4481</v>
      </c>
      <c r="R689" t="s">
        <v>5607</v>
      </c>
      <c r="S689" t="s">
        <v>5607</v>
      </c>
      <c r="T689" t="s">
        <v>5650</v>
      </c>
    </row>
    <row r="690" spans="16:20" x14ac:dyDescent="0.35">
      <c r="Q690" t="s">
        <v>4441</v>
      </c>
      <c r="R690" t="s">
        <v>5755</v>
      </c>
      <c r="S690" t="s">
        <v>5614</v>
      </c>
      <c r="T690" t="s">
        <v>5646</v>
      </c>
    </row>
    <row r="691" spans="16:20" x14ac:dyDescent="0.35">
      <c r="Q691" t="s">
        <v>4336</v>
      </c>
      <c r="R691" t="s">
        <v>5713</v>
      </c>
      <c r="S691" t="s">
        <v>5611</v>
      </c>
      <c r="T691" t="s">
        <v>1448</v>
      </c>
    </row>
    <row r="692" spans="16:20" x14ac:dyDescent="0.35">
      <c r="Q692" t="s">
        <v>4157</v>
      </c>
      <c r="R692" t="s">
        <v>4240</v>
      </c>
      <c r="S692" t="s">
        <v>5607</v>
      </c>
      <c r="T692" t="s">
        <v>5650</v>
      </c>
    </row>
    <row r="693" spans="16:20" x14ac:dyDescent="0.35">
      <c r="R693" t="s">
        <v>5888</v>
      </c>
      <c r="S693" t="s">
        <v>5619</v>
      </c>
      <c r="T693" t="s">
        <v>5646</v>
      </c>
    </row>
    <row r="694" spans="16:20" x14ac:dyDescent="0.35">
      <c r="P694" t="s">
        <v>1767</v>
      </c>
      <c r="Q694" t="s">
        <v>5264</v>
      </c>
      <c r="R694" t="s">
        <v>5788</v>
      </c>
      <c r="S694" t="s">
        <v>5614</v>
      </c>
      <c r="T694" t="s">
        <v>5646</v>
      </c>
    </row>
    <row r="695" spans="16:20" x14ac:dyDescent="0.35">
      <c r="P695" t="s">
        <v>1775</v>
      </c>
      <c r="Q695" t="s">
        <v>5395</v>
      </c>
      <c r="R695" t="s">
        <v>6084</v>
      </c>
      <c r="S695" t="s">
        <v>5611</v>
      </c>
      <c r="T695" t="s">
        <v>1448</v>
      </c>
    </row>
    <row r="696" spans="16:20" x14ac:dyDescent="0.35">
      <c r="P696" t="s">
        <v>1777</v>
      </c>
      <c r="Q696" t="s">
        <v>4464</v>
      </c>
      <c r="R696" t="s">
        <v>5755</v>
      </c>
      <c r="S696" t="s">
        <v>5614</v>
      </c>
      <c r="T696" t="s">
        <v>5646</v>
      </c>
    </row>
    <row r="697" spans="16:20" x14ac:dyDescent="0.35">
      <c r="P697" t="s">
        <v>4756</v>
      </c>
      <c r="Q697" t="s">
        <v>4755</v>
      </c>
      <c r="R697" t="s">
        <v>1779</v>
      </c>
      <c r="S697" t="s">
        <v>5611</v>
      </c>
      <c r="T697" t="s">
        <v>1448</v>
      </c>
    </row>
    <row r="698" spans="16:20" x14ac:dyDescent="0.35">
      <c r="P698" t="s">
        <v>4759</v>
      </c>
      <c r="Q698" t="s">
        <v>4758</v>
      </c>
      <c r="R698" t="s">
        <v>1779</v>
      </c>
      <c r="S698" t="s">
        <v>5611</v>
      </c>
      <c r="T698" t="s">
        <v>1448</v>
      </c>
    </row>
    <row r="699" spans="16:20" x14ac:dyDescent="0.35">
      <c r="P699" t="s">
        <v>4251</v>
      </c>
      <c r="Q699" t="s">
        <v>1786</v>
      </c>
      <c r="R699" t="s">
        <v>5103</v>
      </c>
      <c r="S699" t="s">
        <v>5607</v>
      </c>
      <c r="T699" t="s">
        <v>5650</v>
      </c>
    </row>
    <row r="700" spans="16:20" x14ac:dyDescent="0.35">
      <c r="Q700" t="s">
        <v>4157</v>
      </c>
      <c r="R700" t="s">
        <v>5103</v>
      </c>
      <c r="S700" t="s">
        <v>5607</v>
      </c>
      <c r="T700" t="s">
        <v>5650</v>
      </c>
    </row>
    <row r="701" spans="16:20" x14ac:dyDescent="0.35">
      <c r="P701" t="s">
        <v>1788</v>
      </c>
      <c r="Q701" t="s">
        <v>4762</v>
      </c>
      <c r="R701" t="s">
        <v>1788</v>
      </c>
      <c r="S701" t="s">
        <v>1757</v>
      </c>
      <c r="T701" t="s">
        <v>5658</v>
      </c>
    </row>
    <row r="702" spans="16:20" x14ac:dyDescent="0.35">
      <c r="P702" t="s">
        <v>4261</v>
      </c>
      <c r="Q702" t="s">
        <v>4157</v>
      </c>
      <c r="R702" t="s">
        <v>5799</v>
      </c>
      <c r="S702" t="s">
        <v>5607</v>
      </c>
      <c r="T702" t="s">
        <v>5650</v>
      </c>
    </row>
    <row r="703" spans="16:20" x14ac:dyDescent="0.35">
      <c r="P703" t="s">
        <v>1792</v>
      </c>
      <c r="Q703" t="s">
        <v>4938</v>
      </c>
      <c r="R703" t="s">
        <v>5799</v>
      </c>
      <c r="S703" t="s">
        <v>5607</v>
      </c>
      <c r="T703" t="s">
        <v>5650</v>
      </c>
    </row>
    <row r="704" spans="16:20" x14ac:dyDescent="0.35">
      <c r="P704" t="s">
        <v>1794</v>
      </c>
      <c r="Q704" t="s">
        <v>4939</v>
      </c>
      <c r="R704" t="s">
        <v>5799</v>
      </c>
      <c r="S704" t="s">
        <v>5607</v>
      </c>
      <c r="T704" t="s">
        <v>5650</v>
      </c>
    </row>
    <row r="705" spans="16:20" x14ac:dyDescent="0.35">
      <c r="P705" t="s">
        <v>4653</v>
      </c>
      <c r="Q705" t="s">
        <v>4652</v>
      </c>
      <c r="R705" t="s">
        <v>1244</v>
      </c>
      <c r="S705" t="s">
        <v>5607</v>
      </c>
      <c r="T705" t="s">
        <v>5650</v>
      </c>
    </row>
    <row r="706" spans="16:20" x14ac:dyDescent="0.35">
      <c r="P706" t="s">
        <v>1799</v>
      </c>
      <c r="Q706" t="s">
        <v>4940</v>
      </c>
      <c r="R706" t="s">
        <v>5799</v>
      </c>
      <c r="S706" t="s">
        <v>5607</v>
      </c>
      <c r="T706" t="s">
        <v>5650</v>
      </c>
    </row>
    <row r="707" spans="16:20" x14ac:dyDescent="0.35">
      <c r="P707" t="s">
        <v>1802</v>
      </c>
      <c r="Q707" t="s">
        <v>4765</v>
      </c>
      <c r="R707" t="s">
        <v>5708</v>
      </c>
      <c r="S707" t="s">
        <v>5616</v>
      </c>
      <c r="T707" t="s">
        <v>5650</v>
      </c>
    </row>
    <row r="708" spans="16:20" x14ac:dyDescent="0.35">
      <c r="P708" t="s">
        <v>1804</v>
      </c>
      <c r="Q708" t="s">
        <v>4768</v>
      </c>
      <c r="R708" t="s">
        <v>5708</v>
      </c>
      <c r="S708" t="s">
        <v>5616</v>
      </c>
      <c r="T708" t="s">
        <v>5650</v>
      </c>
    </row>
    <row r="709" spans="16:20" x14ac:dyDescent="0.35">
      <c r="P709" t="s">
        <v>1808</v>
      </c>
      <c r="Q709" t="s">
        <v>4941</v>
      </c>
      <c r="R709" t="s">
        <v>5799</v>
      </c>
      <c r="S709" t="s">
        <v>5607</v>
      </c>
      <c r="T709" t="s">
        <v>5650</v>
      </c>
    </row>
    <row r="710" spans="16:20" x14ac:dyDescent="0.35">
      <c r="P710" t="s">
        <v>1813</v>
      </c>
      <c r="Q710" t="s">
        <v>4723</v>
      </c>
      <c r="R710" t="s">
        <v>1522</v>
      </c>
      <c r="S710" t="s">
        <v>5610</v>
      </c>
      <c r="T710" t="s">
        <v>5646</v>
      </c>
    </row>
    <row r="711" spans="16:20" x14ac:dyDescent="0.35">
      <c r="P711" t="s">
        <v>1815</v>
      </c>
      <c r="Q711" t="s">
        <v>5248</v>
      </c>
      <c r="R711" t="s">
        <v>2914</v>
      </c>
      <c r="S711" t="s">
        <v>5607</v>
      </c>
      <c r="T711" t="s">
        <v>5650</v>
      </c>
    </row>
    <row r="712" spans="16:20" x14ac:dyDescent="0.35">
      <c r="P712" t="s">
        <v>1817</v>
      </c>
      <c r="Q712" t="s">
        <v>4641</v>
      </c>
      <c r="R712" t="s">
        <v>5772</v>
      </c>
      <c r="S712" t="s">
        <v>5615</v>
      </c>
      <c r="T712" t="s">
        <v>5650</v>
      </c>
    </row>
    <row r="713" spans="16:20" x14ac:dyDescent="0.35">
      <c r="P713" t="s">
        <v>1819</v>
      </c>
      <c r="Q713" t="s">
        <v>4698</v>
      </c>
      <c r="R713" t="s">
        <v>1375</v>
      </c>
      <c r="S713" t="s">
        <v>5607</v>
      </c>
      <c r="T713" t="s">
        <v>5650</v>
      </c>
    </row>
    <row r="714" spans="16:20" x14ac:dyDescent="0.35">
      <c r="P714" t="s">
        <v>1821</v>
      </c>
      <c r="Q714" t="s">
        <v>4699</v>
      </c>
      <c r="R714" t="s">
        <v>1375</v>
      </c>
      <c r="S714" t="s">
        <v>5607</v>
      </c>
      <c r="T714" t="s">
        <v>5650</v>
      </c>
    </row>
    <row r="715" spans="16:20" x14ac:dyDescent="0.35">
      <c r="P715" t="s">
        <v>1823</v>
      </c>
      <c r="Q715" t="s">
        <v>4700</v>
      </c>
      <c r="R715" t="s">
        <v>1375</v>
      </c>
      <c r="S715" t="s">
        <v>5607</v>
      </c>
      <c r="T715" t="s">
        <v>5650</v>
      </c>
    </row>
    <row r="716" spans="16:20" x14ac:dyDescent="0.35">
      <c r="P716" t="s">
        <v>1827</v>
      </c>
      <c r="Q716" t="s">
        <v>4770</v>
      </c>
      <c r="R716" t="s">
        <v>1827</v>
      </c>
      <c r="S716" t="s">
        <v>5618</v>
      </c>
      <c r="T716" t="s">
        <v>5658</v>
      </c>
    </row>
    <row r="717" spans="16:20" x14ac:dyDescent="0.35">
      <c r="Q717" t="s">
        <v>5130</v>
      </c>
      <c r="R717" t="s">
        <v>2619</v>
      </c>
      <c r="S717" t="s">
        <v>5609</v>
      </c>
      <c r="T717" t="s">
        <v>5658</v>
      </c>
    </row>
    <row r="718" spans="16:20" x14ac:dyDescent="0.35">
      <c r="P718" t="s">
        <v>1833</v>
      </c>
      <c r="Q718" t="s">
        <v>4942</v>
      </c>
      <c r="R718" t="s">
        <v>5799</v>
      </c>
      <c r="S718" t="s">
        <v>5607</v>
      </c>
      <c r="T718" t="s">
        <v>5650</v>
      </c>
    </row>
    <row r="719" spans="16:20" x14ac:dyDescent="0.35">
      <c r="P719" t="s">
        <v>1835</v>
      </c>
      <c r="Q719" t="s">
        <v>4807</v>
      </c>
      <c r="R719" t="s">
        <v>1872</v>
      </c>
      <c r="S719" t="s">
        <v>5607</v>
      </c>
      <c r="T719" t="s">
        <v>5650</v>
      </c>
    </row>
    <row r="720" spans="16:20" x14ac:dyDescent="0.35">
      <c r="P720" t="s">
        <v>1837</v>
      </c>
      <c r="Q720" t="s">
        <v>5350</v>
      </c>
      <c r="R720" t="s">
        <v>3126</v>
      </c>
      <c r="S720" t="s">
        <v>5615</v>
      </c>
      <c r="T720" t="s">
        <v>5650</v>
      </c>
    </row>
    <row r="721" spans="16:20" x14ac:dyDescent="0.35">
      <c r="P721" t="s">
        <v>4220</v>
      </c>
      <c r="Q721" t="s">
        <v>5249</v>
      </c>
      <c r="R721" t="s">
        <v>2914</v>
      </c>
      <c r="S721" t="s">
        <v>5607</v>
      </c>
      <c r="T721" t="s">
        <v>5650</v>
      </c>
    </row>
    <row r="722" spans="16:20" x14ac:dyDescent="0.35">
      <c r="Q722" t="s">
        <v>4157</v>
      </c>
      <c r="R722" t="s">
        <v>5779</v>
      </c>
      <c r="S722" t="s">
        <v>1837</v>
      </c>
      <c r="T722" t="s">
        <v>5646</v>
      </c>
    </row>
    <row r="723" spans="16:20" x14ac:dyDescent="0.35">
      <c r="P723" t="s">
        <v>5029</v>
      </c>
      <c r="Q723" t="s">
        <v>5028</v>
      </c>
      <c r="R723" t="s">
        <v>5831</v>
      </c>
      <c r="S723" t="s">
        <v>5612</v>
      </c>
      <c r="T723" t="s">
        <v>1448</v>
      </c>
    </row>
    <row r="724" spans="16:20" x14ac:dyDescent="0.35">
      <c r="P724" t="s">
        <v>1848</v>
      </c>
      <c r="Q724" t="s">
        <v>1849</v>
      </c>
      <c r="R724" t="s">
        <v>2561</v>
      </c>
      <c r="S724" t="s">
        <v>5611</v>
      </c>
      <c r="T724" t="s">
        <v>1448</v>
      </c>
    </row>
    <row r="725" spans="16:20" x14ac:dyDescent="0.35">
      <c r="Q725" t="s">
        <v>4157</v>
      </c>
      <c r="R725" t="s">
        <v>2561</v>
      </c>
      <c r="S725" t="s">
        <v>5611</v>
      </c>
      <c r="T725" t="s">
        <v>1448</v>
      </c>
    </row>
    <row r="726" spans="16:20" x14ac:dyDescent="0.35">
      <c r="P726" t="s">
        <v>4142</v>
      </c>
      <c r="Q726" t="s">
        <v>4141</v>
      </c>
      <c r="R726" t="s">
        <v>2561</v>
      </c>
      <c r="S726" t="s">
        <v>5611</v>
      </c>
      <c r="T726" t="s">
        <v>1448</v>
      </c>
    </row>
    <row r="727" spans="16:20" x14ac:dyDescent="0.35">
      <c r="P727" t="s">
        <v>1853</v>
      </c>
      <c r="Q727" t="s">
        <v>1854</v>
      </c>
      <c r="R727" t="s">
        <v>5746</v>
      </c>
      <c r="S727" t="s">
        <v>5607</v>
      </c>
      <c r="T727" t="s">
        <v>5650</v>
      </c>
    </row>
    <row r="728" spans="16:20" x14ac:dyDescent="0.35">
      <c r="Q728" t="s">
        <v>4157</v>
      </c>
      <c r="R728" t="s">
        <v>5746</v>
      </c>
      <c r="S728" t="s">
        <v>5607</v>
      </c>
      <c r="T728" t="s">
        <v>5650</v>
      </c>
    </row>
    <row r="729" spans="16:20" x14ac:dyDescent="0.35">
      <c r="P729" t="s">
        <v>1857</v>
      </c>
      <c r="Q729" t="s">
        <v>5367</v>
      </c>
      <c r="R729" t="s">
        <v>6065</v>
      </c>
      <c r="S729" t="s">
        <v>5623</v>
      </c>
      <c r="T729" t="s">
        <v>5658</v>
      </c>
    </row>
    <row r="730" spans="16:20" x14ac:dyDescent="0.35">
      <c r="Q730" t="s">
        <v>4781</v>
      </c>
      <c r="R730" t="s">
        <v>5899</v>
      </c>
      <c r="S730" t="s">
        <v>1757</v>
      </c>
      <c r="T730" t="s">
        <v>5658</v>
      </c>
    </row>
    <row r="731" spans="16:20" x14ac:dyDescent="0.35">
      <c r="P731" t="s">
        <v>1861</v>
      </c>
      <c r="Q731" t="s">
        <v>4596</v>
      </c>
      <c r="R731" t="s">
        <v>5817</v>
      </c>
      <c r="S731" t="s">
        <v>5614</v>
      </c>
      <c r="T731" t="s">
        <v>5646</v>
      </c>
    </row>
    <row r="732" spans="16:20" x14ac:dyDescent="0.35">
      <c r="P732" t="s">
        <v>1863</v>
      </c>
      <c r="Q732" t="s">
        <v>5007</v>
      </c>
      <c r="R732" t="s">
        <v>5885</v>
      </c>
      <c r="S732" t="s">
        <v>5607</v>
      </c>
      <c r="T732" t="s">
        <v>5650</v>
      </c>
    </row>
    <row r="733" spans="16:20" x14ac:dyDescent="0.35">
      <c r="P733" t="s">
        <v>1870</v>
      </c>
      <c r="Q733" t="s">
        <v>4808</v>
      </c>
      <c r="R733" t="s">
        <v>1872</v>
      </c>
      <c r="S733" t="s">
        <v>5607</v>
      </c>
      <c r="T733" t="s">
        <v>5650</v>
      </c>
    </row>
    <row r="734" spans="16:20" x14ac:dyDescent="0.35">
      <c r="P734" t="s">
        <v>1872</v>
      </c>
      <c r="Q734" t="s">
        <v>4425</v>
      </c>
      <c r="R734" t="s">
        <v>457</v>
      </c>
      <c r="S734" t="s">
        <v>5607</v>
      </c>
      <c r="T734" t="s">
        <v>5650</v>
      </c>
    </row>
    <row r="735" spans="16:20" x14ac:dyDescent="0.35">
      <c r="Q735" t="s">
        <v>4809</v>
      </c>
      <c r="R735" t="s">
        <v>1872</v>
      </c>
      <c r="S735" t="s">
        <v>5607</v>
      </c>
      <c r="T735" t="s">
        <v>5650</v>
      </c>
    </row>
    <row r="736" spans="16:20" x14ac:dyDescent="0.35">
      <c r="P736" t="s">
        <v>1874</v>
      </c>
      <c r="Q736" t="s">
        <v>4794</v>
      </c>
      <c r="R736" t="s">
        <v>1872</v>
      </c>
      <c r="S736" t="s">
        <v>5607</v>
      </c>
      <c r="T736" t="s">
        <v>5650</v>
      </c>
    </row>
    <row r="737" spans="16:20" x14ac:dyDescent="0.35">
      <c r="P737" t="s">
        <v>1877</v>
      </c>
      <c r="Q737" t="s">
        <v>4384</v>
      </c>
      <c r="R737" t="s">
        <v>457</v>
      </c>
      <c r="S737" t="s">
        <v>5607</v>
      </c>
      <c r="T737" t="s">
        <v>5650</v>
      </c>
    </row>
    <row r="738" spans="16:20" x14ac:dyDescent="0.35">
      <c r="P738" t="s">
        <v>1879</v>
      </c>
      <c r="Q738" t="s">
        <v>5416</v>
      </c>
      <c r="R738" t="s">
        <v>3370</v>
      </c>
      <c r="S738" t="s">
        <v>5615</v>
      </c>
      <c r="T738" t="s">
        <v>5650</v>
      </c>
    </row>
    <row r="739" spans="16:20" x14ac:dyDescent="0.35">
      <c r="P739" t="s">
        <v>1881</v>
      </c>
      <c r="Q739" t="s">
        <v>4581</v>
      </c>
      <c r="R739" t="s">
        <v>5103</v>
      </c>
      <c r="S739" t="s">
        <v>5607</v>
      </c>
      <c r="T739" t="s">
        <v>5650</v>
      </c>
    </row>
    <row r="740" spans="16:20" x14ac:dyDescent="0.35">
      <c r="P740" t="s">
        <v>1883</v>
      </c>
      <c r="Q740" t="s">
        <v>5008</v>
      </c>
      <c r="R740" t="s">
        <v>5885</v>
      </c>
      <c r="S740" t="s">
        <v>5607</v>
      </c>
      <c r="T740" t="s">
        <v>5650</v>
      </c>
    </row>
    <row r="741" spans="16:20" x14ac:dyDescent="0.35">
      <c r="P741" t="s">
        <v>1885</v>
      </c>
      <c r="Q741" t="s">
        <v>5261</v>
      </c>
      <c r="R741" t="s">
        <v>5696</v>
      </c>
      <c r="S741" t="s">
        <v>5614</v>
      </c>
      <c r="T741" t="s">
        <v>5646</v>
      </c>
    </row>
    <row r="742" spans="16:20" x14ac:dyDescent="0.35">
      <c r="P742" t="s">
        <v>4412</v>
      </c>
      <c r="Q742" t="s">
        <v>4411</v>
      </c>
      <c r="R742" t="s">
        <v>457</v>
      </c>
      <c r="S742" t="s">
        <v>5607</v>
      </c>
      <c r="T742" t="s">
        <v>5650</v>
      </c>
    </row>
    <row r="743" spans="16:20" x14ac:dyDescent="0.35">
      <c r="P743" t="s">
        <v>1895</v>
      </c>
      <c r="Q743" t="s">
        <v>4496</v>
      </c>
      <c r="R743" t="s">
        <v>5607</v>
      </c>
      <c r="S743" t="s">
        <v>5607</v>
      </c>
      <c r="T743" t="s">
        <v>5650</v>
      </c>
    </row>
    <row r="744" spans="16:20" x14ac:dyDescent="0.35">
      <c r="P744" t="s">
        <v>1898</v>
      </c>
      <c r="Q744" t="s">
        <v>5276</v>
      </c>
      <c r="R744" t="s">
        <v>5788</v>
      </c>
      <c r="S744" t="s">
        <v>5614</v>
      </c>
      <c r="T744" t="s">
        <v>5646</v>
      </c>
    </row>
    <row r="745" spans="16:20" x14ac:dyDescent="0.35">
      <c r="P745" t="s">
        <v>1900</v>
      </c>
      <c r="Q745" t="s">
        <v>5277</v>
      </c>
      <c r="R745" t="s">
        <v>5788</v>
      </c>
      <c r="S745" t="s">
        <v>5614</v>
      </c>
      <c r="T745" t="s">
        <v>5646</v>
      </c>
    </row>
    <row r="746" spans="16:20" x14ac:dyDescent="0.35">
      <c r="P746" t="s">
        <v>1902</v>
      </c>
      <c r="Q746" t="s">
        <v>4764</v>
      </c>
      <c r="R746" t="s">
        <v>1788</v>
      </c>
      <c r="S746" t="s">
        <v>1757</v>
      </c>
      <c r="T746" t="s">
        <v>5658</v>
      </c>
    </row>
    <row r="747" spans="16:20" x14ac:dyDescent="0.35">
      <c r="Q747" t="s">
        <v>4154</v>
      </c>
      <c r="R747" t="s">
        <v>3836</v>
      </c>
      <c r="S747" t="s">
        <v>5611</v>
      </c>
      <c r="T747" t="s">
        <v>1448</v>
      </c>
    </row>
    <row r="748" spans="16:20" x14ac:dyDescent="0.35">
      <c r="P748" t="s">
        <v>4248</v>
      </c>
      <c r="Q748" t="s">
        <v>4157</v>
      </c>
      <c r="R748" t="s">
        <v>955</v>
      </c>
      <c r="S748" t="s">
        <v>5607</v>
      </c>
      <c r="T748" t="s">
        <v>5650</v>
      </c>
    </row>
    <row r="749" spans="16:20" x14ac:dyDescent="0.35">
      <c r="P749" t="s">
        <v>1908</v>
      </c>
      <c r="Q749" t="s">
        <v>5440</v>
      </c>
      <c r="R749" t="s">
        <v>5682</v>
      </c>
      <c r="S749" t="s">
        <v>5614</v>
      </c>
      <c r="T749" t="s">
        <v>5646</v>
      </c>
    </row>
    <row r="750" spans="16:20" x14ac:dyDescent="0.35">
      <c r="Q750" t="s">
        <v>4824</v>
      </c>
      <c r="R750" t="s">
        <v>1910</v>
      </c>
      <c r="S750" t="s">
        <v>1837</v>
      </c>
      <c r="T750" t="s">
        <v>5646</v>
      </c>
    </row>
    <row r="751" spans="16:20" x14ac:dyDescent="0.35">
      <c r="P751" t="s">
        <v>1914</v>
      </c>
      <c r="Q751" t="s">
        <v>4055</v>
      </c>
      <c r="R751" t="s">
        <v>5746</v>
      </c>
      <c r="S751" t="s">
        <v>5607</v>
      </c>
      <c r="T751" t="s">
        <v>5650</v>
      </c>
    </row>
    <row r="752" spans="16:20" x14ac:dyDescent="0.35">
      <c r="Q752" t="s">
        <v>4157</v>
      </c>
      <c r="R752" t="s">
        <v>5746</v>
      </c>
      <c r="S752" t="s">
        <v>5607</v>
      </c>
      <c r="T752" t="s">
        <v>5650</v>
      </c>
    </row>
    <row r="753" spans="16:20" x14ac:dyDescent="0.35">
      <c r="P753" t="s">
        <v>5551</v>
      </c>
      <c r="Q753" t="s">
        <v>5550</v>
      </c>
      <c r="R753" t="s">
        <v>3776</v>
      </c>
      <c r="S753" t="s">
        <v>1837</v>
      </c>
      <c r="T753" t="s">
        <v>5646</v>
      </c>
    </row>
    <row r="754" spans="16:20" x14ac:dyDescent="0.35">
      <c r="P754" t="s">
        <v>1920</v>
      </c>
      <c r="Q754" t="s">
        <v>4335</v>
      </c>
      <c r="R754" t="s">
        <v>5713</v>
      </c>
      <c r="S754" t="s">
        <v>5611</v>
      </c>
      <c r="T754" t="s">
        <v>1448</v>
      </c>
    </row>
    <row r="755" spans="16:20" x14ac:dyDescent="0.35">
      <c r="P755" t="s">
        <v>1922</v>
      </c>
      <c r="Q755" t="s">
        <v>5326</v>
      </c>
      <c r="R755" t="s">
        <v>3101</v>
      </c>
      <c r="S755" t="s">
        <v>5610</v>
      </c>
      <c r="T755" t="s">
        <v>5646</v>
      </c>
    </row>
    <row r="756" spans="16:20" x14ac:dyDescent="0.35">
      <c r="P756" t="s">
        <v>1924</v>
      </c>
      <c r="Q756" t="s">
        <v>5278</v>
      </c>
      <c r="R756" t="s">
        <v>5788</v>
      </c>
      <c r="S756" t="s">
        <v>5614</v>
      </c>
      <c r="T756" t="s">
        <v>5646</v>
      </c>
    </row>
    <row r="757" spans="16:20" x14ac:dyDescent="0.35">
      <c r="P757" t="s">
        <v>4883</v>
      </c>
      <c r="Q757" t="s">
        <v>4882</v>
      </c>
      <c r="R757" t="s">
        <v>2007</v>
      </c>
      <c r="S757" t="s">
        <v>5607</v>
      </c>
      <c r="T757" t="s">
        <v>5650</v>
      </c>
    </row>
    <row r="758" spans="16:20" x14ac:dyDescent="0.35">
      <c r="P758" t="s">
        <v>1931</v>
      </c>
      <c r="Q758" t="s">
        <v>4795</v>
      </c>
      <c r="R758" t="s">
        <v>1872</v>
      </c>
      <c r="S758" t="s">
        <v>5607</v>
      </c>
      <c r="T758" t="s">
        <v>5650</v>
      </c>
    </row>
    <row r="759" spans="16:20" x14ac:dyDescent="0.35">
      <c r="P759" t="s">
        <v>1933</v>
      </c>
      <c r="Q759" t="s">
        <v>5594</v>
      </c>
      <c r="R759" t="s">
        <v>3938</v>
      </c>
      <c r="S759" t="s">
        <v>5607</v>
      </c>
      <c r="T759" t="s">
        <v>5650</v>
      </c>
    </row>
    <row r="760" spans="16:20" x14ac:dyDescent="0.35">
      <c r="P760" t="s">
        <v>1936</v>
      </c>
      <c r="Q760" t="s">
        <v>4833</v>
      </c>
      <c r="R760" t="s">
        <v>1936</v>
      </c>
      <c r="S760" t="s">
        <v>5618</v>
      </c>
      <c r="T760" t="s">
        <v>5658</v>
      </c>
    </row>
    <row r="761" spans="16:20" x14ac:dyDescent="0.35">
      <c r="P761" t="s">
        <v>4202</v>
      </c>
      <c r="Q761" t="s">
        <v>4157</v>
      </c>
      <c r="R761" t="s">
        <v>70</v>
      </c>
      <c r="S761" t="s">
        <v>1837</v>
      </c>
      <c r="T761" t="s">
        <v>5646</v>
      </c>
    </row>
    <row r="762" spans="16:20" x14ac:dyDescent="0.35">
      <c r="P762" t="s">
        <v>1942</v>
      </c>
      <c r="Q762" t="s">
        <v>4968</v>
      </c>
      <c r="R762" t="s">
        <v>5943</v>
      </c>
      <c r="S762" t="s">
        <v>5611</v>
      </c>
      <c r="T762" t="s">
        <v>1448</v>
      </c>
    </row>
    <row r="763" spans="16:20" x14ac:dyDescent="0.35">
      <c r="P763" t="s">
        <v>5016</v>
      </c>
      <c r="Q763" t="s">
        <v>5015</v>
      </c>
      <c r="R763" t="s">
        <v>2540</v>
      </c>
      <c r="S763" t="s">
        <v>5612</v>
      </c>
      <c r="T763" t="s">
        <v>1448</v>
      </c>
    </row>
    <row r="764" spans="16:20" x14ac:dyDescent="0.35">
      <c r="P764" t="s">
        <v>4232</v>
      </c>
      <c r="Q764" t="s">
        <v>4157</v>
      </c>
      <c r="R764" t="s">
        <v>5888</v>
      </c>
      <c r="S764" t="s">
        <v>5619</v>
      </c>
      <c r="T764" t="s">
        <v>5646</v>
      </c>
    </row>
    <row r="765" spans="16:20" x14ac:dyDescent="0.35">
      <c r="P765" t="s">
        <v>1949</v>
      </c>
      <c r="Q765" t="s">
        <v>4404</v>
      </c>
      <c r="R765" t="s">
        <v>457</v>
      </c>
      <c r="S765" t="s">
        <v>5607</v>
      </c>
      <c r="T765" t="s">
        <v>5650</v>
      </c>
    </row>
    <row r="766" spans="16:20" x14ac:dyDescent="0.35">
      <c r="P766" t="s">
        <v>1951</v>
      </c>
      <c r="Q766" t="s">
        <v>4424</v>
      </c>
      <c r="R766" t="s">
        <v>457</v>
      </c>
      <c r="S766" t="s">
        <v>5607</v>
      </c>
      <c r="T766" t="s">
        <v>5650</v>
      </c>
    </row>
    <row r="767" spans="16:20" x14ac:dyDescent="0.35">
      <c r="P767" t="s">
        <v>1954</v>
      </c>
      <c r="Q767" t="s">
        <v>5462</v>
      </c>
      <c r="R767" t="s">
        <v>3549</v>
      </c>
      <c r="S767" t="s">
        <v>5615</v>
      </c>
      <c r="T767" t="s">
        <v>5650</v>
      </c>
    </row>
    <row r="768" spans="16:20" x14ac:dyDescent="0.35">
      <c r="P768" t="s">
        <v>4837</v>
      </c>
      <c r="Q768" t="s">
        <v>4836</v>
      </c>
      <c r="R768" t="s">
        <v>1957</v>
      </c>
      <c r="S768" t="s">
        <v>5612</v>
      </c>
      <c r="T768" t="s">
        <v>1448</v>
      </c>
    </row>
    <row r="769" spans="16:20" x14ac:dyDescent="0.35">
      <c r="P769" t="s">
        <v>4846</v>
      </c>
      <c r="Q769" t="s">
        <v>4845</v>
      </c>
      <c r="R769" t="s">
        <v>1959</v>
      </c>
      <c r="S769" t="s">
        <v>5615</v>
      </c>
      <c r="T769" t="s">
        <v>5650</v>
      </c>
    </row>
    <row r="770" spans="16:20" x14ac:dyDescent="0.35">
      <c r="P770" t="s">
        <v>5166</v>
      </c>
      <c r="Q770" t="s">
        <v>5165</v>
      </c>
      <c r="R770" t="s">
        <v>2723</v>
      </c>
      <c r="S770" t="s">
        <v>5612</v>
      </c>
      <c r="T770" t="s">
        <v>1448</v>
      </c>
    </row>
    <row r="771" spans="16:20" x14ac:dyDescent="0.35">
      <c r="P771" t="s">
        <v>5116</v>
      </c>
      <c r="Q771" t="s">
        <v>5115</v>
      </c>
      <c r="R771" t="s">
        <v>5981</v>
      </c>
      <c r="S771" t="s">
        <v>5612</v>
      </c>
      <c r="T771" t="s">
        <v>1448</v>
      </c>
    </row>
    <row r="772" spans="16:20" x14ac:dyDescent="0.35">
      <c r="P772" t="s">
        <v>1964</v>
      </c>
      <c r="Q772" t="s">
        <v>4415</v>
      </c>
      <c r="R772" t="s">
        <v>457</v>
      </c>
      <c r="S772" t="s">
        <v>5607</v>
      </c>
      <c r="T772" t="s">
        <v>5650</v>
      </c>
    </row>
    <row r="773" spans="16:20" x14ac:dyDescent="0.35">
      <c r="P773" t="s">
        <v>1966</v>
      </c>
      <c r="Q773" t="s">
        <v>4859</v>
      </c>
      <c r="R773" t="s">
        <v>5915</v>
      </c>
      <c r="S773" t="s">
        <v>5615</v>
      </c>
      <c r="T773" t="s">
        <v>5650</v>
      </c>
    </row>
    <row r="774" spans="16:20" x14ac:dyDescent="0.35">
      <c r="P774" t="s">
        <v>4207</v>
      </c>
      <c r="Q774" t="s">
        <v>4157</v>
      </c>
      <c r="R774" t="s">
        <v>5870</v>
      </c>
      <c r="S774" t="s">
        <v>1837</v>
      </c>
      <c r="T774" t="s">
        <v>5646</v>
      </c>
    </row>
    <row r="775" spans="16:20" x14ac:dyDescent="0.35">
      <c r="P775" t="s">
        <v>1970</v>
      </c>
      <c r="Q775" t="s">
        <v>4994</v>
      </c>
      <c r="R775" t="s">
        <v>5746</v>
      </c>
      <c r="S775" t="s">
        <v>5607</v>
      </c>
      <c r="T775" t="s">
        <v>5650</v>
      </c>
    </row>
    <row r="776" spans="16:20" x14ac:dyDescent="0.35">
      <c r="Q776" t="s">
        <v>4839</v>
      </c>
      <c r="R776" t="s">
        <v>1957</v>
      </c>
      <c r="S776" t="s">
        <v>5612</v>
      </c>
      <c r="T776" t="s">
        <v>1448</v>
      </c>
    </row>
    <row r="777" spans="16:20" x14ac:dyDescent="0.35">
      <c r="P777" t="s">
        <v>4518</v>
      </c>
      <c r="Q777" t="s">
        <v>4517</v>
      </c>
      <c r="R777" t="s">
        <v>4513</v>
      </c>
      <c r="S777" t="s">
        <v>5612</v>
      </c>
      <c r="T777" t="s">
        <v>1448</v>
      </c>
    </row>
    <row r="778" spans="16:20" x14ac:dyDescent="0.35">
      <c r="P778" t="s">
        <v>1976</v>
      </c>
      <c r="Q778" t="s">
        <v>4091</v>
      </c>
      <c r="R778" t="s">
        <v>1976</v>
      </c>
      <c r="S778" t="s">
        <v>1837</v>
      </c>
      <c r="T778" t="s">
        <v>5646</v>
      </c>
    </row>
    <row r="779" spans="16:20" x14ac:dyDescent="0.35">
      <c r="Q779" t="s">
        <v>4119</v>
      </c>
      <c r="R779" t="s">
        <v>1779</v>
      </c>
      <c r="S779" t="s">
        <v>5611</v>
      </c>
      <c r="T779" t="s">
        <v>1448</v>
      </c>
    </row>
    <row r="780" spans="16:20" x14ac:dyDescent="0.35">
      <c r="Q780" t="s">
        <v>4139</v>
      </c>
      <c r="R780" t="s">
        <v>2561</v>
      </c>
      <c r="S780" t="s">
        <v>5611</v>
      </c>
      <c r="T780" t="s">
        <v>1448</v>
      </c>
    </row>
    <row r="781" spans="16:20" x14ac:dyDescent="0.35">
      <c r="P781" t="s">
        <v>4850</v>
      </c>
      <c r="Q781" t="s">
        <v>4849</v>
      </c>
      <c r="R781" t="s">
        <v>1959</v>
      </c>
      <c r="S781" t="s">
        <v>5615</v>
      </c>
      <c r="T781" t="s">
        <v>5650</v>
      </c>
    </row>
    <row r="782" spans="16:20" x14ac:dyDescent="0.35">
      <c r="P782" t="s">
        <v>1980</v>
      </c>
      <c r="Q782" t="s">
        <v>4868</v>
      </c>
      <c r="R782" t="s">
        <v>1976</v>
      </c>
      <c r="S782" t="s">
        <v>1837</v>
      </c>
      <c r="T782" t="s">
        <v>5646</v>
      </c>
    </row>
    <row r="783" spans="16:20" x14ac:dyDescent="0.35">
      <c r="P783" t="s">
        <v>1982</v>
      </c>
      <c r="Q783" t="s">
        <v>4863</v>
      </c>
      <c r="R783" t="s">
        <v>1976</v>
      </c>
      <c r="S783" t="s">
        <v>1837</v>
      </c>
      <c r="T783" t="s">
        <v>5646</v>
      </c>
    </row>
    <row r="784" spans="16:20" x14ac:dyDescent="0.35">
      <c r="P784" t="s">
        <v>5111</v>
      </c>
      <c r="Q784" t="s">
        <v>5110</v>
      </c>
      <c r="R784" t="s">
        <v>5981</v>
      </c>
      <c r="S784" t="s">
        <v>5612</v>
      </c>
      <c r="T784" t="s">
        <v>1448</v>
      </c>
    </row>
    <row r="785" spans="16:20" x14ac:dyDescent="0.35">
      <c r="P785" t="s">
        <v>1986</v>
      </c>
      <c r="Q785" t="s">
        <v>4869</v>
      </c>
      <c r="R785" t="s">
        <v>1986</v>
      </c>
      <c r="S785" t="s">
        <v>5611</v>
      </c>
      <c r="T785" t="s">
        <v>1448</v>
      </c>
    </row>
    <row r="786" spans="16:20" x14ac:dyDescent="0.35">
      <c r="P786" t="s">
        <v>4761</v>
      </c>
      <c r="Q786" t="s">
        <v>4760</v>
      </c>
      <c r="R786" t="s">
        <v>1779</v>
      </c>
      <c r="S786" t="s">
        <v>5611</v>
      </c>
      <c r="T786" t="s">
        <v>1448</v>
      </c>
    </row>
    <row r="787" spans="16:20" x14ac:dyDescent="0.35">
      <c r="P787" t="s">
        <v>1992</v>
      </c>
      <c r="Q787" t="s">
        <v>4022</v>
      </c>
      <c r="R787" t="s">
        <v>299</v>
      </c>
      <c r="S787" t="s">
        <v>5613</v>
      </c>
      <c r="T787" t="s">
        <v>5678</v>
      </c>
    </row>
    <row r="788" spans="16:20" x14ac:dyDescent="0.35">
      <c r="P788" t="s">
        <v>4281</v>
      </c>
      <c r="Q788" t="s">
        <v>4280</v>
      </c>
      <c r="R788" t="s">
        <v>5665</v>
      </c>
      <c r="S788" t="s">
        <v>5609</v>
      </c>
      <c r="T788" t="s">
        <v>5658</v>
      </c>
    </row>
    <row r="789" spans="16:20" x14ac:dyDescent="0.35">
      <c r="P789" t="s">
        <v>4848</v>
      </c>
      <c r="Q789" t="s">
        <v>4847</v>
      </c>
      <c r="R789" t="s">
        <v>1959</v>
      </c>
      <c r="S789" t="s">
        <v>5615</v>
      </c>
      <c r="T789" t="s">
        <v>5650</v>
      </c>
    </row>
    <row r="790" spans="16:20" x14ac:dyDescent="0.35">
      <c r="P790" t="s">
        <v>1998</v>
      </c>
      <c r="Q790" t="s">
        <v>5452</v>
      </c>
      <c r="R790" t="s">
        <v>5811</v>
      </c>
      <c r="S790" t="s">
        <v>5615</v>
      </c>
      <c r="T790" t="s">
        <v>5650</v>
      </c>
    </row>
    <row r="791" spans="16:20" x14ac:dyDescent="0.35">
      <c r="P791" t="s">
        <v>2001</v>
      </c>
      <c r="Q791" t="s">
        <v>4406</v>
      </c>
      <c r="R791" t="s">
        <v>457</v>
      </c>
      <c r="S791" t="s">
        <v>5607</v>
      </c>
      <c r="T791" t="s">
        <v>5650</v>
      </c>
    </row>
    <row r="792" spans="16:20" x14ac:dyDescent="0.35">
      <c r="P792" t="s">
        <v>4436</v>
      </c>
      <c r="Q792" t="s">
        <v>4435</v>
      </c>
      <c r="R792" t="s">
        <v>5755</v>
      </c>
      <c r="S792" t="s">
        <v>5614</v>
      </c>
      <c r="T792" t="s">
        <v>5646</v>
      </c>
    </row>
    <row r="793" spans="16:20" x14ac:dyDescent="0.35">
      <c r="P793" t="s">
        <v>2007</v>
      </c>
      <c r="Q793" t="s">
        <v>4872</v>
      </c>
      <c r="R793" t="s">
        <v>2007</v>
      </c>
      <c r="S793" t="s">
        <v>5607</v>
      </c>
      <c r="T793" t="s">
        <v>5650</v>
      </c>
    </row>
    <row r="794" spans="16:20" x14ac:dyDescent="0.35">
      <c r="P794" t="s">
        <v>2009</v>
      </c>
      <c r="Q794" t="s">
        <v>4873</v>
      </c>
      <c r="R794" t="s">
        <v>2007</v>
      </c>
      <c r="S794" t="s">
        <v>5607</v>
      </c>
      <c r="T794" t="s">
        <v>5650</v>
      </c>
    </row>
    <row r="795" spans="16:20" x14ac:dyDescent="0.35">
      <c r="P795" t="s">
        <v>2014</v>
      </c>
      <c r="Q795" t="s">
        <v>5414</v>
      </c>
      <c r="R795" t="s">
        <v>3370</v>
      </c>
      <c r="S795" t="s">
        <v>5615</v>
      </c>
      <c r="T795" t="s">
        <v>5650</v>
      </c>
    </row>
    <row r="796" spans="16:20" x14ac:dyDescent="0.35">
      <c r="P796" t="s">
        <v>2017</v>
      </c>
      <c r="Q796" t="s">
        <v>5384</v>
      </c>
      <c r="R796" t="s">
        <v>5961</v>
      </c>
      <c r="S796" t="s">
        <v>5610</v>
      </c>
      <c r="T796" t="s">
        <v>5646</v>
      </c>
    </row>
    <row r="797" spans="16:20" x14ac:dyDescent="0.35">
      <c r="Q797" t="s">
        <v>2018</v>
      </c>
      <c r="R797" t="s">
        <v>5811</v>
      </c>
      <c r="S797" t="s">
        <v>5615</v>
      </c>
      <c r="T797" t="s">
        <v>5650</v>
      </c>
    </row>
    <row r="798" spans="16:20" x14ac:dyDescent="0.35">
      <c r="Q798" t="s">
        <v>4044</v>
      </c>
      <c r="R798" t="s">
        <v>5746</v>
      </c>
      <c r="S798" t="s">
        <v>5607</v>
      </c>
      <c r="T798" t="s">
        <v>5650</v>
      </c>
    </row>
    <row r="799" spans="16:20" x14ac:dyDescent="0.35">
      <c r="Q799" t="s">
        <v>4090</v>
      </c>
      <c r="R799" t="s">
        <v>2017</v>
      </c>
      <c r="S799" t="s">
        <v>1837</v>
      </c>
      <c r="T799" t="s">
        <v>5646</v>
      </c>
    </row>
    <row r="800" spans="16:20" x14ac:dyDescent="0.35">
      <c r="Q800" t="s">
        <v>4157</v>
      </c>
      <c r="R800" t="s">
        <v>4240</v>
      </c>
      <c r="S800" t="s">
        <v>5607</v>
      </c>
      <c r="T800" t="s">
        <v>5650</v>
      </c>
    </row>
    <row r="801" spans="16:20" x14ac:dyDescent="0.35">
      <c r="R801" t="s">
        <v>5811</v>
      </c>
      <c r="S801" t="s">
        <v>5615</v>
      </c>
      <c r="T801" t="s">
        <v>5650</v>
      </c>
    </row>
    <row r="802" spans="16:20" x14ac:dyDescent="0.35">
      <c r="P802" t="s">
        <v>2024</v>
      </c>
      <c r="Q802" t="s">
        <v>4885</v>
      </c>
      <c r="R802" t="s">
        <v>2017</v>
      </c>
      <c r="S802" t="s">
        <v>1837</v>
      </c>
      <c r="T802" t="s">
        <v>5646</v>
      </c>
    </row>
    <row r="803" spans="16:20" x14ac:dyDescent="0.35">
      <c r="P803" t="s">
        <v>4866</v>
      </c>
      <c r="Q803" t="s">
        <v>4865</v>
      </c>
      <c r="R803" t="s">
        <v>1976</v>
      </c>
      <c r="S803" t="s">
        <v>1837</v>
      </c>
      <c r="T803" t="s">
        <v>5646</v>
      </c>
    </row>
    <row r="804" spans="16:20" x14ac:dyDescent="0.35">
      <c r="P804" t="s">
        <v>2028</v>
      </c>
      <c r="Q804" t="s">
        <v>4943</v>
      </c>
      <c r="R804" t="s">
        <v>5799</v>
      </c>
      <c r="S804" t="s">
        <v>5607</v>
      </c>
      <c r="T804" t="s">
        <v>5650</v>
      </c>
    </row>
    <row r="805" spans="16:20" x14ac:dyDescent="0.35">
      <c r="P805" t="s">
        <v>4322</v>
      </c>
      <c r="Q805" t="s">
        <v>4321</v>
      </c>
      <c r="R805" t="s">
        <v>283</v>
      </c>
      <c r="S805" t="s">
        <v>5615</v>
      </c>
      <c r="T805" t="s">
        <v>5650</v>
      </c>
    </row>
    <row r="806" spans="16:20" x14ac:dyDescent="0.35">
      <c r="Q806" t="s">
        <v>4970</v>
      </c>
      <c r="R806" t="s">
        <v>5943</v>
      </c>
      <c r="S806" t="s">
        <v>5611</v>
      </c>
      <c r="T806" t="s">
        <v>1448</v>
      </c>
    </row>
    <row r="807" spans="16:20" x14ac:dyDescent="0.35">
      <c r="P807" t="s">
        <v>2032</v>
      </c>
      <c r="Q807" t="s">
        <v>4320</v>
      </c>
      <c r="R807" t="s">
        <v>283</v>
      </c>
      <c r="S807" t="s">
        <v>5615</v>
      </c>
      <c r="T807" t="s">
        <v>5650</v>
      </c>
    </row>
    <row r="808" spans="16:20" x14ac:dyDescent="0.35">
      <c r="Q808" t="s">
        <v>4501</v>
      </c>
      <c r="R808" t="s">
        <v>5607</v>
      </c>
      <c r="S808" t="s">
        <v>5607</v>
      </c>
      <c r="T808" t="s">
        <v>5650</v>
      </c>
    </row>
    <row r="809" spans="16:20" x14ac:dyDescent="0.35">
      <c r="P809" t="s">
        <v>2042</v>
      </c>
      <c r="Q809" t="s">
        <v>5236</v>
      </c>
      <c r="R809" t="s">
        <v>2914</v>
      </c>
      <c r="S809" t="s">
        <v>5607</v>
      </c>
      <c r="T809" t="s">
        <v>5650</v>
      </c>
    </row>
    <row r="810" spans="16:20" x14ac:dyDescent="0.35">
      <c r="P810" t="s">
        <v>2045</v>
      </c>
      <c r="Q810" t="s">
        <v>5578</v>
      </c>
      <c r="R810" t="s">
        <v>6164</v>
      </c>
      <c r="S810" t="s">
        <v>1837</v>
      </c>
      <c r="T810" t="s">
        <v>5646</v>
      </c>
    </row>
    <row r="811" spans="16:20" x14ac:dyDescent="0.35">
      <c r="P811" t="s">
        <v>2047</v>
      </c>
      <c r="Q811" t="s">
        <v>4592</v>
      </c>
      <c r="R811" t="s">
        <v>5813</v>
      </c>
      <c r="S811" t="s">
        <v>1837</v>
      </c>
      <c r="T811" t="s">
        <v>5646</v>
      </c>
    </row>
    <row r="812" spans="16:20" x14ac:dyDescent="0.35">
      <c r="P812" t="s">
        <v>2049</v>
      </c>
      <c r="Q812" t="s">
        <v>4880</v>
      </c>
      <c r="R812" t="s">
        <v>2007</v>
      </c>
      <c r="S812" t="s">
        <v>5607</v>
      </c>
      <c r="T812" t="s">
        <v>5650</v>
      </c>
    </row>
    <row r="813" spans="16:20" x14ac:dyDescent="0.35">
      <c r="P813" t="s">
        <v>2052</v>
      </c>
      <c r="Q813" t="s">
        <v>4745</v>
      </c>
      <c r="R813" t="s">
        <v>1691</v>
      </c>
      <c r="S813" t="s">
        <v>5615</v>
      </c>
      <c r="T813" t="s">
        <v>5650</v>
      </c>
    </row>
    <row r="814" spans="16:20" x14ac:dyDescent="0.35">
      <c r="Q814" t="s">
        <v>4567</v>
      </c>
      <c r="R814" t="s">
        <v>855</v>
      </c>
      <c r="S814" t="s">
        <v>5615</v>
      </c>
      <c r="T814" t="s">
        <v>5650</v>
      </c>
    </row>
    <row r="815" spans="16:20" x14ac:dyDescent="0.35">
      <c r="P815" t="s">
        <v>4476</v>
      </c>
      <c r="Q815" t="s">
        <v>4475</v>
      </c>
      <c r="R815" t="s">
        <v>5757</v>
      </c>
      <c r="S815" t="s">
        <v>5614</v>
      </c>
      <c r="T815" t="s">
        <v>5646</v>
      </c>
    </row>
    <row r="816" spans="16:20" x14ac:dyDescent="0.35">
      <c r="P816" t="s">
        <v>2059</v>
      </c>
      <c r="Q816" t="s">
        <v>4891</v>
      </c>
      <c r="R816" t="s">
        <v>5615</v>
      </c>
      <c r="S816" t="s">
        <v>5615</v>
      </c>
      <c r="T816" t="s">
        <v>5650</v>
      </c>
    </row>
    <row r="817" spans="16:20" x14ac:dyDescent="0.35">
      <c r="Q817" t="s">
        <v>4419</v>
      </c>
      <c r="R817" t="s">
        <v>457</v>
      </c>
      <c r="S817" t="s">
        <v>5607</v>
      </c>
      <c r="T817" t="s">
        <v>5650</v>
      </c>
    </row>
    <row r="818" spans="16:20" x14ac:dyDescent="0.35">
      <c r="P818" t="s">
        <v>2061</v>
      </c>
      <c r="Q818" t="s">
        <v>4041</v>
      </c>
      <c r="R818" t="s">
        <v>5772</v>
      </c>
      <c r="S818" t="s">
        <v>5615</v>
      </c>
      <c r="T818" t="s">
        <v>5650</v>
      </c>
    </row>
    <row r="819" spans="16:20" x14ac:dyDescent="0.35">
      <c r="P819" t="s">
        <v>2065</v>
      </c>
      <c r="Q819" t="s">
        <v>2066</v>
      </c>
      <c r="R819" t="s">
        <v>5772</v>
      </c>
      <c r="S819" t="s">
        <v>5615</v>
      </c>
      <c r="T819" t="s">
        <v>5650</v>
      </c>
    </row>
    <row r="820" spans="16:20" x14ac:dyDescent="0.35">
      <c r="Q820" t="s">
        <v>4157</v>
      </c>
      <c r="R820" t="s">
        <v>5772</v>
      </c>
      <c r="S820" t="s">
        <v>5615</v>
      </c>
      <c r="T820" t="s">
        <v>5650</v>
      </c>
    </row>
    <row r="821" spans="16:20" x14ac:dyDescent="0.35">
      <c r="P821" t="s">
        <v>2070</v>
      </c>
      <c r="Q821" t="s">
        <v>5118</v>
      </c>
      <c r="R821" t="s">
        <v>5719</v>
      </c>
      <c r="S821" t="s">
        <v>5607</v>
      </c>
      <c r="T821" t="s">
        <v>5650</v>
      </c>
    </row>
    <row r="822" spans="16:20" x14ac:dyDescent="0.35">
      <c r="Q822" t="s">
        <v>4078</v>
      </c>
      <c r="R822" t="s">
        <v>5719</v>
      </c>
      <c r="S822" t="s">
        <v>5607</v>
      </c>
      <c r="T822" t="s">
        <v>5650</v>
      </c>
    </row>
    <row r="823" spans="16:20" x14ac:dyDescent="0.35">
      <c r="P823" t="s">
        <v>2074</v>
      </c>
      <c r="Q823" t="s">
        <v>2075</v>
      </c>
      <c r="R823" t="s">
        <v>955</v>
      </c>
      <c r="S823" t="s">
        <v>5607</v>
      </c>
      <c r="T823" t="s">
        <v>5650</v>
      </c>
    </row>
    <row r="824" spans="16:20" x14ac:dyDescent="0.35">
      <c r="Q824" t="s">
        <v>4157</v>
      </c>
      <c r="R824" t="s">
        <v>955</v>
      </c>
      <c r="S824" t="s">
        <v>5607</v>
      </c>
      <c r="T824" t="s">
        <v>5650</v>
      </c>
    </row>
    <row r="825" spans="16:20" x14ac:dyDescent="0.35">
      <c r="P825" t="s">
        <v>2078</v>
      </c>
      <c r="Q825" t="s">
        <v>4087</v>
      </c>
      <c r="R825" t="s">
        <v>2017</v>
      </c>
      <c r="S825" t="s">
        <v>1837</v>
      </c>
      <c r="T825" t="s">
        <v>5646</v>
      </c>
    </row>
    <row r="826" spans="16:20" x14ac:dyDescent="0.35">
      <c r="P826" t="s">
        <v>2082</v>
      </c>
      <c r="Q826" t="s">
        <v>4854</v>
      </c>
      <c r="R826" t="s">
        <v>5915</v>
      </c>
      <c r="S826" t="s">
        <v>5615</v>
      </c>
      <c r="T826" t="s">
        <v>5650</v>
      </c>
    </row>
    <row r="827" spans="16:20" x14ac:dyDescent="0.35">
      <c r="Q827" t="s">
        <v>5097</v>
      </c>
      <c r="R827" t="s">
        <v>5981</v>
      </c>
      <c r="S827" t="s">
        <v>5612</v>
      </c>
      <c r="T827" t="s">
        <v>1448</v>
      </c>
    </row>
    <row r="828" spans="16:20" x14ac:dyDescent="0.35">
      <c r="Q828" t="s">
        <v>4665</v>
      </c>
      <c r="R828" t="s">
        <v>1244</v>
      </c>
      <c r="S828" t="s">
        <v>5607</v>
      </c>
      <c r="T828" t="s">
        <v>5650</v>
      </c>
    </row>
    <row r="829" spans="16:20" x14ac:dyDescent="0.35">
      <c r="P829" t="s">
        <v>2084</v>
      </c>
      <c r="Q829" t="s">
        <v>5344</v>
      </c>
      <c r="R829" t="s">
        <v>3110</v>
      </c>
      <c r="S829" t="s">
        <v>1837</v>
      </c>
      <c r="T829" t="s">
        <v>5646</v>
      </c>
    </row>
    <row r="830" spans="16:20" x14ac:dyDescent="0.35">
      <c r="P830" t="s">
        <v>2086</v>
      </c>
      <c r="Q830" t="s">
        <v>5345</v>
      </c>
      <c r="R830" t="s">
        <v>3110</v>
      </c>
      <c r="S830" t="s">
        <v>1837</v>
      </c>
      <c r="T830" t="s">
        <v>5646</v>
      </c>
    </row>
    <row r="831" spans="16:20" x14ac:dyDescent="0.35">
      <c r="P831" t="s">
        <v>2092</v>
      </c>
      <c r="Q831" t="s">
        <v>5515</v>
      </c>
      <c r="R831" t="s">
        <v>3702</v>
      </c>
      <c r="S831" t="s">
        <v>5619</v>
      </c>
      <c r="T831" t="s">
        <v>5646</v>
      </c>
    </row>
    <row r="832" spans="16:20" x14ac:dyDescent="0.35">
      <c r="P832" t="s">
        <v>2095</v>
      </c>
      <c r="Q832" t="s">
        <v>5330</v>
      </c>
      <c r="R832" t="s">
        <v>3101</v>
      </c>
      <c r="S832" t="s">
        <v>5610</v>
      </c>
      <c r="T832" t="s">
        <v>5646</v>
      </c>
    </row>
    <row r="833" spans="16:20" x14ac:dyDescent="0.35">
      <c r="P833" t="s">
        <v>2098</v>
      </c>
      <c r="Q833" t="s">
        <v>4644</v>
      </c>
      <c r="R833" t="s">
        <v>5772</v>
      </c>
      <c r="S833" t="s">
        <v>5615</v>
      </c>
      <c r="T833" t="s">
        <v>5650</v>
      </c>
    </row>
    <row r="834" spans="16:20" x14ac:dyDescent="0.35">
      <c r="P834" t="s">
        <v>2100</v>
      </c>
      <c r="Q834" t="s">
        <v>4157</v>
      </c>
      <c r="R834" t="s">
        <v>2694</v>
      </c>
      <c r="S834" t="s">
        <v>5615</v>
      </c>
      <c r="T834" t="s">
        <v>5650</v>
      </c>
    </row>
    <row r="835" spans="16:20" x14ac:dyDescent="0.35">
      <c r="P835" t="s">
        <v>2104</v>
      </c>
      <c r="Q835" t="s">
        <v>5459</v>
      </c>
      <c r="R835" t="s">
        <v>5811</v>
      </c>
      <c r="S835" t="s">
        <v>5615</v>
      </c>
      <c r="T835" t="s">
        <v>5650</v>
      </c>
    </row>
    <row r="836" spans="16:20" x14ac:dyDescent="0.35">
      <c r="P836" t="s">
        <v>5479</v>
      </c>
      <c r="Q836" t="s">
        <v>5478</v>
      </c>
      <c r="R836" t="s">
        <v>6132</v>
      </c>
      <c r="S836" t="s">
        <v>5624</v>
      </c>
      <c r="T836" t="s">
        <v>5650</v>
      </c>
    </row>
    <row r="837" spans="16:20" x14ac:dyDescent="0.35">
      <c r="P837" t="s">
        <v>4193</v>
      </c>
      <c r="Q837" t="s">
        <v>4157</v>
      </c>
      <c r="R837" t="s">
        <v>2628</v>
      </c>
      <c r="S837" t="s">
        <v>5606</v>
      </c>
      <c r="T837" t="s">
        <v>5646</v>
      </c>
    </row>
    <row r="838" spans="16:20" x14ac:dyDescent="0.35">
      <c r="P838" t="s">
        <v>2110</v>
      </c>
      <c r="Q838" t="s">
        <v>4056</v>
      </c>
      <c r="R838" t="s">
        <v>5746</v>
      </c>
      <c r="S838" t="s">
        <v>5607</v>
      </c>
      <c r="T838" t="s">
        <v>5650</v>
      </c>
    </row>
    <row r="839" spans="16:20" x14ac:dyDescent="0.35">
      <c r="P839" t="s">
        <v>2113</v>
      </c>
      <c r="Q839" t="s">
        <v>4889</v>
      </c>
      <c r="R839" t="s">
        <v>5926</v>
      </c>
      <c r="S839" t="s">
        <v>1837</v>
      </c>
      <c r="T839" t="s">
        <v>5646</v>
      </c>
    </row>
    <row r="840" spans="16:20" x14ac:dyDescent="0.35">
      <c r="P840" t="s">
        <v>4213</v>
      </c>
      <c r="Q840" t="s">
        <v>4157</v>
      </c>
      <c r="R840" t="s">
        <v>5926</v>
      </c>
      <c r="S840" t="s">
        <v>1837</v>
      </c>
      <c r="T840" t="s">
        <v>5646</v>
      </c>
    </row>
    <row r="841" spans="16:20" x14ac:dyDescent="0.35">
      <c r="P841" t="s">
        <v>2117</v>
      </c>
      <c r="Q841" t="s">
        <v>2118</v>
      </c>
      <c r="R841" t="s">
        <v>5746</v>
      </c>
      <c r="S841" t="s">
        <v>5607</v>
      </c>
      <c r="T841" t="s">
        <v>5650</v>
      </c>
    </row>
    <row r="842" spans="16:20" x14ac:dyDescent="0.35">
      <c r="Q842" t="s">
        <v>4157</v>
      </c>
      <c r="R842" t="s">
        <v>5746</v>
      </c>
      <c r="S842" t="s">
        <v>5607</v>
      </c>
      <c r="T842" t="s">
        <v>5650</v>
      </c>
    </row>
    <row r="843" spans="16:20" x14ac:dyDescent="0.35">
      <c r="P843" t="s">
        <v>2122</v>
      </c>
      <c r="Q843" t="s">
        <v>4895</v>
      </c>
      <c r="R843" t="s">
        <v>5615</v>
      </c>
      <c r="S843" t="s">
        <v>5615</v>
      </c>
      <c r="T843" t="s">
        <v>5650</v>
      </c>
    </row>
    <row r="844" spans="16:20" x14ac:dyDescent="0.35">
      <c r="P844" t="s">
        <v>2126</v>
      </c>
      <c r="Q844" t="s">
        <v>4084</v>
      </c>
      <c r="R844" t="s">
        <v>5786</v>
      </c>
      <c r="S844" t="s">
        <v>5606</v>
      </c>
      <c r="T844" t="s">
        <v>5646</v>
      </c>
    </row>
    <row r="845" spans="16:20" x14ac:dyDescent="0.35">
      <c r="P845" t="s">
        <v>4181</v>
      </c>
      <c r="Q845" t="s">
        <v>4157</v>
      </c>
      <c r="R845" t="s">
        <v>5786</v>
      </c>
      <c r="S845" t="s">
        <v>5606</v>
      </c>
      <c r="T845" t="s">
        <v>5646</v>
      </c>
    </row>
    <row r="846" spans="16:20" x14ac:dyDescent="0.35">
      <c r="P846" t="s">
        <v>4494</v>
      </c>
      <c r="Q846" t="s">
        <v>4493</v>
      </c>
      <c r="R846" t="s">
        <v>5607</v>
      </c>
      <c r="S846" t="s">
        <v>5607</v>
      </c>
      <c r="T846" t="s">
        <v>5650</v>
      </c>
    </row>
    <row r="847" spans="16:20" x14ac:dyDescent="0.35">
      <c r="P847" t="s">
        <v>2131</v>
      </c>
      <c r="Q847" t="s">
        <v>5250</v>
      </c>
      <c r="R847" t="s">
        <v>2914</v>
      </c>
      <c r="S847" t="s">
        <v>5607</v>
      </c>
      <c r="T847" t="s">
        <v>5650</v>
      </c>
    </row>
    <row r="848" spans="16:20" x14ac:dyDescent="0.35">
      <c r="P848" t="s">
        <v>2133</v>
      </c>
      <c r="Q848" t="s">
        <v>5251</v>
      </c>
      <c r="R848" t="s">
        <v>2914</v>
      </c>
      <c r="S848" t="s">
        <v>5607</v>
      </c>
      <c r="T848" t="s">
        <v>5650</v>
      </c>
    </row>
    <row r="849" spans="16:20" x14ac:dyDescent="0.35">
      <c r="P849" t="s">
        <v>2135</v>
      </c>
      <c r="Q849" t="s">
        <v>4577</v>
      </c>
      <c r="R849" t="s">
        <v>955</v>
      </c>
      <c r="S849" t="s">
        <v>5607</v>
      </c>
      <c r="T849" t="s">
        <v>5650</v>
      </c>
    </row>
    <row r="850" spans="16:20" x14ac:dyDescent="0.35">
      <c r="P850" t="s">
        <v>2137</v>
      </c>
      <c r="Q850" t="s">
        <v>5234</v>
      </c>
      <c r="R850" t="s">
        <v>2914</v>
      </c>
      <c r="S850" t="s">
        <v>5607</v>
      </c>
      <c r="T850" t="s">
        <v>5650</v>
      </c>
    </row>
    <row r="851" spans="16:20" x14ac:dyDescent="0.35">
      <c r="P851" t="s">
        <v>2139</v>
      </c>
      <c r="Q851" t="s">
        <v>4157</v>
      </c>
      <c r="R851" t="s">
        <v>4240</v>
      </c>
      <c r="S851" t="s">
        <v>5607</v>
      </c>
      <c r="T851" t="s">
        <v>5650</v>
      </c>
    </row>
    <row r="852" spans="16:20" x14ac:dyDescent="0.35">
      <c r="P852" t="s">
        <v>2141</v>
      </c>
      <c r="Q852" t="s">
        <v>2140</v>
      </c>
      <c r="R852" t="s">
        <v>5607</v>
      </c>
      <c r="S852" t="s">
        <v>5607</v>
      </c>
      <c r="T852" t="s">
        <v>5650</v>
      </c>
    </row>
    <row r="853" spans="16:20" x14ac:dyDescent="0.35">
      <c r="P853" t="s">
        <v>4170</v>
      </c>
      <c r="Q853" t="s">
        <v>2144</v>
      </c>
      <c r="R853" t="s">
        <v>5696</v>
      </c>
      <c r="S853" t="s">
        <v>5614</v>
      </c>
      <c r="T853" t="s">
        <v>5646</v>
      </c>
    </row>
    <row r="854" spans="16:20" x14ac:dyDescent="0.35">
      <c r="Q854" t="s">
        <v>4157</v>
      </c>
      <c r="R854" t="s">
        <v>5696</v>
      </c>
      <c r="S854" t="s">
        <v>5614</v>
      </c>
      <c r="T854" t="s">
        <v>5646</v>
      </c>
    </row>
    <row r="855" spans="16:20" x14ac:dyDescent="0.35">
      <c r="P855" t="s">
        <v>2146</v>
      </c>
      <c r="Q855" t="s">
        <v>5262</v>
      </c>
      <c r="R855" t="s">
        <v>5696</v>
      </c>
      <c r="S855" t="s">
        <v>5614</v>
      </c>
      <c r="T855" t="s">
        <v>5646</v>
      </c>
    </row>
    <row r="856" spans="16:20" x14ac:dyDescent="0.35">
      <c r="P856" t="s">
        <v>2152</v>
      </c>
      <c r="Q856" t="s">
        <v>5025</v>
      </c>
      <c r="R856" t="s">
        <v>2540</v>
      </c>
      <c r="S856" t="s">
        <v>5612</v>
      </c>
      <c r="T856" t="s">
        <v>1448</v>
      </c>
    </row>
    <row r="857" spans="16:20" x14ac:dyDescent="0.35">
      <c r="Q857" t="s">
        <v>5041</v>
      </c>
      <c r="R857" t="s">
        <v>5831</v>
      </c>
      <c r="S857" t="s">
        <v>5612</v>
      </c>
      <c r="T857" t="s">
        <v>1448</v>
      </c>
    </row>
    <row r="858" spans="16:20" x14ac:dyDescent="0.35">
      <c r="Q858" t="s">
        <v>4901</v>
      </c>
      <c r="R858" t="s">
        <v>2152</v>
      </c>
      <c r="S858" t="s">
        <v>5623</v>
      </c>
      <c r="T858" t="s">
        <v>5658</v>
      </c>
    </row>
    <row r="859" spans="16:20" x14ac:dyDescent="0.35">
      <c r="P859" t="s">
        <v>2158</v>
      </c>
      <c r="Q859" t="s">
        <v>5588</v>
      </c>
      <c r="R859" t="s">
        <v>3938</v>
      </c>
      <c r="S859" t="s">
        <v>5607</v>
      </c>
      <c r="T859" t="s">
        <v>5650</v>
      </c>
    </row>
    <row r="860" spans="16:20" x14ac:dyDescent="0.35">
      <c r="P860" t="s">
        <v>2161</v>
      </c>
      <c r="Q860" t="s">
        <v>4631</v>
      </c>
      <c r="R860" t="s">
        <v>1184</v>
      </c>
      <c r="S860" t="s">
        <v>5615</v>
      </c>
      <c r="T860" t="s">
        <v>5650</v>
      </c>
    </row>
    <row r="861" spans="16:20" x14ac:dyDescent="0.35">
      <c r="Q861" t="s">
        <v>5117</v>
      </c>
      <c r="R861" t="s">
        <v>5719</v>
      </c>
      <c r="S861" t="s">
        <v>5607</v>
      </c>
      <c r="T861" t="s">
        <v>5650</v>
      </c>
    </row>
    <row r="862" spans="16:20" x14ac:dyDescent="0.35">
      <c r="P862" t="s">
        <v>2167</v>
      </c>
      <c r="Q862" t="s">
        <v>4997</v>
      </c>
      <c r="R862" t="s">
        <v>5746</v>
      </c>
      <c r="S862" t="s">
        <v>5607</v>
      </c>
      <c r="T862" t="s">
        <v>5650</v>
      </c>
    </row>
    <row r="863" spans="16:20" x14ac:dyDescent="0.35">
      <c r="Q863" t="s">
        <v>2168</v>
      </c>
      <c r="R863" t="s">
        <v>5746</v>
      </c>
      <c r="S863" t="s">
        <v>5607</v>
      </c>
      <c r="T863" t="s">
        <v>5650</v>
      </c>
    </row>
    <row r="864" spans="16:20" x14ac:dyDescent="0.35">
      <c r="Q864" t="s">
        <v>4157</v>
      </c>
      <c r="R864" t="s">
        <v>5746</v>
      </c>
      <c r="S864" t="s">
        <v>5607</v>
      </c>
      <c r="T864" t="s">
        <v>5650</v>
      </c>
    </row>
    <row r="865" spans="16:20" x14ac:dyDescent="0.35">
      <c r="P865" t="s">
        <v>2175</v>
      </c>
      <c r="Q865" t="s">
        <v>4902</v>
      </c>
      <c r="R865" t="s">
        <v>2175</v>
      </c>
      <c r="S865" t="s">
        <v>5618</v>
      </c>
      <c r="T865" t="s">
        <v>5658</v>
      </c>
    </row>
    <row r="866" spans="16:20" x14ac:dyDescent="0.35">
      <c r="P866" t="s">
        <v>4204</v>
      </c>
      <c r="Q866" t="s">
        <v>4157</v>
      </c>
      <c r="R866" t="s">
        <v>70</v>
      </c>
      <c r="S866" t="s">
        <v>1837</v>
      </c>
      <c r="T866" t="s">
        <v>5646</v>
      </c>
    </row>
    <row r="867" spans="16:20" x14ac:dyDescent="0.35">
      <c r="P867" t="s">
        <v>2181</v>
      </c>
      <c r="Q867" t="s">
        <v>4843</v>
      </c>
      <c r="R867" t="s">
        <v>1959</v>
      </c>
      <c r="S867" t="s">
        <v>5615</v>
      </c>
      <c r="T867" t="s">
        <v>5650</v>
      </c>
    </row>
    <row r="868" spans="16:20" x14ac:dyDescent="0.35">
      <c r="P868" t="s">
        <v>2183</v>
      </c>
      <c r="Q868" t="s">
        <v>5542</v>
      </c>
      <c r="R868" t="s">
        <v>5610</v>
      </c>
      <c r="S868" t="s">
        <v>5610</v>
      </c>
      <c r="T868" t="s">
        <v>5646</v>
      </c>
    </row>
    <row r="869" spans="16:20" x14ac:dyDescent="0.35">
      <c r="P869" t="s">
        <v>2187</v>
      </c>
      <c r="Q869" t="s">
        <v>5460</v>
      </c>
      <c r="R869" t="s">
        <v>5811</v>
      </c>
      <c r="S869" t="s">
        <v>5615</v>
      </c>
      <c r="T869" t="s">
        <v>5650</v>
      </c>
    </row>
    <row r="870" spans="16:20" x14ac:dyDescent="0.35">
      <c r="P870" t="s">
        <v>2190</v>
      </c>
      <c r="Q870" t="s">
        <v>4944</v>
      </c>
      <c r="R870" t="s">
        <v>5799</v>
      </c>
      <c r="S870" t="s">
        <v>5607</v>
      </c>
      <c r="T870" t="s">
        <v>5650</v>
      </c>
    </row>
    <row r="871" spans="16:20" x14ac:dyDescent="0.35">
      <c r="P871" t="s">
        <v>2192</v>
      </c>
      <c r="Q871" t="s">
        <v>4945</v>
      </c>
      <c r="R871" t="s">
        <v>5799</v>
      </c>
      <c r="S871" t="s">
        <v>5607</v>
      </c>
      <c r="T871" t="s">
        <v>5650</v>
      </c>
    </row>
    <row r="872" spans="16:20" x14ac:dyDescent="0.35">
      <c r="P872" t="s">
        <v>2194</v>
      </c>
      <c r="Q872" t="s">
        <v>4497</v>
      </c>
      <c r="R872" t="s">
        <v>5607</v>
      </c>
      <c r="S872" t="s">
        <v>5607</v>
      </c>
      <c r="T872" t="s">
        <v>5650</v>
      </c>
    </row>
    <row r="873" spans="16:20" x14ac:dyDescent="0.35">
      <c r="P873" t="s">
        <v>2197</v>
      </c>
      <c r="Q873" t="s">
        <v>4903</v>
      </c>
      <c r="R873" t="s">
        <v>2196</v>
      </c>
      <c r="S873" t="s">
        <v>1837</v>
      </c>
      <c r="T873" t="s">
        <v>5646</v>
      </c>
    </row>
    <row r="874" spans="16:20" x14ac:dyDescent="0.35">
      <c r="P874" t="s">
        <v>4255</v>
      </c>
      <c r="Q874" t="s">
        <v>4157</v>
      </c>
      <c r="R874" t="s">
        <v>5103</v>
      </c>
      <c r="S874" t="s">
        <v>5607</v>
      </c>
      <c r="T874" t="s">
        <v>5650</v>
      </c>
    </row>
    <row r="875" spans="16:20" x14ac:dyDescent="0.35">
      <c r="P875" t="s">
        <v>2202</v>
      </c>
      <c r="Q875" t="s">
        <v>4688</v>
      </c>
      <c r="R875" t="s">
        <v>1375</v>
      </c>
      <c r="S875" t="s">
        <v>5607</v>
      </c>
      <c r="T875" t="s">
        <v>5650</v>
      </c>
    </row>
    <row r="876" spans="16:20" x14ac:dyDescent="0.35">
      <c r="P876" t="s">
        <v>2204</v>
      </c>
      <c r="Q876" t="s">
        <v>5358</v>
      </c>
      <c r="R876" t="s">
        <v>3126</v>
      </c>
      <c r="S876" t="s">
        <v>5615</v>
      </c>
      <c r="T876" t="s">
        <v>5650</v>
      </c>
    </row>
    <row r="877" spans="16:20" x14ac:dyDescent="0.35">
      <c r="P877" t="s">
        <v>2209</v>
      </c>
      <c r="Q877" t="s">
        <v>4032</v>
      </c>
      <c r="R877" t="s">
        <v>3836</v>
      </c>
      <c r="S877" t="s">
        <v>5611</v>
      </c>
      <c r="T877" t="s">
        <v>1448</v>
      </c>
    </row>
    <row r="878" spans="16:20" x14ac:dyDescent="0.35">
      <c r="P878" t="s">
        <v>4640</v>
      </c>
      <c r="Q878" t="s">
        <v>4639</v>
      </c>
      <c r="R878" t="s">
        <v>5772</v>
      </c>
      <c r="S878" t="s">
        <v>5615</v>
      </c>
      <c r="T878" t="s">
        <v>5650</v>
      </c>
    </row>
    <row r="879" spans="16:20" x14ac:dyDescent="0.35">
      <c r="P879" t="s">
        <v>2212</v>
      </c>
      <c r="Q879" t="s">
        <v>4911</v>
      </c>
      <c r="R879" t="s">
        <v>5934</v>
      </c>
      <c r="S879" t="s">
        <v>5615</v>
      </c>
      <c r="T879" t="s">
        <v>5650</v>
      </c>
    </row>
    <row r="880" spans="16:20" x14ac:dyDescent="0.35">
      <c r="P880" t="s">
        <v>2214</v>
      </c>
      <c r="Q880" t="s">
        <v>4914</v>
      </c>
      <c r="R880" t="s">
        <v>5934</v>
      </c>
      <c r="S880" t="s">
        <v>5615</v>
      </c>
      <c r="T880" t="s">
        <v>5650</v>
      </c>
    </row>
    <row r="881" spans="16:20" x14ac:dyDescent="0.35">
      <c r="P881" t="s">
        <v>4916</v>
      </c>
      <c r="Q881" t="s">
        <v>4915</v>
      </c>
      <c r="R881" t="s">
        <v>5934</v>
      </c>
      <c r="S881" t="s">
        <v>5615</v>
      </c>
      <c r="T881" t="s">
        <v>5650</v>
      </c>
    </row>
    <row r="882" spans="16:20" x14ac:dyDescent="0.35">
      <c r="P882" t="s">
        <v>4913</v>
      </c>
      <c r="Q882" t="s">
        <v>4912</v>
      </c>
      <c r="R882" t="s">
        <v>5934</v>
      </c>
      <c r="S882" t="s">
        <v>5615</v>
      </c>
      <c r="T882" t="s">
        <v>5650</v>
      </c>
    </row>
    <row r="883" spans="16:20" x14ac:dyDescent="0.35">
      <c r="P883" t="s">
        <v>2223</v>
      </c>
      <c r="Q883" t="s">
        <v>5238</v>
      </c>
      <c r="R883" t="s">
        <v>2914</v>
      </c>
      <c r="S883" t="s">
        <v>5607</v>
      </c>
      <c r="T883" t="s">
        <v>5650</v>
      </c>
    </row>
    <row r="884" spans="16:20" x14ac:dyDescent="0.35">
      <c r="P884" t="s">
        <v>2225</v>
      </c>
      <c r="Q884" t="s">
        <v>4810</v>
      </c>
      <c r="R884" t="s">
        <v>1872</v>
      </c>
      <c r="S884" t="s">
        <v>5607</v>
      </c>
      <c r="T884" t="s">
        <v>5650</v>
      </c>
    </row>
    <row r="885" spans="16:20" x14ac:dyDescent="0.35">
      <c r="P885" t="s">
        <v>4598</v>
      </c>
      <c r="Q885" t="s">
        <v>4597</v>
      </c>
      <c r="R885" t="s">
        <v>5817</v>
      </c>
      <c r="S885" t="s">
        <v>5614</v>
      </c>
      <c r="T885" t="s">
        <v>5646</v>
      </c>
    </row>
    <row r="886" spans="16:20" x14ac:dyDescent="0.35">
      <c r="P886" t="s">
        <v>2232</v>
      </c>
      <c r="Q886" t="s">
        <v>4157</v>
      </c>
      <c r="R886" t="s">
        <v>5645</v>
      </c>
      <c r="S886" t="s">
        <v>5611</v>
      </c>
      <c r="T886" t="s">
        <v>1448</v>
      </c>
    </row>
    <row r="887" spans="16:20" x14ac:dyDescent="0.35">
      <c r="P887" t="s">
        <v>2235</v>
      </c>
      <c r="Q887" t="s">
        <v>2236</v>
      </c>
      <c r="R887" t="s">
        <v>5936</v>
      </c>
      <c r="S887" t="s">
        <v>5611</v>
      </c>
      <c r="T887" t="s">
        <v>1448</v>
      </c>
    </row>
    <row r="888" spans="16:20" x14ac:dyDescent="0.35">
      <c r="Q888" t="s">
        <v>4157</v>
      </c>
      <c r="R888" t="s">
        <v>5936</v>
      </c>
      <c r="S888" t="s">
        <v>5611</v>
      </c>
      <c r="T888" t="s">
        <v>1448</v>
      </c>
    </row>
    <row r="889" spans="16:20" x14ac:dyDescent="0.35">
      <c r="P889" t="s">
        <v>2239</v>
      </c>
      <c r="Q889" t="s">
        <v>5463</v>
      </c>
      <c r="R889" t="s">
        <v>3549</v>
      </c>
      <c r="S889" t="s">
        <v>5615</v>
      </c>
      <c r="T889" t="s">
        <v>5650</v>
      </c>
    </row>
    <row r="890" spans="16:20" x14ac:dyDescent="0.35">
      <c r="P890" t="s">
        <v>4539</v>
      </c>
      <c r="Q890" t="s">
        <v>4538</v>
      </c>
      <c r="R890" t="s">
        <v>719</v>
      </c>
      <c r="S890" t="s">
        <v>5614</v>
      </c>
      <c r="T890" t="s">
        <v>5646</v>
      </c>
    </row>
    <row r="891" spans="16:20" x14ac:dyDescent="0.35">
      <c r="P891" t="s">
        <v>2325</v>
      </c>
      <c r="Q891" t="s">
        <v>4920</v>
      </c>
      <c r="R891" t="s">
        <v>2325</v>
      </c>
      <c r="S891" t="s">
        <v>5609</v>
      </c>
      <c r="T891" t="s">
        <v>5658</v>
      </c>
    </row>
    <row r="892" spans="16:20" x14ac:dyDescent="0.35">
      <c r="P892" t="s">
        <v>2327</v>
      </c>
      <c r="Q892" t="s">
        <v>4921</v>
      </c>
      <c r="R892" t="s">
        <v>2327</v>
      </c>
      <c r="S892" t="s">
        <v>5616</v>
      </c>
      <c r="T892" t="s">
        <v>5650</v>
      </c>
    </row>
    <row r="893" spans="16:20" x14ac:dyDescent="0.35">
      <c r="P893" t="s">
        <v>2329</v>
      </c>
      <c r="Q893" t="s">
        <v>5242</v>
      </c>
      <c r="R893" t="s">
        <v>2914</v>
      </c>
      <c r="S893" t="s">
        <v>5607</v>
      </c>
      <c r="T893" t="s">
        <v>5650</v>
      </c>
    </row>
    <row r="894" spans="16:20" x14ac:dyDescent="0.35">
      <c r="P894" t="s">
        <v>2332</v>
      </c>
      <c r="Q894" t="s">
        <v>2333</v>
      </c>
      <c r="R894" t="s">
        <v>5682</v>
      </c>
      <c r="S894" t="s">
        <v>5614</v>
      </c>
      <c r="T894" t="s">
        <v>5646</v>
      </c>
    </row>
    <row r="895" spans="16:20" x14ac:dyDescent="0.35">
      <c r="Q895" t="s">
        <v>5430</v>
      </c>
      <c r="R895" t="s">
        <v>5682</v>
      </c>
      <c r="S895" t="s">
        <v>5614</v>
      </c>
      <c r="T895" t="s">
        <v>5646</v>
      </c>
    </row>
    <row r="896" spans="16:20" x14ac:dyDescent="0.35">
      <c r="Q896" t="s">
        <v>4157</v>
      </c>
      <c r="R896" t="s">
        <v>5682</v>
      </c>
      <c r="S896" t="s">
        <v>5614</v>
      </c>
      <c r="T896" t="s">
        <v>5646</v>
      </c>
    </row>
    <row r="897" spans="16:20" x14ac:dyDescent="0.35">
      <c r="P897" t="s">
        <v>4262</v>
      </c>
      <c r="Q897" t="s">
        <v>4946</v>
      </c>
      <c r="R897" t="s">
        <v>5799</v>
      </c>
      <c r="S897" t="s">
        <v>5607</v>
      </c>
      <c r="T897" t="s">
        <v>5650</v>
      </c>
    </row>
    <row r="898" spans="16:20" x14ac:dyDescent="0.35">
      <c r="Q898" t="s">
        <v>4157</v>
      </c>
      <c r="R898" t="s">
        <v>5799</v>
      </c>
      <c r="S898" t="s">
        <v>5607</v>
      </c>
      <c r="T898" t="s">
        <v>5650</v>
      </c>
    </row>
    <row r="899" spans="16:20" x14ac:dyDescent="0.35">
      <c r="P899" t="s">
        <v>2341</v>
      </c>
      <c r="Q899" t="s">
        <v>4947</v>
      </c>
      <c r="R899" t="s">
        <v>5799</v>
      </c>
      <c r="S899" t="s">
        <v>5607</v>
      </c>
      <c r="T899" t="s">
        <v>5650</v>
      </c>
    </row>
    <row r="900" spans="16:20" x14ac:dyDescent="0.35">
      <c r="P900" t="s">
        <v>2343</v>
      </c>
      <c r="Q900" t="s">
        <v>4660</v>
      </c>
      <c r="R900" t="s">
        <v>1244</v>
      </c>
      <c r="S900" t="s">
        <v>5607</v>
      </c>
      <c r="T900" t="s">
        <v>5650</v>
      </c>
    </row>
    <row r="901" spans="16:20" x14ac:dyDescent="0.35">
      <c r="P901" t="s">
        <v>2345</v>
      </c>
      <c r="Q901" t="s">
        <v>4465</v>
      </c>
      <c r="R901" t="s">
        <v>5755</v>
      </c>
      <c r="S901" t="s">
        <v>5614</v>
      </c>
      <c r="T901" t="s">
        <v>5646</v>
      </c>
    </row>
    <row r="902" spans="16:20" x14ac:dyDescent="0.35">
      <c r="P902" t="s">
        <v>2348</v>
      </c>
      <c r="Q902" t="s">
        <v>4969</v>
      </c>
      <c r="R902" t="s">
        <v>5943</v>
      </c>
      <c r="S902" t="s">
        <v>5611</v>
      </c>
      <c r="T902" t="s">
        <v>1448</v>
      </c>
    </row>
    <row r="903" spans="16:20" x14ac:dyDescent="0.35">
      <c r="P903" t="s">
        <v>2352</v>
      </c>
      <c r="Q903" t="s">
        <v>4661</v>
      </c>
      <c r="R903" t="s">
        <v>1244</v>
      </c>
      <c r="S903" t="s">
        <v>5607</v>
      </c>
      <c r="T903" t="s">
        <v>5650</v>
      </c>
    </row>
    <row r="904" spans="16:20" x14ac:dyDescent="0.35">
      <c r="Q904" t="s">
        <v>4689</v>
      </c>
      <c r="R904" t="s">
        <v>1375</v>
      </c>
      <c r="S904" t="s">
        <v>5607</v>
      </c>
      <c r="T904" t="s">
        <v>5650</v>
      </c>
    </row>
    <row r="905" spans="16:20" x14ac:dyDescent="0.35">
      <c r="P905" t="s">
        <v>2357</v>
      </c>
      <c r="Q905" t="s">
        <v>5378</v>
      </c>
      <c r="R905" t="s">
        <v>3246</v>
      </c>
      <c r="S905" t="s">
        <v>5617</v>
      </c>
      <c r="T905" t="s">
        <v>5658</v>
      </c>
    </row>
    <row r="906" spans="16:20" x14ac:dyDescent="0.35">
      <c r="P906" t="s">
        <v>4167</v>
      </c>
      <c r="Q906" t="s">
        <v>4157</v>
      </c>
      <c r="R906" t="s">
        <v>5819</v>
      </c>
      <c r="S906" t="s">
        <v>5614</v>
      </c>
      <c r="T906" t="s">
        <v>5646</v>
      </c>
    </row>
    <row r="907" spans="16:20" x14ac:dyDescent="0.35">
      <c r="P907" t="s">
        <v>2364</v>
      </c>
      <c r="Q907" t="s">
        <v>4948</v>
      </c>
      <c r="R907" t="s">
        <v>5799</v>
      </c>
      <c r="S907" t="s">
        <v>5607</v>
      </c>
      <c r="T907" t="s">
        <v>5650</v>
      </c>
    </row>
    <row r="908" spans="16:20" x14ac:dyDescent="0.35">
      <c r="P908" t="s">
        <v>2387</v>
      </c>
      <c r="Q908" t="s">
        <v>4974</v>
      </c>
      <c r="R908" t="s">
        <v>5762</v>
      </c>
      <c r="S908" t="s">
        <v>5614</v>
      </c>
      <c r="T908" t="s">
        <v>5646</v>
      </c>
    </row>
    <row r="909" spans="16:20" x14ac:dyDescent="0.35">
      <c r="P909" t="s">
        <v>4173</v>
      </c>
      <c r="Q909" t="s">
        <v>4157</v>
      </c>
      <c r="R909" t="s">
        <v>5696</v>
      </c>
      <c r="S909" t="s">
        <v>5614</v>
      </c>
      <c r="T909" t="s">
        <v>5646</v>
      </c>
    </row>
    <row r="910" spans="16:20" x14ac:dyDescent="0.35">
      <c r="P910" t="s">
        <v>2391</v>
      </c>
      <c r="Q910" t="s">
        <v>5263</v>
      </c>
      <c r="R910" t="s">
        <v>5696</v>
      </c>
      <c r="S910" t="s">
        <v>5614</v>
      </c>
      <c r="T910" t="s">
        <v>5646</v>
      </c>
    </row>
    <row r="911" spans="16:20" x14ac:dyDescent="0.35">
      <c r="P911" t="s">
        <v>2393</v>
      </c>
      <c r="Q911" t="s">
        <v>5257</v>
      </c>
      <c r="R911" t="s">
        <v>5696</v>
      </c>
      <c r="S911" t="s">
        <v>5614</v>
      </c>
      <c r="T911" t="s">
        <v>5646</v>
      </c>
    </row>
    <row r="912" spans="16:20" x14ac:dyDescent="0.35">
      <c r="P912" t="s">
        <v>4171</v>
      </c>
      <c r="Q912" t="s">
        <v>4157</v>
      </c>
      <c r="R912" t="s">
        <v>5696</v>
      </c>
      <c r="S912" t="s">
        <v>5614</v>
      </c>
      <c r="T912" t="s">
        <v>5646</v>
      </c>
    </row>
    <row r="913" spans="16:20" x14ac:dyDescent="0.35">
      <c r="P913" t="s">
        <v>2398</v>
      </c>
      <c r="Q913" t="s">
        <v>4741</v>
      </c>
      <c r="R913" t="s">
        <v>1691</v>
      </c>
      <c r="S913" t="s">
        <v>5615</v>
      </c>
      <c r="T913" t="s">
        <v>5650</v>
      </c>
    </row>
    <row r="914" spans="16:20" x14ac:dyDescent="0.35">
      <c r="P914" t="s">
        <v>2400</v>
      </c>
      <c r="Q914" t="s">
        <v>4618</v>
      </c>
      <c r="R914" t="s">
        <v>5821</v>
      </c>
      <c r="S914" t="s">
        <v>5609</v>
      </c>
      <c r="T914" t="s">
        <v>5658</v>
      </c>
    </row>
    <row r="915" spans="16:20" x14ac:dyDescent="0.35">
      <c r="P915" t="s">
        <v>2403</v>
      </c>
      <c r="Q915" t="s">
        <v>4306</v>
      </c>
      <c r="R915" t="s">
        <v>262</v>
      </c>
      <c r="S915" t="s">
        <v>1837</v>
      </c>
      <c r="T915" t="s">
        <v>5646</v>
      </c>
    </row>
    <row r="916" spans="16:20" x14ac:dyDescent="0.35">
      <c r="P916" t="s">
        <v>2407</v>
      </c>
      <c r="Q916" t="s">
        <v>4466</v>
      </c>
      <c r="R916" t="s">
        <v>5755</v>
      </c>
      <c r="S916" t="s">
        <v>5614</v>
      </c>
      <c r="T916" t="s">
        <v>5646</v>
      </c>
    </row>
    <row r="917" spans="16:20" x14ac:dyDescent="0.35">
      <c r="P917" t="s">
        <v>2409</v>
      </c>
      <c r="Q917" t="s">
        <v>4949</v>
      </c>
      <c r="R917" t="s">
        <v>5799</v>
      </c>
      <c r="S917" t="s">
        <v>5607</v>
      </c>
      <c r="T917" t="s">
        <v>5650</v>
      </c>
    </row>
    <row r="918" spans="16:20" x14ac:dyDescent="0.35">
      <c r="P918" t="s">
        <v>2411</v>
      </c>
      <c r="Q918" t="s">
        <v>4976</v>
      </c>
      <c r="R918" t="s">
        <v>5946</v>
      </c>
      <c r="S918" t="s">
        <v>5611</v>
      </c>
      <c r="T918" t="s">
        <v>1448</v>
      </c>
    </row>
    <row r="919" spans="16:20" x14ac:dyDescent="0.35">
      <c r="P919" t="s">
        <v>2414</v>
      </c>
      <c r="Q919" t="s">
        <v>4654</v>
      </c>
      <c r="R919" t="s">
        <v>1244</v>
      </c>
      <c r="S919" t="s">
        <v>5607</v>
      </c>
      <c r="T919" t="s">
        <v>5650</v>
      </c>
    </row>
    <row r="920" spans="16:20" x14ac:dyDescent="0.35">
      <c r="P920" t="s">
        <v>2416</v>
      </c>
      <c r="Q920" t="s">
        <v>4490</v>
      </c>
      <c r="R920" t="s">
        <v>5607</v>
      </c>
      <c r="S920" t="s">
        <v>5607</v>
      </c>
      <c r="T920" t="s">
        <v>5650</v>
      </c>
    </row>
    <row r="921" spans="16:20" x14ac:dyDescent="0.35">
      <c r="P921" t="s">
        <v>2418</v>
      </c>
      <c r="Q921" t="s">
        <v>4950</v>
      </c>
      <c r="R921" t="s">
        <v>5799</v>
      </c>
      <c r="S921" t="s">
        <v>5607</v>
      </c>
      <c r="T921" t="s">
        <v>5650</v>
      </c>
    </row>
    <row r="922" spans="16:20" x14ac:dyDescent="0.35">
      <c r="P922" t="s">
        <v>2420</v>
      </c>
      <c r="Q922" t="s">
        <v>2423</v>
      </c>
      <c r="R922" t="s">
        <v>5607</v>
      </c>
      <c r="S922" t="s">
        <v>5607</v>
      </c>
      <c r="T922" t="s">
        <v>5650</v>
      </c>
    </row>
    <row r="923" spans="16:20" x14ac:dyDescent="0.35">
      <c r="P923" t="s">
        <v>2422</v>
      </c>
      <c r="Q923" t="s">
        <v>4157</v>
      </c>
      <c r="R923" t="s">
        <v>4240</v>
      </c>
      <c r="S923" t="s">
        <v>5607</v>
      </c>
      <c r="T923" t="s">
        <v>5650</v>
      </c>
    </row>
    <row r="924" spans="16:20" x14ac:dyDescent="0.35">
      <c r="P924" t="s">
        <v>2424</v>
      </c>
      <c r="Q924" t="s">
        <v>4977</v>
      </c>
      <c r="R924" t="s">
        <v>5948</v>
      </c>
      <c r="S924" t="s">
        <v>5609</v>
      </c>
      <c r="T924" t="s">
        <v>5658</v>
      </c>
    </row>
    <row r="925" spans="16:20" x14ac:dyDescent="0.35">
      <c r="P925" t="s">
        <v>2427</v>
      </c>
      <c r="Q925" t="s">
        <v>4291</v>
      </c>
      <c r="R925" t="s">
        <v>4161</v>
      </c>
      <c r="S925" t="s">
        <v>5614</v>
      </c>
      <c r="T925" t="s">
        <v>5646</v>
      </c>
    </row>
    <row r="926" spans="16:20" x14ac:dyDescent="0.35">
      <c r="P926" t="s">
        <v>4160</v>
      </c>
      <c r="Q926" t="s">
        <v>4157</v>
      </c>
      <c r="R926" t="s">
        <v>4161</v>
      </c>
      <c r="S926" t="s">
        <v>5614</v>
      </c>
      <c r="T926" t="s">
        <v>5646</v>
      </c>
    </row>
    <row r="927" spans="16:20" x14ac:dyDescent="0.35">
      <c r="P927" t="s">
        <v>2433</v>
      </c>
      <c r="Q927" t="s">
        <v>4979</v>
      </c>
      <c r="R927" t="s">
        <v>2433</v>
      </c>
      <c r="S927" t="s">
        <v>5609</v>
      </c>
      <c r="T927" t="s">
        <v>5658</v>
      </c>
    </row>
    <row r="928" spans="16:20" x14ac:dyDescent="0.35">
      <c r="P928" t="s">
        <v>2435</v>
      </c>
      <c r="Q928" t="s">
        <v>2436</v>
      </c>
      <c r="R928" t="s">
        <v>5607</v>
      </c>
      <c r="S928" t="s">
        <v>5607</v>
      </c>
      <c r="T928" t="s">
        <v>5650</v>
      </c>
    </row>
    <row r="929" spans="16:20" x14ac:dyDescent="0.35">
      <c r="Q929" t="s">
        <v>5537</v>
      </c>
      <c r="R929" t="s">
        <v>5610</v>
      </c>
      <c r="S929" t="s">
        <v>5610</v>
      </c>
      <c r="T929" t="s">
        <v>5646</v>
      </c>
    </row>
    <row r="930" spans="16:20" x14ac:dyDescent="0.35">
      <c r="Q930" t="s">
        <v>4157</v>
      </c>
      <c r="R930" t="s">
        <v>4240</v>
      </c>
      <c r="S930" t="s">
        <v>5607</v>
      </c>
      <c r="T930" t="s">
        <v>5650</v>
      </c>
    </row>
    <row r="931" spans="16:20" x14ac:dyDescent="0.35">
      <c r="P931" t="s">
        <v>2440</v>
      </c>
      <c r="Q931" t="s">
        <v>4951</v>
      </c>
      <c r="R931" t="s">
        <v>5799</v>
      </c>
      <c r="S931" t="s">
        <v>5607</v>
      </c>
      <c r="T931" t="s">
        <v>5650</v>
      </c>
    </row>
    <row r="932" spans="16:20" x14ac:dyDescent="0.35">
      <c r="P932" t="s">
        <v>2445</v>
      </c>
      <c r="Q932" t="s">
        <v>4111</v>
      </c>
      <c r="R932" t="s">
        <v>1779</v>
      </c>
      <c r="S932" t="s">
        <v>5611</v>
      </c>
      <c r="T932" t="s">
        <v>1448</v>
      </c>
    </row>
    <row r="933" spans="16:20" x14ac:dyDescent="0.35">
      <c r="P933" t="s">
        <v>4257</v>
      </c>
      <c r="Q933" t="s">
        <v>4952</v>
      </c>
      <c r="R933" t="s">
        <v>5799</v>
      </c>
      <c r="S933" t="s">
        <v>5607</v>
      </c>
      <c r="T933" t="s">
        <v>5650</v>
      </c>
    </row>
    <row r="934" spans="16:20" x14ac:dyDescent="0.35">
      <c r="Q934" t="s">
        <v>4157</v>
      </c>
      <c r="R934" t="s">
        <v>5799</v>
      </c>
      <c r="S934" t="s">
        <v>5607</v>
      </c>
      <c r="T934" t="s">
        <v>5650</v>
      </c>
    </row>
    <row r="935" spans="16:20" x14ac:dyDescent="0.35">
      <c r="P935" t="s">
        <v>2454</v>
      </c>
      <c r="Q935" t="s">
        <v>4150</v>
      </c>
      <c r="R935" t="s">
        <v>3836</v>
      </c>
      <c r="S935" t="s">
        <v>5611</v>
      </c>
      <c r="T935" t="s">
        <v>1448</v>
      </c>
    </row>
    <row r="936" spans="16:20" x14ac:dyDescent="0.35">
      <c r="P936" t="s">
        <v>2457</v>
      </c>
      <c r="Q936" t="s">
        <v>4137</v>
      </c>
      <c r="R936" t="s">
        <v>2561</v>
      </c>
      <c r="S936" t="s">
        <v>5611</v>
      </c>
      <c r="T936" t="s">
        <v>1448</v>
      </c>
    </row>
    <row r="937" spans="16:20" x14ac:dyDescent="0.35">
      <c r="P937" t="s">
        <v>2462</v>
      </c>
      <c r="Q937" t="s">
        <v>4986</v>
      </c>
      <c r="R937" t="s">
        <v>2462</v>
      </c>
      <c r="S937" t="s">
        <v>5615</v>
      </c>
      <c r="T937" t="s">
        <v>5650</v>
      </c>
    </row>
    <row r="938" spans="16:20" x14ac:dyDescent="0.35">
      <c r="P938" t="s">
        <v>2464</v>
      </c>
      <c r="Q938" t="s">
        <v>4570</v>
      </c>
      <c r="R938" t="s">
        <v>855</v>
      </c>
      <c r="S938" t="s">
        <v>5615</v>
      </c>
      <c r="T938" t="s">
        <v>5650</v>
      </c>
    </row>
    <row r="939" spans="16:20" x14ac:dyDescent="0.35">
      <c r="P939" t="s">
        <v>2466</v>
      </c>
      <c r="Q939" t="s">
        <v>5487</v>
      </c>
      <c r="R939" t="s">
        <v>5906</v>
      </c>
      <c r="S939" t="s">
        <v>5609</v>
      </c>
      <c r="T939" t="s">
        <v>5658</v>
      </c>
    </row>
    <row r="940" spans="16:20" x14ac:dyDescent="0.35">
      <c r="Q940" t="s">
        <v>4503</v>
      </c>
      <c r="R940" t="s">
        <v>534</v>
      </c>
      <c r="S940" t="s">
        <v>5618</v>
      </c>
      <c r="T940" t="s">
        <v>5658</v>
      </c>
    </row>
    <row r="941" spans="16:20" x14ac:dyDescent="0.35">
      <c r="Q941" t="s">
        <v>4987</v>
      </c>
      <c r="R941" t="s">
        <v>2466</v>
      </c>
      <c r="S941" t="s">
        <v>5609</v>
      </c>
      <c r="T941" t="s">
        <v>5658</v>
      </c>
    </row>
    <row r="942" spans="16:20" x14ac:dyDescent="0.35">
      <c r="Q942" t="s">
        <v>5026</v>
      </c>
      <c r="R942" t="s">
        <v>2540</v>
      </c>
      <c r="S942" t="s">
        <v>5612</v>
      </c>
      <c r="T942" t="s">
        <v>1448</v>
      </c>
    </row>
    <row r="943" spans="16:20" x14ac:dyDescent="0.35">
      <c r="Q943" t="s">
        <v>5396</v>
      </c>
      <c r="R943" t="s">
        <v>6084</v>
      </c>
      <c r="S943" t="s">
        <v>5611</v>
      </c>
      <c r="T943" t="s">
        <v>1448</v>
      </c>
    </row>
    <row r="944" spans="16:20" x14ac:dyDescent="0.35">
      <c r="P944" t="s">
        <v>2468</v>
      </c>
      <c r="Q944" t="s">
        <v>4042</v>
      </c>
      <c r="R944" t="s">
        <v>2017</v>
      </c>
      <c r="S944" t="s">
        <v>1837</v>
      </c>
      <c r="T944" t="s">
        <v>5646</v>
      </c>
    </row>
    <row r="945" spans="16:20" x14ac:dyDescent="0.35">
      <c r="P945" t="s">
        <v>2472</v>
      </c>
      <c r="Q945" t="s">
        <v>4427</v>
      </c>
      <c r="R945" t="s">
        <v>457</v>
      </c>
      <c r="S945" t="s">
        <v>5607</v>
      </c>
      <c r="T945" t="s">
        <v>5650</v>
      </c>
    </row>
    <row r="946" spans="16:20" x14ac:dyDescent="0.35">
      <c r="P946" t="s">
        <v>2482</v>
      </c>
      <c r="Q946" t="s">
        <v>5485</v>
      </c>
      <c r="R946" t="s">
        <v>3691</v>
      </c>
      <c r="S946" t="s">
        <v>5615</v>
      </c>
      <c r="T946" t="s">
        <v>5650</v>
      </c>
    </row>
    <row r="947" spans="16:20" x14ac:dyDescent="0.35">
      <c r="P947" t="s">
        <v>2484</v>
      </c>
      <c r="Q947" t="s">
        <v>5132</v>
      </c>
      <c r="R947" t="s">
        <v>2621</v>
      </c>
      <c r="S947" t="s">
        <v>5617</v>
      </c>
      <c r="T947" t="s">
        <v>5658</v>
      </c>
    </row>
    <row r="948" spans="16:20" x14ac:dyDescent="0.35">
      <c r="P948" t="s">
        <v>2487</v>
      </c>
      <c r="Q948" t="s">
        <v>4706</v>
      </c>
      <c r="R948" t="s">
        <v>5848</v>
      </c>
      <c r="S948" t="s">
        <v>5609</v>
      </c>
      <c r="T948" t="s">
        <v>5658</v>
      </c>
    </row>
    <row r="949" spans="16:20" x14ac:dyDescent="0.35">
      <c r="P949" t="s">
        <v>2489</v>
      </c>
      <c r="Q949" t="s">
        <v>2490</v>
      </c>
      <c r="R949" t="s">
        <v>5607</v>
      </c>
      <c r="S949" t="s">
        <v>5607</v>
      </c>
      <c r="T949" t="s">
        <v>5650</v>
      </c>
    </row>
    <row r="950" spans="16:20" x14ac:dyDescent="0.35">
      <c r="Q950" t="s">
        <v>4157</v>
      </c>
      <c r="R950" t="s">
        <v>4240</v>
      </c>
      <c r="S950" t="s">
        <v>5607</v>
      </c>
      <c r="T950" t="s">
        <v>5650</v>
      </c>
    </row>
    <row r="951" spans="16:20" x14ac:dyDescent="0.35">
      <c r="P951" t="s">
        <v>2492</v>
      </c>
      <c r="Q951" t="s">
        <v>5323</v>
      </c>
      <c r="R951" t="s">
        <v>5322</v>
      </c>
      <c r="S951" t="s">
        <v>5609</v>
      </c>
      <c r="T951" t="s">
        <v>5658</v>
      </c>
    </row>
    <row r="952" spans="16:20" x14ac:dyDescent="0.35">
      <c r="P952" t="s">
        <v>2495</v>
      </c>
      <c r="Q952" t="s">
        <v>4157</v>
      </c>
      <c r="R952" t="s">
        <v>2495</v>
      </c>
      <c r="S952" t="s">
        <v>5618</v>
      </c>
      <c r="T952" t="s">
        <v>5658</v>
      </c>
    </row>
    <row r="953" spans="16:20" x14ac:dyDescent="0.35">
      <c r="P953" t="s">
        <v>2498</v>
      </c>
      <c r="Q953" t="s">
        <v>4057</v>
      </c>
      <c r="R953" t="s">
        <v>5746</v>
      </c>
      <c r="S953" t="s">
        <v>5607</v>
      </c>
      <c r="T953" t="s">
        <v>5650</v>
      </c>
    </row>
    <row r="954" spans="16:20" x14ac:dyDescent="0.35">
      <c r="Q954" t="s">
        <v>4998</v>
      </c>
      <c r="R954" t="s">
        <v>5746</v>
      </c>
      <c r="S954" t="s">
        <v>5607</v>
      </c>
      <c r="T954" t="s">
        <v>5650</v>
      </c>
    </row>
    <row r="955" spans="16:20" x14ac:dyDescent="0.35">
      <c r="Q955" t="s">
        <v>4157</v>
      </c>
      <c r="R955" t="s">
        <v>5746</v>
      </c>
      <c r="S955" t="s">
        <v>5607</v>
      </c>
      <c r="T955" t="s">
        <v>5650</v>
      </c>
    </row>
    <row r="956" spans="16:20" x14ac:dyDescent="0.35">
      <c r="P956" t="s">
        <v>2503</v>
      </c>
      <c r="Q956" t="s">
        <v>4999</v>
      </c>
      <c r="R956" t="s">
        <v>5746</v>
      </c>
      <c r="S956" t="s">
        <v>5607</v>
      </c>
      <c r="T956" t="s">
        <v>5650</v>
      </c>
    </row>
    <row r="957" spans="16:20" x14ac:dyDescent="0.35">
      <c r="P957" t="s">
        <v>2507</v>
      </c>
      <c r="Q957" t="s">
        <v>5002</v>
      </c>
      <c r="R957" t="s">
        <v>5885</v>
      </c>
      <c r="S957" t="s">
        <v>5607</v>
      </c>
      <c r="T957" t="s">
        <v>5650</v>
      </c>
    </row>
    <row r="958" spans="16:20" x14ac:dyDescent="0.35">
      <c r="P958" t="s">
        <v>2509</v>
      </c>
      <c r="Q958" t="s">
        <v>2510</v>
      </c>
      <c r="R958" t="s">
        <v>5607</v>
      </c>
      <c r="S958" t="s">
        <v>5607</v>
      </c>
      <c r="T958" t="s">
        <v>5650</v>
      </c>
    </row>
    <row r="959" spans="16:20" x14ac:dyDescent="0.35">
      <c r="Q959" t="s">
        <v>4157</v>
      </c>
      <c r="R959" t="s">
        <v>4240</v>
      </c>
      <c r="S959" t="s">
        <v>5607</v>
      </c>
      <c r="T959" t="s">
        <v>5650</v>
      </c>
    </row>
    <row r="960" spans="16:20" x14ac:dyDescent="0.35">
      <c r="P960" t="s">
        <v>2512</v>
      </c>
      <c r="Q960" t="s">
        <v>4971</v>
      </c>
      <c r="R960" t="s">
        <v>5762</v>
      </c>
      <c r="S960" t="s">
        <v>5614</v>
      </c>
      <c r="T960" t="s">
        <v>5646</v>
      </c>
    </row>
    <row r="961" spans="16:20" x14ac:dyDescent="0.35">
      <c r="P961" t="s">
        <v>2516</v>
      </c>
      <c r="Q961" t="s">
        <v>4811</v>
      </c>
      <c r="R961" t="s">
        <v>1872</v>
      </c>
      <c r="S961" t="s">
        <v>5607</v>
      </c>
      <c r="T961" t="s">
        <v>5650</v>
      </c>
    </row>
    <row r="962" spans="16:20" x14ac:dyDescent="0.35">
      <c r="P962" t="s">
        <v>2518</v>
      </c>
      <c r="Q962" t="s">
        <v>4118</v>
      </c>
      <c r="R962" t="s">
        <v>1779</v>
      </c>
      <c r="S962" t="s">
        <v>5611</v>
      </c>
      <c r="T962" t="s">
        <v>1448</v>
      </c>
    </row>
    <row r="963" spans="16:20" x14ac:dyDescent="0.35">
      <c r="P963" t="s">
        <v>2522</v>
      </c>
      <c r="Q963" t="s">
        <v>5011</v>
      </c>
      <c r="R963" t="s">
        <v>2522</v>
      </c>
      <c r="S963" t="s">
        <v>5609</v>
      </c>
      <c r="T963" t="s">
        <v>5658</v>
      </c>
    </row>
    <row r="964" spans="16:20" x14ac:dyDescent="0.35">
      <c r="P964" t="s">
        <v>5176</v>
      </c>
      <c r="Q964" t="s">
        <v>5175</v>
      </c>
      <c r="R964" t="s">
        <v>2727</v>
      </c>
      <c r="S964" t="s">
        <v>5609</v>
      </c>
      <c r="T964" t="s">
        <v>5658</v>
      </c>
    </row>
    <row r="965" spans="16:20" x14ac:dyDescent="0.35">
      <c r="P965" t="s">
        <v>2527</v>
      </c>
      <c r="Q965" t="s">
        <v>5599</v>
      </c>
      <c r="R965" t="s">
        <v>3958</v>
      </c>
      <c r="S965" t="s">
        <v>5609</v>
      </c>
      <c r="T965" t="s">
        <v>5658</v>
      </c>
    </row>
    <row r="966" spans="16:20" x14ac:dyDescent="0.35">
      <c r="Q966" t="s">
        <v>4519</v>
      </c>
      <c r="R966" t="s">
        <v>4513</v>
      </c>
      <c r="S966" t="s">
        <v>5612</v>
      </c>
      <c r="T966" t="s">
        <v>1448</v>
      </c>
    </row>
    <row r="967" spans="16:20" x14ac:dyDescent="0.35">
      <c r="Q967" t="s">
        <v>5164</v>
      </c>
      <c r="R967" t="s">
        <v>2723</v>
      </c>
      <c r="S967" t="s">
        <v>5612</v>
      </c>
      <c r="T967" t="s">
        <v>1448</v>
      </c>
    </row>
    <row r="968" spans="16:20" x14ac:dyDescent="0.35">
      <c r="P968" t="s">
        <v>2533</v>
      </c>
      <c r="Q968" t="s">
        <v>4358</v>
      </c>
      <c r="R968" t="s">
        <v>371</v>
      </c>
      <c r="S968" t="s">
        <v>5609</v>
      </c>
      <c r="T968" t="s">
        <v>5658</v>
      </c>
    </row>
    <row r="969" spans="16:20" x14ac:dyDescent="0.35">
      <c r="P969" t="s">
        <v>2535</v>
      </c>
      <c r="Q969" t="s">
        <v>4152</v>
      </c>
      <c r="R969" t="s">
        <v>3836</v>
      </c>
      <c r="S969" t="s">
        <v>5611</v>
      </c>
      <c r="T969" t="s">
        <v>1448</v>
      </c>
    </row>
    <row r="970" spans="16:20" x14ac:dyDescent="0.35">
      <c r="P970" t="s">
        <v>2538</v>
      </c>
      <c r="Q970" t="s">
        <v>5013</v>
      </c>
      <c r="R970" t="s">
        <v>2538</v>
      </c>
      <c r="S970" t="s">
        <v>5617</v>
      </c>
      <c r="T970" t="s">
        <v>5658</v>
      </c>
    </row>
    <row r="971" spans="16:20" x14ac:dyDescent="0.35">
      <c r="P971" t="s">
        <v>5018</v>
      </c>
      <c r="Q971" t="s">
        <v>5017</v>
      </c>
      <c r="R971" t="s">
        <v>2540</v>
      </c>
      <c r="S971" t="s">
        <v>5612</v>
      </c>
      <c r="T971" t="s">
        <v>1448</v>
      </c>
    </row>
    <row r="972" spans="16:20" x14ac:dyDescent="0.35">
      <c r="P972" t="s">
        <v>2542</v>
      </c>
      <c r="Q972" t="s">
        <v>5429</v>
      </c>
      <c r="R972" t="s">
        <v>5682</v>
      </c>
      <c r="S972" t="s">
        <v>5614</v>
      </c>
      <c r="T972" t="s">
        <v>5646</v>
      </c>
    </row>
    <row r="973" spans="16:20" x14ac:dyDescent="0.35">
      <c r="Q973" t="s">
        <v>5031</v>
      </c>
      <c r="R973" t="s">
        <v>5831</v>
      </c>
      <c r="S973" t="s">
        <v>5612</v>
      </c>
      <c r="T973" t="s">
        <v>1448</v>
      </c>
    </row>
    <row r="974" spans="16:20" x14ac:dyDescent="0.35">
      <c r="Q974" t="s">
        <v>4334</v>
      </c>
      <c r="R974" t="s">
        <v>5713</v>
      </c>
      <c r="S974" t="s">
        <v>5611</v>
      </c>
      <c r="T974" t="s">
        <v>1448</v>
      </c>
    </row>
    <row r="975" spans="16:20" x14ac:dyDescent="0.35">
      <c r="P975" t="s">
        <v>2548</v>
      </c>
      <c r="Q975" t="s">
        <v>5189</v>
      </c>
      <c r="R975" t="s">
        <v>2773</v>
      </c>
      <c r="S975" t="s">
        <v>5617</v>
      </c>
      <c r="T975" t="s">
        <v>5658</v>
      </c>
    </row>
    <row r="976" spans="16:20" x14ac:dyDescent="0.35">
      <c r="P976" t="s">
        <v>2550</v>
      </c>
      <c r="Q976" t="s">
        <v>5584</v>
      </c>
      <c r="R976" t="s">
        <v>3917</v>
      </c>
      <c r="S976" t="s">
        <v>5609</v>
      </c>
      <c r="T976" t="s">
        <v>5658</v>
      </c>
    </row>
    <row r="977" spans="16:20" x14ac:dyDescent="0.35">
      <c r="P977" t="s">
        <v>2553</v>
      </c>
      <c r="Q977" t="s">
        <v>5046</v>
      </c>
      <c r="R977" t="s">
        <v>2553</v>
      </c>
      <c r="S977" t="s">
        <v>5618</v>
      </c>
      <c r="T977" t="s">
        <v>5658</v>
      </c>
    </row>
    <row r="978" spans="16:20" x14ac:dyDescent="0.35">
      <c r="P978" t="s">
        <v>2557</v>
      </c>
      <c r="Q978" t="s">
        <v>4097</v>
      </c>
      <c r="R978" t="s">
        <v>1976</v>
      </c>
      <c r="S978" t="s">
        <v>1837</v>
      </c>
      <c r="T978" t="s">
        <v>5646</v>
      </c>
    </row>
    <row r="979" spans="16:20" x14ac:dyDescent="0.35">
      <c r="P979" t="s">
        <v>2559</v>
      </c>
      <c r="Q979" t="s">
        <v>4524</v>
      </c>
      <c r="R979" t="s">
        <v>5781</v>
      </c>
      <c r="S979" t="s">
        <v>5617</v>
      </c>
      <c r="T979" t="s">
        <v>5658</v>
      </c>
    </row>
    <row r="980" spans="16:20" x14ac:dyDescent="0.35">
      <c r="P980" t="s">
        <v>2561</v>
      </c>
      <c r="Q980" t="s">
        <v>2566</v>
      </c>
      <c r="R980" t="s">
        <v>2561</v>
      </c>
      <c r="S980" t="s">
        <v>5611</v>
      </c>
      <c r="T980" t="s">
        <v>1448</v>
      </c>
    </row>
    <row r="981" spans="16:20" x14ac:dyDescent="0.35">
      <c r="P981" t="s">
        <v>4158</v>
      </c>
      <c r="Q981" t="s">
        <v>4157</v>
      </c>
      <c r="R981" t="s">
        <v>2561</v>
      </c>
      <c r="S981" t="s">
        <v>5611</v>
      </c>
      <c r="T981" t="s">
        <v>1448</v>
      </c>
    </row>
    <row r="982" spans="16:20" x14ac:dyDescent="0.35">
      <c r="P982" t="s">
        <v>5051</v>
      </c>
      <c r="Q982" t="s">
        <v>5050</v>
      </c>
      <c r="R982" t="s">
        <v>2561</v>
      </c>
      <c r="S982" t="s">
        <v>5611</v>
      </c>
      <c r="T982" t="s">
        <v>1448</v>
      </c>
    </row>
    <row r="983" spans="16:20" x14ac:dyDescent="0.35">
      <c r="P983" t="s">
        <v>2571</v>
      </c>
      <c r="Q983" t="s">
        <v>5045</v>
      </c>
      <c r="R983" t="s">
        <v>5831</v>
      </c>
      <c r="S983" t="s">
        <v>5612</v>
      </c>
      <c r="T983" t="s">
        <v>1448</v>
      </c>
    </row>
    <row r="984" spans="16:20" x14ac:dyDescent="0.35">
      <c r="P984" t="s">
        <v>2573</v>
      </c>
      <c r="Q984" t="s">
        <v>5457</v>
      </c>
      <c r="R984" t="s">
        <v>5811</v>
      </c>
      <c r="S984" t="s">
        <v>5615</v>
      </c>
      <c r="T984" t="s">
        <v>5650</v>
      </c>
    </row>
    <row r="985" spans="16:20" x14ac:dyDescent="0.35">
      <c r="P985" t="s">
        <v>2575</v>
      </c>
      <c r="Q985" t="s">
        <v>5458</v>
      </c>
      <c r="R985" t="s">
        <v>5811</v>
      </c>
      <c r="S985" t="s">
        <v>5615</v>
      </c>
      <c r="T985" t="s">
        <v>5650</v>
      </c>
    </row>
    <row r="986" spans="16:20" x14ac:dyDescent="0.35">
      <c r="P986" t="s">
        <v>2577</v>
      </c>
      <c r="Q986" t="s">
        <v>4724</v>
      </c>
      <c r="R986" t="s">
        <v>1522</v>
      </c>
      <c r="S986" t="s">
        <v>5610</v>
      </c>
      <c r="T986" t="s">
        <v>5646</v>
      </c>
    </row>
    <row r="987" spans="16:20" x14ac:dyDescent="0.35">
      <c r="P987" t="s">
        <v>2579</v>
      </c>
      <c r="Q987" t="s">
        <v>5056</v>
      </c>
      <c r="R987" t="s">
        <v>2579</v>
      </c>
      <c r="S987" t="s">
        <v>5609</v>
      </c>
      <c r="T987" t="s">
        <v>5658</v>
      </c>
    </row>
    <row r="988" spans="16:20" x14ac:dyDescent="0.35">
      <c r="P988" t="s">
        <v>2581</v>
      </c>
      <c r="Q988" t="s">
        <v>5483</v>
      </c>
      <c r="R988" t="s">
        <v>3691</v>
      </c>
      <c r="S988" t="s">
        <v>5615</v>
      </c>
      <c r="T988" t="s">
        <v>5650</v>
      </c>
    </row>
    <row r="989" spans="16:20" x14ac:dyDescent="0.35">
      <c r="P989" t="s">
        <v>4180</v>
      </c>
      <c r="Q989" t="s">
        <v>4157</v>
      </c>
      <c r="R989" t="s">
        <v>5786</v>
      </c>
      <c r="S989" t="s">
        <v>5606</v>
      </c>
      <c r="T989" t="s">
        <v>5646</v>
      </c>
    </row>
    <row r="990" spans="16:20" x14ac:dyDescent="0.35">
      <c r="P990" t="s">
        <v>4326</v>
      </c>
      <c r="Q990" t="s">
        <v>4325</v>
      </c>
      <c r="R990" t="s">
        <v>287</v>
      </c>
      <c r="S990" t="s">
        <v>5614</v>
      </c>
      <c r="T990" t="s">
        <v>5646</v>
      </c>
    </row>
    <row r="991" spans="16:20" x14ac:dyDescent="0.35">
      <c r="P991" t="s">
        <v>2588</v>
      </c>
      <c r="Q991" t="s">
        <v>4148</v>
      </c>
      <c r="R991" t="s">
        <v>3836</v>
      </c>
      <c r="S991" t="s">
        <v>5611</v>
      </c>
      <c r="T991" t="s">
        <v>1448</v>
      </c>
    </row>
    <row r="992" spans="16:20" x14ac:dyDescent="0.35">
      <c r="P992" t="s">
        <v>2590</v>
      </c>
      <c r="Q992" t="s">
        <v>5087</v>
      </c>
      <c r="R992" t="s">
        <v>5972</v>
      </c>
      <c r="S992" t="s">
        <v>5614</v>
      </c>
      <c r="T992" t="s">
        <v>5646</v>
      </c>
    </row>
    <row r="993" spans="16:20" x14ac:dyDescent="0.35">
      <c r="P993" t="s">
        <v>4237</v>
      </c>
      <c r="Q993" t="s">
        <v>4157</v>
      </c>
      <c r="R993" t="s">
        <v>4237</v>
      </c>
      <c r="S993" t="s">
        <v>5610</v>
      </c>
      <c r="T993" t="s">
        <v>5646</v>
      </c>
    </row>
    <row r="994" spans="16:20" x14ac:dyDescent="0.35">
      <c r="P994" t="s">
        <v>2597</v>
      </c>
      <c r="Q994" t="s">
        <v>5094</v>
      </c>
      <c r="R994" t="s">
        <v>2597</v>
      </c>
      <c r="S994" t="s">
        <v>1757</v>
      </c>
      <c r="T994" t="s">
        <v>5658</v>
      </c>
    </row>
    <row r="995" spans="16:20" x14ac:dyDescent="0.35">
      <c r="P995" t="s">
        <v>5101</v>
      </c>
      <c r="Q995" t="s">
        <v>5100</v>
      </c>
      <c r="R995" t="s">
        <v>5981</v>
      </c>
      <c r="S995" t="s">
        <v>5612</v>
      </c>
      <c r="T995" t="s">
        <v>1448</v>
      </c>
    </row>
    <row r="996" spans="16:20" x14ac:dyDescent="0.35">
      <c r="P996" t="s">
        <v>5099</v>
      </c>
      <c r="Q996" t="s">
        <v>5098</v>
      </c>
      <c r="R996" t="s">
        <v>5981</v>
      </c>
      <c r="S996" t="s">
        <v>5612</v>
      </c>
      <c r="T996" t="s">
        <v>1448</v>
      </c>
    </row>
    <row r="997" spans="16:20" x14ac:dyDescent="0.35">
      <c r="P997" t="s">
        <v>2609</v>
      </c>
      <c r="Q997" t="s">
        <v>5126</v>
      </c>
      <c r="R997" t="s">
        <v>5719</v>
      </c>
      <c r="S997" t="s">
        <v>5607</v>
      </c>
      <c r="T997" t="s">
        <v>5650</v>
      </c>
    </row>
    <row r="998" spans="16:20" x14ac:dyDescent="0.35">
      <c r="P998" t="s">
        <v>2611</v>
      </c>
      <c r="Q998" t="s">
        <v>5120</v>
      </c>
      <c r="R998" t="s">
        <v>5719</v>
      </c>
      <c r="S998" t="s">
        <v>5607</v>
      </c>
      <c r="T998" t="s">
        <v>5650</v>
      </c>
    </row>
    <row r="999" spans="16:20" x14ac:dyDescent="0.35">
      <c r="Q999" t="s">
        <v>4072</v>
      </c>
      <c r="R999" t="s">
        <v>5719</v>
      </c>
      <c r="S999" t="s">
        <v>5607</v>
      </c>
      <c r="T999" t="s">
        <v>5650</v>
      </c>
    </row>
    <row r="1000" spans="16:20" x14ac:dyDescent="0.35">
      <c r="P1000" t="s">
        <v>4790</v>
      </c>
      <c r="Q1000" t="s">
        <v>4789</v>
      </c>
      <c r="R1000" t="s">
        <v>5825</v>
      </c>
      <c r="S1000" t="s">
        <v>5612</v>
      </c>
      <c r="T1000" t="s">
        <v>1448</v>
      </c>
    </row>
    <row r="1001" spans="16:20" x14ac:dyDescent="0.35">
      <c r="P1001" t="s">
        <v>2619</v>
      </c>
      <c r="Q1001" t="s">
        <v>5127</v>
      </c>
      <c r="R1001" t="s">
        <v>2619</v>
      </c>
      <c r="S1001" t="s">
        <v>5609</v>
      </c>
      <c r="T1001" t="s">
        <v>5658</v>
      </c>
    </row>
    <row r="1002" spans="16:20" x14ac:dyDescent="0.35">
      <c r="P1002" t="s">
        <v>2621</v>
      </c>
      <c r="Q1002" t="s">
        <v>5133</v>
      </c>
      <c r="R1002" t="s">
        <v>2621</v>
      </c>
      <c r="S1002" t="s">
        <v>5617</v>
      </c>
      <c r="T1002" t="s">
        <v>5658</v>
      </c>
    </row>
    <row r="1003" spans="16:20" x14ac:dyDescent="0.35">
      <c r="Q1003" t="s">
        <v>4157</v>
      </c>
      <c r="R1003" t="s">
        <v>2621</v>
      </c>
      <c r="S1003" t="s">
        <v>5620</v>
      </c>
      <c r="T1003" t="s">
        <v>5662</v>
      </c>
    </row>
    <row r="1004" spans="16:20" x14ac:dyDescent="0.35">
      <c r="P1004" t="s">
        <v>4841</v>
      </c>
      <c r="Q1004" t="s">
        <v>4840</v>
      </c>
      <c r="R1004" t="s">
        <v>1957</v>
      </c>
      <c r="S1004" t="s">
        <v>5612</v>
      </c>
      <c r="T1004" t="s">
        <v>1448</v>
      </c>
    </row>
    <row r="1005" spans="16:20" x14ac:dyDescent="0.35">
      <c r="P1005" t="s">
        <v>2632</v>
      </c>
      <c r="Q1005" t="s">
        <v>5145</v>
      </c>
      <c r="R1005" t="s">
        <v>2632</v>
      </c>
      <c r="S1005" t="s">
        <v>5617</v>
      </c>
      <c r="T1005" t="s">
        <v>5658</v>
      </c>
    </row>
    <row r="1006" spans="16:20" x14ac:dyDescent="0.35">
      <c r="P1006" t="s">
        <v>5148</v>
      </c>
      <c r="Q1006" t="s">
        <v>5571</v>
      </c>
      <c r="R1006" t="s">
        <v>3901</v>
      </c>
      <c r="S1006" t="s">
        <v>5609</v>
      </c>
      <c r="T1006" t="s">
        <v>5658</v>
      </c>
    </row>
    <row r="1007" spans="16:20" x14ac:dyDescent="0.35">
      <c r="Q1007" t="s">
        <v>5149</v>
      </c>
      <c r="R1007" t="s">
        <v>5148</v>
      </c>
      <c r="S1007" t="s">
        <v>5618</v>
      </c>
      <c r="T1007" t="s">
        <v>5658</v>
      </c>
    </row>
    <row r="1008" spans="16:20" x14ac:dyDescent="0.35">
      <c r="Q1008" t="s">
        <v>5147</v>
      </c>
      <c r="R1008" t="s">
        <v>2632</v>
      </c>
      <c r="S1008" t="s">
        <v>5617</v>
      </c>
      <c r="T1008" t="s">
        <v>5658</v>
      </c>
    </row>
    <row r="1009" spans="16:20" x14ac:dyDescent="0.35">
      <c r="P1009" t="s">
        <v>2641</v>
      </c>
      <c r="Q1009" t="s">
        <v>4871</v>
      </c>
      <c r="R1009" t="s">
        <v>5919</v>
      </c>
      <c r="S1009" t="s">
        <v>5609</v>
      </c>
      <c r="T1009" t="s">
        <v>5658</v>
      </c>
    </row>
    <row r="1010" spans="16:20" x14ac:dyDescent="0.35">
      <c r="P1010" t="s">
        <v>2644</v>
      </c>
      <c r="Q1010" t="s">
        <v>5390</v>
      </c>
      <c r="R1010" t="s">
        <v>5961</v>
      </c>
      <c r="S1010" t="s">
        <v>5610</v>
      </c>
      <c r="T1010" t="s">
        <v>5646</v>
      </c>
    </row>
    <row r="1011" spans="16:20" x14ac:dyDescent="0.35">
      <c r="P1011" t="s">
        <v>2654</v>
      </c>
      <c r="Q1011" t="s">
        <v>5595</v>
      </c>
      <c r="R1011" t="s">
        <v>3938</v>
      </c>
      <c r="S1011" t="s">
        <v>5607</v>
      </c>
      <c r="T1011" t="s">
        <v>5650</v>
      </c>
    </row>
    <row r="1012" spans="16:20" x14ac:dyDescent="0.35">
      <c r="P1012" t="s">
        <v>2658</v>
      </c>
      <c r="Q1012" t="s">
        <v>5158</v>
      </c>
      <c r="R1012" t="s">
        <v>2658</v>
      </c>
      <c r="S1012" t="s">
        <v>5619</v>
      </c>
      <c r="T1012" t="s">
        <v>5646</v>
      </c>
    </row>
    <row r="1013" spans="16:20" x14ac:dyDescent="0.35">
      <c r="P1013" t="s">
        <v>4227</v>
      </c>
      <c r="Q1013" t="s">
        <v>2661</v>
      </c>
      <c r="R1013" t="s">
        <v>4228</v>
      </c>
      <c r="S1013" t="s">
        <v>5619</v>
      </c>
      <c r="T1013" t="s">
        <v>5646</v>
      </c>
    </row>
    <row r="1014" spans="16:20" x14ac:dyDescent="0.35">
      <c r="Q1014" t="s">
        <v>4157</v>
      </c>
      <c r="R1014" t="s">
        <v>4228</v>
      </c>
      <c r="S1014" t="s">
        <v>5619</v>
      </c>
      <c r="T1014" t="s">
        <v>5646</v>
      </c>
    </row>
    <row r="1015" spans="16:20" x14ac:dyDescent="0.35">
      <c r="P1015" t="s">
        <v>2664</v>
      </c>
      <c r="Q1015" t="s">
        <v>4485</v>
      </c>
      <c r="R1015" t="s">
        <v>5607</v>
      </c>
      <c r="S1015" t="s">
        <v>5607</v>
      </c>
      <c r="T1015" t="s">
        <v>5650</v>
      </c>
    </row>
    <row r="1016" spans="16:20" x14ac:dyDescent="0.35">
      <c r="P1016" t="s">
        <v>2668</v>
      </c>
      <c r="Q1016" t="s">
        <v>5398</v>
      </c>
      <c r="R1016" t="s">
        <v>3315</v>
      </c>
      <c r="S1016" t="s">
        <v>5618</v>
      </c>
      <c r="T1016" t="s">
        <v>5658</v>
      </c>
    </row>
    <row r="1017" spans="16:20" x14ac:dyDescent="0.35">
      <c r="P1017" t="s">
        <v>2670</v>
      </c>
      <c r="Q1017" t="s">
        <v>4812</v>
      </c>
      <c r="R1017" t="s">
        <v>1872</v>
      </c>
      <c r="S1017" t="s">
        <v>5607</v>
      </c>
      <c r="T1017" t="s">
        <v>5650</v>
      </c>
    </row>
    <row r="1018" spans="16:20" x14ac:dyDescent="0.35">
      <c r="P1018" t="s">
        <v>2674</v>
      </c>
      <c r="Q1018" t="s">
        <v>4376</v>
      </c>
      <c r="R1018" t="s">
        <v>4222</v>
      </c>
      <c r="S1018" t="s">
        <v>5614</v>
      </c>
      <c r="T1018" t="s">
        <v>5646</v>
      </c>
    </row>
    <row r="1019" spans="16:20" x14ac:dyDescent="0.35">
      <c r="P1019" t="s">
        <v>2676</v>
      </c>
      <c r="Q1019" t="s">
        <v>2677</v>
      </c>
      <c r="R1019" t="s">
        <v>3549</v>
      </c>
      <c r="S1019" t="s">
        <v>5615</v>
      </c>
      <c r="T1019" t="s">
        <v>5650</v>
      </c>
    </row>
    <row r="1020" spans="16:20" x14ac:dyDescent="0.35">
      <c r="Q1020" t="s">
        <v>4157</v>
      </c>
      <c r="R1020" t="s">
        <v>3549</v>
      </c>
      <c r="S1020" t="s">
        <v>5615</v>
      </c>
      <c r="T1020" t="s">
        <v>5650</v>
      </c>
    </row>
    <row r="1021" spans="16:20" x14ac:dyDescent="0.35">
      <c r="P1021" t="s">
        <v>4360</v>
      </c>
      <c r="Q1021" t="s">
        <v>4359</v>
      </c>
      <c r="R1021" t="s">
        <v>5739</v>
      </c>
      <c r="S1021" t="s">
        <v>5621</v>
      </c>
      <c r="T1021" t="s">
        <v>5678</v>
      </c>
    </row>
    <row r="1022" spans="16:20" x14ac:dyDescent="0.35">
      <c r="P1022" t="s">
        <v>5107</v>
      </c>
      <c r="Q1022" t="s">
        <v>5106</v>
      </c>
      <c r="R1022" t="s">
        <v>5981</v>
      </c>
      <c r="S1022" t="s">
        <v>5612</v>
      </c>
      <c r="T1022" t="s">
        <v>1448</v>
      </c>
    </row>
    <row r="1023" spans="16:20" x14ac:dyDescent="0.35">
      <c r="P1023" t="s">
        <v>2685</v>
      </c>
      <c r="Q1023" t="s">
        <v>4467</v>
      </c>
      <c r="R1023" t="s">
        <v>5755</v>
      </c>
      <c r="S1023" t="s">
        <v>5614</v>
      </c>
      <c r="T1023" t="s">
        <v>5646</v>
      </c>
    </row>
    <row r="1024" spans="16:20" x14ac:dyDescent="0.35">
      <c r="P1024" t="s">
        <v>2687</v>
      </c>
      <c r="Q1024" t="s">
        <v>5520</v>
      </c>
      <c r="R1024" t="s">
        <v>3702</v>
      </c>
      <c r="S1024" t="s">
        <v>5619</v>
      </c>
      <c r="T1024" t="s">
        <v>5646</v>
      </c>
    </row>
    <row r="1025" spans="16:20" x14ac:dyDescent="0.35">
      <c r="P1025" t="s">
        <v>2689</v>
      </c>
      <c r="Q1025" t="s">
        <v>4491</v>
      </c>
      <c r="R1025" t="s">
        <v>5607</v>
      </c>
      <c r="S1025" t="s">
        <v>5607</v>
      </c>
      <c r="T1025" t="s">
        <v>5650</v>
      </c>
    </row>
    <row r="1026" spans="16:20" x14ac:dyDescent="0.35">
      <c r="P1026" t="s">
        <v>2691</v>
      </c>
      <c r="Q1026" t="s">
        <v>5134</v>
      </c>
      <c r="R1026" t="s">
        <v>5987</v>
      </c>
      <c r="S1026" t="s">
        <v>5623</v>
      </c>
      <c r="T1026" t="s">
        <v>5658</v>
      </c>
    </row>
    <row r="1027" spans="16:20" x14ac:dyDescent="0.35">
      <c r="P1027" t="s">
        <v>2694</v>
      </c>
      <c r="Q1027" t="s">
        <v>4157</v>
      </c>
      <c r="R1027" t="s">
        <v>2694</v>
      </c>
      <c r="S1027" t="s">
        <v>5615</v>
      </c>
      <c r="T1027" t="s">
        <v>5650</v>
      </c>
    </row>
    <row r="1028" spans="16:20" x14ac:dyDescent="0.35">
      <c r="P1028" t="s">
        <v>2697</v>
      </c>
      <c r="Q1028" t="s">
        <v>4337</v>
      </c>
      <c r="R1028" t="s">
        <v>5713</v>
      </c>
      <c r="S1028" t="s">
        <v>5611</v>
      </c>
      <c r="T1028" t="s">
        <v>1448</v>
      </c>
    </row>
    <row r="1029" spans="16:20" x14ac:dyDescent="0.35">
      <c r="P1029" t="s">
        <v>2699</v>
      </c>
      <c r="Q1029" t="s">
        <v>4988</v>
      </c>
      <c r="R1029" t="s">
        <v>2466</v>
      </c>
      <c r="S1029" t="s">
        <v>5609</v>
      </c>
      <c r="T1029" t="s">
        <v>5658</v>
      </c>
    </row>
    <row r="1030" spans="16:20" x14ac:dyDescent="0.35">
      <c r="P1030" t="s">
        <v>2701</v>
      </c>
      <c r="Q1030" t="s">
        <v>5159</v>
      </c>
      <c r="R1030" t="s">
        <v>2701</v>
      </c>
      <c r="S1030" t="s">
        <v>5618</v>
      </c>
      <c r="T1030" t="s">
        <v>5658</v>
      </c>
    </row>
    <row r="1031" spans="16:20" x14ac:dyDescent="0.35">
      <c r="P1031" t="s">
        <v>2705</v>
      </c>
      <c r="Q1031" t="s">
        <v>5214</v>
      </c>
      <c r="R1031" t="s">
        <v>5908</v>
      </c>
      <c r="S1031" t="s">
        <v>5617</v>
      </c>
      <c r="T1031" t="s">
        <v>5658</v>
      </c>
    </row>
    <row r="1032" spans="16:20" x14ac:dyDescent="0.35">
      <c r="P1032" t="s">
        <v>2707</v>
      </c>
      <c r="Q1032" t="s">
        <v>4019</v>
      </c>
      <c r="R1032" t="s">
        <v>299</v>
      </c>
      <c r="S1032" t="s">
        <v>5613</v>
      </c>
      <c r="T1032" t="s">
        <v>5678</v>
      </c>
    </row>
    <row r="1033" spans="16:20" x14ac:dyDescent="0.35">
      <c r="P1033" t="s">
        <v>2709</v>
      </c>
      <c r="Q1033" t="s">
        <v>4345</v>
      </c>
      <c r="R1033" t="s">
        <v>357</v>
      </c>
      <c r="S1033" t="s">
        <v>5609</v>
      </c>
      <c r="T1033" t="s">
        <v>5658</v>
      </c>
    </row>
    <row r="1034" spans="16:20" x14ac:dyDescent="0.35">
      <c r="P1034" t="s">
        <v>2711</v>
      </c>
      <c r="Q1034" t="s">
        <v>5307</v>
      </c>
      <c r="R1034" t="s">
        <v>3032</v>
      </c>
      <c r="S1034" t="s">
        <v>5619</v>
      </c>
      <c r="T1034" t="s">
        <v>5646</v>
      </c>
    </row>
    <row r="1035" spans="16:20" x14ac:dyDescent="0.35">
      <c r="P1035" t="s">
        <v>2713</v>
      </c>
      <c r="Q1035" t="s">
        <v>5161</v>
      </c>
      <c r="R1035" t="s">
        <v>2713</v>
      </c>
      <c r="S1035" t="s">
        <v>5618</v>
      </c>
      <c r="T1035" t="s">
        <v>5658</v>
      </c>
    </row>
    <row r="1036" spans="16:20" x14ac:dyDescent="0.35">
      <c r="P1036" t="s">
        <v>2718</v>
      </c>
      <c r="Q1036" t="s">
        <v>5216</v>
      </c>
      <c r="R1036" t="s">
        <v>5908</v>
      </c>
      <c r="S1036" t="s">
        <v>5617</v>
      </c>
      <c r="T1036" t="s">
        <v>5658</v>
      </c>
    </row>
    <row r="1037" spans="16:20" x14ac:dyDescent="0.35">
      <c r="P1037" t="s">
        <v>2721</v>
      </c>
      <c r="Q1037" t="s">
        <v>5160</v>
      </c>
      <c r="R1037" t="s">
        <v>2713</v>
      </c>
      <c r="S1037" t="s">
        <v>5618</v>
      </c>
      <c r="T1037" t="s">
        <v>5658</v>
      </c>
    </row>
    <row r="1038" spans="16:20" x14ac:dyDescent="0.35">
      <c r="P1038" t="s">
        <v>4319</v>
      </c>
      <c r="Q1038" t="s">
        <v>4318</v>
      </c>
      <c r="R1038" t="s">
        <v>283</v>
      </c>
      <c r="S1038" t="s">
        <v>5615</v>
      </c>
      <c r="T1038" t="s">
        <v>5650</v>
      </c>
    </row>
    <row r="1039" spans="16:20" x14ac:dyDescent="0.35">
      <c r="Q1039" t="s">
        <v>5549</v>
      </c>
      <c r="R1039" t="s">
        <v>3776</v>
      </c>
      <c r="S1039" t="s">
        <v>1837</v>
      </c>
      <c r="T1039" t="s">
        <v>5646</v>
      </c>
    </row>
    <row r="1040" spans="16:20" x14ac:dyDescent="0.35">
      <c r="Q1040" t="s">
        <v>5173</v>
      </c>
      <c r="R1040" t="s">
        <v>2723</v>
      </c>
      <c r="S1040" t="s">
        <v>5611</v>
      </c>
      <c r="T1040" t="s">
        <v>1448</v>
      </c>
    </row>
    <row r="1041" spans="16:20" x14ac:dyDescent="0.35">
      <c r="P1041" t="s">
        <v>2727</v>
      </c>
      <c r="Q1041" t="s">
        <v>5177</v>
      </c>
      <c r="R1041" t="s">
        <v>2727</v>
      </c>
      <c r="S1041" t="s">
        <v>5609</v>
      </c>
      <c r="T1041" t="s">
        <v>5658</v>
      </c>
    </row>
    <row r="1042" spans="16:20" x14ac:dyDescent="0.35">
      <c r="P1042" t="s">
        <v>2729</v>
      </c>
      <c r="Q1042" t="s">
        <v>4565</v>
      </c>
      <c r="R1042" t="s">
        <v>855</v>
      </c>
      <c r="S1042" t="s">
        <v>5615</v>
      </c>
      <c r="T1042" t="s">
        <v>5650</v>
      </c>
    </row>
    <row r="1043" spans="16:20" x14ac:dyDescent="0.35">
      <c r="P1043" t="s">
        <v>2739</v>
      </c>
      <c r="Q1043" t="s">
        <v>5180</v>
      </c>
      <c r="R1043" t="s">
        <v>2739</v>
      </c>
      <c r="S1043" t="s">
        <v>5609</v>
      </c>
      <c r="T1043" t="s">
        <v>5658</v>
      </c>
    </row>
    <row r="1044" spans="16:20" x14ac:dyDescent="0.35">
      <c r="P1044" t="s">
        <v>2741</v>
      </c>
      <c r="Q1044" t="s">
        <v>4982</v>
      </c>
      <c r="R1044" t="s">
        <v>5609</v>
      </c>
      <c r="S1044" t="s">
        <v>5609</v>
      </c>
      <c r="T1044" t="s">
        <v>5658</v>
      </c>
    </row>
    <row r="1045" spans="16:20" x14ac:dyDescent="0.35">
      <c r="P1045" t="s">
        <v>2744</v>
      </c>
      <c r="Q1045" t="s">
        <v>5182</v>
      </c>
      <c r="R1045" t="s">
        <v>5645</v>
      </c>
      <c r="S1045" t="s">
        <v>5611</v>
      </c>
      <c r="T1045" t="s">
        <v>1448</v>
      </c>
    </row>
    <row r="1046" spans="16:20" x14ac:dyDescent="0.35">
      <c r="P1046" t="s">
        <v>4159</v>
      </c>
      <c r="Q1046" t="s">
        <v>4157</v>
      </c>
      <c r="R1046" t="s">
        <v>5645</v>
      </c>
      <c r="S1046" t="s">
        <v>5611</v>
      </c>
      <c r="T1046" t="s">
        <v>1448</v>
      </c>
    </row>
    <row r="1047" spans="16:20" x14ac:dyDescent="0.35">
      <c r="P1047" t="s">
        <v>2748</v>
      </c>
      <c r="Q1047" t="s">
        <v>4382</v>
      </c>
      <c r="R1047" t="s">
        <v>436</v>
      </c>
      <c r="S1047" t="s">
        <v>5618</v>
      </c>
      <c r="T1047" t="s">
        <v>5658</v>
      </c>
    </row>
    <row r="1048" spans="16:20" x14ac:dyDescent="0.35">
      <c r="P1048" t="s">
        <v>4293</v>
      </c>
      <c r="Q1048" t="s">
        <v>4292</v>
      </c>
      <c r="R1048" t="s">
        <v>4025</v>
      </c>
      <c r="S1048" t="s">
        <v>5621</v>
      </c>
      <c r="T1048" t="s">
        <v>5678</v>
      </c>
    </row>
    <row r="1049" spans="16:20" x14ac:dyDescent="0.35">
      <c r="P1049" t="s">
        <v>2752</v>
      </c>
      <c r="Q1049" t="s">
        <v>5227</v>
      </c>
      <c r="R1049" t="s">
        <v>2860</v>
      </c>
      <c r="S1049" t="s">
        <v>5617</v>
      </c>
      <c r="T1049" t="s">
        <v>5658</v>
      </c>
    </row>
    <row r="1050" spans="16:20" x14ac:dyDescent="0.35">
      <c r="P1050" t="s">
        <v>5411</v>
      </c>
      <c r="Q1050" t="s">
        <v>5410</v>
      </c>
      <c r="R1050" t="s">
        <v>5776</v>
      </c>
      <c r="S1050" t="s">
        <v>5612</v>
      </c>
      <c r="T1050" t="s">
        <v>1448</v>
      </c>
    </row>
    <row r="1051" spans="16:20" x14ac:dyDescent="0.35">
      <c r="P1051" t="s">
        <v>2756</v>
      </c>
      <c r="Q1051" t="s">
        <v>5044</v>
      </c>
      <c r="R1051" t="s">
        <v>5831</v>
      </c>
      <c r="S1051" t="s">
        <v>5612</v>
      </c>
      <c r="T1051" t="s">
        <v>1448</v>
      </c>
    </row>
    <row r="1052" spans="16:20" x14ac:dyDescent="0.35">
      <c r="P1052" t="s">
        <v>2758</v>
      </c>
      <c r="Q1052" t="s">
        <v>4886</v>
      </c>
      <c r="R1052" t="s">
        <v>2017</v>
      </c>
      <c r="S1052" t="s">
        <v>1837</v>
      </c>
      <c r="T1052" t="s">
        <v>5646</v>
      </c>
    </row>
    <row r="1053" spans="16:20" x14ac:dyDescent="0.35">
      <c r="P1053" t="s">
        <v>2760</v>
      </c>
      <c r="Q1053" t="s">
        <v>5577</v>
      </c>
      <c r="R1053" t="s">
        <v>6164</v>
      </c>
      <c r="S1053" t="s">
        <v>1837</v>
      </c>
      <c r="T1053" t="s">
        <v>5646</v>
      </c>
    </row>
    <row r="1054" spans="16:20" x14ac:dyDescent="0.35">
      <c r="P1054" t="s">
        <v>2762</v>
      </c>
      <c r="Q1054" t="s">
        <v>4351</v>
      </c>
      <c r="R1054" t="s">
        <v>5732</v>
      </c>
      <c r="S1054" t="s">
        <v>5614</v>
      </c>
      <c r="T1054" t="s">
        <v>5646</v>
      </c>
    </row>
    <row r="1055" spans="16:20" x14ac:dyDescent="0.35">
      <c r="P1055" t="s">
        <v>4253</v>
      </c>
      <c r="Q1055" t="s">
        <v>4157</v>
      </c>
      <c r="R1055" t="s">
        <v>5103</v>
      </c>
      <c r="S1055" t="s">
        <v>5607</v>
      </c>
      <c r="T1055" t="s">
        <v>5650</v>
      </c>
    </row>
    <row r="1056" spans="16:20" x14ac:dyDescent="0.35">
      <c r="P1056" t="s">
        <v>2768</v>
      </c>
      <c r="Q1056" t="s">
        <v>2771</v>
      </c>
      <c r="R1056" t="s">
        <v>2768</v>
      </c>
      <c r="S1056" t="s">
        <v>5608</v>
      </c>
      <c r="T1056" t="s">
        <v>5678</v>
      </c>
    </row>
    <row r="1057" spans="16:20" x14ac:dyDescent="0.35">
      <c r="P1057" t="s">
        <v>2770</v>
      </c>
      <c r="Q1057" t="s">
        <v>4157</v>
      </c>
      <c r="R1057" t="s">
        <v>2768</v>
      </c>
      <c r="S1057" t="s">
        <v>5608</v>
      </c>
      <c r="T1057" t="s">
        <v>5678</v>
      </c>
    </row>
    <row r="1058" spans="16:20" x14ac:dyDescent="0.35">
      <c r="P1058" t="s">
        <v>2773</v>
      </c>
      <c r="Q1058" t="s">
        <v>5474</v>
      </c>
      <c r="R1058" t="s">
        <v>3632</v>
      </c>
      <c r="S1058" t="s">
        <v>5609</v>
      </c>
      <c r="T1058" t="s">
        <v>5658</v>
      </c>
    </row>
    <row r="1059" spans="16:20" x14ac:dyDescent="0.35">
      <c r="Q1059" t="s">
        <v>5361</v>
      </c>
      <c r="R1059" t="s">
        <v>6058</v>
      </c>
      <c r="S1059" t="s">
        <v>5618</v>
      </c>
      <c r="T1059" t="s">
        <v>5658</v>
      </c>
    </row>
    <row r="1060" spans="16:20" x14ac:dyDescent="0.35">
      <c r="Q1060" t="s">
        <v>5190</v>
      </c>
      <c r="R1060" t="s">
        <v>2773</v>
      </c>
      <c r="S1060" t="s">
        <v>5617</v>
      </c>
      <c r="T1060" t="s">
        <v>5658</v>
      </c>
    </row>
    <row r="1061" spans="16:20" x14ac:dyDescent="0.35">
      <c r="Q1061" t="s">
        <v>4157</v>
      </c>
      <c r="R1061" t="s">
        <v>2773</v>
      </c>
      <c r="S1061" t="s">
        <v>5617</v>
      </c>
      <c r="T1061" t="s">
        <v>5658</v>
      </c>
    </row>
    <row r="1062" spans="16:20" x14ac:dyDescent="0.35">
      <c r="P1062" t="s">
        <v>2780</v>
      </c>
      <c r="Q1062" t="s">
        <v>4637</v>
      </c>
      <c r="R1062" t="s">
        <v>5772</v>
      </c>
      <c r="S1062" t="s">
        <v>5615</v>
      </c>
      <c r="T1062" t="s">
        <v>5650</v>
      </c>
    </row>
    <row r="1063" spans="16:20" x14ac:dyDescent="0.35">
      <c r="P1063" t="s">
        <v>2783</v>
      </c>
      <c r="Q1063" t="s">
        <v>4023</v>
      </c>
      <c r="R1063" t="s">
        <v>5861</v>
      </c>
      <c r="S1063" t="s">
        <v>5613</v>
      </c>
      <c r="T1063" t="s">
        <v>5678</v>
      </c>
    </row>
    <row r="1064" spans="16:20" x14ac:dyDescent="0.35">
      <c r="Q1064" t="s">
        <v>5192</v>
      </c>
      <c r="R1064" t="s">
        <v>2783</v>
      </c>
      <c r="S1064" t="s">
        <v>5617</v>
      </c>
      <c r="T1064" t="s">
        <v>5658</v>
      </c>
    </row>
    <row r="1065" spans="16:20" x14ac:dyDescent="0.35">
      <c r="Q1065" t="s">
        <v>5219</v>
      </c>
      <c r="R1065" t="s">
        <v>6021</v>
      </c>
      <c r="S1065" t="s">
        <v>5609</v>
      </c>
      <c r="T1065" t="s">
        <v>5658</v>
      </c>
    </row>
    <row r="1066" spans="16:20" x14ac:dyDescent="0.35">
      <c r="Q1066" t="s">
        <v>4157</v>
      </c>
      <c r="R1066" t="s">
        <v>2783</v>
      </c>
      <c r="S1066" t="s">
        <v>5609</v>
      </c>
      <c r="T1066" t="s">
        <v>5658</v>
      </c>
    </row>
    <row r="1067" spans="16:20" x14ac:dyDescent="0.35">
      <c r="P1067" t="s">
        <v>2790</v>
      </c>
      <c r="Q1067" t="s">
        <v>5279</v>
      </c>
      <c r="R1067" t="s">
        <v>5788</v>
      </c>
      <c r="S1067" t="s">
        <v>5614</v>
      </c>
      <c r="T1067" t="s">
        <v>5646</v>
      </c>
    </row>
    <row r="1068" spans="16:20" x14ac:dyDescent="0.35">
      <c r="P1068" t="s">
        <v>2792</v>
      </c>
      <c r="Q1068" t="s">
        <v>4157</v>
      </c>
      <c r="R1068" t="s">
        <v>2792</v>
      </c>
      <c r="S1068" t="s">
        <v>5608</v>
      </c>
      <c r="T1068" t="s">
        <v>5678</v>
      </c>
    </row>
    <row r="1069" spans="16:20" x14ac:dyDescent="0.35">
      <c r="P1069" t="s">
        <v>2795</v>
      </c>
      <c r="Q1069" t="s">
        <v>5129</v>
      </c>
      <c r="R1069" t="s">
        <v>2619</v>
      </c>
      <c r="S1069" t="s">
        <v>5609</v>
      </c>
      <c r="T1069" t="s">
        <v>5658</v>
      </c>
    </row>
    <row r="1070" spans="16:20" x14ac:dyDescent="0.35">
      <c r="Q1070" t="s">
        <v>4980</v>
      </c>
      <c r="R1070" t="s">
        <v>2433</v>
      </c>
      <c r="S1070" t="s">
        <v>5609</v>
      </c>
      <c r="T1070" t="s">
        <v>5658</v>
      </c>
    </row>
    <row r="1071" spans="16:20" x14ac:dyDescent="0.35">
      <c r="Q1071" t="s">
        <v>5195</v>
      </c>
      <c r="R1071" t="s">
        <v>2795</v>
      </c>
      <c r="S1071" t="s">
        <v>5617</v>
      </c>
      <c r="T1071" t="s">
        <v>5658</v>
      </c>
    </row>
    <row r="1072" spans="16:20" x14ac:dyDescent="0.35">
      <c r="Q1072" t="s">
        <v>4035</v>
      </c>
      <c r="R1072" t="s">
        <v>5772</v>
      </c>
      <c r="S1072" t="s">
        <v>5615</v>
      </c>
      <c r="T1072" t="s">
        <v>5650</v>
      </c>
    </row>
    <row r="1073" spans="16:20" x14ac:dyDescent="0.35">
      <c r="Q1073" t="s">
        <v>4378</v>
      </c>
      <c r="R1073" t="s">
        <v>4222</v>
      </c>
      <c r="S1073" t="s">
        <v>5614</v>
      </c>
      <c r="T1073" t="s">
        <v>5646</v>
      </c>
    </row>
    <row r="1074" spans="16:20" x14ac:dyDescent="0.35">
      <c r="Q1074" t="s">
        <v>5184</v>
      </c>
      <c r="R1074" t="s">
        <v>5645</v>
      </c>
      <c r="S1074" t="s">
        <v>5611</v>
      </c>
      <c r="T1074" t="s">
        <v>1448</v>
      </c>
    </row>
    <row r="1075" spans="16:20" x14ac:dyDescent="0.35">
      <c r="Q1075" t="s">
        <v>4157</v>
      </c>
      <c r="R1075" t="s">
        <v>5772</v>
      </c>
      <c r="S1075" t="s">
        <v>5615</v>
      </c>
      <c r="T1075" t="s">
        <v>5650</v>
      </c>
    </row>
    <row r="1076" spans="16:20" x14ac:dyDescent="0.35">
      <c r="P1076" t="s">
        <v>2811</v>
      </c>
      <c r="Q1076" t="s">
        <v>5543</v>
      </c>
      <c r="R1076" t="s">
        <v>5610</v>
      </c>
      <c r="S1076" t="s">
        <v>5610</v>
      </c>
      <c r="T1076" t="s">
        <v>5646</v>
      </c>
    </row>
    <row r="1077" spans="16:20" x14ac:dyDescent="0.35">
      <c r="P1077" t="s">
        <v>2815</v>
      </c>
      <c r="Q1077" t="s">
        <v>5197</v>
      </c>
      <c r="R1077" t="s">
        <v>2815</v>
      </c>
      <c r="S1077" t="s">
        <v>5609</v>
      </c>
      <c r="T1077" t="s">
        <v>5658</v>
      </c>
    </row>
    <row r="1078" spans="16:20" x14ac:dyDescent="0.35">
      <c r="P1078" t="s">
        <v>5207</v>
      </c>
      <c r="Q1078" t="s">
        <v>5206</v>
      </c>
      <c r="R1078" t="s">
        <v>2839</v>
      </c>
      <c r="S1078" t="s">
        <v>1837</v>
      </c>
      <c r="T1078" t="s">
        <v>5646</v>
      </c>
    </row>
    <row r="1079" spans="16:20" x14ac:dyDescent="0.35">
      <c r="P1079" t="s">
        <v>2821</v>
      </c>
      <c r="Q1079" t="s">
        <v>4924</v>
      </c>
      <c r="R1079" t="s">
        <v>2327</v>
      </c>
      <c r="S1079" t="s">
        <v>5616</v>
      </c>
      <c r="T1079" t="s">
        <v>5650</v>
      </c>
    </row>
    <row r="1080" spans="16:20" x14ac:dyDescent="0.35">
      <c r="P1080" t="s">
        <v>4064</v>
      </c>
      <c r="Q1080" t="s">
        <v>4063</v>
      </c>
      <c r="R1080" t="s">
        <v>5719</v>
      </c>
      <c r="S1080" t="s">
        <v>5607</v>
      </c>
      <c r="T1080" t="s">
        <v>5650</v>
      </c>
    </row>
    <row r="1081" spans="16:20" x14ac:dyDescent="0.35">
      <c r="P1081" t="s">
        <v>4264</v>
      </c>
      <c r="Q1081" t="s">
        <v>4157</v>
      </c>
      <c r="R1081" t="s">
        <v>5799</v>
      </c>
      <c r="S1081" t="s">
        <v>5607</v>
      </c>
      <c r="T1081" t="s">
        <v>5650</v>
      </c>
    </row>
    <row r="1082" spans="16:20" x14ac:dyDescent="0.35">
      <c r="P1082" t="s">
        <v>2831</v>
      </c>
      <c r="Q1082" t="s">
        <v>4953</v>
      </c>
      <c r="R1082" t="s">
        <v>5799</v>
      </c>
      <c r="S1082" t="s">
        <v>5607</v>
      </c>
      <c r="T1082" t="s">
        <v>5650</v>
      </c>
    </row>
    <row r="1083" spans="16:20" x14ac:dyDescent="0.35">
      <c r="P1083" t="s">
        <v>2833</v>
      </c>
      <c r="Q1083" t="s">
        <v>4954</v>
      </c>
      <c r="R1083" t="s">
        <v>5799</v>
      </c>
      <c r="S1083" t="s">
        <v>5607</v>
      </c>
      <c r="T1083" t="s">
        <v>5650</v>
      </c>
    </row>
    <row r="1084" spans="16:20" x14ac:dyDescent="0.35">
      <c r="P1084" t="s">
        <v>4267</v>
      </c>
      <c r="Q1084" t="s">
        <v>4955</v>
      </c>
      <c r="R1084" t="s">
        <v>5799</v>
      </c>
      <c r="S1084" t="s">
        <v>5607</v>
      </c>
      <c r="T1084" t="s">
        <v>5650</v>
      </c>
    </row>
    <row r="1085" spans="16:20" x14ac:dyDescent="0.35">
      <c r="Q1085" t="s">
        <v>4157</v>
      </c>
      <c r="R1085" t="s">
        <v>5799</v>
      </c>
      <c r="S1085" t="s">
        <v>5607</v>
      </c>
      <c r="T1085" t="s">
        <v>5650</v>
      </c>
    </row>
    <row r="1086" spans="16:20" x14ac:dyDescent="0.35">
      <c r="P1086" t="s">
        <v>5202</v>
      </c>
      <c r="Q1086" t="s">
        <v>5201</v>
      </c>
      <c r="R1086" t="s">
        <v>2839</v>
      </c>
      <c r="S1086" t="s">
        <v>1837</v>
      </c>
      <c r="T1086" t="s">
        <v>5646</v>
      </c>
    </row>
    <row r="1087" spans="16:20" x14ac:dyDescent="0.35">
      <c r="P1087" t="s">
        <v>2841</v>
      </c>
      <c r="Q1087" t="s">
        <v>5209</v>
      </c>
      <c r="R1087" t="s">
        <v>2841</v>
      </c>
      <c r="S1087" t="s">
        <v>5615</v>
      </c>
      <c r="T1087" t="s">
        <v>5650</v>
      </c>
    </row>
    <row r="1088" spans="16:20" x14ac:dyDescent="0.35">
      <c r="P1088" t="s">
        <v>2843</v>
      </c>
      <c r="Q1088" t="s">
        <v>5217</v>
      </c>
      <c r="R1088" t="s">
        <v>2843</v>
      </c>
      <c r="S1088" t="s">
        <v>5618</v>
      </c>
      <c r="T1088" t="s">
        <v>5658</v>
      </c>
    </row>
    <row r="1089" spans="16:20" x14ac:dyDescent="0.35">
      <c r="P1089" t="s">
        <v>5222</v>
      </c>
      <c r="Q1089" t="s">
        <v>5221</v>
      </c>
      <c r="R1089" t="s">
        <v>6021</v>
      </c>
      <c r="S1089" t="s">
        <v>5609</v>
      </c>
      <c r="T1089" t="s">
        <v>5658</v>
      </c>
    </row>
    <row r="1090" spans="16:20" x14ac:dyDescent="0.35">
      <c r="P1090" t="s">
        <v>4783</v>
      </c>
      <c r="Q1090" t="s">
        <v>4782</v>
      </c>
      <c r="R1090" t="s">
        <v>5825</v>
      </c>
      <c r="S1090" t="s">
        <v>5612</v>
      </c>
      <c r="T1090" t="s">
        <v>1448</v>
      </c>
    </row>
    <row r="1091" spans="16:20" x14ac:dyDescent="0.35">
      <c r="P1091" t="s">
        <v>4787</v>
      </c>
      <c r="Q1091" t="s">
        <v>4786</v>
      </c>
      <c r="R1091" t="s">
        <v>5825</v>
      </c>
      <c r="S1091" t="s">
        <v>5612</v>
      </c>
      <c r="T1091" t="s">
        <v>1448</v>
      </c>
    </row>
    <row r="1092" spans="16:20" x14ac:dyDescent="0.35">
      <c r="P1092" t="s">
        <v>2852</v>
      </c>
      <c r="Q1092" t="s">
        <v>4571</v>
      </c>
      <c r="R1092" t="s">
        <v>855</v>
      </c>
      <c r="S1092" t="s">
        <v>5615</v>
      </c>
      <c r="T1092" t="s">
        <v>5650</v>
      </c>
    </row>
    <row r="1093" spans="16:20" x14ac:dyDescent="0.35">
      <c r="P1093" t="s">
        <v>2854</v>
      </c>
      <c r="Q1093" t="s">
        <v>5558</v>
      </c>
      <c r="R1093" t="s">
        <v>5618</v>
      </c>
      <c r="S1093" t="s">
        <v>5618</v>
      </c>
      <c r="T1093" t="s">
        <v>5658</v>
      </c>
    </row>
    <row r="1094" spans="16:20" x14ac:dyDescent="0.35">
      <c r="Q1094" t="s">
        <v>4040</v>
      </c>
      <c r="R1094" t="s">
        <v>5772</v>
      </c>
      <c r="S1094" t="s">
        <v>5615</v>
      </c>
      <c r="T1094" t="s">
        <v>5650</v>
      </c>
    </row>
    <row r="1095" spans="16:20" x14ac:dyDescent="0.35">
      <c r="P1095" t="s">
        <v>2860</v>
      </c>
      <c r="Q1095" t="s">
        <v>5226</v>
      </c>
      <c r="R1095" t="s">
        <v>2860</v>
      </c>
      <c r="S1095" t="s">
        <v>5617</v>
      </c>
      <c r="T1095" t="s">
        <v>5658</v>
      </c>
    </row>
    <row r="1096" spans="16:20" x14ac:dyDescent="0.35">
      <c r="P1096" t="s">
        <v>2862</v>
      </c>
      <c r="Q1096" t="s">
        <v>2863</v>
      </c>
      <c r="R1096" t="s">
        <v>5786</v>
      </c>
      <c r="S1096" t="s">
        <v>5606</v>
      </c>
      <c r="T1096" t="s">
        <v>5646</v>
      </c>
    </row>
    <row r="1097" spans="16:20" x14ac:dyDescent="0.35">
      <c r="Q1097" t="s">
        <v>4157</v>
      </c>
      <c r="R1097" t="s">
        <v>5786</v>
      </c>
      <c r="S1097" t="s">
        <v>5606</v>
      </c>
      <c r="T1097" t="s">
        <v>5646</v>
      </c>
    </row>
    <row r="1098" spans="16:20" x14ac:dyDescent="0.35">
      <c r="P1098" t="s">
        <v>2865</v>
      </c>
      <c r="Q1098" t="s">
        <v>4526</v>
      </c>
      <c r="R1098" t="s">
        <v>5783</v>
      </c>
      <c r="S1098" t="s">
        <v>5607</v>
      </c>
      <c r="T1098" t="s">
        <v>5650</v>
      </c>
    </row>
    <row r="1099" spans="16:20" x14ac:dyDescent="0.35">
      <c r="Q1099" t="s">
        <v>4305</v>
      </c>
      <c r="R1099" t="s">
        <v>262</v>
      </c>
      <c r="S1099" t="s">
        <v>1837</v>
      </c>
      <c r="T1099" t="s">
        <v>5646</v>
      </c>
    </row>
    <row r="1100" spans="16:20" x14ac:dyDescent="0.35">
      <c r="Q1100" t="s">
        <v>5163</v>
      </c>
      <c r="R1100" t="s">
        <v>2723</v>
      </c>
      <c r="S1100" t="s">
        <v>5612</v>
      </c>
      <c r="T1100" t="s">
        <v>1448</v>
      </c>
    </row>
    <row r="1101" spans="16:20" x14ac:dyDescent="0.35">
      <c r="P1101" t="s">
        <v>2867</v>
      </c>
      <c r="Q1101" t="s">
        <v>2870</v>
      </c>
      <c r="R1101" t="s">
        <v>5783</v>
      </c>
      <c r="S1101" t="s">
        <v>5607</v>
      </c>
      <c r="T1101" t="s">
        <v>5650</v>
      </c>
    </row>
    <row r="1102" spans="16:20" x14ac:dyDescent="0.35">
      <c r="P1102" t="s">
        <v>4242</v>
      </c>
      <c r="Q1102" t="s">
        <v>4157</v>
      </c>
      <c r="R1102" t="s">
        <v>5783</v>
      </c>
      <c r="S1102" t="s">
        <v>5607</v>
      </c>
      <c r="T1102" t="s">
        <v>5650</v>
      </c>
    </row>
    <row r="1103" spans="16:20" x14ac:dyDescent="0.35">
      <c r="P1103" t="s">
        <v>2875</v>
      </c>
      <c r="Q1103" t="s">
        <v>5569</v>
      </c>
      <c r="R1103" t="s">
        <v>3897</v>
      </c>
      <c r="S1103" t="s">
        <v>5609</v>
      </c>
      <c r="T1103" t="s">
        <v>5658</v>
      </c>
    </row>
    <row r="1104" spans="16:20" x14ac:dyDescent="0.35">
      <c r="P1104" t="s">
        <v>4191</v>
      </c>
      <c r="Q1104" t="s">
        <v>2879</v>
      </c>
      <c r="R1104" t="s">
        <v>2628</v>
      </c>
      <c r="S1104" t="s">
        <v>5614</v>
      </c>
      <c r="T1104" t="s">
        <v>5646</v>
      </c>
    </row>
    <row r="1105" spans="16:20" x14ac:dyDescent="0.35">
      <c r="Q1105" t="s">
        <v>4157</v>
      </c>
      <c r="R1105" t="s">
        <v>2628</v>
      </c>
      <c r="S1105" t="s">
        <v>5606</v>
      </c>
      <c r="T1105" t="s">
        <v>5646</v>
      </c>
    </row>
    <row r="1106" spans="16:20" x14ac:dyDescent="0.35">
      <c r="P1106" t="s">
        <v>2883</v>
      </c>
      <c r="Q1106" t="s">
        <v>4956</v>
      </c>
      <c r="R1106" t="s">
        <v>5799</v>
      </c>
      <c r="S1106" t="s">
        <v>5607</v>
      </c>
      <c r="T1106" t="s">
        <v>5650</v>
      </c>
    </row>
    <row r="1107" spans="16:20" x14ac:dyDescent="0.35">
      <c r="P1107" t="s">
        <v>2885</v>
      </c>
      <c r="Q1107" t="s">
        <v>4957</v>
      </c>
      <c r="R1107" t="s">
        <v>5799</v>
      </c>
      <c r="S1107" t="s">
        <v>5607</v>
      </c>
      <c r="T1107" t="s">
        <v>5650</v>
      </c>
    </row>
    <row r="1108" spans="16:20" x14ac:dyDescent="0.35">
      <c r="P1108" t="s">
        <v>4136</v>
      </c>
      <c r="Q1108" t="s">
        <v>4135</v>
      </c>
      <c r="R1108" t="s">
        <v>5715</v>
      </c>
      <c r="S1108" t="s">
        <v>5611</v>
      </c>
      <c r="T1108" t="s">
        <v>1448</v>
      </c>
    </row>
    <row r="1109" spans="16:20" x14ac:dyDescent="0.35">
      <c r="P1109" t="s">
        <v>4134</v>
      </c>
      <c r="Q1109" t="s">
        <v>4133</v>
      </c>
      <c r="R1109" t="s">
        <v>5715</v>
      </c>
      <c r="S1109" t="s">
        <v>5611</v>
      </c>
      <c r="T1109" t="s">
        <v>1448</v>
      </c>
    </row>
    <row r="1110" spans="16:20" x14ac:dyDescent="0.35">
      <c r="P1110" t="s">
        <v>2889</v>
      </c>
      <c r="Q1110" t="s">
        <v>5364</v>
      </c>
      <c r="R1110" t="s">
        <v>3139</v>
      </c>
      <c r="S1110" t="s">
        <v>5618</v>
      </c>
      <c r="T1110" t="s">
        <v>5658</v>
      </c>
    </row>
    <row r="1111" spans="16:20" x14ac:dyDescent="0.35">
      <c r="P1111" t="s">
        <v>2892</v>
      </c>
      <c r="Q1111" t="s">
        <v>4020</v>
      </c>
      <c r="R1111" t="s">
        <v>299</v>
      </c>
      <c r="S1111" t="s">
        <v>5613</v>
      </c>
      <c r="T1111" t="s">
        <v>5678</v>
      </c>
    </row>
    <row r="1112" spans="16:20" x14ac:dyDescent="0.35">
      <c r="P1112" t="s">
        <v>2894</v>
      </c>
      <c r="Q1112" t="s">
        <v>4585</v>
      </c>
      <c r="R1112" t="s">
        <v>5103</v>
      </c>
      <c r="S1112" t="s">
        <v>5607</v>
      </c>
      <c r="T1112" t="s">
        <v>5650</v>
      </c>
    </row>
    <row r="1113" spans="16:20" x14ac:dyDescent="0.35">
      <c r="P1113" t="s">
        <v>5168</v>
      </c>
      <c r="Q1113" t="s">
        <v>5167</v>
      </c>
      <c r="R1113" t="s">
        <v>2723</v>
      </c>
      <c r="S1113" t="s">
        <v>5612</v>
      </c>
      <c r="T1113" t="s">
        <v>1448</v>
      </c>
    </row>
    <row r="1114" spans="16:20" x14ac:dyDescent="0.35">
      <c r="Q1114" t="s">
        <v>5228</v>
      </c>
      <c r="R1114" t="s">
        <v>2896</v>
      </c>
      <c r="S1114" t="s">
        <v>5611</v>
      </c>
      <c r="T1114" t="s">
        <v>1448</v>
      </c>
    </row>
    <row r="1115" spans="16:20" x14ac:dyDescent="0.35">
      <c r="P1115" t="s">
        <v>5070</v>
      </c>
      <c r="Q1115" t="s">
        <v>5069</v>
      </c>
      <c r="R1115" t="s">
        <v>5621</v>
      </c>
      <c r="S1115" t="s">
        <v>5621</v>
      </c>
      <c r="T1115" t="s">
        <v>5678</v>
      </c>
    </row>
    <row r="1116" spans="16:20" x14ac:dyDescent="0.35">
      <c r="P1116" t="s">
        <v>2906</v>
      </c>
      <c r="Q1116" t="s">
        <v>5422</v>
      </c>
      <c r="R1116" t="s">
        <v>5715</v>
      </c>
      <c r="S1116" t="s">
        <v>5611</v>
      </c>
      <c r="T1116" t="s">
        <v>1448</v>
      </c>
    </row>
    <row r="1117" spans="16:20" x14ac:dyDescent="0.35">
      <c r="P1117" t="s">
        <v>2910</v>
      </c>
      <c r="Q1117" t="s">
        <v>4791</v>
      </c>
      <c r="R1117" t="s">
        <v>5825</v>
      </c>
      <c r="S1117" t="s">
        <v>5612</v>
      </c>
      <c r="T1117" t="s">
        <v>1448</v>
      </c>
    </row>
    <row r="1118" spans="16:20" x14ac:dyDescent="0.35">
      <c r="P1118" t="s">
        <v>2912</v>
      </c>
      <c r="Q1118" t="s">
        <v>4157</v>
      </c>
      <c r="R1118" t="s">
        <v>5811</v>
      </c>
      <c r="S1118" t="s">
        <v>5615</v>
      </c>
      <c r="T1118" t="s">
        <v>5650</v>
      </c>
    </row>
    <row r="1119" spans="16:20" x14ac:dyDescent="0.35">
      <c r="P1119" t="s">
        <v>2914</v>
      </c>
      <c r="Q1119" t="s">
        <v>5235</v>
      </c>
      <c r="R1119" t="s">
        <v>2914</v>
      </c>
      <c r="S1119" t="s">
        <v>5607</v>
      </c>
      <c r="T1119" t="s">
        <v>5650</v>
      </c>
    </row>
    <row r="1120" spans="16:20" x14ac:dyDescent="0.35">
      <c r="P1120" t="s">
        <v>2917</v>
      </c>
      <c r="Q1120" t="s">
        <v>4126</v>
      </c>
      <c r="R1120" t="s">
        <v>1986</v>
      </c>
      <c r="S1120" t="s">
        <v>5611</v>
      </c>
      <c r="T1120" t="s">
        <v>1448</v>
      </c>
    </row>
    <row r="1121" spans="16:20" x14ac:dyDescent="0.35">
      <c r="P1121" t="s">
        <v>2921</v>
      </c>
      <c r="Q1121" t="s">
        <v>5426</v>
      </c>
      <c r="R1121" t="s">
        <v>5682</v>
      </c>
      <c r="S1121" t="s">
        <v>5614</v>
      </c>
      <c r="T1121" t="s">
        <v>5646</v>
      </c>
    </row>
    <row r="1122" spans="16:20" x14ac:dyDescent="0.35">
      <c r="P1122" t="s">
        <v>2924</v>
      </c>
      <c r="Q1122" t="s">
        <v>4616</v>
      </c>
      <c r="R1122" t="s">
        <v>5821</v>
      </c>
      <c r="S1122" t="s">
        <v>5609</v>
      </c>
      <c r="T1122" t="s">
        <v>5658</v>
      </c>
    </row>
    <row r="1123" spans="16:20" x14ac:dyDescent="0.35">
      <c r="Q1123" t="s">
        <v>4514</v>
      </c>
      <c r="R1123" t="s">
        <v>4513</v>
      </c>
      <c r="S1123" t="s">
        <v>5612</v>
      </c>
      <c r="T1123" t="s">
        <v>1448</v>
      </c>
    </row>
    <row r="1124" spans="16:20" x14ac:dyDescent="0.35">
      <c r="P1124" t="s">
        <v>2928</v>
      </c>
      <c r="Q1124" t="s">
        <v>5308</v>
      </c>
      <c r="R1124" t="s">
        <v>3032</v>
      </c>
      <c r="S1124" t="s">
        <v>5619</v>
      </c>
      <c r="T1124" t="s">
        <v>5646</v>
      </c>
    </row>
    <row r="1125" spans="16:20" x14ac:dyDescent="0.35">
      <c r="P1125" t="s">
        <v>2933</v>
      </c>
      <c r="Q1125" t="s">
        <v>4701</v>
      </c>
      <c r="R1125" t="s">
        <v>1375</v>
      </c>
      <c r="S1125" t="s">
        <v>5607</v>
      </c>
      <c r="T1125" t="s">
        <v>5650</v>
      </c>
    </row>
    <row r="1126" spans="16:20" x14ac:dyDescent="0.35">
      <c r="P1126" t="s">
        <v>2935</v>
      </c>
      <c r="Q1126" t="s">
        <v>5328</v>
      </c>
      <c r="R1126" t="s">
        <v>3101</v>
      </c>
      <c r="S1126" t="s">
        <v>5610</v>
      </c>
      <c r="T1126" t="s">
        <v>5646</v>
      </c>
    </row>
    <row r="1127" spans="16:20" x14ac:dyDescent="0.35">
      <c r="P1127" t="s">
        <v>2937</v>
      </c>
      <c r="Q1127" t="s">
        <v>5449</v>
      </c>
      <c r="R1127" t="s">
        <v>5682</v>
      </c>
      <c r="S1127" t="s">
        <v>5614</v>
      </c>
      <c r="T1127" t="s">
        <v>5646</v>
      </c>
    </row>
    <row r="1128" spans="16:20" x14ac:dyDescent="0.35">
      <c r="P1128" t="s">
        <v>2939</v>
      </c>
      <c r="Q1128" t="s">
        <v>4413</v>
      </c>
      <c r="R1128" t="s">
        <v>457</v>
      </c>
      <c r="S1128" t="s">
        <v>5607</v>
      </c>
      <c r="T1128" t="s">
        <v>5650</v>
      </c>
    </row>
    <row r="1129" spans="16:20" x14ac:dyDescent="0.35">
      <c r="P1129" t="s">
        <v>2941</v>
      </c>
      <c r="Q1129" t="s">
        <v>4423</v>
      </c>
      <c r="R1129" t="s">
        <v>457</v>
      </c>
      <c r="S1129" t="s">
        <v>5607</v>
      </c>
      <c r="T1129" t="s">
        <v>5650</v>
      </c>
    </row>
    <row r="1130" spans="16:20" x14ac:dyDescent="0.35">
      <c r="P1130" t="s">
        <v>2943</v>
      </c>
      <c r="Q1130" t="s">
        <v>5346</v>
      </c>
      <c r="R1130" t="s">
        <v>3110</v>
      </c>
      <c r="S1130" t="s">
        <v>1837</v>
      </c>
      <c r="T1130" t="s">
        <v>5646</v>
      </c>
    </row>
    <row r="1131" spans="16:20" x14ac:dyDescent="0.35">
      <c r="P1131" t="s">
        <v>2945</v>
      </c>
      <c r="Q1131" t="s">
        <v>5280</v>
      </c>
      <c r="R1131" t="s">
        <v>5788</v>
      </c>
      <c r="S1131" t="s">
        <v>5614</v>
      </c>
      <c r="T1131" t="s">
        <v>5646</v>
      </c>
    </row>
    <row r="1132" spans="16:20" x14ac:dyDescent="0.35">
      <c r="P1132" t="s">
        <v>2947</v>
      </c>
      <c r="Q1132" t="s">
        <v>4557</v>
      </c>
      <c r="R1132" t="s">
        <v>5796</v>
      </c>
      <c r="S1132" t="s">
        <v>5614</v>
      </c>
      <c r="T1132" t="s">
        <v>5646</v>
      </c>
    </row>
    <row r="1133" spans="16:20" x14ac:dyDescent="0.35">
      <c r="P1133" t="s">
        <v>2949</v>
      </c>
      <c r="Q1133" t="s">
        <v>4157</v>
      </c>
      <c r="R1133" t="s">
        <v>6120</v>
      </c>
      <c r="S1133" t="s">
        <v>5615</v>
      </c>
      <c r="T1133" t="s">
        <v>5650</v>
      </c>
    </row>
    <row r="1134" spans="16:20" x14ac:dyDescent="0.35">
      <c r="P1134" t="s">
        <v>2952</v>
      </c>
      <c r="Q1134" t="s">
        <v>4611</v>
      </c>
      <c r="R1134" t="s">
        <v>5817</v>
      </c>
      <c r="S1134" t="s">
        <v>5614</v>
      </c>
      <c r="T1134" t="s">
        <v>5646</v>
      </c>
    </row>
    <row r="1135" spans="16:20" x14ac:dyDescent="0.35">
      <c r="P1135" t="s">
        <v>2955</v>
      </c>
      <c r="Q1135" t="s">
        <v>5391</v>
      </c>
      <c r="R1135" t="s">
        <v>5961</v>
      </c>
      <c r="S1135" t="s">
        <v>5610</v>
      </c>
      <c r="T1135" t="s">
        <v>5646</v>
      </c>
    </row>
    <row r="1136" spans="16:20" x14ac:dyDescent="0.35">
      <c r="P1136" t="s">
        <v>2957</v>
      </c>
      <c r="Q1136" t="s">
        <v>4422</v>
      </c>
      <c r="R1136" t="s">
        <v>457</v>
      </c>
      <c r="S1136" t="s">
        <v>5607</v>
      </c>
      <c r="T1136" t="s">
        <v>5650</v>
      </c>
    </row>
    <row r="1137" spans="16:20" x14ac:dyDescent="0.35">
      <c r="P1137" t="s">
        <v>2960</v>
      </c>
      <c r="Q1137" t="s">
        <v>5281</v>
      </c>
      <c r="R1137" t="s">
        <v>5788</v>
      </c>
      <c r="S1137" t="s">
        <v>5614</v>
      </c>
      <c r="T1137" t="s">
        <v>5646</v>
      </c>
    </row>
    <row r="1138" spans="16:20" x14ac:dyDescent="0.35">
      <c r="P1138" t="s">
        <v>2962</v>
      </c>
      <c r="Q1138" t="s">
        <v>5267</v>
      </c>
      <c r="R1138" t="s">
        <v>5788</v>
      </c>
      <c r="S1138" t="s">
        <v>5614</v>
      </c>
      <c r="T1138" t="s">
        <v>5646</v>
      </c>
    </row>
    <row r="1139" spans="16:20" x14ac:dyDescent="0.35">
      <c r="P1139" t="s">
        <v>2964</v>
      </c>
      <c r="Q1139" t="s">
        <v>5282</v>
      </c>
      <c r="R1139" t="s">
        <v>5788</v>
      </c>
      <c r="S1139" t="s">
        <v>5614</v>
      </c>
      <c r="T1139" t="s">
        <v>5646</v>
      </c>
    </row>
    <row r="1140" spans="16:20" x14ac:dyDescent="0.35">
      <c r="P1140" t="s">
        <v>2967</v>
      </c>
      <c r="Q1140" t="s">
        <v>5566</v>
      </c>
      <c r="R1140" t="s">
        <v>3893</v>
      </c>
      <c r="S1140" t="s">
        <v>5617</v>
      </c>
      <c r="T1140" t="s">
        <v>5658</v>
      </c>
    </row>
    <row r="1141" spans="16:20" x14ac:dyDescent="0.35">
      <c r="P1141" t="s">
        <v>5232</v>
      </c>
      <c r="Q1141" t="s">
        <v>5231</v>
      </c>
      <c r="R1141" t="s">
        <v>2896</v>
      </c>
      <c r="S1141" t="s">
        <v>5611</v>
      </c>
      <c r="T1141" t="s">
        <v>1448</v>
      </c>
    </row>
    <row r="1142" spans="16:20" x14ac:dyDescent="0.35">
      <c r="P1142" t="s">
        <v>2975</v>
      </c>
      <c r="Q1142" t="s">
        <v>4157</v>
      </c>
      <c r="R1142" t="s">
        <v>5798</v>
      </c>
      <c r="S1142" t="s">
        <v>5615</v>
      </c>
      <c r="T1142" t="s">
        <v>5650</v>
      </c>
    </row>
    <row r="1143" spans="16:20" x14ac:dyDescent="0.35">
      <c r="P1143" t="s">
        <v>2977</v>
      </c>
      <c r="Q1143" t="s">
        <v>5292</v>
      </c>
      <c r="R1143" t="s">
        <v>5798</v>
      </c>
      <c r="S1143" t="s">
        <v>5615</v>
      </c>
      <c r="T1143" t="s">
        <v>5650</v>
      </c>
    </row>
    <row r="1144" spans="16:20" x14ac:dyDescent="0.35">
      <c r="P1144" t="s">
        <v>4751</v>
      </c>
      <c r="Q1144" t="s">
        <v>2980</v>
      </c>
      <c r="R1144" t="s">
        <v>5888</v>
      </c>
      <c r="S1144" t="s">
        <v>5619</v>
      </c>
      <c r="T1144" t="s">
        <v>5646</v>
      </c>
    </row>
    <row r="1145" spans="16:20" x14ac:dyDescent="0.35">
      <c r="P1145" t="s">
        <v>4230</v>
      </c>
      <c r="Q1145" t="s">
        <v>4157</v>
      </c>
      <c r="R1145" t="s">
        <v>5888</v>
      </c>
      <c r="S1145" t="s">
        <v>5619</v>
      </c>
      <c r="T1145" t="s">
        <v>5646</v>
      </c>
    </row>
    <row r="1146" spans="16:20" x14ac:dyDescent="0.35">
      <c r="P1146" t="s">
        <v>2985</v>
      </c>
      <c r="Q1146" t="s">
        <v>5283</v>
      </c>
      <c r="R1146" t="s">
        <v>5788</v>
      </c>
      <c r="S1146" t="s">
        <v>5614</v>
      </c>
      <c r="T1146" t="s">
        <v>5646</v>
      </c>
    </row>
    <row r="1147" spans="16:20" x14ac:dyDescent="0.35">
      <c r="P1147" t="s">
        <v>4446</v>
      </c>
      <c r="Q1147" t="s">
        <v>4445</v>
      </c>
      <c r="R1147" t="s">
        <v>5755</v>
      </c>
      <c r="S1147" t="s">
        <v>5614</v>
      </c>
      <c r="T1147" t="s">
        <v>5646</v>
      </c>
    </row>
    <row r="1148" spans="16:20" x14ac:dyDescent="0.35">
      <c r="P1148" t="s">
        <v>4223</v>
      </c>
      <c r="Q1148" t="s">
        <v>5368</v>
      </c>
      <c r="R1148" t="s">
        <v>5779</v>
      </c>
      <c r="S1148" t="s">
        <v>1837</v>
      </c>
      <c r="T1148" t="s">
        <v>5646</v>
      </c>
    </row>
    <row r="1149" spans="16:20" x14ac:dyDescent="0.35">
      <c r="Q1149" t="s">
        <v>4535</v>
      </c>
      <c r="R1149" t="s">
        <v>719</v>
      </c>
      <c r="S1149" t="s">
        <v>5614</v>
      </c>
      <c r="T1149" t="s">
        <v>5646</v>
      </c>
    </row>
    <row r="1150" spans="16:20" x14ac:dyDescent="0.35">
      <c r="Q1150" t="s">
        <v>4157</v>
      </c>
      <c r="R1150" t="s">
        <v>5779</v>
      </c>
      <c r="S1150" t="s">
        <v>1837</v>
      </c>
      <c r="T1150" t="s">
        <v>5646</v>
      </c>
    </row>
    <row r="1151" spans="16:20" x14ac:dyDescent="0.35">
      <c r="P1151" t="s">
        <v>2998</v>
      </c>
      <c r="Q1151" t="s">
        <v>4285</v>
      </c>
      <c r="R1151" t="s">
        <v>4161</v>
      </c>
      <c r="S1151" t="s">
        <v>5614</v>
      </c>
      <c r="T1151" t="s">
        <v>5646</v>
      </c>
    </row>
    <row r="1152" spans="16:20" x14ac:dyDescent="0.35">
      <c r="P1152" t="s">
        <v>3001</v>
      </c>
      <c r="Q1152" t="s">
        <v>4612</v>
      </c>
      <c r="R1152" t="s">
        <v>5817</v>
      </c>
      <c r="S1152" t="s">
        <v>5614</v>
      </c>
      <c r="T1152" t="s">
        <v>5646</v>
      </c>
    </row>
    <row r="1153" spans="16:20" x14ac:dyDescent="0.35">
      <c r="P1153" t="s">
        <v>3003</v>
      </c>
      <c r="Q1153" t="s">
        <v>4016</v>
      </c>
      <c r="R1153" t="s">
        <v>3024</v>
      </c>
      <c r="S1153" t="s">
        <v>5608</v>
      </c>
      <c r="T1153" t="s">
        <v>5678</v>
      </c>
    </row>
    <row r="1154" spans="16:20" x14ac:dyDescent="0.35">
      <c r="P1154" t="s">
        <v>4231</v>
      </c>
      <c r="Q1154" t="s">
        <v>4157</v>
      </c>
      <c r="R1154" t="s">
        <v>5888</v>
      </c>
      <c r="S1154" t="s">
        <v>5619</v>
      </c>
      <c r="T1154" t="s">
        <v>5646</v>
      </c>
    </row>
    <row r="1155" spans="16:20" x14ac:dyDescent="0.35">
      <c r="P1155" t="s">
        <v>3008</v>
      </c>
      <c r="Q1155" t="s">
        <v>4750</v>
      </c>
      <c r="R1155" t="s">
        <v>5888</v>
      </c>
      <c r="S1155" t="s">
        <v>5619</v>
      </c>
      <c r="T1155" t="s">
        <v>5646</v>
      </c>
    </row>
    <row r="1156" spans="16:20" x14ac:dyDescent="0.35">
      <c r="P1156" t="s">
        <v>3010</v>
      </c>
      <c r="Q1156" t="s">
        <v>5356</v>
      </c>
      <c r="R1156" t="s">
        <v>3126</v>
      </c>
      <c r="S1156" t="s">
        <v>5615</v>
      </c>
      <c r="T1156" t="s">
        <v>5650</v>
      </c>
    </row>
    <row r="1157" spans="16:20" x14ac:dyDescent="0.35">
      <c r="P1157" t="s">
        <v>3013</v>
      </c>
      <c r="Q1157" t="s">
        <v>5544</v>
      </c>
      <c r="R1157" t="s">
        <v>5610</v>
      </c>
      <c r="S1157" t="s">
        <v>5610</v>
      </c>
      <c r="T1157" t="s">
        <v>5646</v>
      </c>
    </row>
    <row r="1158" spans="16:20" x14ac:dyDescent="0.35">
      <c r="P1158" t="s">
        <v>3015</v>
      </c>
      <c r="Q1158" t="s">
        <v>5536</v>
      </c>
      <c r="R1158" t="s">
        <v>5610</v>
      </c>
      <c r="S1158" t="s">
        <v>5610</v>
      </c>
      <c r="T1158" t="s">
        <v>5646</v>
      </c>
    </row>
    <row r="1159" spans="16:20" x14ac:dyDescent="0.35">
      <c r="P1159" t="s">
        <v>4668</v>
      </c>
      <c r="Q1159" t="s">
        <v>4667</v>
      </c>
      <c r="R1159" t="s">
        <v>1349</v>
      </c>
      <c r="S1159" t="s">
        <v>5607</v>
      </c>
      <c r="T1159" t="s">
        <v>5650</v>
      </c>
    </row>
    <row r="1160" spans="16:20" x14ac:dyDescent="0.35">
      <c r="P1160" t="s">
        <v>3024</v>
      </c>
      <c r="Q1160" t="s">
        <v>4014</v>
      </c>
      <c r="R1160" t="s">
        <v>3024</v>
      </c>
      <c r="S1160" t="s">
        <v>5608</v>
      </c>
      <c r="T1160" t="s">
        <v>5678</v>
      </c>
    </row>
    <row r="1161" spans="16:20" x14ac:dyDescent="0.35">
      <c r="P1161" t="s">
        <v>3026</v>
      </c>
      <c r="Q1161" t="s">
        <v>5303</v>
      </c>
      <c r="R1161" t="s">
        <v>3026</v>
      </c>
      <c r="S1161" t="s">
        <v>5618</v>
      </c>
      <c r="T1161" t="s">
        <v>5658</v>
      </c>
    </row>
    <row r="1162" spans="16:20" x14ac:dyDescent="0.35">
      <c r="P1162" t="s">
        <v>3028</v>
      </c>
      <c r="Q1162" t="s">
        <v>4511</v>
      </c>
      <c r="R1162" t="s">
        <v>4513</v>
      </c>
      <c r="S1162" t="s">
        <v>5614</v>
      </c>
      <c r="T1162" t="s">
        <v>5646</v>
      </c>
    </row>
    <row r="1163" spans="16:20" x14ac:dyDescent="0.35">
      <c r="Q1163" t="s">
        <v>4374</v>
      </c>
      <c r="R1163" t="s">
        <v>5743</v>
      </c>
      <c r="S1163" t="s">
        <v>5614</v>
      </c>
      <c r="T1163" t="s">
        <v>5646</v>
      </c>
    </row>
    <row r="1164" spans="16:20" x14ac:dyDescent="0.35">
      <c r="P1164" t="s">
        <v>3032</v>
      </c>
      <c r="Q1164" t="s">
        <v>5119</v>
      </c>
      <c r="R1164" t="s">
        <v>5719</v>
      </c>
      <c r="S1164" t="s">
        <v>5607</v>
      </c>
      <c r="T1164" t="s">
        <v>5650</v>
      </c>
    </row>
    <row r="1165" spans="16:20" x14ac:dyDescent="0.35">
      <c r="Q1165" t="s">
        <v>1907</v>
      </c>
      <c r="R1165" t="s">
        <v>5719</v>
      </c>
      <c r="S1165" t="s">
        <v>5607</v>
      </c>
      <c r="T1165" t="s">
        <v>5650</v>
      </c>
    </row>
    <row r="1166" spans="16:20" x14ac:dyDescent="0.35">
      <c r="Q1166" t="s">
        <v>5311</v>
      </c>
      <c r="R1166" t="s">
        <v>3032</v>
      </c>
      <c r="S1166" t="s">
        <v>5619</v>
      </c>
      <c r="T1166" t="s">
        <v>5646</v>
      </c>
    </row>
    <row r="1167" spans="16:20" x14ac:dyDescent="0.35">
      <c r="P1167" t="s">
        <v>3038</v>
      </c>
      <c r="Q1167" t="s">
        <v>4129</v>
      </c>
      <c r="R1167" t="s">
        <v>5828</v>
      </c>
      <c r="S1167" t="s">
        <v>5611</v>
      </c>
      <c r="T1167" t="s">
        <v>1448</v>
      </c>
    </row>
    <row r="1168" spans="16:20" x14ac:dyDescent="0.35">
      <c r="P1168" t="s">
        <v>4450</v>
      </c>
      <c r="Q1168" t="s">
        <v>4449</v>
      </c>
      <c r="R1168" t="s">
        <v>5755</v>
      </c>
      <c r="S1168" t="s">
        <v>5614</v>
      </c>
      <c r="T1168" t="s">
        <v>5646</v>
      </c>
    </row>
    <row r="1169" spans="16:20" x14ac:dyDescent="0.35">
      <c r="P1169" t="s">
        <v>3046</v>
      </c>
      <c r="Q1169" t="s">
        <v>5313</v>
      </c>
      <c r="R1169" t="s">
        <v>6045</v>
      </c>
      <c r="S1169" t="s">
        <v>5611</v>
      </c>
      <c r="T1169" t="s">
        <v>1448</v>
      </c>
    </row>
    <row r="1170" spans="16:20" x14ac:dyDescent="0.35">
      <c r="P1170" t="s">
        <v>4113</v>
      </c>
      <c r="Q1170" t="s">
        <v>4112</v>
      </c>
      <c r="R1170" t="s">
        <v>1779</v>
      </c>
      <c r="S1170" t="s">
        <v>5611</v>
      </c>
      <c r="T1170" t="s">
        <v>1448</v>
      </c>
    </row>
    <row r="1171" spans="16:20" x14ac:dyDescent="0.35">
      <c r="P1171" t="s">
        <v>3054</v>
      </c>
      <c r="Q1171" t="s">
        <v>4923</v>
      </c>
      <c r="R1171" t="s">
        <v>2327</v>
      </c>
      <c r="S1171" t="s">
        <v>5616</v>
      </c>
      <c r="T1171" t="s">
        <v>5650</v>
      </c>
    </row>
    <row r="1172" spans="16:20" x14ac:dyDescent="0.35">
      <c r="P1172" t="s">
        <v>3056</v>
      </c>
      <c r="Q1172" t="s">
        <v>5220</v>
      </c>
      <c r="R1172" t="s">
        <v>6021</v>
      </c>
      <c r="S1172" t="s">
        <v>5609</v>
      </c>
      <c r="T1172" t="s">
        <v>5658</v>
      </c>
    </row>
    <row r="1173" spans="16:20" x14ac:dyDescent="0.35">
      <c r="P1173" t="s">
        <v>3058</v>
      </c>
      <c r="Q1173" t="s">
        <v>5563</v>
      </c>
      <c r="R1173" t="s">
        <v>6153</v>
      </c>
      <c r="S1173" t="s">
        <v>5618</v>
      </c>
      <c r="T1173" t="s">
        <v>5658</v>
      </c>
    </row>
    <row r="1174" spans="16:20" x14ac:dyDescent="0.35">
      <c r="P1174" t="s">
        <v>3062</v>
      </c>
      <c r="Q1174" t="s">
        <v>5271</v>
      </c>
      <c r="R1174" t="s">
        <v>5788</v>
      </c>
      <c r="S1174" t="s">
        <v>5614</v>
      </c>
      <c r="T1174" t="s">
        <v>5646</v>
      </c>
    </row>
    <row r="1175" spans="16:20" x14ac:dyDescent="0.35">
      <c r="P1175" t="s">
        <v>3065</v>
      </c>
      <c r="Q1175" t="s">
        <v>5268</v>
      </c>
      <c r="R1175" t="s">
        <v>5788</v>
      </c>
      <c r="S1175" t="s">
        <v>5614</v>
      </c>
      <c r="T1175" t="s">
        <v>5646</v>
      </c>
    </row>
    <row r="1176" spans="16:20" x14ac:dyDescent="0.35">
      <c r="P1176" t="s">
        <v>5270</v>
      </c>
      <c r="Q1176" t="s">
        <v>5269</v>
      </c>
      <c r="R1176" t="s">
        <v>5788</v>
      </c>
      <c r="S1176" t="s">
        <v>5614</v>
      </c>
      <c r="T1176" t="s">
        <v>5646</v>
      </c>
    </row>
    <row r="1177" spans="16:20" x14ac:dyDescent="0.35">
      <c r="P1177" t="s">
        <v>4516</v>
      </c>
      <c r="Q1177" t="s">
        <v>4515</v>
      </c>
      <c r="R1177" t="s">
        <v>4513</v>
      </c>
      <c r="S1177" t="s">
        <v>5612</v>
      </c>
      <c r="T1177" t="s">
        <v>1448</v>
      </c>
    </row>
    <row r="1178" spans="16:20" x14ac:dyDescent="0.35">
      <c r="P1178" t="s">
        <v>3071</v>
      </c>
      <c r="Q1178" t="s">
        <v>5218</v>
      </c>
      <c r="R1178" t="s">
        <v>6021</v>
      </c>
      <c r="S1178" t="s">
        <v>5609</v>
      </c>
      <c r="T1178" t="s">
        <v>5658</v>
      </c>
    </row>
    <row r="1179" spans="16:20" x14ac:dyDescent="0.35">
      <c r="P1179" t="s">
        <v>3074</v>
      </c>
      <c r="Q1179" t="s">
        <v>4157</v>
      </c>
      <c r="R1179" t="s">
        <v>3074</v>
      </c>
      <c r="S1179" t="s">
        <v>5608</v>
      </c>
      <c r="T1179" t="s">
        <v>5678</v>
      </c>
    </row>
    <row r="1180" spans="16:20" x14ac:dyDescent="0.35">
      <c r="P1180" t="s">
        <v>3077</v>
      </c>
      <c r="Q1180" t="s">
        <v>4510</v>
      </c>
      <c r="R1180" t="s">
        <v>582</v>
      </c>
      <c r="S1180" t="s">
        <v>5609</v>
      </c>
      <c r="T1180" t="s">
        <v>5658</v>
      </c>
    </row>
    <row r="1181" spans="16:20" x14ac:dyDescent="0.35">
      <c r="P1181" t="s">
        <v>3079</v>
      </c>
      <c r="Q1181" t="s">
        <v>4560</v>
      </c>
      <c r="R1181" t="s">
        <v>5796</v>
      </c>
      <c r="S1181" t="s">
        <v>5614</v>
      </c>
      <c r="T1181" t="s">
        <v>5646</v>
      </c>
    </row>
    <row r="1182" spans="16:20" x14ac:dyDescent="0.35">
      <c r="P1182" t="s">
        <v>3082</v>
      </c>
      <c r="Q1182" t="s">
        <v>4870</v>
      </c>
      <c r="R1182" t="s">
        <v>5919</v>
      </c>
      <c r="S1182" t="s">
        <v>5609</v>
      </c>
      <c r="T1182" t="s">
        <v>5658</v>
      </c>
    </row>
    <row r="1183" spans="16:20" x14ac:dyDescent="0.35">
      <c r="P1183" t="s">
        <v>5320</v>
      </c>
      <c r="Q1183" t="s">
        <v>5319</v>
      </c>
      <c r="R1183" t="s">
        <v>5320</v>
      </c>
      <c r="S1183" t="s">
        <v>5611</v>
      </c>
      <c r="T1183" t="s">
        <v>1448</v>
      </c>
    </row>
    <row r="1184" spans="16:20" x14ac:dyDescent="0.35">
      <c r="P1184" t="s">
        <v>4260</v>
      </c>
      <c r="Q1184" t="s">
        <v>4959</v>
      </c>
      <c r="R1184" t="s">
        <v>5799</v>
      </c>
      <c r="S1184" t="s">
        <v>5607</v>
      </c>
      <c r="T1184" t="s">
        <v>5650</v>
      </c>
    </row>
    <row r="1185" spans="16:20" x14ac:dyDescent="0.35">
      <c r="Q1185" t="s">
        <v>4157</v>
      </c>
      <c r="R1185" t="s">
        <v>5799</v>
      </c>
      <c r="S1185" t="s">
        <v>5607</v>
      </c>
      <c r="T1185" t="s">
        <v>5650</v>
      </c>
    </row>
    <row r="1186" spans="16:20" x14ac:dyDescent="0.35">
      <c r="P1186" t="s">
        <v>3089</v>
      </c>
      <c r="Q1186" t="s">
        <v>4600</v>
      </c>
      <c r="R1186" t="s">
        <v>5817</v>
      </c>
      <c r="S1186" t="s">
        <v>5614</v>
      </c>
      <c r="T1186" t="s">
        <v>5646</v>
      </c>
    </row>
    <row r="1187" spans="16:20" x14ac:dyDescent="0.35">
      <c r="Q1187" t="s">
        <v>4702</v>
      </c>
      <c r="R1187" t="s">
        <v>1375</v>
      </c>
      <c r="S1187" t="s">
        <v>5607</v>
      </c>
      <c r="T1187" t="s">
        <v>5650</v>
      </c>
    </row>
    <row r="1188" spans="16:20" x14ac:dyDescent="0.35">
      <c r="P1188" t="s">
        <v>3091</v>
      </c>
      <c r="Q1188" t="s">
        <v>4778</v>
      </c>
      <c r="R1188" t="s">
        <v>1856</v>
      </c>
      <c r="S1188" t="s">
        <v>1837</v>
      </c>
      <c r="T1188" t="s">
        <v>5646</v>
      </c>
    </row>
    <row r="1189" spans="16:20" x14ac:dyDescent="0.35">
      <c r="P1189" t="s">
        <v>3095</v>
      </c>
      <c r="Q1189" t="s">
        <v>4779</v>
      </c>
      <c r="R1189" t="s">
        <v>1856</v>
      </c>
      <c r="S1189" t="s">
        <v>1837</v>
      </c>
      <c r="T1189" t="s">
        <v>5646</v>
      </c>
    </row>
    <row r="1190" spans="16:20" x14ac:dyDescent="0.35">
      <c r="P1190" t="s">
        <v>5105</v>
      </c>
      <c r="Q1190" t="s">
        <v>5104</v>
      </c>
      <c r="R1190" t="s">
        <v>5981</v>
      </c>
      <c r="S1190" t="s">
        <v>5612</v>
      </c>
      <c r="T1190" t="s">
        <v>1448</v>
      </c>
    </row>
    <row r="1191" spans="16:20" x14ac:dyDescent="0.35">
      <c r="P1191" t="s">
        <v>5322</v>
      </c>
      <c r="Q1191" t="s">
        <v>5321</v>
      </c>
      <c r="R1191" t="s">
        <v>5322</v>
      </c>
      <c r="S1191" t="s">
        <v>5609</v>
      </c>
      <c r="T1191" t="s">
        <v>5658</v>
      </c>
    </row>
    <row r="1192" spans="16:20" x14ac:dyDescent="0.35">
      <c r="P1192" t="s">
        <v>3101</v>
      </c>
      <c r="Q1192" t="s">
        <v>5325</v>
      </c>
      <c r="R1192" t="s">
        <v>3101</v>
      </c>
      <c r="S1192" t="s">
        <v>5610</v>
      </c>
      <c r="T1192" t="s">
        <v>5646</v>
      </c>
    </row>
    <row r="1193" spans="16:20" x14ac:dyDescent="0.35">
      <c r="P1193" t="s">
        <v>3104</v>
      </c>
      <c r="Q1193" t="s">
        <v>5340</v>
      </c>
      <c r="R1193" t="s">
        <v>3103</v>
      </c>
      <c r="S1193" t="s">
        <v>5614</v>
      </c>
      <c r="T1193" t="s">
        <v>5646</v>
      </c>
    </row>
    <row r="1194" spans="16:20" x14ac:dyDescent="0.35">
      <c r="P1194" t="s">
        <v>3106</v>
      </c>
      <c r="Q1194" t="s">
        <v>5341</v>
      </c>
      <c r="R1194" t="s">
        <v>3103</v>
      </c>
      <c r="S1194" t="s">
        <v>5614</v>
      </c>
      <c r="T1194" t="s">
        <v>5646</v>
      </c>
    </row>
    <row r="1195" spans="16:20" x14ac:dyDescent="0.35">
      <c r="P1195" t="s">
        <v>3111</v>
      </c>
      <c r="Q1195" t="s">
        <v>5347</v>
      </c>
      <c r="R1195" t="s">
        <v>3110</v>
      </c>
      <c r="S1195" t="s">
        <v>1837</v>
      </c>
      <c r="T1195" t="s">
        <v>5646</v>
      </c>
    </row>
    <row r="1196" spans="16:20" x14ac:dyDescent="0.35">
      <c r="P1196" t="s">
        <v>3113</v>
      </c>
      <c r="Q1196" t="s">
        <v>5349</v>
      </c>
      <c r="R1196" t="s">
        <v>3113</v>
      </c>
      <c r="S1196" t="s">
        <v>1757</v>
      </c>
      <c r="T1196" t="s">
        <v>5658</v>
      </c>
    </row>
    <row r="1197" spans="16:20" x14ac:dyDescent="0.35">
      <c r="P1197" t="s">
        <v>3116</v>
      </c>
      <c r="Q1197" t="s">
        <v>4149</v>
      </c>
      <c r="R1197" t="s">
        <v>3836</v>
      </c>
      <c r="S1197" t="s">
        <v>5611</v>
      </c>
      <c r="T1197" t="s">
        <v>1448</v>
      </c>
    </row>
    <row r="1198" spans="16:20" x14ac:dyDescent="0.35">
      <c r="P1198" t="s">
        <v>3120</v>
      </c>
      <c r="Q1198" t="s">
        <v>5365</v>
      </c>
      <c r="R1198" t="s">
        <v>6065</v>
      </c>
      <c r="S1198" t="s">
        <v>5623</v>
      </c>
      <c r="T1198" t="s">
        <v>5658</v>
      </c>
    </row>
    <row r="1199" spans="16:20" x14ac:dyDescent="0.35">
      <c r="Q1199" t="s">
        <v>5135</v>
      </c>
      <c r="R1199" t="s">
        <v>5987</v>
      </c>
      <c r="S1199" t="s">
        <v>5623</v>
      </c>
      <c r="T1199" t="s">
        <v>5658</v>
      </c>
    </row>
    <row r="1200" spans="16:20" x14ac:dyDescent="0.35">
      <c r="P1200" t="s">
        <v>3126</v>
      </c>
      <c r="Q1200" t="s">
        <v>4037</v>
      </c>
      <c r="R1200" t="s">
        <v>3126</v>
      </c>
      <c r="S1200" t="s">
        <v>5615</v>
      </c>
      <c r="T1200" t="s">
        <v>5650</v>
      </c>
    </row>
    <row r="1201" spans="16:20" x14ac:dyDescent="0.35">
      <c r="P1201" t="s">
        <v>3133</v>
      </c>
      <c r="Q1201" t="s">
        <v>5602</v>
      </c>
      <c r="R1201" t="s">
        <v>5617</v>
      </c>
      <c r="S1201" t="s">
        <v>5617</v>
      </c>
      <c r="T1201" t="s">
        <v>5658</v>
      </c>
    </row>
    <row r="1202" spans="16:20" x14ac:dyDescent="0.35">
      <c r="P1202" t="s">
        <v>5504</v>
      </c>
      <c r="Q1202" t="s">
        <v>5503</v>
      </c>
      <c r="R1202" t="s">
        <v>3702</v>
      </c>
      <c r="S1202" t="s">
        <v>5619</v>
      </c>
      <c r="T1202" t="s">
        <v>5646</v>
      </c>
    </row>
    <row r="1203" spans="16:20" x14ac:dyDescent="0.35">
      <c r="P1203" t="s">
        <v>3137</v>
      </c>
      <c r="Q1203" t="s">
        <v>4550</v>
      </c>
      <c r="R1203" t="s">
        <v>773</v>
      </c>
      <c r="S1203" t="s">
        <v>5617</v>
      </c>
      <c r="T1203" t="s">
        <v>5658</v>
      </c>
    </row>
    <row r="1204" spans="16:20" x14ac:dyDescent="0.35">
      <c r="P1204" t="s">
        <v>3139</v>
      </c>
      <c r="Q1204" t="s">
        <v>5363</v>
      </c>
      <c r="R1204" t="s">
        <v>3139</v>
      </c>
      <c r="S1204" t="s">
        <v>5618</v>
      </c>
      <c r="T1204" t="s">
        <v>5658</v>
      </c>
    </row>
    <row r="1205" spans="16:20" x14ac:dyDescent="0.35">
      <c r="P1205" t="s">
        <v>3141</v>
      </c>
      <c r="Q1205" t="s">
        <v>5400</v>
      </c>
      <c r="R1205" t="s">
        <v>3315</v>
      </c>
      <c r="S1205" t="s">
        <v>5618</v>
      </c>
      <c r="T1205" t="s">
        <v>5658</v>
      </c>
    </row>
    <row r="1206" spans="16:20" x14ac:dyDescent="0.35">
      <c r="P1206" t="s">
        <v>3145</v>
      </c>
      <c r="Q1206" t="s">
        <v>5555</v>
      </c>
      <c r="R1206" t="s">
        <v>3824</v>
      </c>
      <c r="S1206" t="s">
        <v>1837</v>
      </c>
      <c r="T1206" t="s">
        <v>5646</v>
      </c>
    </row>
    <row r="1207" spans="16:20" x14ac:dyDescent="0.35">
      <c r="P1207" t="s">
        <v>3148</v>
      </c>
      <c r="Q1207" t="s">
        <v>4780</v>
      </c>
      <c r="R1207" t="s">
        <v>1856</v>
      </c>
      <c r="S1207" t="s">
        <v>1837</v>
      </c>
      <c r="T1207" t="s">
        <v>5646</v>
      </c>
    </row>
    <row r="1208" spans="16:20" x14ac:dyDescent="0.35">
      <c r="P1208" t="s">
        <v>3150</v>
      </c>
      <c r="Q1208" t="s">
        <v>4151</v>
      </c>
      <c r="R1208" t="s">
        <v>3836</v>
      </c>
      <c r="S1208" t="s">
        <v>5611</v>
      </c>
      <c r="T1208" t="s">
        <v>1448</v>
      </c>
    </row>
    <row r="1209" spans="16:20" x14ac:dyDescent="0.35">
      <c r="P1209" t="s">
        <v>5339</v>
      </c>
      <c r="Q1209" t="s">
        <v>5338</v>
      </c>
      <c r="R1209" t="s">
        <v>3103</v>
      </c>
      <c r="S1209" t="s">
        <v>5614</v>
      </c>
      <c r="T1209" t="s">
        <v>5646</v>
      </c>
    </row>
    <row r="1210" spans="16:20" x14ac:dyDescent="0.35">
      <c r="P1210" t="s">
        <v>3155</v>
      </c>
      <c r="Q1210" t="s">
        <v>4552</v>
      </c>
      <c r="R1210" t="s">
        <v>773</v>
      </c>
      <c r="S1210" t="s">
        <v>5617</v>
      </c>
      <c r="T1210" t="s">
        <v>5658</v>
      </c>
    </row>
    <row r="1211" spans="16:20" x14ac:dyDescent="0.35">
      <c r="P1211" t="s">
        <v>3158</v>
      </c>
      <c r="Q1211" t="s">
        <v>4157</v>
      </c>
      <c r="R1211" t="s">
        <v>5772</v>
      </c>
      <c r="S1211" t="s">
        <v>5615</v>
      </c>
      <c r="T1211" t="s">
        <v>5650</v>
      </c>
    </row>
    <row r="1212" spans="16:20" x14ac:dyDescent="0.35">
      <c r="P1212" t="s">
        <v>3160</v>
      </c>
      <c r="Q1212" t="s">
        <v>4773</v>
      </c>
      <c r="R1212" t="s">
        <v>1856</v>
      </c>
      <c r="S1212" t="s">
        <v>1837</v>
      </c>
      <c r="T1212" t="s">
        <v>5646</v>
      </c>
    </row>
    <row r="1213" spans="16:20" x14ac:dyDescent="0.35">
      <c r="P1213" t="s">
        <v>3164</v>
      </c>
      <c r="Q1213" t="s">
        <v>4143</v>
      </c>
      <c r="R1213" t="s">
        <v>1779</v>
      </c>
      <c r="S1213" t="s">
        <v>5611</v>
      </c>
      <c r="T1213" t="s">
        <v>1448</v>
      </c>
    </row>
    <row r="1214" spans="16:20" x14ac:dyDescent="0.35">
      <c r="P1214" t="s">
        <v>3167</v>
      </c>
      <c r="Q1214" t="s">
        <v>4736</v>
      </c>
      <c r="R1214" t="s">
        <v>1691</v>
      </c>
      <c r="S1214" t="s">
        <v>5615</v>
      </c>
      <c r="T1214" t="s">
        <v>5650</v>
      </c>
    </row>
    <row r="1215" spans="16:20" x14ac:dyDescent="0.35">
      <c r="Q1215" t="s">
        <v>4813</v>
      </c>
      <c r="R1215" t="s">
        <v>1872</v>
      </c>
      <c r="S1215" t="s">
        <v>5607</v>
      </c>
      <c r="T1215" t="s">
        <v>5650</v>
      </c>
    </row>
    <row r="1216" spans="16:20" x14ac:dyDescent="0.35">
      <c r="P1216" t="s">
        <v>4217</v>
      </c>
      <c r="Q1216" t="s">
        <v>4157</v>
      </c>
      <c r="R1216" t="s">
        <v>6050</v>
      </c>
      <c r="S1216" t="s">
        <v>1837</v>
      </c>
      <c r="T1216" t="s">
        <v>5646</v>
      </c>
    </row>
    <row r="1217" spans="16:20" x14ac:dyDescent="0.35">
      <c r="P1217" t="s">
        <v>3171</v>
      </c>
      <c r="Q1217" t="s">
        <v>4105</v>
      </c>
      <c r="R1217" t="s">
        <v>1004</v>
      </c>
      <c r="S1217" t="s">
        <v>1837</v>
      </c>
      <c r="T1217" t="s">
        <v>5646</v>
      </c>
    </row>
    <row r="1218" spans="16:20" x14ac:dyDescent="0.35">
      <c r="P1218" t="s">
        <v>3173</v>
      </c>
      <c r="Q1218" t="s">
        <v>4595</v>
      </c>
      <c r="R1218" t="s">
        <v>5813</v>
      </c>
      <c r="S1218" t="s">
        <v>1837</v>
      </c>
      <c r="T1218" t="s">
        <v>5646</v>
      </c>
    </row>
    <row r="1219" spans="16:20" x14ac:dyDescent="0.35">
      <c r="P1219" t="s">
        <v>3177</v>
      </c>
      <c r="Q1219" t="s">
        <v>4444</v>
      </c>
      <c r="R1219" t="s">
        <v>5755</v>
      </c>
      <c r="S1219" t="s">
        <v>5614</v>
      </c>
      <c r="T1219" t="s">
        <v>5646</v>
      </c>
    </row>
    <row r="1220" spans="16:20" x14ac:dyDescent="0.35">
      <c r="P1220" t="s">
        <v>3181</v>
      </c>
      <c r="Q1220" t="s">
        <v>4638</v>
      </c>
      <c r="R1220" t="s">
        <v>5772</v>
      </c>
      <c r="S1220" t="s">
        <v>5615</v>
      </c>
      <c r="T1220" t="s">
        <v>5650</v>
      </c>
    </row>
    <row r="1221" spans="16:20" x14ac:dyDescent="0.35">
      <c r="P1221" t="s">
        <v>3183</v>
      </c>
      <c r="Q1221" t="s">
        <v>4626</v>
      </c>
      <c r="R1221" t="s">
        <v>1184</v>
      </c>
      <c r="S1221" t="s">
        <v>5615</v>
      </c>
      <c r="T1221" t="s">
        <v>5650</v>
      </c>
    </row>
    <row r="1222" spans="16:20" x14ac:dyDescent="0.35">
      <c r="P1222" t="s">
        <v>3185</v>
      </c>
      <c r="Q1222" t="s">
        <v>4960</v>
      </c>
      <c r="R1222" t="s">
        <v>5799</v>
      </c>
      <c r="S1222" t="s">
        <v>5607</v>
      </c>
      <c r="T1222" t="s">
        <v>5650</v>
      </c>
    </row>
    <row r="1223" spans="16:20" x14ac:dyDescent="0.35">
      <c r="P1223" t="s">
        <v>3188</v>
      </c>
      <c r="Q1223" t="s">
        <v>4917</v>
      </c>
      <c r="R1223" t="s">
        <v>5934</v>
      </c>
      <c r="S1223" t="s">
        <v>5615</v>
      </c>
      <c r="T1223" t="s">
        <v>5650</v>
      </c>
    </row>
    <row r="1224" spans="16:20" x14ac:dyDescent="0.35">
      <c r="P1224" t="s">
        <v>3190</v>
      </c>
      <c r="Q1224" t="s">
        <v>5342</v>
      </c>
      <c r="R1224" t="s">
        <v>3103</v>
      </c>
      <c r="S1224" t="s">
        <v>5614</v>
      </c>
      <c r="T1224" t="s">
        <v>5646</v>
      </c>
    </row>
    <row r="1225" spans="16:20" x14ac:dyDescent="0.35">
      <c r="P1225" t="s">
        <v>3193</v>
      </c>
      <c r="Q1225" t="s">
        <v>4726</v>
      </c>
      <c r="R1225" t="s">
        <v>1546</v>
      </c>
      <c r="S1225" t="s">
        <v>5621</v>
      </c>
      <c r="T1225" t="s">
        <v>5678</v>
      </c>
    </row>
    <row r="1226" spans="16:20" x14ac:dyDescent="0.35">
      <c r="P1226" t="s">
        <v>4221</v>
      </c>
      <c r="Q1226" t="s">
        <v>5370</v>
      </c>
      <c r="R1226" t="s">
        <v>5779</v>
      </c>
      <c r="S1226" t="s">
        <v>1837</v>
      </c>
      <c r="T1226" t="s">
        <v>5646</v>
      </c>
    </row>
    <row r="1227" spans="16:20" x14ac:dyDescent="0.35">
      <c r="Q1227" t="s">
        <v>4572</v>
      </c>
      <c r="R1227" t="s">
        <v>855</v>
      </c>
      <c r="S1227" t="s">
        <v>5615</v>
      </c>
      <c r="T1227" t="s">
        <v>5650</v>
      </c>
    </row>
    <row r="1228" spans="16:20" x14ac:dyDescent="0.35">
      <c r="Q1228" t="s">
        <v>4877</v>
      </c>
      <c r="R1228" t="s">
        <v>2007</v>
      </c>
      <c r="S1228" t="s">
        <v>5607</v>
      </c>
      <c r="T1228" t="s">
        <v>5650</v>
      </c>
    </row>
    <row r="1229" spans="16:20" x14ac:dyDescent="0.35">
      <c r="Q1229" t="s">
        <v>4852</v>
      </c>
      <c r="R1229" t="s">
        <v>1959</v>
      </c>
      <c r="S1229" t="s">
        <v>5615</v>
      </c>
      <c r="T1229" t="s">
        <v>5650</v>
      </c>
    </row>
    <row r="1230" spans="16:20" x14ac:dyDescent="0.35">
      <c r="Q1230" t="s">
        <v>4303</v>
      </c>
      <c r="R1230" t="s">
        <v>5692</v>
      </c>
      <c r="S1230" t="s">
        <v>5612</v>
      </c>
      <c r="T1230" t="s">
        <v>1448</v>
      </c>
    </row>
    <row r="1231" spans="16:20" x14ac:dyDescent="0.35">
      <c r="Q1231" t="s">
        <v>4157</v>
      </c>
      <c r="R1231" t="s">
        <v>5779</v>
      </c>
      <c r="S1231" t="s">
        <v>1837</v>
      </c>
      <c r="T1231" t="s">
        <v>5646</v>
      </c>
    </row>
    <row r="1232" spans="16:20" x14ac:dyDescent="0.35">
      <c r="P1232" t="s">
        <v>4259</v>
      </c>
      <c r="Q1232" t="s">
        <v>4961</v>
      </c>
      <c r="R1232" t="s">
        <v>5799</v>
      </c>
      <c r="S1232" t="s">
        <v>5607</v>
      </c>
      <c r="T1232" t="s">
        <v>5650</v>
      </c>
    </row>
    <row r="1233" spans="16:20" x14ac:dyDescent="0.35">
      <c r="Q1233" t="s">
        <v>4157</v>
      </c>
      <c r="R1233" t="s">
        <v>5799</v>
      </c>
      <c r="S1233" t="s">
        <v>5607</v>
      </c>
      <c r="T1233" t="s">
        <v>5650</v>
      </c>
    </row>
    <row r="1234" spans="16:20" x14ac:dyDescent="0.35">
      <c r="P1234" t="s">
        <v>3214</v>
      </c>
      <c r="Q1234" t="s">
        <v>4599</v>
      </c>
      <c r="R1234" t="s">
        <v>5817</v>
      </c>
      <c r="S1234" t="s">
        <v>5614</v>
      </c>
      <c r="T1234" t="s">
        <v>5646</v>
      </c>
    </row>
    <row r="1235" spans="16:20" x14ac:dyDescent="0.35">
      <c r="P1235" t="s">
        <v>3220</v>
      </c>
      <c r="Q1235" t="s">
        <v>5441</v>
      </c>
      <c r="R1235" t="s">
        <v>5682</v>
      </c>
      <c r="S1235" t="s">
        <v>5614</v>
      </c>
      <c r="T1235" t="s">
        <v>5646</v>
      </c>
    </row>
    <row r="1236" spans="16:20" x14ac:dyDescent="0.35">
      <c r="P1236" t="s">
        <v>3222</v>
      </c>
      <c r="Q1236" t="s">
        <v>4498</v>
      </c>
      <c r="R1236" t="s">
        <v>5607</v>
      </c>
      <c r="S1236" t="s">
        <v>5607</v>
      </c>
      <c r="T1236" t="s">
        <v>5650</v>
      </c>
    </row>
    <row r="1237" spans="16:20" x14ac:dyDescent="0.35">
      <c r="P1237" t="s">
        <v>3224</v>
      </c>
      <c r="Q1237" t="s">
        <v>4157</v>
      </c>
      <c r="R1237" t="s">
        <v>3945</v>
      </c>
      <c r="S1237" t="s">
        <v>5618</v>
      </c>
      <c r="T1237" t="s">
        <v>5658</v>
      </c>
    </row>
    <row r="1238" spans="16:20" x14ac:dyDescent="0.35">
      <c r="P1238" t="s">
        <v>3226</v>
      </c>
      <c r="Q1238" t="s">
        <v>4627</v>
      </c>
      <c r="R1238" t="s">
        <v>1184</v>
      </c>
      <c r="S1238" t="s">
        <v>5615</v>
      </c>
      <c r="T1238" t="s">
        <v>5650</v>
      </c>
    </row>
    <row r="1239" spans="16:20" x14ac:dyDescent="0.35">
      <c r="Q1239" t="s">
        <v>4081</v>
      </c>
      <c r="R1239" t="s">
        <v>5682</v>
      </c>
      <c r="S1239" t="s">
        <v>5614</v>
      </c>
      <c r="T1239" t="s">
        <v>5646</v>
      </c>
    </row>
    <row r="1240" spans="16:20" x14ac:dyDescent="0.35">
      <c r="Q1240" t="s">
        <v>5442</v>
      </c>
      <c r="R1240" t="s">
        <v>5682</v>
      </c>
      <c r="S1240" t="s">
        <v>5614</v>
      </c>
      <c r="T1240" t="s">
        <v>5646</v>
      </c>
    </row>
    <row r="1241" spans="16:20" x14ac:dyDescent="0.35">
      <c r="Q1241" t="s">
        <v>4842</v>
      </c>
      <c r="R1241" t="s">
        <v>1957</v>
      </c>
      <c r="S1241" t="s">
        <v>5612</v>
      </c>
      <c r="T1241" t="s">
        <v>1448</v>
      </c>
    </row>
    <row r="1242" spans="16:20" x14ac:dyDescent="0.35">
      <c r="Q1242" t="s">
        <v>4331</v>
      </c>
      <c r="R1242" t="s">
        <v>5713</v>
      </c>
      <c r="S1242" t="s">
        <v>5611</v>
      </c>
      <c r="T1242" t="s">
        <v>1448</v>
      </c>
    </row>
    <row r="1243" spans="16:20" x14ac:dyDescent="0.35">
      <c r="Q1243" t="s">
        <v>4153</v>
      </c>
      <c r="R1243" t="s">
        <v>3836</v>
      </c>
      <c r="S1243" t="s">
        <v>5611</v>
      </c>
      <c r="T1243" t="s">
        <v>1448</v>
      </c>
    </row>
    <row r="1244" spans="16:20" x14ac:dyDescent="0.35">
      <c r="Q1244" t="s">
        <v>4157</v>
      </c>
      <c r="R1244" t="s">
        <v>5682</v>
      </c>
      <c r="S1244" t="s">
        <v>5614</v>
      </c>
      <c r="T1244" t="s">
        <v>5646</v>
      </c>
    </row>
    <row r="1245" spans="16:20" x14ac:dyDescent="0.35">
      <c r="P1245" t="s">
        <v>4226</v>
      </c>
      <c r="Q1245" t="s">
        <v>3234</v>
      </c>
      <c r="R1245" t="s">
        <v>3824</v>
      </c>
      <c r="S1245" t="s">
        <v>1837</v>
      </c>
      <c r="T1245" t="s">
        <v>5646</v>
      </c>
    </row>
    <row r="1246" spans="16:20" x14ac:dyDescent="0.35">
      <c r="Q1246" t="s">
        <v>4157</v>
      </c>
      <c r="R1246" t="s">
        <v>3576</v>
      </c>
      <c r="S1246" t="s">
        <v>1837</v>
      </c>
      <c r="T1246" t="s">
        <v>5646</v>
      </c>
    </row>
    <row r="1247" spans="16:20" x14ac:dyDescent="0.35">
      <c r="P1247" t="s">
        <v>3246</v>
      </c>
      <c r="Q1247" t="s">
        <v>5376</v>
      </c>
      <c r="R1247" t="s">
        <v>3246</v>
      </c>
      <c r="S1247" t="s">
        <v>5617</v>
      </c>
      <c r="T1247" t="s">
        <v>5658</v>
      </c>
    </row>
    <row r="1248" spans="16:20" x14ac:dyDescent="0.35">
      <c r="P1248" t="s">
        <v>4393</v>
      </c>
      <c r="Q1248" t="s">
        <v>4392</v>
      </c>
      <c r="R1248" t="s">
        <v>457</v>
      </c>
      <c r="S1248" t="s">
        <v>5607</v>
      </c>
      <c r="T1248" t="s">
        <v>5650</v>
      </c>
    </row>
    <row r="1249" spans="16:20" x14ac:dyDescent="0.35">
      <c r="P1249" t="s">
        <v>5337</v>
      </c>
      <c r="Q1249" t="s">
        <v>5336</v>
      </c>
      <c r="R1249" t="s">
        <v>3103</v>
      </c>
      <c r="S1249" t="s">
        <v>5614</v>
      </c>
      <c r="T1249" t="s">
        <v>5646</v>
      </c>
    </row>
    <row r="1250" spans="16:20" x14ac:dyDescent="0.35">
      <c r="P1250" t="s">
        <v>3254</v>
      </c>
      <c r="Q1250" t="s">
        <v>4814</v>
      </c>
      <c r="R1250" t="s">
        <v>1872</v>
      </c>
      <c r="S1250" t="s">
        <v>5607</v>
      </c>
      <c r="T1250" t="s">
        <v>5650</v>
      </c>
    </row>
    <row r="1251" spans="16:20" x14ac:dyDescent="0.35">
      <c r="P1251" t="s">
        <v>3256</v>
      </c>
      <c r="Q1251" t="s">
        <v>4815</v>
      </c>
      <c r="R1251" t="s">
        <v>1872</v>
      </c>
      <c r="S1251" t="s">
        <v>5607</v>
      </c>
      <c r="T1251" t="s">
        <v>5650</v>
      </c>
    </row>
    <row r="1252" spans="16:20" x14ac:dyDescent="0.35">
      <c r="P1252" t="s">
        <v>3258</v>
      </c>
      <c r="Q1252" t="s">
        <v>4816</v>
      </c>
      <c r="R1252" t="s">
        <v>1872</v>
      </c>
      <c r="S1252" t="s">
        <v>5607</v>
      </c>
      <c r="T1252" t="s">
        <v>5650</v>
      </c>
    </row>
    <row r="1253" spans="16:20" x14ac:dyDescent="0.35">
      <c r="P1253" t="s">
        <v>5380</v>
      </c>
      <c r="Q1253" t="s">
        <v>5379</v>
      </c>
      <c r="R1253" t="s">
        <v>6079</v>
      </c>
      <c r="S1253" t="s">
        <v>5609</v>
      </c>
      <c r="T1253" t="s">
        <v>5658</v>
      </c>
    </row>
    <row r="1254" spans="16:20" x14ac:dyDescent="0.35">
      <c r="P1254" t="s">
        <v>3264</v>
      </c>
      <c r="Q1254" t="s">
        <v>5386</v>
      </c>
      <c r="R1254" t="s">
        <v>5961</v>
      </c>
      <c r="S1254" t="s">
        <v>5610</v>
      </c>
      <c r="T1254" t="s">
        <v>5646</v>
      </c>
    </row>
    <row r="1255" spans="16:20" x14ac:dyDescent="0.35">
      <c r="P1255" t="s">
        <v>3266</v>
      </c>
      <c r="Q1255" t="s">
        <v>4085</v>
      </c>
      <c r="R1255" t="s">
        <v>5786</v>
      </c>
      <c r="S1255" t="s">
        <v>5606</v>
      </c>
      <c r="T1255" t="s">
        <v>5646</v>
      </c>
    </row>
    <row r="1256" spans="16:20" x14ac:dyDescent="0.35">
      <c r="Q1256" t="s">
        <v>4157</v>
      </c>
      <c r="R1256" t="s">
        <v>5786</v>
      </c>
      <c r="S1256" t="s">
        <v>5606</v>
      </c>
      <c r="T1256" t="s">
        <v>5646</v>
      </c>
    </row>
    <row r="1257" spans="16:20" x14ac:dyDescent="0.35">
      <c r="P1257" t="s">
        <v>5467</v>
      </c>
      <c r="Q1257" t="s">
        <v>5466</v>
      </c>
      <c r="R1257" t="s">
        <v>6118</v>
      </c>
      <c r="S1257" t="s">
        <v>5621</v>
      </c>
      <c r="T1257" t="s">
        <v>5678</v>
      </c>
    </row>
    <row r="1258" spans="16:20" x14ac:dyDescent="0.35">
      <c r="P1258" t="s">
        <v>5382</v>
      </c>
      <c r="Q1258" t="s">
        <v>5381</v>
      </c>
      <c r="R1258" t="s">
        <v>3272</v>
      </c>
      <c r="S1258" t="s">
        <v>5612</v>
      </c>
      <c r="T1258" t="s">
        <v>1448</v>
      </c>
    </row>
    <row r="1259" spans="16:20" x14ac:dyDescent="0.35">
      <c r="P1259" t="s">
        <v>3274</v>
      </c>
      <c r="Q1259" t="s">
        <v>4525</v>
      </c>
      <c r="R1259" t="s">
        <v>5781</v>
      </c>
      <c r="S1259" t="s">
        <v>5617</v>
      </c>
      <c r="T1259" t="s">
        <v>5658</v>
      </c>
    </row>
    <row r="1260" spans="16:20" x14ac:dyDescent="0.35">
      <c r="P1260" t="s">
        <v>4472</v>
      </c>
      <c r="Q1260" t="s">
        <v>4471</v>
      </c>
      <c r="R1260" t="s">
        <v>5757</v>
      </c>
      <c r="S1260" t="s">
        <v>5614</v>
      </c>
      <c r="T1260" t="s">
        <v>5646</v>
      </c>
    </row>
    <row r="1261" spans="16:20" x14ac:dyDescent="0.35">
      <c r="P1261" t="s">
        <v>3278</v>
      </c>
      <c r="Q1261" t="s">
        <v>5567</v>
      </c>
      <c r="R1261" t="s">
        <v>3893</v>
      </c>
      <c r="S1261" t="s">
        <v>5617</v>
      </c>
      <c r="T1261" t="s">
        <v>5658</v>
      </c>
    </row>
    <row r="1262" spans="16:20" x14ac:dyDescent="0.35">
      <c r="P1262" t="s">
        <v>3280</v>
      </c>
      <c r="Q1262" t="s">
        <v>5509</v>
      </c>
      <c r="R1262" t="s">
        <v>3702</v>
      </c>
      <c r="S1262" t="s">
        <v>5619</v>
      </c>
      <c r="T1262" t="s">
        <v>5646</v>
      </c>
    </row>
    <row r="1263" spans="16:20" x14ac:dyDescent="0.35">
      <c r="P1263" t="s">
        <v>4245</v>
      </c>
      <c r="Q1263" t="s">
        <v>4157</v>
      </c>
      <c r="R1263" t="s">
        <v>955</v>
      </c>
      <c r="S1263" t="s">
        <v>5607</v>
      </c>
      <c r="T1263" t="s">
        <v>5650</v>
      </c>
    </row>
    <row r="1264" spans="16:20" x14ac:dyDescent="0.35">
      <c r="P1264" t="s">
        <v>3286</v>
      </c>
      <c r="Q1264" t="s">
        <v>4975</v>
      </c>
      <c r="R1264" t="s">
        <v>5762</v>
      </c>
      <c r="S1264" t="s">
        <v>5614</v>
      </c>
      <c r="T1264" t="s">
        <v>5646</v>
      </c>
    </row>
    <row r="1265" spans="16:20" x14ac:dyDescent="0.35">
      <c r="P1265" t="s">
        <v>3289</v>
      </c>
      <c r="Q1265" t="s">
        <v>5362</v>
      </c>
      <c r="R1265" t="s">
        <v>6058</v>
      </c>
      <c r="S1265" t="s">
        <v>5618</v>
      </c>
      <c r="T1265" t="s">
        <v>5658</v>
      </c>
    </row>
    <row r="1266" spans="16:20" x14ac:dyDescent="0.35">
      <c r="P1266" t="s">
        <v>3291</v>
      </c>
      <c r="Q1266" t="s">
        <v>5366</v>
      </c>
      <c r="R1266" t="s">
        <v>6065</v>
      </c>
      <c r="S1266" t="s">
        <v>5623</v>
      </c>
      <c r="T1266" t="s">
        <v>5658</v>
      </c>
    </row>
    <row r="1267" spans="16:20" x14ac:dyDescent="0.35">
      <c r="P1267" t="s">
        <v>3293</v>
      </c>
      <c r="Q1267" t="s">
        <v>5575</v>
      </c>
      <c r="R1267" t="s">
        <v>3903</v>
      </c>
      <c r="S1267" t="s">
        <v>5618</v>
      </c>
      <c r="T1267" t="s">
        <v>5658</v>
      </c>
    </row>
    <row r="1268" spans="16:20" x14ac:dyDescent="0.35">
      <c r="P1268" t="s">
        <v>3295</v>
      </c>
      <c r="Q1268" t="s">
        <v>5329</v>
      </c>
      <c r="R1268" t="s">
        <v>3101</v>
      </c>
      <c r="S1268" t="s">
        <v>5610</v>
      </c>
      <c r="T1268" t="s">
        <v>5646</v>
      </c>
    </row>
    <row r="1269" spans="16:20" x14ac:dyDescent="0.35">
      <c r="P1269" t="s">
        <v>3297</v>
      </c>
      <c r="Q1269" t="s">
        <v>5360</v>
      </c>
      <c r="R1269" t="s">
        <v>6058</v>
      </c>
      <c r="S1269" t="s">
        <v>5618</v>
      </c>
      <c r="T1269" t="s">
        <v>5658</v>
      </c>
    </row>
    <row r="1270" spans="16:20" x14ac:dyDescent="0.35">
      <c r="P1270" t="s">
        <v>5068</v>
      </c>
      <c r="Q1270" t="s">
        <v>5067</v>
      </c>
      <c r="R1270" t="s">
        <v>5621</v>
      </c>
      <c r="S1270" t="s">
        <v>5621</v>
      </c>
      <c r="T1270" t="s">
        <v>5678</v>
      </c>
    </row>
    <row r="1271" spans="16:20" x14ac:dyDescent="0.35">
      <c r="P1271" t="s">
        <v>3301</v>
      </c>
      <c r="Q1271" t="s">
        <v>4890</v>
      </c>
      <c r="R1271" t="s">
        <v>5926</v>
      </c>
      <c r="S1271" t="s">
        <v>1837</v>
      </c>
      <c r="T1271" t="s">
        <v>5646</v>
      </c>
    </row>
    <row r="1272" spans="16:20" x14ac:dyDescent="0.35">
      <c r="P1272" t="s">
        <v>3303</v>
      </c>
      <c r="Q1272" t="s">
        <v>5252</v>
      </c>
      <c r="R1272" t="s">
        <v>2914</v>
      </c>
      <c r="S1272" t="s">
        <v>5607</v>
      </c>
      <c r="T1272" t="s">
        <v>5650</v>
      </c>
    </row>
    <row r="1273" spans="16:20" x14ac:dyDescent="0.35">
      <c r="P1273" t="s">
        <v>3307</v>
      </c>
      <c r="Q1273" t="s">
        <v>5258</v>
      </c>
      <c r="R1273" t="s">
        <v>5696</v>
      </c>
      <c r="S1273" t="s">
        <v>5614</v>
      </c>
      <c r="T1273" t="s">
        <v>5646</v>
      </c>
    </row>
    <row r="1274" spans="16:20" x14ac:dyDescent="0.35">
      <c r="P1274" t="s">
        <v>3309</v>
      </c>
      <c r="Q1274" t="s">
        <v>5394</v>
      </c>
      <c r="R1274" t="s">
        <v>6084</v>
      </c>
      <c r="S1274" t="s">
        <v>5611</v>
      </c>
      <c r="T1274" t="s">
        <v>1448</v>
      </c>
    </row>
    <row r="1275" spans="16:20" x14ac:dyDescent="0.35">
      <c r="Q1275" t="s">
        <v>4157</v>
      </c>
      <c r="R1275" t="s">
        <v>6084</v>
      </c>
      <c r="S1275" t="s">
        <v>5611</v>
      </c>
      <c r="T1275" t="s">
        <v>1448</v>
      </c>
    </row>
    <row r="1276" spans="16:20" x14ac:dyDescent="0.35">
      <c r="P1276" t="s">
        <v>3315</v>
      </c>
      <c r="Q1276" t="s">
        <v>5397</v>
      </c>
      <c r="R1276" t="s">
        <v>3315</v>
      </c>
      <c r="S1276" t="s">
        <v>5618</v>
      </c>
      <c r="T1276" t="s">
        <v>5658</v>
      </c>
    </row>
    <row r="1277" spans="16:20" x14ac:dyDescent="0.35">
      <c r="P1277" t="s">
        <v>3317</v>
      </c>
      <c r="Q1277" t="s">
        <v>4894</v>
      </c>
      <c r="R1277" t="s">
        <v>5615</v>
      </c>
      <c r="S1277" t="s">
        <v>5615</v>
      </c>
      <c r="T1277" t="s">
        <v>5650</v>
      </c>
    </row>
    <row r="1278" spans="16:20" x14ac:dyDescent="0.35">
      <c r="P1278" t="s">
        <v>3319</v>
      </c>
      <c r="Q1278" t="s">
        <v>4817</v>
      </c>
      <c r="R1278" t="s">
        <v>1872</v>
      </c>
      <c r="S1278" t="s">
        <v>5607</v>
      </c>
      <c r="T1278" t="s">
        <v>5650</v>
      </c>
    </row>
    <row r="1279" spans="16:20" x14ac:dyDescent="0.35">
      <c r="P1279" t="s">
        <v>3322</v>
      </c>
      <c r="Q1279" t="s">
        <v>4844</v>
      </c>
      <c r="R1279" t="s">
        <v>1959</v>
      </c>
      <c r="S1279" t="s">
        <v>5615</v>
      </c>
      <c r="T1279" t="s">
        <v>5650</v>
      </c>
    </row>
    <row r="1280" spans="16:20" x14ac:dyDescent="0.35">
      <c r="P1280" t="s">
        <v>3324</v>
      </c>
      <c r="Q1280" t="s">
        <v>5402</v>
      </c>
      <c r="R1280" t="s">
        <v>3324</v>
      </c>
      <c r="S1280" t="s">
        <v>1757</v>
      </c>
      <c r="T1280" t="s">
        <v>5658</v>
      </c>
    </row>
    <row r="1281" spans="16:20" x14ac:dyDescent="0.35">
      <c r="P1281" t="s">
        <v>5582</v>
      </c>
      <c r="Q1281" t="s">
        <v>5581</v>
      </c>
      <c r="R1281" t="s">
        <v>3911</v>
      </c>
      <c r="S1281" t="s">
        <v>5617</v>
      </c>
      <c r="T1281" t="s">
        <v>5658</v>
      </c>
    </row>
    <row r="1282" spans="16:20" x14ac:dyDescent="0.35">
      <c r="P1282" t="s">
        <v>3328</v>
      </c>
      <c r="Q1282" t="s">
        <v>4662</v>
      </c>
      <c r="R1282" t="s">
        <v>1244</v>
      </c>
      <c r="S1282" t="s">
        <v>5607</v>
      </c>
      <c r="T1282" t="s">
        <v>5650</v>
      </c>
    </row>
    <row r="1283" spans="16:20" x14ac:dyDescent="0.35">
      <c r="P1283" t="s">
        <v>3330</v>
      </c>
      <c r="Q1283" t="s">
        <v>5253</v>
      </c>
      <c r="R1283" t="s">
        <v>2914</v>
      </c>
      <c r="S1283" t="s">
        <v>5607</v>
      </c>
      <c r="T1283" t="s">
        <v>5650</v>
      </c>
    </row>
    <row r="1284" spans="16:20" x14ac:dyDescent="0.35">
      <c r="P1284" t="s">
        <v>4483</v>
      </c>
      <c r="Q1284" t="s">
        <v>4482</v>
      </c>
      <c r="R1284" t="s">
        <v>5607</v>
      </c>
      <c r="S1284" t="s">
        <v>5607</v>
      </c>
      <c r="T1284" t="s">
        <v>5650</v>
      </c>
    </row>
    <row r="1285" spans="16:20" x14ac:dyDescent="0.35">
      <c r="P1285" t="s">
        <v>3332</v>
      </c>
      <c r="Q1285" t="s">
        <v>4663</v>
      </c>
      <c r="R1285" t="s">
        <v>1244</v>
      </c>
      <c r="S1285" t="s">
        <v>5607</v>
      </c>
      <c r="T1285" t="s">
        <v>5650</v>
      </c>
    </row>
    <row r="1286" spans="16:20" x14ac:dyDescent="0.35">
      <c r="P1286" t="s">
        <v>3337</v>
      </c>
      <c r="Q1286" t="s">
        <v>5254</v>
      </c>
      <c r="R1286" t="s">
        <v>2914</v>
      </c>
      <c r="S1286" t="s">
        <v>5607</v>
      </c>
      <c r="T1286" t="s">
        <v>5650</v>
      </c>
    </row>
    <row r="1287" spans="16:20" x14ac:dyDescent="0.35">
      <c r="P1287" t="s">
        <v>3339</v>
      </c>
      <c r="Q1287" t="s">
        <v>5499</v>
      </c>
      <c r="R1287" t="s">
        <v>6083</v>
      </c>
      <c r="S1287" t="s">
        <v>5619</v>
      </c>
      <c r="T1287" t="s">
        <v>5646</v>
      </c>
    </row>
    <row r="1288" spans="16:20" x14ac:dyDescent="0.35">
      <c r="P1288" t="s">
        <v>4287</v>
      </c>
      <c r="Q1288" t="s">
        <v>4286</v>
      </c>
      <c r="R1288" t="s">
        <v>4161</v>
      </c>
      <c r="S1288" t="s">
        <v>5614</v>
      </c>
      <c r="T1288" t="s">
        <v>5646</v>
      </c>
    </row>
    <row r="1289" spans="16:20" x14ac:dyDescent="0.35">
      <c r="P1289" t="s">
        <v>5170</v>
      </c>
      <c r="Q1289" t="s">
        <v>5169</v>
      </c>
      <c r="R1289" t="s">
        <v>2723</v>
      </c>
      <c r="S1289" t="s">
        <v>5612</v>
      </c>
      <c r="T1289" t="s">
        <v>1448</v>
      </c>
    </row>
    <row r="1290" spans="16:20" x14ac:dyDescent="0.35">
      <c r="P1290" t="s">
        <v>3346</v>
      </c>
      <c r="Q1290" t="s">
        <v>5497</v>
      </c>
      <c r="R1290" t="s">
        <v>6083</v>
      </c>
      <c r="S1290" t="s">
        <v>5619</v>
      </c>
      <c r="T1290" t="s">
        <v>5646</v>
      </c>
    </row>
    <row r="1291" spans="16:20" x14ac:dyDescent="0.35">
      <c r="P1291" t="s">
        <v>3348</v>
      </c>
      <c r="Q1291" t="s">
        <v>4962</v>
      </c>
      <c r="R1291" t="s">
        <v>5799</v>
      </c>
      <c r="S1291" t="s">
        <v>5607</v>
      </c>
      <c r="T1291" t="s">
        <v>5650</v>
      </c>
    </row>
    <row r="1292" spans="16:20" x14ac:dyDescent="0.35">
      <c r="P1292" t="s">
        <v>3350</v>
      </c>
      <c r="Q1292" t="s">
        <v>4433</v>
      </c>
      <c r="R1292" t="s">
        <v>457</v>
      </c>
      <c r="S1292" t="s">
        <v>5607</v>
      </c>
      <c r="T1292" t="s">
        <v>5650</v>
      </c>
    </row>
    <row r="1293" spans="16:20" x14ac:dyDescent="0.35">
      <c r="P1293" t="s">
        <v>3352</v>
      </c>
      <c r="Q1293" t="s">
        <v>5557</v>
      </c>
      <c r="R1293" t="s">
        <v>5618</v>
      </c>
      <c r="S1293" t="s">
        <v>5618</v>
      </c>
      <c r="T1293" t="s">
        <v>5658</v>
      </c>
    </row>
    <row r="1294" spans="16:20" x14ac:dyDescent="0.35">
      <c r="P1294" t="s">
        <v>5084</v>
      </c>
      <c r="Q1294" t="s">
        <v>5083</v>
      </c>
      <c r="R1294" t="s">
        <v>5621</v>
      </c>
      <c r="S1294" t="s">
        <v>5621</v>
      </c>
      <c r="T1294" t="s">
        <v>5678</v>
      </c>
    </row>
    <row r="1295" spans="16:20" x14ac:dyDescent="0.35">
      <c r="P1295" t="s">
        <v>4364</v>
      </c>
      <c r="Q1295" t="s">
        <v>4363</v>
      </c>
      <c r="R1295" t="s">
        <v>5741</v>
      </c>
      <c r="S1295" t="s">
        <v>5621</v>
      </c>
      <c r="T1295" t="s">
        <v>5678</v>
      </c>
    </row>
    <row r="1296" spans="16:20" x14ac:dyDescent="0.35">
      <c r="P1296" t="s">
        <v>5074</v>
      </c>
      <c r="Q1296" t="s">
        <v>5073</v>
      </c>
      <c r="R1296" t="s">
        <v>5621</v>
      </c>
      <c r="S1296" t="s">
        <v>5621</v>
      </c>
      <c r="T1296" t="s">
        <v>5678</v>
      </c>
    </row>
    <row r="1297" spans="16:20" x14ac:dyDescent="0.35">
      <c r="P1297" t="s">
        <v>3362</v>
      </c>
      <c r="Q1297" t="s">
        <v>4989</v>
      </c>
      <c r="R1297" t="s">
        <v>2495</v>
      </c>
      <c r="S1297" t="s">
        <v>5618</v>
      </c>
      <c r="T1297" t="s">
        <v>5658</v>
      </c>
    </row>
    <row r="1298" spans="16:20" x14ac:dyDescent="0.35">
      <c r="P1298" t="s">
        <v>5064</v>
      </c>
      <c r="Q1298" t="s">
        <v>5063</v>
      </c>
      <c r="R1298" t="s">
        <v>5621</v>
      </c>
      <c r="S1298" t="s">
        <v>5621</v>
      </c>
      <c r="T1298" t="s">
        <v>5678</v>
      </c>
    </row>
    <row r="1299" spans="16:20" x14ac:dyDescent="0.35">
      <c r="P1299" t="s">
        <v>5405</v>
      </c>
      <c r="Q1299" t="s">
        <v>5404</v>
      </c>
      <c r="R1299" t="s">
        <v>5776</v>
      </c>
      <c r="S1299" t="s">
        <v>5612</v>
      </c>
      <c r="T1299" t="s">
        <v>1448</v>
      </c>
    </row>
    <row r="1300" spans="16:20" x14ac:dyDescent="0.35">
      <c r="P1300" t="s">
        <v>3370</v>
      </c>
      <c r="Q1300" t="s">
        <v>4043</v>
      </c>
      <c r="R1300" t="s">
        <v>3370</v>
      </c>
      <c r="S1300" t="s">
        <v>5615</v>
      </c>
      <c r="T1300" t="s">
        <v>5650</v>
      </c>
    </row>
    <row r="1301" spans="16:20" x14ac:dyDescent="0.35">
      <c r="P1301" t="s">
        <v>3372</v>
      </c>
      <c r="Q1301" t="s">
        <v>4157</v>
      </c>
      <c r="R1301" t="s">
        <v>3370</v>
      </c>
      <c r="S1301" t="s">
        <v>5615</v>
      </c>
      <c r="T1301" t="s">
        <v>5650</v>
      </c>
    </row>
    <row r="1302" spans="16:20" x14ac:dyDescent="0.35">
      <c r="P1302" t="s">
        <v>3374</v>
      </c>
      <c r="Q1302" t="s">
        <v>4703</v>
      </c>
      <c r="R1302" t="s">
        <v>1375</v>
      </c>
      <c r="S1302" t="s">
        <v>5607</v>
      </c>
      <c r="T1302" t="s">
        <v>5650</v>
      </c>
    </row>
    <row r="1303" spans="16:20" x14ac:dyDescent="0.35">
      <c r="P1303" t="s">
        <v>3376</v>
      </c>
      <c r="Q1303" t="s">
        <v>4704</v>
      </c>
      <c r="R1303" t="s">
        <v>1375</v>
      </c>
      <c r="S1303" t="s">
        <v>5607</v>
      </c>
      <c r="T1303" t="s">
        <v>5650</v>
      </c>
    </row>
    <row r="1304" spans="16:20" x14ac:dyDescent="0.35">
      <c r="P1304" t="s">
        <v>3380</v>
      </c>
      <c r="Q1304" t="s">
        <v>5534</v>
      </c>
      <c r="R1304" t="s">
        <v>5610</v>
      </c>
      <c r="S1304" t="s">
        <v>5610</v>
      </c>
      <c r="T1304" t="s">
        <v>5646</v>
      </c>
    </row>
    <row r="1305" spans="16:20" x14ac:dyDescent="0.35">
      <c r="P1305" t="s">
        <v>3382</v>
      </c>
      <c r="Q1305" t="s">
        <v>5470</v>
      </c>
      <c r="R1305" t="s">
        <v>3587</v>
      </c>
      <c r="S1305" t="s">
        <v>1837</v>
      </c>
      <c r="T1305" t="s">
        <v>5646</v>
      </c>
    </row>
    <row r="1306" spans="16:20" x14ac:dyDescent="0.35">
      <c r="P1306" t="s">
        <v>4211</v>
      </c>
      <c r="Q1306" t="s">
        <v>4754</v>
      </c>
      <c r="R1306" t="s">
        <v>5888</v>
      </c>
      <c r="S1306" t="s">
        <v>5619</v>
      </c>
      <c r="T1306" t="s">
        <v>5646</v>
      </c>
    </row>
    <row r="1307" spans="16:20" x14ac:dyDescent="0.35">
      <c r="Q1307" t="s">
        <v>4157</v>
      </c>
      <c r="R1307" t="s">
        <v>5926</v>
      </c>
      <c r="S1307" t="s">
        <v>1837</v>
      </c>
      <c r="T1307" t="s">
        <v>5646</v>
      </c>
    </row>
    <row r="1308" spans="16:20" x14ac:dyDescent="0.35">
      <c r="P1308" t="s">
        <v>3387</v>
      </c>
      <c r="Q1308" t="s">
        <v>5121</v>
      </c>
      <c r="R1308" t="s">
        <v>5719</v>
      </c>
      <c r="S1308" t="s">
        <v>5607</v>
      </c>
      <c r="T1308" t="s">
        <v>5650</v>
      </c>
    </row>
    <row r="1309" spans="16:20" x14ac:dyDescent="0.35">
      <c r="P1309" t="s">
        <v>5318</v>
      </c>
      <c r="Q1309" t="s">
        <v>5317</v>
      </c>
      <c r="R1309" t="s">
        <v>5912</v>
      </c>
      <c r="S1309" t="s">
        <v>5621</v>
      </c>
      <c r="T1309" t="s">
        <v>5678</v>
      </c>
    </row>
    <row r="1310" spans="16:20" x14ac:dyDescent="0.35">
      <c r="P1310" t="s">
        <v>3391</v>
      </c>
      <c r="Q1310" t="s">
        <v>4573</v>
      </c>
      <c r="R1310" t="s">
        <v>855</v>
      </c>
      <c r="S1310" t="s">
        <v>5615</v>
      </c>
      <c r="T1310" t="s">
        <v>5650</v>
      </c>
    </row>
    <row r="1311" spans="16:20" x14ac:dyDescent="0.35">
      <c r="P1311" t="s">
        <v>3394</v>
      </c>
      <c r="Q1311" t="s">
        <v>5348</v>
      </c>
      <c r="R1311" t="s">
        <v>3110</v>
      </c>
      <c r="S1311" t="s">
        <v>1837</v>
      </c>
      <c r="T1311" t="s">
        <v>5646</v>
      </c>
    </row>
    <row r="1312" spans="16:20" x14ac:dyDescent="0.35">
      <c r="P1312" t="s">
        <v>3396</v>
      </c>
      <c r="Q1312" t="s">
        <v>5417</v>
      </c>
      <c r="R1312" t="s">
        <v>3398</v>
      </c>
      <c r="S1312" t="s">
        <v>5615</v>
      </c>
      <c r="T1312" t="s">
        <v>5650</v>
      </c>
    </row>
    <row r="1313" spans="16:20" x14ac:dyDescent="0.35">
      <c r="P1313" t="s">
        <v>3398</v>
      </c>
      <c r="Q1313" t="s">
        <v>3399</v>
      </c>
      <c r="R1313" t="s">
        <v>3398</v>
      </c>
      <c r="S1313" t="s">
        <v>5615</v>
      </c>
      <c r="T1313" t="s">
        <v>5650</v>
      </c>
    </row>
    <row r="1314" spans="16:20" x14ac:dyDescent="0.35">
      <c r="Q1314" t="s">
        <v>4157</v>
      </c>
      <c r="R1314" t="s">
        <v>3398</v>
      </c>
      <c r="S1314" t="s">
        <v>5615</v>
      </c>
      <c r="T1314" t="s">
        <v>5650</v>
      </c>
    </row>
    <row r="1315" spans="16:20" x14ac:dyDescent="0.35">
      <c r="P1315" t="s">
        <v>4521</v>
      </c>
      <c r="Q1315" t="s">
        <v>4520</v>
      </c>
      <c r="R1315" t="s">
        <v>4513</v>
      </c>
      <c r="S1315" t="s">
        <v>5612</v>
      </c>
      <c r="T1315" t="s">
        <v>1448</v>
      </c>
    </row>
    <row r="1316" spans="16:20" x14ac:dyDescent="0.35">
      <c r="Q1316" t="s">
        <v>4838</v>
      </c>
      <c r="R1316" t="s">
        <v>1957</v>
      </c>
      <c r="S1316" t="s">
        <v>5612</v>
      </c>
      <c r="T1316" t="s">
        <v>1448</v>
      </c>
    </row>
    <row r="1317" spans="16:20" x14ac:dyDescent="0.35">
      <c r="P1317" t="s">
        <v>3406</v>
      </c>
      <c r="Q1317" t="s">
        <v>4830</v>
      </c>
      <c r="R1317" t="s">
        <v>5909</v>
      </c>
      <c r="S1317" t="s">
        <v>5619</v>
      </c>
      <c r="T1317" t="s">
        <v>5646</v>
      </c>
    </row>
    <row r="1318" spans="16:20" x14ac:dyDescent="0.35">
      <c r="P1318" t="s">
        <v>3408</v>
      </c>
      <c r="Q1318" t="s">
        <v>4131</v>
      </c>
      <c r="R1318" t="s">
        <v>5715</v>
      </c>
      <c r="S1318" t="s">
        <v>5611</v>
      </c>
      <c r="T1318" t="s">
        <v>1448</v>
      </c>
    </row>
    <row r="1319" spans="16:20" x14ac:dyDescent="0.35">
      <c r="P1319" t="s">
        <v>3411</v>
      </c>
      <c r="Q1319" t="s">
        <v>5424</v>
      </c>
      <c r="R1319" t="s">
        <v>3411</v>
      </c>
      <c r="S1319" t="s">
        <v>5618</v>
      </c>
      <c r="T1319" t="s">
        <v>5658</v>
      </c>
    </row>
    <row r="1320" spans="16:20" x14ac:dyDescent="0.35">
      <c r="P1320" t="s">
        <v>3413</v>
      </c>
      <c r="Q1320" t="s">
        <v>4587</v>
      </c>
      <c r="R1320" t="s">
        <v>5103</v>
      </c>
      <c r="S1320" t="s">
        <v>5607</v>
      </c>
      <c r="T1320" t="s">
        <v>5650</v>
      </c>
    </row>
    <row r="1321" spans="16:20" x14ac:dyDescent="0.35">
      <c r="P1321" t="s">
        <v>3416</v>
      </c>
      <c r="Q1321" t="s">
        <v>5574</v>
      </c>
      <c r="R1321" t="s">
        <v>3903</v>
      </c>
      <c r="S1321" t="s">
        <v>5618</v>
      </c>
      <c r="T1321" t="s">
        <v>5658</v>
      </c>
    </row>
    <row r="1322" spans="16:20" x14ac:dyDescent="0.35">
      <c r="Q1322" t="s">
        <v>4343</v>
      </c>
      <c r="R1322" t="s">
        <v>5721</v>
      </c>
      <c r="S1322" t="s">
        <v>5617</v>
      </c>
      <c r="T1322" t="s">
        <v>5658</v>
      </c>
    </row>
    <row r="1323" spans="16:20" x14ac:dyDescent="0.35">
      <c r="P1323" t="s">
        <v>3421</v>
      </c>
      <c r="Q1323" t="s">
        <v>5469</v>
      </c>
      <c r="R1323" t="s">
        <v>3587</v>
      </c>
      <c r="S1323" t="s">
        <v>1837</v>
      </c>
      <c r="T1323" t="s">
        <v>5646</v>
      </c>
    </row>
    <row r="1324" spans="16:20" x14ac:dyDescent="0.35">
      <c r="P1324" t="s">
        <v>3423</v>
      </c>
      <c r="Q1324" t="s">
        <v>5113</v>
      </c>
      <c r="R1324" t="s">
        <v>5981</v>
      </c>
      <c r="S1324" t="s">
        <v>5612</v>
      </c>
      <c r="T1324" t="s">
        <v>1448</v>
      </c>
    </row>
    <row r="1325" spans="16:20" x14ac:dyDescent="0.35">
      <c r="Q1325" t="s">
        <v>4145</v>
      </c>
      <c r="R1325" t="s">
        <v>3836</v>
      </c>
      <c r="S1325" t="s">
        <v>5611</v>
      </c>
      <c r="T1325" t="s">
        <v>1448</v>
      </c>
    </row>
    <row r="1326" spans="16:20" x14ac:dyDescent="0.35">
      <c r="P1326" t="s">
        <v>3427</v>
      </c>
      <c r="Q1326" t="s">
        <v>4672</v>
      </c>
      <c r="R1326" t="s">
        <v>1349</v>
      </c>
      <c r="S1326" t="s">
        <v>5607</v>
      </c>
      <c r="T1326" t="s">
        <v>5650</v>
      </c>
    </row>
    <row r="1327" spans="16:20" x14ac:dyDescent="0.35">
      <c r="P1327" t="s">
        <v>3430</v>
      </c>
      <c r="Q1327" t="s">
        <v>4992</v>
      </c>
      <c r="R1327" t="s">
        <v>5746</v>
      </c>
      <c r="S1327" t="s">
        <v>5607</v>
      </c>
      <c r="T1327" t="s">
        <v>5650</v>
      </c>
    </row>
    <row r="1328" spans="16:20" x14ac:dyDescent="0.35">
      <c r="P1328" t="s">
        <v>3435</v>
      </c>
      <c r="Q1328" t="s">
        <v>5284</v>
      </c>
      <c r="R1328" t="s">
        <v>5788</v>
      </c>
      <c r="S1328" t="s">
        <v>5614</v>
      </c>
      <c r="T1328" t="s">
        <v>5646</v>
      </c>
    </row>
    <row r="1329" spans="16:20" x14ac:dyDescent="0.35">
      <c r="P1329" t="s">
        <v>3437</v>
      </c>
      <c r="Q1329" t="s">
        <v>5443</v>
      </c>
      <c r="R1329" t="s">
        <v>5682</v>
      </c>
      <c r="S1329" t="s">
        <v>5614</v>
      </c>
      <c r="T1329" t="s">
        <v>5646</v>
      </c>
    </row>
    <row r="1330" spans="16:20" x14ac:dyDescent="0.35">
      <c r="P1330" t="s">
        <v>3439</v>
      </c>
      <c r="Q1330" t="s">
        <v>4352</v>
      </c>
      <c r="R1330" t="s">
        <v>5732</v>
      </c>
      <c r="S1330" t="s">
        <v>5614</v>
      </c>
      <c r="T1330" t="s">
        <v>5646</v>
      </c>
    </row>
    <row r="1331" spans="16:20" x14ac:dyDescent="0.35">
      <c r="P1331" t="s">
        <v>5517</v>
      </c>
      <c r="Q1331" t="s">
        <v>5516</v>
      </c>
      <c r="R1331" t="s">
        <v>3702</v>
      </c>
      <c r="S1331" t="s">
        <v>5619</v>
      </c>
      <c r="T1331" t="s">
        <v>5646</v>
      </c>
    </row>
    <row r="1332" spans="16:20" x14ac:dyDescent="0.35">
      <c r="P1332" t="s">
        <v>4272</v>
      </c>
      <c r="Q1332" t="s">
        <v>4157</v>
      </c>
      <c r="R1332" t="s">
        <v>5746</v>
      </c>
      <c r="S1332" t="s">
        <v>5607</v>
      </c>
      <c r="T1332" t="s">
        <v>5650</v>
      </c>
    </row>
    <row r="1333" spans="16:20" x14ac:dyDescent="0.35">
      <c r="P1333" t="s">
        <v>3446</v>
      </c>
      <c r="Q1333" t="s">
        <v>3445</v>
      </c>
      <c r="R1333" t="s">
        <v>5746</v>
      </c>
      <c r="S1333" t="s">
        <v>5607</v>
      </c>
      <c r="T1333" t="s">
        <v>5650</v>
      </c>
    </row>
    <row r="1334" spans="16:20" x14ac:dyDescent="0.35">
      <c r="P1334" t="s">
        <v>3448</v>
      </c>
      <c r="Q1334" t="s">
        <v>5000</v>
      </c>
      <c r="R1334" t="s">
        <v>5746</v>
      </c>
      <c r="S1334" t="s">
        <v>5607</v>
      </c>
      <c r="T1334" t="s">
        <v>5650</v>
      </c>
    </row>
    <row r="1335" spans="16:20" x14ac:dyDescent="0.35">
      <c r="P1335" t="s">
        <v>3451</v>
      </c>
      <c r="Q1335" t="s">
        <v>4963</v>
      </c>
      <c r="R1335" t="s">
        <v>5799</v>
      </c>
      <c r="S1335" t="s">
        <v>5607</v>
      </c>
      <c r="T1335" t="s">
        <v>5650</v>
      </c>
    </row>
    <row r="1336" spans="16:20" x14ac:dyDescent="0.35">
      <c r="P1336" t="s">
        <v>4452</v>
      </c>
      <c r="Q1336" t="s">
        <v>4451</v>
      </c>
      <c r="R1336" t="s">
        <v>5755</v>
      </c>
      <c r="S1336" t="s">
        <v>5614</v>
      </c>
      <c r="T1336" t="s">
        <v>5646</v>
      </c>
    </row>
    <row r="1337" spans="16:20" x14ac:dyDescent="0.35">
      <c r="P1337" t="s">
        <v>4163</v>
      </c>
      <c r="Q1337" t="s">
        <v>4157</v>
      </c>
      <c r="R1337" t="s">
        <v>4161</v>
      </c>
      <c r="S1337" t="s">
        <v>5614</v>
      </c>
      <c r="T1337" t="s">
        <v>5646</v>
      </c>
    </row>
    <row r="1338" spans="16:20" x14ac:dyDescent="0.35">
      <c r="P1338" t="s">
        <v>3457</v>
      </c>
      <c r="Q1338" t="s">
        <v>4831</v>
      </c>
      <c r="R1338" t="s">
        <v>5909</v>
      </c>
      <c r="S1338" t="s">
        <v>5619</v>
      </c>
      <c r="T1338" t="s">
        <v>5646</v>
      </c>
    </row>
    <row r="1339" spans="16:20" x14ac:dyDescent="0.35">
      <c r="P1339" t="s">
        <v>3459</v>
      </c>
      <c r="Q1339" t="s">
        <v>4827</v>
      </c>
      <c r="R1339" t="s">
        <v>5909</v>
      </c>
      <c r="S1339" t="s">
        <v>5619</v>
      </c>
      <c r="T1339" t="s">
        <v>5646</v>
      </c>
    </row>
    <row r="1340" spans="16:20" x14ac:dyDescent="0.35">
      <c r="P1340" t="s">
        <v>3465</v>
      </c>
      <c r="Q1340" t="s">
        <v>3466</v>
      </c>
      <c r="R1340" t="s">
        <v>5607</v>
      </c>
      <c r="S1340" t="s">
        <v>5607</v>
      </c>
      <c r="T1340" t="s">
        <v>5650</v>
      </c>
    </row>
    <row r="1341" spans="16:20" x14ac:dyDescent="0.35">
      <c r="Q1341" t="s">
        <v>4157</v>
      </c>
      <c r="R1341" t="s">
        <v>4240</v>
      </c>
      <c r="S1341" t="s">
        <v>5607</v>
      </c>
      <c r="T1341" t="s">
        <v>5650</v>
      </c>
    </row>
    <row r="1342" spans="16:20" x14ac:dyDescent="0.35">
      <c r="P1342" t="s">
        <v>3469</v>
      </c>
      <c r="Q1342" t="s">
        <v>5447</v>
      </c>
      <c r="R1342" t="s">
        <v>5682</v>
      </c>
      <c r="S1342" t="s">
        <v>5614</v>
      </c>
      <c r="T1342" t="s">
        <v>5646</v>
      </c>
    </row>
    <row r="1343" spans="16:20" x14ac:dyDescent="0.35">
      <c r="P1343" t="s">
        <v>3471</v>
      </c>
      <c r="Q1343" t="s">
        <v>3472</v>
      </c>
      <c r="R1343" t="s">
        <v>5607</v>
      </c>
      <c r="S1343" t="s">
        <v>5607</v>
      </c>
      <c r="T1343" t="s">
        <v>5650</v>
      </c>
    </row>
    <row r="1344" spans="16:20" x14ac:dyDescent="0.35">
      <c r="Q1344" t="s">
        <v>4157</v>
      </c>
      <c r="R1344" t="s">
        <v>4240</v>
      </c>
      <c r="S1344" t="s">
        <v>5607</v>
      </c>
      <c r="T1344" t="s">
        <v>5650</v>
      </c>
    </row>
    <row r="1345" spans="16:20" x14ac:dyDescent="0.35">
      <c r="P1345" t="s">
        <v>3474</v>
      </c>
      <c r="Q1345" t="s">
        <v>3475</v>
      </c>
      <c r="R1345" t="s">
        <v>5682</v>
      </c>
      <c r="S1345" t="s">
        <v>5614</v>
      </c>
      <c r="T1345" t="s">
        <v>5646</v>
      </c>
    </row>
    <row r="1346" spans="16:20" x14ac:dyDescent="0.35">
      <c r="Q1346" t="s">
        <v>4157</v>
      </c>
      <c r="R1346" t="s">
        <v>5682</v>
      </c>
      <c r="S1346" t="s">
        <v>5614</v>
      </c>
      <c r="T1346" t="s">
        <v>5646</v>
      </c>
    </row>
    <row r="1347" spans="16:20" x14ac:dyDescent="0.35">
      <c r="P1347" t="s">
        <v>3477</v>
      </c>
      <c r="Q1347" t="s">
        <v>4282</v>
      </c>
      <c r="R1347" t="s">
        <v>5665</v>
      </c>
      <c r="S1347" t="s">
        <v>5609</v>
      </c>
      <c r="T1347" t="s">
        <v>5658</v>
      </c>
    </row>
    <row r="1348" spans="16:20" x14ac:dyDescent="0.35">
      <c r="P1348" t="s">
        <v>3479</v>
      </c>
      <c r="Q1348" t="s">
        <v>5450</v>
      </c>
      <c r="R1348" t="s">
        <v>3479</v>
      </c>
      <c r="S1348" t="s">
        <v>5623</v>
      </c>
      <c r="T1348" t="s">
        <v>5658</v>
      </c>
    </row>
    <row r="1349" spans="16:20" x14ac:dyDescent="0.35">
      <c r="P1349" t="s">
        <v>3481</v>
      </c>
      <c r="Q1349" t="s">
        <v>5579</v>
      </c>
      <c r="R1349" t="s">
        <v>6164</v>
      </c>
      <c r="S1349" t="s">
        <v>1837</v>
      </c>
      <c r="T1349" t="s">
        <v>5646</v>
      </c>
    </row>
    <row r="1350" spans="16:20" x14ac:dyDescent="0.35">
      <c r="P1350" t="s">
        <v>5522</v>
      </c>
      <c r="Q1350" t="s">
        <v>5521</v>
      </c>
      <c r="R1350" t="s">
        <v>3702</v>
      </c>
      <c r="S1350" t="s">
        <v>5619</v>
      </c>
      <c r="T1350" t="s">
        <v>5646</v>
      </c>
    </row>
    <row r="1351" spans="16:20" x14ac:dyDescent="0.35">
      <c r="P1351" t="s">
        <v>3491</v>
      </c>
      <c r="Q1351" t="s">
        <v>4157</v>
      </c>
      <c r="R1351" t="s">
        <v>5811</v>
      </c>
      <c r="S1351" t="s">
        <v>5615</v>
      </c>
      <c r="T1351" t="s">
        <v>5650</v>
      </c>
    </row>
    <row r="1352" spans="16:20" x14ac:dyDescent="0.35">
      <c r="P1352" t="s">
        <v>3493</v>
      </c>
      <c r="Q1352" t="s">
        <v>5453</v>
      </c>
      <c r="R1352" t="s">
        <v>5811</v>
      </c>
      <c r="S1352" t="s">
        <v>5615</v>
      </c>
      <c r="T1352" t="s">
        <v>5650</v>
      </c>
    </row>
    <row r="1353" spans="16:20" x14ac:dyDescent="0.35">
      <c r="P1353" t="s">
        <v>3495</v>
      </c>
      <c r="Q1353" t="s">
        <v>5596</v>
      </c>
      <c r="R1353" t="s">
        <v>3938</v>
      </c>
      <c r="S1353" t="s">
        <v>5607</v>
      </c>
      <c r="T1353" t="s">
        <v>5650</v>
      </c>
    </row>
    <row r="1354" spans="16:20" x14ac:dyDescent="0.35">
      <c r="P1354" t="s">
        <v>3498</v>
      </c>
      <c r="Q1354" t="s">
        <v>5461</v>
      </c>
      <c r="R1354" t="s">
        <v>3498</v>
      </c>
      <c r="S1354" t="s">
        <v>5618</v>
      </c>
      <c r="T1354" t="s">
        <v>5658</v>
      </c>
    </row>
    <row r="1355" spans="16:20" x14ac:dyDescent="0.35">
      <c r="P1355" t="s">
        <v>4241</v>
      </c>
      <c r="Q1355" t="s">
        <v>4157</v>
      </c>
      <c r="R1355" t="s">
        <v>5783</v>
      </c>
      <c r="S1355" t="s">
        <v>5607</v>
      </c>
      <c r="T1355" t="s">
        <v>5650</v>
      </c>
    </row>
    <row r="1356" spans="16:20" x14ac:dyDescent="0.35">
      <c r="P1356" t="s">
        <v>3509</v>
      </c>
      <c r="Q1356" t="s">
        <v>5285</v>
      </c>
      <c r="R1356" t="s">
        <v>5788</v>
      </c>
      <c r="S1356" t="s">
        <v>5614</v>
      </c>
      <c r="T1356" t="s">
        <v>5646</v>
      </c>
    </row>
    <row r="1357" spans="16:20" x14ac:dyDescent="0.35">
      <c r="P1357" t="s">
        <v>3513</v>
      </c>
      <c r="Q1357" t="s">
        <v>5286</v>
      </c>
      <c r="R1357" t="s">
        <v>5788</v>
      </c>
      <c r="S1357" t="s">
        <v>5614</v>
      </c>
      <c r="T1357" t="s">
        <v>5646</v>
      </c>
    </row>
    <row r="1358" spans="16:20" x14ac:dyDescent="0.35">
      <c r="P1358" t="s">
        <v>3515</v>
      </c>
      <c r="Q1358" t="s">
        <v>5287</v>
      </c>
      <c r="R1358" t="s">
        <v>5788</v>
      </c>
      <c r="S1358" t="s">
        <v>5614</v>
      </c>
      <c r="T1358" t="s">
        <v>5646</v>
      </c>
    </row>
    <row r="1359" spans="16:20" x14ac:dyDescent="0.35">
      <c r="P1359" t="s">
        <v>3517</v>
      </c>
      <c r="Q1359" t="s">
        <v>5288</v>
      </c>
      <c r="R1359" t="s">
        <v>5788</v>
      </c>
      <c r="S1359" t="s">
        <v>5614</v>
      </c>
      <c r="T1359" t="s">
        <v>5646</v>
      </c>
    </row>
    <row r="1360" spans="16:20" x14ac:dyDescent="0.35">
      <c r="P1360" t="s">
        <v>3522</v>
      </c>
      <c r="Q1360" t="s">
        <v>4985</v>
      </c>
      <c r="R1360" t="s">
        <v>5836</v>
      </c>
      <c r="S1360" t="s">
        <v>5618</v>
      </c>
      <c r="T1360" t="s">
        <v>5658</v>
      </c>
    </row>
    <row r="1361" spans="16:20" x14ac:dyDescent="0.35">
      <c r="P1361" t="s">
        <v>3524</v>
      </c>
      <c r="Q1361" t="s">
        <v>4058</v>
      </c>
      <c r="R1361" t="s">
        <v>5746</v>
      </c>
      <c r="S1361" t="s">
        <v>5607</v>
      </c>
      <c r="T1361" t="s">
        <v>5650</v>
      </c>
    </row>
    <row r="1362" spans="16:20" x14ac:dyDescent="0.35">
      <c r="P1362" t="s">
        <v>3526</v>
      </c>
      <c r="Q1362" t="s">
        <v>5327</v>
      </c>
      <c r="R1362" t="s">
        <v>3101</v>
      </c>
      <c r="S1362" t="s">
        <v>5610</v>
      </c>
      <c r="T1362" t="s">
        <v>5646</v>
      </c>
    </row>
    <row r="1363" spans="16:20" x14ac:dyDescent="0.35">
      <c r="P1363" t="s">
        <v>3528</v>
      </c>
      <c r="Q1363" t="s">
        <v>5146</v>
      </c>
      <c r="R1363" t="s">
        <v>2632</v>
      </c>
      <c r="S1363" t="s">
        <v>5617</v>
      </c>
      <c r="T1363" t="s">
        <v>5658</v>
      </c>
    </row>
    <row r="1364" spans="16:20" x14ac:dyDescent="0.35">
      <c r="P1364" t="s">
        <v>4219</v>
      </c>
      <c r="Q1364" t="s">
        <v>4157</v>
      </c>
      <c r="R1364" t="s">
        <v>5779</v>
      </c>
      <c r="S1364" t="s">
        <v>1837</v>
      </c>
      <c r="T1364" t="s">
        <v>5646</v>
      </c>
    </row>
    <row r="1365" spans="16:20" x14ac:dyDescent="0.35">
      <c r="P1365" t="s">
        <v>3536</v>
      </c>
      <c r="Q1365" t="s">
        <v>4617</v>
      </c>
      <c r="R1365" t="s">
        <v>5821</v>
      </c>
      <c r="S1365" t="s">
        <v>5609</v>
      </c>
      <c r="T1365" t="s">
        <v>5658</v>
      </c>
    </row>
    <row r="1366" spans="16:20" x14ac:dyDescent="0.35">
      <c r="P1366" t="s">
        <v>3538</v>
      </c>
      <c r="Q1366" t="s">
        <v>4330</v>
      </c>
      <c r="R1366" t="s">
        <v>5713</v>
      </c>
      <c r="S1366" t="s">
        <v>5611</v>
      </c>
      <c r="T1366" t="s">
        <v>1448</v>
      </c>
    </row>
    <row r="1367" spans="16:20" x14ac:dyDescent="0.35">
      <c r="P1367" t="s">
        <v>4721</v>
      </c>
      <c r="Q1367" t="s">
        <v>4720</v>
      </c>
      <c r="R1367" t="s">
        <v>1522</v>
      </c>
      <c r="S1367" t="s">
        <v>5610</v>
      </c>
      <c r="T1367" t="s">
        <v>5646</v>
      </c>
    </row>
    <row r="1368" spans="16:20" x14ac:dyDescent="0.35">
      <c r="P1368" t="s">
        <v>3543</v>
      </c>
      <c r="Q1368" t="s">
        <v>4468</v>
      </c>
      <c r="R1368" t="s">
        <v>5755</v>
      </c>
      <c r="S1368" t="s">
        <v>5614</v>
      </c>
      <c r="T1368" t="s">
        <v>5646</v>
      </c>
    </row>
    <row r="1369" spans="16:20" x14ac:dyDescent="0.35">
      <c r="P1369" t="s">
        <v>3549</v>
      </c>
      <c r="Q1369" t="s">
        <v>3550</v>
      </c>
      <c r="R1369" t="s">
        <v>3549</v>
      </c>
      <c r="S1369" t="s">
        <v>5615</v>
      </c>
      <c r="T1369" t="s">
        <v>5650</v>
      </c>
    </row>
    <row r="1370" spans="16:20" x14ac:dyDescent="0.35">
      <c r="Q1370" t="s">
        <v>4157</v>
      </c>
      <c r="R1370" t="s">
        <v>3549</v>
      </c>
      <c r="S1370" t="s">
        <v>5615</v>
      </c>
      <c r="T1370" t="s">
        <v>5650</v>
      </c>
    </row>
    <row r="1371" spans="16:20" x14ac:dyDescent="0.35">
      <c r="P1371" t="s">
        <v>3553</v>
      </c>
      <c r="Q1371" t="s">
        <v>5392</v>
      </c>
      <c r="R1371" t="s">
        <v>5961</v>
      </c>
      <c r="S1371" t="s">
        <v>5610</v>
      </c>
      <c r="T1371" t="s">
        <v>5646</v>
      </c>
    </row>
    <row r="1372" spans="16:20" x14ac:dyDescent="0.35">
      <c r="P1372" t="s">
        <v>3555</v>
      </c>
      <c r="Q1372" t="s">
        <v>5388</v>
      </c>
      <c r="R1372" t="s">
        <v>5961</v>
      </c>
      <c r="S1372" t="s">
        <v>5610</v>
      </c>
      <c r="T1372" t="s">
        <v>5646</v>
      </c>
    </row>
    <row r="1373" spans="16:20" x14ac:dyDescent="0.35">
      <c r="P1373" t="s">
        <v>3558</v>
      </c>
      <c r="Q1373" t="s">
        <v>4680</v>
      </c>
      <c r="R1373" t="s">
        <v>1349</v>
      </c>
      <c r="S1373" t="s">
        <v>5607</v>
      </c>
      <c r="T1373" t="s">
        <v>5650</v>
      </c>
    </row>
    <row r="1374" spans="16:20" x14ac:dyDescent="0.35">
      <c r="Q1374" t="s">
        <v>5112</v>
      </c>
      <c r="R1374" t="s">
        <v>5981</v>
      </c>
      <c r="S1374" t="s">
        <v>5612</v>
      </c>
      <c r="T1374" t="s">
        <v>1448</v>
      </c>
    </row>
    <row r="1375" spans="16:20" x14ac:dyDescent="0.35">
      <c r="Q1375" t="s">
        <v>4106</v>
      </c>
      <c r="R1375" t="s">
        <v>1779</v>
      </c>
      <c r="S1375" t="s">
        <v>5611</v>
      </c>
      <c r="T1375" t="s">
        <v>1448</v>
      </c>
    </row>
    <row r="1376" spans="16:20" x14ac:dyDescent="0.35">
      <c r="P1376" t="s">
        <v>3560</v>
      </c>
      <c r="Q1376" t="s">
        <v>4157</v>
      </c>
      <c r="R1376" t="s">
        <v>6120</v>
      </c>
      <c r="S1376" t="s">
        <v>5615</v>
      </c>
      <c r="T1376" t="s">
        <v>5650</v>
      </c>
    </row>
    <row r="1377" spans="16:20" x14ac:dyDescent="0.35">
      <c r="P1377" t="s">
        <v>3563</v>
      </c>
      <c r="Q1377" t="s">
        <v>4157</v>
      </c>
      <c r="R1377" t="s">
        <v>3549</v>
      </c>
      <c r="S1377" t="s">
        <v>5615</v>
      </c>
      <c r="T1377" t="s">
        <v>5650</v>
      </c>
    </row>
    <row r="1378" spans="16:20" x14ac:dyDescent="0.35">
      <c r="P1378" t="s">
        <v>3565</v>
      </c>
      <c r="Q1378" t="s">
        <v>5289</v>
      </c>
      <c r="R1378" t="s">
        <v>5788</v>
      </c>
      <c r="S1378" t="s">
        <v>5614</v>
      </c>
      <c r="T1378" t="s">
        <v>5646</v>
      </c>
    </row>
    <row r="1379" spans="16:20" x14ac:dyDescent="0.35">
      <c r="P1379" t="s">
        <v>3567</v>
      </c>
      <c r="Q1379" t="s">
        <v>4506</v>
      </c>
      <c r="R1379" t="s">
        <v>550</v>
      </c>
      <c r="S1379" t="s">
        <v>5618</v>
      </c>
      <c r="T1379" t="s">
        <v>5658</v>
      </c>
    </row>
    <row r="1380" spans="16:20" x14ac:dyDescent="0.35">
      <c r="Q1380" t="s">
        <v>4569</v>
      </c>
      <c r="R1380" t="s">
        <v>855</v>
      </c>
      <c r="S1380" t="s">
        <v>5615</v>
      </c>
      <c r="T1380" t="s">
        <v>5650</v>
      </c>
    </row>
    <row r="1381" spans="16:20" x14ac:dyDescent="0.35">
      <c r="P1381" t="s">
        <v>3572</v>
      </c>
      <c r="Q1381" t="s">
        <v>5399</v>
      </c>
      <c r="R1381" t="s">
        <v>3315</v>
      </c>
      <c r="S1381" t="s">
        <v>5618</v>
      </c>
      <c r="T1381" t="s">
        <v>5658</v>
      </c>
    </row>
    <row r="1382" spans="16:20" x14ac:dyDescent="0.35">
      <c r="P1382" t="s">
        <v>3574</v>
      </c>
      <c r="Q1382" t="s">
        <v>5265</v>
      </c>
      <c r="R1382" t="s">
        <v>5788</v>
      </c>
      <c r="S1382" t="s">
        <v>5614</v>
      </c>
      <c r="T1382" t="s">
        <v>5646</v>
      </c>
    </row>
    <row r="1383" spans="16:20" x14ac:dyDescent="0.35">
      <c r="P1383" t="s">
        <v>3577</v>
      </c>
      <c r="Q1383" t="s">
        <v>5556</v>
      </c>
      <c r="R1383" t="s">
        <v>3824</v>
      </c>
      <c r="S1383" t="s">
        <v>1837</v>
      </c>
      <c r="T1383" t="s">
        <v>5646</v>
      </c>
    </row>
    <row r="1384" spans="16:20" x14ac:dyDescent="0.35">
      <c r="P1384" t="s">
        <v>3583</v>
      </c>
      <c r="Q1384" t="s">
        <v>5471</v>
      </c>
      <c r="R1384" t="s">
        <v>5828</v>
      </c>
      <c r="S1384" t="s">
        <v>5611</v>
      </c>
      <c r="T1384" t="s">
        <v>1448</v>
      </c>
    </row>
    <row r="1385" spans="16:20" x14ac:dyDescent="0.35">
      <c r="P1385" t="s">
        <v>3585</v>
      </c>
      <c r="Q1385" t="s">
        <v>5393</v>
      </c>
      <c r="R1385" t="s">
        <v>5961</v>
      </c>
      <c r="S1385" t="s">
        <v>5610</v>
      </c>
      <c r="T1385" t="s">
        <v>5646</v>
      </c>
    </row>
    <row r="1386" spans="16:20" x14ac:dyDescent="0.35">
      <c r="P1386" t="s">
        <v>3587</v>
      </c>
      <c r="Q1386" t="s">
        <v>4964</v>
      </c>
      <c r="R1386" t="s">
        <v>5799</v>
      </c>
      <c r="S1386" t="s">
        <v>5607</v>
      </c>
      <c r="T1386" t="s">
        <v>5650</v>
      </c>
    </row>
    <row r="1387" spans="16:20" x14ac:dyDescent="0.35">
      <c r="Q1387" t="s">
        <v>5310</v>
      </c>
      <c r="R1387" t="s">
        <v>3032</v>
      </c>
      <c r="S1387" t="s">
        <v>5619</v>
      </c>
      <c r="T1387" t="s">
        <v>5646</v>
      </c>
    </row>
    <row r="1388" spans="16:20" x14ac:dyDescent="0.35">
      <c r="Q1388" t="s">
        <v>4082</v>
      </c>
      <c r="R1388" t="s">
        <v>5682</v>
      </c>
      <c r="S1388" t="s">
        <v>5614</v>
      </c>
      <c r="T1388" t="s">
        <v>5646</v>
      </c>
    </row>
    <row r="1389" spans="16:20" x14ac:dyDescent="0.35">
      <c r="Q1389" t="s">
        <v>5445</v>
      </c>
      <c r="R1389" t="s">
        <v>5682</v>
      </c>
      <c r="S1389" t="s">
        <v>5614</v>
      </c>
      <c r="T1389" t="s">
        <v>5646</v>
      </c>
    </row>
    <row r="1390" spans="16:20" x14ac:dyDescent="0.35">
      <c r="Q1390" t="s">
        <v>5383</v>
      </c>
      <c r="R1390" t="s">
        <v>3272</v>
      </c>
      <c r="S1390" t="s">
        <v>5612</v>
      </c>
      <c r="T1390" t="s">
        <v>1448</v>
      </c>
    </row>
    <row r="1391" spans="16:20" x14ac:dyDescent="0.35">
      <c r="Q1391" t="s">
        <v>4157</v>
      </c>
      <c r="R1391" t="s">
        <v>5682</v>
      </c>
      <c r="S1391" t="s">
        <v>5614</v>
      </c>
      <c r="T1391" t="s">
        <v>5646</v>
      </c>
    </row>
    <row r="1392" spans="16:20" x14ac:dyDescent="0.35">
      <c r="P1392" t="s">
        <v>4243</v>
      </c>
      <c r="Q1392" t="s">
        <v>4157</v>
      </c>
      <c r="R1392" t="s">
        <v>5783</v>
      </c>
      <c r="S1392" t="s">
        <v>5607</v>
      </c>
      <c r="T1392" t="s">
        <v>5650</v>
      </c>
    </row>
    <row r="1393" spans="16:20" x14ac:dyDescent="0.35">
      <c r="P1393" t="s">
        <v>3594</v>
      </c>
      <c r="Q1393" t="s">
        <v>4026</v>
      </c>
      <c r="R1393" t="s">
        <v>5783</v>
      </c>
      <c r="S1393" t="s">
        <v>5607</v>
      </c>
      <c r="T1393" t="s">
        <v>5650</v>
      </c>
    </row>
    <row r="1394" spans="16:20" x14ac:dyDescent="0.35">
      <c r="P1394" t="s">
        <v>3601</v>
      </c>
      <c r="Q1394" t="s">
        <v>5312</v>
      </c>
      <c r="R1394" t="s">
        <v>6045</v>
      </c>
      <c r="S1394" t="s">
        <v>5611</v>
      </c>
      <c r="T1394" t="s">
        <v>1448</v>
      </c>
    </row>
    <row r="1395" spans="16:20" x14ac:dyDescent="0.35">
      <c r="P1395" t="s">
        <v>3616</v>
      </c>
      <c r="Q1395" t="s">
        <v>4935</v>
      </c>
      <c r="R1395" t="s">
        <v>5799</v>
      </c>
      <c r="S1395" t="s">
        <v>5607</v>
      </c>
      <c r="T1395" t="s">
        <v>5650</v>
      </c>
    </row>
    <row r="1396" spans="16:20" x14ac:dyDescent="0.35">
      <c r="P1396" t="s">
        <v>3618</v>
      </c>
      <c r="Q1396" t="s">
        <v>5353</v>
      </c>
      <c r="R1396" t="s">
        <v>3126</v>
      </c>
      <c r="S1396" t="s">
        <v>5615</v>
      </c>
      <c r="T1396" t="s">
        <v>5650</v>
      </c>
    </row>
    <row r="1397" spans="16:20" x14ac:dyDescent="0.35">
      <c r="Q1397" t="s">
        <v>4050</v>
      </c>
      <c r="R1397" t="s">
        <v>5746</v>
      </c>
      <c r="S1397" t="s">
        <v>5607</v>
      </c>
      <c r="T1397" t="s">
        <v>5650</v>
      </c>
    </row>
    <row r="1398" spans="16:20" x14ac:dyDescent="0.35">
      <c r="Q1398" t="s">
        <v>4820</v>
      </c>
      <c r="R1398" t="s">
        <v>1910</v>
      </c>
      <c r="S1398" t="s">
        <v>1837</v>
      </c>
      <c r="T1398" t="s">
        <v>5646</v>
      </c>
    </row>
    <row r="1399" spans="16:20" x14ac:dyDescent="0.35">
      <c r="Q1399" t="s">
        <v>4157</v>
      </c>
      <c r="R1399" t="s">
        <v>5746</v>
      </c>
      <c r="S1399" t="s">
        <v>5607</v>
      </c>
      <c r="T1399" t="s">
        <v>5650</v>
      </c>
    </row>
    <row r="1400" spans="16:20" x14ac:dyDescent="0.35">
      <c r="P1400" t="s">
        <v>3621</v>
      </c>
      <c r="Q1400" t="s">
        <v>4416</v>
      </c>
      <c r="R1400" t="s">
        <v>457</v>
      </c>
      <c r="S1400" t="s">
        <v>5607</v>
      </c>
      <c r="T1400" t="s">
        <v>5650</v>
      </c>
    </row>
    <row r="1401" spans="16:20" x14ac:dyDescent="0.35">
      <c r="P1401" t="s">
        <v>3627</v>
      </c>
      <c r="Q1401" t="s">
        <v>4851</v>
      </c>
      <c r="R1401" t="s">
        <v>1959</v>
      </c>
      <c r="S1401" t="s">
        <v>5615</v>
      </c>
      <c r="T1401" t="s">
        <v>5650</v>
      </c>
    </row>
    <row r="1402" spans="16:20" x14ac:dyDescent="0.35">
      <c r="P1402" t="s">
        <v>3629</v>
      </c>
      <c r="Q1402" t="s">
        <v>4123</v>
      </c>
      <c r="R1402" t="s">
        <v>1779</v>
      </c>
      <c r="S1402" t="s">
        <v>5611</v>
      </c>
      <c r="T1402" t="s">
        <v>1448</v>
      </c>
    </row>
    <row r="1403" spans="16:20" x14ac:dyDescent="0.35">
      <c r="P1403" t="s">
        <v>3632</v>
      </c>
      <c r="Q1403" t="s">
        <v>5475</v>
      </c>
      <c r="R1403" t="s">
        <v>3632</v>
      </c>
      <c r="S1403" t="s">
        <v>5609</v>
      </c>
      <c r="T1403" t="s">
        <v>5658</v>
      </c>
    </row>
    <row r="1404" spans="16:20" x14ac:dyDescent="0.35">
      <c r="P1404" t="s">
        <v>3634</v>
      </c>
      <c r="Q1404" t="s">
        <v>5561</v>
      </c>
      <c r="R1404" t="s">
        <v>5618</v>
      </c>
      <c r="S1404" t="s">
        <v>5618</v>
      </c>
      <c r="T1404" t="s">
        <v>5658</v>
      </c>
    </row>
    <row r="1405" spans="16:20" x14ac:dyDescent="0.35">
      <c r="P1405" t="s">
        <v>3636</v>
      </c>
      <c r="Q1405" t="s">
        <v>4060</v>
      </c>
      <c r="R1405" t="s">
        <v>5719</v>
      </c>
      <c r="S1405" t="s">
        <v>5607</v>
      </c>
      <c r="T1405" t="s">
        <v>5650</v>
      </c>
    </row>
    <row r="1406" spans="16:20" x14ac:dyDescent="0.35">
      <c r="P1406" t="s">
        <v>3638</v>
      </c>
      <c r="Q1406" t="s">
        <v>4818</v>
      </c>
      <c r="R1406" t="s">
        <v>1872</v>
      </c>
      <c r="S1406" t="s">
        <v>5607</v>
      </c>
      <c r="T1406" t="s">
        <v>5650</v>
      </c>
    </row>
    <row r="1407" spans="16:20" x14ac:dyDescent="0.35">
      <c r="P1407" t="s">
        <v>3640</v>
      </c>
      <c r="Q1407" t="s">
        <v>5009</v>
      </c>
      <c r="R1407" t="s">
        <v>5885</v>
      </c>
      <c r="S1407" t="s">
        <v>5607</v>
      </c>
      <c r="T1407" t="s">
        <v>5650</v>
      </c>
    </row>
    <row r="1408" spans="16:20" x14ac:dyDescent="0.35">
      <c r="P1408" t="s">
        <v>3644</v>
      </c>
      <c r="Q1408" t="s">
        <v>3645</v>
      </c>
      <c r="R1408" t="s">
        <v>5682</v>
      </c>
      <c r="S1408" t="s">
        <v>5614</v>
      </c>
      <c r="T1408" t="s">
        <v>5646</v>
      </c>
    </row>
    <row r="1409" spans="16:20" x14ac:dyDescent="0.35">
      <c r="Q1409" t="s">
        <v>5427</v>
      </c>
      <c r="R1409" t="s">
        <v>5682</v>
      </c>
      <c r="S1409" t="s">
        <v>5614</v>
      </c>
      <c r="T1409" t="s">
        <v>5646</v>
      </c>
    </row>
    <row r="1410" spans="16:20" x14ac:dyDescent="0.35">
      <c r="Q1410" t="s">
        <v>4157</v>
      </c>
      <c r="R1410" t="s">
        <v>5682</v>
      </c>
      <c r="S1410" t="s">
        <v>5614</v>
      </c>
      <c r="T1410" t="s">
        <v>5646</v>
      </c>
    </row>
    <row r="1411" spans="16:20" x14ac:dyDescent="0.35">
      <c r="P1411" t="s">
        <v>3649</v>
      </c>
      <c r="Q1411" t="s">
        <v>4109</v>
      </c>
      <c r="R1411" t="s">
        <v>1779</v>
      </c>
      <c r="S1411" t="s">
        <v>5611</v>
      </c>
      <c r="T1411" t="s">
        <v>1448</v>
      </c>
    </row>
    <row r="1412" spans="16:20" x14ac:dyDescent="0.35">
      <c r="P1412" t="s">
        <v>3654</v>
      </c>
      <c r="Q1412" t="s">
        <v>4648</v>
      </c>
      <c r="R1412" t="s">
        <v>1198</v>
      </c>
      <c r="S1412" t="s">
        <v>5623</v>
      </c>
      <c r="T1412" t="s">
        <v>5658</v>
      </c>
    </row>
    <row r="1413" spans="16:20" x14ac:dyDescent="0.35">
      <c r="P1413" t="s">
        <v>3656</v>
      </c>
      <c r="Q1413" t="s">
        <v>3657</v>
      </c>
      <c r="R1413" t="s">
        <v>5682</v>
      </c>
      <c r="S1413" t="s">
        <v>5614</v>
      </c>
      <c r="T1413" t="s">
        <v>5646</v>
      </c>
    </row>
    <row r="1414" spans="16:20" x14ac:dyDescent="0.35">
      <c r="Q1414" t="s">
        <v>4157</v>
      </c>
      <c r="R1414" t="s">
        <v>5682</v>
      </c>
      <c r="S1414" t="s">
        <v>5614</v>
      </c>
      <c r="T1414" t="s">
        <v>5646</v>
      </c>
    </row>
    <row r="1415" spans="16:20" x14ac:dyDescent="0.35">
      <c r="P1415" t="s">
        <v>3661</v>
      </c>
      <c r="Q1415" t="s">
        <v>3664</v>
      </c>
      <c r="R1415" t="s">
        <v>5607</v>
      </c>
      <c r="S1415" t="s">
        <v>5607</v>
      </c>
      <c r="T1415" t="s">
        <v>5650</v>
      </c>
    </row>
    <row r="1416" spans="16:20" x14ac:dyDescent="0.35">
      <c r="P1416" t="s">
        <v>3663</v>
      </c>
      <c r="Q1416" t="s">
        <v>4157</v>
      </c>
      <c r="R1416" t="s">
        <v>4240</v>
      </c>
      <c r="S1416" t="s">
        <v>5607</v>
      </c>
      <c r="T1416" t="s">
        <v>5650</v>
      </c>
    </row>
    <row r="1417" spans="16:20" x14ac:dyDescent="0.35">
      <c r="P1417" t="s">
        <v>3665</v>
      </c>
      <c r="Q1417" t="s">
        <v>4826</v>
      </c>
      <c r="R1417" t="s">
        <v>5909</v>
      </c>
      <c r="S1417" t="s">
        <v>5619</v>
      </c>
      <c r="T1417" t="s">
        <v>5646</v>
      </c>
    </row>
    <row r="1418" spans="16:20" x14ac:dyDescent="0.35">
      <c r="P1418" t="s">
        <v>4164</v>
      </c>
      <c r="Q1418" t="s">
        <v>4157</v>
      </c>
      <c r="R1418" t="s">
        <v>5819</v>
      </c>
      <c r="S1418" t="s">
        <v>5614</v>
      </c>
      <c r="T1418" t="s">
        <v>5646</v>
      </c>
    </row>
    <row r="1419" spans="16:20" x14ac:dyDescent="0.35">
      <c r="P1419" t="s">
        <v>3670</v>
      </c>
      <c r="Q1419" t="s">
        <v>4059</v>
      </c>
      <c r="R1419" t="s">
        <v>5746</v>
      </c>
      <c r="S1419" t="s">
        <v>5607</v>
      </c>
      <c r="T1419" t="s">
        <v>5650</v>
      </c>
    </row>
    <row r="1420" spans="16:20" x14ac:dyDescent="0.35">
      <c r="P1420" t="s">
        <v>3672</v>
      </c>
      <c r="Q1420" t="s">
        <v>4629</v>
      </c>
      <c r="R1420" t="s">
        <v>1184</v>
      </c>
      <c r="S1420" t="s">
        <v>5615</v>
      </c>
      <c r="T1420" t="s">
        <v>5650</v>
      </c>
    </row>
    <row r="1421" spans="16:20" x14ac:dyDescent="0.35">
      <c r="P1421" t="s">
        <v>3674</v>
      </c>
      <c r="Q1421" t="s">
        <v>4488</v>
      </c>
      <c r="R1421" t="s">
        <v>5607</v>
      </c>
      <c r="S1421" t="s">
        <v>5607</v>
      </c>
      <c r="T1421" t="s">
        <v>5650</v>
      </c>
    </row>
    <row r="1422" spans="16:20" x14ac:dyDescent="0.35">
      <c r="P1422" t="s">
        <v>5477</v>
      </c>
      <c r="Q1422" t="s">
        <v>5476</v>
      </c>
      <c r="R1422" t="s">
        <v>6132</v>
      </c>
      <c r="S1422" t="s">
        <v>5624</v>
      </c>
      <c r="T1422" t="s">
        <v>5650</v>
      </c>
    </row>
    <row r="1423" spans="16:20" x14ac:dyDescent="0.35">
      <c r="P1423" t="s">
        <v>3678</v>
      </c>
      <c r="Q1423" t="s">
        <v>4098</v>
      </c>
      <c r="R1423" t="s">
        <v>1976</v>
      </c>
      <c r="S1423" t="s">
        <v>1837</v>
      </c>
      <c r="T1423" t="s">
        <v>5646</v>
      </c>
    </row>
    <row r="1424" spans="16:20" x14ac:dyDescent="0.35">
      <c r="Q1424" t="s">
        <v>5480</v>
      </c>
      <c r="R1424" t="s">
        <v>6134</v>
      </c>
      <c r="S1424" t="s">
        <v>5611</v>
      </c>
      <c r="T1424" t="s">
        <v>1448</v>
      </c>
    </row>
    <row r="1425" spans="16:20" x14ac:dyDescent="0.35">
      <c r="P1425" t="s">
        <v>3682</v>
      </c>
      <c r="Q1425" t="s">
        <v>4613</v>
      </c>
      <c r="R1425" t="s">
        <v>5817</v>
      </c>
      <c r="S1425" t="s">
        <v>5614</v>
      </c>
      <c r="T1425" t="s">
        <v>5646</v>
      </c>
    </row>
    <row r="1426" spans="16:20" x14ac:dyDescent="0.35">
      <c r="P1426" t="s">
        <v>3686</v>
      </c>
      <c r="Q1426" t="s">
        <v>4067</v>
      </c>
      <c r="R1426" t="s">
        <v>5719</v>
      </c>
      <c r="S1426" t="s">
        <v>5607</v>
      </c>
      <c r="T1426" t="s">
        <v>5650</v>
      </c>
    </row>
    <row r="1427" spans="16:20" x14ac:dyDescent="0.35">
      <c r="P1427" t="s">
        <v>3688</v>
      </c>
      <c r="Q1427" t="s">
        <v>5122</v>
      </c>
      <c r="R1427" t="s">
        <v>5719</v>
      </c>
      <c r="S1427" t="s">
        <v>5607</v>
      </c>
      <c r="T1427" t="s">
        <v>5650</v>
      </c>
    </row>
    <row r="1428" spans="16:20" x14ac:dyDescent="0.35">
      <c r="P1428" t="s">
        <v>3691</v>
      </c>
      <c r="Q1428" t="s">
        <v>5481</v>
      </c>
      <c r="R1428" t="s">
        <v>3691</v>
      </c>
      <c r="S1428" t="s">
        <v>5615</v>
      </c>
      <c r="T1428" t="s">
        <v>5650</v>
      </c>
    </row>
    <row r="1429" spans="16:20" x14ac:dyDescent="0.35">
      <c r="P1429" t="s">
        <v>3697</v>
      </c>
      <c r="Q1429" t="s">
        <v>4469</v>
      </c>
      <c r="R1429" t="s">
        <v>5755</v>
      </c>
      <c r="S1429" t="s">
        <v>5614</v>
      </c>
      <c r="T1429" t="s">
        <v>5646</v>
      </c>
    </row>
    <row r="1430" spans="16:20" x14ac:dyDescent="0.35">
      <c r="P1430" t="s">
        <v>5490</v>
      </c>
      <c r="Q1430" t="s">
        <v>5489</v>
      </c>
      <c r="R1430" t="s">
        <v>5997</v>
      </c>
      <c r="S1430" t="s">
        <v>5611</v>
      </c>
      <c r="T1430" t="s">
        <v>1448</v>
      </c>
    </row>
    <row r="1431" spans="16:20" x14ac:dyDescent="0.35">
      <c r="P1431" t="s">
        <v>3702</v>
      </c>
      <c r="Q1431" t="s">
        <v>5514</v>
      </c>
      <c r="R1431" t="s">
        <v>3702</v>
      </c>
      <c r="S1431" t="s">
        <v>5619</v>
      </c>
      <c r="T1431" t="s">
        <v>5646</v>
      </c>
    </row>
    <row r="1432" spans="16:20" x14ac:dyDescent="0.35">
      <c r="P1432" t="s">
        <v>3710</v>
      </c>
      <c r="Q1432" t="s">
        <v>4990</v>
      </c>
      <c r="R1432" t="s">
        <v>2495</v>
      </c>
      <c r="S1432" t="s">
        <v>5618</v>
      </c>
      <c r="T1432" t="s">
        <v>5658</v>
      </c>
    </row>
    <row r="1433" spans="16:20" x14ac:dyDescent="0.35">
      <c r="P1433" t="s">
        <v>3712</v>
      </c>
      <c r="Q1433" t="s">
        <v>4832</v>
      </c>
      <c r="R1433" t="s">
        <v>5909</v>
      </c>
      <c r="S1433" t="s">
        <v>5619</v>
      </c>
      <c r="T1433" t="s">
        <v>5646</v>
      </c>
    </row>
    <row r="1434" spans="16:20" x14ac:dyDescent="0.35">
      <c r="P1434" t="s">
        <v>3719</v>
      </c>
      <c r="Q1434" t="s">
        <v>5529</v>
      </c>
      <c r="R1434" t="s">
        <v>3752</v>
      </c>
      <c r="S1434" t="s">
        <v>5618</v>
      </c>
      <c r="T1434" t="s">
        <v>5658</v>
      </c>
    </row>
    <row r="1435" spans="16:20" x14ac:dyDescent="0.35">
      <c r="Q1435" t="s">
        <v>5585</v>
      </c>
      <c r="R1435" t="s">
        <v>3917</v>
      </c>
      <c r="S1435" t="s">
        <v>5609</v>
      </c>
      <c r="T1435" t="s">
        <v>5658</v>
      </c>
    </row>
    <row r="1436" spans="16:20" x14ac:dyDescent="0.35">
      <c r="Q1436" t="s">
        <v>4157</v>
      </c>
      <c r="R1436" t="s">
        <v>3752</v>
      </c>
      <c r="S1436" t="s">
        <v>5618</v>
      </c>
      <c r="T1436" t="s">
        <v>5658</v>
      </c>
    </row>
    <row r="1437" spans="16:20" x14ac:dyDescent="0.35">
      <c r="P1437" t="s">
        <v>3725</v>
      </c>
      <c r="Q1437" t="s">
        <v>4356</v>
      </c>
      <c r="R1437" t="s">
        <v>369</v>
      </c>
      <c r="S1437" t="s">
        <v>5617</v>
      </c>
      <c r="T1437" t="s">
        <v>5658</v>
      </c>
    </row>
    <row r="1438" spans="16:20" x14ac:dyDescent="0.35">
      <c r="P1438" t="s">
        <v>5076</v>
      </c>
      <c r="Q1438" t="s">
        <v>5075</v>
      </c>
      <c r="R1438" t="s">
        <v>5621</v>
      </c>
      <c r="S1438" t="s">
        <v>5621</v>
      </c>
      <c r="T1438" t="s">
        <v>5678</v>
      </c>
    </row>
    <row r="1439" spans="16:20" x14ac:dyDescent="0.35">
      <c r="P1439" t="s">
        <v>3729</v>
      </c>
      <c r="Q1439" t="s">
        <v>4013</v>
      </c>
      <c r="R1439" t="s">
        <v>3729</v>
      </c>
      <c r="S1439" t="s">
        <v>5608</v>
      </c>
      <c r="T1439" t="s">
        <v>5678</v>
      </c>
    </row>
    <row r="1440" spans="16:20" x14ac:dyDescent="0.35">
      <c r="P1440" t="s">
        <v>5053</v>
      </c>
      <c r="Q1440" t="s">
        <v>5052</v>
      </c>
      <c r="R1440" t="s">
        <v>2561</v>
      </c>
      <c r="S1440" t="s">
        <v>5611</v>
      </c>
      <c r="T1440" t="s">
        <v>1448</v>
      </c>
    </row>
    <row r="1441" spans="16:20" x14ac:dyDescent="0.35">
      <c r="P1441" t="s">
        <v>3732</v>
      </c>
      <c r="Q1441" t="s">
        <v>4796</v>
      </c>
      <c r="R1441" t="s">
        <v>1872</v>
      </c>
      <c r="S1441" t="s">
        <v>5607</v>
      </c>
      <c r="T1441" t="s">
        <v>5650</v>
      </c>
    </row>
    <row r="1442" spans="16:20" x14ac:dyDescent="0.35">
      <c r="P1442" t="s">
        <v>4192</v>
      </c>
      <c r="Q1442" t="s">
        <v>4157</v>
      </c>
      <c r="R1442" t="s">
        <v>2628</v>
      </c>
      <c r="S1442" t="s">
        <v>5606</v>
      </c>
      <c r="T1442" t="s">
        <v>5646</v>
      </c>
    </row>
    <row r="1443" spans="16:20" x14ac:dyDescent="0.35">
      <c r="P1443" t="s">
        <v>3738</v>
      </c>
      <c r="Q1443" t="s">
        <v>5444</v>
      </c>
      <c r="R1443" t="s">
        <v>5682</v>
      </c>
      <c r="S1443" t="s">
        <v>5614</v>
      </c>
      <c r="T1443" t="s">
        <v>5646</v>
      </c>
    </row>
    <row r="1444" spans="16:20" x14ac:dyDescent="0.35">
      <c r="P1444" t="s">
        <v>3740</v>
      </c>
      <c r="Q1444" t="s">
        <v>4669</v>
      </c>
      <c r="R1444" t="s">
        <v>1349</v>
      </c>
      <c r="S1444" t="s">
        <v>5607</v>
      </c>
      <c r="T1444" t="s">
        <v>5650</v>
      </c>
    </row>
    <row r="1445" spans="16:20" x14ac:dyDescent="0.35">
      <c r="P1445" t="s">
        <v>3742</v>
      </c>
      <c r="Q1445" t="s">
        <v>3743</v>
      </c>
      <c r="R1445" t="s">
        <v>955</v>
      </c>
      <c r="S1445" t="s">
        <v>5607</v>
      </c>
      <c r="T1445" t="s">
        <v>5650</v>
      </c>
    </row>
    <row r="1446" spans="16:20" x14ac:dyDescent="0.35">
      <c r="Q1446" t="s">
        <v>4157</v>
      </c>
      <c r="R1446" t="s">
        <v>955</v>
      </c>
      <c r="S1446" t="s">
        <v>5607</v>
      </c>
      <c r="T1446" t="s">
        <v>5650</v>
      </c>
    </row>
    <row r="1447" spans="16:20" x14ac:dyDescent="0.35">
      <c r="P1447" t="s">
        <v>3747</v>
      </c>
      <c r="Q1447" t="s">
        <v>5527</v>
      </c>
      <c r="R1447" t="s">
        <v>3747</v>
      </c>
      <c r="S1447" t="s">
        <v>5618</v>
      </c>
      <c r="T1447" t="s">
        <v>5658</v>
      </c>
    </row>
    <row r="1448" spans="16:20" x14ac:dyDescent="0.35">
      <c r="P1448" t="s">
        <v>3750</v>
      </c>
      <c r="Q1448" t="s">
        <v>5239</v>
      </c>
      <c r="R1448" t="s">
        <v>2914</v>
      </c>
      <c r="S1448" t="s">
        <v>5607</v>
      </c>
      <c r="T1448" t="s">
        <v>5650</v>
      </c>
    </row>
    <row r="1449" spans="16:20" x14ac:dyDescent="0.35">
      <c r="P1449" t="s">
        <v>3752</v>
      </c>
      <c r="Q1449" t="s">
        <v>3753</v>
      </c>
      <c r="R1449" t="s">
        <v>3752</v>
      </c>
      <c r="S1449" t="s">
        <v>5618</v>
      </c>
      <c r="T1449" t="s">
        <v>5658</v>
      </c>
    </row>
    <row r="1450" spans="16:20" x14ac:dyDescent="0.35">
      <c r="Q1450" t="s">
        <v>4157</v>
      </c>
      <c r="R1450" t="s">
        <v>3752</v>
      </c>
      <c r="S1450" t="s">
        <v>5618</v>
      </c>
      <c r="T1450" t="s">
        <v>5658</v>
      </c>
    </row>
    <row r="1451" spans="16:20" x14ac:dyDescent="0.35">
      <c r="P1451" t="s">
        <v>3756</v>
      </c>
      <c r="Q1451" t="s">
        <v>3757</v>
      </c>
      <c r="R1451" t="s">
        <v>3756</v>
      </c>
      <c r="S1451" t="s">
        <v>5608</v>
      </c>
      <c r="T1451" t="s">
        <v>5678</v>
      </c>
    </row>
    <row r="1452" spans="16:20" x14ac:dyDescent="0.35">
      <c r="Q1452" t="s">
        <v>4157</v>
      </c>
      <c r="R1452" t="s">
        <v>3756</v>
      </c>
      <c r="S1452" t="s">
        <v>5608</v>
      </c>
      <c r="T1452" t="s">
        <v>5678</v>
      </c>
    </row>
    <row r="1453" spans="16:20" x14ac:dyDescent="0.35">
      <c r="P1453" t="s">
        <v>5413</v>
      </c>
      <c r="Q1453" t="s">
        <v>5412</v>
      </c>
      <c r="R1453" t="s">
        <v>3370</v>
      </c>
      <c r="S1453" t="s">
        <v>5615</v>
      </c>
      <c r="T1453" t="s">
        <v>5650</v>
      </c>
    </row>
    <row r="1454" spans="16:20" x14ac:dyDescent="0.35">
      <c r="P1454" t="s">
        <v>3762</v>
      </c>
      <c r="Q1454" t="s">
        <v>4329</v>
      </c>
      <c r="R1454" t="s">
        <v>287</v>
      </c>
      <c r="S1454" t="s">
        <v>5614</v>
      </c>
      <c r="T1454" t="s">
        <v>5646</v>
      </c>
    </row>
    <row r="1455" spans="16:20" x14ac:dyDescent="0.35">
      <c r="P1455" t="s">
        <v>3767</v>
      </c>
      <c r="Q1455" t="s">
        <v>5532</v>
      </c>
      <c r="R1455" t="s">
        <v>5610</v>
      </c>
      <c r="S1455" t="s">
        <v>5610</v>
      </c>
      <c r="T1455" t="s">
        <v>5646</v>
      </c>
    </row>
    <row r="1456" spans="16:20" x14ac:dyDescent="0.35">
      <c r="P1456" t="s">
        <v>3769</v>
      </c>
      <c r="Q1456" t="s">
        <v>5533</v>
      </c>
      <c r="R1456" t="s">
        <v>5610</v>
      </c>
      <c r="S1456" t="s">
        <v>5610</v>
      </c>
      <c r="T1456" t="s">
        <v>5646</v>
      </c>
    </row>
    <row r="1457" spans="16:20" x14ac:dyDescent="0.35">
      <c r="P1457" t="s">
        <v>4650</v>
      </c>
      <c r="Q1457" t="s">
        <v>4649</v>
      </c>
      <c r="R1457" t="s">
        <v>1244</v>
      </c>
      <c r="S1457" t="s">
        <v>5607</v>
      </c>
      <c r="T1457" t="s">
        <v>5650</v>
      </c>
    </row>
    <row r="1458" spans="16:20" x14ac:dyDescent="0.35">
      <c r="P1458" t="s">
        <v>4268</v>
      </c>
      <c r="Q1458" t="s">
        <v>4967</v>
      </c>
      <c r="R1458" t="s">
        <v>5799</v>
      </c>
      <c r="S1458" t="s">
        <v>5607</v>
      </c>
      <c r="T1458" t="s">
        <v>5650</v>
      </c>
    </row>
    <row r="1459" spans="16:20" x14ac:dyDescent="0.35">
      <c r="Q1459" t="s">
        <v>4157</v>
      </c>
      <c r="R1459" t="s">
        <v>5799</v>
      </c>
      <c r="S1459" t="s">
        <v>5607</v>
      </c>
      <c r="T1459" t="s">
        <v>5650</v>
      </c>
    </row>
    <row r="1460" spans="16:20" x14ac:dyDescent="0.35">
      <c r="P1460" t="s">
        <v>5548</v>
      </c>
      <c r="Q1460" t="s">
        <v>5547</v>
      </c>
      <c r="R1460" t="s">
        <v>3776</v>
      </c>
      <c r="S1460" t="s">
        <v>1837</v>
      </c>
      <c r="T1460" t="s">
        <v>5646</v>
      </c>
    </row>
    <row r="1461" spans="16:20" x14ac:dyDescent="0.35">
      <c r="P1461" t="s">
        <v>3778</v>
      </c>
      <c r="Q1461" t="s">
        <v>4878</v>
      </c>
      <c r="R1461" t="s">
        <v>2007</v>
      </c>
      <c r="S1461" t="s">
        <v>5607</v>
      </c>
      <c r="T1461" t="s">
        <v>5650</v>
      </c>
    </row>
    <row r="1462" spans="16:20" x14ac:dyDescent="0.35">
      <c r="P1462" t="s">
        <v>3780</v>
      </c>
      <c r="Q1462" t="s">
        <v>4879</v>
      </c>
      <c r="R1462" t="s">
        <v>2007</v>
      </c>
      <c r="S1462" t="s">
        <v>5607</v>
      </c>
      <c r="T1462" t="s">
        <v>5650</v>
      </c>
    </row>
    <row r="1463" spans="16:20" x14ac:dyDescent="0.35">
      <c r="P1463" t="s">
        <v>5493</v>
      </c>
      <c r="Q1463" t="s">
        <v>5492</v>
      </c>
      <c r="R1463" t="s">
        <v>5997</v>
      </c>
      <c r="S1463" t="s">
        <v>5611</v>
      </c>
      <c r="T1463" t="s">
        <v>1448</v>
      </c>
    </row>
    <row r="1464" spans="16:20" x14ac:dyDescent="0.35">
      <c r="P1464" t="s">
        <v>3784</v>
      </c>
      <c r="Q1464" t="s">
        <v>4313</v>
      </c>
      <c r="R1464" t="s">
        <v>283</v>
      </c>
      <c r="S1464" t="s">
        <v>5615</v>
      </c>
      <c r="T1464" t="s">
        <v>5650</v>
      </c>
    </row>
    <row r="1465" spans="16:20" x14ac:dyDescent="0.35">
      <c r="P1465" t="s">
        <v>3786</v>
      </c>
      <c r="Q1465" t="s">
        <v>5428</v>
      </c>
      <c r="R1465" t="s">
        <v>5682</v>
      </c>
      <c r="S1465" t="s">
        <v>5614</v>
      </c>
      <c r="T1465" t="s">
        <v>5646</v>
      </c>
    </row>
    <row r="1466" spans="16:20" x14ac:dyDescent="0.35">
      <c r="P1466" t="s">
        <v>3788</v>
      </c>
      <c r="Q1466" t="s">
        <v>4583</v>
      </c>
      <c r="R1466" t="s">
        <v>5103</v>
      </c>
      <c r="S1466" t="s">
        <v>5607</v>
      </c>
      <c r="T1466" t="s">
        <v>5650</v>
      </c>
    </row>
    <row r="1467" spans="16:20" x14ac:dyDescent="0.35">
      <c r="P1467" t="s">
        <v>3790</v>
      </c>
      <c r="Q1467" t="s">
        <v>4377</v>
      </c>
      <c r="R1467" t="s">
        <v>4222</v>
      </c>
      <c r="S1467" t="s">
        <v>5614</v>
      </c>
      <c r="T1467" t="s">
        <v>5646</v>
      </c>
    </row>
    <row r="1468" spans="16:20" x14ac:dyDescent="0.35">
      <c r="P1468" t="s">
        <v>3792</v>
      </c>
      <c r="Q1468" t="s">
        <v>4561</v>
      </c>
      <c r="R1468" t="s">
        <v>5796</v>
      </c>
      <c r="S1468" t="s">
        <v>5614</v>
      </c>
      <c r="T1468" t="s">
        <v>5646</v>
      </c>
    </row>
    <row r="1469" spans="16:20" x14ac:dyDescent="0.35">
      <c r="P1469" t="s">
        <v>3794</v>
      </c>
      <c r="Q1469" t="s">
        <v>5010</v>
      </c>
      <c r="R1469" t="s">
        <v>5885</v>
      </c>
      <c r="S1469" t="s">
        <v>5607</v>
      </c>
      <c r="T1469" t="s">
        <v>5650</v>
      </c>
    </row>
    <row r="1470" spans="16:20" x14ac:dyDescent="0.35">
      <c r="P1470" t="s">
        <v>3801</v>
      </c>
      <c r="Q1470" t="s">
        <v>4965</v>
      </c>
      <c r="R1470" t="s">
        <v>5799</v>
      </c>
      <c r="S1470" t="s">
        <v>5607</v>
      </c>
      <c r="T1470" t="s">
        <v>5650</v>
      </c>
    </row>
    <row r="1471" spans="16:20" x14ac:dyDescent="0.35">
      <c r="P1471" t="s">
        <v>3805</v>
      </c>
      <c r="Q1471" t="s">
        <v>4499</v>
      </c>
      <c r="R1471" t="s">
        <v>5607</v>
      </c>
      <c r="S1471" t="s">
        <v>5607</v>
      </c>
      <c r="T1471" t="s">
        <v>5650</v>
      </c>
    </row>
    <row r="1472" spans="16:20" x14ac:dyDescent="0.35">
      <c r="P1472" t="s">
        <v>3807</v>
      </c>
      <c r="Q1472" t="s">
        <v>4614</v>
      </c>
      <c r="R1472" t="s">
        <v>5817</v>
      </c>
      <c r="S1472" t="s">
        <v>5614</v>
      </c>
      <c r="T1472" t="s">
        <v>5646</v>
      </c>
    </row>
    <row r="1473" spans="16:20" x14ac:dyDescent="0.35">
      <c r="P1473" t="s">
        <v>5507</v>
      </c>
      <c r="Q1473" t="s">
        <v>5506</v>
      </c>
      <c r="R1473" t="s">
        <v>3702</v>
      </c>
      <c r="S1473" t="s">
        <v>5619</v>
      </c>
      <c r="T1473" t="s">
        <v>5646</v>
      </c>
    </row>
    <row r="1474" spans="16:20" x14ac:dyDescent="0.35">
      <c r="P1474" t="s">
        <v>3812</v>
      </c>
      <c r="Q1474" t="s">
        <v>5545</v>
      </c>
      <c r="R1474" t="s">
        <v>5610</v>
      </c>
      <c r="S1474" t="s">
        <v>5610</v>
      </c>
      <c r="T1474" t="s">
        <v>5646</v>
      </c>
    </row>
    <row r="1475" spans="16:20" x14ac:dyDescent="0.35">
      <c r="P1475" t="s">
        <v>3816</v>
      </c>
      <c r="Q1475" t="s">
        <v>4904</v>
      </c>
      <c r="R1475" t="s">
        <v>2196</v>
      </c>
      <c r="S1475" t="s">
        <v>1837</v>
      </c>
      <c r="T1475" t="s">
        <v>5646</v>
      </c>
    </row>
    <row r="1476" spans="16:20" x14ac:dyDescent="0.35">
      <c r="P1476" t="s">
        <v>3820</v>
      </c>
      <c r="Q1476" t="s">
        <v>5123</v>
      </c>
      <c r="R1476" t="s">
        <v>5719</v>
      </c>
      <c r="S1476" t="s">
        <v>5607</v>
      </c>
      <c r="T1476" t="s">
        <v>5650</v>
      </c>
    </row>
    <row r="1477" spans="16:20" x14ac:dyDescent="0.35">
      <c r="P1477" t="s">
        <v>5560</v>
      </c>
      <c r="Q1477" t="s">
        <v>5559</v>
      </c>
      <c r="R1477" t="s">
        <v>5618</v>
      </c>
      <c r="S1477" t="s">
        <v>5618</v>
      </c>
      <c r="T1477" t="s">
        <v>5658</v>
      </c>
    </row>
    <row r="1478" spans="16:20" x14ac:dyDescent="0.35">
      <c r="P1478" t="s">
        <v>3824</v>
      </c>
      <c r="Q1478" t="s">
        <v>5290</v>
      </c>
      <c r="R1478" t="s">
        <v>5788</v>
      </c>
      <c r="S1478" t="s">
        <v>5614</v>
      </c>
      <c r="T1478" t="s">
        <v>5646</v>
      </c>
    </row>
    <row r="1479" spans="16:20" x14ac:dyDescent="0.35">
      <c r="P1479" t="s">
        <v>4225</v>
      </c>
      <c r="Q1479" t="s">
        <v>4157</v>
      </c>
      <c r="R1479" t="s">
        <v>3576</v>
      </c>
      <c r="S1479" t="s">
        <v>1837</v>
      </c>
      <c r="T1479" t="s">
        <v>5646</v>
      </c>
    </row>
    <row r="1480" spans="16:20" x14ac:dyDescent="0.35">
      <c r="P1480" t="s">
        <v>4443</v>
      </c>
      <c r="Q1480" t="s">
        <v>4442</v>
      </c>
      <c r="R1480" t="s">
        <v>5755</v>
      </c>
      <c r="S1480" t="s">
        <v>5614</v>
      </c>
      <c r="T1480" t="s">
        <v>5646</v>
      </c>
    </row>
    <row r="1481" spans="16:20" x14ac:dyDescent="0.35">
      <c r="P1481" t="s">
        <v>3834</v>
      </c>
      <c r="Q1481" t="s">
        <v>5546</v>
      </c>
      <c r="R1481" t="s">
        <v>5610</v>
      </c>
      <c r="S1481" t="s">
        <v>5610</v>
      </c>
      <c r="T1481" t="s">
        <v>5646</v>
      </c>
    </row>
    <row r="1482" spans="16:20" x14ac:dyDescent="0.35">
      <c r="P1482" t="s">
        <v>3836</v>
      </c>
      <c r="Q1482" t="s">
        <v>4144</v>
      </c>
      <c r="R1482" t="s">
        <v>3836</v>
      </c>
      <c r="S1482" t="s">
        <v>5611</v>
      </c>
      <c r="T1482" t="s">
        <v>1448</v>
      </c>
    </row>
    <row r="1483" spans="16:20" x14ac:dyDescent="0.35">
      <c r="P1483" t="s">
        <v>3840</v>
      </c>
      <c r="Q1483" t="s">
        <v>4966</v>
      </c>
      <c r="R1483" t="s">
        <v>5799</v>
      </c>
      <c r="S1483" t="s">
        <v>5607</v>
      </c>
      <c r="T1483" t="s">
        <v>5650</v>
      </c>
    </row>
    <row r="1484" spans="16:20" x14ac:dyDescent="0.35">
      <c r="P1484" t="s">
        <v>3843</v>
      </c>
      <c r="Q1484" t="s">
        <v>4405</v>
      </c>
      <c r="R1484" t="s">
        <v>457</v>
      </c>
      <c r="S1484" t="s">
        <v>5607</v>
      </c>
      <c r="T1484" t="s">
        <v>5650</v>
      </c>
    </row>
    <row r="1485" spans="16:20" x14ac:dyDescent="0.35">
      <c r="P1485" t="s">
        <v>4080</v>
      </c>
      <c r="Q1485" t="s">
        <v>4079</v>
      </c>
      <c r="R1485" t="s">
        <v>5715</v>
      </c>
      <c r="S1485" t="s">
        <v>5611</v>
      </c>
      <c r="T1485" t="s">
        <v>1448</v>
      </c>
    </row>
    <row r="1486" spans="16:20" x14ac:dyDescent="0.35">
      <c r="Q1486" t="s">
        <v>5256</v>
      </c>
      <c r="R1486" t="s">
        <v>5696</v>
      </c>
      <c r="S1486" t="s">
        <v>5614</v>
      </c>
      <c r="T1486" t="s">
        <v>5646</v>
      </c>
    </row>
    <row r="1487" spans="16:20" x14ac:dyDescent="0.35">
      <c r="P1487" t="s">
        <v>3852</v>
      </c>
      <c r="Q1487" t="s">
        <v>5562</v>
      </c>
      <c r="R1487" t="s">
        <v>5618</v>
      </c>
      <c r="S1487" t="s">
        <v>5618</v>
      </c>
      <c r="T1487" t="s">
        <v>5658</v>
      </c>
    </row>
    <row r="1488" spans="16:20" x14ac:dyDescent="0.35">
      <c r="P1488" t="s">
        <v>3854</v>
      </c>
      <c r="Q1488" t="s">
        <v>4470</v>
      </c>
      <c r="R1488" t="s">
        <v>5755</v>
      </c>
      <c r="S1488" t="s">
        <v>5614</v>
      </c>
      <c r="T1488" t="s">
        <v>5646</v>
      </c>
    </row>
    <row r="1489" spans="16:20" x14ac:dyDescent="0.35">
      <c r="P1489" t="s">
        <v>3858</v>
      </c>
      <c r="Q1489" t="s">
        <v>4907</v>
      </c>
      <c r="R1489" t="s">
        <v>2196</v>
      </c>
      <c r="S1489" t="s">
        <v>1837</v>
      </c>
      <c r="T1489" t="s">
        <v>5646</v>
      </c>
    </row>
    <row r="1490" spans="16:20" x14ac:dyDescent="0.35">
      <c r="P1490" t="s">
        <v>3861</v>
      </c>
      <c r="Q1490" t="s">
        <v>4684</v>
      </c>
      <c r="R1490" t="s">
        <v>1349</v>
      </c>
      <c r="S1490" t="s">
        <v>5616</v>
      </c>
      <c r="T1490" t="s">
        <v>5650</v>
      </c>
    </row>
    <row r="1491" spans="16:20" x14ac:dyDescent="0.35">
      <c r="P1491" t="s">
        <v>3864</v>
      </c>
      <c r="Q1491" t="s">
        <v>5526</v>
      </c>
      <c r="R1491" t="s">
        <v>3702</v>
      </c>
      <c r="S1491" t="s">
        <v>5619</v>
      </c>
      <c r="T1491" t="s">
        <v>5646</v>
      </c>
    </row>
    <row r="1492" spans="16:20" x14ac:dyDescent="0.35">
      <c r="P1492" t="s">
        <v>3866</v>
      </c>
      <c r="Q1492" t="s">
        <v>4708</v>
      </c>
      <c r="R1492" t="s">
        <v>5850</v>
      </c>
      <c r="S1492" t="s">
        <v>5609</v>
      </c>
      <c r="T1492" t="s">
        <v>5658</v>
      </c>
    </row>
    <row r="1493" spans="16:20" x14ac:dyDescent="0.35">
      <c r="P1493" t="s">
        <v>3871</v>
      </c>
      <c r="Q1493" t="s">
        <v>4797</v>
      </c>
      <c r="R1493" t="s">
        <v>1872</v>
      </c>
      <c r="S1493" t="s">
        <v>5607</v>
      </c>
      <c r="T1493" t="s">
        <v>5650</v>
      </c>
    </row>
    <row r="1494" spans="16:20" x14ac:dyDescent="0.35">
      <c r="P1494" t="s">
        <v>3873</v>
      </c>
      <c r="Q1494" t="s">
        <v>4798</v>
      </c>
      <c r="R1494" t="s">
        <v>1872</v>
      </c>
      <c r="S1494" t="s">
        <v>5607</v>
      </c>
      <c r="T1494" t="s">
        <v>5650</v>
      </c>
    </row>
    <row r="1495" spans="16:20" x14ac:dyDescent="0.35">
      <c r="P1495" t="s">
        <v>3876</v>
      </c>
      <c r="Q1495" t="s">
        <v>4029</v>
      </c>
      <c r="R1495" t="s">
        <v>5828</v>
      </c>
      <c r="S1495" t="s">
        <v>5611</v>
      </c>
      <c r="T1495" t="s">
        <v>1448</v>
      </c>
    </row>
    <row r="1496" spans="16:20" x14ac:dyDescent="0.35">
      <c r="P1496" t="s">
        <v>3880</v>
      </c>
      <c r="Q1496" t="s">
        <v>4117</v>
      </c>
      <c r="R1496" t="s">
        <v>1779</v>
      </c>
      <c r="S1496" t="s">
        <v>5611</v>
      </c>
      <c r="T1496" t="s">
        <v>1448</v>
      </c>
    </row>
    <row r="1497" spans="16:20" x14ac:dyDescent="0.35">
      <c r="P1497" t="s">
        <v>3882</v>
      </c>
      <c r="Q1497" t="s">
        <v>5482</v>
      </c>
      <c r="R1497" t="s">
        <v>3691</v>
      </c>
      <c r="S1497" t="s">
        <v>5615</v>
      </c>
      <c r="T1497" t="s">
        <v>5650</v>
      </c>
    </row>
    <row r="1498" spans="16:20" x14ac:dyDescent="0.35">
      <c r="P1498" t="s">
        <v>3884</v>
      </c>
      <c r="Q1498" t="s">
        <v>5014</v>
      </c>
      <c r="R1498" t="s">
        <v>2538</v>
      </c>
      <c r="S1498" t="s">
        <v>5617</v>
      </c>
      <c r="T1498" t="s">
        <v>5658</v>
      </c>
    </row>
    <row r="1499" spans="16:20" x14ac:dyDescent="0.35">
      <c r="P1499" t="s">
        <v>5465</v>
      </c>
      <c r="Q1499" t="s">
        <v>5464</v>
      </c>
      <c r="R1499" t="s">
        <v>6118</v>
      </c>
      <c r="S1499" t="s">
        <v>5621</v>
      </c>
      <c r="T1499" t="s">
        <v>5678</v>
      </c>
    </row>
    <row r="1500" spans="16:20" x14ac:dyDescent="0.35">
      <c r="P1500" t="s">
        <v>3889</v>
      </c>
      <c r="Q1500" t="s">
        <v>5498</v>
      </c>
      <c r="R1500" t="s">
        <v>6083</v>
      </c>
      <c r="S1500" t="s">
        <v>5619</v>
      </c>
      <c r="T1500" t="s">
        <v>5646</v>
      </c>
    </row>
    <row r="1501" spans="16:20" x14ac:dyDescent="0.35">
      <c r="P1501" t="s">
        <v>3891</v>
      </c>
      <c r="Q1501" t="s">
        <v>5055</v>
      </c>
      <c r="R1501" t="s">
        <v>2579</v>
      </c>
      <c r="S1501" t="s">
        <v>5609</v>
      </c>
      <c r="T1501" t="s">
        <v>5658</v>
      </c>
    </row>
    <row r="1502" spans="16:20" x14ac:dyDescent="0.35">
      <c r="P1502" t="s">
        <v>3893</v>
      </c>
      <c r="Q1502" t="s">
        <v>5564</v>
      </c>
      <c r="R1502" t="s">
        <v>3893</v>
      </c>
      <c r="S1502" t="s">
        <v>5617</v>
      </c>
      <c r="T1502" t="s">
        <v>5658</v>
      </c>
    </row>
    <row r="1503" spans="16:20" x14ac:dyDescent="0.35">
      <c r="P1503" t="s">
        <v>3895</v>
      </c>
      <c r="Q1503" t="s">
        <v>5240</v>
      </c>
      <c r="R1503" t="s">
        <v>2914</v>
      </c>
      <c r="S1503" t="s">
        <v>5607</v>
      </c>
      <c r="T1503" t="s">
        <v>5650</v>
      </c>
    </row>
    <row r="1504" spans="16:20" x14ac:dyDescent="0.35">
      <c r="P1504" t="s">
        <v>3897</v>
      </c>
      <c r="Q1504" t="s">
        <v>5570</v>
      </c>
      <c r="R1504" t="s">
        <v>3897</v>
      </c>
      <c r="S1504" t="s">
        <v>5609</v>
      </c>
      <c r="T1504" t="s">
        <v>5658</v>
      </c>
    </row>
    <row r="1505" spans="16:20" x14ac:dyDescent="0.35">
      <c r="Q1505" t="s">
        <v>5528</v>
      </c>
      <c r="R1505" t="s">
        <v>3747</v>
      </c>
      <c r="S1505" t="s">
        <v>5618</v>
      </c>
      <c r="T1505" t="s">
        <v>5658</v>
      </c>
    </row>
    <row r="1506" spans="16:20" x14ac:dyDescent="0.35">
      <c r="P1506" t="s">
        <v>3901</v>
      </c>
      <c r="Q1506" t="s">
        <v>5572</v>
      </c>
      <c r="R1506" t="s">
        <v>3901</v>
      </c>
      <c r="S1506" t="s">
        <v>5609</v>
      </c>
      <c r="T1506" t="s">
        <v>5658</v>
      </c>
    </row>
    <row r="1507" spans="16:20" x14ac:dyDescent="0.35">
      <c r="P1507" t="s">
        <v>3903</v>
      </c>
      <c r="Q1507" t="s">
        <v>5573</v>
      </c>
      <c r="R1507" t="s">
        <v>3903</v>
      </c>
      <c r="S1507" t="s">
        <v>5618</v>
      </c>
      <c r="T1507" t="s">
        <v>5658</v>
      </c>
    </row>
    <row r="1508" spans="16:20" x14ac:dyDescent="0.35">
      <c r="P1508" t="s">
        <v>3905</v>
      </c>
      <c r="Q1508" t="s">
        <v>5580</v>
      </c>
      <c r="R1508" t="s">
        <v>6164</v>
      </c>
      <c r="S1508" t="s">
        <v>1837</v>
      </c>
      <c r="T1508" t="s">
        <v>5646</v>
      </c>
    </row>
    <row r="1509" spans="16:20" x14ac:dyDescent="0.35">
      <c r="P1509" t="s">
        <v>3907</v>
      </c>
      <c r="Q1509" t="s">
        <v>5576</v>
      </c>
      <c r="R1509" t="s">
        <v>6164</v>
      </c>
      <c r="S1509" t="s">
        <v>1837</v>
      </c>
      <c r="T1509" t="s">
        <v>5646</v>
      </c>
    </row>
    <row r="1510" spans="16:20" x14ac:dyDescent="0.35">
      <c r="P1510" t="s">
        <v>3909</v>
      </c>
      <c r="Q1510" t="s">
        <v>4646</v>
      </c>
      <c r="R1510" t="s">
        <v>1198</v>
      </c>
      <c r="S1510" t="s">
        <v>5623</v>
      </c>
      <c r="T1510" t="s">
        <v>5658</v>
      </c>
    </row>
    <row r="1511" spans="16:20" x14ac:dyDescent="0.35">
      <c r="P1511" t="s">
        <v>3911</v>
      </c>
      <c r="Q1511" t="s">
        <v>4978</v>
      </c>
      <c r="R1511" t="s">
        <v>2433</v>
      </c>
      <c r="S1511" t="s">
        <v>5609</v>
      </c>
      <c r="T1511" t="s">
        <v>5658</v>
      </c>
    </row>
    <row r="1512" spans="16:20" x14ac:dyDescent="0.35">
      <c r="P1512" t="s">
        <v>3913</v>
      </c>
      <c r="Q1512" t="s">
        <v>4621</v>
      </c>
      <c r="R1512" t="s">
        <v>5823</v>
      </c>
      <c r="S1512" t="s">
        <v>1837</v>
      </c>
      <c r="T1512" t="s">
        <v>5646</v>
      </c>
    </row>
    <row r="1513" spans="16:20" x14ac:dyDescent="0.35">
      <c r="P1513" t="s">
        <v>3915</v>
      </c>
      <c r="Q1513" t="s">
        <v>4623</v>
      </c>
      <c r="R1513" t="s">
        <v>5823</v>
      </c>
      <c r="S1513" t="s">
        <v>1837</v>
      </c>
      <c r="T1513" t="s">
        <v>5646</v>
      </c>
    </row>
    <row r="1514" spans="16:20" x14ac:dyDescent="0.35">
      <c r="P1514" t="s">
        <v>3918</v>
      </c>
      <c r="Q1514" t="s">
        <v>5291</v>
      </c>
      <c r="R1514" t="s">
        <v>5788</v>
      </c>
      <c r="S1514" t="s">
        <v>5614</v>
      </c>
      <c r="T1514" t="s">
        <v>5646</v>
      </c>
    </row>
    <row r="1515" spans="16:20" x14ac:dyDescent="0.35">
      <c r="P1515" t="s">
        <v>4676</v>
      </c>
      <c r="Q1515" t="s">
        <v>4675</v>
      </c>
      <c r="R1515" t="s">
        <v>1349</v>
      </c>
      <c r="S1515" t="s">
        <v>5607</v>
      </c>
      <c r="T1515" t="s">
        <v>5650</v>
      </c>
    </row>
    <row r="1516" spans="16:20" x14ac:dyDescent="0.35">
      <c r="P1516" t="s">
        <v>3924</v>
      </c>
      <c r="Q1516" t="s">
        <v>5586</v>
      </c>
      <c r="R1516" t="s">
        <v>3924</v>
      </c>
      <c r="S1516" t="s">
        <v>5618</v>
      </c>
      <c r="T1516" t="s">
        <v>5658</v>
      </c>
    </row>
    <row r="1517" spans="16:20" x14ac:dyDescent="0.35">
      <c r="P1517" t="s">
        <v>3926</v>
      </c>
      <c r="Q1517" t="s">
        <v>4546</v>
      </c>
      <c r="R1517" t="s">
        <v>719</v>
      </c>
      <c r="S1517" t="s">
        <v>5614</v>
      </c>
      <c r="T1517" t="s">
        <v>5646</v>
      </c>
    </row>
    <row r="1518" spans="16:20" x14ac:dyDescent="0.35">
      <c r="P1518" t="s">
        <v>3929</v>
      </c>
      <c r="Q1518" t="s">
        <v>4434</v>
      </c>
      <c r="R1518" t="s">
        <v>457</v>
      </c>
      <c r="S1518" t="s">
        <v>5607</v>
      </c>
      <c r="T1518" t="s">
        <v>5650</v>
      </c>
    </row>
    <row r="1519" spans="16:20" x14ac:dyDescent="0.35">
      <c r="P1519" t="s">
        <v>3931</v>
      </c>
      <c r="Q1519" t="s">
        <v>4157</v>
      </c>
      <c r="R1519" t="s">
        <v>5811</v>
      </c>
      <c r="S1519" t="s">
        <v>5615</v>
      </c>
      <c r="T1519" t="s">
        <v>5650</v>
      </c>
    </row>
    <row r="1520" spans="16:20" x14ac:dyDescent="0.35">
      <c r="P1520" t="s">
        <v>3933</v>
      </c>
      <c r="Q1520" t="s">
        <v>5455</v>
      </c>
      <c r="R1520" t="s">
        <v>5811</v>
      </c>
      <c r="S1520" t="s">
        <v>5615</v>
      </c>
      <c r="T1520" t="s">
        <v>5650</v>
      </c>
    </row>
    <row r="1521" spans="16:20" x14ac:dyDescent="0.35">
      <c r="P1521" t="s">
        <v>3935</v>
      </c>
      <c r="Q1521" t="s">
        <v>5456</v>
      </c>
      <c r="R1521" t="s">
        <v>5811</v>
      </c>
      <c r="S1521" t="s">
        <v>5615</v>
      </c>
      <c r="T1521" t="s">
        <v>5650</v>
      </c>
    </row>
    <row r="1522" spans="16:20" x14ac:dyDescent="0.35">
      <c r="P1522" t="s">
        <v>3938</v>
      </c>
      <c r="Q1522" t="s">
        <v>4104</v>
      </c>
      <c r="R1522" t="s">
        <v>1004</v>
      </c>
      <c r="S1522" t="s">
        <v>1837</v>
      </c>
      <c r="T1522" t="s">
        <v>5646</v>
      </c>
    </row>
    <row r="1523" spans="16:20" x14ac:dyDescent="0.35">
      <c r="P1523" t="s">
        <v>5043</v>
      </c>
      <c r="Q1523" t="s">
        <v>5042</v>
      </c>
      <c r="R1523" t="s">
        <v>5831</v>
      </c>
      <c r="S1523" t="s">
        <v>5612</v>
      </c>
      <c r="T1523" t="s">
        <v>1448</v>
      </c>
    </row>
    <row r="1524" spans="16:20" x14ac:dyDescent="0.35">
      <c r="P1524" t="s">
        <v>4856</v>
      </c>
      <c r="Q1524" t="s">
        <v>4855</v>
      </c>
      <c r="R1524" t="s">
        <v>5915</v>
      </c>
      <c r="S1524" t="s">
        <v>5615</v>
      </c>
      <c r="T1524" t="s">
        <v>5650</v>
      </c>
    </row>
    <row r="1525" spans="16:20" x14ac:dyDescent="0.35">
      <c r="P1525" t="s">
        <v>3945</v>
      </c>
      <c r="Q1525" t="s">
        <v>5597</v>
      </c>
      <c r="R1525" t="s">
        <v>3945</v>
      </c>
      <c r="S1525" t="s">
        <v>5618</v>
      </c>
      <c r="T1525" t="s">
        <v>5658</v>
      </c>
    </row>
    <row r="1526" spans="16:20" x14ac:dyDescent="0.35">
      <c r="Q1526" t="s">
        <v>4157</v>
      </c>
      <c r="R1526" t="s">
        <v>3945</v>
      </c>
      <c r="S1526" t="s">
        <v>5618</v>
      </c>
      <c r="T1526" t="s">
        <v>5658</v>
      </c>
    </row>
    <row r="1527" spans="16:20" x14ac:dyDescent="0.35">
      <c r="P1527" t="s">
        <v>4302</v>
      </c>
      <c r="Q1527" t="s">
        <v>4301</v>
      </c>
      <c r="R1527" t="s">
        <v>5692</v>
      </c>
      <c r="S1527" t="s">
        <v>5612</v>
      </c>
      <c r="T1527" t="s">
        <v>1448</v>
      </c>
    </row>
    <row r="1528" spans="16:20" x14ac:dyDescent="0.35">
      <c r="P1528" t="s">
        <v>3950</v>
      </c>
      <c r="Q1528" t="s">
        <v>4157</v>
      </c>
      <c r="R1528" t="s">
        <v>2495</v>
      </c>
      <c r="S1528" t="s">
        <v>5618</v>
      </c>
      <c r="T1528" t="s">
        <v>5658</v>
      </c>
    </row>
    <row r="1529" spans="16:20" x14ac:dyDescent="0.35">
      <c r="P1529" t="s">
        <v>3952</v>
      </c>
      <c r="Q1529" t="s">
        <v>5401</v>
      </c>
      <c r="R1529" t="s">
        <v>3315</v>
      </c>
      <c r="S1529" t="s">
        <v>5618</v>
      </c>
      <c r="T1529" t="s">
        <v>5658</v>
      </c>
    </row>
    <row r="1530" spans="16:20" x14ac:dyDescent="0.35">
      <c r="P1530" t="s">
        <v>3954</v>
      </c>
      <c r="Q1530" t="s">
        <v>4279</v>
      </c>
      <c r="R1530" t="s">
        <v>110</v>
      </c>
      <c r="S1530" t="s">
        <v>5609</v>
      </c>
      <c r="T1530" t="s">
        <v>5658</v>
      </c>
    </row>
    <row r="1531" spans="16:20" x14ac:dyDescent="0.35">
      <c r="P1531" t="s">
        <v>4174</v>
      </c>
      <c r="Q1531" t="s">
        <v>4157</v>
      </c>
      <c r="R1531" t="s">
        <v>719</v>
      </c>
      <c r="S1531" t="s">
        <v>5606</v>
      </c>
      <c r="T1531" t="s">
        <v>5646</v>
      </c>
    </row>
    <row r="1532" spans="16:20" x14ac:dyDescent="0.35">
      <c r="P1532" t="s">
        <v>3958</v>
      </c>
      <c r="Q1532" t="s">
        <v>5211</v>
      </c>
      <c r="R1532" t="s">
        <v>5908</v>
      </c>
      <c r="S1532" t="s">
        <v>5617</v>
      </c>
      <c r="T1532" t="s">
        <v>5658</v>
      </c>
    </row>
    <row r="1533" spans="16:20" x14ac:dyDescent="0.35">
      <c r="Q1533" t="s">
        <v>5598</v>
      </c>
      <c r="R1533" t="s">
        <v>3958</v>
      </c>
      <c r="S1533" t="s">
        <v>5609</v>
      </c>
      <c r="T1533" t="s">
        <v>5658</v>
      </c>
    </row>
    <row r="1534" spans="16:20" x14ac:dyDescent="0.35">
      <c r="Q1534" t="s">
        <v>5181</v>
      </c>
      <c r="R1534" t="s">
        <v>2739</v>
      </c>
      <c r="S1534" t="s">
        <v>5609</v>
      </c>
      <c r="T1534" t="s">
        <v>5658</v>
      </c>
    </row>
    <row r="1535" spans="16:20" x14ac:dyDescent="0.35">
      <c r="P1535" t="s">
        <v>3964</v>
      </c>
      <c r="Q1535" t="s">
        <v>4547</v>
      </c>
      <c r="R1535" t="s">
        <v>719</v>
      </c>
      <c r="S1535" t="s">
        <v>5614</v>
      </c>
      <c r="T1535" t="s">
        <v>5646</v>
      </c>
    </row>
    <row r="1536" spans="16:20" x14ac:dyDescent="0.35">
      <c r="P1536" t="s">
        <v>3966</v>
      </c>
      <c r="Q1536" t="s">
        <v>3957</v>
      </c>
      <c r="R1536" t="s">
        <v>719</v>
      </c>
      <c r="S1536" t="s">
        <v>5606</v>
      </c>
      <c r="T1536" t="s">
        <v>5646</v>
      </c>
    </row>
    <row r="1537" spans="16:20" x14ac:dyDescent="0.35">
      <c r="P1537" t="s">
        <v>5109</v>
      </c>
      <c r="Q1537" t="s">
        <v>5108</v>
      </c>
      <c r="R1537" t="s">
        <v>5981</v>
      </c>
      <c r="S1537" t="s">
        <v>5612</v>
      </c>
      <c r="T1537" t="s">
        <v>1448</v>
      </c>
    </row>
    <row r="1538" spans="16:20" x14ac:dyDescent="0.35">
      <c r="P1538" t="s">
        <v>3970</v>
      </c>
      <c r="Q1538" t="s">
        <v>5583</v>
      </c>
      <c r="R1538" t="s">
        <v>3911</v>
      </c>
      <c r="S1538" t="s">
        <v>5617</v>
      </c>
      <c r="T1538" t="s">
        <v>5658</v>
      </c>
    </row>
    <row r="1539" spans="16:20" x14ac:dyDescent="0.35">
      <c r="P1539" t="s">
        <v>3972</v>
      </c>
      <c r="Q1539" t="s">
        <v>3973</v>
      </c>
      <c r="R1539" t="s">
        <v>5786</v>
      </c>
      <c r="S1539" t="s">
        <v>5606</v>
      </c>
      <c r="T1539" t="s">
        <v>5646</v>
      </c>
    </row>
    <row r="1540" spans="16:20" x14ac:dyDescent="0.35">
      <c r="Q1540" t="s">
        <v>4157</v>
      </c>
      <c r="R1540" t="s">
        <v>5786</v>
      </c>
      <c r="S1540" t="s">
        <v>5606</v>
      </c>
      <c r="T1540" t="s">
        <v>5646</v>
      </c>
    </row>
    <row r="1541" spans="16:20" x14ac:dyDescent="0.35">
      <c r="P1541" t="s">
        <v>5078</v>
      </c>
      <c r="Q1541" t="s">
        <v>5077</v>
      </c>
      <c r="R1541" t="s">
        <v>5621</v>
      </c>
      <c r="S1541" t="s">
        <v>5621</v>
      </c>
      <c r="T1541" t="s">
        <v>5678</v>
      </c>
    </row>
    <row r="1542" spans="16:20" x14ac:dyDescent="0.35">
      <c r="P1542" t="s">
        <v>3977</v>
      </c>
      <c r="Q1542" t="s">
        <v>4551</v>
      </c>
      <c r="R1542" t="s">
        <v>773</v>
      </c>
      <c r="S1542" t="s">
        <v>5617</v>
      </c>
      <c r="T1542" t="s">
        <v>5658</v>
      </c>
    </row>
    <row r="1543" spans="16:20" x14ac:dyDescent="0.35">
      <c r="P1543" t="s">
        <v>3979</v>
      </c>
      <c r="Q1543" t="s">
        <v>5568</v>
      </c>
      <c r="R1543" t="s">
        <v>3897</v>
      </c>
      <c r="S1543" t="s">
        <v>5609</v>
      </c>
      <c r="T1543" t="s">
        <v>5658</v>
      </c>
    </row>
    <row r="1544" spans="16:20" x14ac:dyDescent="0.35">
      <c r="P1544" t="s">
        <v>3981</v>
      </c>
      <c r="Q1544" t="s">
        <v>4632</v>
      </c>
      <c r="R1544" t="s">
        <v>1184</v>
      </c>
      <c r="S1544" t="s">
        <v>5615</v>
      </c>
      <c r="T1544" t="s">
        <v>5650</v>
      </c>
    </row>
    <row r="1545" spans="16:20" x14ac:dyDescent="0.35">
      <c r="P1545" t="s">
        <v>3983</v>
      </c>
      <c r="Q1545" t="s">
        <v>4061</v>
      </c>
      <c r="R1545" t="s">
        <v>5719</v>
      </c>
      <c r="S1545" t="s">
        <v>5607</v>
      </c>
      <c r="T1545" t="s">
        <v>5650</v>
      </c>
    </row>
    <row r="1546" spans="16:20" x14ac:dyDescent="0.35">
      <c r="P1546" t="s">
        <v>3986</v>
      </c>
      <c r="Q1546" t="s">
        <v>4630</v>
      </c>
      <c r="R1546" t="s">
        <v>1184</v>
      </c>
      <c r="S1546" t="s">
        <v>5615</v>
      </c>
      <c r="T1546" t="s">
        <v>5650</v>
      </c>
    </row>
    <row r="1547" spans="16:20" x14ac:dyDescent="0.35">
      <c r="P1547" t="s">
        <v>3988</v>
      </c>
      <c r="Q1547" t="s">
        <v>5255</v>
      </c>
      <c r="R1547" t="s">
        <v>2914</v>
      </c>
      <c r="S1547" t="s">
        <v>5607</v>
      </c>
      <c r="T1547" t="s">
        <v>5650</v>
      </c>
    </row>
    <row r="1548" spans="16:20" x14ac:dyDescent="0.35">
      <c r="P1548" t="s">
        <v>3990</v>
      </c>
      <c r="Q1548" t="s">
        <v>4065</v>
      </c>
      <c r="R1548" t="s">
        <v>5719</v>
      </c>
      <c r="S1548" t="s">
        <v>5607</v>
      </c>
      <c r="T1548" t="s">
        <v>5650</v>
      </c>
    </row>
    <row r="1549" spans="16:20" x14ac:dyDescent="0.35">
      <c r="P1549" t="s">
        <v>5024</v>
      </c>
      <c r="Q1549" t="s">
        <v>5023</v>
      </c>
      <c r="R1549" t="s">
        <v>2540</v>
      </c>
      <c r="S1549" t="s">
        <v>5612</v>
      </c>
      <c r="T1549" t="s">
        <v>1448</v>
      </c>
    </row>
    <row r="1550" spans="16:20" x14ac:dyDescent="0.35">
      <c r="P1550" t="s">
        <v>3994</v>
      </c>
      <c r="Q1550" t="s">
        <v>4625</v>
      </c>
      <c r="R1550" t="s">
        <v>1184</v>
      </c>
      <c r="S1550" t="s">
        <v>5615</v>
      </c>
      <c r="T1550" t="s">
        <v>5650</v>
      </c>
    </row>
    <row r="1551" spans="16:20" x14ac:dyDescent="0.35">
      <c r="P1551" t="s">
        <v>3996</v>
      </c>
      <c r="Q1551" t="s">
        <v>5535</v>
      </c>
      <c r="R1551" t="s">
        <v>5610</v>
      </c>
      <c r="S1551" t="s">
        <v>5610</v>
      </c>
      <c r="T1551" t="s">
        <v>5646</v>
      </c>
    </row>
    <row r="1552" spans="16:20" x14ac:dyDescent="0.35">
      <c r="P1552" t="s">
        <v>4256</v>
      </c>
      <c r="Q1552" t="s">
        <v>4588</v>
      </c>
      <c r="R1552" t="s">
        <v>5103</v>
      </c>
      <c r="S1552" t="s">
        <v>5607</v>
      </c>
      <c r="T1552" t="s">
        <v>5650</v>
      </c>
    </row>
    <row r="1553" spans="16:20" x14ac:dyDescent="0.35">
      <c r="Q1553" t="s">
        <v>4157</v>
      </c>
      <c r="R1553" t="s">
        <v>5103</v>
      </c>
      <c r="S1553" t="s">
        <v>5607</v>
      </c>
      <c r="T1553" t="s">
        <v>5650</v>
      </c>
    </row>
    <row r="1554" spans="16:20" x14ac:dyDescent="0.35">
      <c r="P1554" t="s">
        <v>4002</v>
      </c>
      <c r="Q1554" t="s">
        <v>5309</v>
      </c>
      <c r="R1554" t="s">
        <v>3032</v>
      </c>
      <c r="S1554" t="s">
        <v>5619</v>
      </c>
      <c r="T1554" t="s">
        <v>5646</v>
      </c>
    </row>
    <row r="1555" spans="16:20" x14ac:dyDescent="0.35">
      <c r="P1555" t="s">
        <v>4004</v>
      </c>
      <c r="Q1555" t="s">
        <v>5446</v>
      </c>
      <c r="R1555" t="s">
        <v>5682</v>
      </c>
      <c r="S1555" t="s">
        <v>5614</v>
      </c>
      <c r="T1555" t="s">
        <v>5646</v>
      </c>
    </row>
    <row r="1556" spans="16:20" x14ac:dyDescent="0.35">
      <c r="P1556" t="s">
        <v>4006</v>
      </c>
      <c r="Q1556" t="s">
        <v>5198</v>
      </c>
      <c r="R1556" t="s">
        <v>6013</v>
      </c>
      <c r="S1556" t="s">
        <v>5623</v>
      </c>
      <c r="T1556" t="s">
        <v>5658</v>
      </c>
    </row>
    <row r="1557" spans="16:20" x14ac:dyDescent="0.35">
      <c r="P1557" t="s">
        <v>4196</v>
      </c>
      <c r="Q1557" t="s">
        <v>4157</v>
      </c>
      <c r="R1557" t="s">
        <v>2628</v>
      </c>
      <c r="S1557" t="s">
        <v>5606</v>
      </c>
      <c r="T1557" t="s">
        <v>5646</v>
      </c>
    </row>
    <row r="1558" spans="16:20" x14ac:dyDescent="0.35">
      <c r="P1558" t="s">
        <v>4157</v>
      </c>
      <c r="Q1558" t="s">
        <v>4157</v>
      </c>
      <c r="R1558" t="s">
        <v>5642</v>
      </c>
      <c r="S1558" t="s">
        <v>5630</v>
      </c>
      <c r="T1558" t="s">
        <v>5644</v>
      </c>
    </row>
    <row r="1559" spans="16:20" x14ac:dyDescent="0.35">
      <c r="R1559" t="s">
        <v>5648</v>
      </c>
      <c r="S1559" t="s">
        <v>5632</v>
      </c>
      <c r="T1559" t="s">
        <v>5650</v>
      </c>
    </row>
    <row r="1560" spans="16:20" x14ac:dyDescent="0.35">
      <c r="R1560" t="s">
        <v>70</v>
      </c>
      <c r="S1560" t="s">
        <v>1837</v>
      </c>
      <c r="T1560" t="s">
        <v>5646</v>
      </c>
    </row>
    <row r="1561" spans="16:20" x14ac:dyDescent="0.35">
      <c r="R1561" t="s">
        <v>5656</v>
      </c>
      <c r="S1561" t="s">
        <v>5612</v>
      </c>
      <c r="T1561" t="s">
        <v>1448</v>
      </c>
    </row>
    <row r="1562" spans="16:20" x14ac:dyDescent="0.35">
      <c r="R1562" t="s">
        <v>110</v>
      </c>
      <c r="S1562" t="s">
        <v>5609</v>
      </c>
      <c r="T1562" t="s">
        <v>5658</v>
      </c>
    </row>
    <row r="1563" spans="16:20" x14ac:dyDescent="0.35">
      <c r="R1563" t="s">
        <v>129</v>
      </c>
      <c r="S1563" t="s">
        <v>5609</v>
      </c>
      <c r="T1563" t="s">
        <v>5658</v>
      </c>
    </row>
    <row r="1564" spans="16:20" x14ac:dyDescent="0.35">
      <c r="R1564" t="s">
        <v>4161</v>
      </c>
      <c r="S1564" t="s">
        <v>5614</v>
      </c>
      <c r="T1564" t="s">
        <v>5646</v>
      </c>
    </row>
    <row r="1565" spans="16:20" x14ac:dyDescent="0.35">
      <c r="R1565" t="s">
        <v>5676</v>
      </c>
      <c r="S1565" t="s">
        <v>5625</v>
      </c>
      <c r="T1565" t="s">
        <v>1448</v>
      </c>
    </row>
    <row r="1566" spans="16:20" x14ac:dyDescent="0.35">
      <c r="R1566" t="s">
        <v>5689</v>
      </c>
      <c r="S1566" t="s">
        <v>3155</v>
      </c>
      <c r="T1566" t="s">
        <v>5668</v>
      </c>
    </row>
    <row r="1567" spans="16:20" x14ac:dyDescent="0.35">
      <c r="R1567" t="s">
        <v>262</v>
      </c>
      <c r="S1567" t="s">
        <v>1837</v>
      </c>
      <c r="T1567" t="s">
        <v>5646</v>
      </c>
    </row>
    <row r="1568" spans="16:20" x14ac:dyDescent="0.35">
      <c r="R1568" t="s">
        <v>4228</v>
      </c>
      <c r="S1568" t="s">
        <v>5619</v>
      </c>
      <c r="T1568" t="s">
        <v>5646</v>
      </c>
    </row>
    <row r="1569" spans="18:20" x14ac:dyDescent="0.35">
      <c r="R1569" t="s">
        <v>283</v>
      </c>
      <c r="S1569" t="s">
        <v>5615</v>
      </c>
      <c r="T1569" t="s">
        <v>5650</v>
      </c>
    </row>
    <row r="1570" spans="18:20" x14ac:dyDescent="0.35">
      <c r="R1570" t="s">
        <v>287</v>
      </c>
      <c r="S1570" t="s">
        <v>5614</v>
      </c>
      <c r="T1570" t="s">
        <v>5646</v>
      </c>
    </row>
    <row r="1571" spans="18:20" x14ac:dyDescent="0.35">
      <c r="R1571" t="s">
        <v>299</v>
      </c>
      <c r="S1571" t="s">
        <v>5613</v>
      </c>
      <c r="T1571" t="s">
        <v>5678</v>
      </c>
    </row>
    <row r="1572" spans="18:20" x14ac:dyDescent="0.35">
      <c r="R1572" t="s">
        <v>5706</v>
      </c>
      <c r="S1572" t="s">
        <v>5633</v>
      </c>
      <c r="T1572" t="s">
        <v>5650</v>
      </c>
    </row>
    <row r="1573" spans="18:20" x14ac:dyDescent="0.35">
      <c r="R1573" t="s">
        <v>5710</v>
      </c>
      <c r="S1573" t="s">
        <v>5613</v>
      </c>
      <c r="T1573" t="s">
        <v>5678</v>
      </c>
    </row>
    <row r="1574" spans="18:20" x14ac:dyDescent="0.35">
      <c r="R1574" t="s">
        <v>5713</v>
      </c>
      <c r="S1574" t="s">
        <v>5611</v>
      </c>
      <c r="T1574" t="s">
        <v>1448</v>
      </c>
    </row>
    <row r="1575" spans="18:20" x14ac:dyDescent="0.35">
      <c r="R1575" t="s">
        <v>5717</v>
      </c>
      <c r="S1575" t="s">
        <v>5608</v>
      </c>
      <c r="T1575" t="s">
        <v>5678</v>
      </c>
    </row>
    <row r="1576" spans="18:20" x14ac:dyDescent="0.35">
      <c r="R1576" t="s">
        <v>5724</v>
      </c>
      <c r="S1576" t="s">
        <v>5630</v>
      </c>
      <c r="T1576" t="s">
        <v>5644</v>
      </c>
    </row>
    <row r="1577" spans="18:20" x14ac:dyDescent="0.35">
      <c r="R1577" t="s">
        <v>357</v>
      </c>
      <c r="S1577" t="s">
        <v>5609</v>
      </c>
      <c r="T1577" t="s">
        <v>5658</v>
      </c>
    </row>
    <row r="1578" spans="18:20" x14ac:dyDescent="0.35">
      <c r="R1578" t="s">
        <v>5729</v>
      </c>
      <c r="S1578" t="s">
        <v>5616</v>
      </c>
      <c r="T1578" t="s">
        <v>5650</v>
      </c>
    </row>
    <row r="1579" spans="18:20" x14ac:dyDescent="0.35">
      <c r="R1579" t="s">
        <v>5732</v>
      </c>
      <c r="S1579" t="s">
        <v>5614</v>
      </c>
      <c r="T1579" t="s">
        <v>5646</v>
      </c>
    </row>
    <row r="1580" spans="18:20" x14ac:dyDescent="0.35">
      <c r="R1580" t="s">
        <v>5743</v>
      </c>
      <c r="S1580" t="s">
        <v>5614</v>
      </c>
      <c r="T1580" t="s">
        <v>5646</v>
      </c>
    </row>
    <row r="1581" spans="18:20" x14ac:dyDescent="0.35">
      <c r="R1581" t="s">
        <v>4222</v>
      </c>
      <c r="S1581" t="s">
        <v>5614</v>
      </c>
      <c r="T1581" t="s">
        <v>5646</v>
      </c>
    </row>
    <row r="1582" spans="18:20" x14ac:dyDescent="0.35">
      <c r="R1582" t="s">
        <v>457</v>
      </c>
      <c r="S1582" t="s">
        <v>5607</v>
      </c>
      <c r="T1582" t="s">
        <v>5650</v>
      </c>
    </row>
    <row r="1583" spans="18:20" x14ac:dyDescent="0.35">
      <c r="R1583" t="s">
        <v>5749</v>
      </c>
      <c r="S1583" t="s">
        <v>5613</v>
      </c>
      <c r="T1583" t="s">
        <v>5678</v>
      </c>
    </row>
    <row r="1584" spans="18:20" x14ac:dyDescent="0.35">
      <c r="R1584" t="s">
        <v>5751</v>
      </c>
      <c r="S1584" t="s">
        <v>5626</v>
      </c>
      <c r="T1584" t="s">
        <v>5639</v>
      </c>
    </row>
    <row r="1585" spans="18:20" x14ac:dyDescent="0.35">
      <c r="R1585" t="s">
        <v>5753</v>
      </c>
      <c r="S1585" t="s">
        <v>5626</v>
      </c>
      <c r="T1585" t="s">
        <v>5639</v>
      </c>
    </row>
    <row r="1586" spans="18:20" x14ac:dyDescent="0.35">
      <c r="R1586" t="s">
        <v>5755</v>
      </c>
      <c r="S1586" t="s">
        <v>5614</v>
      </c>
      <c r="T1586" t="s">
        <v>5646</v>
      </c>
    </row>
    <row r="1587" spans="18:20" x14ac:dyDescent="0.35">
      <c r="R1587" t="s">
        <v>5757</v>
      </c>
      <c r="S1587" t="s">
        <v>5622</v>
      </c>
      <c r="T1587" t="s">
        <v>5646</v>
      </c>
    </row>
    <row r="1588" spans="18:20" x14ac:dyDescent="0.35">
      <c r="R1588" t="s">
        <v>5607</v>
      </c>
      <c r="S1588" t="s">
        <v>5607</v>
      </c>
      <c r="T1588" t="s">
        <v>5650</v>
      </c>
    </row>
    <row r="1589" spans="18:20" x14ac:dyDescent="0.35">
      <c r="R1589" t="s">
        <v>534</v>
      </c>
      <c r="S1589" t="s">
        <v>5618</v>
      </c>
      <c r="T1589" t="s">
        <v>5658</v>
      </c>
    </row>
    <row r="1590" spans="18:20" x14ac:dyDescent="0.35">
      <c r="R1590" t="s">
        <v>5763</v>
      </c>
      <c r="S1590" t="s">
        <v>5625</v>
      </c>
      <c r="T1590" t="s">
        <v>1448</v>
      </c>
    </row>
    <row r="1591" spans="18:20" x14ac:dyDescent="0.35">
      <c r="R1591" t="s">
        <v>5765</v>
      </c>
      <c r="S1591" t="s">
        <v>5625</v>
      </c>
      <c r="T1591" t="s">
        <v>1448</v>
      </c>
    </row>
    <row r="1592" spans="18:20" x14ac:dyDescent="0.35">
      <c r="R1592" t="s">
        <v>550</v>
      </c>
      <c r="S1592" t="s">
        <v>5618</v>
      </c>
      <c r="T1592" t="s">
        <v>5658</v>
      </c>
    </row>
    <row r="1593" spans="18:20" x14ac:dyDescent="0.35">
      <c r="R1593" t="s">
        <v>582</v>
      </c>
      <c r="S1593" t="s">
        <v>5609</v>
      </c>
      <c r="T1593" t="s">
        <v>5658</v>
      </c>
    </row>
    <row r="1594" spans="18:20" x14ac:dyDescent="0.35">
      <c r="R1594" t="s">
        <v>5770</v>
      </c>
      <c r="S1594" t="s">
        <v>5616</v>
      </c>
      <c r="T1594" t="s">
        <v>5650</v>
      </c>
    </row>
    <row r="1595" spans="18:20" x14ac:dyDescent="0.35">
      <c r="R1595" t="s">
        <v>4513</v>
      </c>
      <c r="S1595" t="s">
        <v>5612</v>
      </c>
      <c r="T1595" t="s">
        <v>1448</v>
      </c>
    </row>
    <row r="1596" spans="18:20" x14ac:dyDescent="0.35">
      <c r="R1596" t="s">
        <v>5774</v>
      </c>
      <c r="S1596" t="s">
        <v>5616</v>
      </c>
      <c r="T1596" t="s">
        <v>5650</v>
      </c>
    </row>
    <row r="1597" spans="18:20" x14ac:dyDescent="0.35">
      <c r="R1597" t="s">
        <v>5777</v>
      </c>
      <c r="S1597" t="s">
        <v>5625</v>
      </c>
      <c r="T1597" t="s">
        <v>1448</v>
      </c>
    </row>
    <row r="1598" spans="18:20" x14ac:dyDescent="0.35">
      <c r="R1598" t="s">
        <v>653</v>
      </c>
      <c r="S1598" t="s">
        <v>5613</v>
      </c>
      <c r="T1598" t="s">
        <v>5678</v>
      </c>
    </row>
    <row r="1599" spans="18:20" x14ac:dyDescent="0.35">
      <c r="R1599" t="s">
        <v>5783</v>
      </c>
      <c r="S1599" t="s">
        <v>5607</v>
      </c>
      <c r="T1599" t="s">
        <v>5650</v>
      </c>
    </row>
    <row r="1600" spans="18:20" x14ac:dyDescent="0.35">
      <c r="R1600" t="s">
        <v>719</v>
      </c>
      <c r="S1600" t="s">
        <v>5622</v>
      </c>
      <c r="T1600" t="s">
        <v>5646</v>
      </c>
    </row>
    <row r="1601" spans="18:20" x14ac:dyDescent="0.35">
      <c r="R1601" t="s">
        <v>5789</v>
      </c>
      <c r="S1601" t="s">
        <v>5633</v>
      </c>
      <c r="T1601" t="s">
        <v>5650</v>
      </c>
    </row>
    <row r="1602" spans="18:20" x14ac:dyDescent="0.35">
      <c r="R1602" t="s">
        <v>767</v>
      </c>
      <c r="S1602" t="s">
        <v>5626</v>
      </c>
      <c r="T1602" t="s">
        <v>5639</v>
      </c>
    </row>
    <row r="1603" spans="18:20" x14ac:dyDescent="0.35">
      <c r="R1603" t="s">
        <v>773</v>
      </c>
      <c r="S1603" t="s">
        <v>5622</v>
      </c>
      <c r="T1603" t="s">
        <v>5646</v>
      </c>
    </row>
    <row r="1604" spans="18:20" x14ac:dyDescent="0.35">
      <c r="R1604" t="s">
        <v>5796</v>
      </c>
      <c r="S1604" t="s">
        <v>5622</v>
      </c>
      <c r="T1604" t="s">
        <v>5646</v>
      </c>
    </row>
    <row r="1605" spans="18:20" x14ac:dyDescent="0.35">
      <c r="R1605" t="s">
        <v>5800</v>
      </c>
      <c r="S1605" t="s">
        <v>5625</v>
      </c>
      <c r="T1605" t="s">
        <v>1448</v>
      </c>
    </row>
    <row r="1606" spans="18:20" x14ac:dyDescent="0.35">
      <c r="R1606" t="s">
        <v>5802</v>
      </c>
      <c r="S1606" t="s">
        <v>5616</v>
      </c>
      <c r="T1606" t="s">
        <v>5650</v>
      </c>
    </row>
    <row r="1607" spans="18:20" x14ac:dyDescent="0.35">
      <c r="R1607" t="s">
        <v>855</v>
      </c>
      <c r="S1607" t="s">
        <v>5615</v>
      </c>
      <c r="T1607" t="s">
        <v>5650</v>
      </c>
    </row>
    <row r="1608" spans="18:20" x14ac:dyDescent="0.35">
      <c r="R1608" t="s">
        <v>5806</v>
      </c>
      <c r="S1608" t="s">
        <v>5628</v>
      </c>
      <c r="T1608" t="s">
        <v>5668</v>
      </c>
    </row>
    <row r="1609" spans="18:20" x14ac:dyDescent="0.35">
      <c r="R1609" t="s">
        <v>955</v>
      </c>
      <c r="S1609" t="s">
        <v>5607</v>
      </c>
      <c r="T1609" t="s">
        <v>5650</v>
      </c>
    </row>
    <row r="1610" spans="18:20" x14ac:dyDescent="0.35">
      <c r="R1610" t="s">
        <v>5103</v>
      </c>
      <c r="S1610" t="s">
        <v>5607</v>
      </c>
      <c r="T1610" t="s">
        <v>5650</v>
      </c>
    </row>
    <row r="1611" spans="18:20" x14ac:dyDescent="0.35">
      <c r="R1611" t="s">
        <v>1004</v>
      </c>
      <c r="S1611" t="s">
        <v>1837</v>
      </c>
      <c r="T1611" t="s">
        <v>5646</v>
      </c>
    </row>
    <row r="1612" spans="18:20" x14ac:dyDescent="0.35">
      <c r="R1612" t="s">
        <v>5813</v>
      </c>
      <c r="S1612" t="s">
        <v>1837</v>
      </c>
      <c r="T1612" t="s">
        <v>5646</v>
      </c>
    </row>
    <row r="1613" spans="18:20" x14ac:dyDescent="0.35">
      <c r="R1613" t="s">
        <v>5815</v>
      </c>
      <c r="S1613" t="s">
        <v>5610</v>
      </c>
      <c r="T1613" t="s">
        <v>5646</v>
      </c>
    </row>
    <row r="1614" spans="18:20" x14ac:dyDescent="0.35">
      <c r="R1614" t="s">
        <v>5817</v>
      </c>
      <c r="S1614" t="s">
        <v>5614</v>
      </c>
      <c r="T1614" t="s">
        <v>5646</v>
      </c>
    </row>
    <row r="1615" spans="18:20" x14ac:dyDescent="0.35">
      <c r="R1615" t="s">
        <v>4454</v>
      </c>
      <c r="S1615" t="s">
        <v>5625</v>
      </c>
      <c r="T1615" t="s">
        <v>1448</v>
      </c>
    </row>
    <row r="1616" spans="18:20" x14ac:dyDescent="0.35">
      <c r="R1616" t="s">
        <v>5823</v>
      </c>
      <c r="S1616" t="s">
        <v>1837</v>
      </c>
      <c r="T1616" t="s">
        <v>5646</v>
      </c>
    </row>
    <row r="1617" spans="18:20" x14ac:dyDescent="0.35">
      <c r="R1617" t="s">
        <v>5826</v>
      </c>
      <c r="S1617" t="s">
        <v>5625</v>
      </c>
      <c r="T1617" t="s">
        <v>1448</v>
      </c>
    </row>
    <row r="1618" spans="18:20" x14ac:dyDescent="0.35">
      <c r="R1618" t="s">
        <v>5829</v>
      </c>
      <c r="S1618" t="s">
        <v>5632</v>
      </c>
      <c r="T1618" t="s">
        <v>5650</v>
      </c>
    </row>
    <row r="1619" spans="18:20" x14ac:dyDescent="0.35">
      <c r="R1619" t="s">
        <v>5832</v>
      </c>
      <c r="S1619" t="s">
        <v>5626</v>
      </c>
      <c r="T1619" t="s">
        <v>5639</v>
      </c>
    </row>
    <row r="1620" spans="18:20" x14ac:dyDescent="0.35">
      <c r="R1620" t="s">
        <v>1184</v>
      </c>
      <c r="S1620" t="s">
        <v>5615</v>
      </c>
      <c r="T1620" t="s">
        <v>5650</v>
      </c>
    </row>
    <row r="1621" spans="18:20" x14ac:dyDescent="0.35">
      <c r="R1621" t="s">
        <v>5772</v>
      </c>
      <c r="S1621" t="s">
        <v>5615</v>
      </c>
      <c r="T1621" t="s">
        <v>5650</v>
      </c>
    </row>
    <row r="1622" spans="18:20" x14ac:dyDescent="0.35">
      <c r="R1622" t="s">
        <v>1244</v>
      </c>
      <c r="S1622" t="s">
        <v>5607</v>
      </c>
      <c r="T1622" t="s">
        <v>5650</v>
      </c>
    </row>
    <row r="1623" spans="18:20" x14ac:dyDescent="0.35">
      <c r="R1623" t="s">
        <v>5839</v>
      </c>
      <c r="S1623" t="s">
        <v>5616</v>
      </c>
      <c r="T1623" t="s">
        <v>5650</v>
      </c>
    </row>
    <row r="1624" spans="18:20" x14ac:dyDescent="0.35">
      <c r="R1624" t="s">
        <v>1349</v>
      </c>
      <c r="S1624" t="s">
        <v>5607</v>
      </c>
      <c r="T1624" t="s">
        <v>5650</v>
      </c>
    </row>
    <row r="1625" spans="18:20" x14ac:dyDescent="0.35">
      <c r="R1625" t="s">
        <v>1367</v>
      </c>
      <c r="S1625" t="s">
        <v>5615</v>
      </c>
      <c r="T1625" t="s">
        <v>5650</v>
      </c>
    </row>
    <row r="1626" spans="18:20" x14ac:dyDescent="0.35">
      <c r="R1626" t="s">
        <v>1375</v>
      </c>
      <c r="S1626" t="s">
        <v>5607</v>
      </c>
      <c r="T1626" t="s">
        <v>5650</v>
      </c>
    </row>
    <row r="1627" spans="18:20" x14ac:dyDescent="0.35">
      <c r="R1627" t="s">
        <v>5845</v>
      </c>
      <c r="S1627" t="s">
        <v>5613</v>
      </c>
      <c r="T1627" t="s">
        <v>5678</v>
      </c>
    </row>
    <row r="1628" spans="18:20" x14ac:dyDescent="0.35">
      <c r="R1628" t="s">
        <v>1447</v>
      </c>
      <c r="S1628" t="s">
        <v>5608</v>
      </c>
      <c r="T1628" t="s">
        <v>5678</v>
      </c>
    </row>
    <row r="1629" spans="18:20" x14ac:dyDescent="0.35">
      <c r="R1629" t="s">
        <v>5848</v>
      </c>
      <c r="S1629" t="s">
        <v>5609</v>
      </c>
      <c r="T1629" t="s">
        <v>5658</v>
      </c>
    </row>
    <row r="1630" spans="18:20" x14ac:dyDescent="0.35">
      <c r="R1630" t="s">
        <v>5850</v>
      </c>
      <c r="S1630" t="s">
        <v>5609</v>
      </c>
      <c r="T1630" t="s">
        <v>5658</v>
      </c>
    </row>
    <row r="1631" spans="18:20" x14ac:dyDescent="0.35">
      <c r="R1631" t="s">
        <v>1457</v>
      </c>
      <c r="S1631" t="s">
        <v>5607</v>
      </c>
      <c r="T1631" t="s">
        <v>5650</v>
      </c>
    </row>
    <row r="1632" spans="18:20" x14ac:dyDescent="0.35">
      <c r="R1632" t="s">
        <v>1474</v>
      </c>
      <c r="S1632" t="s">
        <v>5630</v>
      </c>
      <c r="T1632" t="s">
        <v>5644</v>
      </c>
    </row>
    <row r="1633" spans="18:20" x14ac:dyDescent="0.35">
      <c r="R1633" t="s">
        <v>5854</v>
      </c>
      <c r="S1633" t="s">
        <v>5632</v>
      </c>
      <c r="T1633" t="s">
        <v>5650</v>
      </c>
    </row>
    <row r="1634" spans="18:20" x14ac:dyDescent="0.35">
      <c r="R1634" t="s">
        <v>5606</v>
      </c>
      <c r="S1634" t="s">
        <v>5622</v>
      </c>
      <c r="T1634" t="s">
        <v>5646</v>
      </c>
    </row>
    <row r="1635" spans="18:20" x14ac:dyDescent="0.35">
      <c r="R1635" t="s">
        <v>5858</v>
      </c>
      <c r="S1635" t="s">
        <v>5631</v>
      </c>
      <c r="T1635" t="s">
        <v>5678</v>
      </c>
    </row>
    <row r="1636" spans="18:20" x14ac:dyDescent="0.35">
      <c r="R1636" t="s">
        <v>1522</v>
      </c>
      <c r="S1636" t="s">
        <v>5610</v>
      </c>
      <c r="T1636" t="s">
        <v>5646</v>
      </c>
    </row>
    <row r="1637" spans="18:20" x14ac:dyDescent="0.35">
      <c r="R1637" t="s">
        <v>5864</v>
      </c>
      <c r="S1637" t="s">
        <v>5615</v>
      </c>
      <c r="T1637" t="s">
        <v>5650</v>
      </c>
    </row>
    <row r="1638" spans="18:20" x14ac:dyDescent="0.35">
      <c r="R1638" t="s">
        <v>5870</v>
      </c>
      <c r="S1638" t="s">
        <v>1837</v>
      </c>
      <c r="T1638" t="s">
        <v>5646</v>
      </c>
    </row>
    <row r="1639" spans="18:20" x14ac:dyDescent="0.35">
      <c r="R1639" t="s">
        <v>5872</v>
      </c>
      <c r="S1639" t="s">
        <v>5608</v>
      </c>
      <c r="T1639" t="s">
        <v>5678</v>
      </c>
    </row>
    <row r="1640" spans="18:20" x14ac:dyDescent="0.35">
      <c r="R1640" t="s">
        <v>5875</v>
      </c>
      <c r="S1640" t="s">
        <v>5632</v>
      </c>
      <c r="T1640" t="s">
        <v>5650</v>
      </c>
    </row>
    <row r="1641" spans="18:20" x14ac:dyDescent="0.35">
      <c r="R1641" t="s">
        <v>5877</v>
      </c>
      <c r="S1641" t="s">
        <v>5607</v>
      </c>
      <c r="T1641" t="s">
        <v>5650</v>
      </c>
    </row>
    <row r="1642" spans="18:20" x14ac:dyDescent="0.35">
      <c r="R1642" t="s">
        <v>1691</v>
      </c>
      <c r="S1642" t="s">
        <v>5615</v>
      </c>
      <c r="T1642" t="s">
        <v>5650</v>
      </c>
    </row>
    <row r="1643" spans="18:20" x14ac:dyDescent="0.35">
      <c r="R1643" t="s">
        <v>1693</v>
      </c>
      <c r="S1643" t="s">
        <v>5607</v>
      </c>
      <c r="T1643" t="s">
        <v>5650</v>
      </c>
    </row>
    <row r="1644" spans="18:20" x14ac:dyDescent="0.35">
      <c r="R1644" t="s">
        <v>5881</v>
      </c>
      <c r="S1644" t="s">
        <v>5632</v>
      </c>
      <c r="T1644" t="s">
        <v>5650</v>
      </c>
    </row>
    <row r="1645" spans="18:20" x14ac:dyDescent="0.35">
      <c r="R1645" t="s">
        <v>5883</v>
      </c>
      <c r="S1645" t="s">
        <v>5632</v>
      </c>
      <c r="T1645" t="s">
        <v>5650</v>
      </c>
    </row>
    <row r="1646" spans="18:20" x14ac:dyDescent="0.35">
      <c r="R1646" t="s">
        <v>5888</v>
      </c>
      <c r="S1646" t="s">
        <v>5619</v>
      </c>
      <c r="T1646" t="s">
        <v>5646</v>
      </c>
    </row>
    <row r="1647" spans="18:20" x14ac:dyDescent="0.35">
      <c r="R1647" t="s">
        <v>1779</v>
      </c>
      <c r="S1647" t="s">
        <v>5611</v>
      </c>
      <c r="T1647" t="s">
        <v>1448</v>
      </c>
    </row>
    <row r="1648" spans="18:20" x14ac:dyDescent="0.35">
      <c r="R1648" t="s">
        <v>5892</v>
      </c>
      <c r="S1648" t="s">
        <v>5610</v>
      </c>
      <c r="T1648" t="s">
        <v>5646</v>
      </c>
    </row>
    <row r="1649" spans="18:20" x14ac:dyDescent="0.35">
      <c r="R1649" t="s">
        <v>5708</v>
      </c>
      <c r="S1649" t="s">
        <v>5616</v>
      </c>
      <c r="T1649" t="s">
        <v>5650</v>
      </c>
    </row>
    <row r="1650" spans="18:20" x14ac:dyDescent="0.35">
      <c r="R1650" t="s">
        <v>5895</v>
      </c>
      <c r="S1650" t="s">
        <v>5616</v>
      </c>
      <c r="T1650" t="s">
        <v>5650</v>
      </c>
    </row>
    <row r="1651" spans="18:20" x14ac:dyDescent="0.35">
      <c r="R1651" t="s">
        <v>1827</v>
      </c>
      <c r="S1651" t="s">
        <v>5618</v>
      </c>
      <c r="T1651" t="s">
        <v>5658</v>
      </c>
    </row>
    <row r="1652" spans="18:20" x14ac:dyDescent="0.35">
      <c r="R1652" t="s">
        <v>1856</v>
      </c>
      <c r="S1652" t="s">
        <v>1837</v>
      </c>
      <c r="T1652" t="s">
        <v>5646</v>
      </c>
    </row>
    <row r="1653" spans="18:20" x14ac:dyDescent="0.35">
      <c r="R1653" t="s">
        <v>1872</v>
      </c>
      <c r="S1653" t="s">
        <v>5607</v>
      </c>
      <c r="T1653" t="s">
        <v>5650</v>
      </c>
    </row>
    <row r="1654" spans="18:20" x14ac:dyDescent="0.35">
      <c r="R1654" t="s">
        <v>5903</v>
      </c>
      <c r="S1654" t="s">
        <v>5616</v>
      </c>
      <c r="T1654" t="s">
        <v>5650</v>
      </c>
    </row>
    <row r="1655" spans="18:20" x14ac:dyDescent="0.35">
      <c r="R1655" t="s">
        <v>4412</v>
      </c>
      <c r="S1655" t="s">
        <v>5615</v>
      </c>
      <c r="T1655" t="s">
        <v>5650</v>
      </c>
    </row>
    <row r="1656" spans="18:20" x14ac:dyDescent="0.35">
      <c r="R1656" t="s">
        <v>1910</v>
      </c>
      <c r="S1656" t="s">
        <v>1837</v>
      </c>
      <c r="T1656" t="s">
        <v>5646</v>
      </c>
    </row>
    <row r="1657" spans="18:20" x14ac:dyDescent="0.35">
      <c r="R1657" t="s">
        <v>5909</v>
      </c>
      <c r="S1657" t="s">
        <v>5619</v>
      </c>
      <c r="T1657" t="s">
        <v>5646</v>
      </c>
    </row>
    <row r="1658" spans="18:20" x14ac:dyDescent="0.35">
      <c r="R1658" t="s">
        <v>1976</v>
      </c>
      <c r="S1658" t="s">
        <v>1837</v>
      </c>
      <c r="T1658" t="s">
        <v>5646</v>
      </c>
    </row>
    <row r="1659" spans="18:20" x14ac:dyDescent="0.35">
      <c r="R1659" t="s">
        <v>1986</v>
      </c>
      <c r="S1659" t="s">
        <v>5611</v>
      </c>
      <c r="T1659" t="s">
        <v>1448</v>
      </c>
    </row>
    <row r="1660" spans="18:20" x14ac:dyDescent="0.35">
      <c r="R1660" t="s">
        <v>5919</v>
      </c>
      <c r="S1660" t="s">
        <v>5609</v>
      </c>
      <c r="T1660" t="s">
        <v>5658</v>
      </c>
    </row>
    <row r="1661" spans="18:20" x14ac:dyDescent="0.35">
      <c r="R1661" t="s">
        <v>2007</v>
      </c>
      <c r="S1661" t="s">
        <v>5607</v>
      </c>
      <c r="T1661" t="s">
        <v>5650</v>
      </c>
    </row>
    <row r="1662" spans="18:20" x14ac:dyDescent="0.35">
      <c r="R1662" t="s">
        <v>2017</v>
      </c>
      <c r="S1662" t="s">
        <v>1837</v>
      </c>
      <c r="T1662" t="s">
        <v>5646</v>
      </c>
    </row>
    <row r="1663" spans="18:20" x14ac:dyDescent="0.35">
      <c r="R1663" t="s">
        <v>2065</v>
      </c>
      <c r="S1663" t="s">
        <v>5615</v>
      </c>
      <c r="T1663" t="s">
        <v>5650</v>
      </c>
    </row>
    <row r="1664" spans="18:20" x14ac:dyDescent="0.35">
      <c r="R1664" t="s">
        <v>5924</v>
      </c>
      <c r="S1664" t="s">
        <v>5610</v>
      </c>
      <c r="T1664" t="s">
        <v>5646</v>
      </c>
    </row>
    <row r="1665" spans="18:20" x14ac:dyDescent="0.35">
      <c r="R1665" t="s">
        <v>5926</v>
      </c>
      <c r="S1665" t="s">
        <v>1837</v>
      </c>
      <c r="T1665" t="s">
        <v>5646</v>
      </c>
    </row>
    <row r="1666" spans="18:20" x14ac:dyDescent="0.35">
      <c r="R1666" t="s">
        <v>5615</v>
      </c>
      <c r="S1666" t="s">
        <v>5615</v>
      </c>
      <c r="T1666" t="s">
        <v>5650</v>
      </c>
    </row>
    <row r="1667" spans="18:20" x14ac:dyDescent="0.35">
      <c r="R1667" t="s">
        <v>5929</v>
      </c>
      <c r="S1667" t="s">
        <v>5616</v>
      </c>
      <c r="T1667" t="s">
        <v>5650</v>
      </c>
    </row>
    <row r="1668" spans="18:20" x14ac:dyDescent="0.35">
      <c r="R1668" t="s">
        <v>2196</v>
      </c>
      <c r="S1668" t="s">
        <v>1837</v>
      </c>
      <c r="T1668" t="s">
        <v>5646</v>
      </c>
    </row>
    <row r="1669" spans="18:20" x14ac:dyDescent="0.35">
      <c r="R1669" t="s">
        <v>5934</v>
      </c>
      <c r="S1669" t="s">
        <v>5615</v>
      </c>
      <c r="T1669" t="s">
        <v>5650</v>
      </c>
    </row>
    <row r="1670" spans="18:20" x14ac:dyDescent="0.35">
      <c r="R1670" t="s">
        <v>5936</v>
      </c>
      <c r="S1670" t="s">
        <v>5611</v>
      </c>
      <c r="T1670" t="s">
        <v>1448</v>
      </c>
    </row>
    <row r="1671" spans="18:20" x14ac:dyDescent="0.35">
      <c r="R1671" t="s">
        <v>2327</v>
      </c>
      <c r="S1671" t="s">
        <v>5616</v>
      </c>
      <c r="T1671" t="s">
        <v>5650</v>
      </c>
    </row>
    <row r="1672" spans="18:20" x14ac:dyDescent="0.35">
      <c r="R1672" t="s">
        <v>5799</v>
      </c>
      <c r="S1672" t="s">
        <v>5607</v>
      </c>
      <c r="T1672" t="s">
        <v>5650</v>
      </c>
    </row>
    <row r="1673" spans="18:20" x14ac:dyDescent="0.35">
      <c r="R1673" t="s">
        <v>5762</v>
      </c>
      <c r="S1673" t="s">
        <v>5614</v>
      </c>
      <c r="T1673" t="s">
        <v>5646</v>
      </c>
    </row>
    <row r="1674" spans="18:20" x14ac:dyDescent="0.35">
      <c r="R1674" t="s">
        <v>5946</v>
      </c>
      <c r="S1674" t="s">
        <v>5611</v>
      </c>
      <c r="T1674" t="s">
        <v>1448</v>
      </c>
    </row>
    <row r="1675" spans="18:20" x14ac:dyDescent="0.35">
      <c r="R1675" t="s">
        <v>5948</v>
      </c>
      <c r="S1675" t="s">
        <v>5609</v>
      </c>
      <c r="T1675" t="s">
        <v>5658</v>
      </c>
    </row>
    <row r="1676" spans="18:20" x14ac:dyDescent="0.35">
      <c r="R1676" t="s">
        <v>5951</v>
      </c>
      <c r="S1676" t="s">
        <v>5626</v>
      </c>
      <c r="T1676" t="s">
        <v>5639</v>
      </c>
    </row>
    <row r="1677" spans="18:20" x14ac:dyDescent="0.35">
      <c r="R1677" t="s">
        <v>2462</v>
      </c>
      <c r="S1677" t="s">
        <v>5615</v>
      </c>
      <c r="T1677" t="s">
        <v>5650</v>
      </c>
    </row>
    <row r="1678" spans="18:20" x14ac:dyDescent="0.35">
      <c r="R1678" t="s">
        <v>5957</v>
      </c>
      <c r="S1678" t="s">
        <v>5613</v>
      </c>
      <c r="T1678" t="s">
        <v>5678</v>
      </c>
    </row>
    <row r="1679" spans="18:20" x14ac:dyDescent="0.35">
      <c r="R1679" t="s">
        <v>2495</v>
      </c>
      <c r="S1679" t="s">
        <v>5618</v>
      </c>
      <c r="T1679" t="s">
        <v>5658</v>
      </c>
    </row>
    <row r="1680" spans="18:20" x14ac:dyDescent="0.35">
      <c r="R1680" t="s">
        <v>5746</v>
      </c>
      <c r="S1680" t="s">
        <v>5607</v>
      </c>
      <c r="T1680" t="s">
        <v>5650</v>
      </c>
    </row>
    <row r="1681" spans="18:20" x14ac:dyDescent="0.35">
      <c r="R1681" t="s">
        <v>5885</v>
      </c>
      <c r="S1681" t="s">
        <v>5607</v>
      </c>
      <c r="T1681" t="s">
        <v>5650</v>
      </c>
    </row>
    <row r="1682" spans="18:20" x14ac:dyDescent="0.35">
      <c r="R1682" t="s">
        <v>5963</v>
      </c>
      <c r="S1682" t="s">
        <v>5625</v>
      </c>
      <c r="T1682" t="s">
        <v>1448</v>
      </c>
    </row>
    <row r="1683" spans="18:20" x14ac:dyDescent="0.35">
      <c r="R1683" t="s">
        <v>2540</v>
      </c>
      <c r="S1683" t="s">
        <v>5612</v>
      </c>
      <c r="T1683" t="s">
        <v>1448</v>
      </c>
    </row>
    <row r="1684" spans="18:20" x14ac:dyDescent="0.35">
      <c r="R1684" t="s">
        <v>2561</v>
      </c>
      <c r="S1684" t="s">
        <v>5611</v>
      </c>
      <c r="T1684" t="s">
        <v>1448</v>
      </c>
    </row>
    <row r="1685" spans="18:20" x14ac:dyDescent="0.35">
      <c r="R1685" t="s">
        <v>5972</v>
      </c>
      <c r="S1685" t="s">
        <v>5622</v>
      </c>
      <c r="T1685" t="s">
        <v>5646</v>
      </c>
    </row>
    <row r="1686" spans="18:20" x14ac:dyDescent="0.35">
      <c r="R1686" t="s">
        <v>4237</v>
      </c>
      <c r="S1686" t="s">
        <v>5610</v>
      </c>
      <c r="T1686" t="s">
        <v>5646</v>
      </c>
    </row>
    <row r="1687" spans="18:20" x14ac:dyDescent="0.35">
      <c r="R1687" t="s">
        <v>5977</v>
      </c>
      <c r="S1687" t="s">
        <v>5618</v>
      </c>
      <c r="T1687" t="s">
        <v>5658</v>
      </c>
    </row>
    <row r="1688" spans="18:20" x14ac:dyDescent="0.35">
      <c r="R1688" t="s">
        <v>5979</v>
      </c>
      <c r="S1688" t="s">
        <v>5625</v>
      </c>
      <c r="T1688" t="s">
        <v>1448</v>
      </c>
    </row>
    <row r="1689" spans="18:20" x14ac:dyDescent="0.35">
      <c r="R1689" t="s">
        <v>5719</v>
      </c>
      <c r="S1689" t="s">
        <v>5607</v>
      </c>
      <c r="T1689" t="s">
        <v>5650</v>
      </c>
    </row>
    <row r="1690" spans="18:20" x14ac:dyDescent="0.35">
      <c r="R1690" t="s">
        <v>2621</v>
      </c>
      <c r="S1690" t="s">
        <v>5626</v>
      </c>
      <c r="T1690" t="s">
        <v>5639</v>
      </c>
    </row>
    <row r="1691" spans="18:20" x14ac:dyDescent="0.35">
      <c r="R1691" t="s">
        <v>5989</v>
      </c>
      <c r="S1691" t="s">
        <v>5626</v>
      </c>
      <c r="T1691" t="s">
        <v>5639</v>
      </c>
    </row>
    <row r="1692" spans="18:20" x14ac:dyDescent="0.35">
      <c r="R1692" t="s">
        <v>2628</v>
      </c>
      <c r="S1692" t="s">
        <v>5622</v>
      </c>
      <c r="T1692" t="s">
        <v>5646</v>
      </c>
    </row>
    <row r="1693" spans="18:20" x14ac:dyDescent="0.35">
      <c r="R1693" t="s">
        <v>2648</v>
      </c>
      <c r="S1693" t="s">
        <v>5608</v>
      </c>
      <c r="T1693" t="s">
        <v>5678</v>
      </c>
    </row>
    <row r="1694" spans="18:20" x14ac:dyDescent="0.35">
      <c r="R1694" t="s">
        <v>2658</v>
      </c>
      <c r="S1694" t="s">
        <v>5619</v>
      </c>
      <c r="T1694" t="s">
        <v>5646</v>
      </c>
    </row>
    <row r="1695" spans="18:20" x14ac:dyDescent="0.35">
      <c r="R1695" t="s">
        <v>2694</v>
      </c>
      <c r="S1695" t="s">
        <v>5615</v>
      </c>
      <c r="T1695" t="s">
        <v>5650</v>
      </c>
    </row>
    <row r="1696" spans="18:20" x14ac:dyDescent="0.35">
      <c r="R1696" t="s">
        <v>2713</v>
      </c>
      <c r="S1696" t="s">
        <v>5618</v>
      </c>
      <c r="T1696" t="s">
        <v>5658</v>
      </c>
    </row>
    <row r="1697" spans="18:20" x14ac:dyDescent="0.35">
      <c r="R1697" t="s">
        <v>2723</v>
      </c>
      <c r="S1697" t="s">
        <v>5629</v>
      </c>
      <c r="T1697" t="s">
        <v>1448</v>
      </c>
    </row>
    <row r="1698" spans="18:20" x14ac:dyDescent="0.35">
      <c r="R1698" t="s">
        <v>2727</v>
      </c>
      <c r="S1698" t="s">
        <v>5609</v>
      </c>
      <c r="T1698" t="s">
        <v>5658</v>
      </c>
    </row>
    <row r="1699" spans="18:20" x14ac:dyDescent="0.35">
      <c r="R1699" t="s">
        <v>5667</v>
      </c>
      <c r="S1699" t="s">
        <v>5619</v>
      </c>
      <c r="T1699" t="s">
        <v>5646</v>
      </c>
    </row>
    <row r="1700" spans="18:20" x14ac:dyDescent="0.35">
      <c r="R1700" t="s">
        <v>2760</v>
      </c>
      <c r="S1700" t="s">
        <v>5625</v>
      </c>
      <c r="T1700" t="s">
        <v>1448</v>
      </c>
    </row>
    <row r="1701" spans="18:20" x14ac:dyDescent="0.35">
      <c r="R1701" t="s">
        <v>2768</v>
      </c>
      <c r="S1701" t="s">
        <v>5608</v>
      </c>
      <c r="T1701" t="s">
        <v>5678</v>
      </c>
    </row>
    <row r="1702" spans="18:20" x14ac:dyDescent="0.35">
      <c r="R1702" t="s">
        <v>2839</v>
      </c>
      <c r="S1702" t="s">
        <v>1837</v>
      </c>
      <c r="T1702" t="s">
        <v>5646</v>
      </c>
    </row>
    <row r="1703" spans="18:20" x14ac:dyDescent="0.35">
      <c r="R1703" t="s">
        <v>6017</v>
      </c>
      <c r="S1703" t="s">
        <v>5625</v>
      </c>
      <c r="T1703" t="s">
        <v>1448</v>
      </c>
    </row>
    <row r="1704" spans="18:20" x14ac:dyDescent="0.35">
      <c r="R1704" t="s">
        <v>6021</v>
      </c>
      <c r="S1704" t="s">
        <v>5609</v>
      </c>
      <c r="T1704" t="s">
        <v>5658</v>
      </c>
    </row>
    <row r="1705" spans="18:20" x14ac:dyDescent="0.35">
      <c r="R1705" t="s">
        <v>5608</v>
      </c>
      <c r="S1705" t="s">
        <v>5608</v>
      </c>
      <c r="T1705" t="s">
        <v>5678</v>
      </c>
    </row>
    <row r="1706" spans="18:20" x14ac:dyDescent="0.35">
      <c r="R1706" t="s">
        <v>6025</v>
      </c>
      <c r="S1706" t="s">
        <v>5625</v>
      </c>
      <c r="T1706" t="s">
        <v>1448</v>
      </c>
    </row>
    <row r="1707" spans="18:20" x14ac:dyDescent="0.35">
      <c r="R1707" t="s">
        <v>2881</v>
      </c>
      <c r="S1707" t="s">
        <v>5625</v>
      </c>
      <c r="T1707" t="s">
        <v>1448</v>
      </c>
    </row>
    <row r="1708" spans="18:20" x14ac:dyDescent="0.35">
      <c r="R1708" t="s">
        <v>6029</v>
      </c>
      <c r="S1708" t="s">
        <v>5625</v>
      </c>
      <c r="T1708" t="s">
        <v>1448</v>
      </c>
    </row>
    <row r="1709" spans="18:20" x14ac:dyDescent="0.35">
      <c r="R1709" t="s">
        <v>6031</v>
      </c>
      <c r="S1709" t="s">
        <v>5630</v>
      </c>
      <c r="T1709" t="s">
        <v>5644</v>
      </c>
    </row>
    <row r="1710" spans="18:20" x14ac:dyDescent="0.35">
      <c r="R1710" t="s">
        <v>2914</v>
      </c>
      <c r="S1710" t="s">
        <v>5607</v>
      </c>
      <c r="T1710" t="s">
        <v>5650</v>
      </c>
    </row>
    <row r="1711" spans="18:20" x14ac:dyDescent="0.35">
      <c r="R1711" t="s">
        <v>6035</v>
      </c>
      <c r="S1711" t="s">
        <v>5616</v>
      </c>
      <c r="T1711" t="s">
        <v>5650</v>
      </c>
    </row>
    <row r="1712" spans="18:20" x14ac:dyDescent="0.35">
      <c r="R1712" t="s">
        <v>6037</v>
      </c>
      <c r="S1712" t="s">
        <v>5616</v>
      </c>
      <c r="T1712" t="s">
        <v>5650</v>
      </c>
    </row>
    <row r="1713" spans="18:20" x14ac:dyDescent="0.35">
      <c r="R1713" t="s">
        <v>5696</v>
      </c>
      <c r="S1713" t="s">
        <v>5614</v>
      </c>
      <c r="T1713" t="s">
        <v>5646</v>
      </c>
    </row>
    <row r="1714" spans="18:20" x14ac:dyDescent="0.35">
      <c r="R1714" t="s">
        <v>5788</v>
      </c>
      <c r="S1714" t="s">
        <v>5614</v>
      </c>
      <c r="T1714" t="s">
        <v>5646</v>
      </c>
    </row>
    <row r="1715" spans="18:20" x14ac:dyDescent="0.35">
      <c r="R1715" t="s">
        <v>5798</v>
      </c>
      <c r="S1715" t="s">
        <v>5615</v>
      </c>
      <c r="T1715" t="s">
        <v>5650</v>
      </c>
    </row>
    <row r="1716" spans="18:20" x14ac:dyDescent="0.35">
      <c r="R1716" t="s">
        <v>3024</v>
      </c>
      <c r="S1716" t="s">
        <v>5608</v>
      </c>
      <c r="T1716" t="s">
        <v>5678</v>
      </c>
    </row>
    <row r="1717" spans="18:20" x14ac:dyDescent="0.35">
      <c r="R1717" t="s">
        <v>3032</v>
      </c>
      <c r="S1717" t="s">
        <v>5619</v>
      </c>
      <c r="T1717" t="s">
        <v>5646</v>
      </c>
    </row>
    <row r="1718" spans="18:20" x14ac:dyDescent="0.35">
      <c r="R1718" t="s">
        <v>6045</v>
      </c>
      <c r="S1718" t="s">
        <v>5611</v>
      </c>
      <c r="T1718" t="s">
        <v>1448</v>
      </c>
    </row>
    <row r="1719" spans="18:20" x14ac:dyDescent="0.35">
      <c r="R1719" t="s">
        <v>5912</v>
      </c>
      <c r="S1719" t="s">
        <v>5616</v>
      </c>
      <c r="T1719" t="s">
        <v>5650</v>
      </c>
    </row>
    <row r="1720" spans="18:20" x14ac:dyDescent="0.35">
      <c r="R1720" t="s">
        <v>3074</v>
      </c>
      <c r="S1720" t="s">
        <v>5608</v>
      </c>
      <c r="T1720" t="s">
        <v>5678</v>
      </c>
    </row>
    <row r="1721" spans="18:20" x14ac:dyDescent="0.35">
      <c r="R1721" t="s">
        <v>3101</v>
      </c>
      <c r="S1721" t="s">
        <v>5610</v>
      </c>
      <c r="T1721" t="s">
        <v>5646</v>
      </c>
    </row>
    <row r="1722" spans="18:20" x14ac:dyDescent="0.35">
      <c r="R1722" t="s">
        <v>3103</v>
      </c>
      <c r="S1722" t="s">
        <v>5622</v>
      </c>
      <c r="T1722" t="s">
        <v>5646</v>
      </c>
    </row>
    <row r="1723" spans="18:20" x14ac:dyDescent="0.35">
      <c r="R1723" t="s">
        <v>3110</v>
      </c>
      <c r="S1723" t="s">
        <v>1837</v>
      </c>
      <c r="T1723" t="s">
        <v>5646</v>
      </c>
    </row>
    <row r="1724" spans="18:20" x14ac:dyDescent="0.35">
      <c r="R1724" t="s">
        <v>3126</v>
      </c>
      <c r="S1724" t="s">
        <v>5615</v>
      </c>
      <c r="T1724" t="s">
        <v>5650</v>
      </c>
    </row>
    <row r="1725" spans="18:20" x14ac:dyDescent="0.35">
      <c r="R1725" t="s">
        <v>6058</v>
      </c>
      <c r="S1725" t="s">
        <v>5618</v>
      </c>
      <c r="T1725" t="s">
        <v>5658</v>
      </c>
    </row>
    <row r="1726" spans="18:20" x14ac:dyDescent="0.35">
      <c r="R1726" t="s">
        <v>6061</v>
      </c>
      <c r="S1726" t="s">
        <v>5628</v>
      </c>
      <c r="T1726" t="s">
        <v>5668</v>
      </c>
    </row>
    <row r="1727" spans="18:20" x14ac:dyDescent="0.35">
      <c r="R1727" t="s">
        <v>6063</v>
      </c>
      <c r="S1727" t="s">
        <v>3155</v>
      </c>
      <c r="T1727" t="s">
        <v>5668</v>
      </c>
    </row>
    <row r="1728" spans="18:20" x14ac:dyDescent="0.35">
      <c r="R1728" t="s">
        <v>6050</v>
      </c>
      <c r="S1728" t="s">
        <v>1837</v>
      </c>
      <c r="T1728" t="s">
        <v>5646</v>
      </c>
    </row>
    <row r="1729" spans="18:20" x14ac:dyDescent="0.35">
      <c r="R1729" t="s">
        <v>6068</v>
      </c>
      <c r="S1729" t="s">
        <v>5616</v>
      </c>
      <c r="T1729" t="s">
        <v>5650</v>
      </c>
    </row>
    <row r="1730" spans="18:20" x14ac:dyDescent="0.35">
      <c r="R1730" t="s">
        <v>6070</v>
      </c>
      <c r="S1730" t="s">
        <v>5613</v>
      </c>
      <c r="T1730" t="s">
        <v>5678</v>
      </c>
    </row>
    <row r="1731" spans="18:20" x14ac:dyDescent="0.35">
      <c r="R1731" t="s">
        <v>6072</v>
      </c>
      <c r="S1731" t="s">
        <v>5616</v>
      </c>
      <c r="T1731" t="s">
        <v>5650</v>
      </c>
    </row>
    <row r="1732" spans="18:20" x14ac:dyDescent="0.35">
      <c r="R1732" t="s">
        <v>6074</v>
      </c>
      <c r="S1732" t="s">
        <v>5613</v>
      </c>
      <c r="T1732" t="s">
        <v>5678</v>
      </c>
    </row>
    <row r="1733" spans="18:20" x14ac:dyDescent="0.35">
      <c r="R1733" t="s">
        <v>5779</v>
      </c>
      <c r="S1733" t="s">
        <v>1837</v>
      </c>
      <c r="T1733" t="s">
        <v>5646</v>
      </c>
    </row>
    <row r="1734" spans="18:20" x14ac:dyDescent="0.35">
      <c r="R1734" t="s">
        <v>5632</v>
      </c>
      <c r="S1734" t="s">
        <v>5632</v>
      </c>
      <c r="T1734" t="s">
        <v>5650</v>
      </c>
    </row>
    <row r="1735" spans="18:20" x14ac:dyDescent="0.35">
      <c r="R1735" t="s">
        <v>6079</v>
      </c>
      <c r="S1735" t="s">
        <v>5609</v>
      </c>
      <c r="T1735" t="s">
        <v>5658</v>
      </c>
    </row>
    <row r="1736" spans="18:20" x14ac:dyDescent="0.35">
      <c r="R1736" t="s">
        <v>5961</v>
      </c>
      <c r="S1736" t="s">
        <v>5610</v>
      </c>
      <c r="T1736" t="s">
        <v>5646</v>
      </c>
    </row>
    <row r="1737" spans="18:20" x14ac:dyDescent="0.35">
      <c r="R1737" t="s">
        <v>6084</v>
      </c>
      <c r="S1737" t="s">
        <v>5611</v>
      </c>
      <c r="T1737" t="s">
        <v>1448</v>
      </c>
    </row>
    <row r="1738" spans="18:20" x14ac:dyDescent="0.35">
      <c r="R1738" t="s">
        <v>3315</v>
      </c>
      <c r="S1738" t="s">
        <v>5618</v>
      </c>
      <c r="T1738" t="s">
        <v>5658</v>
      </c>
    </row>
    <row r="1739" spans="18:20" x14ac:dyDescent="0.35">
      <c r="R1739" t="s">
        <v>6087</v>
      </c>
      <c r="S1739" t="s">
        <v>5625</v>
      </c>
      <c r="T1739" t="s">
        <v>1448</v>
      </c>
    </row>
    <row r="1740" spans="18:20" x14ac:dyDescent="0.35">
      <c r="R1740" t="s">
        <v>6090</v>
      </c>
      <c r="S1740" t="s">
        <v>5616</v>
      </c>
      <c r="T1740" t="s">
        <v>5650</v>
      </c>
    </row>
    <row r="1741" spans="18:20" x14ac:dyDescent="0.35">
      <c r="R1741" t="s">
        <v>5776</v>
      </c>
      <c r="S1741" t="s">
        <v>5612</v>
      </c>
      <c r="T1741" t="s">
        <v>1448</v>
      </c>
    </row>
    <row r="1742" spans="18:20" x14ac:dyDescent="0.35">
      <c r="R1742" t="s">
        <v>5633</v>
      </c>
      <c r="S1742" t="s">
        <v>5633</v>
      </c>
      <c r="T1742" t="s">
        <v>5650</v>
      </c>
    </row>
    <row r="1743" spans="18:20" x14ac:dyDescent="0.35">
      <c r="R1743" t="s">
        <v>3398</v>
      </c>
      <c r="S1743" t="s">
        <v>5615</v>
      </c>
      <c r="T1743" t="s">
        <v>5650</v>
      </c>
    </row>
    <row r="1744" spans="18:20" x14ac:dyDescent="0.35">
      <c r="R1744" t="s">
        <v>5715</v>
      </c>
      <c r="S1744" t="s">
        <v>5611</v>
      </c>
      <c r="T1744" t="s">
        <v>1448</v>
      </c>
    </row>
    <row r="1745" spans="18:20" x14ac:dyDescent="0.35">
      <c r="R1745" t="s">
        <v>3421</v>
      </c>
      <c r="S1745" t="s">
        <v>5625</v>
      </c>
      <c r="T1745" t="s">
        <v>1448</v>
      </c>
    </row>
    <row r="1746" spans="18:20" x14ac:dyDescent="0.35">
      <c r="R1746" t="s">
        <v>5682</v>
      </c>
      <c r="S1746" t="s">
        <v>5614</v>
      </c>
      <c r="T1746" t="s">
        <v>5646</v>
      </c>
    </row>
    <row r="1747" spans="18:20" x14ac:dyDescent="0.35">
      <c r="R1747" t="s">
        <v>6100</v>
      </c>
      <c r="S1747" t="s">
        <v>5616</v>
      </c>
      <c r="T1747" t="s">
        <v>5650</v>
      </c>
    </row>
    <row r="1748" spans="18:20" x14ac:dyDescent="0.35">
      <c r="R1748" t="s">
        <v>6103</v>
      </c>
      <c r="S1748" t="s">
        <v>5616</v>
      </c>
      <c r="T1748" t="s">
        <v>5650</v>
      </c>
    </row>
    <row r="1749" spans="18:20" x14ac:dyDescent="0.35">
      <c r="R1749" t="s">
        <v>6105</v>
      </c>
      <c r="S1749" t="s">
        <v>3155</v>
      </c>
      <c r="T1749" t="s">
        <v>5668</v>
      </c>
    </row>
    <row r="1750" spans="18:20" x14ac:dyDescent="0.35">
      <c r="R1750" t="s">
        <v>5811</v>
      </c>
      <c r="S1750" t="s">
        <v>5615</v>
      </c>
      <c r="T1750" t="s">
        <v>5650</v>
      </c>
    </row>
    <row r="1751" spans="18:20" x14ac:dyDescent="0.35">
      <c r="R1751" t="s">
        <v>3498</v>
      </c>
      <c r="S1751" t="s">
        <v>5618</v>
      </c>
      <c r="T1751" t="s">
        <v>5658</v>
      </c>
    </row>
    <row r="1752" spans="18:20" x14ac:dyDescent="0.35">
      <c r="R1752" t="s">
        <v>6109</v>
      </c>
      <c r="S1752" t="s">
        <v>5625</v>
      </c>
      <c r="T1752" t="s">
        <v>1448</v>
      </c>
    </row>
    <row r="1753" spans="18:20" x14ac:dyDescent="0.35">
      <c r="R1753" t="s">
        <v>6111</v>
      </c>
      <c r="S1753" t="s">
        <v>5615</v>
      </c>
      <c r="T1753" t="s">
        <v>5650</v>
      </c>
    </row>
    <row r="1754" spans="18:20" x14ac:dyDescent="0.35">
      <c r="R1754" t="s">
        <v>6113</v>
      </c>
      <c r="S1754" t="s">
        <v>5625</v>
      </c>
      <c r="T1754" t="s">
        <v>1448</v>
      </c>
    </row>
    <row r="1755" spans="18:20" x14ac:dyDescent="0.35">
      <c r="R1755" t="s">
        <v>6115</v>
      </c>
      <c r="S1755" t="s">
        <v>5628</v>
      </c>
      <c r="T1755" t="s">
        <v>5668</v>
      </c>
    </row>
    <row r="1756" spans="18:20" x14ac:dyDescent="0.35">
      <c r="R1756" t="s">
        <v>3549</v>
      </c>
      <c r="S1756" t="s">
        <v>5615</v>
      </c>
      <c r="T1756" t="s">
        <v>5650</v>
      </c>
    </row>
    <row r="1757" spans="18:20" x14ac:dyDescent="0.35">
      <c r="R1757" t="s">
        <v>3587</v>
      </c>
      <c r="S1757" t="s">
        <v>1837</v>
      </c>
      <c r="T1757" t="s">
        <v>5646</v>
      </c>
    </row>
    <row r="1758" spans="18:20" x14ac:dyDescent="0.35">
      <c r="R1758" t="s">
        <v>6124</v>
      </c>
      <c r="S1758" t="s">
        <v>5625</v>
      </c>
      <c r="T1758" t="s">
        <v>1448</v>
      </c>
    </row>
    <row r="1759" spans="18:20" x14ac:dyDescent="0.35">
      <c r="R1759" t="s">
        <v>6126</v>
      </c>
      <c r="S1759" t="s">
        <v>5632</v>
      </c>
      <c r="T1759" t="s">
        <v>5650</v>
      </c>
    </row>
    <row r="1760" spans="18:20" x14ac:dyDescent="0.35">
      <c r="R1760" t="s">
        <v>6130</v>
      </c>
      <c r="S1760" t="s">
        <v>5625</v>
      </c>
      <c r="T1760" t="s">
        <v>1448</v>
      </c>
    </row>
    <row r="1761" spans="18:20" x14ac:dyDescent="0.35">
      <c r="R1761" t="s">
        <v>6132</v>
      </c>
      <c r="S1761" t="s">
        <v>5624</v>
      </c>
      <c r="T1761" t="s">
        <v>5650</v>
      </c>
    </row>
    <row r="1762" spans="18:20" x14ac:dyDescent="0.35">
      <c r="R1762" t="s">
        <v>6134</v>
      </c>
      <c r="S1762" t="s">
        <v>5611</v>
      </c>
      <c r="T1762" t="s">
        <v>1448</v>
      </c>
    </row>
    <row r="1763" spans="18:20" x14ac:dyDescent="0.35">
      <c r="R1763" t="s">
        <v>3691</v>
      </c>
      <c r="S1763" t="s">
        <v>5615</v>
      </c>
      <c r="T1763" t="s">
        <v>5650</v>
      </c>
    </row>
    <row r="1764" spans="18:20" x14ac:dyDescent="0.35">
      <c r="R1764" t="s">
        <v>5997</v>
      </c>
      <c r="S1764" t="s">
        <v>5611</v>
      </c>
      <c r="T1764" t="s">
        <v>1448</v>
      </c>
    </row>
    <row r="1765" spans="18:20" x14ac:dyDescent="0.35">
      <c r="R1765" t="s">
        <v>6083</v>
      </c>
      <c r="S1765" t="s">
        <v>5619</v>
      </c>
      <c r="T1765" t="s">
        <v>5646</v>
      </c>
    </row>
    <row r="1766" spans="18:20" x14ac:dyDescent="0.35">
      <c r="R1766" t="s">
        <v>3702</v>
      </c>
      <c r="S1766" t="s">
        <v>5619</v>
      </c>
      <c r="T1766" t="s">
        <v>5646</v>
      </c>
    </row>
    <row r="1767" spans="18:20" x14ac:dyDescent="0.35">
      <c r="R1767" t="s">
        <v>6141</v>
      </c>
      <c r="S1767" t="s">
        <v>5630</v>
      </c>
      <c r="T1767" t="s">
        <v>5644</v>
      </c>
    </row>
    <row r="1768" spans="18:20" x14ac:dyDescent="0.35">
      <c r="R1768" t="s">
        <v>3729</v>
      </c>
      <c r="S1768" t="s">
        <v>5608</v>
      </c>
      <c r="T1768" t="s">
        <v>5678</v>
      </c>
    </row>
    <row r="1769" spans="18:20" x14ac:dyDescent="0.35">
      <c r="R1769" t="s">
        <v>3752</v>
      </c>
      <c r="S1769" t="s">
        <v>5618</v>
      </c>
      <c r="T1769" t="s">
        <v>5658</v>
      </c>
    </row>
    <row r="1770" spans="18:20" x14ac:dyDescent="0.35">
      <c r="R1770" t="s">
        <v>3756</v>
      </c>
      <c r="S1770" t="s">
        <v>5608</v>
      </c>
      <c r="T1770" t="s">
        <v>5678</v>
      </c>
    </row>
    <row r="1771" spans="18:20" x14ac:dyDescent="0.35">
      <c r="R1771" t="s">
        <v>5610</v>
      </c>
      <c r="S1771" t="s">
        <v>5610</v>
      </c>
      <c r="T1771" t="s">
        <v>5646</v>
      </c>
    </row>
    <row r="1772" spans="18:20" x14ac:dyDescent="0.35">
      <c r="R1772" t="s">
        <v>3776</v>
      </c>
      <c r="S1772" t="s">
        <v>1837</v>
      </c>
      <c r="T1772" t="s">
        <v>5646</v>
      </c>
    </row>
    <row r="1773" spans="18:20" x14ac:dyDescent="0.35">
      <c r="R1773" t="s">
        <v>6149</v>
      </c>
      <c r="S1773" t="s">
        <v>5614</v>
      </c>
      <c r="T1773" t="s">
        <v>5646</v>
      </c>
    </row>
    <row r="1774" spans="18:20" x14ac:dyDescent="0.35">
      <c r="R1774" t="s">
        <v>3824</v>
      </c>
      <c r="S1774" t="s">
        <v>1837</v>
      </c>
      <c r="T1774" t="s">
        <v>5646</v>
      </c>
    </row>
    <row r="1775" spans="18:20" x14ac:dyDescent="0.35">
      <c r="R1775" t="s">
        <v>3836</v>
      </c>
      <c r="S1775" t="s">
        <v>5611</v>
      </c>
      <c r="T1775" t="s">
        <v>1448</v>
      </c>
    </row>
    <row r="1776" spans="18:20" x14ac:dyDescent="0.35">
      <c r="R1776" t="s">
        <v>5618</v>
      </c>
      <c r="S1776" t="s">
        <v>5618</v>
      </c>
      <c r="T1776" t="s">
        <v>5658</v>
      </c>
    </row>
    <row r="1777" spans="18:20" x14ac:dyDescent="0.35">
      <c r="R1777" t="s">
        <v>6155</v>
      </c>
      <c r="S1777" t="s">
        <v>5608</v>
      </c>
      <c r="T1777" t="s">
        <v>5678</v>
      </c>
    </row>
    <row r="1778" spans="18:20" x14ac:dyDescent="0.35">
      <c r="R1778" t="s">
        <v>6157</v>
      </c>
      <c r="S1778" t="s">
        <v>5627</v>
      </c>
      <c r="T1778" t="s">
        <v>5639</v>
      </c>
    </row>
    <row r="1779" spans="18:20" x14ac:dyDescent="0.35">
      <c r="R1779" t="s">
        <v>3897</v>
      </c>
      <c r="S1779" t="s">
        <v>5608</v>
      </c>
      <c r="T1779" t="s">
        <v>5678</v>
      </c>
    </row>
    <row r="1780" spans="18:20" x14ac:dyDescent="0.35">
      <c r="R1780" t="s">
        <v>3901</v>
      </c>
      <c r="S1780" t="s">
        <v>5609</v>
      </c>
      <c r="T1780" t="s">
        <v>5658</v>
      </c>
    </row>
    <row r="1781" spans="18:20" x14ac:dyDescent="0.35">
      <c r="R1781" t="s">
        <v>6164</v>
      </c>
      <c r="S1781" t="s">
        <v>1837</v>
      </c>
      <c r="T1781" t="s">
        <v>5646</v>
      </c>
    </row>
    <row r="1782" spans="18:20" x14ac:dyDescent="0.35">
      <c r="R1782" t="s">
        <v>3917</v>
      </c>
      <c r="S1782" t="s">
        <v>5609</v>
      </c>
      <c r="T1782" t="s">
        <v>5658</v>
      </c>
    </row>
    <row r="1783" spans="18:20" x14ac:dyDescent="0.35">
      <c r="R1783" t="s">
        <v>3938</v>
      </c>
      <c r="S1783" t="s">
        <v>5607</v>
      </c>
      <c r="T1783" t="s">
        <v>5650</v>
      </c>
    </row>
    <row r="1784" spans="18:20" x14ac:dyDescent="0.35">
      <c r="R1784" t="s">
        <v>3945</v>
      </c>
      <c r="S1784" t="s">
        <v>5618</v>
      </c>
      <c r="T1784" t="s">
        <v>5658</v>
      </c>
    </row>
    <row r="1785" spans="18:20" x14ac:dyDescent="0.35">
      <c r="R1785" t="s">
        <v>3958</v>
      </c>
      <c r="S1785" t="s">
        <v>5609</v>
      </c>
      <c r="T1785" t="s">
        <v>5658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990A4-5BBA-4938-ABD6-B45B6478678D}">
  <dimension ref="A2:Z2874"/>
  <sheetViews>
    <sheetView tabSelected="1" zoomScale="80" zoomScaleNormal="80" workbookViewId="0">
      <pane xSplit="4" ySplit="2" topLeftCell="Q1212" activePane="bottomRight" state="frozen"/>
      <selection pane="topRight" activeCell="D1" sqref="D1"/>
      <selection pane="bottomLeft" activeCell="A2" sqref="A2"/>
      <selection pane="bottomRight" activeCell="R1" sqref="P1:R1048576"/>
    </sheetView>
  </sheetViews>
  <sheetFormatPr defaultRowHeight="14.5" x14ac:dyDescent="0.35"/>
  <cols>
    <col min="1" max="1" width="22.1796875" bestFit="1" customWidth="1"/>
    <col min="2" max="2" width="13" customWidth="1"/>
    <col min="3" max="3" width="18.7265625" customWidth="1"/>
    <col min="4" max="4" width="18.36328125" customWidth="1"/>
    <col min="5" max="5" width="16.1796875" bestFit="1" customWidth="1"/>
    <col min="6" max="6" width="12.26953125" customWidth="1"/>
    <col min="7" max="7" width="18.81640625" customWidth="1"/>
    <col min="8" max="8" width="18.26953125" bestFit="1" customWidth="1"/>
    <col min="9" max="9" width="12.26953125" customWidth="1"/>
    <col min="10" max="10" width="18.81640625" customWidth="1"/>
    <col min="11" max="11" width="17" bestFit="1" customWidth="1"/>
    <col min="12" max="12" width="12.54296875" bestFit="1" customWidth="1"/>
    <col min="13" max="13" width="18.81640625" customWidth="1"/>
    <col min="14" max="14" width="24.453125" bestFit="1" customWidth="1"/>
    <col min="15" max="15" width="14.54296875" bestFit="1" customWidth="1"/>
    <col min="16" max="16" width="24.453125" bestFit="1" customWidth="1"/>
    <col min="17" max="17" width="27.1796875" bestFit="1" customWidth="1"/>
    <col min="18" max="18" width="17.7265625" bestFit="1" customWidth="1"/>
    <col min="19" max="19" width="17.81640625" customWidth="1"/>
    <col min="20" max="20" width="24.81640625" bestFit="1" customWidth="1"/>
    <col min="21" max="21" width="24.81640625" customWidth="1"/>
    <col min="22" max="22" width="19.54296875" bestFit="1" customWidth="1"/>
    <col min="23" max="23" width="11.453125" customWidth="1"/>
    <col min="24" max="24" width="10.453125" bestFit="1" customWidth="1"/>
    <col min="25" max="25" width="12.81640625" bestFit="1" customWidth="1"/>
    <col min="26" max="26" width="18" customWidth="1"/>
  </cols>
  <sheetData>
    <row r="2" spans="1:26" x14ac:dyDescent="0.35">
      <c r="A2" t="s">
        <v>6173</v>
      </c>
      <c r="B2" s="1" t="s">
        <v>6174</v>
      </c>
      <c r="C2" s="1" t="s">
        <v>6175</v>
      </c>
      <c r="D2" s="1" t="s">
        <v>6176</v>
      </c>
      <c r="E2" s="1" t="s">
        <v>5634</v>
      </c>
      <c r="F2" s="1" t="s">
        <v>5635</v>
      </c>
      <c r="G2" s="1" t="s">
        <v>6177</v>
      </c>
      <c r="H2" s="1" t="s">
        <v>5605</v>
      </c>
      <c r="I2" s="1" t="s">
        <v>5636</v>
      </c>
      <c r="J2" s="1" t="s">
        <v>6178</v>
      </c>
      <c r="K2" s="1" t="s">
        <v>5637</v>
      </c>
      <c r="L2" s="1" t="s">
        <v>5638</v>
      </c>
      <c r="M2" s="1" t="s">
        <v>6179</v>
      </c>
      <c r="N2" s="1" t="s">
        <v>4012</v>
      </c>
      <c r="O2" s="1" t="s">
        <v>4011</v>
      </c>
      <c r="P2" s="1" t="s">
        <v>6180</v>
      </c>
      <c r="Q2" s="1" t="s">
        <v>0</v>
      </c>
      <c r="R2" s="1" t="s">
        <v>1</v>
      </c>
      <c r="S2" s="1" t="s">
        <v>6181</v>
      </c>
      <c r="T2" s="1" t="s">
        <v>2</v>
      </c>
      <c r="U2" s="1" t="s">
        <v>6182</v>
      </c>
      <c r="V2" s="1" t="s">
        <v>6183</v>
      </c>
      <c r="W2" s="1" t="s">
        <v>6184</v>
      </c>
      <c r="X2" s="1" t="s">
        <v>6185</v>
      </c>
      <c r="Y2" s="1" t="s">
        <v>6186</v>
      </c>
      <c r="Z2" s="1" t="s">
        <v>6187</v>
      </c>
    </row>
    <row r="3" spans="1:26" x14ac:dyDescent="0.35">
      <c r="A3" s="3" t="str">
        <f t="shared" ref="A3:A66" si="0">+R3&amp;U3</f>
        <v>0SMP</v>
      </c>
      <c r="B3" t="s">
        <v>6188</v>
      </c>
      <c r="C3">
        <f>+VLOOKUP(Sites_per_tag[[#This Row],[Field_office]],Parameter!$A$3:$B$11,2,0)</f>
        <v>3</v>
      </c>
      <c r="E3" t="s">
        <v>5644</v>
      </c>
      <c r="F3" t="s">
        <v>5674</v>
      </c>
      <c r="H3" t="str">
        <f ca="1">PROPER(Sites_per_tag[[#This Row],[Adm2Name]])</f>
        <v>Antsirabe Ii</v>
      </c>
      <c r="I3" t="s">
        <v>5672</v>
      </c>
      <c r="K3" t="s">
        <v>6141</v>
      </c>
      <c r="L3" t="s">
        <v>6142</v>
      </c>
      <c r="Q3" t="s">
        <v>3486</v>
      </c>
      <c r="R3">
        <v>0</v>
      </c>
      <c r="T3" t="s">
        <v>7</v>
      </c>
      <c r="U3" s="3" t="str">
        <f>+VLOOKUP(Sites_per_tag[[#This Row],[Activity_tag]],Parameter!$A$24:$B$32,2,0)</f>
        <v>SMP</v>
      </c>
      <c r="W3">
        <v>47.263599999999997</v>
      </c>
      <c r="X3">
        <v>-19.987220000000001</v>
      </c>
    </row>
    <row r="4" spans="1:26" x14ac:dyDescent="0.35">
      <c r="A4" s="3" t="str">
        <f t="shared" si="0"/>
        <v>111010003SMP</v>
      </c>
      <c r="B4" t="s">
        <v>6188</v>
      </c>
      <c r="C4">
        <f>+VLOOKUP(Sites_per_tag[[#This Row],[Field_office]],Parameter!$A$3:$B$11,2,0)</f>
        <v>3</v>
      </c>
      <c r="E4" t="s">
        <v>5644</v>
      </c>
      <c r="F4" t="s">
        <v>5671</v>
      </c>
      <c r="H4" t="str">
        <f ca="1">PROPER(Sites_per_tag[[#This Row],[Adm2Name]])</f>
        <v>Antsirabe Ii</v>
      </c>
      <c r="I4" t="s">
        <v>5672</v>
      </c>
      <c r="K4" t="s">
        <v>5642</v>
      </c>
      <c r="L4" t="s">
        <v>5643</v>
      </c>
      <c r="Q4" t="s">
        <v>2737</v>
      </c>
      <c r="R4">
        <v>111010003</v>
      </c>
      <c r="T4" t="s">
        <v>7</v>
      </c>
      <c r="U4" s="3" t="str">
        <f>+VLOOKUP(Sites_per_tag[[#This Row],[Activity_tag]],Parameter!$A$24:$B$32,2,0)</f>
        <v>SMP</v>
      </c>
      <c r="W4">
        <v>47.164270000000002</v>
      </c>
      <c r="X4">
        <v>-20.110253</v>
      </c>
    </row>
    <row r="5" spans="1:26" x14ac:dyDescent="0.35">
      <c r="A5" s="3" t="str">
        <f t="shared" si="0"/>
        <v>111050003SMP</v>
      </c>
      <c r="B5" t="s">
        <v>6188</v>
      </c>
      <c r="C5">
        <f>+VLOOKUP(Sites_per_tag[[#This Row],[Field_office]],Parameter!$A$3:$B$11,2,0)</f>
        <v>3</v>
      </c>
      <c r="E5" t="s">
        <v>5644</v>
      </c>
      <c r="F5" t="s">
        <v>5671</v>
      </c>
      <c r="H5" t="str">
        <f ca="1">PROPER(Sites_per_tag[[#This Row],[Adm2Name]])</f>
        <v>Antsirabe Ii</v>
      </c>
      <c r="I5" t="s">
        <v>5672</v>
      </c>
      <c r="K5" t="s">
        <v>5724</v>
      </c>
      <c r="L5" t="s">
        <v>5725</v>
      </c>
      <c r="Q5" t="s">
        <v>231</v>
      </c>
      <c r="R5">
        <v>111050003</v>
      </c>
      <c r="T5" t="s">
        <v>7</v>
      </c>
      <c r="U5" s="3" t="str">
        <f>+VLOOKUP(Sites_per_tag[[#This Row],[Activity_tag]],Parameter!$A$24:$B$32,2,0)</f>
        <v>SMP</v>
      </c>
      <c r="W5">
        <v>47.087800000000001</v>
      </c>
      <c r="X5">
        <v>-19.51342</v>
      </c>
    </row>
    <row r="6" spans="1:26" x14ac:dyDescent="0.35">
      <c r="A6" s="3" t="str">
        <f t="shared" si="0"/>
        <v>111050005SMP</v>
      </c>
      <c r="B6" t="s">
        <v>6188</v>
      </c>
      <c r="C6">
        <f>+VLOOKUP(Sites_per_tag[[#This Row],[Field_office]],Parameter!$A$3:$B$11,2,0)</f>
        <v>3</v>
      </c>
      <c r="E6" t="s">
        <v>5644</v>
      </c>
      <c r="F6" t="s">
        <v>5671</v>
      </c>
      <c r="H6" t="str">
        <f ca="1">PROPER(Sites_per_tag[[#This Row],[Adm2Name]])</f>
        <v>Antsirabe Ii</v>
      </c>
      <c r="I6" t="s">
        <v>5672</v>
      </c>
      <c r="K6" t="s">
        <v>5724</v>
      </c>
      <c r="L6" t="s">
        <v>5725</v>
      </c>
      <c r="Q6" t="s">
        <v>353</v>
      </c>
      <c r="R6">
        <v>111050005</v>
      </c>
      <c r="T6" t="s">
        <v>7</v>
      </c>
      <c r="U6" s="3" t="str">
        <f>+VLOOKUP(Sites_per_tag[[#This Row],[Activity_tag]],Parameter!$A$24:$B$32,2,0)</f>
        <v>SMP</v>
      </c>
      <c r="W6">
        <v>47.140737000000001</v>
      </c>
      <c r="X6">
        <v>-19.616845999999999</v>
      </c>
    </row>
    <row r="7" spans="1:26" x14ac:dyDescent="0.35">
      <c r="A7" s="3" t="str">
        <f t="shared" si="0"/>
        <v>111050007SMP</v>
      </c>
      <c r="B7" t="s">
        <v>6188</v>
      </c>
      <c r="C7">
        <f>+VLOOKUP(Sites_per_tag[[#This Row],[Field_office]],Parameter!$A$3:$B$11,2,0)</f>
        <v>3</v>
      </c>
      <c r="E7" t="s">
        <v>5644</v>
      </c>
      <c r="F7" t="s">
        <v>5671</v>
      </c>
      <c r="H7" t="str">
        <f ca="1">PROPER(Sites_per_tag[[#This Row],[Adm2Name]])</f>
        <v>Antsirabe Ii</v>
      </c>
      <c r="I7" t="s">
        <v>5672</v>
      </c>
      <c r="K7" t="s">
        <v>5724</v>
      </c>
      <c r="L7" t="s">
        <v>5725</v>
      </c>
      <c r="Q7" t="s">
        <v>377</v>
      </c>
      <c r="R7">
        <v>111050007</v>
      </c>
      <c r="T7" t="s">
        <v>7</v>
      </c>
      <c r="U7" s="3" t="str">
        <f>+VLOOKUP(Sites_per_tag[[#This Row],[Activity_tag]],Parameter!$A$24:$B$32,2,0)</f>
        <v>SMP</v>
      </c>
      <c r="W7">
        <v>47.087800000000001</v>
      </c>
      <c r="X7">
        <v>-19.51342</v>
      </c>
    </row>
    <row r="8" spans="1:26" x14ac:dyDescent="0.35">
      <c r="A8" s="3" t="str">
        <f t="shared" si="0"/>
        <v>111050009SMP</v>
      </c>
      <c r="B8" t="s">
        <v>6188</v>
      </c>
      <c r="C8">
        <f>+VLOOKUP(Sites_per_tag[[#This Row],[Field_office]],Parameter!$A$3:$B$11,2,0)</f>
        <v>3</v>
      </c>
      <c r="E8" t="s">
        <v>5644</v>
      </c>
      <c r="F8" t="s">
        <v>5671</v>
      </c>
      <c r="H8" t="str">
        <f ca="1">PROPER(Sites_per_tag[[#This Row],[Adm2Name]])</f>
        <v>Antsirabe Ii</v>
      </c>
      <c r="I8" t="s">
        <v>5672</v>
      </c>
      <c r="K8" t="s">
        <v>5724</v>
      </c>
      <c r="L8" t="s">
        <v>5725</v>
      </c>
      <c r="Q8" t="s">
        <v>441</v>
      </c>
      <c r="R8">
        <v>111050009</v>
      </c>
      <c r="T8" t="s">
        <v>7</v>
      </c>
      <c r="U8" s="3" t="str">
        <f>+VLOOKUP(Sites_per_tag[[#This Row],[Activity_tag]],Parameter!$A$24:$B$32,2,0)</f>
        <v>SMP</v>
      </c>
      <c r="W8">
        <v>47.087800000000001</v>
      </c>
      <c r="X8">
        <v>-19.51342</v>
      </c>
    </row>
    <row r="9" spans="1:26" x14ac:dyDescent="0.35">
      <c r="A9" s="3" t="str">
        <f t="shared" si="0"/>
        <v>111050012SMP</v>
      </c>
      <c r="B9" t="s">
        <v>6188</v>
      </c>
      <c r="C9">
        <f>+VLOOKUP(Sites_per_tag[[#This Row],[Field_office]],Parameter!$A$3:$B$11,2,0)</f>
        <v>3</v>
      </c>
      <c r="E9" t="s">
        <v>5644</v>
      </c>
      <c r="F9" t="s">
        <v>5671</v>
      </c>
      <c r="H9" t="str">
        <f ca="1">PROPER(Sites_per_tag[[#This Row],[Adm2Name]])</f>
        <v>Antsirabe Ii</v>
      </c>
      <c r="I9" t="s">
        <v>5672</v>
      </c>
      <c r="K9" t="s">
        <v>5724</v>
      </c>
      <c r="L9" t="s">
        <v>5725</v>
      </c>
      <c r="Q9" t="s">
        <v>6189</v>
      </c>
      <c r="R9">
        <v>111050012</v>
      </c>
      <c r="T9" t="s">
        <v>7</v>
      </c>
      <c r="U9" s="3" t="str">
        <f>+VLOOKUP(Sites_per_tag[[#This Row],[Activity_tag]],Parameter!$A$24:$B$32,2,0)</f>
        <v>SMP</v>
      </c>
      <c r="W9">
        <v>47.087800000000001</v>
      </c>
      <c r="X9">
        <v>-19.51342</v>
      </c>
    </row>
    <row r="10" spans="1:26" x14ac:dyDescent="0.35">
      <c r="A10" s="3" t="str">
        <f t="shared" si="0"/>
        <v>111050015SMP</v>
      </c>
      <c r="B10" t="s">
        <v>6188</v>
      </c>
      <c r="C10">
        <f>+VLOOKUP(Sites_per_tag[[#This Row],[Field_office]],Parameter!$A$3:$B$11,2,0)</f>
        <v>3</v>
      </c>
      <c r="E10" t="s">
        <v>5644</v>
      </c>
      <c r="F10" t="s">
        <v>5671</v>
      </c>
      <c r="H10" t="str">
        <f ca="1">PROPER(Sites_per_tag[[#This Row],[Adm2Name]])</f>
        <v>Antsirabe Ii</v>
      </c>
      <c r="I10" t="s">
        <v>5672</v>
      </c>
      <c r="K10" t="s">
        <v>5724</v>
      </c>
      <c r="L10" t="s">
        <v>5725</v>
      </c>
      <c r="Q10" t="s">
        <v>1586</v>
      </c>
      <c r="R10">
        <v>111050015</v>
      </c>
      <c r="T10" t="s">
        <v>7</v>
      </c>
      <c r="U10" s="3" t="str">
        <f>+VLOOKUP(Sites_per_tag[[#This Row],[Activity_tag]],Parameter!$A$24:$B$32,2,0)</f>
        <v>SMP</v>
      </c>
      <c r="W10">
        <v>47.087800000000001</v>
      </c>
      <c r="X10">
        <v>-19.51342</v>
      </c>
    </row>
    <row r="11" spans="1:26" x14ac:dyDescent="0.35">
      <c r="A11" s="3" t="str">
        <f t="shared" si="0"/>
        <v>111050016SMP</v>
      </c>
      <c r="B11" t="s">
        <v>6188</v>
      </c>
      <c r="C11">
        <f>+VLOOKUP(Sites_per_tag[[#This Row],[Field_office]],Parameter!$A$3:$B$11,2,0)</f>
        <v>3</v>
      </c>
      <c r="E11" t="s">
        <v>5644</v>
      </c>
      <c r="F11" t="s">
        <v>5671</v>
      </c>
      <c r="H11" t="str">
        <f ca="1">PROPER(Sites_per_tag[[#This Row],[Adm2Name]])</f>
        <v>Antsirabe Ii</v>
      </c>
      <c r="I11" t="s">
        <v>5672</v>
      </c>
      <c r="K11" t="s">
        <v>5724</v>
      </c>
      <c r="L11" t="s">
        <v>5725</v>
      </c>
      <c r="Q11" t="s">
        <v>2453</v>
      </c>
      <c r="R11">
        <v>111050016</v>
      </c>
      <c r="T11" t="s">
        <v>7</v>
      </c>
      <c r="U11" s="3" t="str">
        <f>+VLOOKUP(Sites_per_tag[[#This Row],[Activity_tag]],Parameter!$A$24:$B$32,2,0)</f>
        <v>SMP</v>
      </c>
      <c r="W11">
        <v>47.087800000000001</v>
      </c>
      <c r="X11">
        <v>-19.51342</v>
      </c>
    </row>
    <row r="12" spans="1:26" x14ac:dyDescent="0.35">
      <c r="A12" s="3" t="str">
        <f t="shared" si="0"/>
        <v>111050018SMP</v>
      </c>
      <c r="B12" t="s">
        <v>6188</v>
      </c>
      <c r="C12">
        <f>+VLOOKUP(Sites_per_tag[[#This Row],[Field_office]],Parameter!$A$3:$B$11,2,0)</f>
        <v>3</v>
      </c>
      <c r="E12" t="s">
        <v>5644</v>
      </c>
      <c r="F12" t="s">
        <v>5671</v>
      </c>
      <c r="H12" t="str">
        <f ca="1">PROPER(Sites_per_tag[[#This Row],[Adm2Name]])</f>
        <v>Antsirabe Ii</v>
      </c>
      <c r="I12" t="s">
        <v>5672</v>
      </c>
      <c r="K12" t="s">
        <v>5724</v>
      </c>
      <c r="L12" t="s">
        <v>5725</v>
      </c>
      <c r="Q12" t="s">
        <v>6190</v>
      </c>
      <c r="R12">
        <v>111050018</v>
      </c>
      <c r="T12" t="s">
        <v>7</v>
      </c>
      <c r="U12" s="3" t="str">
        <f>+VLOOKUP(Sites_per_tag[[#This Row],[Activity_tag]],Parameter!$A$24:$B$32,2,0)</f>
        <v>SMP</v>
      </c>
      <c r="W12">
        <v>47.087800000000001</v>
      </c>
      <c r="X12">
        <v>-19.51342</v>
      </c>
    </row>
    <row r="13" spans="1:26" x14ac:dyDescent="0.35">
      <c r="A13" s="3" t="str">
        <f t="shared" si="0"/>
        <v>111050022SMP</v>
      </c>
      <c r="B13" t="s">
        <v>6188</v>
      </c>
      <c r="C13">
        <f>+VLOOKUP(Sites_per_tag[[#This Row],[Field_office]],Parameter!$A$3:$B$11,2,0)</f>
        <v>3</v>
      </c>
      <c r="E13" t="s">
        <v>5644</v>
      </c>
      <c r="F13" t="s">
        <v>5671</v>
      </c>
      <c r="H13" t="str">
        <f ca="1">PROPER(Sites_per_tag[[#This Row],[Adm2Name]])</f>
        <v>Antsirabe Ii</v>
      </c>
      <c r="I13" t="s">
        <v>5672</v>
      </c>
      <c r="K13" t="s">
        <v>5724</v>
      </c>
      <c r="L13" t="s">
        <v>5725</v>
      </c>
      <c r="Q13" t="s">
        <v>3401</v>
      </c>
      <c r="R13">
        <v>111050022</v>
      </c>
      <c r="T13" t="s">
        <v>7</v>
      </c>
      <c r="U13" s="3" t="str">
        <f>+VLOOKUP(Sites_per_tag[[#This Row],[Activity_tag]],Parameter!$A$24:$B$32,2,0)</f>
        <v>SMP</v>
      </c>
      <c r="W13">
        <v>47.087800000000001</v>
      </c>
      <c r="X13">
        <v>-19.51342</v>
      </c>
    </row>
    <row r="14" spans="1:26" x14ac:dyDescent="0.35">
      <c r="A14" s="3" t="str">
        <f t="shared" si="0"/>
        <v>111100002SMP</v>
      </c>
      <c r="B14" t="s">
        <v>6188</v>
      </c>
      <c r="C14">
        <f>+VLOOKUP(Sites_per_tag[[#This Row],[Field_office]],Parameter!$A$3:$B$11,2,0)</f>
        <v>3</v>
      </c>
      <c r="E14" t="s">
        <v>5644</v>
      </c>
      <c r="F14" t="s">
        <v>5671</v>
      </c>
      <c r="H14" t="str">
        <f ca="1">PROPER(Sites_per_tag[[#This Row],[Adm2Name]])</f>
        <v>Antsirabe Ii</v>
      </c>
      <c r="I14" t="s">
        <v>5672</v>
      </c>
      <c r="K14" t="s">
        <v>1474</v>
      </c>
      <c r="L14" t="s">
        <v>5853</v>
      </c>
      <c r="Q14" t="s">
        <v>1553</v>
      </c>
      <c r="R14">
        <v>111100002</v>
      </c>
      <c r="T14" t="s">
        <v>7</v>
      </c>
      <c r="U14" s="3" t="str">
        <f>+VLOOKUP(Sites_per_tag[[#This Row],[Activity_tag]],Parameter!$A$24:$B$32,2,0)</f>
        <v>SMP</v>
      </c>
      <c r="W14">
        <v>47.373750000000001</v>
      </c>
      <c r="X14">
        <v>-20.001650000000001</v>
      </c>
    </row>
    <row r="15" spans="1:26" x14ac:dyDescent="0.35">
      <c r="A15" s="3" t="str">
        <f t="shared" si="0"/>
        <v>111100011SMP</v>
      </c>
      <c r="B15" t="s">
        <v>6188</v>
      </c>
      <c r="C15">
        <f>+VLOOKUP(Sites_per_tag[[#This Row],[Field_office]],Parameter!$A$3:$B$11,2,0)</f>
        <v>3</v>
      </c>
      <c r="E15" t="s">
        <v>5644</v>
      </c>
      <c r="F15" t="s">
        <v>5671</v>
      </c>
      <c r="H15" t="str">
        <f ca="1">PROPER(Sites_per_tag[[#This Row],[Adm2Name]])</f>
        <v>Antsirabe Ii</v>
      </c>
      <c r="I15" t="s">
        <v>5672</v>
      </c>
      <c r="K15" t="s">
        <v>1474</v>
      </c>
      <c r="L15" t="s">
        <v>5853</v>
      </c>
      <c r="Q15" t="s">
        <v>2596</v>
      </c>
      <c r="R15">
        <v>111100011</v>
      </c>
      <c r="T15" t="s">
        <v>7</v>
      </c>
      <c r="U15" s="3" t="str">
        <f>+VLOOKUP(Sites_per_tag[[#This Row],[Activity_tag]],Parameter!$A$24:$B$32,2,0)</f>
        <v>SMP</v>
      </c>
      <c r="W15">
        <v>47.308419999999998</v>
      </c>
      <c r="X15">
        <v>-19.970886</v>
      </c>
    </row>
    <row r="16" spans="1:26" x14ac:dyDescent="0.35">
      <c r="A16" s="3" t="str">
        <f t="shared" si="0"/>
        <v>111100015SMP</v>
      </c>
      <c r="B16" t="s">
        <v>6188</v>
      </c>
      <c r="C16">
        <f>+VLOOKUP(Sites_per_tag[[#This Row],[Field_office]],Parameter!$A$3:$B$11,2,0)</f>
        <v>3</v>
      </c>
      <c r="E16" t="s">
        <v>5644</v>
      </c>
      <c r="F16" t="s">
        <v>5671</v>
      </c>
      <c r="H16" t="str">
        <f ca="1">PROPER(Sites_per_tag[[#This Row],[Adm2Name]])</f>
        <v>Antsirabe Ii</v>
      </c>
      <c r="I16" t="s">
        <v>5672</v>
      </c>
      <c r="K16" t="s">
        <v>1474</v>
      </c>
      <c r="L16" t="s">
        <v>5853</v>
      </c>
      <c r="Q16" t="s">
        <v>3501</v>
      </c>
      <c r="R16">
        <v>111100015</v>
      </c>
      <c r="T16" t="s">
        <v>7</v>
      </c>
      <c r="U16" s="3" t="str">
        <f>+VLOOKUP(Sites_per_tag[[#This Row],[Activity_tag]],Parameter!$A$24:$B$32,2,0)</f>
        <v>SMP</v>
      </c>
      <c r="W16">
        <v>47.373750000000001</v>
      </c>
      <c r="X16">
        <v>-20.001650000000001</v>
      </c>
    </row>
    <row r="17" spans="1:24" x14ac:dyDescent="0.35">
      <c r="A17" s="3" t="str">
        <f t="shared" si="0"/>
        <v>111100028SMP</v>
      </c>
      <c r="B17" t="s">
        <v>6188</v>
      </c>
      <c r="C17">
        <f>+VLOOKUP(Sites_per_tag[[#This Row],[Field_office]],Parameter!$A$3:$B$11,2,0)</f>
        <v>3</v>
      </c>
      <c r="E17" t="s">
        <v>5644</v>
      </c>
      <c r="F17" t="s">
        <v>5671</v>
      </c>
      <c r="H17" t="str">
        <f ca="1">PROPER(Sites_per_tag[[#This Row],[Adm2Name]])</f>
        <v>Antsirabe Ii</v>
      </c>
      <c r="I17" t="s">
        <v>5672</v>
      </c>
      <c r="K17" t="s">
        <v>1474</v>
      </c>
      <c r="L17" t="s">
        <v>5853</v>
      </c>
      <c r="Q17" t="s">
        <v>2595</v>
      </c>
      <c r="R17">
        <v>111100028</v>
      </c>
      <c r="T17" t="s">
        <v>7</v>
      </c>
      <c r="U17" s="3" t="str">
        <f>+VLOOKUP(Sites_per_tag[[#This Row],[Activity_tag]],Parameter!$A$24:$B$32,2,0)</f>
        <v>SMP</v>
      </c>
      <c r="W17">
        <v>47.373750000000001</v>
      </c>
      <c r="X17">
        <v>-20.001650000000001</v>
      </c>
    </row>
    <row r="18" spans="1:24" x14ac:dyDescent="0.35">
      <c r="A18" s="3" t="str">
        <f t="shared" si="0"/>
        <v>111150010SMP</v>
      </c>
      <c r="B18" t="s">
        <v>6188</v>
      </c>
      <c r="C18">
        <f>+VLOOKUP(Sites_per_tag[[#This Row],[Field_office]],Parameter!$A$3:$B$11,2,0)</f>
        <v>3</v>
      </c>
      <c r="E18" t="s">
        <v>5644</v>
      </c>
      <c r="F18" t="s">
        <v>5671</v>
      </c>
      <c r="H18" t="str">
        <f ca="1">PROPER(Sites_per_tag[[#This Row],[Adm2Name]])</f>
        <v>Antsirabe Ii</v>
      </c>
      <c r="I18" t="s">
        <v>5672</v>
      </c>
      <c r="K18" t="s">
        <v>6031</v>
      </c>
      <c r="L18" t="s">
        <v>6032</v>
      </c>
      <c r="Q18" t="s">
        <v>2647</v>
      </c>
      <c r="R18">
        <v>111150010</v>
      </c>
      <c r="T18" t="s">
        <v>7</v>
      </c>
      <c r="U18" s="3" t="str">
        <f>+VLOOKUP(Sites_per_tag[[#This Row],[Activity_tag]],Parameter!$A$24:$B$32,2,0)</f>
        <v>SMP</v>
      </c>
      <c r="W18">
        <v>47.101526</v>
      </c>
      <c r="X18">
        <v>-19.293564</v>
      </c>
    </row>
    <row r="19" spans="1:24" x14ac:dyDescent="0.35">
      <c r="A19" s="3" t="str">
        <f t="shared" si="0"/>
        <v>111150012SMP</v>
      </c>
      <c r="B19" t="s">
        <v>6188</v>
      </c>
      <c r="C19">
        <f>+VLOOKUP(Sites_per_tag[[#This Row],[Field_office]],Parameter!$A$3:$B$11,2,0)</f>
        <v>3</v>
      </c>
      <c r="E19" t="s">
        <v>5644</v>
      </c>
      <c r="F19" t="s">
        <v>5671</v>
      </c>
      <c r="H19" t="str">
        <f ca="1">PROPER(Sites_per_tag[[#This Row],[Adm2Name]])</f>
        <v>Antsirabe Ii</v>
      </c>
      <c r="I19" t="s">
        <v>5672</v>
      </c>
      <c r="K19" t="s">
        <v>6031</v>
      </c>
      <c r="L19" t="s">
        <v>6032</v>
      </c>
      <c r="Q19" t="s">
        <v>3716</v>
      </c>
      <c r="R19">
        <v>111150012</v>
      </c>
      <c r="T19" t="s">
        <v>7</v>
      </c>
      <c r="U19" s="3" t="str">
        <f>+VLOOKUP(Sites_per_tag[[#This Row],[Activity_tag]],Parameter!$A$24:$B$32,2,0)</f>
        <v>SMP</v>
      </c>
      <c r="W19">
        <v>47.184730000000002</v>
      </c>
      <c r="X19">
        <v>-19.593879999999999</v>
      </c>
    </row>
    <row r="20" spans="1:24" x14ac:dyDescent="0.35">
      <c r="A20" s="3" t="str">
        <f t="shared" si="0"/>
        <v>111190001SMP</v>
      </c>
      <c r="B20" t="s">
        <v>6188</v>
      </c>
      <c r="C20">
        <f>+VLOOKUP(Sites_per_tag[[#This Row],[Field_office]],Parameter!$A$3:$B$11,2,0)</f>
        <v>3</v>
      </c>
      <c r="E20" t="s">
        <v>5644</v>
      </c>
      <c r="F20" t="s">
        <v>5674</v>
      </c>
      <c r="H20" t="str">
        <f ca="1">PROPER(Sites_per_tag[[#This Row],[Adm2Name]])</f>
        <v>Antsirabe Ii</v>
      </c>
      <c r="I20" t="s">
        <v>5672</v>
      </c>
      <c r="K20" t="s">
        <v>6141</v>
      </c>
      <c r="L20" t="s">
        <v>6142</v>
      </c>
      <c r="Q20" t="s">
        <v>6191</v>
      </c>
      <c r="R20">
        <v>111190001</v>
      </c>
      <c r="T20" t="s">
        <v>7</v>
      </c>
      <c r="U20" s="3" t="str">
        <f>+VLOOKUP(Sites_per_tag[[#This Row],[Activity_tag]],Parameter!$A$24:$B$32,2,0)</f>
        <v>SMP</v>
      </c>
      <c r="W20">
        <v>47.263979999999997</v>
      </c>
      <c r="X20">
        <v>-20.047730000000001</v>
      </c>
    </row>
    <row r="21" spans="1:24" x14ac:dyDescent="0.35">
      <c r="A21" s="3" t="str">
        <f t="shared" si="0"/>
        <v>111190009SMP</v>
      </c>
      <c r="B21" t="s">
        <v>6188</v>
      </c>
      <c r="C21">
        <f>+VLOOKUP(Sites_per_tag[[#This Row],[Field_office]],Parameter!$A$3:$B$11,2,0)</f>
        <v>3</v>
      </c>
      <c r="E21" t="s">
        <v>5644</v>
      </c>
      <c r="F21" t="s">
        <v>5674</v>
      </c>
      <c r="H21" t="str">
        <f ca="1">PROPER(Sites_per_tag[[#This Row],[Adm2Name]])</f>
        <v>Antsirabe Ii</v>
      </c>
      <c r="I21" t="s">
        <v>5672</v>
      </c>
      <c r="K21" t="s">
        <v>6141</v>
      </c>
      <c r="L21" t="s">
        <v>6142</v>
      </c>
      <c r="Q21" t="s">
        <v>3521</v>
      </c>
      <c r="R21">
        <v>111190009</v>
      </c>
      <c r="T21" t="s">
        <v>7</v>
      </c>
      <c r="U21" s="3" t="str">
        <f>+VLOOKUP(Sites_per_tag[[#This Row],[Activity_tag]],Parameter!$A$24:$B$32,2,0)</f>
        <v>SMP</v>
      </c>
      <c r="W21">
        <v>47.308407000000003</v>
      </c>
      <c r="X21">
        <v>-19.970379999999999</v>
      </c>
    </row>
    <row r="22" spans="1:24" x14ac:dyDescent="0.35">
      <c r="A22" s="3" t="str">
        <f t="shared" si="0"/>
        <v>112020018SMP</v>
      </c>
      <c r="B22" t="s">
        <v>6188</v>
      </c>
      <c r="C22">
        <f>+VLOOKUP(Sites_per_tag[[#This Row],[Field_office]],Parameter!$A$3:$B$11,2,0)</f>
        <v>3</v>
      </c>
      <c r="E22" t="s">
        <v>6192</v>
      </c>
      <c r="F22" t="s">
        <v>5669</v>
      </c>
      <c r="H22" t="str">
        <f ca="1">PROPER(Sites_per_tag[[#This Row],[Adm2Name]])</f>
        <v>Arivonimamo</v>
      </c>
      <c r="I22" t="s">
        <v>5675</v>
      </c>
      <c r="K22" t="s">
        <v>6115</v>
      </c>
      <c r="L22" t="s">
        <v>6116</v>
      </c>
      <c r="Q22" t="s">
        <v>3545</v>
      </c>
      <c r="R22">
        <v>112020018</v>
      </c>
      <c r="T22" t="s">
        <v>7</v>
      </c>
      <c r="U22" s="3" t="str">
        <f>+VLOOKUP(Sites_per_tag[[#This Row],[Activity_tag]],Parameter!$A$24:$B$32,2,0)</f>
        <v>SMP</v>
      </c>
      <c r="W22">
        <v>47.148980000000002</v>
      </c>
      <c r="X22">
        <v>-18.804729999999999</v>
      </c>
    </row>
    <row r="23" spans="1:24" x14ac:dyDescent="0.35">
      <c r="A23" s="3" t="str">
        <f t="shared" si="0"/>
        <v>112150002SMP</v>
      </c>
      <c r="B23" t="s">
        <v>6188</v>
      </c>
      <c r="C23">
        <f>+VLOOKUP(Sites_per_tag[[#This Row],[Field_office]],Parameter!$A$3:$B$11,2,0)</f>
        <v>3</v>
      </c>
      <c r="E23" t="s">
        <v>5668</v>
      </c>
      <c r="F23" t="s">
        <v>5669</v>
      </c>
      <c r="H23" t="str">
        <f ca="1">PROPER(Sites_per_tag[[#This Row],[Adm2Name]])</f>
        <v>Arivonimamo</v>
      </c>
      <c r="I23" t="s">
        <v>5675</v>
      </c>
      <c r="K23" t="s">
        <v>5806</v>
      </c>
      <c r="L23" t="s">
        <v>5807</v>
      </c>
      <c r="Q23" t="s">
        <v>2228</v>
      </c>
      <c r="R23">
        <v>112150002</v>
      </c>
      <c r="T23" t="s">
        <v>7</v>
      </c>
      <c r="U23" s="3" t="str">
        <f>+VLOOKUP(Sites_per_tag[[#This Row],[Activity_tag]],Parameter!$A$24:$B$32,2,0)</f>
        <v>SMP</v>
      </c>
      <c r="W23">
        <v>47.169750000000001</v>
      </c>
      <c r="X23">
        <v>-19.33305</v>
      </c>
    </row>
    <row r="24" spans="1:24" x14ac:dyDescent="0.35">
      <c r="A24" s="3" t="str">
        <f t="shared" si="0"/>
        <v>112220004SMP</v>
      </c>
      <c r="B24" t="s">
        <v>6188</v>
      </c>
      <c r="C24">
        <f>+VLOOKUP(Sites_per_tag[[#This Row],[Field_office]],Parameter!$A$3:$B$11,2,0)</f>
        <v>3</v>
      </c>
      <c r="E24" t="s">
        <v>6192</v>
      </c>
      <c r="F24" t="s">
        <v>5669</v>
      </c>
      <c r="H24" t="str">
        <f ca="1">PROPER(Sites_per_tag[[#This Row],[Adm2Name]])</f>
        <v>Arivonimamo</v>
      </c>
      <c r="I24" t="s">
        <v>5675</v>
      </c>
      <c r="K24" t="s">
        <v>6061</v>
      </c>
      <c r="L24" t="s">
        <v>6062</v>
      </c>
      <c r="Q24" t="s">
        <v>778</v>
      </c>
      <c r="R24">
        <v>112220004</v>
      </c>
      <c r="T24" t="s">
        <v>7</v>
      </c>
      <c r="U24" s="3" t="str">
        <f>+VLOOKUP(Sites_per_tag[[#This Row],[Activity_tag]],Parameter!$A$24:$B$32,2,0)</f>
        <v>SMP</v>
      </c>
      <c r="W24">
        <v>47.278280000000002</v>
      </c>
      <c r="X24">
        <v>-19.222329999999999</v>
      </c>
    </row>
    <row r="25" spans="1:24" x14ac:dyDescent="0.35">
      <c r="A25" s="3" t="str">
        <f t="shared" si="0"/>
        <v>112220016SMP</v>
      </c>
      <c r="B25" t="s">
        <v>6188</v>
      </c>
      <c r="C25">
        <f>+VLOOKUP(Sites_per_tag[[#This Row],[Field_office]],Parameter!$A$3:$B$11,2,0)</f>
        <v>3</v>
      </c>
      <c r="E25" t="s">
        <v>6192</v>
      </c>
      <c r="F25" t="s">
        <v>5669</v>
      </c>
      <c r="H25" t="str">
        <f ca="1">PROPER(Sites_per_tag[[#This Row],[Adm2Name]])</f>
        <v>Arivonimamo</v>
      </c>
      <c r="I25" t="s">
        <v>5675</v>
      </c>
      <c r="K25" t="s">
        <v>6061</v>
      </c>
      <c r="L25" t="s">
        <v>6062</v>
      </c>
      <c r="Q25" t="s">
        <v>2227</v>
      </c>
      <c r="R25">
        <v>112220016</v>
      </c>
      <c r="T25" t="s">
        <v>7</v>
      </c>
      <c r="U25" s="3" t="str">
        <f>+VLOOKUP(Sites_per_tag[[#This Row],[Activity_tag]],Parameter!$A$24:$B$32,2,0)</f>
        <v>SMP</v>
      </c>
      <c r="W25">
        <v>47.278280000000002</v>
      </c>
      <c r="X25">
        <v>-19.222329999999999</v>
      </c>
    </row>
    <row r="26" spans="1:24" x14ac:dyDescent="0.35">
      <c r="A26" s="3" t="str">
        <f t="shared" si="0"/>
        <v>117010004SMP</v>
      </c>
      <c r="B26" t="s">
        <v>6188</v>
      </c>
      <c r="C26">
        <f>+VLOOKUP(Sites_per_tag[[#This Row],[Field_office]],Parameter!$A$3:$B$11,2,0)</f>
        <v>3</v>
      </c>
      <c r="E26" t="s">
        <v>6192</v>
      </c>
      <c r="F26" t="s">
        <v>5669</v>
      </c>
      <c r="H26" t="str">
        <f ca="1">PROPER(Sites_per_tag[[#This Row],[Adm2Name]])</f>
        <v>Miarinarivo</v>
      </c>
      <c r="I26" t="s">
        <v>5709</v>
      </c>
      <c r="K26" t="s">
        <v>5689</v>
      </c>
      <c r="L26" t="s">
        <v>5690</v>
      </c>
      <c r="Q26" t="s">
        <v>1441</v>
      </c>
      <c r="R26">
        <v>117010004</v>
      </c>
      <c r="T26" t="s">
        <v>7</v>
      </c>
      <c r="U26" s="3" t="str">
        <f>+VLOOKUP(Sites_per_tag[[#This Row],[Activity_tag]],Parameter!$A$24:$B$32,2,0)</f>
        <v>SMP</v>
      </c>
      <c r="W26">
        <v>46.756270000000001</v>
      </c>
      <c r="X26">
        <v>-18.720420000000001</v>
      </c>
    </row>
    <row r="27" spans="1:24" x14ac:dyDescent="0.35">
      <c r="A27" s="3" t="str">
        <f t="shared" si="0"/>
        <v>117010024SMP</v>
      </c>
      <c r="B27" t="s">
        <v>6188</v>
      </c>
      <c r="C27">
        <f>+VLOOKUP(Sites_per_tag[[#This Row],[Field_office]],Parameter!$A$3:$B$11,2,0)</f>
        <v>3</v>
      </c>
      <c r="E27" t="s">
        <v>6192</v>
      </c>
      <c r="F27" t="s">
        <v>5669</v>
      </c>
      <c r="H27" t="str">
        <f ca="1">PROPER(Sites_per_tag[[#This Row],[Adm2Name]])</f>
        <v>Miarinarivo</v>
      </c>
      <c r="I27" t="s">
        <v>5709</v>
      </c>
      <c r="K27" t="s">
        <v>5689</v>
      </c>
      <c r="L27" t="s">
        <v>5690</v>
      </c>
      <c r="Q27" t="s">
        <v>2315</v>
      </c>
      <c r="R27">
        <v>117010024</v>
      </c>
      <c r="T27" t="s">
        <v>7</v>
      </c>
      <c r="U27" s="3" t="str">
        <f>+VLOOKUP(Sites_per_tag[[#This Row],[Activity_tag]],Parameter!$A$24:$B$32,2,0)</f>
        <v>SMP</v>
      </c>
      <c r="W27">
        <v>46.852873000000002</v>
      </c>
      <c r="X27">
        <v>-18.850064</v>
      </c>
    </row>
    <row r="28" spans="1:24" x14ac:dyDescent="0.35">
      <c r="A28" s="3" t="str">
        <f t="shared" si="0"/>
        <v>117020008SMP</v>
      </c>
      <c r="B28" t="s">
        <v>6193</v>
      </c>
      <c r="C28">
        <f>+VLOOKUP(Sites_per_tag[[#This Row],[Field_office]],Parameter!$A$3:$B$11,2,0)</f>
        <v>4</v>
      </c>
      <c r="E28" t="s">
        <v>5678</v>
      </c>
      <c r="F28" t="s">
        <v>5679</v>
      </c>
      <c r="H28" t="str">
        <f ca="1">PROPER(Sites_per_tag[[#This Row],[Adm2Name]])</f>
        <v>Manakara Atsimo</v>
      </c>
      <c r="I28" t="s">
        <v>5701</v>
      </c>
      <c r="K28" t="s">
        <v>653</v>
      </c>
      <c r="L28" t="s">
        <v>5780</v>
      </c>
      <c r="Q28" t="s">
        <v>354</v>
      </c>
      <c r="R28">
        <v>117020008</v>
      </c>
      <c r="T28" t="s">
        <v>7</v>
      </c>
      <c r="U28" s="3" t="str">
        <f>+VLOOKUP(Sites_per_tag[[#This Row],[Activity_tag]],Parameter!$A$24:$B$32,2,0)</f>
        <v>SMP</v>
      </c>
      <c r="W28">
        <v>47.940666</v>
      </c>
      <c r="X28">
        <v>-21.716504</v>
      </c>
    </row>
    <row r="29" spans="1:24" x14ac:dyDescent="0.35">
      <c r="A29" s="3" t="str">
        <f t="shared" si="0"/>
        <v>117020012SMP</v>
      </c>
      <c r="B29" t="s">
        <v>6193</v>
      </c>
      <c r="C29">
        <f>+VLOOKUP(Sites_per_tag[[#This Row],[Field_office]],Parameter!$A$3:$B$11,2,0)</f>
        <v>4</v>
      </c>
      <c r="E29" t="s">
        <v>5678</v>
      </c>
      <c r="F29" t="s">
        <v>5679</v>
      </c>
      <c r="H29" t="str">
        <f ca="1">PROPER(Sites_per_tag[[#This Row],[Adm2Name]])</f>
        <v>Manakara Atsimo</v>
      </c>
      <c r="I29" t="s">
        <v>5701</v>
      </c>
      <c r="K29" t="s">
        <v>653</v>
      </c>
      <c r="L29" t="s">
        <v>5780</v>
      </c>
      <c r="Q29" t="s">
        <v>530</v>
      </c>
      <c r="R29">
        <v>117020012</v>
      </c>
      <c r="T29" t="s">
        <v>7</v>
      </c>
      <c r="U29" s="3" t="str">
        <f>+VLOOKUP(Sites_per_tag[[#This Row],[Activity_tag]],Parameter!$A$24:$B$32,2,0)</f>
        <v>SMP</v>
      </c>
      <c r="W29">
        <v>47.960850000000001</v>
      </c>
      <c r="X29">
        <v>-21.713000000000001</v>
      </c>
    </row>
    <row r="30" spans="1:24" x14ac:dyDescent="0.35">
      <c r="A30" s="3" t="str">
        <f t="shared" si="0"/>
        <v>117020014SMP</v>
      </c>
      <c r="B30" t="s">
        <v>6193</v>
      </c>
      <c r="C30">
        <f>+VLOOKUP(Sites_per_tag[[#This Row],[Field_office]],Parameter!$A$3:$B$11,2,0)</f>
        <v>4</v>
      </c>
      <c r="E30" t="s">
        <v>5678</v>
      </c>
      <c r="F30" t="s">
        <v>5679</v>
      </c>
      <c r="H30" t="str">
        <f ca="1">PROPER(Sites_per_tag[[#This Row],[Adm2Name]])</f>
        <v>Manakara Atsimo</v>
      </c>
      <c r="I30" t="s">
        <v>5701</v>
      </c>
      <c r="K30" t="s">
        <v>653</v>
      </c>
      <c r="L30" t="s">
        <v>5780</v>
      </c>
      <c r="Q30" t="s">
        <v>6194</v>
      </c>
      <c r="R30">
        <v>117020014</v>
      </c>
      <c r="T30" t="s">
        <v>7</v>
      </c>
      <c r="U30" s="3" t="str">
        <f>+VLOOKUP(Sites_per_tag[[#This Row],[Activity_tag]],Parameter!$A$24:$B$32,2,0)</f>
        <v>SMP</v>
      </c>
      <c r="W30">
        <v>47.960850000000001</v>
      </c>
      <c r="X30">
        <v>-21.713000000000001</v>
      </c>
    </row>
    <row r="31" spans="1:24" x14ac:dyDescent="0.35">
      <c r="A31" s="3" t="str">
        <f t="shared" si="0"/>
        <v>117020015SMP</v>
      </c>
      <c r="B31" t="s">
        <v>6193</v>
      </c>
      <c r="C31">
        <f>+VLOOKUP(Sites_per_tag[[#This Row],[Field_office]],Parameter!$A$3:$B$11,2,0)</f>
        <v>4</v>
      </c>
      <c r="E31" t="s">
        <v>5678</v>
      </c>
      <c r="F31" t="s">
        <v>5679</v>
      </c>
      <c r="H31" t="str">
        <f ca="1">PROPER(Sites_per_tag[[#This Row],[Adm2Name]])</f>
        <v>Manakara Atsimo</v>
      </c>
      <c r="I31" t="s">
        <v>5701</v>
      </c>
      <c r="K31" t="s">
        <v>653</v>
      </c>
      <c r="L31" t="s">
        <v>5780</v>
      </c>
      <c r="Q31" t="s">
        <v>1410</v>
      </c>
      <c r="R31">
        <v>117020015</v>
      </c>
      <c r="T31" t="s">
        <v>7</v>
      </c>
      <c r="U31" s="3" t="str">
        <f>+VLOOKUP(Sites_per_tag[[#This Row],[Activity_tag]],Parameter!$A$24:$B$32,2,0)</f>
        <v>SMP</v>
      </c>
      <c r="W31">
        <v>47.960850000000001</v>
      </c>
      <c r="X31">
        <v>-21.713000000000001</v>
      </c>
    </row>
    <row r="32" spans="1:24" x14ac:dyDescent="0.35">
      <c r="A32" s="3" t="str">
        <f t="shared" si="0"/>
        <v>117020020SMP</v>
      </c>
      <c r="B32" t="s">
        <v>6193</v>
      </c>
      <c r="C32">
        <f>+VLOOKUP(Sites_per_tag[[#This Row],[Field_office]],Parameter!$A$3:$B$11,2,0)</f>
        <v>4</v>
      </c>
      <c r="E32" t="s">
        <v>5678</v>
      </c>
      <c r="F32" t="s">
        <v>5679</v>
      </c>
      <c r="H32" t="str">
        <f ca="1">PROPER(Sites_per_tag[[#This Row],[Adm2Name]])</f>
        <v>Manakara Atsimo</v>
      </c>
      <c r="I32" t="s">
        <v>5701</v>
      </c>
      <c r="K32" t="s">
        <v>653</v>
      </c>
      <c r="L32" t="s">
        <v>5780</v>
      </c>
      <c r="Q32" t="s">
        <v>1558</v>
      </c>
      <c r="R32">
        <v>117020020</v>
      </c>
      <c r="T32" t="s">
        <v>7</v>
      </c>
      <c r="U32" s="3" t="str">
        <f>+VLOOKUP(Sites_per_tag[[#This Row],[Activity_tag]],Parameter!$A$24:$B$32,2,0)</f>
        <v>SMP</v>
      </c>
      <c r="W32">
        <v>47.940666</v>
      </c>
      <c r="X32">
        <v>-21.716504</v>
      </c>
    </row>
    <row r="33" spans="1:24" x14ac:dyDescent="0.35">
      <c r="A33" s="3" t="str">
        <f t="shared" si="0"/>
        <v>117080002SMP</v>
      </c>
      <c r="B33" t="s">
        <v>6188</v>
      </c>
      <c r="C33">
        <f>+VLOOKUP(Sites_per_tag[[#This Row],[Field_office]],Parameter!$A$3:$B$11,2,0)</f>
        <v>3</v>
      </c>
      <c r="E33" t="s">
        <v>6192</v>
      </c>
      <c r="F33" t="s">
        <v>5669</v>
      </c>
      <c r="H33" t="str">
        <f ca="1">PROPER(Sites_per_tag[[#This Row],[Adm2Name]])</f>
        <v>Miarinarivo</v>
      </c>
      <c r="I33" t="s">
        <v>5709</v>
      </c>
      <c r="K33" t="s">
        <v>6195</v>
      </c>
      <c r="L33" t="s">
        <v>6064</v>
      </c>
      <c r="Q33" t="s">
        <v>75</v>
      </c>
      <c r="R33">
        <v>117080002</v>
      </c>
      <c r="T33" t="s">
        <v>7</v>
      </c>
      <c r="U33" s="3" t="str">
        <f>+VLOOKUP(Sites_per_tag[[#This Row],[Activity_tag]],Parameter!$A$24:$B$32,2,0)</f>
        <v>SMP</v>
      </c>
      <c r="W33">
        <v>46.869169999999997</v>
      </c>
      <c r="X33">
        <v>-18.946899999999999</v>
      </c>
    </row>
    <row r="34" spans="1:24" x14ac:dyDescent="0.35">
      <c r="A34" s="3" t="str">
        <f t="shared" si="0"/>
        <v>117080006SMP</v>
      </c>
      <c r="B34" t="s">
        <v>6188</v>
      </c>
      <c r="C34">
        <f>+VLOOKUP(Sites_per_tag[[#This Row],[Field_office]],Parameter!$A$3:$B$11,2,0)</f>
        <v>3</v>
      </c>
      <c r="E34" t="s">
        <v>6192</v>
      </c>
      <c r="F34" t="s">
        <v>5669</v>
      </c>
      <c r="H34" t="str">
        <f ca="1">PROPER(Sites_per_tag[[#This Row],[Adm2Name]])</f>
        <v>Miarinarivo</v>
      </c>
      <c r="I34" t="s">
        <v>5709</v>
      </c>
      <c r="K34" t="s">
        <v>6195</v>
      </c>
      <c r="L34" t="s">
        <v>6064</v>
      </c>
      <c r="Q34" t="s">
        <v>1492</v>
      </c>
      <c r="R34">
        <v>117080006</v>
      </c>
      <c r="T34" t="s">
        <v>7</v>
      </c>
      <c r="U34" s="3" t="str">
        <f>+VLOOKUP(Sites_per_tag[[#This Row],[Activity_tag]],Parameter!$A$24:$B$32,2,0)</f>
        <v>SMP</v>
      </c>
      <c r="W34">
        <v>46.869169999999997</v>
      </c>
      <c r="X34">
        <v>-18.946899999999999</v>
      </c>
    </row>
    <row r="35" spans="1:24" x14ac:dyDescent="0.35">
      <c r="A35" s="3" t="str">
        <f t="shared" si="0"/>
        <v>117080009SMP</v>
      </c>
      <c r="B35" t="s">
        <v>6188</v>
      </c>
      <c r="C35">
        <f>+VLOOKUP(Sites_per_tag[[#This Row],[Field_office]],Parameter!$A$3:$B$11,2,0)</f>
        <v>3</v>
      </c>
      <c r="E35" t="s">
        <v>6192</v>
      </c>
      <c r="F35" t="s">
        <v>5669</v>
      </c>
      <c r="H35" t="str">
        <f ca="1">PROPER(Sites_per_tag[[#This Row],[Adm2Name]])</f>
        <v>Miarinarivo</v>
      </c>
      <c r="I35" t="s">
        <v>5709</v>
      </c>
      <c r="K35" t="s">
        <v>6195</v>
      </c>
      <c r="L35" t="s">
        <v>6064</v>
      </c>
      <c r="Q35" t="s">
        <v>1564</v>
      </c>
      <c r="R35">
        <v>117080009</v>
      </c>
      <c r="T35" t="s">
        <v>7</v>
      </c>
      <c r="U35" s="3" t="str">
        <f>+VLOOKUP(Sites_per_tag[[#This Row],[Activity_tag]],Parameter!$A$24:$B$32,2,0)</f>
        <v>SMP</v>
      </c>
      <c r="W35">
        <v>46.869169999999997</v>
      </c>
      <c r="X35">
        <v>-18.946899999999999</v>
      </c>
    </row>
    <row r="36" spans="1:24" x14ac:dyDescent="0.35">
      <c r="A36" s="3" t="str">
        <f t="shared" si="0"/>
        <v>117080011SMP</v>
      </c>
      <c r="B36" t="s">
        <v>6188</v>
      </c>
      <c r="C36">
        <f>+VLOOKUP(Sites_per_tag[[#This Row],[Field_office]],Parameter!$A$3:$B$11,2,0)</f>
        <v>3</v>
      </c>
      <c r="E36" t="s">
        <v>6192</v>
      </c>
      <c r="F36" t="s">
        <v>5669</v>
      </c>
      <c r="H36" t="str">
        <f ca="1">PROPER(Sites_per_tag[[#This Row],[Adm2Name]])</f>
        <v>Miarinarivo</v>
      </c>
      <c r="I36" t="s">
        <v>5709</v>
      </c>
      <c r="K36" t="s">
        <v>6195</v>
      </c>
      <c r="L36" t="s">
        <v>6064</v>
      </c>
      <c r="Q36" t="s">
        <v>2570</v>
      </c>
      <c r="R36">
        <v>117080011</v>
      </c>
      <c r="T36" t="s">
        <v>7</v>
      </c>
      <c r="U36" s="3" t="str">
        <f>+VLOOKUP(Sites_per_tag[[#This Row],[Activity_tag]],Parameter!$A$24:$B$32,2,0)</f>
        <v>SMP</v>
      </c>
      <c r="W36">
        <v>46.842427999999998</v>
      </c>
      <c r="X36">
        <v>-18.94314</v>
      </c>
    </row>
    <row r="37" spans="1:24" x14ac:dyDescent="0.35">
      <c r="A37" s="3" t="str">
        <f t="shared" si="0"/>
        <v>117080012SMP</v>
      </c>
      <c r="B37" t="s">
        <v>6188</v>
      </c>
      <c r="C37">
        <f>+VLOOKUP(Sites_per_tag[[#This Row],[Field_office]],Parameter!$A$3:$B$11,2,0)</f>
        <v>3</v>
      </c>
      <c r="E37" t="s">
        <v>6192</v>
      </c>
      <c r="F37" t="s">
        <v>5669</v>
      </c>
      <c r="H37" t="str">
        <f ca="1">PROPER(Sites_per_tag[[#This Row],[Adm2Name]])</f>
        <v>Miarinarivo</v>
      </c>
      <c r="I37" t="s">
        <v>5709</v>
      </c>
      <c r="K37" t="s">
        <v>6195</v>
      </c>
      <c r="L37" t="s">
        <v>6064</v>
      </c>
      <c r="Q37" t="s">
        <v>2849</v>
      </c>
      <c r="R37">
        <v>117080012</v>
      </c>
      <c r="T37" t="s">
        <v>7</v>
      </c>
      <c r="U37" s="3" t="str">
        <f>+VLOOKUP(Sites_per_tag[[#This Row],[Activity_tag]],Parameter!$A$24:$B$32,2,0)</f>
        <v>SMP</v>
      </c>
      <c r="W37">
        <v>46.869169999999997</v>
      </c>
      <c r="X37">
        <v>-18.946899999999999</v>
      </c>
    </row>
    <row r="38" spans="1:24" x14ac:dyDescent="0.35">
      <c r="A38" s="3" t="str">
        <f t="shared" si="0"/>
        <v>117080014SMP</v>
      </c>
      <c r="B38" t="s">
        <v>6188</v>
      </c>
      <c r="C38">
        <f>+VLOOKUP(Sites_per_tag[[#This Row],[Field_office]],Parameter!$A$3:$B$11,2,0)</f>
        <v>3</v>
      </c>
      <c r="E38" t="s">
        <v>6192</v>
      </c>
      <c r="F38" t="s">
        <v>5669</v>
      </c>
      <c r="H38" t="str">
        <f ca="1">PROPER(Sites_per_tag[[#This Row],[Adm2Name]])</f>
        <v>Miarinarivo</v>
      </c>
      <c r="I38" t="s">
        <v>5709</v>
      </c>
      <c r="K38" t="s">
        <v>6195</v>
      </c>
      <c r="L38" t="s">
        <v>6064</v>
      </c>
      <c r="Q38" t="s">
        <v>3245</v>
      </c>
      <c r="R38">
        <v>117080014</v>
      </c>
      <c r="T38" t="s">
        <v>7</v>
      </c>
      <c r="U38" s="3" t="str">
        <f>+VLOOKUP(Sites_per_tag[[#This Row],[Activity_tag]],Parameter!$A$24:$B$32,2,0)</f>
        <v>SMP</v>
      </c>
      <c r="W38">
        <v>46.869169999999997</v>
      </c>
      <c r="X38">
        <v>-18.946899999999999</v>
      </c>
    </row>
    <row r="39" spans="1:24" x14ac:dyDescent="0.35">
      <c r="A39" s="3" t="str">
        <f t="shared" si="0"/>
        <v>117080021SMP</v>
      </c>
      <c r="B39" t="s">
        <v>6188</v>
      </c>
      <c r="C39">
        <f>+VLOOKUP(Sites_per_tag[[#This Row],[Field_office]],Parameter!$A$3:$B$11,2,0)</f>
        <v>3</v>
      </c>
      <c r="E39" t="s">
        <v>6192</v>
      </c>
      <c r="F39" t="s">
        <v>5669</v>
      </c>
      <c r="H39" t="str">
        <f ca="1">PROPER(Sites_per_tag[[#This Row],[Adm2Name]])</f>
        <v>Miarinarivo</v>
      </c>
      <c r="I39" t="s">
        <v>5709</v>
      </c>
      <c r="K39" t="s">
        <v>6195</v>
      </c>
      <c r="L39" t="s">
        <v>6064</v>
      </c>
      <c r="Q39" t="s">
        <v>1177</v>
      </c>
      <c r="R39">
        <v>117080021</v>
      </c>
      <c r="T39" t="s">
        <v>7</v>
      </c>
      <c r="U39" s="3" t="str">
        <f>+VLOOKUP(Sites_per_tag[[#This Row],[Activity_tag]],Parameter!$A$24:$B$32,2,0)</f>
        <v>SMP</v>
      </c>
      <c r="W39">
        <v>46.869169999999997</v>
      </c>
      <c r="X39">
        <v>-18.946899999999999</v>
      </c>
    </row>
    <row r="40" spans="1:24" x14ac:dyDescent="0.35">
      <c r="A40" s="3" t="str">
        <f t="shared" si="0"/>
        <v>117100013SMP</v>
      </c>
      <c r="B40" t="s">
        <v>6188</v>
      </c>
      <c r="C40">
        <f>+VLOOKUP(Sites_per_tag[[#This Row],[Field_office]],Parameter!$A$3:$B$11,2,0)</f>
        <v>3</v>
      </c>
      <c r="E40" t="s">
        <v>6192</v>
      </c>
      <c r="F40" t="s">
        <v>5669</v>
      </c>
      <c r="H40" t="str">
        <f ca="1">PROPER(Sites_per_tag[[#This Row],[Adm2Name]])</f>
        <v>Miarinarivo</v>
      </c>
      <c r="I40" t="s">
        <v>5709</v>
      </c>
      <c r="K40" t="s">
        <v>6105</v>
      </c>
      <c r="L40" t="s">
        <v>6106</v>
      </c>
      <c r="Q40" t="s">
        <v>2301</v>
      </c>
      <c r="R40">
        <v>117100013</v>
      </c>
      <c r="T40" t="s">
        <v>7</v>
      </c>
      <c r="U40" s="3" t="str">
        <f>+VLOOKUP(Sites_per_tag[[#This Row],[Activity_tag]],Parameter!$A$24:$B$32,2,0)</f>
        <v>SMP</v>
      </c>
      <c r="W40">
        <v>46.852871999999998</v>
      </c>
      <c r="X40">
        <v>-18.850066999999999</v>
      </c>
    </row>
    <row r="41" spans="1:24" x14ac:dyDescent="0.35">
      <c r="A41" s="3" t="str">
        <f t="shared" si="0"/>
        <v>306080006SMP</v>
      </c>
      <c r="B41" t="s">
        <v>6188</v>
      </c>
      <c r="C41">
        <f>+VLOOKUP(Sites_per_tag[[#This Row],[Field_office]],Parameter!$A$3:$B$11,2,0)</f>
        <v>3</v>
      </c>
      <c r="E41" t="s">
        <v>5639</v>
      </c>
      <c r="F41" t="s">
        <v>5640</v>
      </c>
      <c r="H41" t="str">
        <f ca="1">PROPER(Sites_per_tag[[#This Row],[Adm2Name]])</f>
        <v>Ambositra</v>
      </c>
      <c r="I41" t="s">
        <v>5652</v>
      </c>
      <c r="K41" t="s">
        <v>767</v>
      </c>
      <c r="L41" t="s">
        <v>5793</v>
      </c>
      <c r="Q41" t="s">
        <v>541</v>
      </c>
      <c r="R41">
        <v>306080006</v>
      </c>
      <c r="T41" t="s">
        <v>7</v>
      </c>
      <c r="U41" s="3" t="str">
        <f>+VLOOKUP(Sites_per_tag[[#This Row],[Activity_tag]],Parameter!$A$24:$B$32,2,0)</f>
        <v>SMP</v>
      </c>
      <c r="W41">
        <v>47.121671999999997</v>
      </c>
      <c r="X41">
        <v>-20.527899999999999</v>
      </c>
    </row>
    <row r="42" spans="1:24" x14ac:dyDescent="0.35">
      <c r="A42" s="3" t="str">
        <f t="shared" si="0"/>
        <v>306080007SMP</v>
      </c>
      <c r="B42" t="s">
        <v>6188</v>
      </c>
      <c r="C42">
        <f>+VLOOKUP(Sites_per_tag[[#This Row],[Field_office]],Parameter!$A$3:$B$11,2,0)</f>
        <v>3</v>
      </c>
      <c r="E42" t="s">
        <v>5639</v>
      </c>
      <c r="F42" t="s">
        <v>5640</v>
      </c>
      <c r="H42" t="str">
        <f ca="1">PROPER(Sites_per_tag[[#This Row],[Adm2Name]])</f>
        <v>Ambositra</v>
      </c>
      <c r="I42" t="s">
        <v>5652</v>
      </c>
      <c r="K42" t="s">
        <v>767</v>
      </c>
      <c r="L42" t="s">
        <v>5793</v>
      </c>
      <c r="Q42" t="s">
        <v>580</v>
      </c>
      <c r="R42">
        <v>306080007</v>
      </c>
      <c r="T42" t="s">
        <v>7</v>
      </c>
      <c r="U42" s="3" t="str">
        <f>+VLOOKUP(Sites_per_tag[[#This Row],[Activity_tag]],Parameter!$A$24:$B$32,2,0)</f>
        <v>SMP</v>
      </c>
      <c r="W42">
        <v>47.103394999999999</v>
      </c>
      <c r="X42">
        <v>-20.32292</v>
      </c>
    </row>
    <row r="43" spans="1:24" x14ac:dyDescent="0.35">
      <c r="A43" s="3" t="str">
        <f t="shared" si="0"/>
        <v>306080008SMP</v>
      </c>
      <c r="B43" t="s">
        <v>6188</v>
      </c>
      <c r="C43">
        <f>+VLOOKUP(Sites_per_tag[[#This Row],[Field_office]],Parameter!$A$3:$B$11,2,0)</f>
        <v>3</v>
      </c>
      <c r="E43" t="s">
        <v>5639</v>
      </c>
      <c r="F43" t="s">
        <v>5640</v>
      </c>
      <c r="H43" t="str">
        <f ca="1">PROPER(Sites_per_tag[[#This Row],[Adm2Name]])</f>
        <v>Ambositra</v>
      </c>
      <c r="I43" t="s">
        <v>5652</v>
      </c>
      <c r="K43" t="s">
        <v>767</v>
      </c>
      <c r="L43" t="s">
        <v>5793</v>
      </c>
      <c r="Q43" t="s">
        <v>767</v>
      </c>
      <c r="R43">
        <v>306080008</v>
      </c>
      <c r="T43" t="s">
        <v>7</v>
      </c>
      <c r="U43" s="3" t="str">
        <f>+VLOOKUP(Sites_per_tag[[#This Row],[Activity_tag]],Parameter!$A$24:$B$32,2,0)</f>
        <v>SMP</v>
      </c>
      <c r="W43">
        <v>47.150728000000001</v>
      </c>
      <c r="X43">
        <v>-20.532751000000001</v>
      </c>
    </row>
    <row r="44" spans="1:24" x14ac:dyDescent="0.35">
      <c r="A44" s="3" t="str">
        <f t="shared" si="0"/>
        <v>306080016SMP</v>
      </c>
      <c r="B44" t="s">
        <v>6188</v>
      </c>
      <c r="C44">
        <f>+VLOOKUP(Sites_per_tag[[#This Row],[Field_office]],Parameter!$A$3:$B$11,2,0)</f>
        <v>3</v>
      </c>
      <c r="E44" t="s">
        <v>5639</v>
      </c>
      <c r="F44" t="s">
        <v>5640</v>
      </c>
      <c r="H44" t="str">
        <f ca="1">PROPER(Sites_per_tag[[#This Row],[Adm2Name]])</f>
        <v>Ambositra</v>
      </c>
      <c r="I44" t="s">
        <v>5652</v>
      </c>
      <c r="K44" t="s">
        <v>767</v>
      </c>
      <c r="L44" t="s">
        <v>5793</v>
      </c>
      <c r="Q44" t="s">
        <v>3615</v>
      </c>
      <c r="R44">
        <v>306080016</v>
      </c>
      <c r="T44" t="s">
        <v>7</v>
      </c>
      <c r="U44" s="3" t="str">
        <f>+VLOOKUP(Sites_per_tag[[#This Row],[Activity_tag]],Parameter!$A$24:$B$32,2,0)</f>
        <v>SMP</v>
      </c>
      <c r="W44">
        <v>47.160189000000003</v>
      </c>
      <c r="X44">
        <v>-20.5032</v>
      </c>
    </row>
    <row r="45" spans="1:24" x14ac:dyDescent="0.35">
      <c r="A45" s="3" t="str">
        <f t="shared" si="0"/>
        <v>306080017SMP</v>
      </c>
      <c r="B45" t="s">
        <v>6188</v>
      </c>
      <c r="C45">
        <f>+VLOOKUP(Sites_per_tag[[#This Row],[Field_office]],Parameter!$A$3:$B$11,2,0)</f>
        <v>3</v>
      </c>
      <c r="E45" t="s">
        <v>5639</v>
      </c>
      <c r="F45" t="s">
        <v>5640</v>
      </c>
      <c r="H45" t="str">
        <f ca="1">PROPER(Sites_per_tag[[#This Row],[Adm2Name]])</f>
        <v>Ambositra</v>
      </c>
      <c r="I45" t="s">
        <v>5652</v>
      </c>
      <c r="K45" t="s">
        <v>767</v>
      </c>
      <c r="L45" t="s">
        <v>5793</v>
      </c>
      <c r="Q45" t="s">
        <v>3944</v>
      </c>
      <c r="R45">
        <v>306080017</v>
      </c>
      <c r="T45" t="s">
        <v>7</v>
      </c>
      <c r="U45" s="3" t="str">
        <f>+VLOOKUP(Sites_per_tag[[#This Row],[Activity_tag]],Parameter!$A$24:$B$32,2,0)</f>
        <v>SMP</v>
      </c>
      <c r="W45">
        <v>47.192680000000003</v>
      </c>
      <c r="X45">
        <v>-20.5017</v>
      </c>
    </row>
    <row r="46" spans="1:24" x14ac:dyDescent="0.35">
      <c r="A46" s="3" t="str">
        <f t="shared" si="0"/>
        <v>306090002SMP</v>
      </c>
      <c r="B46" t="s">
        <v>6188</v>
      </c>
      <c r="C46">
        <f>+VLOOKUP(Sites_per_tag[[#This Row],[Field_office]],Parameter!$A$3:$B$11,2,0)</f>
        <v>3</v>
      </c>
      <c r="E46" t="s">
        <v>5639</v>
      </c>
      <c r="F46" t="s">
        <v>5640</v>
      </c>
      <c r="H46" t="str">
        <f ca="1">PROPER(Sites_per_tag[[#This Row],[Adm2Name]])</f>
        <v>Ambositra</v>
      </c>
      <c r="I46" t="s">
        <v>5652</v>
      </c>
      <c r="K46" t="s">
        <v>5832</v>
      </c>
      <c r="L46" t="s">
        <v>5833</v>
      </c>
      <c r="Q46" t="s">
        <v>250</v>
      </c>
      <c r="R46">
        <v>306090002</v>
      </c>
      <c r="T46" t="s">
        <v>7</v>
      </c>
      <c r="U46" s="3" t="str">
        <f>+VLOOKUP(Sites_per_tag[[#This Row],[Activity_tag]],Parameter!$A$24:$B$32,2,0)</f>
        <v>SMP</v>
      </c>
      <c r="W46">
        <v>47.232653999999997</v>
      </c>
      <c r="X46">
        <v>-20.572735000000002</v>
      </c>
    </row>
    <row r="47" spans="1:24" x14ac:dyDescent="0.35">
      <c r="A47" s="3" t="str">
        <f t="shared" si="0"/>
        <v>306110001SMP</v>
      </c>
      <c r="B47" t="s">
        <v>6188</v>
      </c>
      <c r="C47">
        <f>+VLOOKUP(Sites_per_tag[[#This Row],[Field_office]],Parameter!$A$3:$B$11,2,0)</f>
        <v>3</v>
      </c>
      <c r="E47" t="s">
        <v>5639</v>
      </c>
      <c r="F47" t="s">
        <v>5640</v>
      </c>
      <c r="H47" t="str">
        <f ca="1">PROPER(Sites_per_tag[[#This Row],[Adm2Name]])</f>
        <v>Ambositra</v>
      </c>
      <c r="I47" t="s">
        <v>5652</v>
      </c>
      <c r="K47" t="s">
        <v>5951</v>
      </c>
      <c r="L47" t="s">
        <v>5952</v>
      </c>
      <c r="Q47" t="s">
        <v>394</v>
      </c>
      <c r="R47">
        <v>306110001</v>
      </c>
      <c r="T47" t="s">
        <v>7</v>
      </c>
      <c r="U47" s="3" t="str">
        <f>+VLOOKUP(Sites_per_tag[[#This Row],[Activity_tag]],Parameter!$A$24:$B$32,2,0)</f>
        <v>SMP</v>
      </c>
      <c r="W47">
        <v>47.337347999999999</v>
      </c>
      <c r="X47">
        <v>-20.517793999999999</v>
      </c>
    </row>
    <row r="48" spans="1:24" x14ac:dyDescent="0.35">
      <c r="A48" s="3" t="str">
        <f t="shared" si="0"/>
        <v>306110002SMP</v>
      </c>
      <c r="B48" t="s">
        <v>6188</v>
      </c>
      <c r="C48">
        <f>+VLOOKUP(Sites_per_tag[[#This Row],[Field_office]],Parameter!$A$3:$B$11,2,0)</f>
        <v>3</v>
      </c>
      <c r="E48" t="s">
        <v>5639</v>
      </c>
      <c r="F48" t="s">
        <v>5640</v>
      </c>
      <c r="H48" t="str">
        <f ca="1">PROPER(Sites_per_tag[[#This Row],[Adm2Name]])</f>
        <v>Ambositra</v>
      </c>
      <c r="I48" t="s">
        <v>5652</v>
      </c>
      <c r="K48" t="s">
        <v>5951</v>
      </c>
      <c r="L48" t="s">
        <v>5952</v>
      </c>
      <c r="Q48" t="s">
        <v>488</v>
      </c>
      <c r="R48">
        <v>306110002</v>
      </c>
      <c r="T48" t="s">
        <v>7</v>
      </c>
      <c r="U48" s="3" t="str">
        <f>+VLOOKUP(Sites_per_tag[[#This Row],[Activity_tag]],Parameter!$A$24:$B$32,2,0)</f>
        <v>SMP</v>
      </c>
      <c r="W48">
        <v>47.320165000000003</v>
      </c>
      <c r="X48">
        <v>-20.500475000000002</v>
      </c>
    </row>
    <row r="49" spans="1:24" x14ac:dyDescent="0.35">
      <c r="A49" s="3" t="str">
        <f t="shared" si="0"/>
        <v>306110003SMP</v>
      </c>
      <c r="B49" t="s">
        <v>6188</v>
      </c>
      <c r="C49">
        <f>+VLOOKUP(Sites_per_tag[[#This Row],[Field_office]],Parameter!$A$3:$B$11,2,0)</f>
        <v>3</v>
      </c>
      <c r="E49" t="s">
        <v>5639</v>
      </c>
      <c r="F49" t="s">
        <v>5640</v>
      </c>
      <c r="H49" t="str">
        <f ca="1">PROPER(Sites_per_tag[[#This Row],[Adm2Name]])</f>
        <v>Ambositra</v>
      </c>
      <c r="I49" t="s">
        <v>5652</v>
      </c>
      <c r="K49" t="s">
        <v>5951</v>
      </c>
      <c r="L49" t="s">
        <v>5952</v>
      </c>
      <c r="Q49" t="s">
        <v>1416</v>
      </c>
      <c r="R49">
        <v>306110003</v>
      </c>
      <c r="T49" t="s">
        <v>7</v>
      </c>
      <c r="U49" s="3" t="str">
        <f>+VLOOKUP(Sites_per_tag[[#This Row],[Activity_tag]],Parameter!$A$24:$B$32,2,0)</f>
        <v>SMP</v>
      </c>
      <c r="W49">
        <v>47.198146000000001</v>
      </c>
      <c r="X49">
        <v>-20.303903999999999</v>
      </c>
    </row>
    <row r="50" spans="1:24" x14ac:dyDescent="0.35">
      <c r="A50" s="3" t="str">
        <f t="shared" si="0"/>
        <v>306110004SMP</v>
      </c>
      <c r="B50" t="s">
        <v>6188</v>
      </c>
      <c r="C50">
        <f>+VLOOKUP(Sites_per_tag[[#This Row],[Field_office]],Parameter!$A$3:$B$11,2,0)</f>
        <v>3</v>
      </c>
      <c r="E50" t="s">
        <v>5639</v>
      </c>
      <c r="F50" t="s">
        <v>5640</v>
      </c>
      <c r="H50" t="str">
        <f ca="1">PROPER(Sites_per_tag[[#This Row],[Adm2Name]])</f>
        <v>Ambositra</v>
      </c>
      <c r="I50" t="s">
        <v>5652</v>
      </c>
      <c r="K50" t="s">
        <v>5951</v>
      </c>
      <c r="L50" t="s">
        <v>5952</v>
      </c>
      <c r="Q50" t="s">
        <v>1450</v>
      </c>
      <c r="R50">
        <v>306110004</v>
      </c>
      <c r="T50" t="s">
        <v>7</v>
      </c>
      <c r="U50" s="3" t="str">
        <f>+VLOOKUP(Sites_per_tag[[#This Row],[Activity_tag]],Parameter!$A$24:$B$32,2,0)</f>
        <v>SMP</v>
      </c>
      <c r="W50">
        <v>47.205222999999997</v>
      </c>
      <c r="X50">
        <v>-20.303758999999999</v>
      </c>
    </row>
    <row r="51" spans="1:24" x14ac:dyDescent="0.35">
      <c r="A51" s="3" t="str">
        <f t="shared" si="0"/>
        <v>306110006SMP</v>
      </c>
      <c r="B51" t="s">
        <v>6188</v>
      </c>
      <c r="C51">
        <f>+VLOOKUP(Sites_per_tag[[#This Row],[Field_office]],Parameter!$A$3:$B$11,2,0)</f>
        <v>3</v>
      </c>
      <c r="E51" t="s">
        <v>5639</v>
      </c>
      <c r="F51" t="s">
        <v>5640</v>
      </c>
      <c r="H51" t="str">
        <f ca="1">PROPER(Sites_per_tag[[#This Row],[Adm2Name]])</f>
        <v>Ambositra</v>
      </c>
      <c r="I51" t="s">
        <v>5652</v>
      </c>
      <c r="K51" t="s">
        <v>5951</v>
      </c>
      <c r="L51" t="s">
        <v>5952</v>
      </c>
      <c r="Q51" t="s">
        <v>3487</v>
      </c>
      <c r="R51">
        <v>306110006</v>
      </c>
      <c r="T51" t="s">
        <v>7</v>
      </c>
      <c r="U51" s="3" t="str">
        <f>+VLOOKUP(Sites_per_tag[[#This Row],[Activity_tag]],Parameter!$A$24:$B$32,2,0)</f>
        <v>SMP</v>
      </c>
      <c r="W51">
        <v>47.203462000000002</v>
      </c>
      <c r="X51">
        <v>-20.295915999999998</v>
      </c>
    </row>
    <row r="52" spans="1:24" x14ac:dyDescent="0.35">
      <c r="A52" s="3" t="str">
        <f t="shared" si="0"/>
        <v>306110007SMP</v>
      </c>
      <c r="B52" t="s">
        <v>6188</v>
      </c>
      <c r="C52">
        <f>+VLOOKUP(Sites_per_tag[[#This Row],[Field_office]],Parameter!$A$3:$B$11,2,0)</f>
        <v>3</v>
      </c>
      <c r="E52" t="s">
        <v>5639</v>
      </c>
      <c r="F52" t="s">
        <v>5640</v>
      </c>
      <c r="H52" t="str">
        <f ca="1">PROPER(Sites_per_tag[[#This Row],[Adm2Name]])</f>
        <v>Ambositra</v>
      </c>
      <c r="I52" t="s">
        <v>5652</v>
      </c>
      <c r="K52" t="s">
        <v>5951</v>
      </c>
      <c r="L52" t="s">
        <v>5952</v>
      </c>
      <c r="Q52" t="s">
        <v>3503</v>
      </c>
      <c r="R52">
        <v>306110007</v>
      </c>
      <c r="T52" t="s">
        <v>7</v>
      </c>
      <c r="U52" s="3" t="str">
        <f>+VLOOKUP(Sites_per_tag[[#This Row],[Activity_tag]],Parameter!$A$24:$B$32,2,0)</f>
        <v>SMP</v>
      </c>
      <c r="W52">
        <v>47.309784999999998</v>
      </c>
      <c r="X52">
        <v>-20.506779000000002</v>
      </c>
    </row>
    <row r="53" spans="1:24" x14ac:dyDescent="0.35">
      <c r="A53" s="3" t="str">
        <f t="shared" si="0"/>
        <v>306150009SMP</v>
      </c>
      <c r="B53" t="s">
        <v>6188</v>
      </c>
      <c r="C53">
        <f>+VLOOKUP(Sites_per_tag[[#This Row],[Field_office]],Parameter!$A$3:$B$11,2,0)</f>
        <v>3</v>
      </c>
      <c r="E53" t="s">
        <v>5639</v>
      </c>
      <c r="F53" t="s">
        <v>5640</v>
      </c>
      <c r="H53" t="str">
        <f ca="1">PROPER(Sites_per_tag[[#This Row],[Adm2Name]])</f>
        <v>Ambositra</v>
      </c>
      <c r="I53" t="s">
        <v>5652</v>
      </c>
      <c r="K53" t="s">
        <v>2621</v>
      </c>
      <c r="L53" t="s">
        <v>5985</v>
      </c>
      <c r="Q53" t="s">
        <v>2624</v>
      </c>
      <c r="R53">
        <v>306150009</v>
      </c>
      <c r="T53" t="s">
        <v>7</v>
      </c>
      <c r="U53" s="3" t="str">
        <f>+VLOOKUP(Sites_per_tag[[#This Row],[Activity_tag]],Parameter!$A$24:$B$32,2,0)</f>
        <v>SMP</v>
      </c>
      <c r="W53">
        <v>47.200589999999998</v>
      </c>
      <c r="X53">
        <v>-20.627189999999999</v>
      </c>
    </row>
    <row r="54" spans="1:24" x14ac:dyDescent="0.35">
      <c r="A54" s="3" t="str">
        <f t="shared" si="0"/>
        <v>306150015SMP</v>
      </c>
      <c r="B54" t="s">
        <v>6188</v>
      </c>
      <c r="C54">
        <f>+VLOOKUP(Sites_per_tag[[#This Row],[Field_office]],Parameter!$A$3:$B$11,2,0)</f>
        <v>3</v>
      </c>
      <c r="E54" t="s">
        <v>5639</v>
      </c>
      <c r="F54" t="s">
        <v>5640</v>
      </c>
      <c r="H54" t="str">
        <f ca="1">PROPER(Sites_per_tag[[#This Row],[Adm2Name]])</f>
        <v>Ambositra</v>
      </c>
      <c r="I54" t="s">
        <v>5652</v>
      </c>
      <c r="K54" t="s">
        <v>2621</v>
      </c>
      <c r="L54" t="s">
        <v>5985</v>
      </c>
      <c r="Q54" t="s">
        <v>3708</v>
      </c>
      <c r="R54">
        <v>306150015</v>
      </c>
      <c r="T54" t="s">
        <v>7</v>
      </c>
      <c r="U54" s="3" t="str">
        <f>+VLOOKUP(Sites_per_tag[[#This Row],[Activity_tag]],Parameter!$A$24:$B$32,2,0)</f>
        <v>SMP</v>
      </c>
      <c r="W54">
        <v>47.218862000000001</v>
      </c>
      <c r="X54">
        <v>-20.595174</v>
      </c>
    </row>
    <row r="55" spans="1:24" x14ac:dyDescent="0.35">
      <c r="A55" s="3" t="str">
        <f t="shared" si="0"/>
        <v>306160004SMP</v>
      </c>
      <c r="B55" t="s">
        <v>6188</v>
      </c>
      <c r="C55">
        <f>+VLOOKUP(Sites_per_tag[[#This Row],[Field_office]],Parameter!$A$3:$B$11,2,0)</f>
        <v>3</v>
      </c>
      <c r="E55" t="s">
        <v>5639</v>
      </c>
      <c r="F55" t="s">
        <v>5640</v>
      </c>
      <c r="H55" t="str">
        <f ca="1">PROPER(Sites_per_tag[[#This Row],[Adm2Name]])</f>
        <v>Ambositra</v>
      </c>
      <c r="I55" t="s">
        <v>5652</v>
      </c>
      <c r="K55" t="s">
        <v>5989</v>
      </c>
      <c r="L55" t="s">
        <v>5990</v>
      </c>
      <c r="Q55" t="s">
        <v>2627</v>
      </c>
      <c r="R55">
        <v>306160004</v>
      </c>
      <c r="T55" t="s">
        <v>7</v>
      </c>
      <c r="U55" s="3" t="str">
        <f>+VLOOKUP(Sites_per_tag[[#This Row],[Activity_tag]],Parameter!$A$24:$B$32,2,0)</f>
        <v>SMP</v>
      </c>
      <c r="W55">
        <v>47.203912000000003</v>
      </c>
      <c r="X55">
        <v>-20.561015000000001</v>
      </c>
    </row>
    <row r="56" spans="1:24" x14ac:dyDescent="0.35">
      <c r="A56" s="3" t="str">
        <f t="shared" si="0"/>
        <v>306160005SMP</v>
      </c>
      <c r="B56" t="s">
        <v>6188</v>
      </c>
      <c r="C56">
        <f>+VLOOKUP(Sites_per_tag[[#This Row],[Field_office]],Parameter!$A$3:$B$11,2,0)</f>
        <v>3</v>
      </c>
      <c r="E56" t="s">
        <v>5639</v>
      </c>
      <c r="F56" t="s">
        <v>5640</v>
      </c>
      <c r="H56" t="str">
        <f ca="1">PROPER(Sites_per_tag[[#This Row],[Adm2Name]])</f>
        <v>Ambositra</v>
      </c>
      <c r="I56" t="s">
        <v>5652</v>
      </c>
      <c r="K56" t="s">
        <v>5989</v>
      </c>
      <c r="L56" t="s">
        <v>5990</v>
      </c>
      <c r="Q56" t="s">
        <v>2823</v>
      </c>
      <c r="R56">
        <v>306160005</v>
      </c>
      <c r="T56" t="s">
        <v>7</v>
      </c>
      <c r="U56" s="3" t="str">
        <f>+VLOOKUP(Sites_per_tag[[#This Row],[Activity_tag]],Parameter!$A$24:$B$32,2,0)</f>
        <v>SMP</v>
      </c>
      <c r="W56">
        <v>47.201391999999998</v>
      </c>
      <c r="X56">
        <v>-20.547709999999999</v>
      </c>
    </row>
    <row r="57" spans="1:24" x14ac:dyDescent="0.35">
      <c r="A57" s="3" t="str">
        <f t="shared" si="0"/>
        <v>306240006SMP</v>
      </c>
      <c r="B57" t="s">
        <v>6188</v>
      </c>
      <c r="C57">
        <f>+VLOOKUP(Sites_per_tag[[#This Row],[Field_office]],Parameter!$A$3:$B$11,2,0)</f>
        <v>3</v>
      </c>
      <c r="E57" t="s">
        <v>5639</v>
      </c>
      <c r="F57" t="s">
        <v>5640</v>
      </c>
      <c r="H57" t="str">
        <f ca="1">PROPER(Sites_per_tag[[#This Row],[Adm2Name]])</f>
        <v>Ambositra</v>
      </c>
      <c r="I57" t="s">
        <v>5652</v>
      </c>
      <c r="K57" t="s">
        <v>6196</v>
      </c>
      <c r="L57" t="s">
        <v>5754</v>
      </c>
      <c r="Q57" t="s">
        <v>942</v>
      </c>
      <c r="R57">
        <v>306240006</v>
      </c>
      <c r="T57" t="s">
        <v>7</v>
      </c>
      <c r="U57" s="3" t="str">
        <f>+VLOOKUP(Sites_per_tag[[#This Row],[Activity_tag]],Parameter!$A$24:$B$32,2,0)</f>
        <v>SMP</v>
      </c>
      <c r="W57">
        <v>47.245815999999998</v>
      </c>
      <c r="X57">
        <v>-20.539570000000001</v>
      </c>
    </row>
    <row r="58" spans="1:24" x14ac:dyDescent="0.35">
      <c r="A58" s="3" t="str">
        <f t="shared" si="0"/>
        <v>306240008SMP</v>
      </c>
      <c r="B58" t="s">
        <v>6188</v>
      </c>
      <c r="C58">
        <f>+VLOOKUP(Sites_per_tag[[#This Row],[Field_office]],Parameter!$A$3:$B$11,2,0)</f>
        <v>3</v>
      </c>
      <c r="E58" t="s">
        <v>5639</v>
      </c>
      <c r="F58" t="s">
        <v>5640</v>
      </c>
      <c r="H58" t="str">
        <f ca="1">PROPER(Sites_per_tag[[#This Row],[Adm2Name]])</f>
        <v>Ambositra</v>
      </c>
      <c r="I58" t="s">
        <v>5652</v>
      </c>
      <c r="K58" t="s">
        <v>5751</v>
      </c>
      <c r="L58" t="s">
        <v>5752</v>
      </c>
      <c r="Q58" t="s">
        <v>1548</v>
      </c>
      <c r="R58">
        <v>306240008</v>
      </c>
      <c r="T58" t="s">
        <v>7</v>
      </c>
      <c r="U58" s="3" t="str">
        <f>+VLOOKUP(Sites_per_tag[[#This Row],[Activity_tag]],Parameter!$A$24:$B$32,2,0)</f>
        <v>SMP</v>
      </c>
      <c r="W58">
        <v>47.229604999999999</v>
      </c>
      <c r="X58">
        <v>-20.528438999999999</v>
      </c>
    </row>
    <row r="59" spans="1:24" x14ac:dyDescent="0.35">
      <c r="A59" s="3" t="str">
        <f t="shared" si="0"/>
        <v>306240011SMP</v>
      </c>
      <c r="B59" t="s">
        <v>6188</v>
      </c>
      <c r="C59">
        <f>+VLOOKUP(Sites_per_tag[[#This Row],[Field_office]],Parameter!$A$3:$B$11,2,0)</f>
        <v>3</v>
      </c>
      <c r="E59" t="s">
        <v>5639</v>
      </c>
      <c r="F59" t="s">
        <v>5640</v>
      </c>
      <c r="H59" t="str">
        <f ca="1">PROPER(Sites_per_tag[[#This Row],[Adm2Name]])</f>
        <v>Ambositra</v>
      </c>
      <c r="I59" t="s">
        <v>5652</v>
      </c>
      <c r="K59" t="s">
        <v>5751</v>
      </c>
      <c r="L59" t="s">
        <v>5752</v>
      </c>
      <c r="Q59" t="s">
        <v>3631</v>
      </c>
      <c r="R59">
        <v>306240011</v>
      </c>
      <c r="T59" t="s">
        <v>7</v>
      </c>
      <c r="U59" s="3" t="str">
        <f>+VLOOKUP(Sites_per_tag[[#This Row],[Activity_tag]],Parameter!$A$24:$B$32,2,0)</f>
        <v>SMP</v>
      </c>
      <c r="W59">
        <v>47.243250000000003</v>
      </c>
      <c r="X59">
        <v>-20.553940999999998</v>
      </c>
    </row>
    <row r="60" spans="1:24" x14ac:dyDescent="0.35">
      <c r="A60" s="3" t="str">
        <f t="shared" si="0"/>
        <v>306240013SMP</v>
      </c>
      <c r="B60" t="s">
        <v>6188</v>
      </c>
      <c r="C60">
        <f>+VLOOKUP(Sites_per_tag[[#This Row],[Field_office]],Parameter!$A$3:$B$11,2,0)</f>
        <v>3</v>
      </c>
      <c r="E60" t="s">
        <v>5639</v>
      </c>
      <c r="F60" t="s">
        <v>5640</v>
      </c>
      <c r="H60" t="str">
        <f ca="1">PROPER(Sites_per_tag[[#This Row],[Adm2Name]])</f>
        <v>Ambositra</v>
      </c>
      <c r="I60" t="s">
        <v>5652</v>
      </c>
      <c r="K60" t="s">
        <v>5751</v>
      </c>
      <c r="L60" t="s">
        <v>5752</v>
      </c>
      <c r="Q60" t="s">
        <v>3863</v>
      </c>
      <c r="R60">
        <v>306240013</v>
      </c>
      <c r="T60" t="s">
        <v>7</v>
      </c>
      <c r="U60" s="3" t="str">
        <f>+VLOOKUP(Sites_per_tag[[#This Row],[Activity_tag]],Parameter!$A$24:$B$32,2,0)</f>
        <v>SMP</v>
      </c>
      <c r="W60">
        <v>47.251218000000001</v>
      </c>
      <c r="X60">
        <v>-20.517517000000002</v>
      </c>
    </row>
    <row r="61" spans="1:24" x14ac:dyDescent="0.35">
      <c r="A61" s="3" t="str">
        <f t="shared" si="0"/>
        <v>309010016SMP</v>
      </c>
      <c r="B61" t="s">
        <v>6193</v>
      </c>
      <c r="C61">
        <f>+VLOOKUP(Sites_per_tag[[#This Row],[Field_office]],Parameter!$A$3:$B$11,2,0)</f>
        <v>4</v>
      </c>
      <c r="E61" t="s">
        <v>5658</v>
      </c>
      <c r="F61" t="s">
        <v>5659</v>
      </c>
      <c r="H61" t="str">
        <f ca="1">PROPER(Sites_per_tag[[#This Row],[Adm2Name]])</f>
        <v>Farafangana</v>
      </c>
      <c r="I61" t="s">
        <v>5694</v>
      </c>
      <c r="K61" t="s">
        <v>110</v>
      </c>
      <c r="L61" t="s">
        <v>5661</v>
      </c>
      <c r="Q61" t="s">
        <v>3144</v>
      </c>
      <c r="R61">
        <v>309010016</v>
      </c>
      <c r="T61" t="s">
        <v>7</v>
      </c>
      <c r="U61" s="3" t="str">
        <f>+VLOOKUP(Sites_per_tag[[#This Row],[Activity_tag]],Parameter!$A$24:$B$32,2,0)</f>
        <v>SMP</v>
      </c>
      <c r="W61">
        <v>47.605829999999997</v>
      </c>
      <c r="X61">
        <v>-22.597480000000001</v>
      </c>
    </row>
    <row r="62" spans="1:24" x14ac:dyDescent="0.35">
      <c r="A62" s="3" t="str">
        <f t="shared" si="0"/>
        <v>309010021SMP</v>
      </c>
      <c r="B62" t="s">
        <v>6193</v>
      </c>
      <c r="C62">
        <f>+VLOOKUP(Sites_per_tag[[#This Row],[Field_office]],Parameter!$A$3:$B$11,2,0)</f>
        <v>4</v>
      </c>
      <c r="E62" t="s">
        <v>5658</v>
      </c>
      <c r="F62" t="s">
        <v>5659</v>
      </c>
      <c r="H62" t="str">
        <f ca="1">PROPER(Sites_per_tag[[#This Row],[Adm2Name]])</f>
        <v>Farafangana</v>
      </c>
      <c r="I62" t="s">
        <v>5694</v>
      </c>
      <c r="K62" t="s">
        <v>110</v>
      </c>
      <c r="L62" t="s">
        <v>5661</v>
      </c>
      <c r="Q62" t="s">
        <v>6197</v>
      </c>
      <c r="R62">
        <v>309010021</v>
      </c>
      <c r="T62" t="s">
        <v>7</v>
      </c>
      <c r="U62" s="3" t="str">
        <f>+VLOOKUP(Sites_per_tag[[#This Row],[Activity_tag]],Parameter!$A$24:$B$32,2,0)</f>
        <v>SMP</v>
      </c>
      <c r="W62">
        <v>47.605829999999997</v>
      </c>
      <c r="X62">
        <v>-22.597480000000001</v>
      </c>
    </row>
    <row r="63" spans="1:24" x14ac:dyDescent="0.35">
      <c r="A63" s="3" t="str">
        <f t="shared" si="0"/>
        <v>309020022SMP</v>
      </c>
      <c r="B63" t="s">
        <v>6193</v>
      </c>
      <c r="C63">
        <f>+VLOOKUP(Sites_per_tag[[#This Row],[Field_office]],Parameter!$A$3:$B$11,2,0)</f>
        <v>4</v>
      </c>
      <c r="E63" t="s">
        <v>5658</v>
      </c>
      <c r="F63" t="s">
        <v>5659</v>
      </c>
      <c r="H63" t="str">
        <f ca="1">PROPER(Sites_per_tag[[#This Row],[Adm2Name]])</f>
        <v>Farafangana</v>
      </c>
      <c r="I63" t="s">
        <v>5694</v>
      </c>
      <c r="K63" t="s">
        <v>129</v>
      </c>
      <c r="L63" t="s">
        <v>5670</v>
      </c>
      <c r="Q63" t="s">
        <v>672</v>
      </c>
      <c r="R63">
        <v>309020022</v>
      </c>
      <c r="T63" t="s">
        <v>7</v>
      </c>
      <c r="U63" s="3" t="str">
        <f>+VLOOKUP(Sites_per_tag[[#This Row],[Activity_tag]],Parameter!$A$24:$B$32,2,0)</f>
        <v>SMP</v>
      </c>
      <c r="W63">
        <v>47.474229999999999</v>
      </c>
      <c r="X63">
        <v>-22.658770000000001</v>
      </c>
    </row>
    <row r="64" spans="1:24" x14ac:dyDescent="0.35">
      <c r="A64" s="3" t="str">
        <f t="shared" si="0"/>
        <v>309030010SMP</v>
      </c>
      <c r="B64" t="s">
        <v>6193</v>
      </c>
      <c r="C64">
        <f>+VLOOKUP(Sites_per_tag[[#This Row],[Field_office]],Parameter!$A$3:$B$11,2,0)</f>
        <v>4</v>
      </c>
      <c r="E64" t="s">
        <v>5658</v>
      </c>
      <c r="F64" t="s">
        <v>5659</v>
      </c>
      <c r="H64" t="str">
        <f ca="1">PROPER(Sites_per_tag[[#This Row],[Adm2Name]])</f>
        <v>Farafangana</v>
      </c>
      <c r="I64" t="s">
        <v>5694</v>
      </c>
      <c r="K64" t="s">
        <v>357</v>
      </c>
      <c r="L64" t="s">
        <v>5727</v>
      </c>
      <c r="Q64" t="s">
        <v>3261</v>
      </c>
      <c r="R64">
        <v>309030010</v>
      </c>
      <c r="T64" t="s">
        <v>7</v>
      </c>
      <c r="U64" s="3" t="str">
        <f>+VLOOKUP(Sites_per_tag[[#This Row],[Activity_tag]],Parameter!$A$24:$B$32,2,0)</f>
        <v>SMP</v>
      </c>
      <c r="W64">
        <v>47.542149999999999</v>
      </c>
      <c r="X64">
        <v>-22.782350000000001</v>
      </c>
    </row>
    <row r="65" spans="1:24" x14ac:dyDescent="0.35">
      <c r="A65" s="3" t="str">
        <f t="shared" si="0"/>
        <v>309050002SMP</v>
      </c>
      <c r="B65" t="s">
        <v>6193</v>
      </c>
      <c r="C65">
        <f>+VLOOKUP(Sites_per_tag[[#This Row],[Field_office]],Parameter!$A$3:$B$11,2,0)</f>
        <v>4</v>
      </c>
      <c r="E65" t="s">
        <v>5658</v>
      </c>
      <c r="F65" t="s">
        <v>5659</v>
      </c>
      <c r="H65" t="str">
        <f ca="1">PROPER(Sites_per_tag[[#This Row],[Adm2Name]])</f>
        <v>Farafangana</v>
      </c>
      <c r="I65" t="s">
        <v>5694</v>
      </c>
      <c r="K65" t="s">
        <v>582</v>
      </c>
      <c r="L65" t="s">
        <v>5768</v>
      </c>
      <c r="Q65" t="s">
        <v>2818</v>
      </c>
      <c r="R65">
        <v>309050002</v>
      </c>
      <c r="T65" t="s">
        <v>7</v>
      </c>
      <c r="U65" s="3" t="str">
        <f>+VLOOKUP(Sites_per_tag[[#This Row],[Activity_tag]],Parameter!$A$24:$B$32,2,0)</f>
        <v>SMP</v>
      </c>
      <c r="W65">
        <v>47.794623000000001</v>
      </c>
      <c r="X65">
        <v>-22.523014</v>
      </c>
    </row>
    <row r="66" spans="1:24" x14ac:dyDescent="0.35">
      <c r="A66" s="3" t="str">
        <f t="shared" si="0"/>
        <v>309050004SMP</v>
      </c>
      <c r="B66" t="s">
        <v>6193</v>
      </c>
      <c r="C66">
        <f>+VLOOKUP(Sites_per_tag[[#This Row],[Field_office]],Parameter!$A$3:$B$11,2,0)</f>
        <v>4</v>
      </c>
      <c r="E66" t="s">
        <v>5658</v>
      </c>
      <c r="F66" t="s">
        <v>5659</v>
      </c>
      <c r="H66" t="str">
        <f ca="1">PROPER(Sites_per_tag[[#This Row],[Adm2Name]])</f>
        <v>Farafangana</v>
      </c>
      <c r="I66" t="s">
        <v>5694</v>
      </c>
      <c r="K66" t="s">
        <v>582</v>
      </c>
      <c r="L66" t="s">
        <v>5768</v>
      </c>
      <c r="Q66" t="s">
        <v>482</v>
      </c>
      <c r="R66">
        <v>309050004</v>
      </c>
      <c r="T66" t="s">
        <v>7</v>
      </c>
      <c r="U66" s="3" t="str">
        <f>+VLOOKUP(Sites_per_tag[[#This Row],[Activity_tag]],Parameter!$A$24:$B$32,2,0)</f>
        <v>SMP</v>
      </c>
      <c r="W66">
        <v>47.797137999999997</v>
      </c>
      <c r="X66">
        <v>-22.608796999999999</v>
      </c>
    </row>
    <row r="67" spans="1:24" x14ac:dyDescent="0.35">
      <c r="A67" s="3" t="str">
        <f t="shared" ref="A67:A130" si="1">+R67&amp;U67</f>
        <v>309050006SMP</v>
      </c>
      <c r="B67" t="s">
        <v>6193</v>
      </c>
      <c r="C67">
        <f>+VLOOKUP(Sites_per_tag[[#This Row],[Field_office]],Parameter!$A$3:$B$11,2,0)</f>
        <v>4</v>
      </c>
      <c r="E67" t="s">
        <v>5658</v>
      </c>
      <c r="F67" t="s">
        <v>5659</v>
      </c>
      <c r="H67" t="str">
        <f ca="1">PROPER(Sites_per_tag[[#This Row],[Adm2Name]])</f>
        <v>Farafangana</v>
      </c>
      <c r="I67" t="s">
        <v>5694</v>
      </c>
      <c r="K67" t="s">
        <v>582</v>
      </c>
      <c r="L67" t="s">
        <v>5768</v>
      </c>
      <c r="Q67" t="s">
        <v>582</v>
      </c>
      <c r="R67">
        <v>309050006</v>
      </c>
      <c r="T67" t="s">
        <v>7</v>
      </c>
      <c r="U67" s="3" t="str">
        <f>+VLOOKUP(Sites_per_tag[[#This Row],[Activity_tag]],Parameter!$A$24:$B$32,2,0)</f>
        <v>SMP</v>
      </c>
      <c r="W67">
        <v>47.791266</v>
      </c>
      <c r="X67">
        <v>-22.489433999999999</v>
      </c>
    </row>
    <row r="68" spans="1:24" x14ac:dyDescent="0.35">
      <c r="A68" s="3" t="str">
        <f t="shared" si="1"/>
        <v>309050007SMP</v>
      </c>
      <c r="B68" t="s">
        <v>6193</v>
      </c>
      <c r="C68">
        <f>+VLOOKUP(Sites_per_tag[[#This Row],[Field_office]],Parameter!$A$3:$B$11,2,0)</f>
        <v>4</v>
      </c>
      <c r="E68" t="s">
        <v>5658</v>
      </c>
      <c r="F68" t="s">
        <v>5659</v>
      </c>
      <c r="H68" t="str">
        <f ca="1">PROPER(Sites_per_tag[[#This Row],[Adm2Name]])</f>
        <v>Farafangana</v>
      </c>
      <c r="I68" t="s">
        <v>5694</v>
      </c>
      <c r="K68" t="s">
        <v>582</v>
      </c>
      <c r="L68" t="s">
        <v>5768</v>
      </c>
      <c r="Q68" t="s">
        <v>598</v>
      </c>
      <c r="R68">
        <v>309050007</v>
      </c>
      <c r="T68" t="s">
        <v>7</v>
      </c>
      <c r="U68" s="3" t="str">
        <f>+VLOOKUP(Sites_per_tag[[#This Row],[Activity_tag]],Parameter!$A$24:$B$32,2,0)</f>
        <v>SMP</v>
      </c>
      <c r="W68">
        <v>47.800392000000002</v>
      </c>
      <c r="X68">
        <v>-22.454122999999999</v>
      </c>
    </row>
    <row r="69" spans="1:24" x14ac:dyDescent="0.35">
      <c r="A69" s="3" t="str">
        <f t="shared" si="1"/>
        <v>309050011SMP</v>
      </c>
      <c r="B69" t="s">
        <v>6193</v>
      </c>
      <c r="C69">
        <f>+VLOOKUP(Sites_per_tag[[#This Row],[Field_office]],Parameter!$A$3:$B$11,2,0)</f>
        <v>4</v>
      </c>
      <c r="E69" t="s">
        <v>5658</v>
      </c>
      <c r="F69" t="s">
        <v>5659</v>
      </c>
      <c r="H69" t="str">
        <f ca="1">PROPER(Sites_per_tag[[#This Row],[Adm2Name]])</f>
        <v>Farafangana</v>
      </c>
      <c r="I69" t="s">
        <v>5694</v>
      </c>
      <c r="K69" t="s">
        <v>582</v>
      </c>
      <c r="L69" t="s">
        <v>5768</v>
      </c>
      <c r="Q69" t="s">
        <v>3830</v>
      </c>
      <c r="R69">
        <v>309050011</v>
      </c>
      <c r="T69" t="s">
        <v>7</v>
      </c>
      <c r="U69" s="3" t="str">
        <f>+VLOOKUP(Sites_per_tag[[#This Row],[Activity_tag]],Parameter!$A$24:$B$32,2,0)</f>
        <v>SMP</v>
      </c>
      <c r="W69">
        <v>47.797047999999997</v>
      </c>
      <c r="X69">
        <v>-22.580127999999998</v>
      </c>
    </row>
    <row r="70" spans="1:24" x14ac:dyDescent="0.35">
      <c r="A70" s="3" t="str">
        <f t="shared" si="1"/>
        <v>309070002SMP</v>
      </c>
      <c r="B70" t="s">
        <v>6193</v>
      </c>
      <c r="C70">
        <f>+VLOOKUP(Sites_per_tag[[#This Row],[Field_office]],Parameter!$A$3:$B$11,2,0)</f>
        <v>4</v>
      </c>
      <c r="E70" t="s">
        <v>5658</v>
      </c>
      <c r="F70" t="s">
        <v>5659</v>
      </c>
      <c r="H70" t="str">
        <f ca="1">PROPER(Sites_per_tag[[#This Row],[Adm2Name]])</f>
        <v>Farafangana</v>
      </c>
      <c r="I70" t="s">
        <v>5694</v>
      </c>
      <c r="K70" t="s">
        <v>5848</v>
      </c>
      <c r="L70" t="s">
        <v>5849</v>
      </c>
      <c r="Q70" t="s">
        <v>135</v>
      </c>
      <c r="R70">
        <v>309070002</v>
      </c>
      <c r="T70" t="s">
        <v>7</v>
      </c>
      <c r="U70" s="3" t="str">
        <f>+VLOOKUP(Sites_per_tag[[#This Row],[Activity_tag]],Parameter!$A$24:$B$32,2,0)</f>
        <v>SMP</v>
      </c>
      <c r="W70">
        <v>47.789386999999998</v>
      </c>
      <c r="X70">
        <v>-22.76857</v>
      </c>
    </row>
    <row r="71" spans="1:24" x14ac:dyDescent="0.35">
      <c r="A71" s="3" t="str">
        <f t="shared" si="1"/>
        <v>309070007SMP</v>
      </c>
      <c r="B71" t="s">
        <v>6193</v>
      </c>
      <c r="C71">
        <f>+VLOOKUP(Sites_per_tag[[#This Row],[Field_office]],Parameter!$A$3:$B$11,2,0)</f>
        <v>4</v>
      </c>
      <c r="E71" t="s">
        <v>5658</v>
      </c>
      <c r="F71" t="s">
        <v>5659</v>
      </c>
      <c r="H71" t="str">
        <f ca="1">PROPER(Sites_per_tag[[#This Row],[Adm2Name]])</f>
        <v>Farafangana</v>
      </c>
      <c r="I71" t="s">
        <v>5694</v>
      </c>
      <c r="K71" t="s">
        <v>5848</v>
      </c>
      <c r="L71" t="s">
        <v>5849</v>
      </c>
      <c r="Q71" t="s">
        <v>2331</v>
      </c>
      <c r="R71">
        <v>309070007</v>
      </c>
      <c r="T71" t="s">
        <v>7</v>
      </c>
      <c r="U71" s="3" t="str">
        <f>+VLOOKUP(Sites_per_tag[[#This Row],[Activity_tag]],Parameter!$A$24:$B$32,2,0)</f>
        <v>SMP</v>
      </c>
      <c r="W71">
        <v>47.812702999999999</v>
      </c>
      <c r="X71">
        <v>-22.778089999999999</v>
      </c>
    </row>
    <row r="72" spans="1:24" x14ac:dyDescent="0.35">
      <c r="A72" s="3" t="str">
        <f t="shared" si="1"/>
        <v>309080005SMP</v>
      </c>
      <c r="B72" t="s">
        <v>6193</v>
      </c>
      <c r="C72">
        <f>+VLOOKUP(Sites_per_tag[[#This Row],[Field_office]],Parameter!$A$3:$B$11,2,0)</f>
        <v>4</v>
      </c>
      <c r="E72" t="s">
        <v>5658</v>
      </c>
      <c r="F72" t="s">
        <v>5659</v>
      </c>
      <c r="H72" t="str">
        <f ca="1">PROPER(Sites_per_tag[[#This Row],[Adm2Name]])</f>
        <v>Farafangana</v>
      </c>
      <c r="I72" t="s">
        <v>5694</v>
      </c>
      <c r="K72" t="s">
        <v>5850</v>
      </c>
      <c r="L72" t="s">
        <v>5851</v>
      </c>
      <c r="Q72" t="s">
        <v>508</v>
      </c>
      <c r="R72">
        <v>309080005</v>
      </c>
      <c r="T72" t="s">
        <v>7</v>
      </c>
      <c r="U72" s="3" t="str">
        <f>+VLOOKUP(Sites_per_tag[[#This Row],[Activity_tag]],Parameter!$A$24:$B$32,2,0)</f>
        <v>SMP</v>
      </c>
      <c r="W72">
        <v>47.854469999999999</v>
      </c>
      <c r="X72">
        <v>-22.720079999999999</v>
      </c>
    </row>
    <row r="73" spans="1:24" x14ac:dyDescent="0.35">
      <c r="A73" s="3" t="str">
        <f t="shared" si="1"/>
        <v>309080007SMP</v>
      </c>
      <c r="B73" t="s">
        <v>6193</v>
      </c>
      <c r="C73">
        <f>+VLOOKUP(Sites_per_tag[[#This Row],[Field_office]],Parameter!$A$3:$B$11,2,0)</f>
        <v>4</v>
      </c>
      <c r="E73" t="s">
        <v>6198</v>
      </c>
      <c r="F73" t="s">
        <v>5659</v>
      </c>
      <c r="H73" t="str">
        <f ca="1">PROPER(Sites_per_tag[[#This Row],[Adm2Name]])</f>
        <v>Farafangana</v>
      </c>
      <c r="I73" t="s">
        <v>5694</v>
      </c>
      <c r="K73" t="s">
        <v>129</v>
      </c>
      <c r="L73" t="s">
        <v>5670</v>
      </c>
      <c r="Q73" t="s">
        <v>1190</v>
      </c>
      <c r="R73">
        <v>309080007</v>
      </c>
      <c r="T73" t="s">
        <v>7</v>
      </c>
      <c r="U73" s="3" t="str">
        <f>+VLOOKUP(Sites_per_tag[[#This Row],[Activity_tag]],Parameter!$A$24:$B$32,2,0)</f>
        <v>SMP</v>
      </c>
      <c r="W73">
        <v>47.568080000000002</v>
      </c>
      <c r="X73">
        <v>-22.65343</v>
      </c>
    </row>
    <row r="74" spans="1:24" x14ac:dyDescent="0.35">
      <c r="A74" s="3" t="str">
        <f t="shared" si="1"/>
        <v>309080013SMP</v>
      </c>
      <c r="B74" t="s">
        <v>6193</v>
      </c>
      <c r="C74">
        <f>+VLOOKUP(Sites_per_tag[[#This Row],[Field_office]],Parameter!$A$3:$B$11,2,0)</f>
        <v>4</v>
      </c>
      <c r="E74" t="s">
        <v>5658</v>
      </c>
      <c r="F74" t="s">
        <v>5659</v>
      </c>
      <c r="H74" t="str">
        <f ca="1">PROPER(Sites_per_tag[[#This Row],[Adm2Name]])</f>
        <v>Farafangana</v>
      </c>
      <c r="I74" t="s">
        <v>5694</v>
      </c>
      <c r="K74" t="s">
        <v>5850</v>
      </c>
      <c r="L74" t="s">
        <v>5851</v>
      </c>
      <c r="Q74" t="s">
        <v>3124</v>
      </c>
      <c r="R74">
        <v>309080013</v>
      </c>
      <c r="T74" t="s">
        <v>7</v>
      </c>
      <c r="U74" s="3" t="str">
        <f>+VLOOKUP(Sites_per_tag[[#This Row],[Activity_tag]],Parameter!$A$24:$B$32,2,0)</f>
        <v>SMP</v>
      </c>
      <c r="W74">
        <v>47.791383000000003</v>
      </c>
      <c r="X74">
        <v>-22.739491000000001</v>
      </c>
    </row>
    <row r="75" spans="1:24" x14ac:dyDescent="0.35">
      <c r="A75" s="3" t="str">
        <f t="shared" si="1"/>
        <v>309080014SMP</v>
      </c>
      <c r="B75" t="s">
        <v>6193</v>
      </c>
      <c r="C75">
        <f>+VLOOKUP(Sites_per_tag[[#This Row],[Field_office]],Parameter!$A$3:$B$11,2,0)</f>
        <v>4</v>
      </c>
      <c r="E75" t="s">
        <v>5658</v>
      </c>
      <c r="F75" t="s">
        <v>5659</v>
      </c>
      <c r="H75" t="str">
        <f ca="1">PROPER(Sites_per_tag[[#This Row],[Adm2Name]])</f>
        <v>Farafangana</v>
      </c>
      <c r="I75" t="s">
        <v>5694</v>
      </c>
      <c r="K75" t="s">
        <v>5850</v>
      </c>
      <c r="L75" t="s">
        <v>5851</v>
      </c>
      <c r="Q75" t="s">
        <v>3354</v>
      </c>
      <c r="R75">
        <v>309080014</v>
      </c>
      <c r="T75" t="s">
        <v>7</v>
      </c>
      <c r="U75" s="3" t="str">
        <f>+VLOOKUP(Sites_per_tag[[#This Row],[Activity_tag]],Parameter!$A$24:$B$32,2,0)</f>
        <v>SMP</v>
      </c>
      <c r="W75">
        <v>47.797711</v>
      </c>
      <c r="X75">
        <v>-22.725954999999999</v>
      </c>
    </row>
    <row r="76" spans="1:24" x14ac:dyDescent="0.35">
      <c r="A76" s="3" t="str">
        <f t="shared" si="1"/>
        <v>309100012SMP</v>
      </c>
      <c r="B76" t="s">
        <v>6193</v>
      </c>
      <c r="C76">
        <f>+VLOOKUP(Sites_per_tag[[#This Row],[Field_office]],Parameter!$A$3:$B$11,2,0)</f>
        <v>4</v>
      </c>
      <c r="E76" t="s">
        <v>5658</v>
      </c>
      <c r="F76" t="s">
        <v>5659</v>
      </c>
      <c r="H76" t="str">
        <f ca="1">PROPER(Sites_per_tag[[#This Row],[Adm2Name]])</f>
        <v>Farafangana</v>
      </c>
      <c r="I76" t="s">
        <v>5694</v>
      </c>
      <c r="K76" t="s">
        <v>5919</v>
      </c>
      <c r="L76" t="s">
        <v>5920</v>
      </c>
      <c r="Q76" t="s">
        <v>3261</v>
      </c>
      <c r="R76">
        <v>309100012</v>
      </c>
      <c r="T76" t="s">
        <v>7</v>
      </c>
      <c r="U76" s="3" t="str">
        <f>+VLOOKUP(Sites_per_tag[[#This Row],[Activity_tag]],Parameter!$A$24:$B$32,2,0)</f>
        <v>SMP</v>
      </c>
      <c r="W76">
        <v>47.6126</v>
      </c>
      <c r="X76">
        <v>-22.718350000000001</v>
      </c>
    </row>
    <row r="77" spans="1:24" x14ac:dyDescent="0.35">
      <c r="A77" s="3" t="str">
        <f t="shared" si="1"/>
        <v>309100019SMP</v>
      </c>
      <c r="B77" t="s">
        <v>6193</v>
      </c>
      <c r="C77">
        <f>+VLOOKUP(Sites_per_tag[[#This Row],[Field_office]],Parameter!$A$3:$B$11,2,0)</f>
        <v>4</v>
      </c>
      <c r="E77" t="s">
        <v>5658</v>
      </c>
      <c r="F77" t="s">
        <v>5659</v>
      </c>
      <c r="H77" t="str">
        <f ca="1">PROPER(Sites_per_tag[[#This Row],[Adm2Name]])</f>
        <v>Farafangana</v>
      </c>
      <c r="I77" t="s">
        <v>5694</v>
      </c>
      <c r="K77" t="s">
        <v>5919</v>
      </c>
      <c r="L77" t="s">
        <v>5920</v>
      </c>
      <c r="Q77" t="s">
        <v>3548</v>
      </c>
      <c r="R77">
        <v>309100019</v>
      </c>
      <c r="T77" t="s">
        <v>7</v>
      </c>
      <c r="U77" s="3" t="str">
        <f>+VLOOKUP(Sites_per_tag[[#This Row],[Activity_tag]],Parameter!$A$24:$B$32,2,0)</f>
        <v>SMP</v>
      </c>
      <c r="W77">
        <v>47.6126</v>
      </c>
      <c r="X77">
        <v>-22.718350000000001</v>
      </c>
    </row>
    <row r="78" spans="1:24" x14ac:dyDescent="0.35">
      <c r="A78" s="3" t="str">
        <f t="shared" si="1"/>
        <v>309120017SMP</v>
      </c>
      <c r="B78" t="s">
        <v>6193</v>
      </c>
      <c r="C78">
        <f>+VLOOKUP(Sites_per_tag[[#This Row],[Field_office]],Parameter!$A$3:$B$11,2,0)</f>
        <v>4</v>
      </c>
      <c r="E78" t="s">
        <v>5658</v>
      </c>
      <c r="F78" t="s">
        <v>5659</v>
      </c>
      <c r="H78" t="str">
        <f ca="1">PROPER(Sites_per_tag[[#This Row],[Adm2Name]])</f>
        <v>Farafangana</v>
      </c>
      <c r="I78" t="s">
        <v>5694</v>
      </c>
      <c r="K78" t="s">
        <v>5948</v>
      </c>
      <c r="L78" t="s">
        <v>5949</v>
      </c>
      <c r="Q78" t="s">
        <v>3420</v>
      </c>
      <c r="R78">
        <v>309120017</v>
      </c>
      <c r="T78" t="s">
        <v>7</v>
      </c>
      <c r="U78" s="3" t="str">
        <f>+VLOOKUP(Sites_per_tag[[#This Row],[Activity_tag]],Parameter!$A$24:$B$32,2,0)</f>
        <v>SMP</v>
      </c>
      <c r="W78">
        <v>47.605229999999999</v>
      </c>
      <c r="X78">
        <v>-22.8858</v>
      </c>
    </row>
    <row r="79" spans="1:24" x14ac:dyDescent="0.35">
      <c r="A79" s="3" t="str">
        <f t="shared" si="1"/>
        <v>309190004SMP</v>
      </c>
      <c r="B79" t="s">
        <v>6193</v>
      </c>
      <c r="C79">
        <f>+VLOOKUP(Sites_per_tag[[#This Row],[Field_office]],Parameter!$A$3:$B$11,2,0)</f>
        <v>4</v>
      </c>
      <c r="E79" t="s">
        <v>5658</v>
      </c>
      <c r="F79" t="s">
        <v>5659</v>
      </c>
      <c r="H79" t="str">
        <f ca="1">PROPER(Sites_per_tag[[#This Row],[Adm2Name]])</f>
        <v>Farafangana</v>
      </c>
      <c r="I79" t="s">
        <v>5694</v>
      </c>
      <c r="K79" t="s">
        <v>2727</v>
      </c>
      <c r="L79" t="s">
        <v>6002</v>
      </c>
      <c r="Q79" t="s">
        <v>2640</v>
      </c>
      <c r="R79">
        <v>309190004</v>
      </c>
      <c r="T79" t="s">
        <v>7</v>
      </c>
      <c r="U79" s="3" t="str">
        <f>+VLOOKUP(Sites_per_tag[[#This Row],[Activity_tag]],Parameter!$A$24:$B$32,2,0)</f>
        <v>SMP</v>
      </c>
      <c r="W79">
        <v>47.724530000000001</v>
      </c>
      <c r="X79">
        <v>-23.150300000000001</v>
      </c>
    </row>
    <row r="80" spans="1:24" x14ac:dyDescent="0.35">
      <c r="A80" s="3" t="str">
        <f t="shared" si="1"/>
        <v>309190005SMP</v>
      </c>
      <c r="B80" t="s">
        <v>6193</v>
      </c>
      <c r="C80">
        <f>+VLOOKUP(Sites_per_tag[[#This Row],[Field_office]],Parameter!$A$3:$B$11,2,0)</f>
        <v>4</v>
      </c>
      <c r="E80" t="s">
        <v>5658</v>
      </c>
      <c r="F80" t="s">
        <v>5659</v>
      </c>
      <c r="H80" t="str">
        <f ca="1">PROPER(Sites_per_tag[[#This Row],[Adm2Name]])</f>
        <v>Farafangana</v>
      </c>
      <c r="I80" t="s">
        <v>5694</v>
      </c>
      <c r="K80" t="s">
        <v>2727</v>
      </c>
      <c r="L80" t="s">
        <v>6002</v>
      </c>
      <c r="Q80" t="s">
        <v>2703</v>
      </c>
      <c r="R80">
        <v>309190005</v>
      </c>
      <c r="T80" t="s">
        <v>7</v>
      </c>
      <c r="U80" s="3" t="str">
        <f>+VLOOKUP(Sites_per_tag[[#This Row],[Activity_tag]],Parameter!$A$24:$B$32,2,0)</f>
        <v>SMP</v>
      </c>
      <c r="W80">
        <v>47.707331000000003</v>
      </c>
      <c r="X80">
        <v>-23.123218999999999</v>
      </c>
    </row>
    <row r="81" spans="1:24" x14ac:dyDescent="0.35">
      <c r="A81" s="3" t="str">
        <f t="shared" si="1"/>
        <v>309190006SMP</v>
      </c>
      <c r="B81" t="s">
        <v>6193</v>
      </c>
      <c r="C81">
        <f>+VLOOKUP(Sites_per_tag[[#This Row],[Field_office]],Parameter!$A$3:$B$11,2,0)</f>
        <v>4</v>
      </c>
      <c r="E81" t="s">
        <v>5658</v>
      </c>
      <c r="F81" t="s">
        <v>5659</v>
      </c>
      <c r="H81" t="str">
        <f ca="1">PROPER(Sites_per_tag[[#This Row],[Adm2Name]])</f>
        <v>Farafangana</v>
      </c>
      <c r="I81" t="s">
        <v>5694</v>
      </c>
      <c r="K81" t="s">
        <v>2727</v>
      </c>
      <c r="L81" t="s">
        <v>6002</v>
      </c>
      <c r="Q81" t="s">
        <v>2716</v>
      </c>
      <c r="R81">
        <v>309190006</v>
      </c>
      <c r="T81" t="s">
        <v>7</v>
      </c>
      <c r="U81" s="3" t="str">
        <f>+VLOOKUP(Sites_per_tag[[#This Row],[Activity_tag]],Parameter!$A$24:$B$32,2,0)</f>
        <v>SMP</v>
      </c>
      <c r="W81">
        <v>47.702601000000001</v>
      </c>
      <c r="X81">
        <v>-23.150392</v>
      </c>
    </row>
    <row r="82" spans="1:24" x14ac:dyDescent="0.35">
      <c r="A82" s="3" t="str">
        <f t="shared" si="1"/>
        <v>309190007SMP</v>
      </c>
      <c r="B82" t="s">
        <v>6193</v>
      </c>
      <c r="C82">
        <f>+VLOOKUP(Sites_per_tag[[#This Row],[Field_office]],Parameter!$A$3:$B$11,2,0)</f>
        <v>4</v>
      </c>
      <c r="E82" t="s">
        <v>5658</v>
      </c>
      <c r="F82" t="s">
        <v>5659</v>
      </c>
      <c r="H82" t="str">
        <f ca="1">PROPER(Sites_per_tag[[#This Row],[Adm2Name]])</f>
        <v>Farafangana</v>
      </c>
      <c r="I82" t="s">
        <v>5694</v>
      </c>
      <c r="K82" t="s">
        <v>2727</v>
      </c>
      <c r="L82" t="s">
        <v>6002</v>
      </c>
      <c r="Q82" t="s">
        <v>2726</v>
      </c>
      <c r="R82">
        <v>309190007</v>
      </c>
      <c r="T82" t="s">
        <v>7</v>
      </c>
      <c r="U82" s="3" t="str">
        <f>+VLOOKUP(Sites_per_tag[[#This Row],[Activity_tag]],Parameter!$A$24:$B$32,2,0)</f>
        <v>SMP</v>
      </c>
      <c r="W82">
        <v>47.681635</v>
      </c>
      <c r="X82">
        <v>-23.186195000000001</v>
      </c>
    </row>
    <row r="83" spans="1:24" x14ac:dyDescent="0.35">
      <c r="A83" s="3" t="str">
        <f t="shared" si="1"/>
        <v>309230002SMP</v>
      </c>
      <c r="B83" t="s">
        <v>6193</v>
      </c>
      <c r="C83">
        <f>+VLOOKUP(Sites_per_tag[[#This Row],[Field_office]],Parameter!$A$3:$B$11,2,0)</f>
        <v>4</v>
      </c>
      <c r="E83" t="s">
        <v>5658</v>
      </c>
      <c r="F83" t="s">
        <v>5659</v>
      </c>
      <c r="H83" t="str">
        <f ca="1">PROPER(Sites_per_tag[[#This Row],[Adm2Name]])</f>
        <v>Farafangana</v>
      </c>
      <c r="I83" t="s">
        <v>5694</v>
      </c>
      <c r="K83" t="s">
        <v>6021</v>
      </c>
      <c r="L83" t="s">
        <v>6022</v>
      </c>
      <c r="Q83" t="s">
        <v>821</v>
      </c>
      <c r="R83">
        <v>309230002</v>
      </c>
      <c r="T83" t="s">
        <v>7</v>
      </c>
      <c r="U83" s="3" t="str">
        <f>+VLOOKUP(Sites_per_tag[[#This Row],[Activity_tag]],Parameter!$A$24:$B$32,2,0)</f>
        <v>SMP</v>
      </c>
      <c r="W83">
        <v>47.798729999999999</v>
      </c>
      <c r="X83">
        <v>-22.883572000000001</v>
      </c>
    </row>
    <row r="84" spans="1:24" x14ac:dyDescent="0.35">
      <c r="A84" s="3" t="str">
        <f t="shared" si="1"/>
        <v>309230003SMP</v>
      </c>
      <c r="B84" t="s">
        <v>6193</v>
      </c>
      <c r="C84">
        <f>+VLOOKUP(Sites_per_tag[[#This Row],[Field_office]],Parameter!$A$3:$B$11,2,0)</f>
        <v>4</v>
      </c>
      <c r="E84" t="s">
        <v>5658</v>
      </c>
      <c r="F84" t="s">
        <v>5659</v>
      </c>
      <c r="H84" t="str">
        <f ca="1">PROPER(Sites_per_tag[[#This Row],[Adm2Name]])</f>
        <v>Farafangana</v>
      </c>
      <c r="I84" t="s">
        <v>5694</v>
      </c>
      <c r="K84" t="s">
        <v>6021</v>
      </c>
      <c r="L84" t="s">
        <v>6022</v>
      </c>
      <c r="Q84" t="s">
        <v>1826</v>
      </c>
      <c r="R84">
        <v>309230003</v>
      </c>
      <c r="T84" t="s">
        <v>7</v>
      </c>
      <c r="U84" s="3" t="str">
        <f>+VLOOKUP(Sites_per_tag[[#This Row],[Activity_tag]],Parameter!$A$24:$B$32,2,0)</f>
        <v>SMP</v>
      </c>
      <c r="W84">
        <v>47.834619000000004</v>
      </c>
      <c r="X84">
        <v>-22.822106999999999</v>
      </c>
    </row>
    <row r="85" spans="1:24" x14ac:dyDescent="0.35">
      <c r="A85" s="3" t="str">
        <f t="shared" si="1"/>
        <v>309230005SMP</v>
      </c>
      <c r="B85" t="s">
        <v>6193</v>
      </c>
      <c r="C85">
        <f>+VLOOKUP(Sites_per_tag[[#This Row],[Field_office]],Parameter!$A$3:$B$11,2,0)</f>
        <v>4</v>
      </c>
      <c r="E85" t="s">
        <v>5658</v>
      </c>
      <c r="F85" t="s">
        <v>5659</v>
      </c>
      <c r="H85" t="str">
        <f ca="1">PROPER(Sites_per_tag[[#This Row],[Adm2Name]])</f>
        <v>Farafangana</v>
      </c>
      <c r="I85" t="s">
        <v>5694</v>
      </c>
      <c r="K85" t="s">
        <v>6021</v>
      </c>
      <c r="L85" t="s">
        <v>6022</v>
      </c>
      <c r="Q85" t="s">
        <v>3061</v>
      </c>
      <c r="R85">
        <v>309230005</v>
      </c>
      <c r="T85" t="s">
        <v>7</v>
      </c>
      <c r="U85" s="3" t="str">
        <f>+VLOOKUP(Sites_per_tag[[#This Row],[Activity_tag]],Parameter!$A$24:$B$32,2,0)</f>
        <v>SMP</v>
      </c>
      <c r="W85">
        <v>47.753045999999998</v>
      </c>
      <c r="X85">
        <v>-22.972256000000002</v>
      </c>
    </row>
    <row r="86" spans="1:24" x14ac:dyDescent="0.35">
      <c r="A86" s="3" t="str">
        <f t="shared" si="1"/>
        <v>309260015SMP</v>
      </c>
      <c r="B86" t="s">
        <v>6193</v>
      </c>
      <c r="C86">
        <f>+VLOOKUP(Sites_per_tag[[#This Row],[Field_office]],Parameter!$A$3:$B$11,2,0)</f>
        <v>4</v>
      </c>
      <c r="E86" t="s">
        <v>6198</v>
      </c>
      <c r="F86" t="s">
        <v>5659</v>
      </c>
      <c r="H86" t="str">
        <f ca="1">PROPER(Sites_per_tag[[#This Row],[Adm2Name]])</f>
        <v>Farafangana</v>
      </c>
      <c r="I86" t="s">
        <v>5694</v>
      </c>
      <c r="K86" t="s">
        <v>129</v>
      </c>
      <c r="L86" t="s">
        <v>5670</v>
      </c>
      <c r="Q86" t="s">
        <v>3260</v>
      </c>
      <c r="R86">
        <v>309260015</v>
      </c>
      <c r="T86" t="s">
        <v>7</v>
      </c>
      <c r="U86" s="3" t="str">
        <f>+VLOOKUP(Sites_per_tag[[#This Row],[Activity_tag]],Parameter!$A$24:$B$32,2,0)</f>
        <v>SMP</v>
      </c>
      <c r="W86">
        <v>47.474229999999999</v>
      </c>
      <c r="X86">
        <v>-22.658770000000001</v>
      </c>
    </row>
    <row r="87" spans="1:24" x14ac:dyDescent="0.35">
      <c r="A87" s="3" t="str">
        <f t="shared" si="1"/>
        <v>309280006SMP</v>
      </c>
      <c r="B87" t="s">
        <v>6193</v>
      </c>
      <c r="C87">
        <f>+VLOOKUP(Sites_per_tag[[#This Row],[Field_office]],Parameter!$A$3:$B$11,2,0)</f>
        <v>4</v>
      </c>
      <c r="E87" t="s">
        <v>5658</v>
      </c>
      <c r="F87" t="s">
        <v>5659</v>
      </c>
      <c r="H87" t="str">
        <f ca="1">PROPER(Sites_per_tag[[#This Row],[Adm2Name]])</f>
        <v>Farafangana</v>
      </c>
      <c r="I87" t="s">
        <v>5694</v>
      </c>
      <c r="K87" t="s">
        <v>3901</v>
      </c>
      <c r="L87" t="s">
        <v>6162</v>
      </c>
      <c r="Q87" t="s">
        <v>405</v>
      </c>
      <c r="R87">
        <v>309280006</v>
      </c>
      <c r="T87" t="s">
        <v>7</v>
      </c>
      <c r="U87" s="3" t="str">
        <f>+VLOOKUP(Sites_per_tag[[#This Row],[Activity_tag]],Parameter!$A$24:$B$32,2,0)</f>
        <v>SMP</v>
      </c>
      <c r="W87">
        <v>47.724679999999999</v>
      </c>
      <c r="X87">
        <v>-22.547270000000001</v>
      </c>
    </row>
    <row r="88" spans="1:24" x14ac:dyDescent="0.35">
      <c r="A88" s="3" t="str">
        <f t="shared" si="1"/>
        <v>309290005SMP</v>
      </c>
      <c r="B88" t="s">
        <v>6193</v>
      </c>
      <c r="C88">
        <f>+VLOOKUP(Sites_per_tag[[#This Row],[Field_office]],Parameter!$A$3:$B$11,2,0)</f>
        <v>4</v>
      </c>
      <c r="E88" t="s">
        <v>5658</v>
      </c>
      <c r="F88" t="s">
        <v>5659</v>
      </c>
      <c r="H88" t="str">
        <f ca="1">PROPER(Sites_per_tag[[#This Row],[Adm2Name]])</f>
        <v>Farafangana</v>
      </c>
      <c r="I88" t="s">
        <v>5694</v>
      </c>
      <c r="K88" t="s">
        <v>3917</v>
      </c>
      <c r="L88" t="s">
        <v>6167</v>
      </c>
      <c r="Q88" t="s">
        <v>3719</v>
      </c>
      <c r="R88">
        <v>309290005</v>
      </c>
      <c r="T88" t="s">
        <v>7</v>
      </c>
      <c r="U88" s="3" t="str">
        <f>+VLOOKUP(Sites_per_tag[[#This Row],[Activity_tag]],Parameter!$A$24:$B$32,2,0)</f>
        <v>SMP</v>
      </c>
      <c r="W88">
        <v>47.706783000000001</v>
      </c>
      <c r="X88">
        <v>-22.807200999999999</v>
      </c>
    </row>
    <row r="89" spans="1:24" x14ac:dyDescent="0.35">
      <c r="A89" s="3" t="str">
        <f t="shared" si="1"/>
        <v>309290007SMP</v>
      </c>
      <c r="B89" t="s">
        <v>6193</v>
      </c>
      <c r="C89">
        <f>+VLOOKUP(Sites_per_tag[[#This Row],[Field_office]],Parameter!$A$3:$B$11,2,0)</f>
        <v>4</v>
      </c>
      <c r="E89" t="s">
        <v>5658</v>
      </c>
      <c r="F89" t="s">
        <v>5659</v>
      </c>
      <c r="H89" t="str">
        <f ca="1">PROPER(Sites_per_tag[[#This Row],[Adm2Name]])</f>
        <v>Farafangana</v>
      </c>
      <c r="I89" t="s">
        <v>5694</v>
      </c>
      <c r="K89" t="s">
        <v>3917</v>
      </c>
      <c r="L89" t="s">
        <v>6167</v>
      </c>
      <c r="Q89" t="s">
        <v>3917</v>
      </c>
      <c r="R89">
        <v>309290007</v>
      </c>
      <c r="T89" t="s">
        <v>7</v>
      </c>
      <c r="U89" s="3" t="str">
        <f>+VLOOKUP(Sites_per_tag[[#This Row],[Activity_tag]],Parameter!$A$24:$B$32,2,0)</f>
        <v>SMP</v>
      </c>
      <c r="W89">
        <v>47.737797</v>
      </c>
      <c r="X89">
        <v>-22.822375999999998</v>
      </c>
    </row>
    <row r="90" spans="1:24" x14ac:dyDescent="0.35">
      <c r="A90" s="3" t="str">
        <f t="shared" si="1"/>
        <v>309290008SMP</v>
      </c>
      <c r="B90" t="s">
        <v>6193</v>
      </c>
      <c r="C90">
        <f>+VLOOKUP(Sites_per_tag[[#This Row],[Field_office]],Parameter!$A$3:$B$11,2,0)</f>
        <v>4</v>
      </c>
      <c r="E90" t="s">
        <v>5658</v>
      </c>
      <c r="F90" t="s">
        <v>5659</v>
      </c>
      <c r="H90" t="str">
        <f ca="1">PROPER(Sites_per_tag[[#This Row],[Adm2Name]])</f>
        <v>Farafangana</v>
      </c>
      <c r="I90" t="s">
        <v>5694</v>
      </c>
      <c r="K90" t="s">
        <v>3917</v>
      </c>
      <c r="L90" t="s">
        <v>6167</v>
      </c>
      <c r="Q90" t="s">
        <v>1446</v>
      </c>
      <c r="R90">
        <v>309290008</v>
      </c>
      <c r="T90" t="s">
        <v>7</v>
      </c>
      <c r="U90" s="3" t="str">
        <f>+VLOOKUP(Sites_per_tag[[#This Row],[Activity_tag]],Parameter!$A$24:$B$32,2,0)</f>
        <v>SMP</v>
      </c>
      <c r="W90">
        <v>47.769308000000002</v>
      </c>
      <c r="X90">
        <v>-22.809833000000001</v>
      </c>
    </row>
    <row r="91" spans="1:24" x14ac:dyDescent="0.35">
      <c r="A91" s="3" t="str">
        <f t="shared" si="1"/>
        <v>309300004SMP</v>
      </c>
      <c r="B91" t="s">
        <v>6193</v>
      </c>
      <c r="C91">
        <f>+VLOOKUP(Sites_per_tag[[#This Row],[Field_office]],Parameter!$A$3:$B$11,2,0)</f>
        <v>4</v>
      </c>
      <c r="E91" t="s">
        <v>5658</v>
      </c>
      <c r="F91" t="s">
        <v>5659</v>
      </c>
      <c r="H91" t="str">
        <f ca="1">PROPER(Sites_per_tag[[#This Row],[Adm2Name]])</f>
        <v>Farafangana</v>
      </c>
      <c r="I91" t="s">
        <v>5694</v>
      </c>
      <c r="K91" t="s">
        <v>3958</v>
      </c>
      <c r="L91" t="s">
        <v>6171</v>
      </c>
      <c r="Q91" t="s">
        <v>2527</v>
      </c>
      <c r="R91">
        <v>309300004</v>
      </c>
      <c r="T91" t="s">
        <v>7</v>
      </c>
      <c r="U91" s="3" t="str">
        <f>+VLOOKUP(Sites_per_tag[[#This Row],[Activity_tag]],Parameter!$A$24:$B$32,2,0)</f>
        <v>SMP</v>
      </c>
      <c r="W91">
        <v>47.787345999999999</v>
      </c>
      <c r="X91">
        <v>-22.858975000000001</v>
      </c>
    </row>
    <row r="92" spans="1:24" x14ac:dyDescent="0.35">
      <c r="A92" s="3" t="str">
        <f t="shared" si="1"/>
        <v>309300005SMP</v>
      </c>
      <c r="B92" t="s">
        <v>6193</v>
      </c>
      <c r="C92">
        <f>+VLOOKUP(Sites_per_tag[[#This Row],[Field_office]],Parameter!$A$3:$B$11,2,0)</f>
        <v>4</v>
      </c>
      <c r="E92" t="s">
        <v>5658</v>
      </c>
      <c r="F92" t="s">
        <v>5659</v>
      </c>
      <c r="H92" t="str">
        <f ca="1">PROPER(Sites_per_tag[[#This Row],[Adm2Name]])</f>
        <v>Farafangana</v>
      </c>
      <c r="I92" t="s">
        <v>5694</v>
      </c>
      <c r="K92" t="s">
        <v>3958</v>
      </c>
      <c r="L92" t="s">
        <v>6171</v>
      </c>
      <c r="Q92" t="s">
        <v>2725</v>
      </c>
      <c r="R92">
        <v>309300005</v>
      </c>
      <c r="T92" t="s">
        <v>7</v>
      </c>
      <c r="U92" s="3" t="str">
        <f>+VLOOKUP(Sites_per_tag[[#This Row],[Activity_tag]],Parameter!$A$24:$B$32,2,0)</f>
        <v>SMP</v>
      </c>
      <c r="W92">
        <v>47.809137</v>
      </c>
      <c r="X92">
        <v>-22.837531999999999</v>
      </c>
    </row>
    <row r="93" spans="1:24" x14ac:dyDescent="0.35">
      <c r="A93" s="3" t="str">
        <f t="shared" si="1"/>
        <v>309300006SMP</v>
      </c>
      <c r="B93" t="s">
        <v>6193</v>
      </c>
      <c r="C93">
        <f>+VLOOKUP(Sites_per_tag[[#This Row],[Field_office]],Parameter!$A$3:$B$11,2,0)</f>
        <v>4</v>
      </c>
      <c r="E93" t="s">
        <v>5658</v>
      </c>
      <c r="F93" t="s">
        <v>5659</v>
      </c>
      <c r="H93" t="str">
        <f ca="1">PROPER(Sites_per_tag[[#This Row],[Adm2Name]])</f>
        <v>Farafangana</v>
      </c>
      <c r="I93" t="s">
        <v>5694</v>
      </c>
      <c r="K93" t="s">
        <v>3958</v>
      </c>
      <c r="L93" t="s">
        <v>6171</v>
      </c>
      <c r="Q93" t="s">
        <v>3897</v>
      </c>
      <c r="R93">
        <v>309300006</v>
      </c>
      <c r="T93" t="s">
        <v>7</v>
      </c>
      <c r="U93" s="3" t="str">
        <f>+VLOOKUP(Sites_per_tag[[#This Row],[Activity_tag]],Parameter!$A$24:$B$32,2,0)</f>
        <v>SMP</v>
      </c>
      <c r="W93">
        <v>47.780023</v>
      </c>
      <c r="X93">
        <v>-22.868925000000001</v>
      </c>
    </row>
    <row r="94" spans="1:24" x14ac:dyDescent="0.35">
      <c r="A94" s="3" t="str">
        <f t="shared" si="1"/>
        <v>309330001SMP</v>
      </c>
      <c r="B94" t="s">
        <v>6193</v>
      </c>
      <c r="C94">
        <f>+VLOOKUP(Sites_per_tag[[#This Row],[Field_office]],Parameter!$A$3:$B$11,2,0)</f>
        <v>4</v>
      </c>
      <c r="E94" t="s">
        <v>5658</v>
      </c>
      <c r="F94" t="s">
        <v>5659</v>
      </c>
      <c r="H94" t="str">
        <f ca="1">PROPER(Sites_per_tag[[#This Row],[Adm2Name]])</f>
        <v>Farafangana</v>
      </c>
      <c r="I94" t="s">
        <v>5694</v>
      </c>
      <c r="K94" t="s">
        <v>6079</v>
      </c>
      <c r="L94" t="s">
        <v>6080</v>
      </c>
      <c r="Q94" t="s">
        <v>217</v>
      </c>
      <c r="R94">
        <v>309330001</v>
      </c>
      <c r="T94" t="s">
        <v>7</v>
      </c>
      <c r="U94" s="3" t="str">
        <f>+VLOOKUP(Sites_per_tag[[#This Row],[Activity_tag]],Parameter!$A$24:$B$32,2,0)</f>
        <v>SMP</v>
      </c>
      <c r="W94">
        <v>47.646120000000003</v>
      </c>
      <c r="X94">
        <v>-22.638719999999999</v>
      </c>
    </row>
    <row r="95" spans="1:24" x14ac:dyDescent="0.35">
      <c r="A95" s="3" t="str">
        <f t="shared" si="1"/>
        <v>309330009SMP</v>
      </c>
      <c r="B95" t="s">
        <v>6193</v>
      </c>
      <c r="C95">
        <f>+VLOOKUP(Sites_per_tag[[#This Row],[Field_office]],Parameter!$A$3:$B$11,2,0)</f>
        <v>4</v>
      </c>
      <c r="E95" t="s">
        <v>5658</v>
      </c>
      <c r="F95" t="s">
        <v>5659</v>
      </c>
      <c r="H95" t="str">
        <f ca="1">PROPER(Sites_per_tag[[#This Row],[Adm2Name]])</f>
        <v>Farafangana</v>
      </c>
      <c r="I95" t="s">
        <v>5694</v>
      </c>
      <c r="K95" t="s">
        <v>6079</v>
      </c>
      <c r="L95" t="s">
        <v>6080</v>
      </c>
      <c r="Q95" t="s">
        <v>6199</v>
      </c>
      <c r="R95">
        <v>309330009</v>
      </c>
      <c r="T95" t="s">
        <v>7</v>
      </c>
      <c r="U95" s="3" t="str">
        <f>+VLOOKUP(Sites_per_tag[[#This Row],[Activity_tag]],Parameter!$A$24:$B$32,2,0)</f>
        <v>SMP</v>
      </c>
      <c r="W95">
        <v>47.646120000000003</v>
      </c>
      <c r="X95">
        <v>-22.638719999999999</v>
      </c>
    </row>
    <row r="96" spans="1:24" x14ac:dyDescent="0.35">
      <c r="A96" s="3" t="str">
        <f t="shared" si="1"/>
        <v>316050012SMP</v>
      </c>
      <c r="B96" t="s">
        <v>6193</v>
      </c>
      <c r="C96">
        <f>+VLOOKUP(Sites_per_tag[[#This Row],[Field_office]],Parameter!$A$3:$B$11,2,0)</f>
        <v>4</v>
      </c>
      <c r="E96" t="s">
        <v>5678</v>
      </c>
      <c r="F96" t="s">
        <v>5679</v>
      </c>
      <c r="H96" t="str">
        <f ca="1">PROPER(Sites_per_tag[[#This Row],[Adm2Name]])</f>
        <v>Manakara Atsimo</v>
      </c>
      <c r="I96" t="s">
        <v>5701</v>
      </c>
      <c r="K96" t="s">
        <v>299</v>
      </c>
      <c r="L96" t="s">
        <v>5704</v>
      </c>
      <c r="Q96" t="s">
        <v>947</v>
      </c>
      <c r="R96">
        <v>316050012</v>
      </c>
      <c r="T96" t="s">
        <v>7</v>
      </c>
      <c r="U96" s="3" t="str">
        <f>+VLOOKUP(Sites_per_tag[[#This Row],[Activity_tag]],Parameter!$A$24:$B$32,2,0)</f>
        <v>SMP</v>
      </c>
      <c r="W96">
        <v>47.968691999999997</v>
      </c>
      <c r="X96">
        <v>-21.936368999999999</v>
      </c>
    </row>
    <row r="97" spans="1:24" x14ac:dyDescent="0.35">
      <c r="A97" s="3" t="str">
        <f t="shared" si="1"/>
        <v>316050022SMP</v>
      </c>
      <c r="B97" t="s">
        <v>6193</v>
      </c>
      <c r="C97">
        <f>+VLOOKUP(Sites_per_tag[[#This Row],[Field_office]],Parameter!$A$3:$B$11,2,0)</f>
        <v>4</v>
      </c>
      <c r="E97" t="s">
        <v>5678</v>
      </c>
      <c r="F97" t="s">
        <v>5679</v>
      </c>
      <c r="H97" t="str">
        <f ca="1">PROPER(Sites_per_tag[[#This Row],[Adm2Name]])</f>
        <v>Manakara Atsimo</v>
      </c>
      <c r="I97" t="s">
        <v>5701</v>
      </c>
      <c r="K97" t="s">
        <v>299</v>
      </c>
      <c r="L97" t="s">
        <v>5704</v>
      </c>
      <c r="Q97" t="s">
        <v>2378</v>
      </c>
      <c r="R97">
        <v>316050022</v>
      </c>
      <c r="T97" t="s">
        <v>7</v>
      </c>
      <c r="U97" s="3" t="str">
        <f>+VLOOKUP(Sites_per_tag[[#This Row],[Activity_tag]],Parameter!$A$24:$B$32,2,0)</f>
        <v>SMP</v>
      </c>
      <c r="W97">
        <v>47.963113999999997</v>
      </c>
      <c r="X97">
        <v>-21.698793999999999</v>
      </c>
    </row>
    <row r="98" spans="1:24" x14ac:dyDescent="0.35">
      <c r="A98" s="3" t="str">
        <f t="shared" si="1"/>
        <v>316060006SMP</v>
      </c>
      <c r="B98" t="s">
        <v>6193</v>
      </c>
      <c r="C98">
        <f>+VLOOKUP(Sites_per_tag[[#This Row],[Field_office]],Parameter!$A$3:$B$11,2,0)</f>
        <v>4</v>
      </c>
      <c r="E98" t="s">
        <v>5678</v>
      </c>
      <c r="F98" t="s">
        <v>5679</v>
      </c>
      <c r="H98" t="str">
        <f ca="1">PROPER(Sites_per_tag[[#This Row],[Adm2Name]])</f>
        <v>Manakara Atsimo</v>
      </c>
      <c r="I98" t="s">
        <v>5701</v>
      </c>
      <c r="K98" t="s">
        <v>5710</v>
      </c>
      <c r="L98" t="s">
        <v>5711</v>
      </c>
      <c r="Q98" t="s">
        <v>1151</v>
      </c>
      <c r="R98">
        <v>316060006</v>
      </c>
      <c r="T98" t="s">
        <v>7</v>
      </c>
      <c r="U98" s="3" t="str">
        <f>+VLOOKUP(Sites_per_tag[[#This Row],[Activity_tag]],Parameter!$A$24:$B$32,2,0)</f>
        <v>SMP</v>
      </c>
      <c r="W98">
        <v>47.831699999999998</v>
      </c>
      <c r="X98">
        <v>-21.965769999999999</v>
      </c>
    </row>
    <row r="99" spans="1:24" x14ac:dyDescent="0.35">
      <c r="A99" s="3" t="str">
        <f t="shared" si="1"/>
        <v>316060010SMP</v>
      </c>
      <c r="B99" t="s">
        <v>6193</v>
      </c>
      <c r="C99">
        <f>+VLOOKUP(Sites_per_tag[[#This Row],[Field_office]],Parameter!$A$3:$B$11,2,0)</f>
        <v>4</v>
      </c>
      <c r="E99" t="s">
        <v>5678</v>
      </c>
      <c r="F99" t="s">
        <v>5679</v>
      </c>
      <c r="H99" t="str">
        <f ca="1">PROPER(Sites_per_tag[[#This Row],[Adm2Name]])</f>
        <v>Manakara Atsimo</v>
      </c>
      <c r="I99" t="s">
        <v>5701</v>
      </c>
      <c r="K99" t="s">
        <v>5710</v>
      </c>
      <c r="L99" t="s">
        <v>5711</v>
      </c>
      <c r="Q99" t="s">
        <v>6200</v>
      </c>
      <c r="R99">
        <v>316060010</v>
      </c>
      <c r="T99" t="s">
        <v>7</v>
      </c>
      <c r="U99" s="3" t="str">
        <f>+VLOOKUP(Sites_per_tag[[#This Row],[Activity_tag]],Parameter!$A$24:$B$32,2,0)</f>
        <v>SMP</v>
      </c>
      <c r="W99">
        <v>47.831699999999998</v>
      </c>
      <c r="X99">
        <v>-21.965769999999999</v>
      </c>
    </row>
    <row r="100" spans="1:24" x14ac:dyDescent="0.35">
      <c r="A100" s="3" t="str">
        <f t="shared" si="1"/>
        <v>316060016SMP</v>
      </c>
      <c r="B100" t="s">
        <v>6193</v>
      </c>
      <c r="C100">
        <f>+VLOOKUP(Sites_per_tag[[#This Row],[Field_office]],Parameter!$A$3:$B$11,2,0)</f>
        <v>4</v>
      </c>
      <c r="E100" t="s">
        <v>5678</v>
      </c>
      <c r="F100" t="s">
        <v>5679</v>
      </c>
      <c r="H100" t="str">
        <f ca="1">PROPER(Sites_per_tag[[#This Row],[Adm2Name]])</f>
        <v>Manakara Atsimo</v>
      </c>
      <c r="I100" t="s">
        <v>5701</v>
      </c>
      <c r="K100" t="s">
        <v>5710</v>
      </c>
      <c r="L100" t="s">
        <v>5711</v>
      </c>
      <c r="Q100" t="s">
        <v>2241</v>
      </c>
      <c r="R100">
        <v>316060016</v>
      </c>
      <c r="T100" t="s">
        <v>7</v>
      </c>
      <c r="U100" s="3" t="str">
        <f>+VLOOKUP(Sites_per_tag[[#This Row],[Activity_tag]],Parameter!$A$24:$B$32,2,0)</f>
        <v>SMP</v>
      </c>
      <c r="W100">
        <v>47.831699999999998</v>
      </c>
      <c r="X100">
        <v>-21.965769999999999</v>
      </c>
    </row>
    <row r="101" spans="1:24" x14ac:dyDescent="0.35">
      <c r="A101" s="3" t="str">
        <f t="shared" si="1"/>
        <v>316080004SMP</v>
      </c>
      <c r="B101" t="s">
        <v>6193</v>
      </c>
      <c r="C101">
        <f>+VLOOKUP(Sites_per_tag[[#This Row],[Field_office]],Parameter!$A$3:$B$11,2,0)</f>
        <v>4</v>
      </c>
      <c r="E101" t="s">
        <v>5678</v>
      </c>
      <c r="F101" t="s">
        <v>5679</v>
      </c>
      <c r="H101" t="str">
        <f ca="1">PROPER(Sites_per_tag[[#This Row],[Adm2Name]])</f>
        <v>Manakara Atsimo</v>
      </c>
      <c r="I101" t="s">
        <v>5701</v>
      </c>
      <c r="K101" t="s">
        <v>5749</v>
      </c>
      <c r="L101" t="s">
        <v>5750</v>
      </c>
      <c r="Q101" t="s">
        <v>459</v>
      </c>
      <c r="R101">
        <v>316080004</v>
      </c>
      <c r="T101" t="s">
        <v>7</v>
      </c>
      <c r="U101" s="3" t="str">
        <f>+VLOOKUP(Sites_per_tag[[#This Row],[Activity_tag]],Parameter!$A$24:$B$32,2,0)</f>
        <v>SMP</v>
      </c>
      <c r="W101">
        <v>47.77373</v>
      </c>
      <c r="X101">
        <v>-21.917570000000001</v>
      </c>
    </row>
    <row r="102" spans="1:24" x14ac:dyDescent="0.35">
      <c r="A102" s="3" t="str">
        <f t="shared" si="1"/>
        <v>316130002SMP</v>
      </c>
      <c r="B102" t="s">
        <v>6193</v>
      </c>
      <c r="C102">
        <f>+VLOOKUP(Sites_per_tag[[#This Row],[Field_office]],Parameter!$A$3:$B$11,2,0)</f>
        <v>4</v>
      </c>
      <c r="E102" t="s">
        <v>5678</v>
      </c>
      <c r="F102" t="s">
        <v>5679</v>
      </c>
      <c r="H102" t="str">
        <f ca="1">PROPER(Sites_per_tag[[#This Row],[Adm2Name]])</f>
        <v>Manakara Atsimo</v>
      </c>
      <c r="I102" t="s">
        <v>5701</v>
      </c>
      <c r="K102" t="s">
        <v>653</v>
      </c>
      <c r="L102" t="s">
        <v>5780</v>
      </c>
      <c r="Q102" t="s">
        <v>653</v>
      </c>
      <c r="R102">
        <v>316130002</v>
      </c>
      <c r="T102" t="s">
        <v>7</v>
      </c>
      <c r="U102" s="3" t="str">
        <f>+VLOOKUP(Sites_per_tag[[#This Row],[Activity_tag]],Parameter!$A$24:$B$32,2,0)</f>
        <v>SMP</v>
      </c>
      <c r="W102">
        <v>47.897922000000001</v>
      </c>
      <c r="X102">
        <v>-21.929656000000001</v>
      </c>
    </row>
    <row r="103" spans="1:24" x14ac:dyDescent="0.35">
      <c r="A103" s="3" t="str">
        <f t="shared" si="1"/>
        <v>316140004SMP</v>
      </c>
      <c r="B103" t="s">
        <v>6193</v>
      </c>
      <c r="C103">
        <f>+VLOOKUP(Sites_per_tag[[#This Row],[Field_office]],Parameter!$A$3:$B$11,2,0)</f>
        <v>4</v>
      </c>
      <c r="E103" t="s">
        <v>5678</v>
      </c>
      <c r="F103" t="s">
        <v>5679</v>
      </c>
      <c r="H103" t="str">
        <f ca="1">PROPER(Sites_per_tag[[#This Row],[Adm2Name]])</f>
        <v>Manakara Atsimo</v>
      </c>
      <c r="I103" t="s">
        <v>5701</v>
      </c>
      <c r="K103" t="s">
        <v>5845</v>
      </c>
      <c r="L103" t="s">
        <v>5846</v>
      </c>
      <c r="Q103" t="s">
        <v>2750</v>
      </c>
      <c r="R103">
        <v>316140004</v>
      </c>
      <c r="T103" t="s">
        <v>7</v>
      </c>
      <c r="U103" s="3" t="str">
        <f>+VLOOKUP(Sites_per_tag[[#This Row],[Activity_tag]],Parameter!$A$24:$B$32,2,0)</f>
        <v>SMP</v>
      </c>
      <c r="W103">
        <v>47.761749999999999</v>
      </c>
      <c r="X103">
        <v>-22.044329999999999</v>
      </c>
    </row>
    <row r="104" spans="1:24" x14ac:dyDescent="0.35">
      <c r="A104" s="3" t="str">
        <f t="shared" si="1"/>
        <v>316180002SMP</v>
      </c>
      <c r="B104" t="s">
        <v>6193</v>
      </c>
      <c r="C104">
        <f>+VLOOKUP(Sites_per_tag[[#This Row],[Field_office]],Parameter!$A$3:$B$11,2,0)</f>
        <v>4</v>
      </c>
      <c r="E104" t="s">
        <v>5678</v>
      </c>
      <c r="F104" t="s">
        <v>5679</v>
      </c>
      <c r="H104" t="str">
        <f ca="1">PROPER(Sites_per_tag[[#This Row],[Adm2Name]])</f>
        <v>Manakara Atsimo</v>
      </c>
      <c r="I104" t="s">
        <v>5701</v>
      </c>
      <c r="K104" t="s">
        <v>5957</v>
      </c>
      <c r="L104" t="s">
        <v>5958</v>
      </c>
      <c r="Q104" t="s">
        <v>6201</v>
      </c>
      <c r="R104">
        <v>316180002</v>
      </c>
      <c r="T104" t="s">
        <v>7</v>
      </c>
      <c r="U104" s="3" t="str">
        <f>+VLOOKUP(Sites_per_tag[[#This Row],[Activity_tag]],Parameter!$A$24:$B$32,2,0)</f>
        <v>SMP</v>
      </c>
      <c r="W104">
        <v>47.756149999999998</v>
      </c>
      <c r="X104">
        <v>-21.792580000000001</v>
      </c>
    </row>
    <row r="105" spans="1:24" x14ac:dyDescent="0.35">
      <c r="A105" s="3" t="str">
        <f t="shared" si="1"/>
        <v>316270003SMP</v>
      </c>
      <c r="B105" t="s">
        <v>6193</v>
      </c>
      <c r="C105">
        <f>+VLOOKUP(Sites_per_tag[[#This Row],[Field_office]],Parameter!$A$3:$B$11,2,0)</f>
        <v>4</v>
      </c>
      <c r="E105" t="s">
        <v>5678</v>
      </c>
      <c r="F105" t="s">
        <v>5679</v>
      </c>
      <c r="H105" t="str">
        <f ca="1">PROPER(Sites_per_tag[[#This Row],[Adm2Name]])</f>
        <v>Manakara Atsimo</v>
      </c>
      <c r="I105" t="s">
        <v>5701</v>
      </c>
      <c r="K105" t="s">
        <v>6070</v>
      </c>
      <c r="L105" t="s">
        <v>6071</v>
      </c>
      <c r="Q105" t="s">
        <v>2103</v>
      </c>
      <c r="R105">
        <v>316270003</v>
      </c>
      <c r="T105" t="s">
        <v>7</v>
      </c>
      <c r="U105" s="3" t="str">
        <f>+VLOOKUP(Sites_per_tag[[#This Row],[Activity_tag]],Parameter!$A$24:$B$32,2,0)</f>
        <v>SMP</v>
      </c>
      <c r="W105">
        <v>47.995869999999996</v>
      </c>
      <c r="X105">
        <v>-21.712969999999999</v>
      </c>
    </row>
    <row r="106" spans="1:24" x14ac:dyDescent="0.35">
      <c r="A106" s="3" t="str">
        <f t="shared" si="1"/>
        <v>316270005SMP</v>
      </c>
      <c r="B106" t="s">
        <v>6193</v>
      </c>
      <c r="C106">
        <f>+VLOOKUP(Sites_per_tag[[#This Row],[Field_office]],Parameter!$A$3:$B$11,2,0)</f>
        <v>4</v>
      </c>
      <c r="E106" t="s">
        <v>5678</v>
      </c>
      <c r="F106" t="s">
        <v>5679</v>
      </c>
      <c r="H106" t="str">
        <f ca="1">PROPER(Sites_per_tag[[#This Row],[Adm2Name]])</f>
        <v>Manakara Atsimo</v>
      </c>
      <c r="I106" t="s">
        <v>5701</v>
      </c>
      <c r="K106" t="s">
        <v>6070</v>
      </c>
      <c r="L106" t="s">
        <v>6071</v>
      </c>
      <c r="Q106" t="s">
        <v>3163</v>
      </c>
      <c r="R106">
        <v>316270005</v>
      </c>
      <c r="T106" t="s">
        <v>7</v>
      </c>
      <c r="U106" s="3" t="str">
        <f>+VLOOKUP(Sites_per_tag[[#This Row],[Activity_tag]],Parameter!$A$24:$B$32,2,0)</f>
        <v>SMP</v>
      </c>
      <c r="W106">
        <v>47.995869999999996</v>
      </c>
      <c r="X106">
        <v>-21.712969999999999</v>
      </c>
    </row>
    <row r="107" spans="1:24" x14ac:dyDescent="0.35">
      <c r="A107" s="3" t="str">
        <f t="shared" si="1"/>
        <v>316280005SMP</v>
      </c>
      <c r="B107" t="s">
        <v>6193</v>
      </c>
      <c r="C107">
        <f>+VLOOKUP(Sites_per_tag[[#This Row],[Field_office]],Parameter!$A$3:$B$11,2,0)</f>
        <v>4</v>
      </c>
      <c r="E107" t="s">
        <v>5678</v>
      </c>
      <c r="F107" t="s">
        <v>5679</v>
      </c>
      <c r="H107" t="str">
        <f ca="1">PROPER(Sites_per_tag[[#This Row],[Adm2Name]])</f>
        <v>Manakara Atsimo</v>
      </c>
      <c r="I107" t="s">
        <v>5701</v>
      </c>
      <c r="K107" t="s">
        <v>6074</v>
      </c>
      <c r="L107" t="s">
        <v>6075</v>
      </c>
      <c r="Q107" t="s">
        <v>546</v>
      </c>
      <c r="R107">
        <v>316280005</v>
      </c>
      <c r="T107" t="s">
        <v>7</v>
      </c>
      <c r="U107" s="3" t="str">
        <f>+VLOOKUP(Sites_per_tag[[#This Row],[Activity_tag]],Parameter!$A$24:$B$32,2,0)</f>
        <v>SMP</v>
      </c>
      <c r="W107">
        <v>47.912588999999997</v>
      </c>
      <c r="X107">
        <v>-21.913861000000001</v>
      </c>
    </row>
    <row r="108" spans="1:24" x14ac:dyDescent="0.35">
      <c r="A108" s="3" t="str">
        <f t="shared" si="1"/>
        <v>316280006SMP</v>
      </c>
      <c r="B108" t="s">
        <v>6193</v>
      </c>
      <c r="C108">
        <f>+VLOOKUP(Sites_per_tag[[#This Row],[Field_office]],Parameter!$A$3:$B$11,2,0)</f>
        <v>4</v>
      </c>
      <c r="E108" t="s">
        <v>5678</v>
      </c>
      <c r="F108" t="s">
        <v>5679</v>
      </c>
      <c r="H108" t="str">
        <f ca="1">PROPER(Sites_per_tag[[#This Row],[Adm2Name]])</f>
        <v>Manakara Atsimo</v>
      </c>
      <c r="I108" t="s">
        <v>5701</v>
      </c>
      <c r="K108" t="s">
        <v>6074</v>
      </c>
      <c r="L108" t="s">
        <v>6075</v>
      </c>
      <c r="Q108" t="s">
        <v>640</v>
      </c>
      <c r="R108">
        <v>316280006</v>
      </c>
      <c r="T108" t="s">
        <v>7</v>
      </c>
      <c r="U108" s="3" t="str">
        <f>+VLOOKUP(Sites_per_tag[[#This Row],[Activity_tag]],Parameter!$A$24:$B$32,2,0)</f>
        <v>SMP</v>
      </c>
      <c r="W108">
        <v>47.909405999999997</v>
      </c>
      <c r="X108">
        <v>-21.962278000000001</v>
      </c>
    </row>
    <row r="109" spans="1:24" x14ac:dyDescent="0.35">
      <c r="A109" s="3" t="str">
        <f t="shared" si="1"/>
        <v>316280007SMP</v>
      </c>
      <c r="B109" t="s">
        <v>6193</v>
      </c>
      <c r="C109">
        <f>+VLOOKUP(Sites_per_tag[[#This Row],[Field_office]],Parameter!$A$3:$B$11,2,0)</f>
        <v>4</v>
      </c>
      <c r="E109" t="s">
        <v>5678</v>
      </c>
      <c r="F109" t="s">
        <v>5679</v>
      </c>
      <c r="H109" t="str">
        <f ca="1">PROPER(Sites_per_tag[[#This Row],[Adm2Name]])</f>
        <v>Manakara Atsimo</v>
      </c>
      <c r="I109" t="s">
        <v>5701</v>
      </c>
      <c r="K109" t="s">
        <v>6074</v>
      </c>
      <c r="L109" t="s">
        <v>6075</v>
      </c>
      <c r="Q109" t="s">
        <v>6202</v>
      </c>
      <c r="R109">
        <v>316280007</v>
      </c>
      <c r="T109" t="s">
        <v>7</v>
      </c>
      <c r="U109" s="3" t="str">
        <f>+VLOOKUP(Sites_per_tag[[#This Row],[Activity_tag]],Parameter!$A$24:$B$32,2,0)</f>
        <v>SMP</v>
      </c>
      <c r="W109">
        <v>47.897908999999999</v>
      </c>
      <c r="X109">
        <v>-21.929926999999999</v>
      </c>
    </row>
    <row r="110" spans="1:24" x14ac:dyDescent="0.35">
      <c r="A110" s="3" t="str">
        <f t="shared" si="1"/>
        <v>317020012SMP</v>
      </c>
      <c r="B110" t="s">
        <v>6193</v>
      </c>
      <c r="C110">
        <f>+VLOOKUP(Sites_per_tag[[#This Row],[Field_office]],Parameter!$A$3:$B$11,2,0)</f>
        <v>4</v>
      </c>
      <c r="E110" t="s">
        <v>5678</v>
      </c>
      <c r="F110" t="s">
        <v>5679</v>
      </c>
      <c r="H110" t="str">
        <f ca="1">PROPER(Sites_per_tag[[#This Row],[Adm2Name]])</f>
        <v>Mananjary</v>
      </c>
      <c r="I110" t="s">
        <v>5705</v>
      </c>
      <c r="K110" t="s">
        <v>5717</v>
      </c>
      <c r="L110" t="s">
        <v>5718</v>
      </c>
      <c r="Q110" t="s">
        <v>627</v>
      </c>
      <c r="R110">
        <v>317020012</v>
      </c>
      <c r="T110" t="s">
        <v>7</v>
      </c>
      <c r="U110" s="3" t="str">
        <f>+VLOOKUP(Sites_per_tag[[#This Row],[Activity_tag]],Parameter!$A$24:$B$32,2,0)</f>
        <v>SMP</v>
      </c>
      <c r="W110">
        <v>47.81955</v>
      </c>
      <c r="X110">
        <v>-20.931429999999999</v>
      </c>
    </row>
    <row r="111" spans="1:24" x14ac:dyDescent="0.35">
      <c r="A111" s="3" t="str">
        <f t="shared" si="1"/>
        <v>317020015SMP</v>
      </c>
      <c r="B111" t="s">
        <v>6193</v>
      </c>
      <c r="C111">
        <f>+VLOOKUP(Sites_per_tag[[#This Row],[Field_office]],Parameter!$A$3:$B$11,2,0)</f>
        <v>4</v>
      </c>
      <c r="E111" t="s">
        <v>5678</v>
      </c>
      <c r="F111" t="s">
        <v>5679</v>
      </c>
      <c r="H111" t="str">
        <f ca="1">PROPER(Sites_per_tag[[#This Row],[Adm2Name]])</f>
        <v>Mananjary</v>
      </c>
      <c r="I111" t="s">
        <v>5705</v>
      </c>
      <c r="K111" t="s">
        <v>5717</v>
      </c>
      <c r="L111" t="s">
        <v>5718</v>
      </c>
      <c r="Q111" t="s">
        <v>2486</v>
      </c>
      <c r="R111">
        <v>317020015</v>
      </c>
      <c r="T111" t="s">
        <v>7</v>
      </c>
      <c r="U111" s="3" t="str">
        <f>+VLOOKUP(Sites_per_tag[[#This Row],[Activity_tag]],Parameter!$A$24:$B$32,2,0)</f>
        <v>SMP</v>
      </c>
      <c r="W111">
        <v>47.81955</v>
      </c>
      <c r="X111">
        <v>-20.931429999999999</v>
      </c>
    </row>
    <row r="112" spans="1:24" x14ac:dyDescent="0.35">
      <c r="A112" s="3" t="str">
        <f t="shared" si="1"/>
        <v>317070004SMP</v>
      </c>
      <c r="B112" t="s">
        <v>6193</v>
      </c>
      <c r="C112">
        <f>+VLOOKUP(Sites_per_tag[[#This Row],[Field_office]],Parameter!$A$3:$B$11,2,0)</f>
        <v>4</v>
      </c>
      <c r="E112" t="s">
        <v>5678</v>
      </c>
      <c r="F112" t="s">
        <v>5679</v>
      </c>
      <c r="H112" t="str">
        <f ca="1">PROPER(Sites_per_tag[[#This Row],[Adm2Name]])</f>
        <v>Mananjary</v>
      </c>
      <c r="I112" t="s">
        <v>5705</v>
      </c>
      <c r="K112" t="s">
        <v>1447</v>
      </c>
      <c r="L112" t="s">
        <v>5847</v>
      </c>
      <c r="Q112" t="s">
        <v>204</v>
      </c>
      <c r="R112">
        <v>317070004</v>
      </c>
      <c r="T112" t="s">
        <v>7</v>
      </c>
      <c r="U112" s="3" t="str">
        <f>+VLOOKUP(Sites_per_tag[[#This Row],[Activity_tag]],Parameter!$A$24:$B$32,2,0)</f>
        <v>SMP</v>
      </c>
      <c r="W112">
        <v>48.003219999999999</v>
      </c>
      <c r="X112">
        <v>-21.509270000000001</v>
      </c>
    </row>
    <row r="113" spans="1:24" x14ac:dyDescent="0.35">
      <c r="A113" s="3" t="str">
        <f t="shared" si="1"/>
        <v>317070011SMP</v>
      </c>
      <c r="B113" t="s">
        <v>6193</v>
      </c>
      <c r="C113">
        <f>+VLOOKUP(Sites_per_tag[[#This Row],[Field_office]],Parameter!$A$3:$B$11,2,0)</f>
        <v>4</v>
      </c>
      <c r="E113" t="s">
        <v>5678</v>
      </c>
      <c r="F113" t="s">
        <v>5679</v>
      </c>
      <c r="H113" t="str">
        <f ca="1">PROPER(Sites_per_tag[[#This Row],[Adm2Name]])</f>
        <v>Mananjary</v>
      </c>
      <c r="I113" t="s">
        <v>5705</v>
      </c>
      <c r="K113" t="s">
        <v>1447</v>
      </c>
      <c r="L113" t="s">
        <v>5847</v>
      </c>
      <c r="Q113" t="s">
        <v>1447</v>
      </c>
      <c r="R113">
        <v>317070011</v>
      </c>
      <c r="T113" t="s">
        <v>7</v>
      </c>
      <c r="U113" s="3" t="str">
        <f>+VLOOKUP(Sites_per_tag[[#This Row],[Activity_tag]],Parameter!$A$24:$B$32,2,0)</f>
        <v>SMP</v>
      </c>
      <c r="W113">
        <v>47.976300999999999</v>
      </c>
      <c r="X113">
        <v>-21.513604999999998</v>
      </c>
    </row>
    <row r="114" spans="1:24" x14ac:dyDescent="0.35">
      <c r="A114" s="3" t="str">
        <f t="shared" si="1"/>
        <v>317070013SMP</v>
      </c>
      <c r="B114" t="s">
        <v>6193</v>
      </c>
      <c r="C114">
        <f>+VLOOKUP(Sites_per_tag[[#This Row],[Field_office]],Parameter!$A$3:$B$11,2,0)</f>
        <v>4</v>
      </c>
      <c r="E114" t="s">
        <v>5678</v>
      </c>
      <c r="F114" t="s">
        <v>5679</v>
      </c>
      <c r="H114" t="str">
        <f ca="1">PROPER(Sites_per_tag[[#This Row],[Adm2Name]])</f>
        <v>Mananjary</v>
      </c>
      <c r="I114" t="s">
        <v>5705</v>
      </c>
      <c r="K114" t="s">
        <v>1447</v>
      </c>
      <c r="L114" t="s">
        <v>5847</v>
      </c>
      <c r="Q114" t="s">
        <v>6203</v>
      </c>
      <c r="R114">
        <v>317070013</v>
      </c>
      <c r="T114" t="s">
        <v>7</v>
      </c>
      <c r="U114" s="3" t="str">
        <f>+VLOOKUP(Sites_per_tag[[#This Row],[Activity_tag]],Parameter!$A$24:$B$32,2,0)</f>
        <v>SMP</v>
      </c>
      <c r="W114">
        <v>48.003219999999999</v>
      </c>
      <c r="X114">
        <v>-21.509270000000001</v>
      </c>
    </row>
    <row r="115" spans="1:24" x14ac:dyDescent="0.35">
      <c r="A115" s="3" t="str">
        <f t="shared" si="1"/>
        <v>317070019SMP</v>
      </c>
      <c r="B115" t="s">
        <v>6193</v>
      </c>
      <c r="C115">
        <f>+VLOOKUP(Sites_per_tag[[#This Row],[Field_office]],Parameter!$A$3:$B$11,2,0)</f>
        <v>4</v>
      </c>
      <c r="E115" t="s">
        <v>5678</v>
      </c>
      <c r="F115" t="s">
        <v>5679</v>
      </c>
      <c r="H115" t="str">
        <f ca="1">PROPER(Sites_per_tag[[#This Row],[Adm2Name]])</f>
        <v>Mananjary</v>
      </c>
      <c r="I115" t="s">
        <v>5705</v>
      </c>
      <c r="K115" t="s">
        <v>1447</v>
      </c>
      <c r="L115" t="s">
        <v>5847</v>
      </c>
      <c r="Q115" t="s">
        <v>3886</v>
      </c>
      <c r="R115">
        <v>317070019</v>
      </c>
      <c r="T115" t="s">
        <v>7</v>
      </c>
      <c r="U115" s="3" t="str">
        <f>+VLOOKUP(Sites_per_tag[[#This Row],[Activity_tag]],Parameter!$A$24:$B$32,2,0)</f>
        <v>SMP</v>
      </c>
      <c r="W115">
        <v>48.003219999999999</v>
      </c>
      <c r="X115">
        <v>-21.509270000000001</v>
      </c>
    </row>
    <row r="116" spans="1:24" x14ac:dyDescent="0.35">
      <c r="A116" s="3" t="str">
        <f t="shared" si="1"/>
        <v>317080004SMP</v>
      </c>
      <c r="B116" t="s">
        <v>6193</v>
      </c>
      <c r="C116">
        <f>+VLOOKUP(Sites_per_tag[[#This Row],[Field_office]],Parameter!$A$3:$B$11,2,0)</f>
        <v>4</v>
      </c>
      <c r="E116" t="s">
        <v>5678</v>
      </c>
      <c r="F116" t="s">
        <v>5679</v>
      </c>
      <c r="H116" t="str">
        <f ca="1">PROPER(Sites_per_tag[[#This Row],[Adm2Name]])</f>
        <v>Mananjary</v>
      </c>
      <c r="I116" t="s">
        <v>5705</v>
      </c>
      <c r="K116" t="s">
        <v>5872</v>
      </c>
      <c r="L116" t="s">
        <v>5873</v>
      </c>
      <c r="Q116" t="s">
        <v>342</v>
      </c>
      <c r="R116">
        <v>317080004</v>
      </c>
      <c r="T116" t="s">
        <v>7</v>
      </c>
      <c r="U116" s="3" t="str">
        <f>+VLOOKUP(Sites_per_tag[[#This Row],[Activity_tag]],Parameter!$A$24:$B$32,2,0)</f>
        <v>SMP</v>
      </c>
      <c r="W116">
        <v>48.030673999999998</v>
      </c>
      <c r="X116">
        <v>-21.391935</v>
      </c>
    </row>
    <row r="117" spans="1:24" x14ac:dyDescent="0.35">
      <c r="A117" s="3" t="str">
        <f t="shared" si="1"/>
        <v>317080008SMP</v>
      </c>
      <c r="B117" t="s">
        <v>6193</v>
      </c>
      <c r="C117">
        <f>+VLOOKUP(Sites_per_tag[[#This Row],[Field_office]],Parameter!$A$3:$B$11,2,0)</f>
        <v>4</v>
      </c>
      <c r="E117" t="s">
        <v>5678</v>
      </c>
      <c r="F117" t="s">
        <v>5679</v>
      </c>
      <c r="H117" t="str">
        <f ca="1">PROPER(Sites_per_tag[[#This Row],[Adm2Name]])</f>
        <v>Mananjary</v>
      </c>
      <c r="I117" t="s">
        <v>5705</v>
      </c>
      <c r="K117" t="s">
        <v>5872</v>
      </c>
      <c r="L117" t="s">
        <v>5873</v>
      </c>
      <c r="Q117" t="s">
        <v>348</v>
      </c>
      <c r="R117">
        <v>317080008</v>
      </c>
      <c r="T117" t="s">
        <v>7</v>
      </c>
      <c r="U117" s="3" t="str">
        <f>+VLOOKUP(Sites_per_tag[[#This Row],[Activity_tag]],Parameter!$A$24:$B$32,2,0)</f>
        <v>SMP</v>
      </c>
      <c r="W117">
        <v>48.119489999999999</v>
      </c>
      <c r="X117">
        <v>-21.337857</v>
      </c>
    </row>
    <row r="118" spans="1:24" x14ac:dyDescent="0.35">
      <c r="A118" s="3" t="str">
        <f t="shared" si="1"/>
        <v>317080012SMP</v>
      </c>
      <c r="B118" t="s">
        <v>6193</v>
      </c>
      <c r="C118">
        <f>+VLOOKUP(Sites_per_tag[[#This Row],[Field_office]],Parameter!$A$3:$B$11,2,0)</f>
        <v>4</v>
      </c>
      <c r="E118" t="s">
        <v>5678</v>
      </c>
      <c r="F118" t="s">
        <v>5679</v>
      </c>
      <c r="H118" t="str">
        <f ca="1">PROPER(Sites_per_tag[[#This Row],[Adm2Name]])</f>
        <v>Mananjary</v>
      </c>
      <c r="I118" t="s">
        <v>5705</v>
      </c>
      <c r="K118" t="s">
        <v>5872</v>
      </c>
      <c r="L118" t="s">
        <v>5873</v>
      </c>
      <c r="Q118" t="s">
        <v>1197</v>
      </c>
      <c r="R118">
        <v>317080012</v>
      </c>
      <c r="T118" t="s">
        <v>7</v>
      </c>
      <c r="U118" s="3" t="str">
        <f>+VLOOKUP(Sites_per_tag[[#This Row],[Activity_tag]],Parameter!$A$24:$B$32,2,0)</f>
        <v>SMP</v>
      </c>
      <c r="W118">
        <v>48.151685000000001</v>
      </c>
      <c r="X118">
        <v>-21.328637000000001</v>
      </c>
    </row>
    <row r="119" spans="1:24" x14ac:dyDescent="0.35">
      <c r="A119" s="3" t="str">
        <f t="shared" si="1"/>
        <v>317080013SMP</v>
      </c>
      <c r="B119" t="s">
        <v>6193</v>
      </c>
      <c r="C119">
        <f>+VLOOKUP(Sites_per_tag[[#This Row],[Field_office]],Parameter!$A$3:$B$11,2,0)</f>
        <v>4</v>
      </c>
      <c r="E119" t="s">
        <v>5678</v>
      </c>
      <c r="F119" t="s">
        <v>5679</v>
      </c>
      <c r="H119" t="str">
        <f ca="1">PROPER(Sites_per_tag[[#This Row],[Adm2Name]])</f>
        <v>Mananjary</v>
      </c>
      <c r="I119" t="s">
        <v>5705</v>
      </c>
      <c r="K119" t="s">
        <v>5872</v>
      </c>
      <c r="L119" t="s">
        <v>5873</v>
      </c>
      <c r="Q119" t="s">
        <v>1601</v>
      </c>
      <c r="R119">
        <v>317080013</v>
      </c>
      <c r="T119" t="s">
        <v>7</v>
      </c>
      <c r="U119" s="3" t="str">
        <f>+VLOOKUP(Sites_per_tag[[#This Row],[Activity_tag]],Parameter!$A$24:$B$32,2,0)</f>
        <v>SMP</v>
      </c>
      <c r="W119">
        <v>48.047899999999998</v>
      </c>
      <c r="X119">
        <v>-21.391908000000001</v>
      </c>
    </row>
    <row r="120" spans="1:24" x14ac:dyDescent="0.35">
      <c r="A120" s="3" t="str">
        <f t="shared" si="1"/>
        <v>317080015SMP</v>
      </c>
      <c r="B120" t="s">
        <v>6193</v>
      </c>
      <c r="C120">
        <f>+VLOOKUP(Sites_per_tag[[#This Row],[Field_office]],Parameter!$A$3:$B$11,2,0)</f>
        <v>4</v>
      </c>
      <c r="E120" t="s">
        <v>5678</v>
      </c>
      <c r="F120" t="s">
        <v>5679</v>
      </c>
      <c r="H120" t="str">
        <f ca="1">PROPER(Sites_per_tag[[#This Row],[Adm2Name]])</f>
        <v>Mananjary</v>
      </c>
      <c r="I120" t="s">
        <v>5705</v>
      </c>
      <c r="K120" t="s">
        <v>5872</v>
      </c>
      <c r="L120" t="s">
        <v>5873</v>
      </c>
      <c r="Q120" t="s">
        <v>6202</v>
      </c>
      <c r="R120">
        <v>317080015</v>
      </c>
      <c r="T120" t="s">
        <v>7</v>
      </c>
      <c r="U120" s="3" t="str">
        <f>+VLOOKUP(Sites_per_tag[[#This Row],[Activity_tag]],Parameter!$A$24:$B$32,2,0)</f>
        <v>SMP</v>
      </c>
      <c r="W120">
        <v>48.060029999999998</v>
      </c>
      <c r="X120">
        <v>-21.34187</v>
      </c>
    </row>
    <row r="121" spans="1:24" x14ac:dyDescent="0.35">
      <c r="A121" s="3" t="str">
        <f t="shared" si="1"/>
        <v>317080016SMP</v>
      </c>
      <c r="B121" t="s">
        <v>6193</v>
      </c>
      <c r="C121">
        <f>+VLOOKUP(Sites_per_tag[[#This Row],[Field_office]],Parameter!$A$3:$B$11,2,0)</f>
        <v>4</v>
      </c>
      <c r="E121" t="s">
        <v>5678</v>
      </c>
      <c r="F121" t="s">
        <v>5679</v>
      </c>
      <c r="H121" t="str">
        <f ca="1">PROPER(Sites_per_tag[[#This Row],[Adm2Name]])</f>
        <v>Mananjary</v>
      </c>
      <c r="I121" t="s">
        <v>5705</v>
      </c>
      <c r="K121" t="s">
        <v>5872</v>
      </c>
      <c r="L121" t="s">
        <v>5873</v>
      </c>
      <c r="Q121" t="s">
        <v>2600</v>
      </c>
      <c r="R121">
        <v>317080016</v>
      </c>
      <c r="T121" t="s">
        <v>7</v>
      </c>
      <c r="U121" s="3" t="str">
        <f>+VLOOKUP(Sites_per_tag[[#This Row],[Activity_tag]],Parameter!$A$24:$B$32,2,0)</f>
        <v>SMP</v>
      </c>
      <c r="W121">
        <v>47.983020000000003</v>
      </c>
      <c r="X121">
        <v>-21.403420000000001</v>
      </c>
    </row>
    <row r="122" spans="1:24" x14ac:dyDescent="0.35">
      <c r="A122" s="3" t="str">
        <f t="shared" si="1"/>
        <v>317090004SMP</v>
      </c>
      <c r="B122" t="s">
        <v>6193</v>
      </c>
      <c r="C122">
        <f>+VLOOKUP(Sites_per_tag[[#This Row],[Field_office]],Parameter!$A$3:$B$11,2,0)</f>
        <v>4</v>
      </c>
      <c r="E122" t="s">
        <v>5678</v>
      </c>
      <c r="F122" t="s">
        <v>5679</v>
      </c>
      <c r="H122" t="str">
        <f ca="1">PROPER(Sites_per_tag[[#This Row],[Adm2Name]])</f>
        <v>Mananjary</v>
      </c>
      <c r="I122" t="s">
        <v>5705</v>
      </c>
      <c r="K122" t="s">
        <v>2648</v>
      </c>
      <c r="L122" t="s">
        <v>5994</v>
      </c>
      <c r="Q122" t="s">
        <v>94</v>
      </c>
      <c r="R122">
        <v>317090004</v>
      </c>
      <c r="T122" t="s">
        <v>7</v>
      </c>
      <c r="U122" s="3" t="str">
        <f>+VLOOKUP(Sites_per_tag[[#This Row],[Activity_tag]],Parameter!$A$24:$B$32,2,0)</f>
        <v>SMP</v>
      </c>
      <c r="W122">
        <v>47.890143000000002</v>
      </c>
      <c r="X122">
        <v>-21.382348</v>
      </c>
    </row>
    <row r="123" spans="1:24" x14ac:dyDescent="0.35">
      <c r="A123" s="3" t="str">
        <f t="shared" si="1"/>
        <v>317090005SMP</v>
      </c>
      <c r="B123" t="s">
        <v>6193</v>
      </c>
      <c r="C123">
        <f>+VLOOKUP(Sites_per_tag[[#This Row],[Field_office]],Parameter!$A$3:$B$11,2,0)</f>
        <v>4</v>
      </c>
      <c r="E123" t="s">
        <v>5678</v>
      </c>
      <c r="F123" t="s">
        <v>5679</v>
      </c>
      <c r="H123" t="str">
        <f ca="1">PROPER(Sites_per_tag[[#This Row],[Adm2Name]])</f>
        <v>Mananjary</v>
      </c>
      <c r="I123" t="s">
        <v>5705</v>
      </c>
      <c r="K123" t="s">
        <v>2648</v>
      </c>
      <c r="L123" t="s">
        <v>5994</v>
      </c>
      <c r="Q123" t="s">
        <v>343</v>
      </c>
      <c r="R123">
        <v>317090005</v>
      </c>
      <c r="T123" t="s">
        <v>7</v>
      </c>
      <c r="U123" s="3" t="str">
        <f>+VLOOKUP(Sites_per_tag[[#This Row],[Activity_tag]],Parameter!$A$24:$B$32,2,0)</f>
        <v>SMP</v>
      </c>
      <c r="W123">
        <v>47.885033</v>
      </c>
      <c r="X123">
        <v>-21.381160000000001</v>
      </c>
    </row>
    <row r="124" spans="1:24" x14ac:dyDescent="0.35">
      <c r="A124" s="3" t="str">
        <f t="shared" si="1"/>
        <v>317090009SMP</v>
      </c>
      <c r="B124" t="s">
        <v>6193</v>
      </c>
      <c r="C124">
        <f>+VLOOKUP(Sites_per_tag[[#This Row],[Field_office]],Parameter!$A$3:$B$11,2,0)</f>
        <v>4</v>
      </c>
      <c r="E124" t="s">
        <v>5678</v>
      </c>
      <c r="F124" t="s">
        <v>5679</v>
      </c>
      <c r="H124" t="str">
        <f ca="1">PROPER(Sites_per_tag[[#This Row],[Adm2Name]])</f>
        <v>Mananjary</v>
      </c>
      <c r="I124" t="s">
        <v>5705</v>
      </c>
      <c r="K124" t="s">
        <v>2648</v>
      </c>
      <c r="L124" t="s">
        <v>5994</v>
      </c>
      <c r="Q124" t="s">
        <v>2505</v>
      </c>
      <c r="R124">
        <v>317090009</v>
      </c>
      <c r="T124" t="s">
        <v>7</v>
      </c>
      <c r="U124" s="3" t="str">
        <f>+VLOOKUP(Sites_per_tag[[#This Row],[Activity_tag]],Parameter!$A$24:$B$32,2,0)</f>
        <v>SMP</v>
      </c>
      <c r="W124">
        <v>47.842388999999997</v>
      </c>
      <c r="X124">
        <v>-21.370775999999999</v>
      </c>
    </row>
    <row r="125" spans="1:24" x14ac:dyDescent="0.35">
      <c r="A125" s="3" t="str">
        <f t="shared" si="1"/>
        <v>317090010SMP</v>
      </c>
      <c r="B125" t="s">
        <v>6193</v>
      </c>
      <c r="C125">
        <f>+VLOOKUP(Sites_per_tag[[#This Row],[Field_office]],Parameter!$A$3:$B$11,2,0)</f>
        <v>4</v>
      </c>
      <c r="E125" t="s">
        <v>5678</v>
      </c>
      <c r="F125" t="s">
        <v>5679</v>
      </c>
      <c r="H125" t="str">
        <f ca="1">PROPER(Sites_per_tag[[#This Row],[Adm2Name]])</f>
        <v>Mananjary</v>
      </c>
      <c r="I125" t="s">
        <v>5705</v>
      </c>
      <c r="K125" t="s">
        <v>2648</v>
      </c>
      <c r="L125" t="s">
        <v>5994</v>
      </c>
      <c r="Q125" t="s">
        <v>2648</v>
      </c>
      <c r="R125">
        <v>317090010</v>
      </c>
      <c r="T125" t="s">
        <v>7</v>
      </c>
      <c r="U125" s="3" t="str">
        <f>+VLOOKUP(Sites_per_tag[[#This Row],[Activity_tag]],Parameter!$A$24:$B$32,2,0)</f>
        <v>SMP</v>
      </c>
      <c r="W125">
        <v>47.867294999999999</v>
      </c>
      <c r="X125">
        <v>-21.380503000000001</v>
      </c>
    </row>
    <row r="126" spans="1:24" x14ac:dyDescent="0.35">
      <c r="A126" s="3" t="str">
        <f t="shared" si="1"/>
        <v>317100014SMP</v>
      </c>
      <c r="B126" t="s">
        <v>6193</v>
      </c>
      <c r="C126">
        <f>+VLOOKUP(Sites_per_tag[[#This Row],[Field_office]],Parameter!$A$3:$B$11,2,0)</f>
        <v>4</v>
      </c>
      <c r="E126" t="s">
        <v>5678</v>
      </c>
      <c r="F126" t="s">
        <v>5679</v>
      </c>
      <c r="H126" t="str">
        <f ca="1">PROPER(Sites_per_tag[[#This Row],[Adm2Name]])</f>
        <v>Mananjary</v>
      </c>
      <c r="I126" t="s">
        <v>5705</v>
      </c>
      <c r="K126" t="s">
        <v>2768</v>
      </c>
      <c r="L126" t="s">
        <v>6007</v>
      </c>
      <c r="Q126" t="s">
        <v>2772</v>
      </c>
      <c r="R126">
        <v>317100014</v>
      </c>
      <c r="T126" t="s">
        <v>7</v>
      </c>
      <c r="U126" s="3" t="str">
        <f>+VLOOKUP(Sites_per_tag[[#This Row],[Activity_tag]],Parameter!$A$24:$B$32,2,0)</f>
        <v>SMP</v>
      </c>
      <c r="W126">
        <v>48.297313000000003</v>
      </c>
      <c r="X126">
        <v>-21.177562000000002</v>
      </c>
    </row>
    <row r="127" spans="1:24" x14ac:dyDescent="0.35">
      <c r="A127" s="3" t="str">
        <f t="shared" si="1"/>
        <v>317150002SMP</v>
      </c>
      <c r="B127" t="s">
        <v>6193</v>
      </c>
      <c r="C127">
        <f>+VLOOKUP(Sites_per_tag[[#This Row],[Field_office]],Parameter!$A$3:$B$11,2,0)</f>
        <v>4</v>
      </c>
      <c r="E127" t="s">
        <v>5678</v>
      </c>
      <c r="F127" t="s">
        <v>5679</v>
      </c>
      <c r="H127" t="str">
        <f ca="1">PROPER(Sites_per_tag[[#This Row],[Adm2Name]])</f>
        <v>Mananjary</v>
      </c>
      <c r="I127" t="s">
        <v>5705</v>
      </c>
      <c r="K127" t="s">
        <v>5608</v>
      </c>
      <c r="L127" t="s">
        <v>6024</v>
      </c>
      <c r="Q127" t="s">
        <v>788</v>
      </c>
      <c r="R127">
        <v>317150002</v>
      </c>
      <c r="T127" t="s">
        <v>7</v>
      </c>
      <c r="U127" s="3" t="str">
        <f>+VLOOKUP(Sites_per_tag[[#This Row],[Activity_tag]],Parameter!$A$24:$B$32,2,0)</f>
        <v>SMP</v>
      </c>
      <c r="W127">
        <v>48.33802</v>
      </c>
      <c r="X127">
        <v>-21.19877</v>
      </c>
    </row>
    <row r="128" spans="1:24" x14ac:dyDescent="0.35">
      <c r="A128" s="3" t="str">
        <f t="shared" si="1"/>
        <v>317150003SMP</v>
      </c>
      <c r="B128" t="s">
        <v>6193</v>
      </c>
      <c r="C128">
        <f>+VLOOKUP(Sites_per_tag[[#This Row],[Field_office]],Parameter!$A$3:$B$11,2,0)</f>
        <v>4</v>
      </c>
      <c r="E128" t="s">
        <v>5678</v>
      </c>
      <c r="F128" t="s">
        <v>5679</v>
      </c>
      <c r="H128" t="str">
        <f ca="1">PROPER(Sites_per_tag[[#This Row],[Adm2Name]])</f>
        <v>Mananjary</v>
      </c>
      <c r="I128" t="s">
        <v>5705</v>
      </c>
      <c r="K128" t="s">
        <v>5608</v>
      </c>
      <c r="L128" t="s">
        <v>6024</v>
      </c>
      <c r="Q128" t="s">
        <v>2447</v>
      </c>
      <c r="R128">
        <v>317150003</v>
      </c>
      <c r="T128" t="s">
        <v>7</v>
      </c>
      <c r="U128" s="3" t="str">
        <f>+VLOOKUP(Sites_per_tag[[#This Row],[Activity_tag]],Parameter!$A$24:$B$32,2,0)</f>
        <v>SMP</v>
      </c>
      <c r="W128">
        <v>48.33802</v>
      </c>
      <c r="X128">
        <v>-21.19877</v>
      </c>
    </row>
    <row r="129" spans="1:24" x14ac:dyDescent="0.35">
      <c r="A129" s="3" t="str">
        <f t="shared" si="1"/>
        <v>317150004SMP</v>
      </c>
      <c r="B129" t="s">
        <v>6193</v>
      </c>
      <c r="C129">
        <f>+VLOOKUP(Sites_per_tag[[#This Row],[Field_office]],Parameter!$A$3:$B$11,2,0)</f>
        <v>4</v>
      </c>
      <c r="E129" t="s">
        <v>5678</v>
      </c>
      <c r="F129" t="s">
        <v>5679</v>
      </c>
      <c r="H129" t="str">
        <f ca="1">PROPER(Sites_per_tag[[#This Row],[Adm2Name]])</f>
        <v>Mananjary</v>
      </c>
      <c r="I129" t="s">
        <v>5705</v>
      </c>
      <c r="K129" t="s">
        <v>5608</v>
      </c>
      <c r="L129" t="s">
        <v>6024</v>
      </c>
      <c r="Q129" t="s">
        <v>2630</v>
      </c>
      <c r="R129">
        <v>317150004</v>
      </c>
      <c r="T129" t="s">
        <v>7</v>
      </c>
      <c r="U129" s="3" t="str">
        <f>+VLOOKUP(Sites_per_tag[[#This Row],[Activity_tag]],Parameter!$A$24:$B$32,2,0)</f>
        <v>SMP</v>
      </c>
      <c r="W129">
        <v>48.33802</v>
      </c>
      <c r="X129">
        <v>-21.19877</v>
      </c>
    </row>
    <row r="130" spans="1:24" x14ac:dyDescent="0.35">
      <c r="A130" s="3" t="str">
        <f t="shared" si="1"/>
        <v>317170003SMP</v>
      </c>
      <c r="B130" t="s">
        <v>6193</v>
      </c>
      <c r="C130">
        <f>+VLOOKUP(Sites_per_tag[[#This Row],[Field_office]],Parameter!$A$3:$B$11,2,0)</f>
        <v>4</v>
      </c>
      <c r="E130" t="s">
        <v>5678</v>
      </c>
      <c r="F130" t="s">
        <v>5679</v>
      </c>
      <c r="H130" t="str">
        <f ca="1">PROPER(Sites_per_tag[[#This Row],[Adm2Name]])</f>
        <v>Mananjary</v>
      </c>
      <c r="I130" t="s">
        <v>5705</v>
      </c>
      <c r="K130" t="s">
        <v>3756</v>
      </c>
      <c r="L130" t="s">
        <v>6146</v>
      </c>
      <c r="Q130" t="s">
        <v>85</v>
      </c>
      <c r="R130">
        <v>317170003</v>
      </c>
      <c r="T130" t="s">
        <v>7</v>
      </c>
      <c r="U130" s="3" t="str">
        <f>+VLOOKUP(Sites_per_tag[[#This Row],[Activity_tag]],Parameter!$A$24:$B$32,2,0)</f>
        <v>SMP</v>
      </c>
      <c r="W130">
        <v>48.231794000000001</v>
      </c>
      <c r="X130">
        <v>-21.101741000000001</v>
      </c>
    </row>
    <row r="131" spans="1:24" x14ac:dyDescent="0.35">
      <c r="A131" s="3" t="str">
        <f t="shared" ref="A131:A194" si="2">+R131&amp;U131</f>
        <v>317170006SMP</v>
      </c>
      <c r="B131" t="s">
        <v>6193</v>
      </c>
      <c r="C131">
        <f>+VLOOKUP(Sites_per_tag[[#This Row],[Field_office]],Parameter!$A$3:$B$11,2,0)</f>
        <v>4</v>
      </c>
      <c r="E131" t="s">
        <v>5678</v>
      </c>
      <c r="F131" t="s">
        <v>5679</v>
      </c>
      <c r="H131" t="str">
        <f ca="1">PROPER(Sites_per_tag[[#This Row],[Adm2Name]])</f>
        <v>Mananjary</v>
      </c>
      <c r="I131" t="s">
        <v>5705</v>
      </c>
      <c r="K131" t="s">
        <v>3024</v>
      </c>
      <c r="L131" t="s">
        <v>6042</v>
      </c>
      <c r="Q131" t="s">
        <v>325</v>
      </c>
      <c r="R131">
        <v>317170006</v>
      </c>
      <c r="T131" t="s">
        <v>7</v>
      </c>
      <c r="U131" s="3" t="str">
        <f>+VLOOKUP(Sites_per_tag[[#This Row],[Activity_tag]],Parameter!$A$24:$B$32,2,0)</f>
        <v>SMP</v>
      </c>
      <c r="W131">
        <v>48.137630000000001</v>
      </c>
      <c r="X131">
        <v>-21.23452</v>
      </c>
    </row>
    <row r="132" spans="1:24" x14ac:dyDescent="0.35">
      <c r="A132" s="3" t="str">
        <f t="shared" si="2"/>
        <v>317170010SMP</v>
      </c>
      <c r="B132" t="s">
        <v>6193</v>
      </c>
      <c r="C132">
        <f>+VLOOKUP(Sites_per_tag[[#This Row],[Field_office]],Parameter!$A$3:$B$11,2,0)</f>
        <v>4</v>
      </c>
      <c r="E132" t="s">
        <v>5678</v>
      </c>
      <c r="F132" t="s">
        <v>5679</v>
      </c>
      <c r="H132" t="str">
        <f ca="1">PROPER(Sites_per_tag[[#This Row],[Adm2Name]])</f>
        <v>Mananjary</v>
      </c>
      <c r="I132" t="s">
        <v>5705</v>
      </c>
      <c r="K132" t="s">
        <v>3024</v>
      </c>
      <c r="L132" t="s">
        <v>6042</v>
      </c>
      <c r="Q132" t="s">
        <v>6204</v>
      </c>
      <c r="R132">
        <v>317170010</v>
      </c>
      <c r="T132" t="s">
        <v>7</v>
      </c>
      <c r="U132" s="3" t="str">
        <f>+VLOOKUP(Sites_per_tag[[#This Row],[Activity_tag]],Parameter!$A$24:$B$32,2,0)</f>
        <v>SMP</v>
      </c>
      <c r="W132">
        <v>48.139583000000002</v>
      </c>
      <c r="X132">
        <v>-21.221489999999999</v>
      </c>
    </row>
    <row r="133" spans="1:24" x14ac:dyDescent="0.35">
      <c r="A133" s="3" t="str">
        <f t="shared" si="2"/>
        <v>317170013SMP</v>
      </c>
      <c r="B133" t="s">
        <v>6193</v>
      </c>
      <c r="C133">
        <f>+VLOOKUP(Sites_per_tag[[#This Row],[Field_office]],Parameter!$A$3:$B$11,2,0)</f>
        <v>4</v>
      </c>
      <c r="E133" t="s">
        <v>5678</v>
      </c>
      <c r="F133" t="s">
        <v>5679</v>
      </c>
      <c r="H133" t="str">
        <f ca="1">PROPER(Sites_per_tag[[#This Row],[Adm2Name]])</f>
        <v>Mananjary</v>
      </c>
      <c r="I133" t="s">
        <v>5705</v>
      </c>
      <c r="K133" t="s">
        <v>3756</v>
      </c>
      <c r="L133" t="s">
        <v>6146</v>
      </c>
      <c r="Q133" t="s">
        <v>3410</v>
      </c>
      <c r="R133">
        <v>317170013</v>
      </c>
      <c r="T133" t="s">
        <v>7</v>
      </c>
      <c r="U133" s="3" t="str">
        <f>+VLOOKUP(Sites_per_tag[[#This Row],[Activity_tag]],Parameter!$A$24:$B$32,2,0)</f>
        <v>SMP</v>
      </c>
      <c r="W133">
        <v>48.189034999999997</v>
      </c>
      <c r="X133">
        <v>-21.189637999999999</v>
      </c>
    </row>
    <row r="134" spans="1:24" x14ac:dyDescent="0.35">
      <c r="A134" s="3" t="str">
        <f t="shared" si="2"/>
        <v>317180002SMP</v>
      </c>
      <c r="B134" t="s">
        <v>6193</v>
      </c>
      <c r="C134">
        <f>+VLOOKUP(Sites_per_tag[[#This Row],[Field_office]],Parameter!$A$3:$B$11,2,0)</f>
        <v>4</v>
      </c>
      <c r="E134" t="s">
        <v>5678</v>
      </c>
      <c r="F134" t="s">
        <v>5679</v>
      </c>
      <c r="H134" t="str">
        <f ca="1">PROPER(Sites_per_tag[[#This Row],[Adm2Name]])</f>
        <v>Mananjary</v>
      </c>
      <c r="I134" t="s">
        <v>5705</v>
      </c>
      <c r="K134" t="s">
        <v>3074</v>
      </c>
      <c r="L134" t="s">
        <v>6049</v>
      </c>
      <c r="Q134" t="s">
        <v>97</v>
      </c>
      <c r="R134">
        <v>317180002</v>
      </c>
      <c r="T134" t="s">
        <v>7</v>
      </c>
      <c r="U134" s="3" t="str">
        <f>+VLOOKUP(Sites_per_tag[[#This Row],[Activity_tag]],Parameter!$A$24:$B$32,2,0)</f>
        <v>SMP</v>
      </c>
      <c r="W134">
        <v>48.2301</v>
      </c>
      <c r="X134">
        <v>-20.967269999999999</v>
      </c>
    </row>
    <row r="135" spans="1:24" x14ac:dyDescent="0.35">
      <c r="A135" s="3" t="str">
        <f t="shared" si="2"/>
        <v>317180009SMP</v>
      </c>
      <c r="B135" t="s">
        <v>6193</v>
      </c>
      <c r="C135">
        <f>+VLOOKUP(Sites_per_tag[[#This Row],[Field_office]],Parameter!$A$3:$B$11,2,0)</f>
        <v>4</v>
      </c>
      <c r="E135" t="s">
        <v>5678</v>
      </c>
      <c r="F135" t="s">
        <v>5679</v>
      </c>
      <c r="H135" t="str">
        <f ca="1">PROPER(Sites_per_tag[[#This Row],[Adm2Name]])</f>
        <v>Mananjary</v>
      </c>
      <c r="I135" t="s">
        <v>5705</v>
      </c>
      <c r="K135" t="s">
        <v>3074</v>
      </c>
      <c r="L135" t="s">
        <v>6049</v>
      </c>
      <c r="Q135" t="s">
        <v>2552</v>
      </c>
      <c r="R135">
        <v>317180009</v>
      </c>
      <c r="T135" t="s">
        <v>7</v>
      </c>
      <c r="U135" s="3" t="str">
        <f>+VLOOKUP(Sites_per_tag[[#This Row],[Activity_tag]],Parameter!$A$24:$B$32,2,0)</f>
        <v>SMP</v>
      </c>
      <c r="W135">
        <v>48.2301</v>
      </c>
      <c r="X135">
        <v>-20.967269999999999</v>
      </c>
    </row>
    <row r="136" spans="1:24" x14ac:dyDescent="0.35">
      <c r="A136" s="3" t="str">
        <f t="shared" si="2"/>
        <v>317220003SMP</v>
      </c>
      <c r="B136" t="s">
        <v>6193</v>
      </c>
      <c r="C136">
        <f>+VLOOKUP(Sites_per_tag[[#This Row],[Field_office]],Parameter!$A$3:$B$11,2,0)</f>
        <v>4</v>
      </c>
      <c r="E136" t="s">
        <v>5678</v>
      </c>
      <c r="F136" t="s">
        <v>5679</v>
      </c>
      <c r="H136" t="str">
        <f ca="1">PROPER(Sites_per_tag[[#This Row],[Adm2Name]])</f>
        <v>Mananjary</v>
      </c>
      <c r="I136" t="s">
        <v>5705</v>
      </c>
      <c r="K136" t="s">
        <v>3729</v>
      </c>
      <c r="L136" t="s">
        <v>6143</v>
      </c>
      <c r="Q136" t="s">
        <v>538</v>
      </c>
      <c r="R136">
        <v>317220003</v>
      </c>
      <c r="T136" t="s">
        <v>7</v>
      </c>
      <c r="U136" s="3" t="str">
        <f>+VLOOKUP(Sites_per_tag[[#This Row],[Activity_tag]],Parameter!$A$24:$B$32,2,0)</f>
        <v>SMP</v>
      </c>
      <c r="W136">
        <v>48.271737999999999</v>
      </c>
      <c r="X136">
        <v>-21.230537000000002</v>
      </c>
    </row>
    <row r="137" spans="1:24" x14ac:dyDescent="0.35">
      <c r="A137" s="3" t="str">
        <f t="shared" si="2"/>
        <v>317220004SMP</v>
      </c>
      <c r="B137" t="s">
        <v>6193</v>
      </c>
      <c r="C137">
        <f>+VLOOKUP(Sites_per_tag[[#This Row],[Field_office]],Parameter!$A$3:$B$11,2,0)</f>
        <v>4</v>
      </c>
      <c r="E137" t="s">
        <v>5678</v>
      </c>
      <c r="F137" t="s">
        <v>5679</v>
      </c>
      <c r="H137" t="str">
        <f ca="1">PROPER(Sites_per_tag[[#This Row],[Adm2Name]])</f>
        <v>Mananjary</v>
      </c>
      <c r="I137" t="s">
        <v>5705</v>
      </c>
      <c r="K137" t="s">
        <v>3729</v>
      </c>
      <c r="L137" t="s">
        <v>6143</v>
      </c>
      <c r="Q137" t="s">
        <v>2994</v>
      </c>
      <c r="R137">
        <v>317220004</v>
      </c>
      <c r="T137" t="s">
        <v>7</v>
      </c>
      <c r="U137" s="3" t="str">
        <f>+VLOOKUP(Sites_per_tag[[#This Row],[Activity_tag]],Parameter!$A$24:$B$32,2,0)</f>
        <v>SMP</v>
      </c>
      <c r="W137">
        <v>48.299779999999998</v>
      </c>
      <c r="X137">
        <v>-21.237480000000001</v>
      </c>
    </row>
    <row r="138" spans="1:24" x14ac:dyDescent="0.35">
      <c r="A138" s="3" t="str">
        <f t="shared" si="2"/>
        <v>317220005SMP</v>
      </c>
      <c r="B138" t="s">
        <v>6193</v>
      </c>
      <c r="C138">
        <f>+VLOOKUP(Sites_per_tag[[#This Row],[Field_office]],Parameter!$A$3:$B$11,2,0)</f>
        <v>4</v>
      </c>
      <c r="E138" t="s">
        <v>5678</v>
      </c>
      <c r="F138" t="s">
        <v>5679</v>
      </c>
      <c r="H138" t="str">
        <f ca="1">PROPER(Sites_per_tag[[#This Row],[Adm2Name]])</f>
        <v>Mananjary</v>
      </c>
      <c r="I138" t="s">
        <v>5705</v>
      </c>
      <c r="K138" t="s">
        <v>3729</v>
      </c>
      <c r="L138" t="s">
        <v>6143</v>
      </c>
      <c r="Q138" t="s">
        <v>3060</v>
      </c>
      <c r="R138">
        <v>317220005</v>
      </c>
      <c r="T138" t="s">
        <v>7</v>
      </c>
      <c r="U138" s="3" t="str">
        <f>+VLOOKUP(Sites_per_tag[[#This Row],[Activity_tag]],Parameter!$A$24:$B$32,2,0)</f>
        <v>SMP</v>
      </c>
      <c r="W138">
        <v>48.299779999999998</v>
      </c>
      <c r="X138">
        <v>-21.237480000000001</v>
      </c>
    </row>
    <row r="139" spans="1:24" x14ac:dyDescent="0.35">
      <c r="A139" s="3" t="str">
        <f t="shared" si="2"/>
        <v>317220007SMP</v>
      </c>
      <c r="B139" t="s">
        <v>6193</v>
      </c>
      <c r="C139">
        <f>+VLOOKUP(Sites_per_tag[[#This Row],[Field_office]],Parameter!$A$3:$B$11,2,0)</f>
        <v>4</v>
      </c>
      <c r="E139" t="s">
        <v>5678</v>
      </c>
      <c r="F139" t="s">
        <v>5679</v>
      </c>
      <c r="H139" t="str">
        <f ca="1">PROPER(Sites_per_tag[[#This Row],[Adm2Name]])</f>
        <v>Mananjary</v>
      </c>
      <c r="I139" t="s">
        <v>5705</v>
      </c>
      <c r="K139" t="s">
        <v>3729</v>
      </c>
      <c r="L139" t="s">
        <v>6143</v>
      </c>
      <c r="Q139" t="s">
        <v>3571</v>
      </c>
      <c r="R139">
        <v>317220007</v>
      </c>
      <c r="T139" t="s">
        <v>7</v>
      </c>
      <c r="U139" s="3" t="str">
        <f>+VLOOKUP(Sites_per_tag[[#This Row],[Activity_tag]],Parameter!$A$24:$B$32,2,0)</f>
        <v>SMP</v>
      </c>
      <c r="W139">
        <v>48.299779999999998</v>
      </c>
      <c r="X139">
        <v>-21.237480000000001</v>
      </c>
    </row>
    <row r="140" spans="1:24" x14ac:dyDescent="0.35">
      <c r="A140" s="3" t="str">
        <f t="shared" si="2"/>
        <v>317220008SMP</v>
      </c>
      <c r="B140" t="s">
        <v>6193</v>
      </c>
      <c r="C140">
        <f>+VLOOKUP(Sites_per_tag[[#This Row],[Field_office]],Parameter!$A$3:$B$11,2,0)</f>
        <v>4</v>
      </c>
      <c r="E140" t="s">
        <v>5678</v>
      </c>
      <c r="F140" t="s">
        <v>5679</v>
      </c>
      <c r="H140" t="str">
        <f ca="1">PROPER(Sites_per_tag[[#This Row],[Adm2Name]])</f>
        <v>Mananjary</v>
      </c>
      <c r="I140" t="s">
        <v>5705</v>
      </c>
      <c r="K140" t="s">
        <v>3729</v>
      </c>
      <c r="L140" t="s">
        <v>6143</v>
      </c>
      <c r="Q140" t="s">
        <v>3729</v>
      </c>
      <c r="R140">
        <v>317220008</v>
      </c>
      <c r="T140" t="s">
        <v>7</v>
      </c>
      <c r="U140" s="3" t="str">
        <f>+VLOOKUP(Sites_per_tag[[#This Row],[Activity_tag]],Parameter!$A$24:$B$32,2,0)</f>
        <v>SMP</v>
      </c>
      <c r="W140">
        <v>48.299635000000002</v>
      </c>
      <c r="X140">
        <v>-21.246625000000002</v>
      </c>
    </row>
    <row r="141" spans="1:24" x14ac:dyDescent="0.35">
      <c r="A141" s="3" t="str">
        <f t="shared" si="2"/>
        <v>317230002SMP</v>
      </c>
      <c r="B141" t="s">
        <v>6193</v>
      </c>
      <c r="C141">
        <f>+VLOOKUP(Sites_per_tag[[#This Row],[Field_office]],Parameter!$A$3:$B$11,2,0)</f>
        <v>4</v>
      </c>
      <c r="E141" t="s">
        <v>5678</v>
      </c>
      <c r="F141" t="s">
        <v>5679</v>
      </c>
      <c r="H141" t="str">
        <f ca="1">PROPER(Sites_per_tag[[#This Row],[Adm2Name]])</f>
        <v>Mananjary</v>
      </c>
      <c r="I141" t="s">
        <v>5705</v>
      </c>
      <c r="K141" t="s">
        <v>3756</v>
      </c>
      <c r="L141" t="s">
        <v>6146</v>
      </c>
      <c r="Q141" t="s">
        <v>3357</v>
      </c>
      <c r="R141">
        <v>317230002</v>
      </c>
      <c r="T141" t="s">
        <v>7</v>
      </c>
      <c r="U141" s="3" t="str">
        <f>+VLOOKUP(Sites_per_tag[[#This Row],[Activity_tag]],Parameter!$A$24:$B$32,2,0)</f>
        <v>SMP</v>
      </c>
      <c r="W141">
        <v>48.104802999999997</v>
      </c>
      <c r="X141">
        <v>-21.161256999999999</v>
      </c>
    </row>
    <row r="142" spans="1:24" x14ac:dyDescent="0.35">
      <c r="A142" s="3" t="str">
        <f t="shared" si="2"/>
        <v>317230004SMP</v>
      </c>
      <c r="B142" t="s">
        <v>6193</v>
      </c>
      <c r="C142">
        <f>+VLOOKUP(Sites_per_tag[[#This Row],[Field_office]],Parameter!$A$3:$B$11,2,0)</f>
        <v>4</v>
      </c>
      <c r="E142" t="s">
        <v>5678</v>
      </c>
      <c r="F142" t="s">
        <v>5679</v>
      </c>
      <c r="H142" t="str">
        <f ca="1">PROPER(Sites_per_tag[[#This Row],[Adm2Name]])</f>
        <v>Mananjary</v>
      </c>
      <c r="I142" t="s">
        <v>5705</v>
      </c>
      <c r="K142" t="s">
        <v>3756</v>
      </c>
      <c r="L142" t="s">
        <v>6146</v>
      </c>
      <c r="Q142" t="s">
        <v>104</v>
      </c>
      <c r="R142">
        <v>317230004</v>
      </c>
      <c r="T142" t="s">
        <v>7</v>
      </c>
      <c r="U142" s="3" t="str">
        <f>+VLOOKUP(Sites_per_tag[[#This Row],[Activity_tag]],Parameter!$A$24:$B$32,2,0)</f>
        <v>SMP</v>
      </c>
      <c r="W142">
        <v>48.235267</v>
      </c>
      <c r="X142">
        <v>-21.239007999999998</v>
      </c>
    </row>
    <row r="143" spans="1:24" x14ac:dyDescent="0.35">
      <c r="A143" s="3" t="str">
        <f t="shared" si="2"/>
        <v>317230006SMP</v>
      </c>
      <c r="B143" t="s">
        <v>6193</v>
      </c>
      <c r="C143">
        <f>+VLOOKUP(Sites_per_tag[[#This Row],[Field_office]],Parameter!$A$3:$B$11,2,0)</f>
        <v>4</v>
      </c>
      <c r="E143" t="s">
        <v>5678</v>
      </c>
      <c r="F143" t="s">
        <v>5679</v>
      </c>
      <c r="H143" t="str">
        <f ca="1">PROPER(Sites_per_tag[[#This Row],[Adm2Name]])</f>
        <v>Mananjary</v>
      </c>
      <c r="I143" t="s">
        <v>5705</v>
      </c>
      <c r="K143" t="s">
        <v>3756</v>
      </c>
      <c r="L143" t="s">
        <v>6146</v>
      </c>
      <c r="Q143" t="s">
        <v>2367</v>
      </c>
      <c r="R143">
        <v>317230006</v>
      </c>
      <c r="T143" t="s">
        <v>7</v>
      </c>
      <c r="U143" s="3" t="str">
        <f>+VLOOKUP(Sites_per_tag[[#This Row],[Activity_tag]],Parameter!$A$24:$B$32,2,0)</f>
        <v>SMP</v>
      </c>
      <c r="W143">
        <v>48.240065000000001</v>
      </c>
      <c r="X143">
        <v>-21.237295</v>
      </c>
    </row>
    <row r="144" spans="1:24" x14ac:dyDescent="0.35">
      <c r="A144" s="3" t="str">
        <f t="shared" si="2"/>
        <v>317230007SMP</v>
      </c>
      <c r="B144" t="s">
        <v>6193</v>
      </c>
      <c r="C144">
        <f>+VLOOKUP(Sites_per_tag[[#This Row],[Field_office]],Parameter!$A$3:$B$11,2,0)</f>
        <v>4</v>
      </c>
      <c r="E144" t="s">
        <v>5678</v>
      </c>
      <c r="F144" t="s">
        <v>5679</v>
      </c>
      <c r="H144" t="str">
        <f ca="1">PROPER(Sites_per_tag[[#This Row],[Adm2Name]])</f>
        <v>Mananjary</v>
      </c>
      <c r="I144" t="s">
        <v>5705</v>
      </c>
      <c r="K144" t="s">
        <v>3756</v>
      </c>
      <c r="L144" t="s">
        <v>6146</v>
      </c>
      <c r="Q144" t="s">
        <v>265</v>
      </c>
      <c r="R144">
        <v>317230007</v>
      </c>
      <c r="T144" t="s">
        <v>7</v>
      </c>
      <c r="U144" s="3" t="str">
        <f>+VLOOKUP(Sites_per_tag[[#This Row],[Activity_tag]],Parameter!$A$24:$B$32,2,0)</f>
        <v>SMP</v>
      </c>
      <c r="W144">
        <v>48.206119000000001</v>
      </c>
      <c r="X144">
        <v>-21.230011999999999</v>
      </c>
    </row>
    <row r="145" spans="1:24" x14ac:dyDescent="0.35">
      <c r="A145" s="3" t="str">
        <f t="shared" si="2"/>
        <v>317230008SMP</v>
      </c>
      <c r="B145" t="s">
        <v>6193</v>
      </c>
      <c r="C145">
        <f>+VLOOKUP(Sites_per_tag[[#This Row],[Field_office]],Parameter!$A$3:$B$11,2,0)</f>
        <v>4</v>
      </c>
      <c r="E145" t="s">
        <v>5678</v>
      </c>
      <c r="F145" t="s">
        <v>5679</v>
      </c>
      <c r="H145" t="str">
        <f ca="1">PROPER(Sites_per_tag[[#This Row],[Adm2Name]])</f>
        <v>Mananjary</v>
      </c>
      <c r="I145" t="s">
        <v>5705</v>
      </c>
      <c r="K145" t="s">
        <v>3756</v>
      </c>
      <c r="L145" t="s">
        <v>6146</v>
      </c>
      <c r="Q145" t="s">
        <v>2368</v>
      </c>
      <c r="R145">
        <v>317230008</v>
      </c>
      <c r="T145" t="s">
        <v>7</v>
      </c>
      <c r="U145" s="3" t="str">
        <f>+VLOOKUP(Sites_per_tag[[#This Row],[Activity_tag]],Parameter!$A$24:$B$32,2,0)</f>
        <v>SMP</v>
      </c>
      <c r="W145">
        <v>48.076042999999999</v>
      </c>
      <c r="X145">
        <v>-21.176532999999999</v>
      </c>
    </row>
    <row r="146" spans="1:24" x14ac:dyDescent="0.35">
      <c r="A146" s="3" t="str">
        <f t="shared" si="2"/>
        <v>317230010SMP</v>
      </c>
      <c r="B146" t="s">
        <v>6193</v>
      </c>
      <c r="C146">
        <f>+VLOOKUP(Sites_per_tag[[#This Row],[Field_office]],Parameter!$A$3:$B$11,2,0)</f>
        <v>4</v>
      </c>
      <c r="E146" t="s">
        <v>5678</v>
      </c>
      <c r="F146" t="s">
        <v>5679</v>
      </c>
      <c r="H146" t="str">
        <f ca="1">PROPER(Sites_per_tag[[#This Row],[Adm2Name]])</f>
        <v>Mananjary</v>
      </c>
      <c r="I146" t="s">
        <v>5705</v>
      </c>
      <c r="K146" t="s">
        <v>3756</v>
      </c>
      <c r="L146" t="s">
        <v>6146</v>
      </c>
      <c r="Q146" t="s">
        <v>873</v>
      </c>
      <c r="R146">
        <v>317230010</v>
      </c>
      <c r="T146" t="s">
        <v>7</v>
      </c>
      <c r="U146" s="3" t="str">
        <f>+VLOOKUP(Sites_per_tag[[#This Row],[Activity_tag]],Parameter!$A$24:$B$32,2,0)</f>
        <v>SMP</v>
      </c>
      <c r="W146">
        <v>48.195304999999998</v>
      </c>
      <c r="X146">
        <v>-21.243594000000002</v>
      </c>
    </row>
    <row r="147" spans="1:24" x14ac:dyDescent="0.35">
      <c r="A147" s="3" t="str">
        <f t="shared" si="2"/>
        <v>317230011SMP</v>
      </c>
      <c r="B147" t="s">
        <v>6193</v>
      </c>
      <c r="C147">
        <f>+VLOOKUP(Sites_per_tag[[#This Row],[Field_office]],Parameter!$A$3:$B$11,2,0)</f>
        <v>4</v>
      </c>
      <c r="E147" t="s">
        <v>5678</v>
      </c>
      <c r="F147" t="s">
        <v>5679</v>
      </c>
      <c r="H147" t="str">
        <f ca="1">PROPER(Sites_per_tag[[#This Row],[Adm2Name]])</f>
        <v>Mananjary</v>
      </c>
      <c r="I147" t="s">
        <v>5705</v>
      </c>
      <c r="K147" t="s">
        <v>3756</v>
      </c>
      <c r="L147" t="s">
        <v>6146</v>
      </c>
      <c r="Q147" t="s">
        <v>887</v>
      </c>
      <c r="R147">
        <v>317230011</v>
      </c>
      <c r="T147" t="s">
        <v>7</v>
      </c>
      <c r="U147" s="3" t="str">
        <f>+VLOOKUP(Sites_per_tag[[#This Row],[Activity_tag]],Parameter!$A$24:$B$32,2,0)</f>
        <v>SMP</v>
      </c>
      <c r="W147">
        <v>48.168236999999998</v>
      </c>
      <c r="X147">
        <v>-21.282686000000002</v>
      </c>
    </row>
    <row r="148" spans="1:24" x14ac:dyDescent="0.35">
      <c r="A148" s="3" t="str">
        <f t="shared" si="2"/>
        <v>317230016SMP</v>
      </c>
      <c r="B148" t="s">
        <v>6193</v>
      </c>
      <c r="C148">
        <f>+VLOOKUP(Sites_per_tag[[#This Row],[Field_office]],Parameter!$A$3:$B$11,2,0)</f>
        <v>4</v>
      </c>
      <c r="E148" t="s">
        <v>5678</v>
      </c>
      <c r="F148" t="s">
        <v>5679</v>
      </c>
      <c r="H148" t="str">
        <f ca="1">PROPER(Sites_per_tag[[#This Row],[Adm2Name]])</f>
        <v>Mananjary</v>
      </c>
      <c r="I148" t="s">
        <v>5705</v>
      </c>
      <c r="K148" t="s">
        <v>3756</v>
      </c>
      <c r="L148" t="s">
        <v>6146</v>
      </c>
      <c r="Q148" t="s">
        <v>2102</v>
      </c>
      <c r="R148">
        <v>317230016</v>
      </c>
      <c r="T148" t="s">
        <v>7</v>
      </c>
      <c r="U148" s="3" t="str">
        <f>+VLOOKUP(Sites_per_tag[[#This Row],[Activity_tag]],Parameter!$A$24:$B$32,2,0)</f>
        <v>SMP</v>
      </c>
      <c r="W148">
        <v>48.243017999999999</v>
      </c>
      <c r="X148">
        <v>-21.205145999999999</v>
      </c>
    </row>
    <row r="149" spans="1:24" x14ac:dyDescent="0.35">
      <c r="A149" s="3" t="str">
        <f t="shared" si="2"/>
        <v>317230018SMP</v>
      </c>
      <c r="B149" t="s">
        <v>6193</v>
      </c>
      <c r="C149">
        <f>+VLOOKUP(Sites_per_tag[[#This Row],[Field_office]],Parameter!$A$3:$B$11,2,0)</f>
        <v>4</v>
      </c>
      <c r="E149" t="s">
        <v>5678</v>
      </c>
      <c r="F149" t="s">
        <v>5679</v>
      </c>
      <c r="H149" t="str">
        <f ca="1">PROPER(Sites_per_tag[[#This Row],[Adm2Name]])</f>
        <v>Mananjary</v>
      </c>
      <c r="I149" t="s">
        <v>5705</v>
      </c>
      <c r="K149" t="s">
        <v>3756</v>
      </c>
      <c r="L149" t="s">
        <v>6146</v>
      </c>
      <c r="Q149" t="s">
        <v>2828</v>
      </c>
      <c r="R149">
        <v>317230018</v>
      </c>
      <c r="T149" t="s">
        <v>7</v>
      </c>
      <c r="U149" s="3" t="str">
        <f>+VLOOKUP(Sites_per_tag[[#This Row],[Activity_tag]],Parameter!$A$24:$B$32,2,0)</f>
        <v>SMP</v>
      </c>
      <c r="W149">
        <v>48.242786000000002</v>
      </c>
      <c r="X149">
        <v>-21.205287999999999</v>
      </c>
    </row>
    <row r="150" spans="1:24" x14ac:dyDescent="0.35">
      <c r="A150" s="3" t="str">
        <f t="shared" si="2"/>
        <v>317230021SMP</v>
      </c>
      <c r="B150" t="s">
        <v>6193</v>
      </c>
      <c r="C150">
        <f>+VLOOKUP(Sites_per_tag[[#This Row],[Field_office]],Parameter!$A$3:$B$11,2,0)</f>
        <v>4</v>
      </c>
      <c r="E150" t="s">
        <v>5678</v>
      </c>
      <c r="F150" t="s">
        <v>5679</v>
      </c>
      <c r="H150" t="str">
        <f ca="1">PROPER(Sites_per_tag[[#This Row],[Adm2Name]])</f>
        <v>Mananjary</v>
      </c>
      <c r="I150" t="s">
        <v>5705</v>
      </c>
      <c r="K150" t="s">
        <v>3756</v>
      </c>
      <c r="L150" t="s">
        <v>6146</v>
      </c>
      <c r="Q150" t="s">
        <v>3715</v>
      </c>
      <c r="R150">
        <v>317230021</v>
      </c>
      <c r="T150" t="s">
        <v>7</v>
      </c>
      <c r="U150" s="3" t="str">
        <f>+VLOOKUP(Sites_per_tag[[#This Row],[Activity_tag]],Parameter!$A$24:$B$32,2,0)</f>
        <v>SMP</v>
      </c>
      <c r="W150">
        <v>48.168202000000001</v>
      </c>
      <c r="X150">
        <v>-21.282674</v>
      </c>
    </row>
    <row r="151" spans="1:24" x14ac:dyDescent="0.35">
      <c r="A151" s="3" t="str">
        <f t="shared" si="2"/>
        <v>317230023SMP</v>
      </c>
      <c r="B151" t="s">
        <v>6193</v>
      </c>
      <c r="C151">
        <f>+VLOOKUP(Sites_per_tag[[#This Row],[Field_office]],Parameter!$A$3:$B$11,2,0)</f>
        <v>4</v>
      </c>
      <c r="E151" t="s">
        <v>5678</v>
      </c>
      <c r="F151" t="s">
        <v>5679</v>
      </c>
      <c r="H151" t="str">
        <f ca="1">PROPER(Sites_per_tag[[#This Row],[Adm2Name]])</f>
        <v>Mananjary</v>
      </c>
      <c r="I151" t="s">
        <v>5705</v>
      </c>
      <c r="K151" t="s">
        <v>3756</v>
      </c>
      <c r="L151" t="s">
        <v>6146</v>
      </c>
      <c r="Q151" t="s">
        <v>6205</v>
      </c>
      <c r="R151">
        <v>317230023</v>
      </c>
      <c r="T151" t="s">
        <v>7</v>
      </c>
      <c r="U151" s="3" t="str">
        <f>+VLOOKUP(Sites_per_tag[[#This Row],[Activity_tag]],Parameter!$A$24:$B$32,2,0)</f>
        <v>SMP</v>
      </c>
      <c r="W151">
        <v>48.126125000000002</v>
      </c>
      <c r="X151">
        <v>-21.165161999999999</v>
      </c>
    </row>
    <row r="152" spans="1:24" x14ac:dyDescent="0.35">
      <c r="A152" s="3" t="str">
        <f t="shared" si="2"/>
        <v>317240009SMP</v>
      </c>
      <c r="B152" t="s">
        <v>6193</v>
      </c>
      <c r="C152">
        <f>+VLOOKUP(Sites_per_tag[[#This Row],[Field_office]],Parameter!$A$3:$B$11,2,0)</f>
        <v>4</v>
      </c>
      <c r="E152" t="s">
        <v>5678</v>
      </c>
      <c r="F152" t="s">
        <v>5679</v>
      </c>
      <c r="H152" t="str">
        <f ca="1">PROPER(Sites_per_tag[[#This Row],[Adm2Name]])</f>
        <v>Mananjary</v>
      </c>
      <c r="I152" t="s">
        <v>5705</v>
      </c>
      <c r="K152" t="s">
        <v>6155</v>
      </c>
      <c r="L152" t="s">
        <v>6156</v>
      </c>
      <c r="Q152" t="s">
        <v>3860</v>
      </c>
      <c r="R152">
        <v>317240009</v>
      </c>
      <c r="T152" t="s">
        <v>7</v>
      </c>
      <c r="U152" s="3" t="str">
        <f>+VLOOKUP(Sites_per_tag[[#This Row],[Activity_tag]],Parameter!$A$24:$B$32,2,0)</f>
        <v>SMP</v>
      </c>
      <c r="W152">
        <v>47.846179999999997</v>
      </c>
      <c r="X152">
        <v>-21.55237</v>
      </c>
    </row>
    <row r="153" spans="1:24" x14ac:dyDescent="0.35">
      <c r="A153" s="3" t="str">
        <f t="shared" si="2"/>
        <v>317250009SMP</v>
      </c>
      <c r="B153" t="s">
        <v>6193</v>
      </c>
      <c r="C153">
        <f>+VLOOKUP(Sites_per_tag[[#This Row],[Field_office]],Parameter!$A$3:$B$11,2,0)</f>
        <v>4</v>
      </c>
      <c r="E153" t="s">
        <v>5678</v>
      </c>
      <c r="F153" t="s">
        <v>5679</v>
      </c>
      <c r="H153" t="str">
        <f ca="1">PROPER(Sites_per_tag[[#This Row],[Adm2Name]])</f>
        <v>Mananjary</v>
      </c>
      <c r="I153" t="s">
        <v>5705</v>
      </c>
      <c r="K153" t="s">
        <v>3897</v>
      </c>
      <c r="L153" t="s">
        <v>6161</v>
      </c>
      <c r="Q153" t="s">
        <v>80</v>
      </c>
      <c r="R153">
        <v>317250009</v>
      </c>
      <c r="T153" t="s">
        <v>7</v>
      </c>
      <c r="U153" s="3" t="str">
        <f>+VLOOKUP(Sites_per_tag[[#This Row],[Activity_tag]],Parameter!$A$24:$B$32,2,0)</f>
        <v>SMP</v>
      </c>
      <c r="W153">
        <v>48.031080000000003</v>
      </c>
      <c r="X153">
        <v>-21.09507</v>
      </c>
    </row>
    <row r="154" spans="1:24" x14ac:dyDescent="0.35">
      <c r="A154" s="3" t="str">
        <f t="shared" si="2"/>
        <v>317260005SMP</v>
      </c>
      <c r="B154" t="s">
        <v>6193</v>
      </c>
      <c r="C154">
        <f>+VLOOKUP(Sites_per_tag[[#This Row],[Field_office]],Parameter!$A$3:$B$11,2,0)</f>
        <v>4</v>
      </c>
      <c r="E154" t="s">
        <v>5678</v>
      </c>
      <c r="F154" t="s">
        <v>5679</v>
      </c>
      <c r="H154" t="str">
        <f ca="1">PROPER(Sites_per_tag[[#This Row],[Adm2Name]])</f>
        <v>Mananjary</v>
      </c>
      <c r="I154" t="s">
        <v>5705</v>
      </c>
      <c r="K154" t="s">
        <v>3729</v>
      </c>
      <c r="L154" t="s">
        <v>6143</v>
      </c>
      <c r="Q154" t="s">
        <v>3017</v>
      </c>
      <c r="R154">
        <v>317260005</v>
      </c>
      <c r="T154" t="s">
        <v>7</v>
      </c>
      <c r="U154" s="3" t="str">
        <f>+VLOOKUP(Sites_per_tag[[#This Row],[Activity_tag]],Parameter!$A$24:$B$32,2,0)</f>
        <v>SMP</v>
      </c>
      <c r="W154">
        <v>48.299779999999998</v>
      </c>
      <c r="X154">
        <v>-21.237480000000001</v>
      </c>
    </row>
    <row r="155" spans="1:24" x14ac:dyDescent="0.35">
      <c r="A155" s="3" t="str">
        <f t="shared" si="2"/>
        <v>317290001SMP</v>
      </c>
      <c r="B155" t="s">
        <v>6193</v>
      </c>
      <c r="C155">
        <f>+VLOOKUP(Sites_per_tag[[#This Row],[Field_office]],Parameter!$A$3:$B$11,2,0)</f>
        <v>4</v>
      </c>
      <c r="E155" t="s">
        <v>5678</v>
      </c>
      <c r="F155" t="s">
        <v>5679</v>
      </c>
      <c r="H155" t="str">
        <f ca="1">PROPER(Sites_per_tag[[#This Row],[Adm2Name]])</f>
        <v>Ifanadiana</v>
      </c>
      <c r="I155" t="s">
        <v>5697</v>
      </c>
      <c r="K155" t="s">
        <v>5858</v>
      </c>
      <c r="L155" t="s">
        <v>5859</v>
      </c>
      <c r="Q155" t="s">
        <v>2297</v>
      </c>
      <c r="R155">
        <v>317290001</v>
      </c>
      <c r="T155" t="s">
        <v>7</v>
      </c>
      <c r="U155" s="3" t="str">
        <f>+VLOOKUP(Sites_per_tag[[#This Row],[Activity_tag]],Parameter!$A$24:$B$32,2,0)</f>
        <v>SMP</v>
      </c>
      <c r="W155">
        <v>47.803100000000001</v>
      </c>
      <c r="X155">
        <v>-21.465800000000002</v>
      </c>
    </row>
    <row r="156" spans="1:24" x14ac:dyDescent="0.35">
      <c r="A156" s="3" t="str">
        <f t="shared" si="2"/>
        <v>320040005SMP</v>
      </c>
      <c r="B156" t="s">
        <v>6193</v>
      </c>
      <c r="C156">
        <f>+VLOOKUP(Sites_per_tag[[#This Row],[Field_office]],Parameter!$A$3:$B$11,2,0)</f>
        <v>4</v>
      </c>
      <c r="E156" t="s">
        <v>5658</v>
      </c>
      <c r="F156" t="s">
        <v>5659</v>
      </c>
      <c r="H156" t="str">
        <f ca="1">PROPER(Sites_per_tag[[#This Row],[Adm2Name]])</f>
        <v>Vangaindrano</v>
      </c>
      <c r="I156" t="s">
        <v>5734</v>
      </c>
      <c r="K156" t="s">
        <v>534</v>
      </c>
      <c r="L156" t="s">
        <v>5761</v>
      </c>
      <c r="Q156" t="s">
        <v>340</v>
      </c>
      <c r="R156">
        <v>320040005</v>
      </c>
      <c r="T156" t="s">
        <v>7</v>
      </c>
      <c r="U156" s="3" t="str">
        <f>+VLOOKUP(Sites_per_tag[[#This Row],[Activity_tag]],Parameter!$A$24:$B$32,2,0)</f>
        <v>SMP</v>
      </c>
      <c r="W156">
        <v>47.591825999999998</v>
      </c>
      <c r="X156">
        <v>-23.351811000000001</v>
      </c>
    </row>
    <row r="157" spans="1:24" x14ac:dyDescent="0.35">
      <c r="A157" s="3" t="str">
        <f t="shared" si="2"/>
        <v>320040007SMP</v>
      </c>
      <c r="B157" t="s">
        <v>6193</v>
      </c>
      <c r="C157">
        <f>+VLOOKUP(Sites_per_tag[[#This Row],[Field_office]],Parameter!$A$3:$B$11,2,0)</f>
        <v>4</v>
      </c>
      <c r="E157" t="s">
        <v>5658</v>
      </c>
      <c r="F157" t="s">
        <v>5659</v>
      </c>
      <c r="H157" t="str">
        <f ca="1">PROPER(Sites_per_tag[[#This Row],[Adm2Name]])</f>
        <v>Vangaindrano</v>
      </c>
      <c r="I157" t="s">
        <v>5734</v>
      </c>
      <c r="K157" t="s">
        <v>534</v>
      </c>
      <c r="L157" t="s">
        <v>5761</v>
      </c>
      <c r="Q157" t="s">
        <v>6206</v>
      </c>
      <c r="R157">
        <v>320040007</v>
      </c>
      <c r="T157" t="s">
        <v>7</v>
      </c>
      <c r="U157" s="3" t="str">
        <f>+VLOOKUP(Sites_per_tag[[#This Row],[Activity_tag]],Parameter!$A$24:$B$32,2,0)</f>
        <v>SMP</v>
      </c>
      <c r="W157">
        <v>47.589329999999997</v>
      </c>
      <c r="X157">
        <v>-23.374770000000002</v>
      </c>
    </row>
    <row r="158" spans="1:24" x14ac:dyDescent="0.35">
      <c r="A158" s="3" t="str">
        <f t="shared" si="2"/>
        <v>320040009SMP</v>
      </c>
      <c r="B158" t="s">
        <v>6193</v>
      </c>
      <c r="C158">
        <f>+VLOOKUP(Sites_per_tag[[#This Row],[Field_office]],Parameter!$A$3:$B$11,2,0)</f>
        <v>4</v>
      </c>
      <c r="E158" t="s">
        <v>5658</v>
      </c>
      <c r="F158" t="s">
        <v>5659</v>
      </c>
      <c r="H158" t="str">
        <f ca="1">PROPER(Sites_per_tag[[#This Row],[Adm2Name]])</f>
        <v>Vangaindrano</v>
      </c>
      <c r="I158" t="s">
        <v>5734</v>
      </c>
      <c r="K158" t="s">
        <v>534</v>
      </c>
      <c r="L158" t="s">
        <v>5761</v>
      </c>
      <c r="Q158" t="s">
        <v>93</v>
      </c>
      <c r="R158">
        <v>320040009</v>
      </c>
      <c r="T158" t="s">
        <v>7</v>
      </c>
      <c r="U158" s="3" t="str">
        <f>+VLOOKUP(Sites_per_tag[[#This Row],[Activity_tag]],Parameter!$A$24:$B$32,2,0)</f>
        <v>SMP</v>
      </c>
      <c r="W158">
        <v>47.589329999999997</v>
      </c>
      <c r="X158">
        <v>-23.374770000000002</v>
      </c>
    </row>
    <row r="159" spans="1:24" x14ac:dyDescent="0.35">
      <c r="A159" s="3" t="str">
        <f t="shared" si="2"/>
        <v>320040012SMP</v>
      </c>
      <c r="B159" t="s">
        <v>6193</v>
      </c>
      <c r="C159">
        <f>+VLOOKUP(Sites_per_tag[[#This Row],[Field_office]],Parameter!$A$3:$B$11,2,0)</f>
        <v>4</v>
      </c>
      <c r="E159" t="s">
        <v>5658</v>
      </c>
      <c r="F159" t="s">
        <v>5659</v>
      </c>
      <c r="H159" t="str">
        <f ca="1">PROPER(Sites_per_tag[[#This Row],[Adm2Name]])</f>
        <v>Vangaindrano</v>
      </c>
      <c r="I159" t="s">
        <v>5734</v>
      </c>
      <c r="K159" t="s">
        <v>534</v>
      </c>
      <c r="L159" t="s">
        <v>5761</v>
      </c>
      <c r="Q159" t="s">
        <v>3856</v>
      </c>
      <c r="R159">
        <v>320040012</v>
      </c>
      <c r="T159" t="s">
        <v>7</v>
      </c>
      <c r="U159" s="3" t="str">
        <f>+VLOOKUP(Sites_per_tag[[#This Row],[Activity_tag]],Parameter!$A$24:$B$32,2,0)</f>
        <v>SMP</v>
      </c>
      <c r="W159">
        <v>47.589329999999997</v>
      </c>
      <c r="X159">
        <v>-23.374770000000002</v>
      </c>
    </row>
    <row r="160" spans="1:24" x14ac:dyDescent="0.35">
      <c r="A160" s="3" t="str">
        <f t="shared" si="2"/>
        <v>320050003SMP</v>
      </c>
      <c r="B160" t="s">
        <v>6193</v>
      </c>
      <c r="C160">
        <f>+VLOOKUP(Sites_per_tag[[#This Row],[Field_office]],Parameter!$A$3:$B$11,2,0)</f>
        <v>4</v>
      </c>
      <c r="E160" t="s">
        <v>5658</v>
      </c>
      <c r="F160" t="s">
        <v>5659</v>
      </c>
      <c r="H160" t="str">
        <f ca="1">PROPER(Sites_per_tag[[#This Row],[Adm2Name]])</f>
        <v>Vangaindrano</v>
      </c>
      <c r="I160" t="s">
        <v>5734</v>
      </c>
      <c r="K160" t="s">
        <v>550</v>
      </c>
      <c r="L160" t="s">
        <v>5767</v>
      </c>
      <c r="Q160" t="s">
        <v>6207</v>
      </c>
      <c r="R160">
        <v>320050003</v>
      </c>
      <c r="T160" t="s">
        <v>7</v>
      </c>
      <c r="U160" s="3" t="str">
        <f>+VLOOKUP(Sites_per_tag[[#This Row],[Activity_tag]],Parameter!$A$24:$B$32,2,0)</f>
        <v>SMP</v>
      </c>
      <c r="W160">
        <v>47.414729999999999</v>
      </c>
      <c r="X160">
        <v>-23.381799999999998</v>
      </c>
    </row>
    <row r="161" spans="1:24" x14ac:dyDescent="0.35">
      <c r="A161" s="3" t="str">
        <f t="shared" si="2"/>
        <v>320050008SMP</v>
      </c>
      <c r="B161" t="s">
        <v>6193</v>
      </c>
      <c r="C161">
        <f>+VLOOKUP(Sites_per_tag[[#This Row],[Field_office]],Parameter!$A$3:$B$11,2,0)</f>
        <v>4</v>
      </c>
      <c r="E161" t="s">
        <v>5658</v>
      </c>
      <c r="F161" t="s">
        <v>5659</v>
      </c>
      <c r="H161" t="str">
        <f ca="1">PROPER(Sites_per_tag[[#This Row],[Adm2Name]])</f>
        <v>Vangaindrano</v>
      </c>
      <c r="I161" t="s">
        <v>5734</v>
      </c>
      <c r="K161" t="s">
        <v>550</v>
      </c>
      <c r="L161" t="s">
        <v>5767</v>
      </c>
      <c r="Q161" t="s">
        <v>2810</v>
      </c>
      <c r="R161">
        <v>320050008</v>
      </c>
      <c r="T161" t="s">
        <v>7</v>
      </c>
      <c r="U161" s="3" t="str">
        <f>+VLOOKUP(Sites_per_tag[[#This Row],[Activity_tag]],Parameter!$A$24:$B$32,2,0)</f>
        <v>SMP</v>
      </c>
      <c r="W161">
        <v>47.506574999999998</v>
      </c>
      <c r="X161">
        <v>-23.365559999999999</v>
      </c>
    </row>
    <row r="162" spans="1:24" x14ac:dyDescent="0.35">
      <c r="A162" s="3" t="str">
        <f t="shared" si="2"/>
        <v>320050012SMP</v>
      </c>
      <c r="B162" t="s">
        <v>6193</v>
      </c>
      <c r="C162">
        <f>+VLOOKUP(Sites_per_tag[[#This Row],[Field_office]],Parameter!$A$3:$B$11,2,0)</f>
        <v>4</v>
      </c>
      <c r="E162" t="s">
        <v>5658</v>
      </c>
      <c r="F162" t="s">
        <v>5659</v>
      </c>
      <c r="H162" t="str">
        <f ca="1">PROPER(Sites_per_tag[[#This Row],[Adm2Name]])</f>
        <v>Vangaindrano</v>
      </c>
      <c r="I162" t="s">
        <v>5734</v>
      </c>
      <c r="K162" t="s">
        <v>550</v>
      </c>
      <c r="L162" t="s">
        <v>5767</v>
      </c>
      <c r="Q162" t="s">
        <v>3528</v>
      </c>
      <c r="R162">
        <v>320050012</v>
      </c>
      <c r="T162" t="s">
        <v>7</v>
      </c>
      <c r="U162" s="3" t="str">
        <f>+VLOOKUP(Sites_per_tag[[#This Row],[Activity_tag]],Parameter!$A$24:$B$32,2,0)</f>
        <v>SMP</v>
      </c>
      <c r="W162">
        <v>47.450425000000003</v>
      </c>
      <c r="X162">
        <v>-23.295480999999999</v>
      </c>
    </row>
    <row r="163" spans="1:24" x14ac:dyDescent="0.35">
      <c r="A163" s="3" t="str">
        <f t="shared" si="2"/>
        <v>320070002SMP</v>
      </c>
      <c r="B163" t="s">
        <v>6193</v>
      </c>
      <c r="C163">
        <f>+VLOOKUP(Sites_per_tag[[#This Row],[Field_office]],Parameter!$A$3:$B$11,2,0)</f>
        <v>4</v>
      </c>
      <c r="E163" t="s">
        <v>5658</v>
      </c>
      <c r="F163" t="s">
        <v>5659</v>
      </c>
      <c r="H163" t="str">
        <f ca="1">PROPER(Sites_per_tag[[#This Row],[Adm2Name]])</f>
        <v>Vangaindrano</v>
      </c>
      <c r="I163" t="s">
        <v>5734</v>
      </c>
      <c r="K163" t="s">
        <v>1827</v>
      </c>
      <c r="L163" t="s">
        <v>5897</v>
      </c>
      <c r="Q163" t="s">
        <v>1827</v>
      </c>
      <c r="R163">
        <v>320070002</v>
      </c>
      <c r="T163" t="s">
        <v>7</v>
      </c>
      <c r="U163" s="3" t="str">
        <f>+VLOOKUP(Sites_per_tag[[#This Row],[Activity_tag]],Parameter!$A$24:$B$32,2,0)</f>
        <v>SMP</v>
      </c>
      <c r="W163">
        <v>47.615537000000003</v>
      </c>
      <c r="X163">
        <v>-23.363513000000001</v>
      </c>
    </row>
    <row r="164" spans="1:24" x14ac:dyDescent="0.35">
      <c r="A164" s="3" t="str">
        <f t="shared" si="2"/>
        <v>320110003SMP</v>
      </c>
      <c r="B164" t="s">
        <v>6193</v>
      </c>
      <c r="C164">
        <f>+VLOOKUP(Sites_per_tag[[#This Row],[Field_office]],Parameter!$A$3:$B$11,2,0)</f>
        <v>4</v>
      </c>
      <c r="E164" t="s">
        <v>5658</v>
      </c>
      <c r="F164" t="s">
        <v>5659</v>
      </c>
      <c r="H164" t="str">
        <f ca="1">PROPER(Sites_per_tag[[#This Row],[Adm2Name]])</f>
        <v>Vangaindrano</v>
      </c>
      <c r="I164" t="s">
        <v>5734</v>
      </c>
      <c r="K164" t="s">
        <v>5977</v>
      </c>
      <c r="L164" t="s">
        <v>5978</v>
      </c>
      <c r="Q164" t="s">
        <v>109</v>
      </c>
      <c r="R164">
        <v>320110003</v>
      </c>
      <c r="T164" t="s">
        <v>7</v>
      </c>
      <c r="U164" s="3" t="str">
        <f>+VLOOKUP(Sites_per_tag[[#This Row],[Activity_tag]],Parameter!$A$24:$B$32,2,0)</f>
        <v>SMP</v>
      </c>
      <c r="W164">
        <v>47.391480000000001</v>
      </c>
      <c r="X164">
        <v>-23.744800000000001</v>
      </c>
    </row>
    <row r="165" spans="1:24" x14ac:dyDescent="0.35">
      <c r="A165" s="3" t="str">
        <f t="shared" si="2"/>
        <v>320110005SMP</v>
      </c>
      <c r="B165" t="s">
        <v>6193</v>
      </c>
      <c r="C165">
        <f>+VLOOKUP(Sites_per_tag[[#This Row],[Field_office]],Parameter!$A$3:$B$11,2,0)</f>
        <v>4</v>
      </c>
      <c r="E165" t="s">
        <v>5658</v>
      </c>
      <c r="F165" t="s">
        <v>5659</v>
      </c>
      <c r="H165" t="str">
        <f ca="1">PROPER(Sites_per_tag[[#This Row],[Adm2Name]])</f>
        <v>Vangaindrano</v>
      </c>
      <c r="I165" t="s">
        <v>5734</v>
      </c>
      <c r="K165" t="s">
        <v>5977</v>
      </c>
      <c r="L165" t="s">
        <v>5978</v>
      </c>
      <c r="Q165" t="s">
        <v>914</v>
      </c>
      <c r="R165">
        <v>320110005</v>
      </c>
      <c r="T165" t="s">
        <v>7</v>
      </c>
      <c r="U165" s="3" t="str">
        <f>+VLOOKUP(Sites_per_tag[[#This Row],[Activity_tag]],Parameter!$A$24:$B$32,2,0)</f>
        <v>SMP</v>
      </c>
      <c r="W165">
        <v>47.391480000000001</v>
      </c>
      <c r="X165">
        <v>-23.744800000000001</v>
      </c>
    </row>
    <row r="166" spans="1:24" x14ac:dyDescent="0.35">
      <c r="A166" s="3" t="str">
        <f t="shared" si="2"/>
        <v>320110010SMP</v>
      </c>
      <c r="B166" t="s">
        <v>6193</v>
      </c>
      <c r="C166">
        <f>+VLOOKUP(Sites_per_tag[[#This Row],[Field_office]],Parameter!$A$3:$B$11,2,0)</f>
        <v>4</v>
      </c>
      <c r="E166" t="s">
        <v>5658</v>
      </c>
      <c r="F166" t="s">
        <v>5659</v>
      </c>
      <c r="H166" t="str">
        <f ca="1">PROPER(Sites_per_tag[[#This Row],[Adm2Name]])</f>
        <v>Vangaindrano</v>
      </c>
      <c r="I166" t="s">
        <v>5734</v>
      </c>
      <c r="K166" t="s">
        <v>5977</v>
      </c>
      <c r="L166" t="s">
        <v>5978</v>
      </c>
      <c r="Q166" t="s">
        <v>3519</v>
      </c>
      <c r="R166">
        <v>320110010</v>
      </c>
      <c r="T166" t="s">
        <v>7</v>
      </c>
      <c r="U166" s="3" t="str">
        <f>+VLOOKUP(Sites_per_tag[[#This Row],[Activity_tag]],Parameter!$A$24:$B$32,2,0)</f>
        <v>SMP</v>
      </c>
      <c r="W166">
        <v>47.391480000000001</v>
      </c>
      <c r="X166">
        <v>-23.744800000000001</v>
      </c>
    </row>
    <row r="167" spans="1:24" x14ac:dyDescent="0.35">
      <c r="A167" s="3" t="str">
        <f t="shared" si="2"/>
        <v>320140003SMP</v>
      </c>
      <c r="B167" t="s">
        <v>6193</v>
      </c>
      <c r="C167">
        <f>+VLOOKUP(Sites_per_tag[[#This Row],[Field_office]],Parameter!$A$3:$B$11,2,0)</f>
        <v>4</v>
      </c>
      <c r="E167" t="s">
        <v>5658</v>
      </c>
      <c r="F167" t="s">
        <v>5659</v>
      </c>
      <c r="H167" t="str">
        <f ca="1">PROPER(Sites_per_tag[[#This Row],[Adm2Name]])</f>
        <v>Vangaindrano</v>
      </c>
      <c r="I167" t="s">
        <v>5734</v>
      </c>
      <c r="K167" t="s">
        <v>2713</v>
      </c>
      <c r="L167" t="s">
        <v>5999</v>
      </c>
      <c r="Q167" t="s">
        <v>662</v>
      </c>
      <c r="R167">
        <v>320140003</v>
      </c>
      <c r="T167" t="s">
        <v>7</v>
      </c>
      <c r="U167" s="3" t="str">
        <f>+VLOOKUP(Sites_per_tag[[#This Row],[Activity_tag]],Parameter!$A$24:$B$32,2,0)</f>
        <v>SMP</v>
      </c>
      <c r="W167">
        <v>47.6798</v>
      </c>
      <c r="X167">
        <v>-23.262329999999999</v>
      </c>
    </row>
    <row r="168" spans="1:24" x14ac:dyDescent="0.35">
      <c r="A168" s="3" t="str">
        <f t="shared" si="2"/>
        <v>320140005SMP</v>
      </c>
      <c r="B168" t="s">
        <v>6193</v>
      </c>
      <c r="C168">
        <f>+VLOOKUP(Sites_per_tag[[#This Row],[Field_office]],Parameter!$A$3:$B$11,2,0)</f>
        <v>4</v>
      </c>
      <c r="E168" t="s">
        <v>5658</v>
      </c>
      <c r="F168" t="s">
        <v>5659</v>
      </c>
      <c r="H168" t="str">
        <f ca="1">PROPER(Sites_per_tag[[#This Row],[Adm2Name]])</f>
        <v>Vangaindrano</v>
      </c>
      <c r="I168" t="s">
        <v>5734</v>
      </c>
      <c r="K168" t="s">
        <v>2713</v>
      </c>
      <c r="L168" t="s">
        <v>5999</v>
      </c>
      <c r="Q168" t="s">
        <v>2016</v>
      </c>
      <c r="R168">
        <v>320140005</v>
      </c>
      <c r="T168" t="s">
        <v>7</v>
      </c>
      <c r="U168" s="3" t="str">
        <f>+VLOOKUP(Sites_per_tag[[#This Row],[Activity_tag]],Parameter!$A$24:$B$32,2,0)</f>
        <v>SMP</v>
      </c>
      <c r="W168">
        <v>47.677155999999997</v>
      </c>
      <c r="X168">
        <v>-23.221170999999998</v>
      </c>
    </row>
    <row r="169" spans="1:24" x14ac:dyDescent="0.35">
      <c r="A169" s="3" t="str">
        <f t="shared" si="2"/>
        <v>320140010SMP</v>
      </c>
      <c r="B169" t="s">
        <v>6193</v>
      </c>
      <c r="C169">
        <f>+VLOOKUP(Sites_per_tag[[#This Row],[Field_office]],Parameter!$A$3:$B$11,2,0)</f>
        <v>4</v>
      </c>
      <c r="E169" t="s">
        <v>5658</v>
      </c>
      <c r="F169" t="s">
        <v>5659</v>
      </c>
      <c r="H169" t="str">
        <f ca="1">PROPER(Sites_per_tag[[#This Row],[Adm2Name]])</f>
        <v>Vangaindrano</v>
      </c>
      <c r="I169" t="s">
        <v>5734</v>
      </c>
      <c r="K169" t="s">
        <v>2713</v>
      </c>
      <c r="L169" t="s">
        <v>5999</v>
      </c>
      <c r="Q169" t="s">
        <v>2738</v>
      </c>
      <c r="R169">
        <v>320140010</v>
      </c>
      <c r="T169" t="s">
        <v>7</v>
      </c>
      <c r="U169" s="3" t="str">
        <f>+VLOOKUP(Sites_per_tag[[#This Row],[Activity_tag]],Parameter!$A$24:$B$32,2,0)</f>
        <v>SMP</v>
      </c>
      <c r="W169">
        <v>47.601989000000003</v>
      </c>
      <c r="X169">
        <v>-23.302510999999999</v>
      </c>
    </row>
    <row r="170" spans="1:24" x14ac:dyDescent="0.35">
      <c r="A170" s="3" t="str">
        <f t="shared" si="2"/>
        <v>320140013SMP</v>
      </c>
      <c r="B170" t="s">
        <v>6193</v>
      </c>
      <c r="C170">
        <f>+VLOOKUP(Sites_per_tag[[#This Row],[Field_office]],Parameter!$A$3:$B$11,2,0)</f>
        <v>4</v>
      </c>
      <c r="E170" t="s">
        <v>5658</v>
      </c>
      <c r="F170" t="s">
        <v>5659</v>
      </c>
      <c r="H170" t="str">
        <f ca="1">PROPER(Sites_per_tag[[#This Row],[Adm2Name]])</f>
        <v>Vangaindrano</v>
      </c>
      <c r="I170" t="s">
        <v>5734</v>
      </c>
      <c r="K170" t="s">
        <v>2713</v>
      </c>
      <c r="L170" t="s">
        <v>5999</v>
      </c>
      <c r="Q170" t="s">
        <v>3145</v>
      </c>
      <c r="R170">
        <v>320140013</v>
      </c>
      <c r="T170" t="s">
        <v>7</v>
      </c>
      <c r="U170" s="3" t="str">
        <f>+VLOOKUP(Sites_per_tag[[#This Row],[Activity_tag]],Parameter!$A$24:$B$32,2,0)</f>
        <v>SMP</v>
      </c>
      <c r="W170">
        <v>47.6798</v>
      </c>
      <c r="X170">
        <v>-23.262329999999999</v>
      </c>
    </row>
    <row r="171" spans="1:24" x14ac:dyDescent="0.35">
      <c r="A171" s="3" t="str">
        <f t="shared" si="2"/>
        <v>320170009SMP</v>
      </c>
      <c r="B171" t="s">
        <v>6193</v>
      </c>
      <c r="C171">
        <f>+VLOOKUP(Sites_per_tag[[#This Row],[Field_office]],Parameter!$A$3:$B$11,2,0)</f>
        <v>4</v>
      </c>
      <c r="E171" t="s">
        <v>6198</v>
      </c>
      <c r="F171" t="s">
        <v>5659</v>
      </c>
      <c r="H171" t="str">
        <f ca="1">PROPER(Sites_per_tag[[#This Row],[Adm2Name]])</f>
        <v>Vangaindrano</v>
      </c>
      <c r="I171" t="s">
        <v>5734</v>
      </c>
      <c r="K171" t="s">
        <v>6058</v>
      </c>
      <c r="L171" t="s">
        <v>6059</v>
      </c>
      <c r="Q171" t="s">
        <v>6208</v>
      </c>
      <c r="R171">
        <v>320170009</v>
      </c>
      <c r="T171" t="s">
        <v>7</v>
      </c>
      <c r="U171" s="3" t="str">
        <f>+VLOOKUP(Sites_per_tag[[#This Row],[Activity_tag]],Parameter!$A$24:$B$32,2,0)</f>
        <v>SMP</v>
      </c>
      <c r="W171">
        <v>47.572670000000002</v>
      </c>
      <c r="X171">
        <v>-23.591149999999999</v>
      </c>
    </row>
    <row r="172" spans="1:24" x14ac:dyDescent="0.35">
      <c r="A172" s="3" t="str">
        <f t="shared" si="2"/>
        <v>320190017SMP</v>
      </c>
      <c r="B172" t="s">
        <v>6193</v>
      </c>
      <c r="C172">
        <f>+VLOOKUP(Sites_per_tag[[#This Row],[Field_office]],Parameter!$A$3:$B$11,2,0)</f>
        <v>4</v>
      </c>
      <c r="E172" t="s">
        <v>5658</v>
      </c>
      <c r="F172" t="s">
        <v>5659</v>
      </c>
      <c r="H172" t="str">
        <f ca="1">PROPER(Sites_per_tag[[#This Row],[Adm2Name]])</f>
        <v>Vangaindrano</v>
      </c>
      <c r="I172" t="s">
        <v>5734</v>
      </c>
      <c r="K172" t="s">
        <v>3315</v>
      </c>
      <c r="L172" t="s">
        <v>6086</v>
      </c>
      <c r="Q172" t="s">
        <v>6209</v>
      </c>
      <c r="R172">
        <v>320190017</v>
      </c>
      <c r="T172" t="s">
        <v>7</v>
      </c>
      <c r="U172" s="3" t="str">
        <f>+VLOOKUP(Sites_per_tag[[#This Row],[Activity_tag]],Parameter!$A$24:$B$32,2,0)</f>
        <v>SMP</v>
      </c>
      <c r="W172">
        <v>47.320270000000001</v>
      </c>
      <c r="X172">
        <v>-23.540220000000001</v>
      </c>
    </row>
    <row r="173" spans="1:24" x14ac:dyDescent="0.35">
      <c r="A173" s="3" t="str">
        <f t="shared" si="2"/>
        <v>320210003SMP</v>
      </c>
      <c r="B173" t="s">
        <v>6193</v>
      </c>
      <c r="C173">
        <f>+VLOOKUP(Sites_per_tag[[#This Row],[Field_office]],Parameter!$A$3:$B$11,2,0)</f>
        <v>4</v>
      </c>
      <c r="E173" t="s">
        <v>5658</v>
      </c>
      <c r="F173" t="s">
        <v>5659</v>
      </c>
      <c r="H173" t="str">
        <f ca="1">PROPER(Sites_per_tag[[#This Row],[Adm2Name]])</f>
        <v>Vangaindrano</v>
      </c>
      <c r="I173" t="s">
        <v>5734</v>
      </c>
      <c r="K173" t="s">
        <v>3498</v>
      </c>
      <c r="L173" t="s">
        <v>6108</v>
      </c>
      <c r="Q173" t="s">
        <v>2537</v>
      </c>
      <c r="R173">
        <v>320210003</v>
      </c>
      <c r="T173" t="s">
        <v>7</v>
      </c>
      <c r="U173" s="3" t="str">
        <f>+VLOOKUP(Sites_per_tag[[#This Row],[Activity_tag]],Parameter!$A$24:$B$32,2,0)</f>
        <v>SMP</v>
      </c>
      <c r="W173">
        <v>47.551614000000001</v>
      </c>
      <c r="X173">
        <v>-23.319254000000001</v>
      </c>
    </row>
    <row r="174" spans="1:24" x14ac:dyDescent="0.35">
      <c r="A174" s="3" t="str">
        <f t="shared" si="2"/>
        <v>320210005SMP</v>
      </c>
      <c r="B174" t="s">
        <v>6193</v>
      </c>
      <c r="C174">
        <f>+VLOOKUP(Sites_per_tag[[#This Row],[Field_office]],Parameter!$A$3:$B$11,2,0)</f>
        <v>4</v>
      </c>
      <c r="E174" t="s">
        <v>5658</v>
      </c>
      <c r="F174" t="s">
        <v>5659</v>
      </c>
      <c r="H174" t="str">
        <f ca="1">PROPER(Sites_per_tag[[#This Row],[Adm2Name]])</f>
        <v>Vangaindrano</v>
      </c>
      <c r="I174" t="s">
        <v>5734</v>
      </c>
      <c r="K174" t="s">
        <v>3498</v>
      </c>
      <c r="L174" t="s">
        <v>6108</v>
      </c>
      <c r="Q174" t="s">
        <v>3073</v>
      </c>
      <c r="R174">
        <v>320210005</v>
      </c>
      <c r="T174" t="s">
        <v>7</v>
      </c>
      <c r="U174" s="3" t="str">
        <f>+VLOOKUP(Sites_per_tag[[#This Row],[Activity_tag]],Parameter!$A$24:$B$32,2,0)</f>
        <v>SMP</v>
      </c>
      <c r="W174">
        <v>47.608578999999999</v>
      </c>
      <c r="X174">
        <v>-23.330991999999998</v>
      </c>
    </row>
    <row r="175" spans="1:24" x14ac:dyDescent="0.35">
      <c r="A175" s="3" t="str">
        <f t="shared" si="2"/>
        <v>320230002SMP</v>
      </c>
      <c r="B175" t="s">
        <v>6193</v>
      </c>
      <c r="C175">
        <f>+VLOOKUP(Sites_per_tag[[#This Row],[Field_office]],Parameter!$A$3:$B$11,2,0)</f>
        <v>4</v>
      </c>
      <c r="E175" t="s">
        <v>5658</v>
      </c>
      <c r="F175" t="s">
        <v>5659</v>
      </c>
      <c r="H175" t="str">
        <f ca="1">PROPER(Sites_per_tag[[#This Row],[Adm2Name]])</f>
        <v>Vangaindrano</v>
      </c>
      <c r="I175" t="s">
        <v>5734</v>
      </c>
      <c r="K175" t="s">
        <v>3752</v>
      </c>
      <c r="L175" t="s">
        <v>6145</v>
      </c>
      <c r="Q175" t="s">
        <v>677</v>
      </c>
      <c r="R175">
        <v>320230002</v>
      </c>
      <c r="T175" t="s">
        <v>7</v>
      </c>
      <c r="U175" s="3" t="str">
        <f>+VLOOKUP(Sites_per_tag[[#This Row],[Activity_tag]],Parameter!$A$24:$B$32,2,0)</f>
        <v>SMP</v>
      </c>
      <c r="W175">
        <v>47.663916999999998</v>
      </c>
      <c r="X175">
        <v>-23.339378</v>
      </c>
    </row>
    <row r="176" spans="1:24" x14ac:dyDescent="0.35">
      <c r="A176" s="3" t="str">
        <f t="shared" si="2"/>
        <v>320230007SMP</v>
      </c>
      <c r="B176" t="s">
        <v>6193</v>
      </c>
      <c r="C176">
        <f>+VLOOKUP(Sites_per_tag[[#This Row],[Field_office]],Parameter!$A$3:$B$11,2,0)</f>
        <v>4</v>
      </c>
      <c r="E176" t="s">
        <v>5658</v>
      </c>
      <c r="F176" t="s">
        <v>5659</v>
      </c>
      <c r="H176" t="str">
        <f ca="1">PROPER(Sites_per_tag[[#This Row],[Adm2Name]])</f>
        <v>Vangaindrano</v>
      </c>
      <c r="I176" t="s">
        <v>5734</v>
      </c>
      <c r="K176" t="s">
        <v>3752</v>
      </c>
      <c r="L176" t="s">
        <v>6145</v>
      </c>
      <c r="Q176" t="s">
        <v>3719</v>
      </c>
      <c r="R176">
        <v>320230007</v>
      </c>
      <c r="T176" t="s">
        <v>7</v>
      </c>
      <c r="U176" s="3" t="str">
        <f>+VLOOKUP(Sites_per_tag[[#This Row],[Activity_tag]],Parameter!$A$24:$B$32,2,0)</f>
        <v>SMP</v>
      </c>
      <c r="W176">
        <v>47.688485</v>
      </c>
      <c r="X176">
        <v>-23.287168999999999</v>
      </c>
    </row>
    <row r="177" spans="1:24" x14ac:dyDescent="0.35">
      <c r="A177" s="3" t="str">
        <f t="shared" si="2"/>
        <v>320230009SMP</v>
      </c>
      <c r="B177" t="s">
        <v>6193</v>
      </c>
      <c r="C177">
        <f>+VLOOKUP(Sites_per_tag[[#This Row],[Field_office]],Parameter!$A$3:$B$11,2,0)</f>
        <v>4</v>
      </c>
      <c r="E177" t="s">
        <v>5658</v>
      </c>
      <c r="F177" t="s">
        <v>5659</v>
      </c>
      <c r="H177" t="str">
        <f ca="1">PROPER(Sites_per_tag[[#This Row],[Adm2Name]])</f>
        <v>Vangaindrano</v>
      </c>
      <c r="I177" t="s">
        <v>5734</v>
      </c>
      <c r="K177" t="s">
        <v>3752</v>
      </c>
      <c r="L177" t="s">
        <v>6145</v>
      </c>
      <c r="Q177" t="s">
        <v>3833</v>
      </c>
      <c r="R177">
        <v>320230009</v>
      </c>
      <c r="T177" t="s">
        <v>7</v>
      </c>
      <c r="U177" s="3" t="str">
        <f>+VLOOKUP(Sites_per_tag[[#This Row],[Activity_tag]],Parameter!$A$24:$B$32,2,0)</f>
        <v>SMP</v>
      </c>
      <c r="W177">
        <v>47.631901999999997</v>
      </c>
      <c r="X177">
        <v>-23.299125</v>
      </c>
    </row>
    <row r="178" spans="1:24" x14ac:dyDescent="0.35">
      <c r="A178" s="3" t="str">
        <f t="shared" si="2"/>
        <v>320240011SMP</v>
      </c>
      <c r="B178" t="s">
        <v>6193</v>
      </c>
      <c r="C178">
        <f>+VLOOKUP(Sites_per_tag[[#This Row],[Field_office]],Parameter!$A$3:$B$11,2,0)</f>
        <v>4</v>
      </c>
      <c r="E178" t="s">
        <v>5658</v>
      </c>
      <c r="F178" t="s">
        <v>5659</v>
      </c>
      <c r="H178" t="str">
        <f ca="1">PROPER(Sites_per_tag[[#This Row],[Adm2Name]])</f>
        <v>Vangaindrano</v>
      </c>
      <c r="I178" t="s">
        <v>5734</v>
      </c>
      <c r="K178" t="s">
        <v>5618</v>
      </c>
      <c r="L178" t="s">
        <v>6152</v>
      </c>
      <c r="Q178" t="s">
        <v>3634</v>
      </c>
      <c r="R178">
        <v>320240011</v>
      </c>
      <c r="T178" t="s">
        <v>7</v>
      </c>
      <c r="U178" s="3" t="str">
        <f>+VLOOKUP(Sites_per_tag[[#This Row],[Activity_tag]],Parameter!$A$24:$B$32,2,0)</f>
        <v>SMP</v>
      </c>
      <c r="W178">
        <v>47.620860999999998</v>
      </c>
      <c r="X178">
        <v>-23.361108000000002</v>
      </c>
    </row>
    <row r="179" spans="1:24" x14ac:dyDescent="0.35">
      <c r="A179" s="3" t="str">
        <f t="shared" si="2"/>
        <v>320240020SMP</v>
      </c>
      <c r="B179" t="s">
        <v>6193</v>
      </c>
      <c r="C179">
        <f>+VLOOKUP(Sites_per_tag[[#This Row],[Field_office]],Parameter!$A$3:$B$11,2,0)</f>
        <v>4</v>
      </c>
      <c r="E179" t="s">
        <v>5658</v>
      </c>
      <c r="F179" t="s">
        <v>5659</v>
      </c>
      <c r="H179" t="str">
        <f ca="1">PROPER(Sites_per_tag[[#This Row],[Adm2Name]])</f>
        <v>Vangaindrano</v>
      </c>
      <c r="I179" t="s">
        <v>5734</v>
      </c>
      <c r="K179" t="s">
        <v>5618</v>
      </c>
      <c r="L179" t="s">
        <v>6152</v>
      </c>
      <c r="Q179" t="s">
        <v>2256</v>
      </c>
      <c r="R179">
        <v>320240020</v>
      </c>
      <c r="T179" t="s">
        <v>7</v>
      </c>
      <c r="U179" s="3" t="str">
        <f>+VLOOKUP(Sites_per_tag[[#This Row],[Activity_tag]],Parameter!$A$24:$B$32,2,0)</f>
        <v>SMP</v>
      </c>
      <c r="W179">
        <v>47.644401000000002</v>
      </c>
      <c r="X179">
        <v>-23.408282</v>
      </c>
    </row>
    <row r="180" spans="1:24" x14ac:dyDescent="0.35">
      <c r="A180" s="3" t="str">
        <f t="shared" si="2"/>
        <v>320280005SMP</v>
      </c>
      <c r="B180" t="s">
        <v>6193</v>
      </c>
      <c r="C180">
        <f>+VLOOKUP(Sites_per_tag[[#This Row],[Field_office]],Parameter!$A$3:$B$11,2,0)</f>
        <v>4</v>
      </c>
      <c r="E180" t="s">
        <v>5658</v>
      </c>
      <c r="F180" t="s">
        <v>5659</v>
      </c>
      <c r="H180" t="str">
        <f ca="1">PROPER(Sites_per_tag[[#This Row],[Adm2Name]])</f>
        <v>Vangaindrano</v>
      </c>
      <c r="I180" t="s">
        <v>5734</v>
      </c>
      <c r="K180" t="s">
        <v>3945</v>
      </c>
      <c r="L180" t="s">
        <v>6170</v>
      </c>
      <c r="Q180" t="s">
        <v>6200</v>
      </c>
      <c r="R180">
        <v>320280005</v>
      </c>
      <c r="T180" t="s">
        <v>7</v>
      </c>
      <c r="U180" s="3" t="str">
        <f>+VLOOKUP(Sites_per_tag[[#This Row],[Activity_tag]],Parameter!$A$24:$B$32,2,0)</f>
        <v>SMP</v>
      </c>
      <c r="W180">
        <v>47.544319999999999</v>
      </c>
      <c r="X180">
        <v>-23.2166</v>
      </c>
    </row>
    <row r="181" spans="1:24" x14ac:dyDescent="0.35">
      <c r="A181" s="3" t="str">
        <f t="shared" si="2"/>
        <v>320280007SMP</v>
      </c>
      <c r="B181" t="s">
        <v>6193</v>
      </c>
      <c r="C181">
        <f>+VLOOKUP(Sites_per_tag[[#This Row],[Field_office]],Parameter!$A$3:$B$11,2,0)</f>
        <v>4</v>
      </c>
      <c r="E181" t="s">
        <v>5658</v>
      </c>
      <c r="F181" t="s">
        <v>5659</v>
      </c>
      <c r="H181" t="str">
        <f ca="1">PROPER(Sites_per_tag[[#This Row],[Adm2Name]])</f>
        <v>Vangaindrano</v>
      </c>
      <c r="I181" t="s">
        <v>5734</v>
      </c>
      <c r="K181" t="s">
        <v>2495</v>
      </c>
      <c r="L181" t="s">
        <v>5959</v>
      </c>
      <c r="Q181" t="s">
        <v>3147</v>
      </c>
      <c r="R181">
        <v>320280007</v>
      </c>
      <c r="T181" t="s">
        <v>7</v>
      </c>
      <c r="U181" s="3" t="str">
        <f>+VLOOKUP(Sites_per_tag[[#This Row],[Activity_tag]],Parameter!$A$24:$B$32,2,0)</f>
        <v>SMP</v>
      </c>
      <c r="W181">
        <v>47.559750000000001</v>
      </c>
      <c r="X181">
        <v>-23.31898</v>
      </c>
    </row>
    <row r="182" spans="1:24" x14ac:dyDescent="0.35">
      <c r="A182" s="3" t="str">
        <f t="shared" si="2"/>
        <v>320280009SMP</v>
      </c>
      <c r="B182" t="s">
        <v>6193</v>
      </c>
      <c r="C182">
        <f>+VLOOKUP(Sites_per_tag[[#This Row],[Field_office]],Parameter!$A$3:$B$11,2,0)</f>
        <v>4</v>
      </c>
      <c r="E182" t="s">
        <v>5658</v>
      </c>
      <c r="F182" t="s">
        <v>5659</v>
      </c>
      <c r="H182" t="str">
        <f ca="1">PROPER(Sites_per_tag[[#This Row],[Adm2Name]])</f>
        <v>Vangaindrano</v>
      </c>
      <c r="I182" t="s">
        <v>5734</v>
      </c>
      <c r="K182" t="s">
        <v>2495</v>
      </c>
      <c r="L182" t="s">
        <v>5959</v>
      </c>
      <c r="Q182" t="s">
        <v>3362</v>
      </c>
      <c r="R182">
        <v>320280009</v>
      </c>
      <c r="T182" t="s">
        <v>7</v>
      </c>
      <c r="U182" s="3" t="str">
        <f>+VLOOKUP(Sites_per_tag[[#This Row],[Activity_tag]],Parameter!$A$24:$B$32,2,0)</f>
        <v>SMP</v>
      </c>
      <c r="W182">
        <v>47.650173000000002</v>
      </c>
      <c r="X182">
        <v>-23.257353999999999</v>
      </c>
    </row>
    <row r="183" spans="1:24" x14ac:dyDescent="0.35">
      <c r="A183" s="3" t="str">
        <f t="shared" si="2"/>
        <v>320280012SMP</v>
      </c>
      <c r="B183" t="s">
        <v>6193</v>
      </c>
      <c r="C183">
        <f>+VLOOKUP(Sites_per_tag[[#This Row],[Field_office]],Parameter!$A$3:$B$11,2,0)</f>
        <v>4</v>
      </c>
      <c r="E183" t="s">
        <v>5658</v>
      </c>
      <c r="F183" t="s">
        <v>5659</v>
      </c>
      <c r="H183" t="str">
        <f ca="1">PROPER(Sites_per_tag[[#This Row],[Adm2Name]])</f>
        <v>Vangaindrano</v>
      </c>
      <c r="I183" t="s">
        <v>5734</v>
      </c>
      <c r="K183" t="s">
        <v>2495</v>
      </c>
      <c r="L183" t="s">
        <v>5959</v>
      </c>
      <c r="Q183" t="s">
        <v>3869</v>
      </c>
      <c r="R183">
        <v>320280012</v>
      </c>
      <c r="T183" t="s">
        <v>7</v>
      </c>
      <c r="U183" s="3" t="str">
        <f>+VLOOKUP(Sites_per_tag[[#This Row],[Activity_tag]],Parameter!$A$24:$B$32,2,0)</f>
        <v>SMP</v>
      </c>
      <c r="W183">
        <v>47.559750000000001</v>
      </c>
      <c r="X183">
        <v>-23.31898</v>
      </c>
    </row>
    <row r="184" spans="1:24" x14ac:dyDescent="0.35">
      <c r="A184" s="3" t="str">
        <f t="shared" si="2"/>
        <v>323100003SMP</v>
      </c>
      <c r="B184" t="s">
        <v>6188</v>
      </c>
      <c r="C184">
        <f>+VLOOKUP(Sites_per_tag[[#This Row],[Field_office]],Parameter!$A$3:$B$11,2,0)</f>
        <v>3</v>
      </c>
      <c r="E184" t="s">
        <v>5639</v>
      </c>
      <c r="F184" t="s">
        <v>5640</v>
      </c>
      <c r="H184" t="str">
        <f ca="1">PROPER(Sites_per_tag[[#This Row],[Adm2Name]])</f>
        <v>Manandriana</v>
      </c>
      <c r="I184" t="s">
        <v>5703</v>
      </c>
      <c r="K184" t="s">
        <v>6157</v>
      </c>
      <c r="L184" t="s">
        <v>6158</v>
      </c>
      <c r="Q184" t="s">
        <v>2649</v>
      </c>
      <c r="R184">
        <v>323100003</v>
      </c>
      <c r="T184" t="s">
        <v>7</v>
      </c>
      <c r="U184" s="3" t="str">
        <f>+VLOOKUP(Sites_per_tag[[#This Row],[Activity_tag]],Parameter!$A$24:$B$32,2,0)</f>
        <v>SMP</v>
      </c>
      <c r="W184">
        <v>47.060805999999999</v>
      </c>
      <c r="X184">
        <v>-20.61365</v>
      </c>
    </row>
    <row r="185" spans="1:24" x14ac:dyDescent="0.35">
      <c r="A185" s="3" t="str">
        <f t="shared" si="2"/>
        <v>323100005SMP</v>
      </c>
      <c r="B185" t="s">
        <v>6188</v>
      </c>
      <c r="C185">
        <f>+VLOOKUP(Sites_per_tag[[#This Row],[Field_office]],Parameter!$A$3:$B$11,2,0)</f>
        <v>3</v>
      </c>
      <c r="E185" t="s">
        <v>5639</v>
      </c>
      <c r="F185" t="s">
        <v>5640</v>
      </c>
      <c r="H185" t="str">
        <f ca="1">PROPER(Sites_per_tag[[#This Row],[Adm2Name]])</f>
        <v>Manandriana</v>
      </c>
      <c r="I185" t="s">
        <v>5703</v>
      </c>
      <c r="K185" t="s">
        <v>6157</v>
      </c>
      <c r="L185" t="s">
        <v>6158</v>
      </c>
      <c r="Q185" t="s">
        <v>3484</v>
      </c>
      <c r="R185">
        <v>323100005</v>
      </c>
      <c r="T185" t="s">
        <v>7</v>
      </c>
      <c r="U185" s="3" t="str">
        <f>+VLOOKUP(Sites_per_tag[[#This Row],[Activity_tag]],Parameter!$A$24:$B$32,2,0)</f>
        <v>SMP</v>
      </c>
      <c r="W185">
        <v>47.066823999999997</v>
      </c>
      <c r="X185">
        <v>-20.630485</v>
      </c>
    </row>
    <row r="186" spans="1:24" x14ac:dyDescent="0.35">
      <c r="A186" s="3" t="str">
        <f t="shared" si="2"/>
        <v>601010000SMP</v>
      </c>
      <c r="B186" t="s">
        <v>6210</v>
      </c>
      <c r="C186">
        <f>+VLOOKUP(Sites_per_tag[[#This Row],[Field_office]],Parameter!$A$3:$B$11,2,0)</f>
        <v>10</v>
      </c>
      <c r="E186" t="s">
        <v>5650</v>
      </c>
      <c r="F186" t="s">
        <v>5654</v>
      </c>
      <c r="H186" t="str">
        <f ca="1">PROPER(Sites_per_tag[[#This Row],[Adm2Name]])</f>
        <v>Toliary-I</v>
      </c>
      <c r="I186" t="s">
        <v>5726</v>
      </c>
      <c r="K186" t="s">
        <v>6132</v>
      </c>
      <c r="L186" t="s">
        <v>6133</v>
      </c>
      <c r="Q186" t="s">
        <v>2444</v>
      </c>
      <c r="R186">
        <v>601010000</v>
      </c>
      <c r="T186" t="s">
        <v>7</v>
      </c>
      <c r="U186" s="3" t="str">
        <f>+VLOOKUP(Sites_per_tag[[#This Row],[Activity_tag]],Parameter!$A$24:$B$32,2,0)</f>
        <v>SMP</v>
      </c>
      <c r="W186">
        <v>43.674230000000001</v>
      </c>
      <c r="X186">
        <v>-23.364249999999998</v>
      </c>
    </row>
    <row r="187" spans="1:24" x14ac:dyDescent="0.35">
      <c r="A187" s="3" t="str">
        <f t="shared" si="2"/>
        <v>601010007SMP</v>
      </c>
      <c r="B187" t="s">
        <v>6210</v>
      </c>
      <c r="C187">
        <f>+VLOOKUP(Sites_per_tag[[#This Row],[Field_office]],Parameter!$A$3:$B$11,2,0)</f>
        <v>10</v>
      </c>
      <c r="E187" t="s">
        <v>5650</v>
      </c>
      <c r="F187" t="s">
        <v>5654</v>
      </c>
      <c r="H187" t="str">
        <f ca="1">PROPER(Sites_per_tag[[#This Row],[Adm2Name]])</f>
        <v>Toliary-I</v>
      </c>
      <c r="I187" t="s">
        <v>5726</v>
      </c>
      <c r="K187" t="s">
        <v>6132</v>
      </c>
      <c r="L187" t="s">
        <v>6133</v>
      </c>
      <c r="Q187" t="s">
        <v>1207</v>
      </c>
      <c r="R187">
        <v>601010007</v>
      </c>
      <c r="T187" t="s">
        <v>7</v>
      </c>
      <c r="U187" s="3" t="str">
        <f>+VLOOKUP(Sites_per_tag[[#This Row],[Activity_tag]],Parameter!$A$24:$B$32,2,0)</f>
        <v>SMP</v>
      </c>
      <c r="W187">
        <v>43.665819999999997</v>
      </c>
      <c r="X187">
        <v>-23.339721999999998</v>
      </c>
    </row>
    <row r="188" spans="1:24" x14ac:dyDescent="0.35">
      <c r="A188" s="3" t="str">
        <f t="shared" si="2"/>
        <v>601010014SMP</v>
      </c>
      <c r="B188" t="s">
        <v>6210</v>
      </c>
      <c r="C188">
        <f>+VLOOKUP(Sites_per_tag[[#This Row],[Field_office]],Parameter!$A$3:$B$11,2,0)</f>
        <v>10</v>
      </c>
      <c r="E188" t="s">
        <v>5650</v>
      </c>
      <c r="F188" t="s">
        <v>5654</v>
      </c>
      <c r="H188" t="str">
        <f ca="1">PROPER(Sites_per_tag[[#This Row],[Adm2Name]])</f>
        <v>Toliary-I</v>
      </c>
      <c r="I188" t="s">
        <v>5726</v>
      </c>
      <c r="K188" t="s">
        <v>6132</v>
      </c>
      <c r="L188" t="s">
        <v>6133</v>
      </c>
      <c r="Q188" t="s">
        <v>2782</v>
      </c>
      <c r="R188">
        <v>601010014</v>
      </c>
      <c r="T188" t="s">
        <v>7</v>
      </c>
      <c r="U188" s="3" t="str">
        <f>+VLOOKUP(Sites_per_tag[[#This Row],[Activity_tag]],Parameter!$A$24:$B$32,2,0)</f>
        <v>SMP</v>
      </c>
      <c r="W188">
        <v>43.674253999999998</v>
      </c>
      <c r="X188">
        <v>-23.361924999999999</v>
      </c>
    </row>
    <row r="189" spans="1:24" x14ac:dyDescent="0.35">
      <c r="A189" s="3" t="str">
        <f t="shared" si="2"/>
        <v>601010016SMP</v>
      </c>
      <c r="B189" t="s">
        <v>6210</v>
      </c>
      <c r="C189">
        <f>+VLOOKUP(Sites_per_tag[[#This Row],[Field_office]],Parameter!$A$3:$B$11,2,0)</f>
        <v>10</v>
      </c>
      <c r="E189" t="s">
        <v>5650</v>
      </c>
      <c r="F189" t="s">
        <v>5654</v>
      </c>
      <c r="H189" t="str">
        <f ca="1">PROPER(Sites_per_tag[[#This Row],[Adm2Name]])</f>
        <v>Toliary-I</v>
      </c>
      <c r="I189" t="s">
        <v>5726</v>
      </c>
      <c r="K189" t="s">
        <v>6132</v>
      </c>
      <c r="L189" t="s">
        <v>6133</v>
      </c>
      <c r="Q189" t="s">
        <v>3366</v>
      </c>
      <c r="R189">
        <v>601010016</v>
      </c>
      <c r="T189" t="s">
        <v>7</v>
      </c>
      <c r="U189" s="3" t="str">
        <f>+VLOOKUP(Sites_per_tag[[#This Row],[Activity_tag]],Parameter!$A$24:$B$32,2,0)</f>
        <v>SMP</v>
      </c>
      <c r="W189">
        <v>43.658329999999999</v>
      </c>
      <c r="X189">
        <v>-23.299085000000002</v>
      </c>
    </row>
    <row r="190" spans="1:24" x14ac:dyDescent="0.35">
      <c r="A190" s="3" t="str">
        <f t="shared" si="2"/>
        <v>601010019SMP</v>
      </c>
      <c r="B190" t="s">
        <v>6211</v>
      </c>
      <c r="C190">
        <f>+VLOOKUP(Sites_per_tag[[#This Row],[Field_office]],Parameter!$A$3:$B$11,2,0)</f>
        <v>6</v>
      </c>
      <c r="E190" t="s">
        <v>5646</v>
      </c>
      <c r="F190" t="s">
        <v>5647</v>
      </c>
      <c r="H190" t="str">
        <f ca="1">PROPER(Sites_per_tag[[#This Row],[Adm2Name]])</f>
        <v>Bekily</v>
      </c>
      <c r="I190" t="s">
        <v>5683</v>
      </c>
      <c r="K190" t="s">
        <v>2017</v>
      </c>
      <c r="L190" t="s">
        <v>5922</v>
      </c>
      <c r="Q190" t="s">
        <v>2385</v>
      </c>
      <c r="R190">
        <v>601010019</v>
      </c>
      <c r="T190" t="s">
        <v>7</v>
      </c>
      <c r="U190" s="3" t="str">
        <f>+VLOOKUP(Sites_per_tag[[#This Row],[Activity_tag]],Parameter!$A$24:$B$32,2,0)</f>
        <v>SMP</v>
      </c>
      <c r="W190">
        <v>45.181562999999997</v>
      </c>
      <c r="X190">
        <v>-24.151204</v>
      </c>
    </row>
    <row r="191" spans="1:24" x14ac:dyDescent="0.35">
      <c r="A191" s="3" t="str">
        <f t="shared" si="2"/>
        <v>601010020SMP</v>
      </c>
      <c r="B191" t="s">
        <v>6211</v>
      </c>
      <c r="C191">
        <f>+VLOOKUP(Sites_per_tag[[#This Row],[Field_office]],Parameter!$A$3:$B$11,2,0)</f>
        <v>6</v>
      </c>
      <c r="E191" t="s">
        <v>5646</v>
      </c>
      <c r="F191" t="s">
        <v>5647</v>
      </c>
      <c r="H191" t="str">
        <f ca="1">PROPER(Sites_per_tag[[#This Row],[Adm2Name]])</f>
        <v>Bekily</v>
      </c>
      <c r="I191" t="s">
        <v>5683</v>
      </c>
      <c r="K191" t="s">
        <v>2017</v>
      </c>
      <c r="L191" t="s">
        <v>5922</v>
      </c>
      <c r="Q191" t="s">
        <v>2386</v>
      </c>
      <c r="R191">
        <v>601010020</v>
      </c>
      <c r="T191" t="s">
        <v>7</v>
      </c>
      <c r="U191" s="3" t="str">
        <f>+VLOOKUP(Sites_per_tag[[#This Row],[Activity_tag]],Parameter!$A$24:$B$32,2,0)</f>
        <v>SMP</v>
      </c>
      <c r="W191">
        <v>45.182243</v>
      </c>
      <c r="X191">
        <v>-24.151952999999999</v>
      </c>
    </row>
    <row r="192" spans="1:24" x14ac:dyDescent="0.35">
      <c r="A192" s="3" t="str">
        <f t="shared" si="2"/>
        <v>601010023SMP</v>
      </c>
      <c r="B192" t="s">
        <v>6210</v>
      </c>
      <c r="C192">
        <f>+VLOOKUP(Sites_per_tag[[#This Row],[Field_office]],Parameter!$A$3:$B$11,2,0)</f>
        <v>10</v>
      </c>
      <c r="E192" t="s">
        <v>5650</v>
      </c>
      <c r="F192" t="s">
        <v>5654</v>
      </c>
      <c r="H192" t="str">
        <f ca="1">PROPER(Sites_per_tag[[#This Row],[Adm2Name]])</f>
        <v>Toliary-I</v>
      </c>
      <c r="I192" t="s">
        <v>5726</v>
      </c>
      <c r="K192" t="s">
        <v>6132</v>
      </c>
      <c r="L192" t="s">
        <v>6133</v>
      </c>
      <c r="Q192" t="s">
        <v>3842</v>
      </c>
      <c r="R192">
        <v>601010023</v>
      </c>
      <c r="T192" t="s">
        <v>7</v>
      </c>
      <c r="U192" s="3" t="str">
        <f>+VLOOKUP(Sites_per_tag[[#This Row],[Activity_tag]],Parameter!$A$24:$B$32,2,0)</f>
        <v>SMP</v>
      </c>
      <c r="W192">
        <v>43.660632</v>
      </c>
      <c r="X192">
        <v>-23.336521000000001</v>
      </c>
    </row>
    <row r="193" spans="1:24" x14ac:dyDescent="0.35">
      <c r="A193" s="3" t="str">
        <f t="shared" si="2"/>
        <v>601010033SMP</v>
      </c>
      <c r="B193" t="s">
        <v>6210</v>
      </c>
      <c r="C193">
        <f>+VLOOKUP(Sites_per_tag[[#This Row],[Field_office]],Parameter!$A$3:$B$11,2,0)</f>
        <v>10</v>
      </c>
      <c r="E193" t="s">
        <v>5650</v>
      </c>
      <c r="F193" t="s">
        <v>5654</v>
      </c>
      <c r="H193" t="str">
        <f ca="1">PROPER(Sites_per_tag[[#This Row],[Adm2Name]])</f>
        <v>Toliary-I</v>
      </c>
      <c r="I193" t="s">
        <v>5726</v>
      </c>
      <c r="K193" t="s">
        <v>6132</v>
      </c>
      <c r="L193" t="s">
        <v>6133</v>
      </c>
      <c r="Q193" t="s">
        <v>2097</v>
      </c>
      <c r="R193">
        <v>601010033</v>
      </c>
      <c r="T193" t="s">
        <v>7</v>
      </c>
      <c r="U193" s="3" t="str">
        <f>+VLOOKUP(Sites_per_tag[[#This Row],[Activity_tag]],Parameter!$A$24:$B$32,2,0)</f>
        <v>SMP</v>
      </c>
      <c r="W193">
        <v>43.657133000000002</v>
      </c>
      <c r="X193">
        <v>-23.319735000000001</v>
      </c>
    </row>
    <row r="194" spans="1:24" x14ac:dyDescent="0.35">
      <c r="A194" s="3" t="str">
        <f t="shared" si="2"/>
        <v>602010002SMP</v>
      </c>
      <c r="B194" t="s">
        <v>6210</v>
      </c>
      <c r="C194">
        <f>+VLOOKUP(Sites_per_tag[[#This Row],[Field_office]],Parameter!$A$3:$B$11,2,0)</f>
        <v>10</v>
      </c>
      <c r="E194" t="s">
        <v>5650</v>
      </c>
      <c r="F194" t="s">
        <v>5654</v>
      </c>
      <c r="H194" t="str">
        <f ca="1">PROPER(Sites_per_tag[[#This Row],[Adm2Name]])</f>
        <v>Toliary-Ii</v>
      </c>
      <c r="I194" t="s">
        <v>5728</v>
      </c>
      <c r="K194" t="s">
        <v>5729</v>
      </c>
      <c r="L194" t="s">
        <v>5730</v>
      </c>
      <c r="Q194" t="s">
        <v>298</v>
      </c>
      <c r="R194">
        <v>602010002</v>
      </c>
      <c r="T194" t="s">
        <v>7</v>
      </c>
      <c r="U194" s="3" t="str">
        <f>+VLOOKUP(Sites_per_tag[[#This Row],[Activity_tag]],Parameter!$A$24:$B$32,2,0)</f>
        <v>SMP</v>
      </c>
      <c r="W194">
        <v>43.909086000000002</v>
      </c>
      <c r="X194">
        <v>-23.445571999999999</v>
      </c>
    </row>
    <row r="195" spans="1:24" x14ac:dyDescent="0.35">
      <c r="A195" s="3" t="str">
        <f t="shared" ref="A195:A258" si="3">+R195&amp;U195</f>
        <v>602010003SMP</v>
      </c>
      <c r="B195" t="s">
        <v>6210</v>
      </c>
      <c r="C195">
        <f>+VLOOKUP(Sites_per_tag[[#This Row],[Field_office]],Parameter!$A$3:$B$11,2,0)</f>
        <v>10</v>
      </c>
      <c r="E195" t="s">
        <v>5650</v>
      </c>
      <c r="F195" t="s">
        <v>5654</v>
      </c>
      <c r="H195" t="str">
        <f ca="1">PROPER(Sites_per_tag[[#This Row],[Adm2Name]])</f>
        <v>Toliary-Ii</v>
      </c>
      <c r="I195" t="s">
        <v>5728</v>
      </c>
      <c r="K195" t="s">
        <v>5729</v>
      </c>
      <c r="L195" t="s">
        <v>5730</v>
      </c>
      <c r="Q195" t="s">
        <v>366</v>
      </c>
      <c r="R195">
        <v>602010003</v>
      </c>
      <c r="T195" t="s">
        <v>7</v>
      </c>
      <c r="U195" s="3" t="str">
        <f>+VLOOKUP(Sites_per_tag[[#This Row],[Activity_tag]],Parameter!$A$24:$B$32,2,0)</f>
        <v>SMP</v>
      </c>
      <c r="W195">
        <v>43.897213000000001</v>
      </c>
      <c r="X195">
        <v>-23.442872000000001</v>
      </c>
    </row>
    <row r="196" spans="1:24" x14ac:dyDescent="0.35">
      <c r="A196" s="3" t="str">
        <f t="shared" si="3"/>
        <v>602010007SMP</v>
      </c>
      <c r="B196" t="s">
        <v>6210</v>
      </c>
      <c r="C196">
        <f>+VLOOKUP(Sites_per_tag[[#This Row],[Field_office]],Parameter!$A$3:$B$11,2,0)</f>
        <v>10</v>
      </c>
      <c r="E196" t="s">
        <v>5650</v>
      </c>
      <c r="F196" t="s">
        <v>5654</v>
      </c>
      <c r="H196" t="str">
        <f ca="1">PROPER(Sites_per_tag[[#This Row],[Adm2Name]])</f>
        <v>Toliary-Ii</v>
      </c>
      <c r="I196" t="s">
        <v>5728</v>
      </c>
      <c r="K196" t="s">
        <v>5729</v>
      </c>
      <c r="L196" t="s">
        <v>5730</v>
      </c>
      <c r="Q196" t="s">
        <v>2966</v>
      </c>
      <c r="R196">
        <v>602010007</v>
      </c>
      <c r="T196" t="s">
        <v>7</v>
      </c>
      <c r="U196" s="3" t="str">
        <f>+VLOOKUP(Sites_per_tag[[#This Row],[Activity_tag]],Parameter!$A$24:$B$32,2,0)</f>
        <v>SMP</v>
      </c>
      <c r="W196">
        <v>43.846938999999999</v>
      </c>
      <c r="X196">
        <v>-23.436910000000001</v>
      </c>
    </row>
    <row r="197" spans="1:24" x14ac:dyDescent="0.35">
      <c r="A197" s="3" t="str">
        <f t="shared" si="3"/>
        <v>602010009SMP</v>
      </c>
      <c r="B197" t="s">
        <v>6210</v>
      </c>
      <c r="C197">
        <f>+VLOOKUP(Sites_per_tag[[#This Row],[Field_office]],Parameter!$A$3:$B$11,2,0)</f>
        <v>10</v>
      </c>
      <c r="E197" t="s">
        <v>5650</v>
      </c>
      <c r="F197" t="s">
        <v>5654</v>
      </c>
      <c r="H197" t="str">
        <f ca="1">PROPER(Sites_per_tag[[#This Row],[Adm2Name]])</f>
        <v>Toliary-Ii</v>
      </c>
      <c r="I197" t="s">
        <v>5728</v>
      </c>
      <c r="K197" t="s">
        <v>5729</v>
      </c>
      <c r="L197" t="s">
        <v>5730</v>
      </c>
      <c r="Q197" t="s">
        <v>3598</v>
      </c>
      <c r="R197">
        <v>602010009</v>
      </c>
      <c r="T197" t="s">
        <v>7</v>
      </c>
      <c r="U197" s="3" t="str">
        <f>+VLOOKUP(Sites_per_tag[[#This Row],[Activity_tag]],Parameter!$A$24:$B$32,2,0)</f>
        <v>SMP</v>
      </c>
      <c r="W197">
        <v>43.973075999999999</v>
      </c>
      <c r="X197">
        <v>-23.484127000000001</v>
      </c>
    </row>
    <row r="198" spans="1:24" x14ac:dyDescent="0.35">
      <c r="A198" s="3" t="str">
        <f t="shared" si="3"/>
        <v>602030005SMP</v>
      </c>
      <c r="B198" t="s">
        <v>6210</v>
      </c>
      <c r="C198">
        <f>+VLOOKUP(Sites_per_tag[[#This Row],[Field_office]],Parameter!$A$3:$B$11,2,0)</f>
        <v>10</v>
      </c>
      <c r="E198" t="s">
        <v>5650</v>
      </c>
      <c r="F198" t="s">
        <v>5654</v>
      </c>
      <c r="H198" t="str">
        <f ca="1">PROPER(Sites_per_tag[[#This Row],[Adm2Name]])</f>
        <v>Toliary-Ii</v>
      </c>
      <c r="I198" t="s">
        <v>5728</v>
      </c>
      <c r="K198" t="s">
        <v>5774</v>
      </c>
      <c r="L198" t="s">
        <v>5775</v>
      </c>
      <c r="Q198" t="s">
        <v>532</v>
      </c>
      <c r="R198">
        <v>602030005</v>
      </c>
      <c r="T198" t="s">
        <v>7</v>
      </c>
      <c r="U198" s="3" t="str">
        <f>+VLOOKUP(Sites_per_tag[[#This Row],[Activity_tag]],Parameter!$A$24:$B$32,2,0)</f>
        <v>SMP</v>
      </c>
      <c r="W198">
        <v>43.635272999999998</v>
      </c>
      <c r="X198">
        <v>-22.531869</v>
      </c>
    </row>
    <row r="199" spans="1:24" x14ac:dyDescent="0.35">
      <c r="A199" s="3" t="str">
        <f t="shared" si="3"/>
        <v>602030012SMP</v>
      </c>
      <c r="B199" t="s">
        <v>6210</v>
      </c>
      <c r="C199">
        <f>+VLOOKUP(Sites_per_tag[[#This Row],[Field_office]],Parameter!$A$3:$B$11,2,0)</f>
        <v>10</v>
      </c>
      <c r="E199" t="s">
        <v>5650</v>
      </c>
      <c r="F199" t="s">
        <v>5654</v>
      </c>
      <c r="H199" t="str">
        <f ca="1">PROPER(Sites_per_tag[[#This Row],[Adm2Name]])</f>
        <v>Toliary-Ii</v>
      </c>
      <c r="I199" t="s">
        <v>5728</v>
      </c>
      <c r="K199" t="s">
        <v>6100</v>
      </c>
      <c r="L199" t="s">
        <v>6101</v>
      </c>
      <c r="Q199" t="s">
        <v>2149</v>
      </c>
      <c r="R199">
        <v>602030012</v>
      </c>
      <c r="T199" t="s">
        <v>7</v>
      </c>
      <c r="U199" s="3" t="str">
        <f>+VLOOKUP(Sites_per_tag[[#This Row],[Activity_tag]],Parameter!$A$24:$B$32,2,0)</f>
        <v>SMP</v>
      </c>
      <c r="W199">
        <v>43.699598999999999</v>
      </c>
      <c r="X199">
        <v>-22.450339</v>
      </c>
    </row>
    <row r="200" spans="1:24" x14ac:dyDescent="0.35">
      <c r="A200" s="3" t="str">
        <f t="shared" si="3"/>
        <v>602030014SMP</v>
      </c>
      <c r="B200" t="s">
        <v>6210</v>
      </c>
      <c r="C200">
        <f>+VLOOKUP(Sites_per_tag[[#This Row],[Field_office]],Parameter!$A$3:$B$11,2,0)</f>
        <v>10</v>
      </c>
      <c r="E200" t="s">
        <v>5650</v>
      </c>
      <c r="F200" t="s">
        <v>5654</v>
      </c>
      <c r="H200" t="str">
        <f ca="1">PROPER(Sites_per_tag[[#This Row],[Adm2Name]])</f>
        <v>Toliary-Ii</v>
      </c>
      <c r="I200" t="s">
        <v>5728</v>
      </c>
      <c r="K200" t="s">
        <v>6100</v>
      </c>
      <c r="L200" t="s">
        <v>6101</v>
      </c>
      <c r="Q200" t="s">
        <v>2150</v>
      </c>
      <c r="R200">
        <v>602030014</v>
      </c>
      <c r="T200" t="s">
        <v>7</v>
      </c>
      <c r="U200" s="3" t="str">
        <f>+VLOOKUP(Sites_per_tag[[#This Row],[Activity_tag]],Parameter!$A$24:$B$32,2,0)</f>
        <v>SMP</v>
      </c>
      <c r="W200">
        <v>43.723162000000002</v>
      </c>
      <c r="X200">
        <v>-22.456187</v>
      </c>
    </row>
    <row r="201" spans="1:24" x14ac:dyDescent="0.35">
      <c r="A201" s="3" t="str">
        <f t="shared" si="3"/>
        <v>602050005SMP</v>
      </c>
      <c r="B201" t="s">
        <v>6210</v>
      </c>
      <c r="C201">
        <f>+VLOOKUP(Sites_per_tag[[#This Row],[Field_office]],Parameter!$A$3:$B$11,2,0)</f>
        <v>10</v>
      </c>
      <c r="E201" t="s">
        <v>5650</v>
      </c>
      <c r="F201" t="s">
        <v>5654</v>
      </c>
      <c r="H201" t="str">
        <f ca="1">PROPER(Sites_per_tag[[#This Row],[Adm2Name]])</f>
        <v>Toliary-Ii</v>
      </c>
      <c r="I201" t="s">
        <v>5728</v>
      </c>
      <c r="K201" t="s">
        <v>5839</v>
      </c>
      <c r="L201" t="s">
        <v>5840</v>
      </c>
      <c r="Q201" t="s">
        <v>341</v>
      </c>
      <c r="R201">
        <v>602050005</v>
      </c>
      <c r="T201" t="s">
        <v>7</v>
      </c>
      <c r="U201" s="3" t="str">
        <f>+VLOOKUP(Sites_per_tag[[#This Row],[Activity_tag]],Parameter!$A$24:$B$32,2,0)</f>
        <v>SMP</v>
      </c>
      <c r="W201">
        <v>43.676403999999998</v>
      </c>
      <c r="X201">
        <v>-22.750152</v>
      </c>
    </row>
    <row r="202" spans="1:24" x14ac:dyDescent="0.35">
      <c r="A202" s="3" t="str">
        <f t="shared" si="3"/>
        <v>602050006SMP</v>
      </c>
      <c r="B202" t="s">
        <v>6210</v>
      </c>
      <c r="C202">
        <f>+VLOOKUP(Sites_per_tag[[#This Row],[Field_office]],Parameter!$A$3:$B$11,2,0)</f>
        <v>10</v>
      </c>
      <c r="E202" t="s">
        <v>5650</v>
      </c>
      <c r="F202" t="s">
        <v>5654</v>
      </c>
      <c r="H202" t="str">
        <f ca="1">PROPER(Sites_per_tag[[#This Row],[Adm2Name]])</f>
        <v>Toliary-Ii</v>
      </c>
      <c r="I202" t="s">
        <v>5728</v>
      </c>
      <c r="K202" t="s">
        <v>5839</v>
      </c>
      <c r="L202" t="s">
        <v>5840</v>
      </c>
      <c r="Q202" t="s">
        <v>4222</v>
      </c>
      <c r="R202">
        <v>602050006</v>
      </c>
      <c r="T202" t="s">
        <v>7</v>
      </c>
      <c r="U202" s="3" t="str">
        <f>+VLOOKUP(Sites_per_tag[[#This Row],[Activity_tag]],Parameter!$A$24:$B$32,2,0)</f>
        <v>SMP</v>
      </c>
      <c r="W202">
        <v>44.089438000000001</v>
      </c>
      <c r="X202">
        <v>-22.114879999999999</v>
      </c>
    </row>
    <row r="203" spans="1:24" x14ac:dyDescent="0.35">
      <c r="A203" s="3" t="str">
        <f t="shared" si="3"/>
        <v>602050019SMP</v>
      </c>
      <c r="B203" t="s">
        <v>6210</v>
      </c>
      <c r="C203">
        <f>+VLOOKUP(Sites_per_tag[[#This Row],[Field_office]],Parameter!$A$3:$B$11,2,0)</f>
        <v>10</v>
      </c>
      <c r="E203" t="s">
        <v>5650</v>
      </c>
      <c r="F203" t="s">
        <v>5654</v>
      </c>
      <c r="H203" t="str">
        <f ca="1">PROPER(Sites_per_tag[[#This Row],[Adm2Name]])</f>
        <v>Toliary-Ii</v>
      </c>
      <c r="I203" t="s">
        <v>5728</v>
      </c>
      <c r="K203" t="s">
        <v>5839</v>
      </c>
      <c r="L203" t="s">
        <v>5840</v>
      </c>
      <c r="Q203" t="s">
        <v>1495</v>
      </c>
      <c r="R203">
        <v>602050019</v>
      </c>
      <c r="T203" t="s">
        <v>7</v>
      </c>
      <c r="U203" s="3" t="str">
        <f>+VLOOKUP(Sites_per_tag[[#This Row],[Activity_tag]],Parameter!$A$24:$B$32,2,0)</f>
        <v>SMP</v>
      </c>
      <c r="W203">
        <v>43.650987000000001</v>
      </c>
      <c r="X203">
        <v>-22.606677999999999</v>
      </c>
    </row>
    <row r="204" spans="1:24" x14ac:dyDescent="0.35">
      <c r="A204" s="3" t="str">
        <f t="shared" si="3"/>
        <v>602050020SMP</v>
      </c>
      <c r="B204" t="s">
        <v>6210</v>
      </c>
      <c r="C204">
        <f>+VLOOKUP(Sites_per_tag[[#This Row],[Field_office]],Parameter!$A$3:$B$11,2,0)</f>
        <v>10</v>
      </c>
      <c r="E204" t="s">
        <v>5650</v>
      </c>
      <c r="F204" t="s">
        <v>5654</v>
      </c>
      <c r="H204" t="str">
        <f ca="1">PROPER(Sites_per_tag[[#This Row],[Adm2Name]])</f>
        <v>Toliary-Ii</v>
      </c>
      <c r="I204" t="s">
        <v>5728</v>
      </c>
      <c r="K204" t="s">
        <v>5839</v>
      </c>
      <c r="L204" t="s">
        <v>5840</v>
      </c>
      <c r="Q204" t="s">
        <v>1606</v>
      </c>
      <c r="R204">
        <v>602050020</v>
      </c>
      <c r="T204" t="s">
        <v>7</v>
      </c>
      <c r="U204" s="3" t="str">
        <f>+VLOOKUP(Sites_per_tag[[#This Row],[Activity_tag]],Parameter!$A$24:$B$32,2,0)</f>
        <v>SMP</v>
      </c>
      <c r="W204">
        <v>43.631368999999999</v>
      </c>
      <c r="X204">
        <v>-22.630143</v>
      </c>
    </row>
    <row r="205" spans="1:24" x14ac:dyDescent="0.35">
      <c r="A205" s="3" t="str">
        <f t="shared" si="3"/>
        <v>602070003SMP</v>
      </c>
      <c r="B205" t="s">
        <v>6210</v>
      </c>
      <c r="C205">
        <f>+VLOOKUP(Sites_per_tag[[#This Row],[Field_office]],Parameter!$A$3:$B$11,2,0)</f>
        <v>10</v>
      </c>
      <c r="E205" t="s">
        <v>5650</v>
      </c>
      <c r="F205" t="s">
        <v>5654</v>
      </c>
      <c r="H205" t="str">
        <f ca="1">PROPER(Sites_per_tag[[#This Row],[Adm2Name]])</f>
        <v>Toliary-Ii</v>
      </c>
      <c r="I205" t="s">
        <v>5728</v>
      </c>
      <c r="K205" t="s">
        <v>6068</v>
      </c>
      <c r="L205" t="s">
        <v>6069</v>
      </c>
      <c r="Q205" t="s">
        <v>221</v>
      </c>
      <c r="R205">
        <v>602070003</v>
      </c>
      <c r="T205" t="s">
        <v>7</v>
      </c>
      <c r="U205" s="3" t="str">
        <f>+VLOOKUP(Sites_per_tag[[#This Row],[Activity_tag]],Parameter!$A$24:$B$32,2,0)</f>
        <v>SMP</v>
      </c>
      <c r="W205">
        <v>43.603060999999997</v>
      </c>
      <c r="X205">
        <v>-22.813708999999999</v>
      </c>
    </row>
    <row r="206" spans="1:24" x14ac:dyDescent="0.35">
      <c r="A206" s="3" t="str">
        <f t="shared" si="3"/>
        <v>602070005SMP</v>
      </c>
      <c r="B206" t="s">
        <v>6210</v>
      </c>
      <c r="C206">
        <f>+VLOOKUP(Sites_per_tag[[#This Row],[Field_office]],Parameter!$A$3:$B$11,2,0)</f>
        <v>10</v>
      </c>
      <c r="E206" t="s">
        <v>5650</v>
      </c>
      <c r="F206" t="s">
        <v>5654</v>
      </c>
      <c r="H206" t="str">
        <f ca="1">PROPER(Sites_per_tag[[#This Row],[Adm2Name]])</f>
        <v>Toliary-Ii</v>
      </c>
      <c r="I206" t="s">
        <v>5728</v>
      </c>
      <c r="K206" t="s">
        <v>6068</v>
      </c>
      <c r="L206" t="s">
        <v>6069</v>
      </c>
      <c r="Q206" t="s">
        <v>733</v>
      </c>
      <c r="R206">
        <v>602070005</v>
      </c>
      <c r="T206" t="s">
        <v>7</v>
      </c>
      <c r="U206" s="3" t="str">
        <f>+VLOOKUP(Sites_per_tag[[#This Row],[Activity_tag]],Parameter!$A$24:$B$32,2,0)</f>
        <v>SMP</v>
      </c>
      <c r="W206">
        <v>43.640275000000003</v>
      </c>
      <c r="X206">
        <v>-22.780284000000002</v>
      </c>
    </row>
    <row r="207" spans="1:24" x14ac:dyDescent="0.35">
      <c r="A207" s="3" t="str">
        <f t="shared" si="3"/>
        <v>602070006SMP</v>
      </c>
      <c r="B207" t="s">
        <v>6210</v>
      </c>
      <c r="C207">
        <f>+VLOOKUP(Sites_per_tag[[#This Row],[Field_office]],Parameter!$A$3:$B$11,2,0)</f>
        <v>10</v>
      </c>
      <c r="E207" t="s">
        <v>5650</v>
      </c>
      <c r="F207" t="s">
        <v>5654</v>
      </c>
      <c r="H207" t="str">
        <f ca="1">PROPER(Sites_per_tag[[#This Row],[Adm2Name]])</f>
        <v>Toliary-Ii</v>
      </c>
      <c r="I207" t="s">
        <v>5728</v>
      </c>
      <c r="K207" t="s">
        <v>6068</v>
      </c>
      <c r="L207" t="s">
        <v>6069</v>
      </c>
      <c r="Q207" t="s">
        <v>1133</v>
      </c>
      <c r="R207">
        <v>602070006</v>
      </c>
      <c r="T207" t="s">
        <v>7</v>
      </c>
      <c r="U207" s="3" t="str">
        <f>+VLOOKUP(Sites_per_tag[[#This Row],[Activity_tag]],Parameter!$A$24:$B$32,2,0)</f>
        <v>SMP</v>
      </c>
      <c r="W207">
        <v>43.616644000000001</v>
      </c>
      <c r="X207">
        <v>-22.794841999999999</v>
      </c>
    </row>
    <row r="208" spans="1:24" x14ac:dyDescent="0.35">
      <c r="A208" s="3" t="str">
        <f t="shared" si="3"/>
        <v>602070007SMP</v>
      </c>
      <c r="B208" t="s">
        <v>6210</v>
      </c>
      <c r="C208">
        <f>+VLOOKUP(Sites_per_tag[[#This Row],[Field_office]],Parameter!$A$3:$B$11,2,0)</f>
        <v>10</v>
      </c>
      <c r="E208" t="s">
        <v>5650</v>
      </c>
      <c r="F208" t="s">
        <v>5654</v>
      </c>
      <c r="H208" t="str">
        <f ca="1">PROPER(Sites_per_tag[[#This Row],[Adm2Name]])</f>
        <v>Toliary-Ii</v>
      </c>
      <c r="I208" t="s">
        <v>5728</v>
      </c>
      <c r="K208" t="s">
        <v>6068</v>
      </c>
      <c r="L208" t="s">
        <v>6069</v>
      </c>
      <c r="Q208" t="s">
        <v>1504</v>
      </c>
      <c r="R208">
        <v>602070007</v>
      </c>
      <c r="T208" t="s">
        <v>7</v>
      </c>
      <c r="U208" s="3" t="str">
        <f>+VLOOKUP(Sites_per_tag[[#This Row],[Activity_tag]],Parameter!$A$24:$B$32,2,0)</f>
        <v>SMP</v>
      </c>
      <c r="W208">
        <v>43.613368999999999</v>
      </c>
      <c r="X208">
        <v>-22.8431</v>
      </c>
    </row>
    <row r="209" spans="1:24" x14ac:dyDescent="0.35">
      <c r="A209" s="3" t="str">
        <f t="shared" si="3"/>
        <v>602070008SMP</v>
      </c>
      <c r="B209" t="s">
        <v>6210</v>
      </c>
      <c r="C209">
        <f>+VLOOKUP(Sites_per_tag[[#This Row],[Field_office]],Parameter!$A$3:$B$11,2,0)</f>
        <v>10</v>
      </c>
      <c r="E209" t="s">
        <v>5650</v>
      </c>
      <c r="F209" t="s">
        <v>5654</v>
      </c>
      <c r="H209" t="str">
        <f ca="1">PROPER(Sites_per_tag[[#This Row],[Adm2Name]])</f>
        <v>Toliary-Ii</v>
      </c>
      <c r="I209" t="s">
        <v>5728</v>
      </c>
      <c r="K209" t="s">
        <v>6068</v>
      </c>
      <c r="L209" t="s">
        <v>6069</v>
      </c>
      <c r="Q209" t="s">
        <v>1560</v>
      </c>
      <c r="R209">
        <v>602070008</v>
      </c>
      <c r="T209" t="s">
        <v>7</v>
      </c>
      <c r="U209" s="3" t="str">
        <f>+VLOOKUP(Sites_per_tag[[#This Row],[Activity_tag]],Parameter!$A$24:$B$32,2,0)</f>
        <v>SMP</v>
      </c>
      <c r="W209">
        <v>43.633108</v>
      </c>
      <c r="X209">
        <v>-22.802175999999999</v>
      </c>
    </row>
    <row r="210" spans="1:24" x14ac:dyDescent="0.35">
      <c r="A210" s="3" t="str">
        <f t="shared" si="3"/>
        <v>602070010SMP</v>
      </c>
      <c r="B210" t="s">
        <v>6210</v>
      </c>
      <c r="C210">
        <f>+VLOOKUP(Sites_per_tag[[#This Row],[Field_office]],Parameter!$A$3:$B$11,2,0)</f>
        <v>10</v>
      </c>
      <c r="E210" t="s">
        <v>5650</v>
      </c>
      <c r="F210" t="s">
        <v>5654</v>
      </c>
      <c r="H210" t="str">
        <f ca="1">PROPER(Sites_per_tag[[#This Row],[Adm2Name]])</f>
        <v>Toliary-Ii</v>
      </c>
      <c r="I210" t="s">
        <v>5728</v>
      </c>
      <c r="K210" t="s">
        <v>6068</v>
      </c>
      <c r="L210" t="s">
        <v>6069</v>
      </c>
      <c r="Q210" t="s">
        <v>1892</v>
      </c>
      <c r="R210">
        <v>602070010</v>
      </c>
      <c r="T210" t="s">
        <v>7</v>
      </c>
      <c r="U210" s="3" t="str">
        <f>+VLOOKUP(Sites_per_tag[[#This Row],[Activity_tag]],Parameter!$A$24:$B$32,2,0)</f>
        <v>SMP</v>
      </c>
      <c r="W210">
        <v>43.578685999999998</v>
      </c>
      <c r="X210">
        <v>-22.866890999999999</v>
      </c>
    </row>
    <row r="211" spans="1:24" x14ac:dyDescent="0.35">
      <c r="A211" s="3" t="str">
        <f t="shared" si="3"/>
        <v>602070011SMP</v>
      </c>
      <c r="B211" t="s">
        <v>6210</v>
      </c>
      <c r="C211">
        <f>+VLOOKUP(Sites_per_tag[[#This Row],[Field_office]],Parameter!$A$3:$B$11,2,0)</f>
        <v>10</v>
      </c>
      <c r="E211" t="s">
        <v>5650</v>
      </c>
      <c r="F211" t="s">
        <v>5654</v>
      </c>
      <c r="H211" t="str">
        <f ca="1">PROPER(Sites_per_tag[[#This Row],[Adm2Name]])</f>
        <v>Toliary-Ii</v>
      </c>
      <c r="I211" t="s">
        <v>5728</v>
      </c>
      <c r="K211" t="s">
        <v>6068</v>
      </c>
      <c r="L211" t="s">
        <v>6069</v>
      </c>
      <c r="Q211" t="s">
        <v>3179</v>
      </c>
      <c r="R211">
        <v>602070011</v>
      </c>
      <c r="T211" t="s">
        <v>7</v>
      </c>
      <c r="U211" s="3" t="str">
        <f>+VLOOKUP(Sites_per_tag[[#This Row],[Activity_tag]],Parameter!$A$24:$B$32,2,0)</f>
        <v>SMP</v>
      </c>
      <c r="W211">
        <v>43.585756000000003</v>
      </c>
      <c r="X211">
        <v>-22.838949</v>
      </c>
    </row>
    <row r="212" spans="1:24" x14ac:dyDescent="0.35">
      <c r="A212" s="3" t="str">
        <f t="shared" si="3"/>
        <v>602090005SMP</v>
      </c>
      <c r="B212" t="s">
        <v>6210</v>
      </c>
      <c r="C212">
        <f>+VLOOKUP(Sites_per_tag[[#This Row],[Field_office]],Parameter!$A$3:$B$11,2,0)</f>
        <v>10</v>
      </c>
      <c r="E212" t="s">
        <v>5650</v>
      </c>
      <c r="F212" t="s">
        <v>5654</v>
      </c>
      <c r="H212" t="str">
        <f ca="1">PROPER(Sites_per_tag[[#This Row],[Adm2Name]])</f>
        <v>Toliary-Ii</v>
      </c>
      <c r="I212" t="s">
        <v>5728</v>
      </c>
      <c r="K212" t="s">
        <v>5708</v>
      </c>
      <c r="L212" t="s">
        <v>5894</v>
      </c>
      <c r="Q212" t="s">
        <v>2616</v>
      </c>
      <c r="R212">
        <v>602090005</v>
      </c>
      <c r="T212" t="s">
        <v>7</v>
      </c>
      <c r="U212" s="3" t="str">
        <f>+VLOOKUP(Sites_per_tag[[#This Row],[Activity_tag]],Parameter!$A$24:$B$32,2,0)</f>
        <v>SMP</v>
      </c>
      <c r="W212">
        <v>44.087546000000003</v>
      </c>
      <c r="X212">
        <v>-23.867694</v>
      </c>
    </row>
    <row r="213" spans="1:24" x14ac:dyDescent="0.35">
      <c r="A213" s="3" t="str">
        <f t="shared" si="3"/>
        <v>602090009SMP</v>
      </c>
      <c r="B213" t="s">
        <v>6210</v>
      </c>
      <c r="C213">
        <f>+VLOOKUP(Sites_per_tag[[#This Row],[Field_office]],Parameter!$A$3:$B$11,2,0)</f>
        <v>10</v>
      </c>
      <c r="E213" t="s">
        <v>5650</v>
      </c>
      <c r="F213" t="s">
        <v>5654</v>
      </c>
      <c r="H213" t="str">
        <f ca="1">PROPER(Sites_per_tag[[#This Row],[Adm2Name]])</f>
        <v>Toliary-Ii</v>
      </c>
      <c r="I213" t="s">
        <v>5728</v>
      </c>
      <c r="K213" t="s">
        <v>5708</v>
      </c>
      <c r="L213" t="s">
        <v>5894</v>
      </c>
      <c r="Q213" t="s">
        <v>6212</v>
      </c>
      <c r="R213">
        <v>602090009</v>
      </c>
      <c r="T213" t="s">
        <v>7</v>
      </c>
      <c r="U213" s="3" t="str">
        <f>+VLOOKUP(Sites_per_tag[[#This Row],[Activity_tag]],Parameter!$A$24:$B$32,2,0)</f>
        <v>SMP</v>
      </c>
      <c r="W213">
        <v>43.674461999999998</v>
      </c>
      <c r="X213">
        <v>-23.842745000000001</v>
      </c>
    </row>
    <row r="214" spans="1:24" x14ac:dyDescent="0.35">
      <c r="A214" s="3" t="str">
        <f t="shared" si="3"/>
        <v>602091001SMP</v>
      </c>
      <c r="B214" t="s">
        <v>6210</v>
      </c>
      <c r="C214">
        <f>+VLOOKUP(Sites_per_tag[[#This Row],[Field_office]],Parameter!$A$3:$B$11,2,0)</f>
        <v>10</v>
      </c>
      <c r="E214" t="s">
        <v>5650</v>
      </c>
      <c r="F214" t="s">
        <v>5654</v>
      </c>
      <c r="H214" t="str">
        <f ca="1">PROPER(Sites_per_tag[[#This Row],[Adm2Name]])</f>
        <v>Toliary-Ii</v>
      </c>
      <c r="I214" t="s">
        <v>5728</v>
      </c>
      <c r="K214" t="s">
        <v>2327</v>
      </c>
      <c r="L214" t="s">
        <v>5939</v>
      </c>
      <c r="Q214" t="s">
        <v>6</v>
      </c>
      <c r="R214">
        <v>602091001</v>
      </c>
      <c r="T214" t="s">
        <v>7</v>
      </c>
      <c r="U214" s="3" t="str">
        <f>+VLOOKUP(Sites_per_tag[[#This Row],[Activity_tag]],Parameter!$A$24:$B$32,2,0)</f>
        <v>SMP</v>
      </c>
      <c r="W214">
        <v>43.678179</v>
      </c>
      <c r="X214">
        <v>-24.073135000000001</v>
      </c>
    </row>
    <row r="215" spans="1:24" x14ac:dyDescent="0.35">
      <c r="A215" s="3" t="str">
        <f t="shared" si="3"/>
        <v>602091003SMP</v>
      </c>
      <c r="B215" t="s">
        <v>6210</v>
      </c>
      <c r="C215">
        <f>+VLOOKUP(Sites_per_tag[[#This Row],[Field_office]],Parameter!$A$3:$B$11,2,0)</f>
        <v>10</v>
      </c>
      <c r="E215" t="s">
        <v>5650</v>
      </c>
      <c r="F215" t="s">
        <v>5654</v>
      </c>
      <c r="H215" t="str">
        <f ca="1">PROPER(Sites_per_tag[[#This Row],[Adm2Name]])</f>
        <v>Toliary-Ii</v>
      </c>
      <c r="I215" t="s">
        <v>5728</v>
      </c>
      <c r="K215" t="s">
        <v>5708</v>
      </c>
      <c r="L215" t="s">
        <v>5894</v>
      </c>
      <c r="Q215" t="s">
        <v>10</v>
      </c>
      <c r="R215">
        <v>602091003</v>
      </c>
      <c r="T215" t="s">
        <v>7</v>
      </c>
      <c r="U215" s="3" t="str">
        <f>+VLOOKUP(Sites_per_tag[[#This Row],[Activity_tag]],Parameter!$A$24:$B$32,2,0)</f>
        <v>SMP</v>
      </c>
      <c r="W215">
        <v>43.683988999999997</v>
      </c>
      <c r="X215">
        <v>-23.803882000000002</v>
      </c>
    </row>
    <row r="216" spans="1:24" x14ac:dyDescent="0.35">
      <c r="A216" s="3" t="str">
        <f t="shared" si="3"/>
        <v>602091009SMP</v>
      </c>
      <c r="B216" t="s">
        <v>6210</v>
      </c>
      <c r="C216">
        <f>+VLOOKUP(Sites_per_tag[[#This Row],[Field_office]],Parameter!$A$3:$B$11,2,0)</f>
        <v>10</v>
      </c>
      <c r="E216" t="s">
        <v>5650</v>
      </c>
      <c r="F216" t="s">
        <v>5654</v>
      </c>
      <c r="H216" t="str">
        <f ca="1">PROPER(Sites_per_tag[[#This Row],[Adm2Name]])</f>
        <v>Toliary-Ii</v>
      </c>
      <c r="I216" t="s">
        <v>5728</v>
      </c>
      <c r="K216" t="s">
        <v>5708</v>
      </c>
      <c r="L216" t="s">
        <v>5894</v>
      </c>
      <c r="Q216" t="s">
        <v>11</v>
      </c>
      <c r="R216">
        <v>602091009</v>
      </c>
      <c r="T216" t="s">
        <v>7</v>
      </c>
      <c r="U216" s="3" t="str">
        <f>+VLOOKUP(Sites_per_tag[[#This Row],[Activity_tag]],Parameter!$A$24:$B$32,2,0)</f>
        <v>SMP</v>
      </c>
      <c r="W216">
        <v>43.674334000000002</v>
      </c>
      <c r="X216">
        <v>-23.910363</v>
      </c>
    </row>
    <row r="217" spans="1:24" x14ac:dyDescent="0.35">
      <c r="A217" s="3" t="str">
        <f t="shared" si="3"/>
        <v>602100005SMP</v>
      </c>
      <c r="B217" t="s">
        <v>6210</v>
      </c>
      <c r="C217">
        <f>+VLOOKUP(Sites_per_tag[[#This Row],[Field_office]],Parameter!$A$3:$B$11,2,0)</f>
        <v>10</v>
      </c>
      <c r="E217" t="s">
        <v>5650</v>
      </c>
      <c r="F217" t="s">
        <v>5654</v>
      </c>
      <c r="H217" t="str">
        <f ca="1">PROPER(Sites_per_tag[[#This Row],[Adm2Name]])</f>
        <v>Toliary-Ii</v>
      </c>
      <c r="I217" t="s">
        <v>5728</v>
      </c>
      <c r="K217" t="s">
        <v>5903</v>
      </c>
      <c r="L217" t="s">
        <v>5904</v>
      </c>
      <c r="Q217" t="s">
        <v>2370</v>
      </c>
      <c r="R217">
        <v>602100005</v>
      </c>
      <c r="T217" t="s">
        <v>7</v>
      </c>
      <c r="U217" s="3" t="str">
        <f>+VLOOKUP(Sites_per_tag[[#This Row],[Activity_tag]],Parameter!$A$24:$B$32,2,0)</f>
        <v>SMP</v>
      </c>
      <c r="W217">
        <v>43.624079000000002</v>
      </c>
      <c r="X217">
        <v>-23.239985000000001</v>
      </c>
    </row>
    <row r="218" spans="1:24" x14ac:dyDescent="0.35">
      <c r="A218" s="3" t="str">
        <f t="shared" si="3"/>
        <v>602100006SMP</v>
      </c>
      <c r="B218" t="s">
        <v>6210</v>
      </c>
      <c r="C218">
        <f>+VLOOKUP(Sites_per_tag[[#This Row],[Field_office]],Parameter!$A$3:$B$11,2,0)</f>
        <v>10</v>
      </c>
      <c r="E218" t="s">
        <v>5650</v>
      </c>
      <c r="F218" t="s">
        <v>5654</v>
      </c>
      <c r="H218" t="str">
        <f ca="1">PROPER(Sites_per_tag[[#This Row],[Adm2Name]])</f>
        <v>Toliary-Ii</v>
      </c>
      <c r="I218" t="s">
        <v>5728</v>
      </c>
      <c r="K218" t="s">
        <v>5903</v>
      </c>
      <c r="L218" t="s">
        <v>5904</v>
      </c>
      <c r="Q218" t="s">
        <v>2376</v>
      </c>
      <c r="R218">
        <v>602100006</v>
      </c>
      <c r="T218" t="s">
        <v>7</v>
      </c>
      <c r="U218" s="3" t="str">
        <f>+VLOOKUP(Sites_per_tag[[#This Row],[Activity_tag]],Parameter!$A$24:$B$32,2,0)</f>
        <v>SMP</v>
      </c>
      <c r="W218">
        <v>43.681024999999998</v>
      </c>
      <c r="X218">
        <v>-23.300536000000001</v>
      </c>
    </row>
    <row r="219" spans="1:24" x14ac:dyDescent="0.35">
      <c r="A219" s="3" t="str">
        <f t="shared" si="3"/>
        <v>602100007SMP</v>
      </c>
      <c r="B219" t="s">
        <v>6210</v>
      </c>
      <c r="C219">
        <f>+VLOOKUP(Sites_per_tag[[#This Row],[Field_office]],Parameter!$A$3:$B$11,2,0)</f>
        <v>10</v>
      </c>
      <c r="E219" t="s">
        <v>5650</v>
      </c>
      <c r="F219" t="s">
        <v>5654</v>
      </c>
      <c r="H219" t="str">
        <f ca="1">PROPER(Sites_per_tag[[#This Row],[Adm2Name]])</f>
        <v>Toliary-Ii</v>
      </c>
      <c r="I219" t="s">
        <v>5728</v>
      </c>
      <c r="K219" t="s">
        <v>5903</v>
      </c>
      <c r="L219" t="s">
        <v>5904</v>
      </c>
      <c r="Q219" t="s">
        <v>1876</v>
      </c>
      <c r="R219">
        <v>602100007</v>
      </c>
      <c r="T219" t="s">
        <v>7</v>
      </c>
      <c r="U219" s="3" t="str">
        <f>+VLOOKUP(Sites_per_tag[[#This Row],[Activity_tag]],Parameter!$A$24:$B$32,2,0)</f>
        <v>SMP</v>
      </c>
      <c r="W219">
        <v>43.645609999999998</v>
      </c>
      <c r="X219">
        <v>-23.300357000000002</v>
      </c>
    </row>
    <row r="220" spans="1:24" x14ac:dyDescent="0.35">
      <c r="A220" s="3" t="str">
        <f t="shared" si="3"/>
        <v>602100015SMP</v>
      </c>
      <c r="B220" t="s">
        <v>6210</v>
      </c>
      <c r="C220">
        <f>+VLOOKUP(Sites_per_tag[[#This Row],[Field_office]],Parameter!$A$3:$B$11,2,0)</f>
        <v>10</v>
      </c>
      <c r="E220" t="s">
        <v>5650</v>
      </c>
      <c r="F220" t="s">
        <v>5654</v>
      </c>
      <c r="H220" t="str">
        <f ca="1">PROPER(Sites_per_tag[[#This Row],[Adm2Name]])</f>
        <v>Toliary-Ii</v>
      </c>
      <c r="I220" t="s">
        <v>5728</v>
      </c>
      <c r="K220" t="s">
        <v>5903</v>
      </c>
      <c r="L220" t="s">
        <v>5904</v>
      </c>
      <c r="Q220" t="s">
        <v>3815</v>
      </c>
      <c r="R220">
        <v>602100015</v>
      </c>
      <c r="T220" t="s">
        <v>7</v>
      </c>
      <c r="U220" s="3" t="str">
        <f>+VLOOKUP(Sites_per_tag[[#This Row],[Activity_tag]],Parameter!$A$24:$B$32,2,0)</f>
        <v>SMP</v>
      </c>
      <c r="W220">
        <v>43.670603999999997</v>
      </c>
      <c r="X220">
        <v>-23.304417000000001</v>
      </c>
    </row>
    <row r="221" spans="1:24" x14ac:dyDescent="0.35">
      <c r="A221" s="3" t="str">
        <f t="shared" si="3"/>
        <v>602110004SMP</v>
      </c>
      <c r="B221" t="s">
        <v>6210</v>
      </c>
      <c r="C221">
        <f>+VLOOKUP(Sites_per_tag[[#This Row],[Field_office]],Parameter!$A$3:$B$11,2,0)</f>
        <v>10</v>
      </c>
      <c r="E221" t="s">
        <v>5650</v>
      </c>
      <c r="F221" t="s">
        <v>5654</v>
      </c>
      <c r="H221" t="str">
        <f ca="1">PROPER(Sites_per_tag[[#This Row],[Adm2Name]])</f>
        <v>Toliary-Ii</v>
      </c>
      <c r="I221" t="s">
        <v>5728</v>
      </c>
      <c r="K221" t="s">
        <v>6090</v>
      </c>
      <c r="L221" t="s">
        <v>6091</v>
      </c>
      <c r="Q221" t="s">
        <v>1206</v>
      </c>
      <c r="R221">
        <v>602110004</v>
      </c>
      <c r="T221" t="s">
        <v>7</v>
      </c>
      <c r="U221" s="3" t="str">
        <f>+VLOOKUP(Sites_per_tag[[#This Row],[Activity_tag]],Parameter!$A$24:$B$32,2,0)</f>
        <v>SMP</v>
      </c>
      <c r="W221">
        <v>43.821379</v>
      </c>
      <c r="X221">
        <v>-23.533138000000001</v>
      </c>
    </row>
    <row r="222" spans="1:24" x14ac:dyDescent="0.35">
      <c r="A222" s="3" t="str">
        <f t="shared" si="3"/>
        <v>602110005SMP</v>
      </c>
      <c r="B222" t="s">
        <v>6210</v>
      </c>
      <c r="C222">
        <f>+VLOOKUP(Sites_per_tag[[#This Row],[Field_office]],Parameter!$A$3:$B$11,2,0)</f>
        <v>10</v>
      </c>
      <c r="E222" t="s">
        <v>5650</v>
      </c>
      <c r="F222" t="s">
        <v>5654</v>
      </c>
      <c r="H222" t="str">
        <f ca="1">PROPER(Sites_per_tag[[#This Row],[Adm2Name]])</f>
        <v>Toliary-Ii</v>
      </c>
      <c r="I222" t="s">
        <v>5728</v>
      </c>
      <c r="K222" t="s">
        <v>6090</v>
      </c>
      <c r="L222" t="s">
        <v>6091</v>
      </c>
      <c r="Q222" t="s">
        <v>1260</v>
      </c>
      <c r="R222">
        <v>602110005</v>
      </c>
      <c r="T222" t="s">
        <v>7</v>
      </c>
      <c r="U222" s="3" t="str">
        <f>+VLOOKUP(Sites_per_tag[[#This Row],[Activity_tag]],Parameter!$A$24:$B$32,2,0)</f>
        <v>SMP</v>
      </c>
      <c r="W222">
        <v>43.740957000000002</v>
      </c>
      <c r="X222">
        <v>-23.427668000000001</v>
      </c>
    </row>
    <row r="223" spans="1:24" x14ac:dyDescent="0.35">
      <c r="A223" s="3" t="str">
        <f t="shared" si="3"/>
        <v>602110006SMP</v>
      </c>
      <c r="B223" t="s">
        <v>6210</v>
      </c>
      <c r="C223">
        <f>+VLOOKUP(Sites_per_tag[[#This Row],[Field_office]],Parameter!$A$3:$B$11,2,0)</f>
        <v>10</v>
      </c>
      <c r="E223" t="s">
        <v>5650</v>
      </c>
      <c r="F223" t="s">
        <v>5654</v>
      </c>
      <c r="H223" t="str">
        <f ca="1">PROPER(Sites_per_tag[[#This Row],[Adm2Name]])</f>
        <v>Toliary-Ii</v>
      </c>
      <c r="I223" t="s">
        <v>5728</v>
      </c>
      <c r="K223" t="s">
        <v>6090</v>
      </c>
      <c r="L223" t="s">
        <v>6091</v>
      </c>
      <c r="Q223" t="s">
        <v>2693</v>
      </c>
      <c r="R223">
        <v>602110006</v>
      </c>
      <c r="T223" t="s">
        <v>7</v>
      </c>
      <c r="U223" s="3" t="str">
        <f>+VLOOKUP(Sites_per_tag[[#This Row],[Activity_tag]],Parameter!$A$24:$B$32,2,0)</f>
        <v>SMP</v>
      </c>
      <c r="W223">
        <v>43.74147</v>
      </c>
      <c r="X223">
        <v>-23.532620000000001</v>
      </c>
    </row>
    <row r="224" spans="1:24" x14ac:dyDescent="0.35">
      <c r="A224" s="3" t="str">
        <f t="shared" si="3"/>
        <v>602110008SMP</v>
      </c>
      <c r="B224" t="s">
        <v>6210</v>
      </c>
      <c r="C224">
        <f>+VLOOKUP(Sites_per_tag[[#This Row],[Field_office]],Parameter!$A$3:$B$11,2,0)</f>
        <v>10</v>
      </c>
      <c r="E224" t="s">
        <v>5650</v>
      </c>
      <c r="F224" t="s">
        <v>5654</v>
      </c>
      <c r="H224" t="str">
        <f ca="1">PROPER(Sites_per_tag[[#This Row],[Adm2Name]])</f>
        <v>Toliary-Ii</v>
      </c>
      <c r="I224" t="s">
        <v>5728</v>
      </c>
      <c r="K224" t="s">
        <v>6090</v>
      </c>
      <c r="L224" t="s">
        <v>6091</v>
      </c>
      <c r="Q224" t="s">
        <v>2932</v>
      </c>
      <c r="R224">
        <v>602110008</v>
      </c>
      <c r="T224" t="s">
        <v>7</v>
      </c>
      <c r="U224" s="3" t="str">
        <f>+VLOOKUP(Sites_per_tag[[#This Row],[Activity_tag]],Parameter!$A$24:$B$32,2,0)</f>
        <v>SMP</v>
      </c>
      <c r="W224">
        <v>43.821379</v>
      </c>
      <c r="X224">
        <v>-23.533138000000001</v>
      </c>
    </row>
    <row r="225" spans="1:24" x14ac:dyDescent="0.35">
      <c r="A225" s="3" t="str">
        <f t="shared" si="3"/>
        <v>602110009SMP</v>
      </c>
      <c r="B225" t="s">
        <v>6210</v>
      </c>
      <c r="C225">
        <f>+VLOOKUP(Sites_per_tag[[#This Row],[Field_office]],Parameter!$A$3:$B$11,2,0)</f>
        <v>10</v>
      </c>
      <c r="E225" t="s">
        <v>5650</v>
      </c>
      <c r="F225" t="s">
        <v>5654</v>
      </c>
      <c r="H225" t="str">
        <f ca="1">PROPER(Sites_per_tag[[#This Row],[Adm2Name]])</f>
        <v>Toliary-Ii</v>
      </c>
      <c r="I225" t="s">
        <v>5728</v>
      </c>
      <c r="K225" t="s">
        <v>6090</v>
      </c>
      <c r="L225" t="s">
        <v>6091</v>
      </c>
      <c r="Q225" t="s">
        <v>2717</v>
      </c>
      <c r="R225">
        <v>602110009</v>
      </c>
      <c r="T225" t="s">
        <v>7</v>
      </c>
      <c r="U225" s="3" t="str">
        <f>+VLOOKUP(Sites_per_tag[[#This Row],[Activity_tag]],Parameter!$A$24:$B$32,2,0)</f>
        <v>SMP</v>
      </c>
      <c r="W225">
        <v>43.762737999999999</v>
      </c>
      <c r="X225">
        <v>-23.551501999999999</v>
      </c>
    </row>
    <row r="226" spans="1:24" x14ac:dyDescent="0.35">
      <c r="A226" s="3" t="str">
        <f t="shared" si="3"/>
        <v>602110010SMP</v>
      </c>
      <c r="B226" t="s">
        <v>6210</v>
      </c>
      <c r="C226">
        <f>+VLOOKUP(Sites_per_tag[[#This Row],[Field_office]],Parameter!$A$3:$B$11,2,0)</f>
        <v>10</v>
      </c>
      <c r="E226" t="s">
        <v>5650</v>
      </c>
      <c r="F226" t="s">
        <v>5654</v>
      </c>
      <c r="H226" t="str">
        <f ca="1">PROPER(Sites_per_tag[[#This Row],[Adm2Name]])</f>
        <v>Toliary-Ii</v>
      </c>
      <c r="I226" t="s">
        <v>5728</v>
      </c>
      <c r="K226" t="s">
        <v>6090</v>
      </c>
      <c r="L226" t="s">
        <v>6091</v>
      </c>
      <c r="Q226" t="s">
        <v>6213</v>
      </c>
      <c r="R226">
        <v>602110010</v>
      </c>
      <c r="T226" t="s">
        <v>7</v>
      </c>
      <c r="U226" s="3" t="str">
        <f>+VLOOKUP(Sites_per_tag[[#This Row],[Activity_tag]],Parameter!$A$24:$B$32,2,0)</f>
        <v>SMP</v>
      </c>
      <c r="W226">
        <v>43.734343000000003</v>
      </c>
      <c r="X226">
        <v>-23.510605000000002</v>
      </c>
    </row>
    <row r="227" spans="1:24" x14ac:dyDescent="0.35">
      <c r="A227" s="3" t="str">
        <f t="shared" si="3"/>
        <v>602120009SMP</v>
      </c>
      <c r="B227" t="s">
        <v>6210</v>
      </c>
      <c r="C227">
        <f>+VLOOKUP(Sites_per_tag[[#This Row],[Field_office]],Parameter!$A$3:$B$11,2,0)</f>
        <v>10</v>
      </c>
      <c r="E227" t="s">
        <v>5650</v>
      </c>
      <c r="F227" t="s">
        <v>5654</v>
      </c>
      <c r="H227" t="str">
        <f ca="1">PROPER(Sites_per_tag[[#This Row],[Adm2Name]])</f>
        <v>Toliary-Ii</v>
      </c>
      <c r="I227" t="s">
        <v>5728</v>
      </c>
      <c r="K227" t="s">
        <v>6035</v>
      </c>
      <c r="L227" t="s">
        <v>6036</v>
      </c>
      <c r="Q227" t="s">
        <v>2926</v>
      </c>
      <c r="R227">
        <v>602120009</v>
      </c>
      <c r="T227" t="s">
        <v>7</v>
      </c>
      <c r="U227" s="3" t="str">
        <f>+VLOOKUP(Sites_per_tag[[#This Row],[Activity_tag]],Parameter!$A$24:$B$32,2,0)</f>
        <v>SMP</v>
      </c>
      <c r="W227">
        <v>43.474179999999997</v>
      </c>
      <c r="X227">
        <v>-22.953870999999999</v>
      </c>
    </row>
    <row r="228" spans="1:24" x14ac:dyDescent="0.35">
      <c r="A228" s="3" t="str">
        <f t="shared" si="3"/>
        <v>602120010SMP</v>
      </c>
      <c r="B228" t="s">
        <v>6210</v>
      </c>
      <c r="C228">
        <f>+VLOOKUP(Sites_per_tag[[#This Row],[Field_office]],Parameter!$A$3:$B$11,2,0)</f>
        <v>10</v>
      </c>
      <c r="E228" t="s">
        <v>5650</v>
      </c>
      <c r="F228" t="s">
        <v>5654</v>
      </c>
      <c r="H228" t="str">
        <f ca="1">PROPER(Sites_per_tag[[#This Row],[Adm2Name]])</f>
        <v>Toliary-Ii</v>
      </c>
      <c r="I228" t="s">
        <v>5728</v>
      </c>
      <c r="K228" t="s">
        <v>6035</v>
      </c>
      <c r="L228" t="s">
        <v>6036</v>
      </c>
      <c r="Q228" t="s">
        <v>2927</v>
      </c>
      <c r="R228">
        <v>602120010</v>
      </c>
      <c r="T228" t="s">
        <v>7</v>
      </c>
      <c r="U228" s="3" t="str">
        <f>+VLOOKUP(Sites_per_tag[[#This Row],[Activity_tag]],Parameter!$A$24:$B$32,2,0)</f>
        <v>SMP</v>
      </c>
      <c r="W228">
        <v>43.470452999999999</v>
      </c>
      <c r="X228">
        <v>-22.952207999999999</v>
      </c>
    </row>
    <row r="229" spans="1:24" x14ac:dyDescent="0.35">
      <c r="A229" s="3" t="str">
        <f t="shared" si="3"/>
        <v>602120017SMP</v>
      </c>
      <c r="B229" t="s">
        <v>6210</v>
      </c>
      <c r="C229">
        <f>+VLOOKUP(Sites_per_tag[[#This Row],[Field_office]],Parameter!$A$3:$B$11,2,0)</f>
        <v>10</v>
      </c>
      <c r="E229" t="s">
        <v>5650</v>
      </c>
      <c r="F229" t="s">
        <v>5654</v>
      </c>
      <c r="H229" t="str">
        <f ca="1">PROPER(Sites_per_tag[[#This Row],[Adm2Name]])</f>
        <v>Toliary-Ii</v>
      </c>
      <c r="I229" t="s">
        <v>5728</v>
      </c>
      <c r="K229" t="s">
        <v>6035</v>
      </c>
      <c r="L229" t="s">
        <v>6036</v>
      </c>
      <c r="Q229" t="s">
        <v>2494</v>
      </c>
      <c r="R229">
        <v>602120017</v>
      </c>
      <c r="T229" t="s">
        <v>7</v>
      </c>
      <c r="U229" s="3" t="str">
        <f>+VLOOKUP(Sites_per_tag[[#This Row],[Activity_tag]],Parameter!$A$24:$B$32,2,0)</f>
        <v>SMP</v>
      </c>
      <c r="W229">
        <v>43.474128</v>
      </c>
      <c r="X229">
        <v>-22.974954</v>
      </c>
    </row>
    <row r="230" spans="1:24" x14ac:dyDescent="0.35">
      <c r="A230" s="3" t="str">
        <f t="shared" si="3"/>
        <v>602130003SMP</v>
      </c>
      <c r="B230" t="s">
        <v>6210</v>
      </c>
      <c r="C230">
        <f>+VLOOKUP(Sites_per_tag[[#This Row],[Field_office]],Parameter!$A$3:$B$11,2,0)</f>
        <v>10</v>
      </c>
      <c r="E230" t="s">
        <v>5650</v>
      </c>
      <c r="F230" t="s">
        <v>5654</v>
      </c>
      <c r="H230" t="str">
        <f ca="1">PROPER(Sites_per_tag[[#This Row],[Adm2Name]])</f>
        <v>Toliary-Ii</v>
      </c>
      <c r="I230" t="s">
        <v>5728</v>
      </c>
      <c r="K230" t="s">
        <v>6037</v>
      </c>
      <c r="L230" t="s">
        <v>6038</v>
      </c>
      <c r="Q230" t="s">
        <v>1643</v>
      </c>
      <c r="R230">
        <v>602130003</v>
      </c>
      <c r="T230" t="s">
        <v>7</v>
      </c>
      <c r="U230" s="3" t="str">
        <f>+VLOOKUP(Sites_per_tag[[#This Row],[Activity_tag]],Parameter!$A$24:$B$32,2,0)</f>
        <v>SMP</v>
      </c>
      <c r="W230">
        <v>43.954172</v>
      </c>
      <c r="X230">
        <v>-23.515595000000001</v>
      </c>
    </row>
    <row r="231" spans="1:24" x14ac:dyDescent="0.35">
      <c r="A231" s="3" t="str">
        <f t="shared" si="3"/>
        <v>602150008SMP</v>
      </c>
      <c r="B231" t="s">
        <v>6210</v>
      </c>
      <c r="C231">
        <f>+VLOOKUP(Sites_per_tag[[#This Row],[Field_office]],Parameter!$A$3:$B$11,2,0)</f>
        <v>10</v>
      </c>
      <c r="E231" t="s">
        <v>5650</v>
      </c>
      <c r="F231" t="s">
        <v>5654</v>
      </c>
      <c r="H231" t="str">
        <f ca="1">PROPER(Sites_per_tag[[#This Row],[Adm2Name]])</f>
        <v>Toliary-Ii</v>
      </c>
      <c r="I231" t="s">
        <v>5728</v>
      </c>
      <c r="K231" t="s">
        <v>5912</v>
      </c>
      <c r="L231" t="s">
        <v>6048</v>
      </c>
      <c r="Q231" t="s">
        <v>3053</v>
      </c>
      <c r="R231">
        <v>602150008</v>
      </c>
      <c r="T231" t="s">
        <v>7</v>
      </c>
      <c r="U231" s="3" t="str">
        <f>+VLOOKUP(Sites_per_tag[[#This Row],[Activity_tag]],Parameter!$A$24:$B$32,2,0)</f>
        <v>SMP</v>
      </c>
      <c r="W231">
        <v>43.711480000000002</v>
      </c>
      <c r="X231">
        <v>-23.278794999999999</v>
      </c>
    </row>
    <row r="232" spans="1:24" x14ac:dyDescent="0.35">
      <c r="A232" s="3" t="str">
        <f t="shared" si="3"/>
        <v>602150014SMP</v>
      </c>
      <c r="B232" t="s">
        <v>6210</v>
      </c>
      <c r="C232">
        <f>+VLOOKUP(Sites_per_tag[[#This Row],[Field_office]],Parameter!$A$3:$B$11,2,0)</f>
        <v>10</v>
      </c>
      <c r="E232" t="s">
        <v>5650</v>
      </c>
      <c r="F232" t="s">
        <v>5654</v>
      </c>
      <c r="H232" t="str">
        <f ca="1">PROPER(Sites_per_tag[[#This Row],[Adm2Name]])</f>
        <v>Toliary-Ii</v>
      </c>
      <c r="I232" t="s">
        <v>5728</v>
      </c>
      <c r="K232" t="s">
        <v>5912</v>
      </c>
      <c r="L232" t="s">
        <v>6048</v>
      </c>
      <c r="Q232" t="s">
        <v>3201</v>
      </c>
      <c r="R232">
        <v>602150014</v>
      </c>
      <c r="T232" t="s">
        <v>7</v>
      </c>
      <c r="U232" s="3" t="str">
        <f>+VLOOKUP(Sites_per_tag[[#This Row],[Activity_tag]],Parameter!$A$24:$B$32,2,0)</f>
        <v>SMP</v>
      </c>
      <c r="W232">
        <v>43.708230999999998</v>
      </c>
      <c r="X232">
        <v>-23.284981999999999</v>
      </c>
    </row>
    <row r="233" spans="1:24" x14ac:dyDescent="0.35">
      <c r="A233" s="3" t="str">
        <f t="shared" si="3"/>
        <v>602170004SMP</v>
      </c>
      <c r="B233" t="s">
        <v>6210</v>
      </c>
      <c r="C233">
        <f>+VLOOKUP(Sites_per_tag[[#This Row],[Field_office]],Parameter!$A$3:$B$11,2,0)</f>
        <v>10</v>
      </c>
      <c r="E233" t="s">
        <v>5650</v>
      </c>
      <c r="F233" t="s">
        <v>5654</v>
      </c>
      <c r="H233" t="str">
        <f ca="1">PROPER(Sites_per_tag[[#This Row],[Adm2Name]])</f>
        <v>Toliary-Ii</v>
      </c>
      <c r="I233" t="s">
        <v>5728</v>
      </c>
      <c r="K233" t="s">
        <v>6103</v>
      </c>
      <c r="L233" t="s">
        <v>6104</v>
      </c>
      <c r="Q233" t="s">
        <v>3483</v>
      </c>
      <c r="R233">
        <v>602170004</v>
      </c>
      <c r="T233" t="s">
        <v>7</v>
      </c>
      <c r="U233" s="3" t="str">
        <f>+VLOOKUP(Sites_per_tag[[#This Row],[Activity_tag]],Parameter!$A$24:$B$32,2,0)</f>
        <v>SMP</v>
      </c>
      <c r="W233">
        <v>43.717782</v>
      </c>
      <c r="X233">
        <v>-23.595233</v>
      </c>
    </row>
    <row r="234" spans="1:24" x14ac:dyDescent="0.35">
      <c r="A234" s="3" t="str">
        <f t="shared" si="3"/>
        <v>602170005SMP</v>
      </c>
      <c r="B234" t="s">
        <v>6210</v>
      </c>
      <c r="C234">
        <f>+VLOOKUP(Sites_per_tag[[#This Row],[Field_office]],Parameter!$A$3:$B$11,2,0)</f>
        <v>10</v>
      </c>
      <c r="E234" t="s">
        <v>5650</v>
      </c>
      <c r="F234" t="s">
        <v>5654</v>
      </c>
      <c r="H234" t="str">
        <f ca="1">PROPER(Sites_per_tag[[#This Row],[Adm2Name]])</f>
        <v>Toliary-Ii</v>
      </c>
      <c r="I234" t="s">
        <v>5728</v>
      </c>
      <c r="K234" t="s">
        <v>6103</v>
      </c>
      <c r="L234" t="s">
        <v>6104</v>
      </c>
      <c r="Q234" t="s">
        <v>1131</v>
      </c>
      <c r="R234">
        <v>602170005</v>
      </c>
      <c r="T234" t="s">
        <v>7</v>
      </c>
      <c r="U234" s="3" t="str">
        <f>+VLOOKUP(Sites_per_tag[[#This Row],[Activity_tag]],Parameter!$A$24:$B$32,2,0)</f>
        <v>SMP</v>
      </c>
      <c r="W234">
        <v>43.661879999999996</v>
      </c>
      <c r="X234">
        <v>-23.61063</v>
      </c>
    </row>
    <row r="235" spans="1:24" x14ac:dyDescent="0.35">
      <c r="A235" s="3" t="str">
        <f t="shared" si="3"/>
        <v>602171003SMP</v>
      </c>
      <c r="B235" t="s">
        <v>6210</v>
      </c>
      <c r="C235">
        <f>+VLOOKUP(Sites_per_tag[[#This Row],[Field_office]],Parameter!$A$3:$B$11,2,0)</f>
        <v>10</v>
      </c>
      <c r="E235" t="s">
        <v>5650</v>
      </c>
      <c r="F235" t="s">
        <v>5654</v>
      </c>
      <c r="H235" t="str">
        <f ca="1">PROPER(Sites_per_tag[[#This Row],[Adm2Name]])</f>
        <v>Toliary-Ii</v>
      </c>
      <c r="I235" t="s">
        <v>5728</v>
      </c>
      <c r="K235" t="s">
        <v>6103</v>
      </c>
      <c r="L235" t="s">
        <v>6104</v>
      </c>
      <c r="Q235" t="s">
        <v>8</v>
      </c>
      <c r="R235">
        <v>602171003</v>
      </c>
      <c r="T235" t="s">
        <v>7</v>
      </c>
      <c r="U235" s="3" t="str">
        <f>+VLOOKUP(Sites_per_tag[[#This Row],[Activity_tag]],Parameter!$A$24:$B$32,2,0)</f>
        <v>SMP</v>
      </c>
      <c r="W235">
        <v>43.686833999999998</v>
      </c>
      <c r="X235">
        <v>-23.776306000000002</v>
      </c>
    </row>
    <row r="236" spans="1:24" x14ac:dyDescent="0.35">
      <c r="A236" s="3" t="str">
        <f t="shared" si="3"/>
        <v>602200002SMP</v>
      </c>
      <c r="B236" t="s">
        <v>6210</v>
      </c>
      <c r="C236">
        <f>+VLOOKUP(Sites_per_tag[[#This Row],[Field_office]],Parameter!$A$3:$B$11,2,0)</f>
        <v>10</v>
      </c>
      <c r="E236" t="s">
        <v>5650</v>
      </c>
      <c r="F236" t="s">
        <v>5654</v>
      </c>
      <c r="H236" t="str">
        <f ca="1">PROPER(Sites_per_tag[[#This Row],[Adm2Name]])</f>
        <v>Toliary-Ii</v>
      </c>
      <c r="I236" t="s">
        <v>5728</v>
      </c>
      <c r="K236" t="s">
        <v>5802</v>
      </c>
      <c r="L236" t="s">
        <v>5803</v>
      </c>
      <c r="Q236" t="s">
        <v>830</v>
      </c>
      <c r="R236">
        <v>602200002</v>
      </c>
      <c r="T236" t="s">
        <v>7</v>
      </c>
      <c r="U236" s="3" t="str">
        <f>+VLOOKUP(Sites_per_tag[[#This Row],[Activity_tag]],Parameter!$A$24:$B$32,2,0)</f>
        <v>SMP</v>
      </c>
      <c r="W236">
        <v>43.976143999999998</v>
      </c>
      <c r="X236">
        <v>-23.279330999999999</v>
      </c>
    </row>
    <row r="237" spans="1:24" x14ac:dyDescent="0.35">
      <c r="A237" s="3" t="str">
        <f t="shared" si="3"/>
        <v>602200006SMP</v>
      </c>
      <c r="B237" t="s">
        <v>6210</v>
      </c>
      <c r="C237">
        <f>+VLOOKUP(Sites_per_tag[[#This Row],[Field_office]],Parameter!$A$3:$B$11,2,0)</f>
        <v>10</v>
      </c>
      <c r="E237" t="s">
        <v>5650</v>
      </c>
      <c r="F237" t="s">
        <v>5654</v>
      </c>
      <c r="H237" t="str">
        <f ca="1">PROPER(Sites_per_tag[[#This Row],[Adm2Name]])</f>
        <v>Toliary-Ii</v>
      </c>
      <c r="I237" t="s">
        <v>5728</v>
      </c>
      <c r="K237" t="s">
        <v>5802</v>
      </c>
      <c r="L237" t="s">
        <v>5803</v>
      </c>
      <c r="Q237" t="s">
        <v>3131</v>
      </c>
      <c r="R237">
        <v>602200006</v>
      </c>
      <c r="T237" t="s">
        <v>7</v>
      </c>
      <c r="U237" s="3" t="str">
        <f>+VLOOKUP(Sites_per_tag[[#This Row],[Activity_tag]],Parameter!$A$24:$B$32,2,0)</f>
        <v>SMP</v>
      </c>
      <c r="W237">
        <v>44.003441000000002</v>
      </c>
      <c r="X237">
        <v>-23.268424</v>
      </c>
    </row>
    <row r="238" spans="1:24" x14ac:dyDescent="0.35">
      <c r="A238" s="3" t="str">
        <f t="shared" si="3"/>
        <v>602210004SMP</v>
      </c>
      <c r="B238" t="s">
        <v>6210</v>
      </c>
      <c r="C238">
        <f>+VLOOKUP(Sites_per_tag[[#This Row],[Field_office]],Parameter!$A$3:$B$11,2,0)</f>
        <v>10</v>
      </c>
      <c r="E238" t="s">
        <v>5650</v>
      </c>
      <c r="F238" t="s">
        <v>5654</v>
      </c>
      <c r="H238" t="str">
        <f ca="1">PROPER(Sites_per_tag[[#This Row],[Adm2Name]])</f>
        <v>Toliary-Ii</v>
      </c>
      <c r="I238" t="s">
        <v>5728</v>
      </c>
      <c r="K238" t="s">
        <v>6072</v>
      </c>
      <c r="L238" t="s">
        <v>6073</v>
      </c>
      <c r="Q238" t="s">
        <v>3199</v>
      </c>
      <c r="R238">
        <v>602210004</v>
      </c>
      <c r="T238" t="s">
        <v>7</v>
      </c>
      <c r="U238" s="3" t="str">
        <f>+VLOOKUP(Sites_per_tag[[#This Row],[Activity_tag]],Parameter!$A$24:$B$32,2,0)</f>
        <v>SMP</v>
      </c>
      <c r="W238">
        <v>43.685324999999999</v>
      </c>
      <c r="X238">
        <v>-23.332775000000002</v>
      </c>
    </row>
    <row r="239" spans="1:24" x14ac:dyDescent="0.35">
      <c r="A239" s="3" t="str">
        <f t="shared" si="3"/>
        <v>602210006SMP</v>
      </c>
      <c r="B239" t="s">
        <v>6210</v>
      </c>
      <c r="C239">
        <f>+VLOOKUP(Sites_per_tag[[#This Row],[Field_office]],Parameter!$A$3:$B$11,2,0)</f>
        <v>10</v>
      </c>
      <c r="E239" t="s">
        <v>5650</v>
      </c>
      <c r="F239" t="s">
        <v>5654</v>
      </c>
      <c r="H239" t="str">
        <f ca="1">PROPER(Sites_per_tag[[#This Row],[Adm2Name]])</f>
        <v>Toliary-Ii</v>
      </c>
      <c r="I239" t="s">
        <v>5728</v>
      </c>
      <c r="K239" t="s">
        <v>6072</v>
      </c>
      <c r="L239" t="s">
        <v>6073</v>
      </c>
      <c r="Q239" t="s">
        <v>3600</v>
      </c>
      <c r="R239">
        <v>602210006</v>
      </c>
      <c r="T239" t="s">
        <v>7</v>
      </c>
      <c r="U239" s="3" t="str">
        <f>+VLOOKUP(Sites_per_tag[[#This Row],[Activity_tag]],Parameter!$A$24:$B$32,2,0)</f>
        <v>SMP</v>
      </c>
      <c r="W239">
        <v>43.677768</v>
      </c>
      <c r="X239">
        <v>-23.325521999999999</v>
      </c>
    </row>
    <row r="240" spans="1:24" x14ac:dyDescent="0.35">
      <c r="A240" s="3" t="str">
        <f t="shared" si="3"/>
        <v>602220002SMP</v>
      </c>
      <c r="B240" t="s">
        <v>6210</v>
      </c>
      <c r="C240">
        <f>+VLOOKUP(Sites_per_tag[[#This Row],[Field_office]],Parameter!$A$3:$B$11,2,0)</f>
        <v>10</v>
      </c>
      <c r="E240" t="s">
        <v>5650</v>
      </c>
      <c r="F240" t="s">
        <v>5654</v>
      </c>
      <c r="H240" t="str">
        <f ca="1">PROPER(Sites_per_tag[[#This Row],[Adm2Name]])</f>
        <v>Toliary-Ii</v>
      </c>
      <c r="I240" t="s">
        <v>5728</v>
      </c>
      <c r="K240" t="s">
        <v>5929</v>
      </c>
      <c r="L240" t="s">
        <v>5930</v>
      </c>
      <c r="Q240" t="s">
        <v>876</v>
      </c>
      <c r="R240">
        <v>602220002</v>
      </c>
      <c r="T240" t="s">
        <v>7</v>
      </c>
      <c r="U240" s="3" t="str">
        <f>+VLOOKUP(Sites_per_tag[[#This Row],[Activity_tag]],Parameter!$A$24:$B$32,2,0)</f>
        <v>SMP</v>
      </c>
      <c r="W240">
        <v>43.714722000000002</v>
      </c>
      <c r="X240">
        <v>-23.372838000000002</v>
      </c>
    </row>
    <row r="241" spans="1:24" x14ac:dyDescent="0.35">
      <c r="A241" s="3" t="str">
        <f t="shared" si="3"/>
        <v>602220006SMP</v>
      </c>
      <c r="B241" t="s">
        <v>6210</v>
      </c>
      <c r="C241">
        <f>+VLOOKUP(Sites_per_tag[[#This Row],[Field_office]],Parameter!$A$3:$B$11,2,0)</f>
        <v>10</v>
      </c>
      <c r="E241" t="s">
        <v>5650</v>
      </c>
      <c r="F241" t="s">
        <v>5654</v>
      </c>
      <c r="H241" t="str">
        <f ca="1">PROPER(Sites_per_tag[[#This Row],[Adm2Name]])</f>
        <v>Toliary-Ii</v>
      </c>
      <c r="I241" t="s">
        <v>5728</v>
      </c>
      <c r="K241" t="s">
        <v>5929</v>
      </c>
      <c r="L241" t="s">
        <v>5930</v>
      </c>
      <c r="Q241" t="s">
        <v>3248</v>
      </c>
      <c r="R241">
        <v>602220006</v>
      </c>
      <c r="T241" t="s">
        <v>7</v>
      </c>
      <c r="U241" s="3" t="str">
        <f>+VLOOKUP(Sites_per_tag[[#This Row],[Activity_tag]],Parameter!$A$24:$B$32,2,0)</f>
        <v>SMP</v>
      </c>
      <c r="W241">
        <v>43.702488000000002</v>
      </c>
      <c r="X241">
        <v>-23.372647000000001</v>
      </c>
    </row>
    <row r="242" spans="1:24" x14ac:dyDescent="0.35">
      <c r="A242" s="3" t="str">
        <f t="shared" si="3"/>
        <v>602230003SMP</v>
      </c>
      <c r="B242" t="s">
        <v>6210</v>
      </c>
      <c r="C242">
        <f>+VLOOKUP(Sites_per_tag[[#This Row],[Field_office]],Parameter!$A$3:$B$11,2,0)</f>
        <v>10</v>
      </c>
      <c r="E242" t="s">
        <v>5650</v>
      </c>
      <c r="F242" t="s">
        <v>5654</v>
      </c>
      <c r="H242" t="str">
        <f ca="1">PROPER(Sites_per_tag[[#This Row],[Adm2Name]])</f>
        <v>Toliary-Ii</v>
      </c>
      <c r="I242" t="s">
        <v>5728</v>
      </c>
      <c r="K242" t="s">
        <v>5770</v>
      </c>
      <c r="L242" t="s">
        <v>5771</v>
      </c>
      <c r="Q242" t="s">
        <v>6214</v>
      </c>
      <c r="R242">
        <v>602230003</v>
      </c>
      <c r="T242" t="s">
        <v>7</v>
      </c>
      <c r="U242" s="3" t="str">
        <f>+VLOOKUP(Sites_per_tag[[#This Row],[Activity_tag]],Parameter!$A$24:$B$32,2,0)</f>
        <v>SMP</v>
      </c>
      <c r="W242">
        <v>43.662281</v>
      </c>
      <c r="X242">
        <v>-23.830075000000001</v>
      </c>
    </row>
    <row r="243" spans="1:24" x14ac:dyDescent="0.35">
      <c r="A243" s="3" t="str">
        <f t="shared" si="3"/>
        <v>602230004SMP</v>
      </c>
      <c r="B243" t="s">
        <v>6210</v>
      </c>
      <c r="C243">
        <f>+VLOOKUP(Sites_per_tag[[#This Row],[Field_office]],Parameter!$A$3:$B$11,2,0)</f>
        <v>10</v>
      </c>
      <c r="E243" t="s">
        <v>5650</v>
      </c>
      <c r="F243" t="s">
        <v>5654</v>
      </c>
      <c r="H243" t="str">
        <f ca="1">PROPER(Sites_per_tag[[#This Row],[Adm2Name]])</f>
        <v>Toliary-Ii</v>
      </c>
      <c r="I243" t="s">
        <v>5728</v>
      </c>
      <c r="K243" t="s">
        <v>5770</v>
      </c>
      <c r="L243" t="s">
        <v>5771</v>
      </c>
      <c r="Q243" t="s">
        <v>3049</v>
      </c>
      <c r="R243">
        <v>602230004</v>
      </c>
      <c r="T243" t="s">
        <v>7</v>
      </c>
      <c r="U243" s="3" t="str">
        <f>+VLOOKUP(Sites_per_tag[[#This Row],[Activity_tag]],Parameter!$A$24:$B$32,2,0)</f>
        <v>SMP</v>
      </c>
      <c r="W243">
        <v>43.661569999999998</v>
      </c>
      <c r="X243">
        <v>-23.804116</v>
      </c>
    </row>
    <row r="244" spans="1:24" x14ac:dyDescent="0.35">
      <c r="A244" s="3" t="str">
        <f t="shared" si="3"/>
        <v>602240002SMP</v>
      </c>
      <c r="B244" t="s">
        <v>6210</v>
      </c>
      <c r="C244">
        <f>+VLOOKUP(Sites_per_tag[[#This Row],[Field_office]],Parameter!$A$3:$B$11,2,0)</f>
        <v>10</v>
      </c>
      <c r="E244" t="s">
        <v>5650</v>
      </c>
      <c r="F244" t="s">
        <v>5654</v>
      </c>
      <c r="H244" t="str">
        <f ca="1">PROPER(Sites_per_tag[[#This Row],[Adm2Name]])</f>
        <v>Toliary-Ii</v>
      </c>
      <c r="I244" t="s">
        <v>5728</v>
      </c>
      <c r="K244" t="s">
        <v>5895</v>
      </c>
      <c r="L244" t="s">
        <v>5896</v>
      </c>
      <c r="Q244" t="s">
        <v>2369</v>
      </c>
      <c r="R244">
        <v>602240002</v>
      </c>
      <c r="T244" t="s">
        <v>7</v>
      </c>
      <c r="U244" s="3" t="str">
        <f>+VLOOKUP(Sites_per_tag[[#This Row],[Activity_tag]],Parameter!$A$24:$B$32,2,0)</f>
        <v>SMP</v>
      </c>
      <c r="W244">
        <v>43.820107</v>
      </c>
      <c r="X244">
        <v>-23.292701999999998</v>
      </c>
    </row>
    <row r="245" spans="1:24" x14ac:dyDescent="0.35">
      <c r="A245" s="3" t="str">
        <f t="shared" si="3"/>
        <v>602240008SMP</v>
      </c>
      <c r="B245" t="s">
        <v>6210</v>
      </c>
      <c r="C245">
        <f>+VLOOKUP(Sites_per_tag[[#This Row],[Field_office]],Parameter!$A$3:$B$11,2,0)</f>
        <v>10</v>
      </c>
      <c r="E245" t="s">
        <v>5650</v>
      </c>
      <c r="F245" t="s">
        <v>5654</v>
      </c>
      <c r="H245" t="str">
        <f ca="1">PROPER(Sites_per_tag[[#This Row],[Adm2Name]])</f>
        <v>Toliary-Ii</v>
      </c>
      <c r="I245" t="s">
        <v>5728</v>
      </c>
      <c r="K245" t="s">
        <v>5895</v>
      </c>
      <c r="L245" t="s">
        <v>5896</v>
      </c>
      <c r="Q245" t="s">
        <v>1811</v>
      </c>
      <c r="R245">
        <v>602240008</v>
      </c>
      <c r="T245" t="s">
        <v>7</v>
      </c>
      <c r="U245" s="3" t="str">
        <f>+VLOOKUP(Sites_per_tag[[#This Row],[Activity_tag]],Parameter!$A$24:$B$32,2,0)</f>
        <v>SMP</v>
      </c>
      <c r="W245">
        <v>43.855747000000001</v>
      </c>
      <c r="X245">
        <v>-23.249648000000001</v>
      </c>
    </row>
    <row r="246" spans="1:24" x14ac:dyDescent="0.35">
      <c r="A246" s="3" t="str">
        <f t="shared" si="3"/>
        <v>603010004SMP</v>
      </c>
      <c r="B246" t="s">
        <v>6211</v>
      </c>
      <c r="C246">
        <f>+VLOOKUP(Sites_per_tag[[#This Row],[Field_office]],Parameter!$A$3:$B$11,2,0)</f>
        <v>6</v>
      </c>
      <c r="E246" t="s">
        <v>1448</v>
      </c>
      <c r="F246" t="s">
        <v>5651</v>
      </c>
      <c r="H246" t="str">
        <f ca="1">PROPER(Sites_per_tag[[#This Row],[Adm2Name]])</f>
        <v>Amboasary-Atsimo</v>
      </c>
      <c r="I246" t="s">
        <v>5641</v>
      </c>
      <c r="K246" t="s">
        <v>5713</v>
      </c>
      <c r="L246" t="s">
        <v>5714</v>
      </c>
      <c r="Q246" t="s">
        <v>681</v>
      </c>
      <c r="R246">
        <v>603010004</v>
      </c>
      <c r="T246" t="s">
        <v>7</v>
      </c>
      <c r="U246" s="3" t="str">
        <f>+VLOOKUP(Sites_per_tag[[#This Row],[Activity_tag]],Parameter!$A$24:$B$32,2,0)</f>
        <v>SMP</v>
      </c>
      <c r="W246">
        <v>46.400593000000001</v>
      </c>
      <c r="X246">
        <v>-25.057033000000001</v>
      </c>
    </row>
    <row r="247" spans="1:24" x14ac:dyDescent="0.35">
      <c r="A247" s="3" t="str">
        <f t="shared" si="3"/>
        <v>603010009SMP</v>
      </c>
      <c r="B247" t="s">
        <v>6211</v>
      </c>
      <c r="C247">
        <f>+VLOOKUP(Sites_per_tag[[#This Row],[Field_office]],Parameter!$A$3:$B$11,2,0)</f>
        <v>6</v>
      </c>
      <c r="E247" t="s">
        <v>1448</v>
      </c>
      <c r="F247" t="s">
        <v>5651</v>
      </c>
      <c r="H247" t="str">
        <f ca="1">PROPER(Sites_per_tag[[#This Row],[Adm2Name]])</f>
        <v>Amboasary-Atsimo</v>
      </c>
      <c r="I247" t="s">
        <v>5641</v>
      </c>
      <c r="K247" t="s">
        <v>5713</v>
      </c>
      <c r="L247" t="s">
        <v>5714</v>
      </c>
      <c r="Q247" t="s">
        <v>1219</v>
      </c>
      <c r="R247">
        <v>603010009</v>
      </c>
      <c r="T247" t="s">
        <v>7</v>
      </c>
      <c r="U247" s="3" t="str">
        <f>+VLOOKUP(Sites_per_tag[[#This Row],[Activity_tag]],Parameter!$A$24:$B$32,2,0)</f>
        <v>SMP</v>
      </c>
      <c r="W247">
        <v>46.359074999999997</v>
      </c>
      <c r="X247">
        <v>-25.069897000000001</v>
      </c>
    </row>
    <row r="248" spans="1:24" x14ac:dyDescent="0.35">
      <c r="A248" s="3" t="str">
        <f t="shared" si="3"/>
        <v>603010012SMP</v>
      </c>
      <c r="B248" t="s">
        <v>6211</v>
      </c>
      <c r="C248">
        <f>+VLOOKUP(Sites_per_tag[[#This Row],[Field_office]],Parameter!$A$3:$B$11,2,0)</f>
        <v>6</v>
      </c>
      <c r="E248" t="s">
        <v>1448</v>
      </c>
      <c r="F248" t="s">
        <v>5651</v>
      </c>
      <c r="H248" t="str">
        <f ca="1">PROPER(Sites_per_tag[[#This Row],[Adm2Name]])</f>
        <v>Amboasary-Atsimo</v>
      </c>
      <c r="I248" t="s">
        <v>5641</v>
      </c>
      <c r="K248" t="s">
        <v>5713</v>
      </c>
      <c r="L248" t="s">
        <v>5714</v>
      </c>
      <c r="Q248" t="s">
        <v>1717</v>
      </c>
      <c r="R248">
        <v>603010012</v>
      </c>
      <c r="T248" t="s">
        <v>7</v>
      </c>
      <c r="U248" s="3" t="str">
        <f>+VLOOKUP(Sites_per_tag[[#This Row],[Activity_tag]],Parameter!$A$24:$B$32,2,0)</f>
        <v>SMP</v>
      </c>
      <c r="W248">
        <v>46.31915</v>
      </c>
      <c r="X248">
        <v>-25.047519999999999</v>
      </c>
    </row>
    <row r="249" spans="1:24" x14ac:dyDescent="0.35">
      <c r="A249" s="3" t="str">
        <f t="shared" si="3"/>
        <v>603010013SMP</v>
      </c>
      <c r="B249" t="s">
        <v>6211</v>
      </c>
      <c r="C249">
        <f>+VLOOKUP(Sites_per_tag[[#This Row],[Field_office]],Parameter!$A$3:$B$11,2,0)</f>
        <v>6</v>
      </c>
      <c r="E249" t="s">
        <v>1448</v>
      </c>
      <c r="F249" t="s">
        <v>5651</v>
      </c>
      <c r="H249" t="str">
        <f ca="1">PROPER(Sites_per_tag[[#This Row],[Adm2Name]])</f>
        <v>Amboasary-Atsimo</v>
      </c>
      <c r="I249" t="s">
        <v>5641</v>
      </c>
      <c r="K249" t="s">
        <v>5713</v>
      </c>
      <c r="L249" t="s">
        <v>5714</v>
      </c>
      <c r="Q249" t="s">
        <v>1988</v>
      </c>
      <c r="R249">
        <v>603010013</v>
      </c>
      <c r="T249" t="s">
        <v>7</v>
      </c>
      <c r="U249" s="3" t="str">
        <f>+VLOOKUP(Sites_per_tag[[#This Row],[Activity_tag]],Parameter!$A$24:$B$32,2,0)</f>
        <v>SMP</v>
      </c>
      <c r="W249">
        <v>46.439025000000001</v>
      </c>
      <c r="X249">
        <v>-25.100916000000002</v>
      </c>
    </row>
    <row r="250" spans="1:24" x14ac:dyDescent="0.35">
      <c r="A250" s="3" t="str">
        <f t="shared" si="3"/>
        <v>603010016SMP</v>
      </c>
      <c r="B250" t="s">
        <v>6211</v>
      </c>
      <c r="C250">
        <f>+VLOOKUP(Sites_per_tag[[#This Row],[Field_office]],Parameter!$A$3:$B$11,2,0)</f>
        <v>6</v>
      </c>
      <c r="E250" t="s">
        <v>1448</v>
      </c>
      <c r="F250" t="s">
        <v>5651</v>
      </c>
      <c r="H250" t="str">
        <f ca="1">PROPER(Sites_per_tag[[#This Row],[Adm2Name]])</f>
        <v>Amboasary-Atsimo</v>
      </c>
      <c r="I250" t="s">
        <v>5641</v>
      </c>
      <c r="K250" t="s">
        <v>5713</v>
      </c>
      <c r="L250" t="s">
        <v>5714</v>
      </c>
      <c r="Q250" t="s">
        <v>2520</v>
      </c>
      <c r="R250">
        <v>603010016</v>
      </c>
      <c r="T250" t="s">
        <v>7</v>
      </c>
      <c r="U250" s="3" t="str">
        <f>+VLOOKUP(Sites_per_tag[[#This Row],[Activity_tag]],Parameter!$A$24:$B$32,2,0)</f>
        <v>SMP</v>
      </c>
      <c r="W250">
        <v>46.31915</v>
      </c>
      <c r="X250">
        <v>-25.047519999999999</v>
      </c>
    </row>
    <row r="251" spans="1:24" x14ac:dyDescent="0.35">
      <c r="A251" s="3" t="str">
        <f t="shared" si="3"/>
        <v>603010017SMP</v>
      </c>
      <c r="B251" t="s">
        <v>6211</v>
      </c>
      <c r="C251">
        <f>+VLOOKUP(Sites_per_tag[[#This Row],[Field_office]],Parameter!$A$3:$B$11,2,0)</f>
        <v>6</v>
      </c>
      <c r="E251" t="s">
        <v>1448</v>
      </c>
      <c r="F251" t="s">
        <v>5651</v>
      </c>
      <c r="H251" t="str">
        <f ca="1">PROPER(Sites_per_tag[[#This Row],[Adm2Name]])</f>
        <v>Amboasary-Atsimo</v>
      </c>
      <c r="I251" t="s">
        <v>5641</v>
      </c>
      <c r="K251" t="s">
        <v>5713</v>
      </c>
      <c r="L251" t="s">
        <v>5714</v>
      </c>
      <c r="Q251" t="s">
        <v>2715</v>
      </c>
      <c r="R251">
        <v>603010017</v>
      </c>
      <c r="T251" t="s">
        <v>7</v>
      </c>
      <c r="U251" s="3" t="str">
        <f>+VLOOKUP(Sites_per_tag[[#This Row],[Activity_tag]],Parameter!$A$24:$B$32,2,0)</f>
        <v>SMP</v>
      </c>
      <c r="W251">
        <v>46.31915</v>
      </c>
      <c r="X251">
        <v>-25.047519999999999</v>
      </c>
    </row>
    <row r="252" spans="1:24" x14ac:dyDescent="0.35">
      <c r="A252" s="3" t="str">
        <f t="shared" si="3"/>
        <v>603010020SMP</v>
      </c>
      <c r="B252" t="s">
        <v>6211</v>
      </c>
      <c r="C252">
        <f>+VLOOKUP(Sites_per_tag[[#This Row],[Field_office]],Parameter!$A$3:$B$11,2,0)</f>
        <v>6</v>
      </c>
      <c r="E252" t="s">
        <v>1448</v>
      </c>
      <c r="F252" t="s">
        <v>5651</v>
      </c>
      <c r="H252" t="str">
        <f ca="1">PROPER(Sites_per_tag[[#This Row],[Adm2Name]])</f>
        <v>Amboasary-Atsimo</v>
      </c>
      <c r="I252" t="s">
        <v>5641</v>
      </c>
      <c r="K252" t="s">
        <v>5713</v>
      </c>
      <c r="L252" t="s">
        <v>5714</v>
      </c>
      <c r="Q252" t="s">
        <v>3345</v>
      </c>
      <c r="R252">
        <v>603010020</v>
      </c>
      <c r="T252" t="s">
        <v>7</v>
      </c>
      <c r="U252" s="3" t="str">
        <f>+VLOOKUP(Sites_per_tag[[#This Row],[Activity_tag]],Parameter!$A$24:$B$32,2,0)</f>
        <v>SMP</v>
      </c>
      <c r="W252">
        <v>46.380329000000003</v>
      </c>
      <c r="X252">
        <v>-25.098158000000002</v>
      </c>
    </row>
    <row r="253" spans="1:24" x14ac:dyDescent="0.35">
      <c r="A253" s="3" t="str">
        <f t="shared" si="3"/>
        <v>603010021SMP</v>
      </c>
      <c r="B253" t="s">
        <v>6211</v>
      </c>
      <c r="C253">
        <f>+VLOOKUP(Sites_per_tag[[#This Row],[Field_office]],Parameter!$A$3:$B$11,2,0)</f>
        <v>6</v>
      </c>
      <c r="E253" t="s">
        <v>1448</v>
      </c>
      <c r="F253" t="s">
        <v>5651</v>
      </c>
      <c r="H253" t="str">
        <f ca="1">PROPER(Sites_per_tag[[#This Row],[Adm2Name]])</f>
        <v>Amboasary-Atsimo</v>
      </c>
      <c r="I253" t="s">
        <v>5641</v>
      </c>
      <c r="K253" t="s">
        <v>5713</v>
      </c>
      <c r="L253" t="s">
        <v>5714</v>
      </c>
      <c r="Q253" t="s">
        <v>3530</v>
      </c>
      <c r="R253">
        <v>603010021</v>
      </c>
      <c r="T253" t="s">
        <v>7</v>
      </c>
      <c r="U253" s="3" t="str">
        <f>+VLOOKUP(Sites_per_tag[[#This Row],[Activity_tag]],Parameter!$A$24:$B$32,2,0)</f>
        <v>SMP</v>
      </c>
      <c r="W253">
        <v>46.31915</v>
      </c>
      <c r="X253">
        <v>-25.047519999999999</v>
      </c>
    </row>
    <row r="254" spans="1:24" x14ac:dyDescent="0.35">
      <c r="A254" s="3" t="str">
        <f t="shared" si="3"/>
        <v>603010023SMP</v>
      </c>
      <c r="B254" t="s">
        <v>6211</v>
      </c>
      <c r="C254">
        <f>+VLOOKUP(Sites_per_tag[[#This Row],[Field_office]],Parameter!$A$3:$B$11,2,0)</f>
        <v>6</v>
      </c>
      <c r="E254" t="s">
        <v>1448</v>
      </c>
      <c r="F254" t="s">
        <v>5651</v>
      </c>
      <c r="H254" t="str">
        <f ca="1">PROPER(Sites_per_tag[[#This Row],[Adm2Name]])</f>
        <v>Amboasary-Atsimo</v>
      </c>
      <c r="I254" t="s">
        <v>5641</v>
      </c>
      <c r="K254" t="s">
        <v>5713</v>
      </c>
      <c r="L254" t="s">
        <v>5714</v>
      </c>
      <c r="Q254" t="s">
        <v>3651</v>
      </c>
      <c r="R254">
        <v>603010023</v>
      </c>
      <c r="T254" t="s">
        <v>7</v>
      </c>
      <c r="U254" s="3" t="str">
        <f>+VLOOKUP(Sites_per_tag[[#This Row],[Activity_tag]],Parameter!$A$24:$B$32,2,0)</f>
        <v>SMP</v>
      </c>
      <c r="W254">
        <v>46.31915</v>
      </c>
      <c r="X254">
        <v>-25.047519999999999</v>
      </c>
    </row>
    <row r="255" spans="1:24" x14ac:dyDescent="0.35">
      <c r="A255" s="3" t="str">
        <f t="shared" si="3"/>
        <v>603010025SMP</v>
      </c>
      <c r="B255" t="s">
        <v>6211</v>
      </c>
      <c r="C255">
        <f>+VLOOKUP(Sites_per_tag[[#This Row],[Field_office]],Parameter!$A$3:$B$11,2,0)</f>
        <v>6</v>
      </c>
      <c r="E255" t="s">
        <v>1448</v>
      </c>
      <c r="F255" t="s">
        <v>5651</v>
      </c>
      <c r="H255" t="str">
        <f ca="1">PROPER(Sites_per_tag[[#This Row],[Adm2Name]])</f>
        <v>Amboasary-Atsimo</v>
      </c>
      <c r="I255" t="s">
        <v>5641</v>
      </c>
      <c r="K255" t="s">
        <v>5713</v>
      </c>
      <c r="L255" t="s">
        <v>5714</v>
      </c>
      <c r="Q255" t="s">
        <v>3647</v>
      </c>
      <c r="R255">
        <v>603010025</v>
      </c>
      <c r="T255" t="s">
        <v>7</v>
      </c>
      <c r="U255" s="3" t="str">
        <f>+VLOOKUP(Sites_per_tag[[#This Row],[Activity_tag]],Parameter!$A$24:$B$32,2,0)</f>
        <v>SMP</v>
      </c>
      <c r="W255">
        <v>46.330584999999999</v>
      </c>
      <c r="X255">
        <v>-25.071632999999999</v>
      </c>
    </row>
    <row r="256" spans="1:24" x14ac:dyDescent="0.35">
      <c r="A256" s="3" t="str">
        <f t="shared" si="3"/>
        <v>603010030SMP</v>
      </c>
      <c r="B256" t="s">
        <v>6211</v>
      </c>
      <c r="C256">
        <f>+VLOOKUP(Sites_per_tag[[#This Row],[Field_office]],Parameter!$A$3:$B$11,2,0)</f>
        <v>6</v>
      </c>
      <c r="E256" t="s">
        <v>1448</v>
      </c>
      <c r="F256" t="s">
        <v>5651</v>
      </c>
      <c r="H256" t="str">
        <f ca="1">PROPER(Sites_per_tag[[#This Row],[Adm2Name]])</f>
        <v>Amboasary-Atsimo</v>
      </c>
      <c r="I256" t="s">
        <v>5641</v>
      </c>
      <c r="K256" t="s">
        <v>5713</v>
      </c>
      <c r="L256" t="s">
        <v>5714</v>
      </c>
      <c r="Q256" t="s">
        <v>2163</v>
      </c>
      <c r="R256">
        <v>603010030</v>
      </c>
      <c r="T256" t="s">
        <v>7</v>
      </c>
      <c r="U256" s="3" t="str">
        <f>+VLOOKUP(Sites_per_tag[[#This Row],[Activity_tag]],Parameter!$A$24:$B$32,2,0)</f>
        <v>SMP</v>
      </c>
      <c r="W256">
        <v>46.407128</v>
      </c>
      <c r="X256">
        <v>-25.085107000000001</v>
      </c>
    </row>
    <row r="257" spans="1:24" x14ac:dyDescent="0.35">
      <c r="A257" s="3" t="str">
        <f t="shared" si="3"/>
        <v>603010031SMP</v>
      </c>
      <c r="B257" t="s">
        <v>6211</v>
      </c>
      <c r="C257">
        <f>+VLOOKUP(Sites_per_tag[[#This Row],[Field_office]],Parameter!$A$3:$B$11,2,0)</f>
        <v>6</v>
      </c>
      <c r="E257" t="s">
        <v>1448</v>
      </c>
      <c r="F257" t="s">
        <v>5651</v>
      </c>
      <c r="H257" t="str">
        <f ca="1">PROPER(Sites_per_tag[[#This Row],[Adm2Name]])</f>
        <v>Amboasary-Atsimo</v>
      </c>
      <c r="I257" t="s">
        <v>5641</v>
      </c>
      <c r="K257" t="s">
        <v>5713</v>
      </c>
      <c r="L257" t="s">
        <v>5714</v>
      </c>
      <c r="Q257" t="s">
        <v>3506</v>
      </c>
      <c r="R257">
        <v>603010031</v>
      </c>
      <c r="T257" t="s">
        <v>7</v>
      </c>
      <c r="U257" s="3" t="str">
        <f>+VLOOKUP(Sites_per_tag[[#This Row],[Activity_tag]],Parameter!$A$24:$B$32,2,0)</f>
        <v>SMP</v>
      </c>
      <c r="W257">
        <v>46.31915</v>
      </c>
      <c r="X257">
        <v>-25.047519999999999</v>
      </c>
    </row>
    <row r="258" spans="1:24" x14ac:dyDescent="0.35">
      <c r="A258" s="3" t="str">
        <f t="shared" si="3"/>
        <v>603010034SMP</v>
      </c>
      <c r="B258" t="s">
        <v>6211</v>
      </c>
      <c r="C258">
        <f>+VLOOKUP(Sites_per_tag[[#This Row],[Field_office]],Parameter!$A$3:$B$11,2,0)</f>
        <v>6</v>
      </c>
      <c r="E258" t="s">
        <v>1448</v>
      </c>
      <c r="F258" t="s">
        <v>5651</v>
      </c>
      <c r="H258" t="str">
        <f ca="1">PROPER(Sites_per_tag[[#This Row],[Adm2Name]])</f>
        <v>Amboasary-Atsimo</v>
      </c>
      <c r="I258" t="s">
        <v>5641</v>
      </c>
      <c r="K258" t="s">
        <v>5713</v>
      </c>
      <c r="L258" t="s">
        <v>5714</v>
      </c>
      <c r="Q258" t="s">
        <v>729</v>
      </c>
      <c r="R258">
        <v>603010034</v>
      </c>
      <c r="T258" t="s">
        <v>7</v>
      </c>
      <c r="U258" s="3" t="str">
        <f>+VLOOKUP(Sites_per_tag[[#This Row],[Activity_tag]],Parameter!$A$24:$B$32,2,0)</f>
        <v>SMP</v>
      </c>
      <c r="W258">
        <v>46.31915</v>
      </c>
      <c r="X258">
        <v>-25.047519999999999</v>
      </c>
    </row>
    <row r="259" spans="1:24" x14ac:dyDescent="0.35">
      <c r="A259" s="3" t="str">
        <f t="shared" ref="A259:A322" si="4">+R259&amp;U259</f>
        <v>603010035SMP</v>
      </c>
      <c r="B259" t="s">
        <v>6211</v>
      </c>
      <c r="C259">
        <f>+VLOOKUP(Sites_per_tag[[#This Row],[Field_office]],Parameter!$A$3:$B$11,2,0)</f>
        <v>6</v>
      </c>
      <c r="E259" t="s">
        <v>1448</v>
      </c>
      <c r="F259" t="s">
        <v>5651</v>
      </c>
      <c r="H259" t="str">
        <f ca="1">PROPER(Sites_per_tag[[#This Row],[Adm2Name]])</f>
        <v>Amboasary-Atsimo</v>
      </c>
      <c r="I259" t="s">
        <v>5641</v>
      </c>
      <c r="K259" t="s">
        <v>5713</v>
      </c>
      <c r="L259" t="s">
        <v>5714</v>
      </c>
      <c r="Q259" t="s">
        <v>3648</v>
      </c>
      <c r="R259">
        <v>603010035</v>
      </c>
      <c r="T259" t="s">
        <v>7</v>
      </c>
      <c r="U259" s="3" t="str">
        <f>+VLOOKUP(Sites_per_tag[[#This Row],[Activity_tag]],Parameter!$A$24:$B$32,2,0)</f>
        <v>SMP</v>
      </c>
      <c r="W259">
        <v>46.31915</v>
      </c>
      <c r="X259">
        <v>-25.047519999999999</v>
      </c>
    </row>
    <row r="260" spans="1:24" x14ac:dyDescent="0.35">
      <c r="A260" s="3" t="str">
        <f t="shared" si="4"/>
        <v>603020002SMP</v>
      </c>
      <c r="B260" t="s">
        <v>6211</v>
      </c>
      <c r="C260">
        <f>+VLOOKUP(Sites_per_tag[[#This Row],[Field_office]],Parameter!$A$3:$B$11,2,0)</f>
        <v>6</v>
      </c>
      <c r="E260" t="s">
        <v>1448</v>
      </c>
      <c r="F260" t="s">
        <v>5651</v>
      </c>
      <c r="H260" t="str">
        <f ca="1">PROPER(Sites_per_tag[[#This Row],[Adm2Name]])</f>
        <v>Amboasary-Atsimo</v>
      </c>
      <c r="I260" t="s">
        <v>5641</v>
      </c>
      <c r="K260" t="s">
        <v>1779</v>
      </c>
      <c r="L260" t="s">
        <v>5890</v>
      </c>
      <c r="Q260" t="s">
        <v>6215</v>
      </c>
      <c r="R260">
        <v>603020002</v>
      </c>
      <c r="T260" t="s">
        <v>7</v>
      </c>
      <c r="U260" s="3" t="str">
        <f>+VLOOKUP(Sites_per_tag[[#This Row],[Activity_tag]],Parameter!$A$24:$B$32,2,0)</f>
        <v>SMP</v>
      </c>
      <c r="W260">
        <v>46.338749999999997</v>
      </c>
      <c r="X260">
        <v>-24.980070000000001</v>
      </c>
    </row>
    <row r="261" spans="1:24" x14ac:dyDescent="0.35">
      <c r="A261" s="3" t="str">
        <f t="shared" si="4"/>
        <v>603020005SMP</v>
      </c>
      <c r="B261" t="s">
        <v>6211</v>
      </c>
      <c r="C261">
        <f>+VLOOKUP(Sites_per_tag[[#This Row],[Field_office]],Parameter!$A$3:$B$11,2,0)</f>
        <v>6</v>
      </c>
      <c r="E261" t="s">
        <v>1448</v>
      </c>
      <c r="F261" t="s">
        <v>5651</v>
      </c>
      <c r="H261" t="str">
        <f ca="1">PROPER(Sites_per_tag[[#This Row],[Adm2Name]])</f>
        <v>Amboasary-Atsimo</v>
      </c>
      <c r="I261" t="s">
        <v>5641</v>
      </c>
      <c r="K261" t="s">
        <v>1779</v>
      </c>
      <c r="L261" t="s">
        <v>5890</v>
      </c>
      <c r="Q261" t="s">
        <v>1399</v>
      </c>
      <c r="R261">
        <v>603020005</v>
      </c>
      <c r="T261" t="s">
        <v>7</v>
      </c>
      <c r="U261" s="3" t="str">
        <f>+VLOOKUP(Sites_per_tag[[#This Row],[Activity_tag]],Parameter!$A$24:$B$32,2,0)</f>
        <v>SMP</v>
      </c>
      <c r="W261">
        <v>46.402667000000001</v>
      </c>
      <c r="X261">
        <v>-24.984642999999998</v>
      </c>
    </row>
    <row r="262" spans="1:24" x14ac:dyDescent="0.35">
      <c r="A262" s="3" t="str">
        <f t="shared" si="4"/>
        <v>603020006SMP</v>
      </c>
      <c r="B262" t="s">
        <v>6211</v>
      </c>
      <c r="C262">
        <f>+VLOOKUP(Sites_per_tag[[#This Row],[Field_office]],Parameter!$A$3:$B$11,2,0)</f>
        <v>6</v>
      </c>
      <c r="E262" t="s">
        <v>1448</v>
      </c>
      <c r="F262" t="s">
        <v>5651</v>
      </c>
      <c r="H262" t="str">
        <f ca="1">PROPER(Sites_per_tag[[#This Row],[Adm2Name]])</f>
        <v>Amboasary-Atsimo</v>
      </c>
      <c r="I262" t="s">
        <v>5641</v>
      </c>
      <c r="K262" t="s">
        <v>1779</v>
      </c>
      <c r="L262" t="s">
        <v>5890</v>
      </c>
      <c r="Q262" t="s">
        <v>1613</v>
      </c>
      <c r="R262">
        <v>603020006</v>
      </c>
      <c r="T262" t="s">
        <v>7</v>
      </c>
      <c r="U262" s="3" t="str">
        <f>+VLOOKUP(Sites_per_tag[[#This Row],[Activity_tag]],Parameter!$A$24:$B$32,2,0)</f>
        <v>SMP</v>
      </c>
      <c r="W262">
        <v>46.338749999999997</v>
      </c>
      <c r="X262">
        <v>-24.980070000000001</v>
      </c>
    </row>
    <row r="263" spans="1:24" x14ac:dyDescent="0.35">
      <c r="A263" s="3" t="str">
        <f t="shared" si="4"/>
        <v>603020007SMP</v>
      </c>
      <c r="B263" t="s">
        <v>6211</v>
      </c>
      <c r="C263">
        <f>+VLOOKUP(Sites_per_tag[[#This Row],[Field_office]],Parameter!$A$3:$B$11,2,0)</f>
        <v>6</v>
      </c>
      <c r="E263" t="s">
        <v>1448</v>
      </c>
      <c r="F263" t="s">
        <v>5651</v>
      </c>
      <c r="H263" t="str">
        <f ca="1">PROPER(Sites_per_tag[[#This Row],[Adm2Name]])</f>
        <v>Amboasary-Atsimo</v>
      </c>
      <c r="I263" t="s">
        <v>5641</v>
      </c>
      <c r="K263" t="s">
        <v>1779</v>
      </c>
      <c r="L263" t="s">
        <v>5890</v>
      </c>
      <c r="Q263" t="s">
        <v>6216</v>
      </c>
      <c r="R263">
        <v>603020007</v>
      </c>
      <c r="T263" t="s">
        <v>7</v>
      </c>
      <c r="U263" s="3" t="str">
        <f>+VLOOKUP(Sites_per_tag[[#This Row],[Activity_tag]],Parameter!$A$24:$B$32,2,0)</f>
        <v>SMP</v>
      </c>
      <c r="W263">
        <v>46.338749999999997</v>
      </c>
      <c r="X263">
        <v>-24.980070000000001</v>
      </c>
    </row>
    <row r="264" spans="1:24" x14ac:dyDescent="0.35">
      <c r="A264" s="3" t="str">
        <f t="shared" si="4"/>
        <v>603020011SMP</v>
      </c>
      <c r="B264" t="s">
        <v>6211</v>
      </c>
      <c r="C264">
        <f>+VLOOKUP(Sites_per_tag[[#This Row],[Field_office]],Parameter!$A$3:$B$11,2,0)</f>
        <v>6</v>
      </c>
      <c r="E264" t="s">
        <v>1448</v>
      </c>
      <c r="F264" t="s">
        <v>5651</v>
      </c>
      <c r="H264" t="str">
        <f ca="1">PROPER(Sites_per_tag[[#This Row],[Adm2Name]])</f>
        <v>Amboasary-Atsimo</v>
      </c>
      <c r="I264" t="s">
        <v>5641</v>
      </c>
      <c r="K264" t="s">
        <v>1779</v>
      </c>
      <c r="L264" t="s">
        <v>5890</v>
      </c>
      <c r="Q264" t="s">
        <v>6217</v>
      </c>
      <c r="R264">
        <v>603020011</v>
      </c>
      <c r="T264" t="s">
        <v>7</v>
      </c>
      <c r="U264" s="3" t="str">
        <f>+VLOOKUP(Sites_per_tag[[#This Row],[Activity_tag]],Parameter!$A$24:$B$32,2,0)</f>
        <v>SMP</v>
      </c>
      <c r="W264">
        <v>46.338749999999997</v>
      </c>
      <c r="X264">
        <v>-24.980070000000001</v>
      </c>
    </row>
    <row r="265" spans="1:24" x14ac:dyDescent="0.35">
      <c r="A265" s="3" t="str">
        <f t="shared" si="4"/>
        <v>603020012SMP</v>
      </c>
      <c r="B265" t="s">
        <v>6211</v>
      </c>
      <c r="C265">
        <f>+VLOOKUP(Sites_per_tag[[#This Row],[Field_office]],Parameter!$A$3:$B$11,2,0)</f>
        <v>6</v>
      </c>
      <c r="E265" t="s">
        <v>1448</v>
      </c>
      <c r="F265" t="s">
        <v>5651</v>
      </c>
      <c r="H265" t="str">
        <f ca="1">PROPER(Sites_per_tag[[#This Row],[Adm2Name]])</f>
        <v>Amboasary-Atsimo</v>
      </c>
      <c r="I265" t="s">
        <v>5641</v>
      </c>
      <c r="K265" t="s">
        <v>1779</v>
      </c>
      <c r="L265" t="s">
        <v>5890</v>
      </c>
      <c r="Q265" t="s">
        <v>6218</v>
      </c>
      <c r="R265">
        <v>603020012</v>
      </c>
      <c r="T265" t="s">
        <v>7</v>
      </c>
      <c r="U265" s="3" t="str">
        <f>+VLOOKUP(Sites_per_tag[[#This Row],[Activity_tag]],Parameter!$A$24:$B$32,2,0)</f>
        <v>SMP</v>
      </c>
      <c r="W265">
        <v>46.338749999999997</v>
      </c>
      <c r="X265">
        <v>-24.980070000000001</v>
      </c>
    </row>
    <row r="266" spans="1:24" x14ac:dyDescent="0.35">
      <c r="A266" s="3" t="str">
        <f t="shared" si="4"/>
        <v>603020013SMP</v>
      </c>
      <c r="B266" t="s">
        <v>6211</v>
      </c>
      <c r="C266">
        <f>+VLOOKUP(Sites_per_tag[[#This Row],[Field_office]],Parameter!$A$3:$B$11,2,0)</f>
        <v>6</v>
      </c>
      <c r="E266" t="s">
        <v>1448</v>
      </c>
      <c r="F266" t="s">
        <v>5651</v>
      </c>
      <c r="H266" t="str">
        <f ca="1">PROPER(Sites_per_tag[[#This Row],[Adm2Name]])</f>
        <v>Amboasary-Atsimo</v>
      </c>
      <c r="I266" t="s">
        <v>5641</v>
      </c>
      <c r="K266" t="s">
        <v>1779</v>
      </c>
      <c r="L266" t="s">
        <v>5890</v>
      </c>
      <c r="Q266" t="s">
        <v>3048</v>
      </c>
      <c r="R266">
        <v>603020013</v>
      </c>
      <c r="T266" t="s">
        <v>7</v>
      </c>
      <c r="U266" s="3" t="str">
        <f>+VLOOKUP(Sites_per_tag[[#This Row],[Activity_tag]],Parameter!$A$24:$B$32,2,0)</f>
        <v>SMP</v>
      </c>
      <c r="W266">
        <v>46.338749999999997</v>
      </c>
      <c r="X266">
        <v>-24.980070000000001</v>
      </c>
    </row>
    <row r="267" spans="1:24" x14ac:dyDescent="0.35">
      <c r="A267" s="3" t="str">
        <f t="shared" si="4"/>
        <v>603020014SMP</v>
      </c>
      <c r="B267" t="s">
        <v>6211</v>
      </c>
      <c r="C267">
        <f>+VLOOKUP(Sites_per_tag[[#This Row],[Field_office]],Parameter!$A$3:$B$11,2,0)</f>
        <v>6</v>
      </c>
      <c r="E267" t="s">
        <v>1448</v>
      </c>
      <c r="F267" t="s">
        <v>5651</v>
      </c>
      <c r="H267" t="str">
        <f ca="1">PROPER(Sites_per_tag[[#This Row],[Adm2Name]])</f>
        <v>Amboasary-Atsimo</v>
      </c>
      <c r="I267" t="s">
        <v>5641</v>
      </c>
      <c r="K267" t="s">
        <v>1779</v>
      </c>
      <c r="L267" t="s">
        <v>5890</v>
      </c>
      <c r="Q267" t="s">
        <v>3125</v>
      </c>
      <c r="R267">
        <v>603020014</v>
      </c>
      <c r="T267" t="s">
        <v>7</v>
      </c>
      <c r="U267" s="3" t="str">
        <f>+VLOOKUP(Sites_per_tag[[#This Row],[Activity_tag]],Parameter!$A$24:$B$32,2,0)</f>
        <v>SMP</v>
      </c>
      <c r="W267">
        <v>46.338749999999997</v>
      </c>
      <c r="X267">
        <v>-24.980070000000001</v>
      </c>
    </row>
    <row r="268" spans="1:24" x14ac:dyDescent="0.35">
      <c r="A268" s="3" t="str">
        <f t="shared" si="4"/>
        <v>603020015SMP</v>
      </c>
      <c r="B268" t="s">
        <v>6211</v>
      </c>
      <c r="C268">
        <f>+VLOOKUP(Sites_per_tag[[#This Row],[Field_office]],Parameter!$A$3:$B$11,2,0)</f>
        <v>6</v>
      </c>
      <c r="E268" t="s">
        <v>1448</v>
      </c>
      <c r="F268" t="s">
        <v>5651</v>
      </c>
      <c r="H268" t="str">
        <f ca="1">PROPER(Sites_per_tag[[#This Row],[Adm2Name]])</f>
        <v>Amboasary-Atsimo</v>
      </c>
      <c r="I268" t="s">
        <v>5641</v>
      </c>
      <c r="K268" t="s">
        <v>1779</v>
      </c>
      <c r="L268" t="s">
        <v>5890</v>
      </c>
      <c r="Q268" t="s">
        <v>3313</v>
      </c>
      <c r="R268">
        <v>603020015</v>
      </c>
      <c r="T268" t="s">
        <v>7</v>
      </c>
      <c r="U268" s="3" t="str">
        <f>+VLOOKUP(Sites_per_tag[[#This Row],[Activity_tag]],Parameter!$A$24:$B$32,2,0)</f>
        <v>SMP</v>
      </c>
      <c r="W268">
        <v>46.535926000000003</v>
      </c>
      <c r="X268">
        <v>-24.999731000000001</v>
      </c>
    </row>
    <row r="269" spans="1:24" x14ac:dyDescent="0.35">
      <c r="A269" s="3" t="str">
        <f t="shared" si="4"/>
        <v>603020017SMP</v>
      </c>
      <c r="B269" t="s">
        <v>6211</v>
      </c>
      <c r="C269">
        <f>+VLOOKUP(Sites_per_tag[[#This Row],[Field_office]],Parameter!$A$3:$B$11,2,0)</f>
        <v>6</v>
      </c>
      <c r="E269" t="s">
        <v>1448</v>
      </c>
      <c r="F269" t="s">
        <v>5651</v>
      </c>
      <c r="H269" t="str">
        <f ca="1">PROPER(Sites_per_tag[[#This Row],[Adm2Name]])</f>
        <v>Amboasary-Atsimo</v>
      </c>
      <c r="I269" t="s">
        <v>5641</v>
      </c>
      <c r="K269" t="s">
        <v>1779</v>
      </c>
      <c r="L269" t="s">
        <v>5890</v>
      </c>
      <c r="Q269" t="s">
        <v>1148</v>
      </c>
      <c r="R269">
        <v>603020017</v>
      </c>
      <c r="T269" t="s">
        <v>7</v>
      </c>
      <c r="U269" s="3" t="str">
        <f>+VLOOKUP(Sites_per_tag[[#This Row],[Activity_tag]],Parameter!$A$24:$B$32,2,0)</f>
        <v>SMP</v>
      </c>
      <c r="W269">
        <v>46.338749999999997</v>
      </c>
      <c r="X269">
        <v>-24.980070000000001</v>
      </c>
    </row>
    <row r="270" spans="1:24" x14ac:dyDescent="0.35">
      <c r="A270" s="3" t="str">
        <f t="shared" si="4"/>
        <v>603020021SMP</v>
      </c>
      <c r="B270" t="s">
        <v>6211</v>
      </c>
      <c r="C270">
        <f>+VLOOKUP(Sites_per_tag[[#This Row],[Field_office]],Parameter!$A$3:$B$11,2,0)</f>
        <v>6</v>
      </c>
      <c r="E270" t="s">
        <v>1448</v>
      </c>
      <c r="F270" t="s">
        <v>5651</v>
      </c>
      <c r="H270" t="str">
        <f ca="1">PROPER(Sites_per_tag[[#This Row],[Adm2Name]])</f>
        <v>Amboasary-Atsimo</v>
      </c>
      <c r="I270" t="s">
        <v>5641</v>
      </c>
      <c r="K270" t="s">
        <v>1779</v>
      </c>
      <c r="L270" t="s">
        <v>5890</v>
      </c>
      <c r="Q270" t="s">
        <v>3052</v>
      </c>
      <c r="R270">
        <v>603020021</v>
      </c>
      <c r="T270" t="s">
        <v>7</v>
      </c>
      <c r="U270" s="3" t="str">
        <f>+VLOOKUP(Sites_per_tag[[#This Row],[Activity_tag]],Parameter!$A$24:$B$32,2,0)</f>
        <v>SMP</v>
      </c>
      <c r="W270">
        <v>46.338749999999997</v>
      </c>
      <c r="X270">
        <v>-24.980070000000001</v>
      </c>
    </row>
    <row r="271" spans="1:24" x14ac:dyDescent="0.35">
      <c r="A271" s="3" t="str">
        <f t="shared" si="4"/>
        <v>603020022SMP</v>
      </c>
      <c r="B271" t="s">
        <v>6211</v>
      </c>
      <c r="C271">
        <f>+VLOOKUP(Sites_per_tag[[#This Row],[Field_office]],Parameter!$A$3:$B$11,2,0)</f>
        <v>6</v>
      </c>
      <c r="E271" t="s">
        <v>1448</v>
      </c>
      <c r="F271" t="s">
        <v>5651</v>
      </c>
      <c r="H271" t="str">
        <f ca="1">PROPER(Sites_per_tag[[#This Row],[Adm2Name]])</f>
        <v>Amboasary-Atsimo</v>
      </c>
      <c r="I271" t="s">
        <v>5641</v>
      </c>
      <c r="K271" t="s">
        <v>1779</v>
      </c>
      <c r="L271" t="s">
        <v>5890</v>
      </c>
      <c r="Q271" t="s">
        <v>824</v>
      </c>
      <c r="R271">
        <v>603020022</v>
      </c>
      <c r="T271" t="s">
        <v>7</v>
      </c>
      <c r="U271" s="3" t="str">
        <f>+VLOOKUP(Sites_per_tag[[#This Row],[Activity_tag]],Parameter!$A$24:$B$32,2,0)</f>
        <v>SMP</v>
      </c>
      <c r="W271">
        <v>46.338749999999997</v>
      </c>
      <c r="X271">
        <v>-24.980070000000001</v>
      </c>
    </row>
    <row r="272" spans="1:24" x14ac:dyDescent="0.35">
      <c r="A272" s="3" t="str">
        <f t="shared" si="4"/>
        <v>603020023SMP</v>
      </c>
      <c r="B272" t="s">
        <v>6211</v>
      </c>
      <c r="C272">
        <f>+VLOOKUP(Sites_per_tag[[#This Row],[Field_office]],Parameter!$A$3:$B$11,2,0)</f>
        <v>6</v>
      </c>
      <c r="E272" t="s">
        <v>1448</v>
      </c>
      <c r="F272" t="s">
        <v>5651</v>
      </c>
      <c r="H272" t="str">
        <f ca="1">PROPER(Sites_per_tag[[#This Row],[Adm2Name]])</f>
        <v>Amboasary-Atsimo</v>
      </c>
      <c r="I272" t="s">
        <v>5641</v>
      </c>
      <c r="K272" t="s">
        <v>1779</v>
      </c>
      <c r="L272" t="s">
        <v>5890</v>
      </c>
      <c r="Q272" t="s">
        <v>2289</v>
      </c>
      <c r="R272">
        <v>603020023</v>
      </c>
      <c r="T272" t="s">
        <v>7</v>
      </c>
      <c r="U272" s="3" t="str">
        <f>+VLOOKUP(Sites_per_tag[[#This Row],[Activity_tag]],Parameter!$A$24:$B$32,2,0)</f>
        <v>SMP</v>
      </c>
      <c r="W272">
        <v>46.338749999999997</v>
      </c>
      <c r="X272">
        <v>-24.980070000000001</v>
      </c>
    </row>
    <row r="273" spans="1:24" x14ac:dyDescent="0.35">
      <c r="A273" s="3" t="str">
        <f t="shared" si="4"/>
        <v>603030015SMP</v>
      </c>
      <c r="B273" t="s">
        <v>6211</v>
      </c>
      <c r="C273">
        <f>+VLOOKUP(Sites_per_tag[[#This Row],[Field_office]],Parameter!$A$3:$B$11,2,0)</f>
        <v>6</v>
      </c>
      <c r="E273" t="s">
        <v>1448</v>
      </c>
      <c r="F273" t="s">
        <v>5651</v>
      </c>
      <c r="H273" t="str">
        <f ca="1">PROPER(Sites_per_tag[[#This Row],[Adm2Name]])</f>
        <v>Amboasary-Atsimo</v>
      </c>
      <c r="I273" t="s">
        <v>5641</v>
      </c>
      <c r="K273" t="s">
        <v>2235</v>
      </c>
      <c r="L273" t="s">
        <v>5937</v>
      </c>
      <c r="Q273" t="s">
        <v>6219</v>
      </c>
      <c r="R273">
        <v>603030015</v>
      </c>
      <c r="T273" t="s">
        <v>7</v>
      </c>
      <c r="U273" s="3" t="str">
        <f>+VLOOKUP(Sites_per_tag[[#This Row],[Activity_tag]],Parameter!$A$24:$B$32,2,0)</f>
        <v>SMP</v>
      </c>
      <c r="W273">
        <v>46.051020000000001</v>
      </c>
      <c r="X273">
        <v>-24.504529999999999</v>
      </c>
    </row>
    <row r="274" spans="1:24" x14ac:dyDescent="0.35">
      <c r="A274" s="3" t="str">
        <f t="shared" si="4"/>
        <v>603050008SMP</v>
      </c>
      <c r="B274" t="s">
        <v>6211</v>
      </c>
      <c r="C274">
        <f>+VLOOKUP(Sites_per_tag[[#This Row],[Field_office]],Parameter!$A$3:$B$11,2,0)</f>
        <v>6</v>
      </c>
      <c r="E274" t="s">
        <v>1448</v>
      </c>
      <c r="F274" t="s">
        <v>5651</v>
      </c>
      <c r="H274" t="str">
        <f ca="1">PROPER(Sites_per_tag[[#This Row],[Adm2Name]])</f>
        <v>Amboasary-Atsimo</v>
      </c>
      <c r="I274" t="s">
        <v>5641</v>
      </c>
      <c r="K274" t="s">
        <v>2411</v>
      </c>
      <c r="L274" t="s">
        <v>5947</v>
      </c>
      <c r="Q274" t="s">
        <v>2397</v>
      </c>
      <c r="R274">
        <v>603050008</v>
      </c>
      <c r="T274" t="s">
        <v>7</v>
      </c>
      <c r="U274" s="3" t="str">
        <f>+VLOOKUP(Sites_per_tag[[#This Row],[Activity_tag]],Parameter!$A$24:$B$32,2,0)</f>
        <v>SMP</v>
      </c>
      <c r="W274">
        <v>46.607508000000003</v>
      </c>
      <c r="X274">
        <v>-24.279589999999999</v>
      </c>
    </row>
    <row r="275" spans="1:24" x14ac:dyDescent="0.35">
      <c r="A275" s="3" t="str">
        <f t="shared" si="4"/>
        <v>603060004SMP</v>
      </c>
      <c r="B275" t="s">
        <v>6211</v>
      </c>
      <c r="C275">
        <f>+VLOOKUP(Sites_per_tag[[#This Row],[Field_office]],Parameter!$A$3:$B$11,2,0)</f>
        <v>6</v>
      </c>
      <c r="E275" t="s">
        <v>6189</v>
      </c>
      <c r="F275" t="s">
        <v>5651</v>
      </c>
      <c r="H275" t="str">
        <f ca="1">PROPER(Sites_per_tag[[#This Row],[Adm2Name]])</f>
        <v>Amboasary Atsimo</v>
      </c>
      <c r="I275" t="s">
        <v>5641</v>
      </c>
      <c r="K275" t="s">
        <v>4319</v>
      </c>
      <c r="L275" t="s">
        <v>6001</v>
      </c>
      <c r="Q275" t="s">
        <v>147</v>
      </c>
      <c r="R275">
        <v>603060004</v>
      </c>
      <c r="T275" t="s">
        <v>7</v>
      </c>
      <c r="U275" s="3" t="str">
        <f>+VLOOKUP(Sites_per_tag[[#This Row],[Activity_tag]],Parameter!$A$24:$B$32,2,0)</f>
        <v>SMP</v>
      </c>
      <c r="W275">
        <v>46.250529999999998</v>
      </c>
      <c r="X275">
        <v>-24.666450000000001</v>
      </c>
    </row>
    <row r="276" spans="1:24" x14ac:dyDescent="0.35">
      <c r="A276" s="3" t="str">
        <f t="shared" si="4"/>
        <v>603060005SMP</v>
      </c>
      <c r="B276" t="s">
        <v>6211</v>
      </c>
      <c r="C276">
        <f>+VLOOKUP(Sites_per_tag[[#This Row],[Field_office]],Parameter!$A$3:$B$11,2,0)</f>
        <v>6</v>
      </c>
      <c r="E276" t="s">
        <v>6189</v>
      </c>
      <c r="F276" t="s">
        <v>5651</v>
      </c>
      <c r="H276" t="str">
        <f ca="1">PROPER(Sites_per_tag[[#This Row],[Adm2Name]])</f>
        <v>Amboasary Atsimo</v>
      </c>
      <c r="I276" t="s">
        <v>5641</v>
      </c>
      <c r="K276" t="s">
        <v>4319</v>
      </c>
      <c r="L276" t="s">
        <v>6001</v>
      </c>
      <c r="Q276" t="s">
        <v>857</v>
      </c>
      <c r="R276">
        <v>603060005</v>
      </c>
      <c r="T276" t="s">
        <v>7</v>
      </c>
      <c r="U276" s="3" t="str">
        <f>+VLOOKUP(Sites_per_tag[[#This Row],[Activity_tag]],Parameter!$A$24:$B$32,2,0)</f>
        <v>SMP</v>
      </c>
      <c r="W276">
        <v>46.217120000000001</v>
      </c>
      <c r="X276">
        <v>-24.590399999999999</v>
      </c>
    </row>
    <row r="277" spans="1:24" x14ac:dyDescent="0.35">
      <c r="A277" s="3" t="str">
        <f t="shared" si="4"/>
        <v>603060006SMP</v>
      </c>
      <c r="B277" t="s">
        <v>6211</v>
      </c>
      <c r="C277">
        <f>+VLOOKUP(Sites_per_tag[[#This Row],[Field_office]],Parameter!$A$3:$B$11,2,0)</f>
        <v>6</v>
      </c>
      <c r="E277" t="s">
        <v>1448</v>
      </c>
      <c r="F277" t="s">
        <v>5651</v>
      </c>
      <c r="H277" t="str">
        <f ca="1">PROPER(Sites_per_tag[[#This Row],[Adm2Name]])</f>
        <v>Amboasary-Atsimo</v>
      </c>
      <c r="I277" t="s">
        <v>5641</v>
      </c>
      <c r="K277" t="s">
        <v>2561</v>
      </c>
      <c r="L277" t="s">
        <v>5970</v>
      </c>
      <c r="Q277" t="s">
        <v>6220</v>
      </c>
      <c r="R277">
        <v>603060006</v>
      </c>
      <c r="T277" t="s">
        <v>7</v>
      </c>
      <c r="U277" s="3" t="str">
        <f>+VLOOKUP(Sites_per_tag[[#This Row],[Activity_tag]],Parameter!$A$24:$B$32,2,0)</f>
        <v>SMP</v>
      </c>
      <c r="W277">
        <v>46.214888000000002</v>
      </c>
      <c r="X277">
        <v>-24.931284999999999</v>
      </c>
    </row>
    <row r="278" spans="1:24" x14ac:dyDescent="0.35">
      <c r="A278" s="3" t="str">
        <f t="shared" si="4"/>
        <v>603060007SMP</v>
      </c>
      <c r="B278" t="s">
        <v>6211</v>
      </c>
      <c r="C278">
        <f>+VLOOKUP(Sites_per_tag[[#This Row],[Field_office]],Parameter!$A$3:$B$11,2,0)</f>
        <v>6</v>
      </c>
      <c r="E278" t="s">
        <v>1448</v>
      </c>
      <c r="F278" t="s">
        <v>5651</v>
      </c>
      <c r="H278" t="str">
        <f ca="1">PROPER(Sites_per_tag[[#This Row],[Adm2Name]])</f>
        <v>Amboasary-Atsimo</v>
      </c>
      <c r="I278" t="s">
        <v>5641</v>
      </c>
      <c r="K278" t="s">
        <v>2561</v>
      </c>
      <c r="L278" t="s">
        <v>5970</v>
      </c>
      <c r="Q278" t="s">
        <v>1713</v>
      </c>
      <c r="R278">
        <v>603060007</v>
      </c>
      <c r="T278" t="s">
        <v>7</v>
      </c>
      <c r="U278" s="3" t="str">
        <f>+VLOOKUP(Sites_per_tag[[#This Row],[Activity_tag]],Parameter!$A$24:$B$32,2,0)</f>
        <v>SMP</v>
      </c>
      <c r="W278">
        <v>46.132550000000002</v>
      </c>
      <c r="X278">
        <v>-24.79158</v>
      </c>
    </row>
    <row r="279" spans="1:24" x14ac:dyDescent="0.35">
      <c r="A279" s="3" t="str">
        <f t="shared" si="4"/>
        <v>603060010SMP</v>
      </c>
      <c r="B279" t="s">
        <v>6211</v>
      </c>
      <c r="C279">
        <f>+VLOOKUP(Sites_per_tag[[#This Row],[Field_office]],Parameter!$A$3:$B$11,2,0)</f>
        <v>6</v>
      </c>
      <c r="E279" t="s">
        <v>1448</v>
      </c>
      <c r="F279" t="s">
        <v>5651</v>
      </c>
      <c r="H279" t="str">
        <f ca="1">PROPER(Sites_per_tag[[#This Row],[Adm2Name]])</f>
        <v>Amboasary-Atsimo</v>
      </c>
      <c r="I279" t="s">
        <v>5641</v>
      </c>
      <c r="K279" t="s">
        <v>2561</v>
      </c>
      <c r="L279" t="s">
        <v>5970</v>
      </c>
      <c r="Q279" t="s">
        <v>1893</v>
      </c>
      <c r="R279">
        <v>603060010</v>
      </c>
      <c r="T279" t="s">
        <v>7</v>
      </c>
      <c r="U279" s="3" t="str">
        <f>+VLOOKUP(Sites_per_tag[[#This Row],[Activity_tag]],Parameter!$A$24:$B$32,2,0)</f>
        <v>SMP</v>
      </c>
      <c r="W279">
        <v>46.035198999999999</v>
      </c>
      <c r="X279">
        <v>-24.797936</v>
      </c>
    </row>
    <row r="280" spans="1:24" x14ac:dyDescent="0.35">
      <c r="A280" s="3" t="str">
        <f t="shared" si="4"/>
        <v>603060011SMP</v>
      </c>
      <c r="B280" t="s">
        <v>6211</v>
      </c>
      <c r="C280">
        <f>+VLOOKUP(Sites_per_tag[[#This Row],[Field_office]],Parameter!$A$3:$B$11,2,0)</f>
        <v>6</v>
      </c>
      <c r="E280" t="s">
        <v>1448</v>
      </c>
      <c r="F280" t="s">
        <v>5651</v>
      </c>
      <c r="H280" t="str">
        <f ca="1">PROPER(Sites_per_tag[[#This Row],[Adm2Name]])</f>
        <v>Amboasary-Atsimo</v>
      </c>
      <c r="I280" t="s">
        <v>5641</v>
      </c>
      <c r="K280" t="s">
        <v>2561</v>
      </c>
      <c r="L280" t="s">
        <v>5970</v>
      </c>
      <c r="Q280" t="s">
        <v>6221</v>
      </c>
      <c r="R280">
        <v>603060011</v>
      </c>
      <c r="T280" t="s">
        <v>7</v>
      </c>
      <c r="U280" s="3" t="str">
        <f>+VLOOKUP(Sites_per_tag[[#This Row],[Activity_tag]],Parameter!$A$24:$B$32,2,0)</f>
        <v>SMP</v>
      </c>
      <c r="W280">
        <v>46.179760999999999</v>
      </c>
      <c r="X280">
        <v>-24.843554999999999</v>
      </c>
    </row>
    <row r="281" spans="1:24" x14ac:dyDescent="0.35">
      <c r="A281" s="3" t="str">
        <f t="shared" si="4"/>
        <v>603060012SMP</v>
      </c>
      <c r="B281" t="s">
        <v>6211</v>
      </c>
      <c r="C281">
        <f>+VLOOKUP(Sites_per_tag[[#This Row],[Field_office]],Parameter!$A$3:$B$11,2,0)</f>
        <v>6</v>
      </c>
      <c r="E281" t="s">
        <v>1448</v>
      </c>
      <c r="F281" t="s">
        <v>5651</v>
      </c>
      <c r="H281" t="str">
        <f ca="1">PROPER(Sites_per_tag[[#This Row],[Adm2Name]])</f>
        <v>Amboasary-Atsimo</v>
      </c>
      <c r="I281" t="s">
        <v>5641</v>
      </c>
      <c r="K281" t="s">
        <v>2561</v>
      </c>
      <c r="L281" t="s">
        <v>5970</v>
      </c>
      <c r="Q281" t="s">
        <v>6222</v>
      </c>
      <c r="R281">
        <v>603060012</v>
      </c>
      <c r="T281" t="s">
        <v>7</v>
      </c>
      <c r="U281" s="3" t="str">
        <f>+VLOOKUP(Sites_per_tag[[#This Row],[Activity_tag]],Parameter!$A$24:$B$32,2,0)</f>
        <v>SMP</v>
      </c>
      <c r="W281">
        <v>46.052858000000001</v>
      </c>
      <c r="X281">
        <v>-24.737893</v>
      </c>
    </row>
    <row r="282" spans="1:24" x14ac:dyDescent="0.35">
      <c r="A282" s="3" t="str">
        <f t="shared" si="4"/>
        <v>603060013SMP</v>
      </c>
      <c r="B282" t="s">
        <v>6211</v>
      </c>
      <c r="C282">
        <f>+VLOOKUP(Sites_per_tag[[#This Row],[Field_office]],Parameter!$A$3:$B$11,2,0)</f>
        <v>6</v>
      </c>
      <c r="E282" t="s">
        <v>1448</v>
      </c>
      <c r="F282" t="s">
        <v>5651</v>
      </c>
      <c r="H282" t="str">
        <f ca="1">PROPER(Sites_per_tag[[#This Row],[Adm2Name]])</f>
        <v>Amboasary-Atsimo</v>
      </c>
      <c r="I282" t="s">
        <v>5641</v>
      </c>
      <c r="K282" t="s">
        <v>2561</v>
      </c>
      <c r="L282" t="s">
        <v>5970</v>
      </c>
      <c r="Q282" t="s">
        <v>2457</v>
      </c>
      <c r="R282">
        <v>603060013</v>
      </c>
      <c r="T282" t="s">
        <v>7</v>
      </c>
      <c r="U282" s="3" t="str">
        <f>+VLOOKUP(Sites_per_tag[[#This Row],[Activity_tag]],Parameter!$A$24:$B$32,2,0)</f>
        <v>SMP</v>
      </c>
      <c r="W282">
        <v>46.059745999999997</v>
      </c>
      <c r="X282">
        <v>-24.805125</v>
      </c>
    </row>
    <row r="283" spans="1:24" x14ac:dyDescent="0.35">
      <c r="A283" s="3" t="str">
        <f t="shared" si="4"/>
        <v>603060014SMP</v>
      </c>
      <c r="B283" t="s">
        <v>6211</v>
      </c>
      <c r="C283">
        <f>+VLOOKUP(Sites_per_tag[[#This Row],[Field_office]],Parameter!$A$3:$B$11,2,0)</f>
        <v>6</v>
      </c>
      <c r="E283" t="s">
        <v>1448</v>
      </c>
      <c r="F283" t="s">
        <v>5651</v>
      </c>
      <c r="H283" t="str">
        <f ca="1">PROPER(Sites_per_tag[[#This Row],[Adm2Name]])</f>
        <v>Amboasary-Atsimo</v>
      </c>
      <c r="I283" t="s">
        <v>5641</v>
      </c>
      <c r="K283" t="s">
        <v>2561</v>
      </c>
      <c r="L283" t="s">
        <v>5970</v>
      </c>
      <c r="Q283" t="s">
        <v>6223</v>
      </c>
      <c r="R283">
        <v>603060014</v>
      </c>
      <c r="T283" t="s">
        <v>7</v>
      </c>
      <c r="U283" s="3" t="str">
        <f>+VLOOKUP(Sites_per_tag[[#This Row],[Activity_tag]],Parameter!$A$24:$B$32,2,0)</f>
        <v>SMP</v>
      </c>
      <c r="W283">
        <v>46.136242000000003</v>
      </c>
      <c r="X283">
        <v>-24.801386999999998</v>
      </c>
    </row>
    <row r="284" spans="1:24" x14ac:dyDescent="0.35">
      <c r="A284" s="3" t="str">
        <f t="shared" si="4"/>
        <v>603060015SMP</v>
      </c>
      <c r="B284" t="s">
        <v>6211</v>
      </c>
      <c r="C284">
        <f>+VLOOKUP(Sites_per_tag[[#This Row],[Field_office]],Parameter!$A$3:$B$11,2,0)</f>
        <v>6</v>
      </c>
      <c r="E284" t="s">
        <v>6189</v>
      </c>
      <c r="F284" t="s">
        <v>5651</v>
      </c>
      <c r="H284" t="str">
        <f ca="1">PROPER(Sites_per_tag[[#This Row],[Adm2Name]])</f>
        <v>Amboasary Atsimo</v>
      </c>
      <c r="I284" t="s">
        <v>5641</v>
      </c>
      <c r="K284" t="s">
        <v>4319</v>
      </c>
      <c r="L284" t="s">
        <v>6001</v>
      </c>
      <c r="Q284" t="s">
        <v>2723</v>
      </c>
      <c r="R284">
        <v>603060015</v>
      </c>
      <c r="T284" t="s">
        <v>7</v>
      </c>
      <c r="U284" s="3" t="str">
        <f>+VLOOKUP(Sites_per_tag[[#This Row],[Activity_tag]],Parameter!$A$24:$B$32,2,0)</f>
        <v>SMP</v>
      </c>
      <c r="W284">
        <v>46.259430000000002</v>
      </c>
      <c r="X284">
        <v>-24.600370000000002</v>
      </c>
    </row>
    <row r="285" spans="1:24" x14ac:dyDescent="0.35">
      <c r="A285" s="3" t="str">
        <f t="shared" si="4"/>
        <v>603060017SMP</v>
      </c>
      <c r="B285" t="s">
        <v>6211</v>
      </c>
      <c r="C285">
        <f>+VLOOKUP(Sites_per_tag[[#This Row],[Field_office]],Parameter!$A$3:$B$11,2,0)</f>
        <v>6</v>
      </c>
      <c r="E285" t="s">
        <v>1448</v>
      </c>
      <c r="F285" t="s">
        <v>5651</v>
      </c>
      <c r="H285" t="str">
        <f ca="1">PROPER(Sites_per_tag[[#This Row],[Adm2Name]])</f>
        <v>Amboasary-Atsimo</v>
      </c>
      <c r="I285" t="s">
        <v>5641</v>
      </c>
      <c r="K285" t="s">
        <v>2561</v>
      </c>
      <c r="L285" t="s">
        <v>5970</v>
      </c>
      <c r="Q285" t="s">
        <v>3731</v>
      </c>
      <c r="R285">
        <v>603060017</v>
      </c>
      <c r="T285" t="s">
        <v>7</v>
      </c>
      <c r="U285" s="3" t="str">
        <f>+VLOOKUP(Sites_per_tag[[#This Row],[Activity_tag]],Parameter!$A$24:$B$32,2,0)</f>
        <v>SMP</v>
      </c>
      <c r="W285">
        <v>46.220441000000001</v>
      </c>
      <c r="X285">
        <v>-24.879553000000001</v>
      </c>
    </row>
    <row r="286" spans="1:24" x14ac:dyDescent="0.35">
      <c r="A286" s="3" t="str">
        <f t="shared" si="4"/>
        <v>603060019SMP</v>
      </c>
      <c r="B286" t="s">
        <v>6211</v>
      </c>
      <c r="C286">
        <f>+VLOOKUP(Sites_per_tag[[#This Row],[Field_office]],Parameter!$A$3:$B$11,2,0)</f>
        <v>6</v>
      </c>
      <c r="E286" t="s">
        <v>6189</v>
      </c>
      <c r="F286" t="s">
        <v>5651</v>
      </c>
      <c r="H286" t="str">
        <f ca="1">PROPER(Sites_per_tag[[#This Row],[Adm2Name]])</f>
        <v>Amboasary Atsimo</v>
      </c>
      <c r="I286" t="s">
        <v>5641</v>
      </c>
      <c r="K286" t="s">
        <v>4319</v>
      </c>
      <c r="L286" t="s">
        <v>6001</v>
      </c>
      <c r="Q286" t="s">
        <v>1742</v>
      </c>
      <c r="R286">
        <v>603060019</v>
      </c>
      <c r="T286" t="s">
        <v>7</v>
      </c>
      <c r="U286" s="3" t="str">
        <f>+VLOOKUP(Sites_per_tag[[#This Row],[Activity_tag]],Parameter!$A$24:$B$32,2,0)</f>
        <v>SMP</v>
      </c>
      <c r="W286">
        <v>46.219749999999998</v>
      </c>
      <c r="X286">
        <v>-24.56672</v>
      </c>
    </row>
    <row r="287" spans="1:24" x14ac:dyDescent="0.35">
      <c r="A287" s="3" t="str">
        <f t="shared" si="4"/>
        <v>603060020SMP</v>
      </c>
      <c r="B287" t="s">
        <v>6211</v>
      </c>
      <c r="C287">
        <f>+VLOOKUP(Sites_per_tag[[#This Row],[Field_office]],Parameter!$A$3:$B$11,2,0)</f>
        <v>6</v>
      </c>
      <c r="E287" t="s">
        <v>1448</v>
      </c>
      <c r="F287" t="s">
        <v>5651</v>
      </c>
      <c r="H287" t="str">
        <f ca="1">PROPER(Sites_per_tag[[#This Row],[Adm2Name]])</f>
        <v>Amboasary-Atsimo</v>
      </c>
      <c r="I287" t="s">
        <v>5641</v>
      </c>
      <c r="K287" t="s">
        <v>2561</v>
      </c>
      <c r="L287" t="s">
        <v>5970</v>
      </c>
      <c r="Q287" t="s">
        <v>656</v>
      </c>
      <c r="R287">
        <v>603060020</v>
      </c>
      <c r="T287" t="s">
        <v>7</v>
      </c>
      <c r="U287" s="3" t="str">
        <f>+VLOOKUP(Sites_per_tag[[#This Row],[Activity_tag]],Parameter!$A$24:$B$32,2,0)</f>
        <v>SMP</v>
      </c>
      <c r="W287">
        <v>46.118952999999998</v>
      </c>
      <c r="X287">
        <v>-24.805911999999999</v>
      </c>
    </row>
    <row r="288" spans="1:24" x14ac:dyDescent="0.35">
      <c r="A288" s="3" t="str">
        <f t="shared" si="4"/>
        <v>603060021SMP</v>
      </c>
      <c r="B288" t="s">
        <v>6211</v>
      </c>
      <c r="C288">
        <f>+VLOOKUP(Sites_per_tag[[#This Row],[Field_office]],Parameter!$A$3:$B$11,2,0)</f>
        <v>6</v>
      </c>
      <c r="E288" t="s">
        <v>1448</v>
      </c>
      <c r="F288" t="s">
        <v>5651</v>
      </c>
      <c r="H288" t="str">
        <f ca="1">PROPER(Sites_per_tag[[#This Row],[Adm2Name]])</f>
        <v>Amboasary-Atsimo</v>
      </c>
      <c r="I288" t="s">
        <v>5641</v>
      </c>
      <c r="K288" t="s">
        <v>2561</v>
      </c>
      <c r="L288" t="s">
        <v>5970</v>
      </c>
      <c r="Q288" t="s">
        <v>6224</v>
      </c>
      <c r="R288">
        <v>603060021</v>
      </c>
      <c r="T288" t="s">
        <v>7</v>
      </c>
      <c r="U288" s="3" t="str">
        <f>+VLOOKUP(Sites_per_tag[[#This Row],[Activity_tag]],Parameter!$A$24:$B$32,2,0)</f>
        <v>SMP</v>
      </c>
      <c r="W288">
        <v>46.132550000000002</v>
      </c>
      <c r="X288">
        <v>-24.79158</v>
      </c>
    </row>
    <row r="289" spans="1:24" x14ac:dyDescent="0.35">
      <c r="A289" s="3" t="str">
        <f t="shared" si="4"/>
        <v>603060027SMP</v>
      </c>
      <c r="B289" t="s">
        <v>6211</v>
      </c>
      <c r="C289">
        <f>+VLOOKUP(Sites_per_tag[[#This Row],[Field_office]],Parameter!$A$3:$B$11,2,0)</f>
        <v>6</v>
      </c>
      <c r="E289" t="s">
        <v>1448</v>
      </c>
      <c r="F289" t="s">
        <v>5651</v>
      </c>
      <c r="H289" t="str">
        <f ca="1">PROPER(Sites_per_tag[[#This Row],[Adm2Name]])</f>
        <v>Amboasary-Atsimo</v>
      </c>
      <c r="I289" t="s">
        <v>5641</v>
      </c>
      <c r="K289" t="s">
        <v>2561</v>
      </c>
      <c r="L289" t="s">
        <v>5970</v>
      </c>
      <c r="Q289" t="s">
        <v>1021</v>
      </c>
      <c r="R289">
        <v>603060027</v>
      </c>
      <c r="T289" t="s">
        <v>7</v>
      </c>
      <c r="U289" s="3" t="str">
        <f>+VLOOKUP(Sites_per_tag[[#This Row],[Activity_tag]],Parameter!$A$24:$B$32,2,0)</f>
        <v>SMP</v>
      </c>
      <c r="W289">
        <v>46.132550000000002</v>
      </c>
      <c r="X289">
        <v>-24.79158</v>
      </c>
    </row>
    <row r="290" spans="1:24" x14ac:dyDescent="0.35">
      <c r="A290" s="3" t="str">
        <f t="shared" si="4"/>
        <v>603060028SMP</v>
      </c>
      <c r="B290" t="s">
        <v>6211</v>
      </c>
      <c r="C290">
        <f>+VLOOKUP(Sites_per_tag[[#This Row],[Field_office]],Parameter!$A$3:$B$11,2,0)</f>
        <v>6</v>
      </c>
      <c r="E290" t="s">
        <v>1448</v>
      </c>
      <c r="F290" t="s">
        <v>5651</v>
      </c>
      <c r="H290" t="str">
        <f ca="1">PROPER(Sites_per_tag[[#This Row],[Adm2Name]])</f>
        <v>Amboasary-Atsimo</v>
      </c>
      <c r="I290" t="s">
        <v>5641</v>
      </c>
      <c r="K290" t="s">
        <v>2561</v>
      </c>
      <c r="L290" t="s">
        <v>5970</v>
      </c>
      <c r="Q290" t="s">
        <v>2679</v>
      </c>
      <c r="R290">
        <v>603060028</v>
      </c>
      <c r="T290" t="s">
        <v>7</v>
      </c>
      <c r="U290" s="3" t="str">
        <f>+VLOOKUP(Sites_per_tag[[#This Row],[Activity_tag]],Parameter!$A$24:$B$32,2,0)</f>
        <v>SMP</v>
      </c>
      <c r="W290">
        <v>46.132550000000002</v>
      </c>
      <c r="X290">
        <v>-24.79158</v>
      </c>
    </row>
    <row r="291" spans="1:24" x14ac:dyDescent="0.35">
      <c r="A291" s="3" t="str">
        <f t="shared" si="4"/>
        <v>603060030SMP</v>
      </c>
      <c r="B291" t="s">
        <v>6211</v>
      </c>
      <c r="C291">
        <f>+VLOOKUP(Sites_per_tag[[#This Row],[Field_office]],Parameter!$A$3:$B$11,2,0)</f>
        <v>6</v>
      </c>
      <c r="E291" t="s">
        <v>1448</v>
      </c>
      <c r="F291" t="s">
        <v>5651</v>
      </c>
      <c r="H291" t="str">
        <f ca="1">PROPER(Sites_per_tag[[#This Row],[Adm2Name]])</f>
        <v>Amboasary-Atsimo</v>
      </c>
      <c r="I291" t="s">
        <v>5641</v>
      </c>
      <c r="K291" t="s">
        <v>2561</v>
      </c>
      <c r="L291" t="s">
        <v>5970</v>
      </c>
      <c r="Q291" t="s">
        <v>6225</v>
      </c>
      <c r="R291">
        <v>603060030</v>
      </c>
      <c r="T291" t="s">
        <v>7</v>
      </c>
      <c r="U291" s="3" t="str">
        <f>+VLOOKUP(Sites_per_tag[[#This Row],[Activity_tag]],Parameter!$A$24:$B$32,2,0)</f>
        <v>SMP</v>
      </c>
      <c r="W291">
        <v>46.132550000000002</v>
      </c>
      <c r="X291">
        <v>-24.79158</v>
      </c>
    </row>
    <row r="292" spans="1:24" x14ac:dyDescent="0.35">
      <c r="A292" s="3" t="str">
        <f t="shared" si="4"/>
        <v>603060037SMP</v>
      </c>
      <c r="B292" t="s">
        <v>6211</v>
      </c>
      <c r="C292">
        <f>+VLOOKUP(Sites_per_tag[[#This Row],[Field_office]],Parameter!$A$3:$B$11,2,0)</f>
        <v>6</v>
      </c>
      <c r="E292" t="s">
        <v>1448</v>
      </c>
      <c r="F292" t="s">
        <v>5651</v>
      </c>
      <c r="H292" t="str">
        <f ca="1">PROPER(Sites_per_tag[[#This Row],[Adm2Name]])</f>
        <v>Amboasary-Atsimo</v>
      </c>
      <c r="I292" t="s">
        <v>5641</v>
      </c>
      <c r="K292" t="s">
        <v>2561</v>
      </c>
      <c r="L292" t="s">
        <v>5970</v>
      </c>
      <c r="Q292" t="s">
        <v>5686</v>
      </c>
      <c r="R292">
        <v>603060037</v>
      </c>
      <c r="T292" t="s">
        <v>7</v>
      </c>
      <c r="U292" s="3" t="str">
        <f>+VLOOKUP(Sites_per_tag[[#This Row],[Activity_tag]],Parameter!$A$24:$B$32,2,0)</f>
        <v>SMP</v>
      </c>
      <c r="W292">
        <v>46.132550000000002</v>
      </c>
      <c r="X292">
        <v>-24.79158</v>
      </c>
    </row>
    <row r="293" spans="1:24" x14ac:dyDescent="0.35">
      <c r="A293" s="3" t="str">
        <f t="shared" si="4"/>
        <v>603060040SMP</v>
      </c>
      <c r="B293" t="s">
        <v>6211</v>
      </c>
      <c r="C293">
        <f>+VLOOKUP(Sites_per_tag[[#This Row],[Field_office]],Parameter!$A$3:$B$11,2,0)</f>
        <v>6</v>
      </c>
      <c r="E293" t="s">
        <v>1448</v>
      </c>
      <c r="F293" t="s">
        <v>5651</v>
      </c>
      <c r="H293" t="str">
        <f ca="1">PROPER(Sites_per_tag[[#This Row],[Adm2Name]])</f>
        <v>Amboasary-Atsimo</v>
      </c>
      <c r="I293" t="s">
        <v>5641</v>
      </c>
      <c r="K293" t="s">
        <v>2561</v>
      </c>
      <c r="L293" t="s">
        <v>5970</v>
      </c>
      <c r="Q293" t="s">
        <v>1302</v>
      </c>
      <c r="R293">
        <v>603060040</v>
      </c>
      <c r="T293" t="s">
        <v>7</v>
      </c>
      <c r="U293" s="3" t="str">
        <f>+VLOOKUP(Sites_per_tag[[#This Row],[Activity_tag]],Parameter!$A$24:$B$32,2,0)</f>
        <v>SMP</v>
      </c>
      <c r="W293">
        <v>46.192749999999997</v>
      </c>
      <c r="X293">
        <v>-24.894953000000001</v>
      </c>
    </row>
    <row r="294" spans="1:24" x14ac:dyDescent="0.35">
      <c r="A294" s="3" t="str">
        <f t="shared" si="4"/>
        <v>603090007SMP</v>
      </c>
      <c r="B294" t="s">
        <v>6211</v>
      </c>
      <c r="C294">
        <f>+VLOOKUP(Sites_per_tag[[#This Row],[Field_office]],Parameter!$A$3:$B$11,2,0)</f>
        <v>6</v>
      </c>
      <c r="E294" t="s">
        <v>1448</v>
      </c>
      <c r="F294" t="s">
        <v>5651</v>
      </c>
      <c r="H294" t="str">
        <f ca="1">PROPER(Sites_per_tag[[#This Row],[Adm2Name]])</f>
        <v>Amboasary-Atsimo</v>
      </c>
      <c r="I294" t="s">
        <v>5641</v>
      </c>
      <c r="K294" t="s">
        <v>3046</v>
      </c>
      <c r="L294" t="s">
        <v>6046</v>
      </c>
      <c r="Q294" t="s">
        <v>1752</v>
      </c>
      <c r="R294">
        <v>603090007</v>
      </c>
      <c r="T294" t="s">
        <v>7</v>
      </c>
      <c r="U294" s="3" t="str">
        <f>+VLOOKUP(Sites_per_tag[[#This Row],[Activity_tag]],Parameter!$A$24:$B$32,2,0)</f>
        <v>SMP</v>
      </c>
      <c r="W294">
        <v>46.57385</v>
      </c>
      <c r="X294">
        <v>-24.292041000000001</v>
      </c>
    </row>
    <row r="295" spans="1:24" x14ac:dyDescent="0.35">
      <c r="A295" s="3" t="str">
        <f t="shared" si="4"/>
        <v>603090012SMP</v>
      </c>
      <c r="B295" t="s">
        <v>6211</v>
      </c>
      <c r="C295">
        <f>+VLOOKUP(Sites_per_tag[[#This Row],[Field_office]],Parameter!$A$3:$B$11,2,0)</f>
        <v>6</v>
      </c>
      <c r="E295" t="s">
        <v>1448</v>
      </c>
      <c r="F295" t="s">
        <v>5651</v>
      </c>
      <c r="H295" t="str">
        <f ca="1">PROPER(Sites_per_tag[[#This Row],[Adm2Name]])</f>
        <v>Amboasary-Atsimo</v>
      </c>
      <c r="I295" t="s">
        <v>5641</v>
      </c>
      <c r="K295" t="s">
        <v>3046</v>
      </c>
      <c r="L295" t="s">
        <v>6046</v>
      </c>
      <c r="Q295" t="s">
        <v>6045</v>
      </c>
      <c r="R295">
        <v>603090012</v>
      </c>
      <c r="T295" t="s">
        <v>7</v>
      </c>
      <c r="U295" s="3" t="str">
        <f>+VLOOKUP(Sites_per_tag[[#This Row],[Activity_tag]],Parameter!$A$24:$B$32,2,0)</f>
        <v>SMP</v>
      </c>
      <c r="W295">
        <v>46.576011000000001</v>
      </c>
      <c r="X295">
        <v>-24.356892999999999</v>
      </c>
    </row>
    <row r="296" spans="1:24" x14ac:dyDescent="0.35">
      <c r="A296" s="3" t="str">
        <f t="shared" si="4"/>
        <v>603090018SMP</v>
      </c>
      <c r="B296" t="s">
        <v>6211</v>
      </c>
      <c r="C296">
        <f>+VLOOKUP(Sites_per_tag[[#This Row],[Field_office]],Parameter!$A$3:$B$11,2,0)</f>
        <v>6</v>
      </c>
      <c r="E296" t="s">
        <v>1448</v>
      </c>
      <c r="F296" t="s">
        <v>5651</v>
      </c>
      <c r="H296" t="str">
        <f ca="1">PROPER(Sites_per_tag[[#This Row],[Adm2Name]])</f>
        <v>Amboasary-Atsimo</v>
      </c>
      <c r="I296" t="s">
        <v>5641</v>
      </c>
      <c r="K296" t="s">
        <v>3046</v>
      </c>
      <c r="L296" t="s">
        <v>6046</v>
      </c>
      <c r="Q296" t="s">
        <v>6226</v>
      </c>
      <c r="R296">
        <v>603090018</v>
      </c>
      <c r="T296" t="s">
        <v>7</v>
      </c>
      <c r="U296" s="3" t="str">
        <f>+VLOOKUP(Sites_per_tag[[#This Row],[Activity_tag]],Parameter!$A$24:$B$32,2,0)</f>
        <v>SMP</v>
      </c>
      <c r="W296">
        <v>46.604961000000003</v>
      </c>
      <c r="X296">
        <v>-24.291938999999999</v>
      </c>
    </row>
    <row r="297" spans="1:24" x14ac:dyDescent="0.35">
      <c r="A297" s="3" t="str">
        <f t="shared" si="4"/>
        <v>603110005SMP</v>
      </c>
      <c r="B297" t="s">
        <v>6211</v>
      </c>
      <c r="C297">
        <f>+VLOOKUP(Sites_per_tag[[#This Row],[Field_office]],Parameter!$A$3:$B$11,2,0)</f>
        <v>6</v>
      </c>
      <c r="E297" t="s">
        <v>1448</v>
      </c>
      <c r="F297" t="s">
        <v>5651</v>
      </c>
      <c r="H297" t="str">
        <f ca="1">PROPER(Sites_per_tag[[#This Row],[Adm2Name]])</f>
        <v>Amboasary-Atsimo</v>
      </c>
      <c r="I297" t="s">
        <v>5641</v>
      </c>
      <c r="K297" t="s">
        <v>5715</v>
      </c>
      <c r="L297" t="s">
        <v>6096</v>
      </c>
      <c r="Q297" t="s">
        <v>1289</v>
      </c>
      <c r="R297">
        <v>603110005</v>
      </c>
      <c r="T297" t="s">
        <v>7</v>
      </c>
      <c r="U297" s="3" t="str">
        <f>+VLOOKUP(Sites_per_tag[[#This Row],[Activity_tag]],Parameter!$A$24:$B$32,2,0)</f>
        <v>SMP</v>
      </c>
      <c r="W297">
        <v>46.286211999999999</v>
      </c>
      <c r="X297">
        <v>-25.162365999999999</v>
      </c>
    </row>
    <row r="298" spans="1:24" x14ac:dyDescent="0.35">
      <c r="A298" s="3" t="str">
        <f t="shared" si="4"/>
        <v>603110007SMP</v>
      </c>
      <c r="B298" t="s">
        <v>6211</v>
      </c>
      <c r="C298">
        <f>+VLOOKUP(Sites_per_tag[[#This Row],[Field_office]],Parameter!$A$3:$B$11,2,0)</f>
        <v>6</v>
      </c>
      <c r="E298" t="s">
        <v>1448</v>
      </c>
      <c r="F298" t="s">
        <v>5651</v>
      </c>
      <c r="H298" t="str">
        <f ca="1">PROPER(Sites_per_tag[[#This Row],[Adm2Name]])</f>
        <v>Amboasary-Atsimo</v>
      </c>
      <c r="I298" t="s">
        <v>5641</v>
      </c>
      <c r="K298" t="s">
        <v>5715</v>
      </c>
      <c r="L298" t="s">
        <v>6096</v>
      </c>
      <c r="Q298" t="s">
        <v>2443</v>
      </c>
      <c r="R298">
        <v>603110007</v>
      </c>
      <c r="T298" t="s">
        <v>7</v>
      </c>
      <c r="U298" s="3" t="str">
        <f>+VLOOKUP(Sites_per_tag[[#This Row],[Activity_tag]],Parameter!$A$24:$B$32,2,0)</f>
        <v>SMP</v>
      </c>
      <c r="W298">
        <v>46.319450000000003</v>
      </c>
      <c r="X298">
        <v>-25.142520000000001</v>
      </c>
    </row>
    <row r="299" spans="1:24" x14ac:dyDescent="0.35">
      <c r="A299" s="3" t="str">
        <f t="shared" si="4"/>
        <v>603110010SMP</v>
      </c>
      <c r="B299" t="s">
        <v>6211</v>
      </c>
      <c r="C299">
        <f>+VLOOKUP(Sites_per_tag[[#This Row],[Field_office]],Parameter!$A$3:$B$11,2,0)</f>
        <v>6</v>
      </c>
      <c r="E299" t="s">
        <v>1448</v>
      </c>
      <c r="F299" t="s">
        <v>5651</v>
      </c>
      <c r="H299" t="str">
        <f ca="1">PROPER(Sites_per_tag[[#This Row],[Adm2Name]])</f>
        <v>Amboasary-Atsimo</v>
      </c>
      <c r="I299" t="s">
        <v>5641</v>
      </c>
      <c r="K299" t="s">
        <v>5715</v>
      </c>
      <c r="L299" t="s">
        <v>6096</v>
      </c>
      <c r="Q299" t="s">
        <v>6227</v>
      </c>
      <c r="R299">
        <v>603110010</v>
      </c>
      <c r="T299" t="s">
        <v>7</v>
      </c>
      <c r="U299" s="3" t="str">
        <f>+VLOOKUP(Sites_per_tag[[#This Row],[Activity_tag]],Parameter!$A$24:$B$32,2,0)</f>
        <v>SMP</v>
      </c>
      <c r="W299">
        <v>46.319450000000003</v>
      </c>
      <c r="X299">
        <v>-25.142520000000001</v>
      </c>
    </row>
    <row r="300" spans="1:24" x14ac:dyDescent="0.35">
      <c r="A300" s="3" t="str">
        <f t="shared" si="4"/>
        <v>603110013SMP</v>
      </c>
      <c r="B300" t="s">
        <v>6211</v>
      </c>
      <c r="C300">
        <f>+VLOOKUP(Sites_per_tag[[#This Row],[Field_office]],Parameter!$A$3:$B$11,2,0)</f>
        <v>6</v>
      </c>
      <c r="E300" t="s">
        <v>1448</v>
      </c>
      <c r="F300" t="s">
        <v>5651</v>
      </c>
      <c r="H300" t="str">
        <f ca="1">PROPER(Sites_per_tag[[#This Row],[Adm2Name]])</f>
        <v>Amboasary-Atsimo</v>
      </c>
      <c r="I300" t="s">
        <v>5641</v>
      </c>
      <c r="K300" t="s">
        <v>5715</v>
      </c>
      <c r="L300" t="s">
        <v>6096</v>
      </c>
      <c r="Q300" t="s">
        <v>3846</v>
      </c>
      <c r="R300">
        <v>603110013</v>
      </c>
      <c r="T300" t="s">
        <v>7</v>
      </c>
      <c r="U300" s="3" t="str">
        <f>+VLOOKUP(Sites_per_tag[[#This Row],[Activity_tag]],Parameter!$A$24:$B$32,2,0)</f>
        <v>SMP</v>
      </c>
      <c r="W300">
        <v>46.325845000000001</v>
      </c>
      <c r="X300">
        <v>-25.149025000000002</v>
      </c>
    </row>
    <row r="301" spans="1:24" x14ac:dyDescent="0.35">
      <c r="A301" s="3" t="str">
        <f t="shared" si="4"/>
        <v>603110015SMP</v>
      </c>
      <c r="B301" t="s">
        <v>6211</v>
      </c>
      <c r="C301">
        <f>+VLOOKUP(Sites_per_tag[[#This Row],[Field_office]],Parameter!$A$3:$B$11,2,0)</f>
        <v>6</v>
      </c>
      <c r="E301" t="s">
        <v>1448</v>
      </c>
      <c r="F301" t="s">
        <v>5651</v>
      </c>
      <c r="H301" t="str">
        <f ca="1">PROPER(Sites_per_tag[[#This Row],[Adm2Name]])</f>
        <v>Amboasary-Atsimo</v>
      </c>
      <c r="I301" t="s">
        <v>5641</v>
      </c>
      <c r="K301" t="s">
        <v>5715</v>
      </c>
      <c r="L301" t="s">
        <v>6096</v>
      </c>
      <c r="Q301" t="s">
        <v>6228</v>
      </c>
      <c r="R301">
        <v>603110015</v>
      </c>
      <c r="T301" t="s">
        <v>7</v>
      </c>
      <c r="U301" s="3" t="str">
        <f>+VLOOKUP(Sites_per_tag[[#This Row],[Activity_tag]],Parameter!$A$24:$B$32,2,0)</f>
        <v>SMP</v>
      </c>
      <c r="W301">
        <v>46.274861999999999</v>
      </c>
      <c r="X301">
        <v>-25.109172999999998</v>
      </c>
    </row>
    <row r="302" spans="1:24" x14ac:dyDescent="0.35">
      <c r="A302" s="3" t="str">
        <f t="shared" si="4"/>
        <v>603120001SMP</v>
      </c>
      <c r="B302" t="s">
        <v>6211</v>
      </c>
      <c r="C302">
        <f>+VLOOKUP(Sites_per_tag[[#This Row],[Field_office]],Parameter!$A$3:$B$11,2,0)</f>
        <v>6</v>
      </c>
      <c r="E302" t="s">
        <v>1448</v>
      </c>
      <c r="F302" t="s">
        <v>5651</v>
      </c>
      <c r="H302" t="str">
        <f ca="1">PROPER(Sites_per_tag[[#This Row],[Adm2Name]])</f>
        <v>Amboasary-Atsimo</v>
      </c>
      <c r="I302" t="s">
        <v>5641</v>
      </c>
      <c r="K302" t="s">
        <v>1986</v>
      </c>
      <c r="L302" t="s">
        <v>5918</v>
      </c>
      <c r="Q302" t="s">
        <v>152</v>
      </c>
      <c r="R302">
        <v>603120001</v>
      </c>
      <c r="T302" t="s">
        <v>7</v>
      </c>
      <c r="U302" s="3" t="str">
        <f>+VLOOKUP(Sites_per_tag[[#This Row],[Activity_tag]],Parameter!$A$24:$B$32,2,0)</f>
        <v>SMP</v>
      </c>
      <c r="W302">
        <v>46.388599999999997</v>
      </c>
      <c r="X302">
        <v>-25.155750000000001</v>
      </c>
    </row>
    <row r="303" spans="1:24" x14ac:dyDescent="0.35">
      <c r="A303" s="3" t="str">
        <f t="shared" si="4"/>
        <v>603120002SMP</v>
      </c>
      <c r="B303" t="s">
        <v>6211</v>
      </c>
      <c r="C303">
        <f>+VLOOKUP(Sites_per_tag[[#This Row],[Field_office]],Parameter!$A$3:$B$11,2,0)</f>
        <v>6</v>
      </c>
      <c r="E303" t="s">
        <v>1448</v>
      </c>
      <c r="F303" t="s">
        <v>5651</v>
      </c>
      <c r="H303" t="str">
        <f ca="1">PROPER(Sites_per_tag[[#This Row],[Adm2Name]])</f>
        <v>Amboasary-Atsimo</v>
      </c>
      <c r="I303" t="s">
        <v>5641</v>
      </c>
      <c r="K303" t="s">
        <v>1986</v>
      </c>
      <c r="L303" t="s">
        <v>5918</v>
      </c>
      <c r="Q303" t="s">
        <v>540</v>
      </c>
      <c r="R303">
        <v>603120002</v>
      </c>
      <c r="T303" t="s">
        <v>7</v>
      </c>
      <c r="U303" s="3" t="str">
        <f>+VLOOKUP(Sites_per_tag[[#This Row],[Activity_tag]],Parameter!$A$24:$B$32,2,0)</f>
        <v>SMP</v>
      </c>
      <c r="W303">
        <v>46.394053</v>
      </c>
      <c r="X303">
        <v>-25.12894</v>
      </c>
    </row>
    <row r="304" spans="1:24" x14ac:dyDescent="0.35">
      <c r="A304" s="3" t="str">
        <f t="shared" si="4"/>
        <v>603120003SMP</v>
      </c>
      <c r="B304" t="s">
        <v>6211</v>
      </c>
      <c r="C304">
        <f>+VLOOKUP(Sites_per_tag[[#This Row],[Field_office]],Parameter!$A$3:$B$11,2,0)</f>
        <v>6</v>
      </c>
      <c r="E304" t="s">
        <v>1448</v>
      </c>
      <c r="F304" t="s">
        <v>5651</v>
      </c>
      <c r="H304" t="str">
        <f ca="1">PROPER(Sites_per_tag[[#This Row],[Adm2Name]])</f>
        <v>Amboasary-Atsimo</v>
      </c>
      <c r="I304" t="s">
        <v>5641</v>
      </c>
      <c r="K304" t="s">
        <v>1986</v>
      </c>
      <c r="L304" t="s">
        <v>5918</v>
      </c>
      <c r="Q304" t="s">
        <v>6229</v>
      </c>
      <c r="R304">
        <v>603120003</v>
      </c>
      <c r="T304" t="s">
        <v>7</v>
      </c>
      <c r="U304" s="3" t="str">
        <f>+VLOOKUP(Sites_per_tag[[#This Row],[Activity_tag]],Parameter!$A$24:$B$32,2,0)</f>
        <v>SMP</v>
      </c>
      <c r="W304">
        <v>46.388599999999997</v>
      </c>
      <c r="X304">
        <v>-25.155750000000001</v>
      </c>
    </row>
    <row r="305" spans="1:24" x14ac:dyDescent="0.35">
      <c r="A305" s="3" t="str">
        <f t="shared" si="4"/>
        <v>603120005SMP</v>
      </c>
      <c r="B305" t="s">
        <v>6211</v>
      </c>
      <c r="C305">
        <f>+VLOOKUP(Sites_per_tag[[#This Row],[Field_office]],Parameter!$A$3:$B$11,2,0)</f>
        <v>6</v>
      </c>
      <c r="E305" t="s">
        <v>1448</v>
      </c>
      <c r="F305" t="s">
        <v>5651</v>
      </c>
      <c r="H305" t="str">
        <f ca="1">PROPER(Sites_per_tag[[#This Row],[Adm2Name]])</f>
        <v>Amboasary-Atsimo</v>
      </c>
      <c r="I305" t="s">
        <v>5641</v>
      </c>
      <c r="K305" t="s">
        <v>5713</v>
      </c>
      <c r="L305" t="s">
        <v>5714</v>
      </c>
      <c r="Q305" t="s">
        <v>335</v>
      </c>
      <c r="R305">
        <v>603120005</v>
      </c>
      <c r="T305" t="s">
        <v>7</v>
      </c>
      <c r="U305" s="3" t="str">
        <f>+VLOOKUP(Sites_per_tag[[#This Row],[Activity_tag]],Parameter!$A$24:$B$32,2,0)</f>
        <v>SMP</v>
      </c>
      <c r="W305">
        <v>46.31915</v>
      </c>
      <c r="X305">
        <v>-25.047519999999999</v>
      </c>
    </row>
    <row r="306" spans="1:24" x14ac:dyDescent="0.35">
      <c r="A306" s="3" t="str">
        <f t="shared" si="4"/>
        <v>603120012SMP</v>
      </c>
      <c r="B306" t="s">
        <v>6211</v>
      </c>
      <c r="C306">
        <f>+VLOOKUP(Sites_per_tag[[#This Row],[Field_office]],Parameter!$A$3:$B$11,2,0)</f>
        <v>6</v>
      </c>
      <c r="E306" t="s">
        <v>1448</v>
      </c>
      <c r="F306" t="s">
        <v>5651</v>
      </c>
      <c r="H306" t="str">
        <f ca="1">PROPER(Sites_per_tag[[#This Row],[Adm2Name]])</f>
        <v>Amboasary-Atsimo</v>
      </c>
      <c r="I306" t="s">
        <v>5641</v>
      </c>
      <c r="K306" t="s">
        <v>1986</v>
      </c>
      <c r="L306" t="s">
        <v>5918</v>
      </c>
      <c r="Q306" t="s">
        <v>2954</v>
      </c>
      <c r="R306">
        <v>603120012</v>
      </c>
      <c r="T306" t="s">
        <v>7</v>
      </c>
      <c r="U306" s="3" t="str">
        <f>+VLOOKUP(Sites_per_tag[[#This Row],[Activity_tag]],Parameter!$A$24:$B$32,2,0)</f>
        <v>SMP</v>
      </c>
      <c r="W306">
        <v>46.388599999999997</v>
      </c>
      <c r="X306">
        <v>-25.155750000000001</v>
      </c>
    </row>
    <row r="307" spans="1:24" x14ac:dyDescent="0.35">
      <c r="A307" s="3" t="str">
        <f t="shared" si="4"/>
        <v>603130002SMP</v>
      </c>
      <c r="B307" t="s">
        <v>6211</v>
      </c>
      <c r="C307">
        <f>+VLOOKUP(Sites_per_tag[[#This Row],[Field_office]],Parameter!$A$3:$B$11,2,0)</f>
        <v>6</v>
      </c>
      <c r="E307" t="s">
        <v>1448</v>
      </c>
      <c r="F307" t="s">
        <v>5651</v>
      </c>
      <c r="H307" t="str">
        <f ca="1">PROPER(Sites_per_tag[[#This Row],[Adm2Name]])</f>
        <v>Amboasary-Atsimo</v>
      </c>
      <c r="I307" t="s">
        <v>5641</v>
      </c>
      <c r="K307" t="s">
        <v>3699</v>
      </c>
      <c r="L307" t="s">
        <v>6138</v>
      </c>
      <c r="Q307" t="s">
        <v>1116</v>
      </c>
      <c r="R307">
        <v>603130002</v>
      </c>
      <c r="T307" t="s">
        <v>7</v>
      </c>
      <c r="U307" s="3" t="str">
        <f>+VLOOKUP(Sites_per_tag[[#This Row],[Activity_tag]],Parameter!$A$24:$B$32,2,0)</f>
        <v>SMP</v>
      </c>
      <c r="W307">
        <v>46.469880000000003</v>
      </c>
      <c r="X307">
        <v>-24.65972</v>
      </c>
    </row>
    <row r="308" spans="1:24" x14ac:dyDescent="0.35">
      <c r="A308" s="3" t="str">
        <f t="shared" si="4"/>
        <v>603130009SMP</v>
      </c>
      <c r="B308" t="s">
        <v>6211</v>
      </c>
      <c r="C308">
        <f>+VLOOKUP(Sites_per_tag[[#This Row],[Field_office]],Parameter!$A$3:$B$11,2,0)</f>
        <v>6</v>
      </c>
      <c r="E308" t="s">
        <v>1448</v>
      </c>
      <c r="F308" t="s">
        <v>5651</v>
      </c>
      <c r="H308" t="str">
        <f ca="1">PROPER(Sites_per_tag[[#This Row],[Adm2Name]])</f>
        <v>Amboasary-Atsimo</v>
      </c>
      <c r="I308" t="s">
        <v>5641</v>
      </c>
      <c r="K308" t="s">
        <v>3699</v>
      </c>
      <c r="L308" t="s">
        <v>6138</v>
      </c>
      <c r="Q308" t="s">
        <v>567</v>
      </c>
      <c r="R308">
        <v>603130009</v>
      </c>
      <c r="T308" t="s">
        <v>7</v>
      </c>
      <c r="U308" s="3" t="str">
        <f>+VLOOKUP(Sites_per_tag[[#This Row],[Activity_tag]],Parameter!$A$24:$B$32,2,0)</f>
        <v>SMP</v>
      </c>
      <c r="W308">
        <v>46.500284000000001</v>
      </c>
      <c r="X308">
        <v>-24.483021999999998</v>
      </c>
    </row>
    <row r="309" spans="1:24" x14ac:dyDescent="0.35">
      <c r="A309" s="3" t="str">
        <f t="shared" si="4"/>
        <v>603130018SMP</v>
      </c>
      <c r="B309" t="s">
        <v>6211</v>
      </c>
      <c r="C309">
        <f>+VLOOKUP(Sites_per_tag[[#This Row],[Field_office]],Parameter!$A$3:$B$11,2,0)</f>
        <v>6</v>
      </c>
      <c r="E309" t="s">
        <v>1448</v>
      </c>
      <c r="F309" t="s">
        <v>5651</v>
      </c>
      <c r="H309" t="str">
        <f ca="1">PROPER(Sites_per_tag[[#This Row],[Adm2Name]])</f>
        <v>Amboasary-Atsimo</v>
      </c>
      <c r="I309" t="s">
        <v>5641</v>
      </c>
      <c r="K309" t="s">
        <v>3699</v>
      </c>
      <c r="L309" t="s">
        <v>6138</v>
      </c>
      <c r="Q309" t="s">
        <v>2211</v>
      </c>
      <c r="R309">
        <v>603130018</v>
      </c>
      <c r="T309" t="s">
        <v>7</v>
      </c>
      <c r="U309" s="3" t="str">
        <f>+VLOOKUP(Sites_per_tag[[#This Row],[Activity_tag]],Parameter!$A$24:$B$32,2,0)</f>
        <v>SMP</v>
      </c>
      <c r="W309">
        <v>46.511845000000001</v>
      </c>
      <c r="X309">
        <v>-24.598952000000001</v>
      </c>
    </row>
    <row r="310" spans="1:24" x14ac:dyDescent="0.35">
      <c r="A310" s="3" t="str">
        <f t="shared" si="4"/>
        <v>603130020SMP</v>
      </c>
      <c r="B310" t="s">
        <v>6211</v>
      </c>
      <c r="C310">
        <f>+VLOOKUP(Sites_per_tag[[#This Row],[Field_office]],Parameter!$A$3:$B$11,2,0)</f>
        <v>6</v>
      </c>
      <c r="E310" t="s">
        <v>1448</v>
      </c>
      <c r="F310" t="s">
        <v>5651</v>
      </c>
      <c r="H310" t="str">
        <f ca="1">PROPER(Sites_per_tag[[#This Row],[Adm2Name]])</f>
        <v>Amboasary-Atsimo</v>
      </c>
      <c r="I310" t="s">
        <v>5641</v>
      </c>
      <c r="K310" t="s">
        <v>3699</v>
      </c>
      <c r="L310" t="s">
        <v>6138</v>
      </c>
      <c r="Q310" t="s">
        <v>3699</v>
      </c>
      <c r="R310">
        <v>603130020</v>
      </c>
      <c r="T310" t="s">
        <v>7</v>
      </c>
      <c r="U310" s="3" t="str">
        <f>+VLOOKUP(Sites_per_tag[[#This Row],[Activity_tag]],Parameter!$A$24:$B$32,2,0)</f>
        <v>SMP</v>
      </c>
      <c r="W310">
        <v>46.477065000000003</v>
      </c>
      <c r="X310">
        <v>-24.599519999999998</v>
      </c>
    </row>
    <row r="311" spans="1:24" x14ac:dyDescent="0.35">
      <c r="A311" s="3" t="str">
        <f t="shared" si="4"/>
        <v>603130028SMP</v>
      </c>
      <c r="B311" t="s">
        <v>6211</v>
      </c>
      <c r="C311">
        <f>+VLOOKUP(Sites_per_tag[[#This Row],[Field_office]],Parameter!$A$3:$B$11,2,0)</f>
        <v>6</v>
      </c>
      <c r="E311" t="s">
        <v>1448</v>
      </c>
      <c r="F311" t="s">
        <v>5651</v>
      </c>
      <c r="H311" t="str">
        <f ca="1">PROPER(Sites_per_tag[[#This Row],[Adm2Name]])</f>
        <v>Amboasary-Atsimo</v>
      </c>
      <c r="I311" t="s">
        <v>5641</v>
      </c>
      <c r="K311" t="s">
        <v>3699</v>
      </c>
      <c r="L311" t="s">
        <v>6138</v>
      </c>
      <c r="Q311" t="s">
        <v>1117</v>
      </c>
      <c r="R311">
        <v>603130028</v>
      </c>
      <c r="T311" t="s">
        <v>7</v>
      </c>
      <c r="U311" s="3" t="str">
        <f>+VLOOKUP(Sites_per_tag[[#This Row],[Activity_tag]],Parameter!$A$24:$B$32,2,0)</f>
        <v>SMP</v>
      </c>
      <c r="W311">
        <v>46.469880000000003</v>
      </c>
      <c r="X311">
        <v>-24.65972</v>
      </c>
    </row>
    <row r="312" spans="1:24" x14ac:dyDescent="0.35">
      <c r="A312" s="3" t="str">
        <f t="shared" si="4"/>
        <v>603140007SMP</v>
      </c>
      <c r="B312" t="s">
        <v>6211</v>
      </c>
      <c r="C312">
        <f>+VLOOKUP(Sites_per_tag[[#This Row],[Field_office]],Parameter!$A$3:$B$11,2,0)</f>
        <v>6</v>
      </c>
      <c r="E312" t="s">
        <v>1448</v>
      </c>
      <c r="F312" t="s">
        <v>5651</v>
      </c>
      <c r="H312" t="str">
        <f ca="1">PROPER(Sites_per_tag[[#This Row],[Adm2Name]])</f>
        <v>Amboasary-Atsimo</v>
      </c>
      <c r="I312" t="s">
        <v>5641</v>
      </c>
      <c r="K312" t="s">
        <v>3836</v>
      </c>
      <c r="L312" t="s">
        <v>6151</v>
      </c>
      <c r="Q312" t="s">
        <v>1357</v>
      </c>
      <c r="R312">
        <v>603140007</v>
      </c>
      <c r="T312" t="s">
        <v>7</v>
      </c>
      <c r="U312" s="3" t="str">
        <f>+VLOOKUP(Sites_per_tag[[#This Row],[Activity_tag]],Parameter!$A$24:$B$32,2,0)</f>
        <v>SMP</v>
      </c>
      <c r="W312">
        <v>45.983445000000003</v>
      </c>
      <c r="X312">
        <v>-24.138435999999999</v>
      </c>
    </row>
    <row r="313" spans="1:24" x14ac:dyDescent="0.35">
      <c r="A313" s="3" t="str">
        <f t="shared" si="4"/>
        <v>603140011SMP</v>
      </c>
      <c r="B313" t="s">
        <v>6211</v>
      </c>
      <c r="C313">
        <f>+VLOOKUP(Sites_per_tag[[#This Row],[Field_office]],Parameter!$A$3:$B$11,2,0)</f>
        <v>6</v>
      </c>
      <c r="E313" t="s">
        <v>1448</v>
      </c>
      <c r="F313" t="s">
        <v>5651</v>
      </c>
      <c r="H313" t="str">
        <f ca="1">PROPER(Sites_per_tag[[#This Row],[Adm2Name]])</f>
        <v>Amboasary-Atsimo</v>
      </c>
      <c r="I313" t="s">
        <v>5641</v>
      </c>
      <c r="K313" t="s">
        <v>3836</v>
      </c>
      <c r="L313" t="s">
        <v>6151</v>
      </c>
      <c r="Q313" t="s">
        <v>6230</v>
      </c>
      <c r="R313">
        <v>603140011</v>
      </c>
      <c r="T313" t="s">
        <v>7</v>
      </c>
      <c r="U313" s="3" t="str">
        <f>+VLOOKUP(Sites_per_tag[[#This Row],[Activity_tag]],Parameter!$A$24:$B$32,2,0)</f>
        <v>SMP</v>
      </c>
      <c r="W313">
        <v>46.07443</v>
      </c>
      <c r="X313">
        <v>-24.066669999999998</v>
      </c>
    </row>
    <row r="314" spans="1:24" x14ac:dyDescent="0.35">
      <c r="A314" s="3" t="str">
        <f t="shared" si="4"/>
        <v>603140014SMP</v>
      </c>
      <c r="B314" t="s">
        <v>6211</v>
      </c>
      <c r="C314">
        <f>+VLOOKUP(Sites_per_tag[[#This Row],[Field_office]],Parameter!$A$3:$B$11,2,0)</f>
        <v>6</v>
      </c>
      <c r="E314" t="s">
        <v>1448</v>
      </c>
      <c r="F314" t="s">
        <v>5651</v>
      </c>
      <c r="H314" t="str">
        <f ca="1">PROPER(Sites_per_tag[[#This Row],[Adm2Name]])</f>
        <v>Amboasary-Atsimo</v>
      </c>
      <c r="I314" t="s">
        <v>5641</v>
      </c>
      <c r="K314" t="s">
        <v>3836</v>
      </c>
      <c r="L314" t="s">
        <v>6151</v>
      </c>
      <c r="Q314" t="s">
        <v>6231</v>
      </c>
      <c r="R314">
        <v>603140014</v>
      </c>
      <c r="T314" t="s">
        <v>7</v>
      </c>
      <c r="U314" s="3" t="str">
        <f>+VLOOKUP(Sites_per_tag[[#This Row],[Activity_tag]],Parameter!$A$24:$B$32,2,0)</f>
        <v>SMP</v>
      </c>
      <c r="W314">
        <v>45.950201</v>
      </c>
      <c r="X314">
        <v>-24.122726</v>
      </c>
    </row>
    <row r="315" spans="1:24" x14ac:dyDescent="0.35">
      <c r="A315" s="3" t="str">
        <f t="shared" si="4"/>
        <v>603140018SMP</v>
      </c>
      <c r="B315" t="s">
        <v>6211</v>
      </c>
      <c r="C315">
        <f>+VLOOKUP(Sites_per_tag[[#This Row],[Field_office]],Parameter!$A$3:$B$11,2,0)</f>
        <v>6</v>
      </c>
      <c r="E315" t="s">
        <v>1448</v>
      </c>
      <c r="F315" t="s">
        <v>5651</v>
      </c>
      <c r="H315" t="str">
        <f ca="1">PROPER(Sites_per_tag[[#This Row],[Adm2Name]])</f>
        <v>Amboasary-Atsimo</v>
      </c>
      <c r="I315" t="s">
        <v>5641</v>
      </c>
      <c r="K315" t="s">
        <v>3836</v>
      </c>
      <c r="L315" t="s">
        <v>6151</v>
      </c>
      <c r="Q315" t="s">
        <v>3836</v>
      </c>
      <c r="R315">
        <v>603140018</v>
      </c>
      <c r="T315" t="s">
        <v>7</v>
      </c>
      <c r="U315" s="3" t="str">
        <f>+VLOOKUP(Sites_per_tag[[#This Row],[Activity_tag]],Parameter!$A$24:$B$32,2,0)</f>
        <v>SMP</v>
      </c>
      <c r="W315">
        <v>46.074885000000002</v>
      </c>
      <c r="X315">
        <v>-24.073792999999998</v>
      </c>
    </row>
    <row r="316" spans="1:24" x14ac:dyDescent="0.35">
      <c r="A316" s="3" t="str">
        <f t="shared" si="4"/>
        <v>603150005SMP</v>
      </c>
      <c r="B316" t="s">
        <v>6211</v>
      </c>
      <c r="C316">
        <f>+VLOOKUP(Sites_per_tag[[#This Row],[Field_office]],Parameter!$A$3:$B$11,2,0)</f>
        <v>6</v>
      </c>
      <c r="E316" t="s">
        <v>1448</v>
      </c>
      <c r="F316" t="s">
        <v>5651</v>
      </c>
      <c r="H316" t="str">
        <f ca="1">PROPER(Sites_per_tag[[#This Row],[Adm2Name]])</f>
        <v>Amboasary-Atsimo</v>
      </c>
      <c r="I316" t="s">
        <v>5641</v>
      </c>
      <c r="K316" t="s">
        <v>3309</v>
      </c>
      <c r="L316" t="s">
        <v>6085</v>
      </c>
      <c r="Q316" t="s">
        <v>3309</v>
      </c>
      <c r="R316">
        <v>603150005</v>
      </c>
      <c r="T316" t="s">
        <v>7</v>
      </c>
      <c r="U316" s="3" t="str">
        <f>+VLOOKUP(Sites_per_tag[[#This Row],[Activity_tag]],Parameter!$A$24:$B$32,2,0)</f>
        <v>SMP</v>
      </c>
      <c r="W316">
        <v>46.219948000000002</v>
      </c>
      <c r="X316">
        <v>-24.437453000000001</v>
      </c>
    </row>
    <row r="317" spans="1:24" x14ac:dyDescent="0.35">
      <c r="A317" s="3" t="str">
        <f t="shared" si="4"/>
        <v>603160001SMP</v>
      </c>
      <c r="B317" t="s">
        <v>6211</v>
      </c>
      <c r="C317">
        <f>+VLOOKUP(Sites_per_tag[[#This Row],[Field_office]],Parameter!$A$3:$B$11,2,0)</f>
        <v>6</v>
      </c>
      <c r="E317" t="s">
        <v>1448</v>
      </c>
      <c r="F317" t="s">
        <v>5651</v>
      </c>
      <c r="H317" t="str">
        <f ca="1">PROPER(Sites_per_tag[[#This Row],[Adm2Name]])</f>
        <v>Amboasary-Atsimo</v>
      </c>
      <c r="I317" t="s">
        <v>5641</v>
      </c>
      <c r="K317" t="s">
        <v>3678</v>
      </c>
      <c r="L317" t="s">
        <v>6135</v>
      </c>
      <c r="Q317" t="s">
        <v>967</v>
      </c>
      <c r="R317">
        <v>603160001</v>
      </c>
      <c r="T317" t="s">
        <v>7</v>
      </c>
      <c r="U317" s="3" t="str">
        <f>+VLOOKUP(Sites_per_tag[[#This Row],[Activity_tag]],Parameter!$A$24:$B$32,2,0)</f>
        <v>SMP</v>
      </c>
      <c r="W317">
        <v>45.865000000000002</v>
      </c>
      <c r="X317">
        <v>-24.22353</v>
      </c>
    </row>
    <row r="318" spans="1:24" x14ac:dyDescent="0.35">
      <c r="A318" s="3" t="str">
        <f t="shared" si="4"/>
        <v>603160003SMP</v>
      </c>
      <c r="B318" t="s">
        <v>6211</v>
      </c>
      <c r="C318">
        <f>+VLOOKUP(Sites_per_tag[[#This Row],[Field_office]],Parameter!$A$3:$B$11,2,0)</f>
        <v>6</v>
      </c>
      <c r="E318" t="s">
        <v>1448</v>
      </c>
      <c r="F318" t="s">
        <v>5651</v>
      </c>
      <c r="H318" t="str">
        <f ca="1">PROPER(Sites_per_tag[[#This Row],[Adm2Name]])</f>
        <v>Amboasary-Atsimo</v>
      </c>
      <c r="I318" t="s">
        <v>5641</v>
      </c>
      <c r="K318" t="s">
        <v>3678</v>
      </c>
      <c r="L318" t="s">
        <v>6135</v>
      </c>
      <c r="Q318" t="s">
        <v>2848</v>
      </c>
      <c r="R318">
        <v>603160003</v>
      </c>
      <c r="T318" t="s">
        <v>7</v>
      </c>
      <c r="U318" s="3" t="str">
        <f>+VLOOKUP(Sites_per_tag[[#This Row],[Activity_tag]],Parameter!$A$24:$B$32,2,0)</f>
        <v>SMP</v>
      </c>
      <c r="W318">
        <v>45.865000000000002</v>
      </c>
      <c r="X318">
        <v>-24.22353</v>
      </c>
    </row>
    <row r="319" spans="1:24" x14ac:dyDescent="0.35">
      <c r="A319" s="3" t="str">
        <f t="shared" si="4"/>
        <v>603160005SMP</v>
      </c>
      <c r="B319" t="s">
        <v>6211</v>
      </c>
      <c r="C319">
        <f>+VLOOKUP(Sites_per_tag[[#This Row],[Field_office]],Parameter!$A$3:$B$11,2,0)</f>
        <v>6</v>
      </c>
      <c r="E319" t="s">
        <v>1448</v>
      </c>
      <c r="F319" t="s">
        <v>5651</v>
      </c>
      <c r="H319" t="str">
        <f ca="1">PROPER(Sites_per_tag[[#This Row],[Adm2Name]])</f>
        <v>Amboasary-Atsimo</v>
      </c>
      <c r="I319" t="s">
        <v>5641</v>
      </c>
      <c r="K319" t="s">
        <v>3678</v>
      </c>
      <c r="L319" t="s">
        <v>6135</v>
      </c>
      <c r="Q319" t="s">
        <v>6134</v>
      </c>
      <c r="R319">
        <v>603160005</v>
      </c>
      <c r="T319" t="s">
        <v>7</v>
      </c>
      <c r="U319" s="3" t="str">
        <f>+VLOOKUP(Sites_per_tag[[#This Row],[Activity_tag]],Parameter!$A$24:$B$32,2,0)</f>
        <v>SMP</v>
      </c>
      <c r="W319">
        <v>45.865000000000002</v>
      </c>
      <c r="X319">
        <v>-24.22353</v>
      </c>
    </row>
    <row r="320" spans="1:24" x14ac:dyDescent="0.35">
      <c r="A320" s="3" t="str">
        <f t="shared" si="4"/>
        <v>603180002SMP</v>
      </c>
      <c r="B320" t="s">
        <v>6211</v>
      </c>
      <c r="C320">
        <f>+VLOOKUP(Sites_per_tag[[#This Row],[Field_office]],Parameter!$A$3:$B$11,2,0)</f>
        <v>6</v>
      </c>
      <c r="E320" t="s">
        <v>1448</v>
      </c>
      <c r="F320" t="s">
        <v>5651</v>
      </c>
      <c r="H320" t="str">
        <f ca="1">PROPER(Sites_per_tag[[#This Row],[Adm2Name]])</f>
        <v>Amboasary-Atsimo</v>
      </c>
      <c r="I320" t="s">
        <v>5641</v>
      </c>
      <c r="K320" t="s">
        <v>1986</v>
      </c>
      <c r="L320" t="s">
        <v>5918</v>
      </c>
      <c r="Q320" t="s">
        <v>411</v>
      </c>
      <c r="R320">
        <v>603180002</v>
      </c>
      <c r="T320" t="s">
        <v>7</v>
      </c>
      <c r="U320" s="3" t="str">
        <f>+VLOOKUP(Sites_per_tag[[#This Row],[Activity_tag]],Parameter!$A$24:$B$32,2,0)</f>
        <v>SMP</v>
      </c>
      <c r="W320">
        <v>46.388599999999997</v>
      </c>
      <c r="X320">
        <v>-25.155750000000001</v>
      </c>
    </row>
    <row r="321" spans="1:24" x14ac:dyDescent="0.35">
      <c r="A321" s="3" t="str">
        <f t="shared" si="4"/>
        <v>603180003SMP</v>
      </c>
      <c r="B321" t="s">
        <v>6211</v>
      </c>
      <c r="C321">
        <f>+VLOOKUP(Sites_per_tag[[#This Row],[Field_office]],Parameter!$A$3:$B$11,2,0)</f>
        <v>6</v>
      </c>
      <c r="E321" t="s">
        <v>1448</v>
      </c>
      <c r="F321" t="s">
        <v>5651</v>
      </c>
      <c r="H321" t="str">
        <f ca="1">PROPER(Sites_per_tag[[#This Row],[Adm2Name]])</f>
        <v>Amboasary-Atsimo</v>
      </c>
      <c r="I321" t="s">
        <v>5641</v>
      </c>
      <c r="K321" t="s">
        <v>1986</v>
      </c>
      <c r="L321" t="s">
        <v>5918</v>
      </c>
      <c r="Q321" t="s">
        <v>2201</v>
      </c>
      <c r="R321">
        <v>603180003</v>
      </c>
      <c r="T321" t="s">
        <v>7</v>
      </c>
      <c r="U321" s="3" t="str">
        <f>+VLOOKUP(Sites_per_tag[[#This Row],[Activity_tag]],Parameter!$A$24:$B$32,2,0)</f>
        <v>SMP</v>
      </c>
      <c r="W321">
        <v>46.388599999999997</v>
      </c>
      <c r="X321">
        <v>-25.155750000000001</v>
      </c>
    </row>
    <row r="322" spans="1:24" x14ac:dyDescent="0.35">
      <c r="A322" s="3" t="str">
        <f t="shared" si="4"/>
        <v>603180004SMP</v>
      </c>
      <c r="B322" t="s">
        <v>6211</v>
      </c>
      <c r="C322">
        <f>+VLOOKUP(Sites_per_tag[[#This Row],[Field_office]],Parameter!$A$3:$B$11,2,0)</f>
        <v>6</v>
      </c>
      <c r="E322" t="s">
        <v>1448</v>
      </c>
      <c r="F322" t="s">
        <v>5651</v>
      </c>
      <c r="H322" t="str">
        <f ca="1">PROPER(Sites_per_tag[[#This Row],[Adm2Name]])</f>
        <v>Amboasary-Atsimo</v>
      </c>
      <c r="I322" t="s">
        <v>5641</v>
      </c>
      <c r="K322" t="s">
        <v>1986</v>
      </c>
      <c r="L322" t="s">
        <v>5918</v>
      </c>
      <c r="Q322" t="s">
        <v>189</v>
      </c>
      <c r="R322">
        <v>603180004</v>
      </c>
      <c r="T322" t="s">
        <v>7</v>
      </c>
      <c r="U322" s="3" t="str">
        <f>+VLOOKUP(Sites_per_tag[[#This Row],[Activity_tag]],Parameter!$A$24:$B$32,2,0)</f>
        <v>SMP</v>
      </c>
      <c r="W322">
        <v>46.388599999999997</v>
      </c>
      <c r="X322">
        <v>-25.155750000000001</v>
      </c>
    </row>
    <row r="323" spans="1:24" x14ac:dyDescent="0.35">
      <c r="A323" s="3" t="str">
        <f t="shared" ref="A323:A386" si="5">+R323&amp;U323</f>
        <v>603180005SMP</v>
      </c>
      <c r="B323" t="s">
        <v>6211</v>
      </c>
      <c r="C323">
        <f>+VLOOKUP(Sites_per_tag[[#This Row],[Field_office]],Parameter!$A$3:$B$11,2,0)</f>
        <v>6</v>
      </c>
      <c r="E323" t="s">
        <v>1448</v>
      </c>
      <c r="F323" t="s">
        <v>5651</v>
      </c>
      <c r="H323" t="str">
        <f ca="1">PROPER(Sites_per_tag[[#This Row],[Adm2Name]])</f>
        <v>Amboasary-Atsimo</v>
      </c>
      <c r="I323" t="s">
        <v>5641</v>
      </c>
      <c r="K323" t="s">
        <v>1986</v>
      </c>
      <c r="L323" t="s">
        <v>5918</v>
      </c>
      <c r="Q323" t="s">
        <v>188</v>
      </c>
      <c r="R323">
        <v>603180005</v>
      </c>
      <c r="T323" t="s">
        <v>7</v>
      </c>
      <c r="U323" s="3" t="str">
        <f>+VLOOKUP(Sites_per_tag[[#This Row],[Activity_tag]],Parameter!$A$24:$B$32,2,0)</f>
        <v>SMP</v>
      </c>
      <c r="W323">
        <v>46.388599999999997</v>
      </c>
      <c r="X323">
        <v>-25.155750000000001</v>
      </c>
    </row>
    <row r="324" spans="1:24" x14ac:dyDescent="0.35">
      <c r="A324" s="3" t="str">
        <f t="shared" si="5"/>
        <v>603180006SMP</v>
      </c>
      <c r="B324" t="s">
        <v>6211</v>
      </c>
      <c r="C324">
        <f>+VLOOKUP(Sites_per_tag[[#This Row],[Field_office]],Parameter!$A$3:$B$11,2,0)</f>
        <v>6</v>
      </c>
      <c r="E324" t="s">
        <v>1448</v>
      </c>
      <c r="F324" t="s">
        <v>5651</v>
      </c>
      <c r="H324" t="str">
        <f ca="1">PROPER(Sites_per_tag[[#This Row],[Adm2Name]])</f>
        <v>Amboasary-Atsimo</v>
      </c>
      <c r="I324" t="s">
        <v>5641</v>
      </c>
      <c r="K324" t="s">
        <v>1986</v>
      </c>
      <c r="L324" t="s">
        <v>5918</v>
      </c>
      <c r="Q324" t="s">
        <v>410</v>
      </c>
      <c r="R324">
        <v>603180006</v>
      </c>
      <c r="T324" t="s">
        <v>7</v>
      </c>
      <c r="U324" s="3" t="str">
        <f>+VLOOKUP(Sites_per_tag[[#This Row],[Activity_tag]],Parameter!$A$24:$B$32,2,0)</f>
        <v>SMP</v>
      </c>
      <c r="W324">
        <v>46.388599999999997</v>
      </c>
      <c r="X324">
        <v>-25.155750000000001</v>
      </c>
    </row>
    <row r="325" spans="1:24" x14ac:dyDescent="0.35">
      <c r="A325" s="3" t="str">
        <f t="shared" si="5"/>
        <v>603190002SMP</v>
      </c>
      <c r="B325" t="s">
        <v>6211</v>
      </c>
      <c r="C325">
        <f>+VLOOKUP(Sites_per_tag[[#This Row],[Field_office]],Parameter!$A$3:$B$11,2,0)</f>
        <v>6</v>
      </c>
      <c r="E325" t="s">
        <v>6189</v>
      </c>
      <c r="F325" t="s">
        <v>5651</v>
      </c>
      <c r="H325" t="str">
        <f ca="1">PROPER(Sites_per_tag[[#This Row],[Adm2Name]])</f>
        <v>Amboasary Atsimo</v>
      </c>
      <c r="I325" t="s">
        <v>5641</v>
      </c>
      <c r="K325" t="s">
        <v>4319</v>
      </c>
      <c r="L325" t="s">
        <v>6001</v>
      </c>
      <c r="Q325" t="s">
        <v>2448</v>
      </c>
      <c r="R325">
        <v>603190002</v>
      </c>
      <c r="T325" t="s">
        <v>7</v>
      </c>
      <c r="U325" s="3" t="str">
        <f>+VLOOKUP(Sites_per_tag[[#This Row],[Activity_tag]],Parameter!$A$24:$B$32,2,0)</f>
        <v>SMP</v>
      </c>
      <c r="W325">
        <v>46.287849999999999</v>
      </c>
      <c r="X325">
        <v>-24.591830000000002</v>
      </c>
    </row>
    <row r="326" spans="1:24" x14ac:dyDescent="0.35">
      <c r="A326" s="3" t="str">
        <f t="shared" si="5"/>
        <v>603190004SMP</v>
      </c>
      <c r="B326" t="s">
        <v>6211</v>
      </c>
      <c r="C326">
        <f>+VLOOKUP(Sites_per_tag[[#This Row],[Field_office]],Parameter!$A$3:$B$11,2,0)</f>
        <v>6</v>
      </c>
      <c r="E326" t="s">
        <v>6189</v>
      </c>
      <c r="F326" t="s">
        <v>5651</v>
      </c>
      <c r="H326" t="str">
        <f ca="1">PROPER(Sites_per_tag[[#This Row],[Adm2Name]])</f>
        <v>Amboasary Atsimo</v>
      </c>
      <c r="I326" t="s">
        <v>5641</v>
      </c>
      <c r="K326" t="s">
        <v>4319</v>
      </c>
      <c r="L326" t="s">
        <v>6001</v>
      </c>
      <c r="Q326" t="s">
        <v>1594</v>
      </c>
      <c r="R326">
        <v>603190004</v>
      </c>
      <c r="T326" t="s">
        <v>7</v>
      </c>
      <c r="U326" s="3" t="str">
        <f>+VLOOKUP(Sites_per_tag[[#This Row],[Activity_tag]],Parameter!$A$24:$B$32,2,0)</f>
        <v>SMP</v>
      </c>
      <c r="W326">
        <v>46.188630000000003</v>
      </c>
      <c r="X326">
        <v>-24.573920000000001</v>
      </c>
    </row>
    <row r="327" spans="1:24" x14ac:dyDescent="0.35">
      <c r="A327" s="3" t="str">
        <f t="shared" si="5"/>
        <v>603190006SMP</v>
      </c>
      <c r="B327" t="s">
        <v>6211</v>
      </c>
      <c r="C327">
        <f>+VLOOKUP(Sites_per_tag[[#This Row],[Field_office]],Parameter!$A$3:$B$11,2,0)</f>
        <v>6</v>
      </c>
      <c r="E327" t="s">
        <v>6189</v>
      </c>
      <c r="F327" t="s">
        <v>5651</v>
      </c>
      <c r="H327" t="str">
        <f ca="1">PROPER(Sites_per_tag[[#This Row],[Adm2Name]])</f>
        <v>Amboasary Atsimo</v>
      </c>
      <c r="I327" t="s">
        <v>5641</v>
      </c>
      <c r="K327" t="s">
        <v>4319</v>
      </c>
      <c r="L327" t="s">
        <v>6001</v>
      </c>
      <c r="Q327" t="s">
        <v>3800</v>
      </c>
      <c r="R327">
        <v>603190006</v>
      </c>
      <c r="T327" t="s">
        <v>7</v>
      </c>
      <c r="U327" s="3" t="str">
        <f>+VLOOKUP(Sites_per_tag[[#This Row],[Activity_tag]],Parameter!$A$24:$B$32,2,0)</f>
        <v>SMP</v>
      </c>
      <c r="W327">
        <v>46.220730000000003</v>
      </c>
      <c r="X327">
        <v>-24.713850000000001</v>
      </c>
    </row>
    <row r="328" spans="1:24" x14ac:dyDescent="0.35">
      <c r="A328" s="3" t="str">
        <f t="shared" si="5"/>
        <v>603190008SMP</v>
      </c>
      <c r="B328" t="s">
        <v>6211</v>
      </c>
      <c r="C328">
        <f>+VLOOKUP(Sites_per_tag[[#This Row],[Field_office]],Parameter!$A$3:$B$11,2,0)</f>
        <v>6</v>
      </c>
      <c r="E328" t="s">
        <v>6189</v>
      </c>
      <c r="F328" t="s">
        <v>5651</v>
      </c>
      <c r="H328" t="str">
        <f ca="1">PROPER(Sites_per_tag[[#This Row],[Adm2Name]])</f>
        <v>Amboasary Atsimo</v>
      </c>
      <c r="I328" t="s">
        <v>5641</v>
      </c>
      <c r="K328" t="s">
        <v>4319</v>
      </c>
      <c r="L328" t="s">
        <v>6001</v>
      </c>
      <c r="Q328" t="s">
        <v>6232</v>
      </c>
      <c r="R328">
        <v>603190008</v>
      </c>
      <c r="T328" t="s">
        <v>7</v>
      </c>
      <c r="U328" s="3" t="str">
        <f>+VLOOKUP(Sites_per_tag[[#This Row],[Activity_tag]],Parameter!$A$24:$B$32,2,0)</f>
        <v>SMP</v>
      </c>
      <c r="W328">
        <v>46.239649999999997</v>
      </c>
      <c r="X328">
        <v>-24.615919999999999</v>
      </c>
    </row>
    <row r="329" spans="1:24" x14ac:dyDescent="0.35">
      <c r="A329" s="3" t="str">
        <f t="shared" si="5"/>
        <v>604010001SMP</v>
      </c>
      <c r="B329" t="s">
        <v>6211</v>
      </c>
      <c r="C329">
        <f>+VLOOKUP(Sites_per_tag[[#This Row],[Field_office]],Parameter!$A$3:$B$11,2,0)</f>
        <v>6</v>
      </c>
      <c r="E329" t="s">
        <v>5646</v>
      </c>
      <c r="F329" t="s">
        <v>5647</v>
      </c>
      <c r="H329" t="str">
        <f ca="1">PROPER(Sites_per_tag[[#This Row],[Adm2Name]])</f>
        <v>Ambovombe-Androy</v>
      </c>
      <c r="I329" t="s">
        <v>5655</v>
      </c>
      <c r="K329" t="s">
        <v>148</v>
      </c>
      <c r="L329" t="s">
        <v>5673</v>
      </c>
      <c r="Q329" t="s">
        <v>4161</v>
      </c>
      <c r="R329">
        <v>604010001</v>
      </c>
      <c r="T329" t="s">
        <v>7</v>
      </c>
      <c r="U329" s="3" t="str">
        <f>+VLOOKUP(Sites_per_tag[[#This Row],[Activity_tag]],Parameter!$A$24:$B$32,2,0)</f>
        <v>SMP</v>
      </c>
      <c r="W329">
        <v>45.980939999999997</v>
      </c>
      <c r="X329">
        <v>-25.199914</v>
      </c>
    </row>
    <row r="330" spans="1:24" x14ac:dyDescent="0.35">
      <c r="A330" s="3" t="str">
        <f t="shared" si="5"/>
        <v>604010002SMP</v>
      </c>
      <c r="B330" t="s">
        <v>6211</v>
      </c>
      <c r="C330">
        <f>+VLOOKUP(Sites_per_tag[[#This Row],[Field_office]],Parameter!$A$3:$B$11,2,0)</f>
        <v>6</v>
      </c>
      <c r="E330" t="s">
        <v>5646</v>
      </c>
      <c r="F330" t="s">
        <v>5647</v>
      </c>
      <c r="H330" t="str">
        <f ca="1">PROPER(Sites_per_tag[[#This Row],[Adm2Name]])</f>
        <v>Ambovombe-Androy</v>
      </c>
      <c r="I330" t="s">
        <v>5655</v>
      </c>
      <c r="K330" t="s">
        <v>148</v>
      </c>
      <c r="L330" t="s">
        <v>5673</v>
      </c>
      <c r="Q330" t="s">
        <v>952</v>
      </c>
      <c r="R330">
        <v>604010002</v>
      </c>
      <c r="T330" t="s">
        <v>7</v>
      </c>
      <c r="U330" s="3" t="str">
        <f>+VLOOKUP(Sites_per_tag[[#This Row],[Activity_tag]],Parameter!$A$24:$B$32,2,0)</f>
        <v>SMP</v>
      </c>
      <c r="W330">
        <v>46.022409000000003</v>
      </c>
      <c r="X330">
        <v>-25.160630000000001</v>
      </c>
    </row>
    <row r="331" spans="1:24" x14ac:dyDescent="0.35">
      <c r="A331" s="3" t="str">
        <f t="shared" si="5"/>
        <v>604010005SMP</v>
      </c>
      <c r="B331" t="s">
        <v>6211</v>
      </c>
      <c r="C331">
        <f>+VLOOKUP(Sites_per_tag[[#This Row],[Field_office]],Parameter!$A$3:$B$11,2,0)</f>
        <v>6</v>
      </c>
      <c r="E331" t="s">
        <v>5646</v>
      </c>
      <c r="F331" t="s">
        <v>5647</v>
      </c>
      <c r="H331" t="str">
        <f ca="1">PROPER(Sites_per_tag[[#This Row],[Adm2Name]])</f>
        <v>Ambovombe-Androy</v>
      </c>
      <c r="I331" t="s">
        <v>5655</v>
      </c>
      <c r="K331" t="s">
        <v>148</v>
      </c>
      <c r="L331" t="s">
        <v>5673</v>
      </c>
      <c r="Q331" t="s">
        <v>2743</v>
      </c>
      <c r="R331">
        <v>604010005</v>
      </c>
      <c r="T331" t="s">
        <v>7</v>
      </c>
      <c r="U331" s="3" t="str">
        <f>+VLOOKUP(Sites_per_tag[[#This Row],[Activity_tag]],Parameter!$A$24:$B$32,2,0)</f>
        <v>SMP</v>
      </c>
      <c r="W331">
        <v>45.999955</v>
      </c>
      <c r="X331">
        <v>-25.210445</v>
      </c>
    </row>
    <row r="332" spans="1:24" x14ac:dyDescent="0.35">
      <c r="A332" s="3" t="str">
        <f t="shared" si="5"/>
        <v>604010008SMP</v>
      </c>
      <c r="B332" t="s">
        <v>6211</v>
      </c>
      <c r="C332">
        <f>+VLOOKUP(Sites_per_tag[[#This Row],[Field_office]],Parameter!$A$3:$B$11,2,0)</f>
        <v>6</v>
      </c>
      <c r="E332" t="s">
        <v>5646</v>
      </c>
      <c r="F332" t="s">
        <v>5647</v>
      </c>
      <c r="H332" t="str">
        <f ca="1">PROPER(Sites_per_tag[[#This Row],[Adm2Name]])</f>
        <v>Ambovombe-Androy</v>
      </c>
      <c r="I332" t="s">
        <v>5655</v>
      </c>
      <c r="K332" t="s">
        <v>148</v>
      </c>
      <c r="L332" t="s">
        <v>5673</v>
      </c>
      <c r="Q332" t="s">
        <v>3562</v>
      </c>
      <c r="R332">
        <v>604010008</v>
      </c>
      <c r="T332" t="s">
        <v>7</v>
      </c>
      <c r="U332" s="3" t="str">
        <f>+VLOOKUP(Sites_per_tag[[#This Row],[Activity_tag]],Parameter!$A$24:$B$32,2,0)</f>
        <v>SMP</v>
      </c>
      <c r="W332">
        <v>46.012821000000002</v>
      </c>
      <c r="X332">
        <v>-25.126659</v>
      </c>
    </row>
    <row r="333" spans="1:24" x14ac:dyDescent="0.35">
      <c r="A333" s="3" t="str">
        <f t="shared" si="5"/>
        <v>604010009SMP</v>
      </c>
      <c r="B333" t="s">
        <v>6211</v>
      </c>
      <c r="C333">
        <f>+VLOOKUP(Sites_per_tag[[#This Row],[Field_office]],Parameter!$A$3:$B$11,2,0)</f>
        <v>6</v>
      </c>
      <c r="E333" t="s">
        <v>5646</v>
      </c>
      <c r="F333" t="s">
        <v>5647</v>
      </c>
      <c r="H333" t="str">
        <f ca="1">PROPER(Sites_per_tag[[#This Row],[Adm2Name]])</f>
        <v>Ambovombe-Androy</v>
      </c>
      <c r="I333" t="s">
        <v>5655</v>
      </c>
      <c r="K333" t="s">
        <v>148</v>
      </c>
      <c r="L333" t="s">
        <v>5673</v>
      </c>
      <c r="Q333" t="s">
        <v>1388</v>
      </c>
      <c r="R333">
        <v>604010009</v>
      </c>
      <c r="T333" t="s">
        <v>7</v>
      </c>
      <c r="U333" s="3" t="str">
        <f>+VLOOKUP(Sites_per_tag[[#This Row],[Activity_tag]],Parameter!$A$24:$B$32,2,0)</f>
        <v>SMP</v>
      </c>
      <c r="W333">
        <v>46.035806999999998</v>
      </c>
      <c r="X333">
        <v>-25.181934999999999</v>
      </c>
    </row>
    <row r="334" spans="1:24" x14ac:dyDescent="0.35">
      <c r="A334" s="3" t="str">
        <f t="shared" si="5"/>
        <v>604010010SMP</v>
      </c>
      <c r="B334" t="s">
        <v>6211</v>
      </c>
      <c r="C334">
        <f>+VLOOKUP(Sites_per_tag[[#This Row],[Field_office]],Parameter!$A$3:$B$11,2,0)</f>
        <v>6</v>
      </c>
      <c r="E334" t="s">
        <v>5646</v>
      </c>
      <c r="F334" t="s">
        <v>5647</v>
      </c>
      <c r="H334" t="str">
        <f ca="1">PROPER(Sites_per_tag[[#This Row],[Adm2Name]])</f>
        <v>Ambovombe-Androy</v>
      </c>
      <c r="I334" t="s">
        <v>5655</v>
      </c>
      <c r="K334" t="s">
        <v>148</v>
      </c>
      <c r="L334" t="s">
        <v>5673</v>
      </c>
      <c r="Q334" t="s">
        <v>2429</v>
      </c>
      <c r="R334">
        <v>604010010</v>
      </c>
      <c r="T334" t="s">
        <v>7</v>
      </c>
      <c r="U334" s="3" t="str">
        <f>+VLOOKUP(Sites_per_tag[[#This Row],[Activity_tag]],Parameter!$A$24:$B$32,2,0)</f>
        <v>SMP</v>
      </c>
      <c r="W334">
        <v>46.002355999999999</v>
      </c>
      <c r="X334">
        <v>-25.212403999999999</v>
      </c>
    </row>
    <row r="335" spans="1:24" x14ac:dyDescent="0.35">
      <c r="A335" s="3" t="str">
        <f t="shared" si="5"/>
        <v>604010012SMP</v>
      </c>
      <c r="B335" t="s">
        <v>6211</v>
      </c>
      <c r="C335">
        <f>+VLOOKUP(Sites_per_tag[[#This Row],[Field_office]],Parameter!$A$3:$B$11,2,0)</f>
        <v>6</v>
      </c>
      <c r="E335" t="s">
        <v>5646</v>
      </c>
      <c r="F335" t="s">
        <v>5647</v>
      </c>
      <c r="H335" t="str">
        <f ca="1">PROPER(Sites_per_tag[[#This Row],[Adm2Name]])</f>
        <v>Ambovombe-Androy</v>
      </c>
      <c r="I335" t="s">
        <v>5655</v>
      </c>
      <c r="K335" t="s">
        <v>148</v>
      </c>
      <c r="L335" t="s">
        <v>5673</v>
      </c>
      <c r="Q335" t="s">
        <v>3341</v>
      </c>
      <c r="R335">
        <v>604010012</v>
      </c>
      <c r="T335" t="s">
        <v>7</v>
      </c>
      <c r="U335" s="3" t="str">
        <f>+VLOOKUP(Sites_per_tag[[#This Row],[Activity_tag]],Parameter!$A$24:$B$32,2,0)</f>
        <v>SMP</v>
      </c>
      <c r="W335">
        <v>45.937375000000003</v>
      </c>
      <c r="X335">
        <v>-24.807693</v>
      </c>
    </row>
    <row r="336" spans="1:24" x14ac:dyDescent="0.35">
      <c r="A336" s="3" t="str">
        <f t="shared" si="5"/>
        <v>604010013SMP</v>
      </c>
      <c r="B336" t="s">
        <v>6211</v>
      </c>
      <c r="C336">
        <f>+VLOOKUP(Sites_per_tag[[#This Row],[Field_office]],Parameter!$A$3:$B$11,2,0)</f>
        <v>6</v>
      </c>
      <c r="E336" t="s">
        <v>5646</v>
      </c>
      <c r="F336" t="s">
        <v>5647</v>
      </c>
      <c r="H336" t="str">
        <f ca="1">PROPER(Sites_per_tag[[#This Row],[Adm2Name]])</f>
        <v>Ambovombe-Androy</v>
      </c>
      <c r="I336" t="s">
        <v>5655</v>
      </c>
      <c r="K336" t="s">
        <v>148</v>
      </c>
      <c r="L336" t="s">
        <v>5673</v>
      </c>
      <c r="Q336" t="s">
        <v>4162</v>
      </c>
      <c r="R336">
        <v>604010013</v>
      </c>
      <c r="T336" t="s">
        <v>7</v>
      </c>
      <c r="U336" s="3" t="str">
        <f>+VLOOKUP(Sites_per_tag[[#This Row],[Activity_tag]],Parameter!$A$24:$B$32,2,0)</f>
        <v>SMP</v>
      </c>
      <c r="W336">
        <v>46.025469000000001</v>
      </c>
      <c r="X336">
        <v>-25.130219</v>
      </c>
    </row>
    <row r="337" spans="1:24" x14ac:dyDescent="0.35">
      <c r="A337" s="3" t="str">
        <f t="shared" si="5"/>
        <v>604010015SMP</v>
      </c>
      <c r="B337" t="s">
        <v>6211</v>
      </c>
      <c r="C337">
        <f>+VLOOKUP(Sites_per_tag[[#This Row],[Field_office]],Parameter!$A$3:$B$11,2,0)</f>
        <v>6</v>
      </c>
      <c r="E337" t="s">
        <v>5646</v>
      </c>
      <c r="F337" t="s">
        <v>5647</v>
      </c>
      <c r="H337" t="str">
        <f ca="1">PROPER(Sites_per_tag[[#This Row],[Adm2Name]])</f>
        <v>Ambovombe-Androy</v>
      </c>
      <c r="I337" t="s">
        <v>5655</v>
      </c>
      <c r="K337" t="s">
        <v>148</v>
      </c>
      <c r="L337" t="s">
        <v>5673</v>
      </c>
      <c r="Q337" t="s">
        <v>1568</v>
      </c>
      <c r="R337">
        <v>604010015</v>
      </c>
      <c r="T337" t="s">
        <v>7</v>
      </c>
      <c r="U337" s="3" t="str">
        <f>+VLOOKUP(Sites_per_tag[[#This Row],[Activity_tag]],Parameter!$A$24:$B$32,2,0)</f>
        <v>SMP</v>
      </c>
      <c r="W337">
        <v>46.006627999999999</v>
      </c>
      <c r="X337">
        <v>-25.191549999999999</v>
      </c>
    </row>
    <row r="338" spans="1:24" x14ac:dyDescent="0.35">
      <c r="A338" s="3" t="str">
        <f t="shared" si="5"/>
        <v>604020001SMP</v>
      </c>
      <c r="B338" t="s">
        <v>6211</v>
      </c>
      <c r="C338">
        <f>+VLOOKUP(Sites_per_tag[[#This Row],[Field_office]],Parameter!$A$3:$B$11,2,0)</f>
        <v>6</v>
      </c>
      <c r="E338" t="s">
        <v>5646</v>
      </c>
      <c r="F338" t="s">
        <v>5647</v>
      </c>
      <c r="H338" t="str">
        <f ca="1">PROPER(Sites_per_tag[[#This Row],[Adm2Name]])</f>
        <v>Ambovombe-Androy</v>
      </c>
      <c r="I338" t="s">
        <v>5655</v>
      </c>
      <c r="K338" t="s">
        <v>4324</v>
      </c>
      <c r="L338" t="s">
        <v>5702</v>
      </c>
      <c r="Q338" t="s">
        <v>287</v>
      </c>
      <c r="R338">
        <v>604020001</v>
      </c>
      <c r="T338" t="s">
        <v>7</v>
      </c>
      <c r="U338" s="3" t="str">
        <f>+VLOOKUP(Sites_per_tag[[#This Row],[Activity_tag]],Parameter!$A$24:$B$32,2,0)</f>
        <v>SMP</v>
      </c>
      <c r="W338">
        <v>45.895437000000001</v>
      </c>
      <c r="X338">
        <v>-25.317827000000001</v>
      </c>
    </row>
    <row r="339" spans="1:24" x14ac:dyDescent="0.35">
      <c r="A339" s="3" t="str">
        <f t="shared" si="5"/>
        <v>604020002SMP</v>
      </c>
      <c r="B339" t="s">
        <v>6211</v>
      </c>
      <c r="C339">
        <f>+VLOOKUP(Sites_per_tag[[#This Row],[Field_office]],Parameter!$A$3:$B$11,2,0)</f>
        <v>6</v>
      </c>
      <c r="E339" t="s">
        <v>5646</v>
      </c>
      <c r="F339" t="s">
        <v>5647</v>
      </c>
      <c r="H339" t="str">
        <f ca="1">PROPER(Sites_per_tag[[#This Row],[Adm2Name]])</f>
        <v>Ambovombe-Androy</v>
      </c>
      <c r="I339" t="s">
        <v>5655</v>
      </c>
      <c r="K339" t="s">
        <v>4324</v>
      </c>
      <c r="L339" t="s">
        <v>5702</v>
      </c>
      <c r="Q339" t="s">
        <v>289</v>
      </c>
      <c r="R339">
        <v>604020002</v>
      </c>
      <c r="T339" t="s">
        <v>7</v>
      </c>
      <c r="U339" s="3" t="str">
        <f>+VLOOKUP(Sites_per_tag[[#This Row],[Activity_tag]],Parameter!$A$24:$B$32,2,0)</f>
        <v>SMP</v>
      </c>
      <c r="W339">
        <v>45.849122000000001</v>
      </c>
      <c r="X339">
        <v>-25.359726999999999</v>
      </c>
    </row>
    <row r="340" spans="1:24" x14ac:dyDescent="0.35">
      <c r="A340" s="3" t="str">
        <f t="shared" si="5"/>
        <v>604020003SMP</v>
      </c>
      <c r="B340" t="s">
        <v>6211</v>
      </c>
      <c r="C340">
        <f>+VLOOKUP(Sites_per_tag[[#This Row],[Field_office]],Parameter!$A$3:$B$11,2,0)</f>
        <v>6</v>
      </c>
      <c r="E340" t="s">
        <v>5646</v>
      </c>
      <c r="F340" t="s">
        <v>5647</v>
      </c>
      <c r="H340" t="str">
        <f ca="1">PROPER(Sites_per_tag[[#This Row],[Adm2Name]])</f>
        <v>Ambovombe-Androy</v>
      </c>
      <c r="I340" t="s">
        <v>5655</v>
      </c>
      <c r="K340" t="s">
        <v>4324</v>
      </c>
      <c r="L340" t="s">
        <v>5702</v>
      </c>
      <c r="Q340" t="s">
        <v>489</v>
      </c>
      <c r="R340">
        <v>604020003</v>
      </c>
      <c r="T340" t="s">
        <v>7</v>
      </c>
      <c r="U340" s="3" t="str">
        <f>+VLOOKUP(Sites_per_tag[[#This Row],[Activity_tag]],Parameter!$A$24:$B$32,2,0)</f>
        <v>SMP</v>
      </c>
      <c r="W340">
        <v>45.896438000000003</v>
      </c>
      <c r="X340">
        <v>-25.326467000000001</v>
      </c>
    </row>
    <row r="341" spans="1:24" x14ac:dyDescent="0.35">
      <c r="A341" s="3" t="str">
        <f t="shared" si="5"/>
        <v>604020004SMP</v>
      </c>
      <c r="B341" t="s">
        <v>6211</v>
      </c>
      <c r="C341">
        <f>+VLOOKUP(Sites_per_tag[[#This Row],[Field_office]],Parameter!$A$3:$B$11,2,0)</f>
        <v>6</v>
      </c>
      <c r="E341" t="s">
        <v>5646</v>
      </c>
      <c r="F341" t="s">
        <v>5647</v>
      </c>
      <c r="H341" t="str">
        <f ca="1">PROPER(Sites_per_tag[[#This Row],[Adm2Name]])</f>
        <v>Ambovombe-Androy</v>
      </c>
      <c r="I341" t="s">
        <v>5655</v>
      </c>
      <c r="K341" t="s">
        <v>4324</v>
      </c>
      <c r="L341" t="s">
        <v>5702</v>
      </c>
      <c r="Q341" t="s">
        <v>1508</v>
      </c>
      <c r="R341">
        <v>604020004</v>
      </c>
      <c r="T341" t="s">
        <v>7</v>
      </c>
      <c r="U341" s="3" t="str">
        <f>+VLOOKUP(Sites_per_tag[[#This Row],[Activity_tag]],Parameter!$A$24:$B$32,2,0)</f>
        <v>SMP</v>
      </c>
      <c r="W341">
        <v>45.799914000000001</v>
      </c>
      <c r="X341">
        <v>-25.377637</v>
      </c>
    </row>
    <row r="342" spans="1:24" x14ac:dyDescent="0.35">
      <c r="A342" s="3" t="str">
        <f t="shared" si="5"/>
        <v>604020006SMP</v>
      </c>
      <c r="B342" t="s">
        <v>6211</v>
      </c>
      <c r="C342">
        <f>+VLOOKUP(Sites_per_tag[[#This Row],[Field_office]],Parameter!$A$3:$B$11,2,0)</f>
        <v>6</v>
      </c>
      <c r="E342" t="s">
        <v>5646</v>
      </c>
      <c r="F342" t="s">
        <v>5647</v>
      </c>
      <c r="H342" t="str">
        <f ca="1">PROPER(Sites_per_tag[[#This Row],[Adm2Name]])</f>
        <v>Ambovombe-Androy</v>
      </c>
      <c r="I342" t="s">
        <v>5655</v>
      </c>
      <c r="K342" t="s">
        <v>4324</v>
      </c>
      <c r="L342" t="s">
        <v>5702</v>
      </c>
      <c r="Q342" t="s">
        <v>3761</v>
      </c>
      <c r="R342">
        <v>604020006</v>
      </c>
      <c r="T342" t="s">
        <v>7</v>
      </c>
      <c r="U342" s="3" t="str">
        <f>+VLOOKUP(Sites_per_tag[[#This Row],[Activity_tag]],Parameter!$A$24:$B$32,2,0)</f>
        <v>SMP</v>
      </c>
      <c r="W342">
        <v>45.898381000000001</v>
      </c>
      <c r="X342">
        <v>-25.278144000000001</v>
      </c>
    </row>
    <row r="343" spans="1:24" x14ac:dyDescent="0.35">
      <c r="A343" s="3" t="str">
        <f t="shared" si="5"/>
        <v>604020007SMP</v>
      </c>
      <c r="B343" t="s">
        <v>6211</v>
      </c>
      <c r="C343">
        <f>+VLOOKUP(Sites_per_tag[[#This Row],[Field_office]],Parameter!$A$3:$B$11,2,0)</f>
        <v>6</v>
      </c>
      <c r="E343" t="s">
        <v>5646</v>
      </c>
      <c r="F343" t="s">
        <v>5647</v>
      </c>
      <c r="H343" t="str">
        <f ca="1">PROPER(Sites_per_tag[[#This Row],[Adm2Name]])</f>
        <v>Ambovombe-Androy</v>
      </c>
      <c r="I343" t="s">
        <v>5655</v>
      </c>
      <c r="K343" t="s">
        <v>4324</v>
      </c>
      <c r="L343" t="s">
        <v>5702</v>
      </c>
      <c r="Q343" t="s">
        <v>2587</v>
      </c>
      <c r="R343">
        <v>604020007</v>
      </c>
      <c r="T343" t="s">
        <v>7</v>
      </c>
      <c r="U343" s="3" t="str">
        <f>+VLOOKUP(Sites_per_tag[[#This Row],[Activity_tag]],Parameter!$A$24:$B$32,2,0)</f>
        <v>SMP</v>
      </c>
      <c r="W343">
        <v>45.828319999999998</v>
      </c>
      <c r="X343">
        <v>-25.386365000000001</v>
      </c>
    </row>
    <row r="344" spans="1:24" x14ac:dyDescent="0.35">
      <c r="A344" s="3" t="str">
        <f t="shared" si="5"/>
        <v>604020009SMP</v>
      </c>
      <c r="B344" t="s">
        <v>6211</v>
      </c>
      <c r="C344">
        <f>+VLOOKUP(Sites_per_tag[[#This Row],[Field_office]],Parameter!$A$3:$B$11,2,0)</f>
        <v>6</v>
      </c>
      <c r="E344" t="s">
        <v>5646</v>
      </c>
      <c r="F344" t="s">
        <v>5647</v>
      </c>
      <c r="H344" t="str">
        <f ca="1">PROPER(Sites_per_tag[[#This Row],[Adm2Name]])</f>
        <v>Ambovombe-Androy</v>
      </c>
      <c r="I344" t="s">
        <v>5655</v>
      </c>
      <c r="K344" t="s">
        <v>4324</v>
      </c>
      <c r="L344" t="s">
        <v>5702</v>
      </c>
      <c r="Q344" t="s">
        <v>3434</v>
      </c>
      <c r="R344">
        <v>604020009</v>
      </c>
      <c r="T344" t="s">
        <v>7</v>
      </c>
      <c r="U344" s="3" t="str">
        <f>+VLOOKUP(Sites_per_tag[[#This Row],[Activity_tag]],Parameter!$A$24:$B$32,2,0)</f>
        <v>SMP</v>
      </c>
      <c r="W344">
        <v>45.919991000000003</v>
      </c>
      <c r="X344">
        <v>-25.304155999999999</v>
      </c>
    </row>
    <row r="345" spans="1:24" x14ac:dyDescent="0.35">
      <c r="A345" s="3" t="str">
        <f t="shared" si="5"/>
        <v>604020010SMP</v>
      </c>
      <c r="B345" t="s">
        <v>6211</v>
      </c>
      <c r="C345">
        <f>+VLOOKUP(Sites_per_tag[[#This Row],[Field_office]],Parameter!$A$3:$B$11,2,0)</f>
        <v>6</v>
      </c>
      <c r="E345" t="s">
        <v>5646</v>
      </c>
      <c r="F345" t="s">
        <v>5647</v>
      </c>
      <c r="H345" t="str">
        <f ca="1">PROPER(Sites_per_tag[[#This Row],[Adm2Name]])</f>
        <v>Ambovombe-Androy</v>
      </c>
      <c r="I345" t="s">
        <v>5655</v>
      </c>
      <c r="K345" t="s">
        <v>4324</v>
      </c>
      <c r="L345" t="s">
        <v>5702</v>
      </c>
      <c r="Q345" t="s">
        <v>6233</v>
      </c>
      <c r="R345">
        <v>604020010</v>
      </c>
      <c r="T345" t="s">
        <v>7</v>
      </c>
      <c r="U345" s="3" t="str">
        <f>+VLOOKUP(Sites_per_tag[[#This Row],[Activity_tag]],Parameter!$A$24:$B$32,2,0)</f>
        <v>SMP</v>
      </c>
      <c r="W345">
        <v>45.861362</v>
      </c>
      <c r="X345">
        <v>-25.344688000000001</v>
      </c>
    </row>
    <row r="346" spans="1:24" x14ac:dyDescent="0.35">
      <c r="A346" s="3" t="str">
        <f t="shared" si="5"/>
        <v>604020011SMP</v>
      </c>
      <c r="B346" t="s">
        <v>6211</v>
      </c>
      <c r="C346">
        <f>+VLOOKUP(Sites_per_tag[[#This Row],[Field_office]],Parameter!$A$3:$B$11,2,0)</f>
        <v>6</v>
      </c>
      <c r="E346" t="s">
        <v>5646</v>
      </c>
      <c r="F346" t="s">
        <v>5647</v>
      </c>
      <c r="H346" t="str">
        <f ca="1">PROPER(Sites_per_tag[[#This Row],[Adm2Name]])</f>
        <v>Ambovombe-Androy</v>
      </c>
      <c r="I346" t="s">
        <v>5655</v>
      </c>
      <c r="K346" t="s">
        <v>4324</v>
      </c>
      <c r="L346" t="s">
        <v>5702</v>
      </c>
      <c r="Q346" t="s">
        <v>3500</v>
      </c>
      <c r="R346">
        <v>604020011</v>
      </c>
      <c r="T346" t="s">
        <v>7</v>
      </c>
      <c r="U346" s="3" t="str">
        <f>+VLOOKUP(Sites_per_tag[[#This Row],[Activity_tag]],Parameter!$A$24:$B$32,2,0)</f>
        <v>SMP</v>
      </c>
      <c r="W346">
        <v>45.877830000000003</v>
      </c>
      <c r="X346">
        <v>-25.333680000000001</v>
      </c>
    </row>
    <row r="347" spans="1:24" x14ac:dyDescent="0.35">
      <c r="A347" s="3" t="str">
        <f t="shared" si="5"/>
        <v>604030001SMP</v>
      </c>
      <c r="B347" t="s">
        <v>6211</v>
      </c>
      <c r="C347">
        <f>+VLOOKUP(Sites_per_tag[[#This Row],[Field_office]],Parameter!$A$3:$B$11,2,0)</f>
        <v>6</v>
      </c>
      <c r="E347" t="s">
        <v>5646</v>
      </c>
      <c r="F347" t="s">
        <v>5647</v>
      </c>
      <c r="H347" t="str">
        <f ca="1">PROPER(Sites_per_tag[[#This Row],[Adm2Name]])</f>
        <v>Ambovombe-Androy</v>
      </c>
      <c r="I347" t="s">
        <v>5655</v>
      </c>
      <c r="K347" t="s">
        <v>367</v>
      </c>
      <c r="L347" t="s">
        <v>5733</v>
      </c>
      <c r="Q347" t="s">
        <v>734</v>
      </c>
      <c r="R347">
        <v>604030001</v>
      </c>
      <c r="T347" t="s">
        <v>7</v>
      </c>
      <c r="U347" s="3" t="str">
        <f>+VLOOKUP(Sites_per_tag[[#This Row],[Activity_tag]],Parameter!$A$24:$B$32,2,0)</f>
        <v>SMP</v>
      </c>
      <c r="W347">
        <v>46.014893000000001</v>
      </c>
      <c r="X347">
        <v>-25.043323000000001</v>
      </c>
    </row>
    <row r="348" spans="1:24" x14ac:dyDescent="0.35">
      <c r="A348" s="3" t="str">
        <f t="shared" si="5"/>
        <v>604030002SMP</v>
      </c>
      <c r="B348" t="s">
        <v>6211</v>
      </c>
      <c r="C348">
        <f>+VLOOKUP(Sites_per_tag[[#This Row],[Field_office]],Parameter!$A$3:$B$11,2,0)</f>
        <v>6</v>
      </c>
      <c r="E348" t="s">
        <v>5646</v>
      </c>
      <c r="F348" t="s">
        <v>5647</v>
      </c>
      <c r="H348" t="str">
        <f ca="1">PROPER(Sites_per_tag[[#This Row],[Adm2Name]])</f>
        <v>Ambovombe-Androy</v>
      </c>
      <c r="I348" t="s">
        <v>5655</v>
      </c>
      <c r="K348" t="s">
        <v>367</v>
      </c>
      <c r="L348" t="s">
        <v>5733</v>
      </c>
      <c r="Q348" t="s">
        <v>1153</v>
      </c>
      <c r="R348">
        <v>604030002</v>
      </c>
      <c r="T348" t="s">
        <v>7</v>
      </c>
      <c r="U348" s="3" t="str">
        <f>+VLOOKUP(Sites_per_tag[[#This Row],[Activity_tag]],Parameter!$A$24:$B$32,2,0)</f>
        <v>SMP</v>
      </c>
      <c r="W348">
        <v>46.025869999999998</v>
      </c>
      <c r="X348">
        <v>-25.063680000000002</v>
      </c>
    </row>
    <row r="349" spans="1:24" x14ac:dyDescent="0.35">
      <c r="A349" s="3" t="str">
        <f t="shared" si="5"/>
        <v>604030003SMP</v>
      </c>
      <c r="B349" t="s">
        <v>6211</v>
      </c>
      <c r="C349">
        <f>+VLOOKUP(Sites_per_tag[[#This Row],[Field_office]],Parameter!$A$3:$B$11,2,0)</f>
        <v>6</v>
      </c>
      <c r="E349" t="s">
        <v>1448</v>
      </c>
      <c r="F349" t="s">
        <v>5651</v>
      </c>
      <c r="H349" t="str">
        <f ca="1">PROPER(Sites_per_tag[[#This Row],[Adm2Name]])</f>
        <v>Betroka</v>
      </c>
      <c r="I349" t="s">
        <v>5691</v>
      </c>
      <c r="K349" t="s">
        <v>4513</v>
      </c>
      <c r="L349" t="s">
        <v>5773</v>
      </c>
      <c r="Q349" t="s">
        <v>1352</v>
      </c>
      <c r="R349">
        <v>604030003</v>
      </c>
      <c r="T349" t="s">
        <v>7</v>
      </c>
      <c r="U349" s="3" t="str">
        <f>+VLOOKUP(Sites_per_tag[[#This Row],[Activity_tag]],Parameter!$A$24:$B$32,2,0)</f>
        <v>SMP</v>
      </c>
      <c r="W349">
        <v>45.904089999999997</v>
      </c>
      <c r="X349">
        <v>-25.126474999999999</v>
      </c>
    </row>
    <row r="350" spans="1:24" x14ac:dyDescent="0.35">
      <c r="A350" s="3" t="str">
        <f t="shared" si="5"/>
        <v>604030005SMP</v>
      </c>
      <c r="B350" t="s">
        <v>6211</v>
      </c>
      <c r="C350">
        <f>+VLOOKUP(Sites_per_tag[[#This Row],[Field_office]],Parameter!$A$3:$B$11,2,0)</f>
        <v>6</v>
      </c>
      <c r="E350" t="s">
        <v>5646</v>
      </c>
      <c r="F350" t="s">
        <v>5647</v>
      </c>
      <c r="H350" t="str">
        <f ca="1">PROPER(Sites_per_tag[[#This Row],[Adm2Name]])</f>
        <v>Ambovombe-Androy</v>
      </c>
      <c r="I350" t="s">
        <v>5655</v>
      </c>
      <c r="K350" t="s">
        <v>367</v>
      </c>
      <c r="L350" t="s">
        <v>5733</v>
      </c>
      <c r="Q350" t="s">
        <v>4255</v>
      </c>
      <c r="R350">
        <v>604030005</v>
      </c>
      <c r="T350" t="s">
        <v>7</v>
      </c>
      <c r="U350" s="3" t="str">
        <f>+VLOOKUP(Sites_per_tag[[#This Row],[Activity_tag]],Parameter!$A$24:$B$32,2,0)</f>
        <v>SMP</v>
      </c>
      <c r="W350">
        <v>45.970999999999997</v>
      </c>
      <c r="X350">
        <v>-25.112607000000001</v>
      </c>
    </row>
    <row r="351" spans="1:24" x14ac:dyDescent="0.35">
      <c r="A351" s="3" t="str">
        <f t="shared" si="5"/>
        <v>604030006SMP</v>
      </c>
      <c r="B351" t="s">
        <v>6211</v>
      </c>
      <c r="C351">
        <f>+VLOOKUP(Sites_per_tag[[#This Row],[Field_office]],Parameter!$A$3:$B$11,2,0)</f>
        <v>6</v>
      </c>
      <c r="E351" t="s">
        <v>5646</v>
      </c>
      <c r="F351" t="s">
        <v>5647</v>
      </c>
      <c r="H351" t="str">
        <f ca="1">PROPER(Sites_per_tag[[#This Row],[Adm2Name]])</f>
        <v>Ambovombe-Androy</v>
      </c>
      <c r="I351" t="s">
        <v>5655</v>
      </c>
      <c r="K351" t="s">
        <v>367</v>
      </c>
      <c r="L351" t="s">
        <v>5733</v>
      </c>
      <c r="Q351" t="s">
        <v>2764</v>
      </c>
      <c r="R351">
        <v>604030006</v>
      </c>
      <c r="T351" t="s">
        <v>7</v>
      </c>
      <c r="U351" s="3" t="str">
        <f>+VLOOKUP(Sites_per_tag[[#This Row],[Activity_tag]],Parameter!$A$24:$B$32,2,0)</f>
        <v>SMP</v>
      </c>
      <c r="W351">
        <v>46.025869999999998</v>
      </c>
      <c r="X351">
        <v>-25.063680000000002</v>
      </c>
    </row>
    <row r="352" spans="1:24" x14ac:dyDescent="0.35">
      <c r="A352" s="3" t="str">
        <f t="shared" si="5"/>
        <v>604030008SMP</v>
      </c>
      <c r="B352" t="s">
        <v>6211</v>
      </c>
      <c r="C352">
        <f>+VLOOKUP(Sites_per_tag[[#This Row],[Field_office]],Parameter!$A$3:$B$11,2,0)</f>
        <v>6</v>
      </c>
      <c r="E352" t="s">
        <v>5646</v>
      </c>
      <c r="F352" t="s">
        <v>5647</v>
      </c>
      <c r="H352" t="str">
        <f ca="1">PROPER(Sites_per_tag[[#This Row],[Adm2Name]])</f>
        <v>Ambovombe-Androy</v>
      </c>
      <c r="I352" t="s">
        <v>5655</v>
      </c>
      <c r="K352" t="s">
        <v>367</v>
      </c>
      <c r="L352" t="s">
        <v>5733</v>
      </c>
      <c r="Q352" t="s">
        <v>3652</v>
      </c>
      <c r="R352">
        <v>604030008</v>
      </c>
      <c r="T352" t="s">
        <v>7</v>
      </c>
      <c r="U352" s="3" t="str">
        <f>+VLOOKUP(Sites_per_tag[[#This Row],[Activity_tag]],Parameter!$A$24:$B$32,2,0)</f>
        <v>SMP</v>
      </c>
      <c r="W352">
        <v>45.997487</v>
      </c>
      <c r="X352">
        <v>-25.112997</v>
      </c>
    </row>
    <row r="353" spans="1:24" x14ac:dyDescent="0.35">
      <c r="A353" s="3" t="str">
        <f t="shared" si="5"/>
        <v>604030009SMP</v>
      </c>
      <c r="B353" t="s">
        <v>6211</v>
      </c>
      <c r="C353">
        <f>+VLOOKUP(Sites_per_tag[[#This Row],[Field_office]],Parameter!$A$3:$B$11,2,0)</f>
        <v>6</v>
      </c>
      <c r="E353" t="s">
        <v>5646</v>
      </c>
      <c r="F353" t="s">
        <v>5647</v>
      </c>
      <c r="H353" t="str">
        <f ca="1">PROPER(Sites_per_tag[[#This Row],[Adm2Name]])</f>
        <v>Ambovombe-Androy</v>
      </c>
      <c r="I353" t="s">
        <v>5655</v>
      </c>
      <c r="K353" t="s">
        <v>367</v>
      </c>
      <c r="L353" t="s">
        <v>5733</v>
      </c>
      <c r="Q353" t="s">
        <v>3157</v>
      </c>
      <c r="R353">
        <v>604030009</v>
      </c>
      <c r="T353" t="s">
        <v>7</v>
      </c>
      <c r="U353" s="3" t="str">
        <f>+VLOOKUP(Sites_per_tag[[#This Row],[Activity_tag]],Parameter!$A$24:$B$32,2,0)</f>
        <v>SMP</v>
      </c>
      <c r="W353">
        <v>45.964860999999999</v>
      </c>
      <c r="X353">
        <v>-25.199095</v>
      </c>
    </row>
    <row r="354" spans="1:24" x14ac:dyDescent="0.35">
      <c r="A354" s="3" t="str">
        <f t="shared" si="5"/>
        <v>604030011SMP</v>
      </c>
      <c r="B354" t="s">
        <v>6211</v>
      </c>
      <c r="C354">
        <f>+VLOOKUP(Sites_per_tag[[#This Row],[Field_office]],Parameter!$A$3:$B$11,2,0)</f>
        <v>6</v>
      </c>
      <c r="E354" t="s">
        <v>5646</v>
      </c>
      <c r="F354" t="s">
        <v>5647</v>
      </c>
      <c r="H354" t="str">
        <f ca="1">PROPER(Sites_per_tag[[#This Row],[Adm2Name]])</f>
        <v>Ambovombe-Androy</v>
      </c>
      <c r="I354" t="s">
        <v>5655</v>
      </c>
      <c r="K354" t="s">
        <v>367</v>
      </c>
      <c r="L354" t="s">
        <v>5733</v>
      </c>
      <c r="Q354" t="s">
        <v>1119</v>
      </c>
      <c r="R354">
        <v>604030011</v>
      </c>
      <c r="T354" t="s">
        <v>7</v>
      </c>
      <c r="U354" s="3" t="str">
        <f>+VLOOKUP(Sites_per_tag[[#This Row],[Activity_tag]],Parameter!$A$24:$B$32,2,0)</f>
        <v>SMP</v>
      </c>
      <c r="W354">
        <v>45.997852999999999</v>
      </c>
      <c r="X354">
        <v>-25.128316999999999</v>
      </c>
    </row>
    <row r="355" spans="1:24" x14ac:dyDescent="0.35">
      <c r="A355" s="3" t="str">
        <f t="shared" si="5"/>
        <v>604030013SMP</v>
      </c>
      <c r="B355" t="s">
        <v>6211</v>
      </c>
      <c r="C355">
        <f>+VLOOKUP(Sites_per_tag[[#This Row],[Field_office]],Parameter!$A$3:$B$11,2,0)</f>
        <v>6</v>
      </c>
      <c r="E355" t="s">
        <v>5646</v>
      </c>
      <c r="F355" t="s">
        <v>5647</v>
      </c>
      <c r="H355" t="str">
        <f ca="1">PROPER(Sites_per_tag[[#This Row],[Adm2Name]])</f>
        <v>Ambovombe-Androy</v>
      </c>
      <c r="I355" t="s">
        <v>5655</v>
      </c>
      <c r="K355" t="s">
        <v>367</v>
      </c>
      <c r="L355" t="s">
        <v>5733</v>
      </c>
      <c r="Q355" t="s">
        <v>1476</v>
      </c>
      <c r="R355">
        <v>604030013</v>
      </c>
      <c r="T355" t="s">
        <v>7</v>
      </c>
      <c r="U355" s="3" t="str">
        <f>+VLOOKUP(Sites_per_tag[[#This Row],[Activity_tag]],Parameter!$A$24:$B$32,2,0)</f>
        <v>SMP</v>
      </c>
      <c r="W355">
        <v>45.994900999999999</v>
      </c>
      <c r="X355">
        <v>-25.105049999999999</v>
      </c>
    </row>
    <row r="356" spans="1:24" x14ac:dyDescent="0.35">
      <c r="A356" s="3" t="str">
        <f t="shared" si="5"/>
        <v>604030014SMP</v>
      </c>
      <c r="B356" t="s">
        <v>6211</v>
      </c>
      <c r="C356">
        <f>+VLOOKUP(Sites_per_tag[[#This Row],[Field_office]],Parameter!$A$3:$B$11,2,0)</f>
        <v>6</v>
      </c>
      <c r="E356" t="s">
        <v>5646</v>
      </c>
      <c r="F356" t="s">
        <v>5647</v>
      </c>
      <c r="H356" t="str">
        <f ca="1">PROPER(Sites_per_tag[[#This Row],[Adm2Name]])</f>
        <v>Ambovombe-Androy</v>
      </c>
      <c r="I356" t="s">
        <v>5655</v>
      </c>
      <c r="K356" t="s">
        <v>367</v>
      </c>
      <c r="L356" t="s">
        <v>5733</v>
      </c>
      <c r="Q356" t="s">
        <v>1561</v>
      </c>
      <c r="R356">
        <v>604030014</v>
      </c>
      <c r="T356" t="s">
        <v>7</v>
      </c>
      <c r="U356" s="3" t="str">
        <f>+VLOOKUP(Sites_per_tag[[#This Row],[Activity_tag]],Parameter!$A$24:$B$32,2,0)</f>
        <v>SMP</v>
      </c>
      <c r="W356">
        <v>46.019134000000001</v>
      </c>
      <c r="X356">
        <v>-25.066734</v>
      </c>
    </row>
    <row r="357" spans="1:24" x14ac:dyDescent="0.35">
      <c r="A357" s="3" t="str">
        <f t="shared" si="5"/>
        <v>604030015SMP</v>
      </c>
      <c r="B357" t="s">
        <v>6211</v>
      </c>
      <c r="C357">
        <f>+VLOOKUP(Sites_per_tag[[#This Row],[Field_office]],Parameter!$A$3:$B$11,2,0)</f>
        <v>6</v>
      </c>
      <c r="E357" t="s">
        <v>5646</v>
      </c>
      <c r="F357" t="s">
        <v>5647</v>
      </c>
      <c r="H357" t="str">
        <f ca="1">PROPER(Sites_per_tag[[#This Row],[Adm2Name]])</f>
        <v>Ambovombe-Androy</v>
      </c>
      <c r="I357" t="s">
        <v>5655</v>
      </c>
      <c r="K357" t="s">
        <v>367</v>
      </c>
      <c r="L357" t="s">
        <v>5733</v>
      </c>
      <c r="Q357" t="s">
        <v>3599</v>
      </c>
      <c r="R357">
        <v>604030015</v>
      </c>
      <c r="T357" t="s">
        <v>7</v>
      </c>
      <c r="U357" s="3" t="str">
        <f>+VLOOKUP(Sites_per_tag[[#This Row],[Activity_tag]],Parameter!$A$24:$B$32,2,0)</f>
        <v>SMP</v>
      </c>
      <c r="W357">
        <v>45.946916000000002</v>
      </c>
      <c r="X357">
        <v>-24.976578</v>
      </c>
    </row>
    <row r="358" spans="1:24" x14ac:dyDescent="0.35">
      <c r="A358" s="3" t="str">
        <f t="shared" si="5"/>
        <v>604030016SMP</v>
      </c>
      <c r="B358" t="s">
        <v>6211</v>
      </c>
      <c r="C358">
        <f>+VLOOKUP(Sites_per_tag[[#This Row],[Field_office]],Parameter!$A$3:$B$11,2,0)</f>
        <v>6</v>
      </c>
      <c r="E358" t="s">
        <v>5646</v>
      </c>
      <c r="F358" t="s">
        <v>5647</v>
      </c>
      <c r="H358" t="str">
        <f ca="1">PROPER(Sites_per_tag[[#This Row],[Adm2Name]])</f>
        <v>Ambovombe-Androy</v>
      </c>
      <c r="I358" t="s">
        <v>5655</v>
      </c>
      <c r="K358" t="s">
        <v>367</v>
      </c>
      <c r="L358" t="s">
        <v>5733</v>
      </c>
      <c r="Q358" t="s">
        <v>501</v>
      </c>
      <c r="R358">
        <v>604030016</v>
      </c>
      <c r="T358" t="s">
        <v>7</v>
      </c>
      <c r="U358" s="3" t="str">
        <f>+VLOOKUP(Sites_per_tag[[#This Row],[Activity_tag]],Parameter!$A$24:$B$32,2,0)</f>
        <v>SMP</v>
      </c>
      <c r="W358">
        <v>45.997759000000002</v>
      </c>
      <c r="X358">
        <v>-25.080134000000001</v>
      </c>
    </row>
    <row r="359" spans="1:24" x14ac:dyDescent="0.35">
      <c r="A359" s="3" t="str">
        <f t="shared" si="5"/>
        <v>604030019SMP</v>
      </c>
      <c r="B359" t="s">
        <v>6211</v>
      </c>
      <c r="C359">
        <f>+VLOOKUP(Sites_per_tag[[#This Row],[Field_office]],Parameter!$A$3:$B$11,2,0)</f>
        <v>6</v>
      </c>
      <c r="E359" t="s">
        <v>5646</v>
      </c>
      <c r="F359" t="s">
        <v>5647</v>
      </c>
      <c r="H359" t="str">
        <f ca="1">PROPER(Sites_per_tag[[#This Row],[Adm2Name]])</f>
        <v>Ambovombe-Androy</v>
      </c>
      <c r="I359" t="s">
        <v>5655</v>
      </c>
      <c r="K359" t="s">
        <v>367</v>
      </c>
      <c r="L359" t="s">
        <v>5733</v>
      </c>
      <c r="Q359" t="s">
        <v>772</v>
      </c>
      <c r="R359">
        <v>604030019</v>
      </c>
      <c r="T359" t="s">
        <v>7</v>
      </c>
      <c r="U359" s="3" t="str">
        <f>+VLOOKUP(Sites_per_tag[[#This Row],[Activity_tag]],Parameter!$A$24:$B$32,2,0)</f>
        <v>SMP</v>
      </c>
      <c r="W359">
        <v>45.978200000000001</v>
      </c>
      <c r="X359">
        <v>-25.064447000000001</v>
      </c>
    </row>
    <row r="360" spans="1:24" x14ac:dyDescent="0.35">
      <c r="A360" s="3" t="str">
        <f t="shared" si="5"/>
        <v>604030025SMP</v>
      </c>
      <c r="B360" t="s">
        <v>6211</v>
      </c>
      <c r="C360">
        <f>+VLOOKUP(Sites_per_tag[[#This Row],[Field_office]],Parameter!$A$3:$B$11,2,0)</f>
        <v>6</v>
      </c>
      <c r="E360" t="s">
        <v>5646</v>
      </c>
      <c r="F360" t="s">
        <v>5647</v>
      </c>
      <c r="H360" t="str">
        <f ca="1">PROPER(Sites_per_tag[[#This Row],[Adm2Name]])</f>
        <v>Ambovombe-Androy</v>
      </c>
      <c r="I360" t="s">
        <v>5655</v>
      </c>
      <c r="K360" t="s">
        <v>367</v>
      </c>
      <c r="L360" t="s">
        <v>5733</v>
      </c>
      <c r="Q360" t="s">
        <v>1234</v>
      </c>
      <c r="R360">
        <v>604030025</v>
      </c>
      <c r="T360" t="s">
        <v>7</v>
      </c>
      <c r="U360" s="3" t="str">
        <f>+VLOOKUP(Sites_per_tag[[#This Row],[Activity_tag]],Parameter!$A$24:$B$32,2,0)</f>
        <v>SMP</v>
      </c>
      <c r="W360">
        <v>46.025869999999998</v>
      </c>
      <c r="X360">
        <v>-25.063680000000002</v>
      </c>
    </row>
    <row r="361" spans="1:24" x14ac:dyDescent="0.35">
      <c r="A361" s="3" t="str">
        <f t="shared" si="5"/>
        <v>604030028SMP</v>
      </c>
      <c r="B361" t="s">
        <v>6211</v>
      </c>
      <c r="C361">
        <f>+VLOOKUP(Sites_per_tag[[#This Row],[Field_office]],Parameter!$A$3:$B$11,2,0)</f>
        <v>6</v>
      </c>
      <c r="E361" t="s">
        <v>5646</v>
      </c>
      <c r="F361" t="s">
        <v>5647</v>
      </c>
      <c r="H361" t="str">
        <f ca="1">PROPER(Sites_per_tag[[#This Row],[Adm2Name]])</f>
        <v>Ambovombe-Androy</v>
      </c>
      <c r="I361" t="s">
        <v>5655</v>
      </c>
      <c r="K361" t="s">
        <v>367</v>
      </c>
      <c r="L361" t="s">
        <v>5733</v>
      </c>
      <c r="Q361" t="s">
        <v>781</v>
      </c>
      <c r="R361">
        <v>604030028</v>
      </c>
      <c r="T361" t="s">
        <v>7</v>
      </c>
      <c r="U361" s="3" t="str">
        <f>+VLOOKUP(Sites_per_tag[[#This Row],[Activity_tag]],Parameter!$A$24:$B$32,2,0)</f>
        <v>SMP</v>
      </c>
      <c r="W361">
        <v>46.025869999999998</v>
      </c>
      <c r="X361">
        <v>-25.063680000000002</v>
      </c>
    </row>
    <row r="362" spans="1:24" x14ac:dyDescent="0.35">
      <c r="A362" s="3" t="str">
        <f t="shared" si="5"/>
        <v>604040001SMP</v>
      </c>
      <c r="B362" t="s">
        <v>6211</v>
      </c>
      <c r="C362">
        <f>+VLOOKUP(Sites_per_tag[[#This Row],[Field_office]],Parameter!$A$3:$B$11,2,0)</f>
        <v>6</v>
      </c>
      <c r="E362" t="s">
        <v>5646</v>
      </c>
      <c r="F362" t="s">
        <v>5647</v>
      </c>
      <c r="H362" t="str">
        <f ca="1">PROPER(Sites_per_tag[[#This Row],[Adm2Name]])</f>
        <v>Ambovombe-Androy</v>
      </c>
      <c r="I362" t="s">
        <v>5655</v>
      </c>
      <c r="K362" t="s">
        <v>412</v>
      </c>
      <c r="L362" t="s">
        <v>5744</v>
      </c>
      <c r="Q362" t="s">
        <v>397</v>
      </c>
      <c r="R362">
        <v>604040001</v>
      </c>
      <c r="T362" t="s">
        <v>7</v>
      </c>
      <c r="U362" s="3" t="str">
        <f>+VLOOKUP(Sites_per_tag[[#This Row],[Activity_tag]],Parameter!$A$24:$B$32,2,0)</f>
        <v>SMP</v>
      </c>
      <c r="W362">
        <v>45.919462000000003</v>
      </c>
      <c r="X362">
        <v>-25.267246</v>
      </c>
    </row>
    <row r="363" spans="1:24" x14ac:dyDescent="0.35">
      <c r="A363" s="3" t="str">
        <f t="shared" si="5"/>
        <v>604040002SMP</v>
      </c>
      <c r="B363" t="s">
        <v>6211</v>
      </c>
      <c r="C363">
        <f>+VLOOKUP(Sites_per_tag[[#This Row],[Field_office]],Parameter!$A$3:$B$11,2,0)</f>
        <v>6</v>
      </c>
      <c r="E363" t="s">
        <v>5646</v>
      </c>
      <c r="F363" t="s">
        <v>5647</v>
      </c>
      <c r="H363" t="str">
        <f ca="1">PROPER(Sites_per_tag[[#This Row],[Adm2Name]])</f>
        <v>Ambovombe-Androy</v>
      </c>
      <c r="I363" t="s">
        <v>5655</v>
      </c>
      <c r="K363" t="s">
        <v>412</v>
      </c>
      <c r="L363" t="s">
        <v>5744</v>
      </c>
      <c r="Q363" t="s">
        <v>5743</v>
      </c>
      <c r="R363">
        <v>604040002</v>
      </c>
      <c r="T363" t="s">
        <v>7</v>
      </c>
      <c r="U363" s="3" t="str">
        <f>+VLOOKUP(Sites_per_tag[[#This Row],[Activity_tag]],Parameter!$A$24:$B$32,2,0)</f>
        <v>SMP</v>
      </c>
      <c r="W363">
        <v>45.928567000000001</v>
      </c>
      <c r="X363">
        <v>-25.226794000000002</v>
      </c>
    </row>
    <row r="364" spans="1:24" x14ac:dyDescent="0.35">
      <c r="A364" s="3" t="str">
        <f t="shared" si="5"/>
        <v>604040007SMP</v>
      </c>
      <c r="B364" t="s">
        <v>6211</v>
      </c>
      <c r="C364">
        <f>+VLOOKUP(Sites_per_tag[[#This Row],[Field_office]],Parameter!$A$3:$B$11,2,0)</f>
        <v>6</v>
      </c>
      <c r="E364" t="s">
        <v>5646</v>
      </c>
      <c r="F364" t="s">
        <v>5647</v>
      </c>
      <c r="H364" t="str">
        <f ca="1">PROPER(Sites_per_tag[[#This Row],[Adm2Name]])</f>
        <v>Ambovombe-Androy</v>
      </c>
      <c r="I364" t="s">
        <v>5655</v>
      </c>
      <c r="K364" t="s">
        <v>412</v>
      </c>
      <c r="L364" t="s">
        <v>5744</v>
      </c>
      <c r="Q364" t="s">
        <v>6234</v>
      </c>
      <c r="R364">
        <v>604040007</v>
      </c>
      <c r="T364" t="s">
        <v>7</v>
      </c>
      <c r="U364" s="3" t="str">
        <f>+VLOOKUP(Sites_per_tag[[#This Row],[Activity_tag]],Parameter!$A$24:$B$32,2,0)</f>
        <v>SMP</v>
      </c>
      <c r="W364">
        <v>45.933542000000003</v>
      </c>
      <c r="X364">
        <v>-25.253032999999999</v>
      </c>
    </row>
    <row r="365" spans="1:24" x14ac:dyDescent="0.35">
      <c r="A365" s="3" t="str">
        <f t="shared" si="5"/>
        <v>604040008SMP</v>
      </c>
      <c r="B365" t="s">
        <v>6211</v>
      </c>
      <c r="C365">
        <f>+VLOOKUP(Sites_per_tag[[#This Row],[Field_office]],Parameter!$A$3:$B$11,2,0)</f>
        <v>6</v>
      </c>
      <c r="E365" t="s">
        <v>5646</v>
      </c>
      <c r="F365" t="s">
        <v>5647</v>
      </c>
      <c r="H365" t="str">
        <f ca="1">PROPER(Sites_per_tag[[#This Row],[Adm2Name]])</f>
        <v>Ambovombe-Androy</v>
      </c>
      <c r="I365" t="s">
        <v>5655</v>
      </c>
      <c r="K365" t="s">
        <v>412</v>
      </c>
      <c r="L365" t="s">
        <v>5744</v>
      </c>
      <c r="Q365" t="s">
        <v>3042</v>
      </c>
      <c r="R365">
        <v>604040008</v>
      </c>
      <c r="T365" t="s">
        <v>7</v>
      </c>
      <c r="U365" s="3" t="str">
        <f>+VLOOKUP(Sites_per_tag[[#This Row],[Activity_tag]],Parameter!$A$24:$B$32,2,0)</f>
        <v>SMP</v>
      </c>
      <c r="W365">
        <v>45.964308000000003</v>
      </c>
      <c r="X365">
        <v>-25.228225999999999</v>
      </c>
    </row>
    <row r="366" spans="1:24" x14ac:dyDescent="0.35">
      <c r="A366" s="3" t="str">
        <f t="shared" si="5"/>
        <v>604040009SMP</v>
      </c>
      <c r="B366" t="s">
        <v>6211</v>
      </c>
      <c r="C366">
        <f>+VLOOKUP(Sites_per_tag[[#This Row],[Field_office]],Parameter!$A$3:$B$11,2,0)</f>
        <v>6</v>
      </c>
      <c r="E366" t="s">
        <v>5646</v>
      </c>
      <c r="F366" t="s">
        <v>5647</v>
      </c>
      <c r="H366" t="str">
        <f ca="1">PROPER(Sites_per_tag[[#This Row],[Adm2Name]])</f>
        <v>Ambovombe-Androy</v>
      </c>
      <c r="I366" t="s">
        <v>5655</v>
      </c>
      <c r="K366" t="s">
        <v>412</v>
      </c>
      <c r="L366" t="s">
        <v>5744</v>
      </c>
      <c r="Q366" t="s">
        <v>3276</v>
      </c>
      <c r="R366">
        <v>604040009</v>
      </c>
      <c r="T366" t="s">
        <v>7</v>
      </c>
      <c r="U366" s="3" t="str">
        <f>+VLOOKUP(Sites_per_tag[[#This Row],[Activity_tag]],Parameter!$A$24:$B$32,2,0)</f>
        <v>SMP</v>
      </c>
      <c r="W366">
        <v>45.959048000000003</v>
      </c>
      <c r="X366">
        <v>-25.243884000000001</v>
      </c>
    </row>
    <row r="367" spans="1:24" x14ac:dyDescent="0.35">
      <c r="A367" s="3" t="str">
        <f t="shared" si="5"/>
        <v>604040016SMP</v>
      </c>
      <c r="B367" t="s">
        <v>6211</v>
      </c>
      <c r="C367">
        <f>+VLOOKUP(Sites_per_tag[[#This Row],[Field_office]],Parameter!$A$3:$B$11,2,0)</f>
        <v>6</v>
      </c>
      <c r="E367" t="s">
        <v>5646</v>
      </c>
      <c r="F367" t="s">
        <v>5647</v>
      </c>
      <c r="H367" t="str">
        <f ca="1">PROPER(Sites_per_tag[[#This Row],[Adm2Name]])</f>
        <v>Ambovombe-Androy</v>
      </c>
      <c r="I367" t="s">
        <v>5655</v>
      </c>
      <c r="K367" t="s">
        <v>412</v>
      </c>
      <c r="L367" t="s">
        <v>5744</v>
      </c>
      <c r="Q367" t="s">
        <v>1684</v>
      </c>
      <c r="R367">
        <v>604040016</v>
      </c>
      <c r="T367" t="s">
        <v>7</v>
      </c>
      <c r="U367" s="3" t="str">
        <f>+VLOOKUP(Sites_per_tag[[#This Row],[Activity_tag]],Parameter!$A$24:$B$32,2,0)</f>
        <v>SMP</v>
      </c>
      <c r="W367">
        <v>45.944319999999998</v>
      </c>
      <c r="X367">
        <v>-25.260079999999999</v>
      </c>
    </row>
    <row r="368" spans="1:24" x14ac:dyDescent="0.35">
      <c r="A368" s="3" t="str">
        <f t="shared" si="5"/>
        <v>604050002SMP</v>
      </c>
      <c r="B368" t="s">
        <v>6211</v>
      </c>
      <c r="C368">
        <f>+VLOOKUP(Sites_per_tag[[#This Row],[Field_office]],Parameter!$A$3:$B$11,2,0)</f>
        <v>6</v>
      </c>
      <c r="E368" t="s">
        <v>5646</v>
      </c>
      <c r="F368" t="s">
        <v>5647</v>
      </c>
      <c r="H368" t="str">
        <f ca="1">PROPER(Sites_per_tag[[#This Row],[Adm2Name]])</f>
        <v>Ambovombe-Androy</v>
      </c>
      <c r="I368" t="s">
        <v>5655</v>
      </c>
      <c r="K368" t="s">
        <v>418</v>
      </c>
      <c r="L368" t="s">
        <v>5745</v>
      </c>
      <c r="Q368" t="s">
        <v>531</v>
      </c>
      <c r="R368">
        <v>604050002</v>
      </c>
      <c r="T368" t="s">
        <v>7</v>
      </c>
      <c r="U368" s="3" t="str">
        <f>+VLOOKUP(Sites_per_tag[[#This Row],[Activity_tag]],Parameter!$A$24:$B$32,2,0)</f>
        <v>SMP</v>
      </c>
      <c r="W368">
        <v>45.853167999999997</v>
      </c>
      <c r="X368">
        <v>-25.292966</v>
      </c>
    </row>
    <row r="369" spans="1:24" x14ac:dyDescent="0.35">
      <c r="A369" s="3" t="str">
        <f t="shared" si="5"/>
        <v>604050003SMP</v>
      </c>
      <c r="B369" t="s">
        <v>6211</v>
      </c>
      <c r="C369">
        <f>+VLOOKUP(Sites_per_tag[[#This Row],[Field_office]],Parameter!$A$3:$B$11,2,0)</f>
        <v>6</v>
      </c>
      <c r="E369" t="s">
        <v>5646</v>
      </c>
      <c r="F369" t="s">
        <v>5647</v>
      </c>
      <c r="H369" t="str">
        <f ca="1">PROPER(Sites_per_tag[[#This Row],[Adm2Name]])</f>
        <v>Ambovombe-Androy</v>
      </c>
      <c r="I369" t="s">
        <v>5655</v>
      </c>
      <c r="K369" t="s">
        <v>418</v>
      </c>
      <c r="L369" t="s">
        <v>5745</v>
      </c>
      <c r="Q369" t="s">
        <v>421</v>
      </c>
      <c r="R369">
        <v>604050003</v>
      </c>
      <c r="T369" t="s">
        <v>7</v>
      </c>
      <c r="U369" s="3" t="str">
        <f>+VLOOKUP(Sites_per_tag[[#This Row],[Activity_tag]],Parameter!$A$24:$B$32,2,0)</f>
        <v>SMP</v>
      </c>
      <c r="W369">
        <v>45.822955999999998</v>
      </c>
      <c r="X369">
        <v>-25.216138999999998</v>
      </c>
    </row>
    <row r="370" spans="1:24" x14ac:dyDescent="0.35">
      <c r="A370" s="3" t="str">
        <f t="shared" si="5"/>
        <v>604050005SMP</v>
      </c>
      <c r="B370" t="s">
        <v>6211</v>
      </c>
      <c r="C370">
        <f>+VLOOKUP(Sites_per_tag[[#This Row],[Field_office]],Parameter!$A$3:$B$11,2,0)</f>
        <v>6</v>
      </c>
      <c r="E370" t="s">
        <v>5646</v>
      </c>
      <c r="F370" t="s">
        <v>5647</v>
      </c>
      <c r="H370" t="str">
        <f ca="1">PROPER(Sites_per_tag[[#This Row],[Adm2Name]])</f>
        <v>Ambovombe-Androy</v>
      </c>
      <c r="I370" t="s">
        <v>5655</v>
      </c>
      <c r="K370" t="s">
        <v>418</v>
      </c>
      <c r="L370" t="s">
        <v>5745</v>
      </c>
      <c r="Q370" t="s">
        <v>748</v>
      </c>
      <c r="R370">
        <v>604050005</v>
      </c>
      <c r="T370" t="s">
        <v>7</v>
      </c>
      <c r="U370" s="3" t="str">
        <f>+VLOOKUP(Sites_per_tag[[#This Row],[Activity_tag]],Parameter!$A$24:$B$32,2,0)</f>
        <v>SMP</v>
      </c>
      <c r="W370">
        <v>45.800721000000003</v>
      </c>
      <c r="X370">
        <v>-25.232696000000001</v>
      </c>
    </row>
    <row r="371" spans="1:24" x14ac:dyDescent="0.35">
      <c r="A371" s="3" t="str">
        <f t="shared" si="5"/>
        <v>604050007SMP</v>
      </c>
      <c r="B371" t="s">
        <v>6211</v>
      </c>
      <c r="C371">
        <f>+VLOOKUP(Sites_per_tag[[#This Row],[Field_office]],Parameter!$A$3:$B$11,2,0)</f>
        <v>6</v>
      </c>
      <c r="E371" t="s">
        <v>5646</v>
      </c>
      <c r="F371" t="s">
        <v>5647</v>
      </c>
      <c r="H371" t="str">
        <f ca="1">PROPER(Sites_per_tag[[#This Row],[Adm2Name]])</f>
        <v>Ambovombe-Androy</v>
      </c>
      <c r="I371" t="s">
        <v>5655</v>
      </c>
      <c r="K371" t="s">
        <v>418</v>
      </c>
      <c r="L371" t="s">
        <v>5745</v>
      </c>
      <c r="Q371" t="s">
        <v>1172</v>
      </c>
      <c r="R371">
        <v>604050007</v>
      </c>
      <c r="T371" t="s">
        <v>7</v>
      </c>
      <c r="U371" s="3" t="str">
        <f>+VLOOKUP(Sites_per_tag[[#This Row],[Activity_tag]],Parameter!$A$24:$B$32,2,0)</f>
        <v>SMP</v>
      </c>
      <c r="W371">
        <v>45.867728</v>
      </c>
      <c r="X371">
        <v>-25.284141000000002</v>
      </c>
    </row>
    <row r="372" spans="1:24" x14ac:dyDescent="0.35">
      <c r="A372" s="3" t="str">
        <f t="shared" si="5"/>
        <v>604050010SMP</v>
      </c>
      <c r="B372" t="s">
        <v>6211</v>
      </c>
      <c r="C372">
        <f>+VLOOKUP(Sites_per_tag[[#This Row],[Field_office]],Parameter!$A$3:$B$11,2,0)</f>
        <v>6</v>
      </c>
      <c r="E372" t="s">
        <v>5646</v>
      </c>
      <c r="F372" t="s">
        <v>5647</v>
      </c>
      <c r="H372" t="str">
        <f ca="1">PROPER(Sites_per_tag[[#This Row],[Adm2Name]])</f>
        <v>Ambovombe-Androy</v>
      </c>
      <c r="I372" t="s">
        <v>5655</v>
      </c>
      <c r="K372" t="s">
        <v>418</v>
      </c>
      <c r="L372" t="s">
        <v>5745</v>
      </c>
      <c r="Q372" t="s">
        <v>1631</v>
      </c>
      <c r="R372">
        <v>604050010</v>
      </c>
      <c r="T372" t="s">
        <v>7</v>
      </c>
      <c r="U372" s="3" t="str">
        <f>+VLOOKUP(Sites_per_tag[[#This Row],[Activity_tag]],Parameter!$A$24:$B$32,2,0)</f>
        <v>SMP</v>
      </c>
      <c r="W372">
        <v>45.876595999999999</v>
      </c>
      <c r="X372">
        <v>-25.278283999999999</v>
      </c>
    </row>
    <row r="373" spans="1:24" x14ac:dyDescent="0.35">
      <c r="A373" s="3" t="str">
        <f t="shared" si="5"/>
        <v>604050011SMP</v>
      </c>
      <c r="B373" t="s">
        <v>6211</v>
      </c>
      <c r="C373">
        <f>+VLOOKUP(Sites_per_tag[[#This Row],[Field_office]],Parameter!$A$3:$B$11,2,0)</f>
        <v>6</v>
      </c>
      <c r="E373" t="s">
        <v>5646</v>
      </c>
      <c r="F373" t="s">
        <v>5647</v>
      </c>
      <c r="H373" t="str">
        <f ca="1">PROPER(Sites_per_tag[[#This Row],[Adm2Name]])</f>
        <v>Ambovombe-Androy</v>
      </c>
      <c r="I373" t="s">
        <v>5655</v>
      </c>
      <c r="K373" t="s">
        <v>418</v>
      </c>
      <c r="L373" t="s">
        <v>5745</v>
      </c>
      <c r="Q373" t="s">
        <v>2672</v>
      </c>
      <c r="R373">
        <v>604050011</v>
      </c>
      <c r="T373" t="s">
        <v>7</v>
      </c>
      <c r="U373" s="3" t="str">
        <f>+VLOOKUP(Sites_per_tag[[#This Row],[Activity_tag]],Parameter!$A$24:$B$32,2,0)</f>
        <v>SMP</v>
      </c>
      <c r="W373">
        <v>45.816138000000002</v>
      </c>
      <c r="X373">
        <v>-25.249343</v>
      </c>
    </row>
    <row r="374" spans="1:24" x14ac:dyDescent="0.35">
      <c r="A374" s="3" t="str">
        <f t="shared" si="5"/>
        <v>604050012SMP</v>
      </c>
      <c r="B374" t="s">
        <v>6211</v>
      </c>
      <c r="C374">
        <f>+VLOOKUP(Sites_per_tag[[#This Row],[Field_office]],Parameter!$A$3:$B$11,2,0)</f>
        <v>6</v>
      </c>
      <c r="E374" t="s">
        <v>5646</v>
      </c>
      <c r="F374" t="s">
        <v>5647</v>
      </c>
      <c r="H374" t="str">
        <f ca="1">PROPER(Sites_per_tag[[#This Row],[Adm2Name]])</f>
        <v>Ambovombe-Androy</v>
      </c>
      <c r="I374" t="s">
        <v>5655</v>
      </c>
      <c r="K374" t="s">
        <v>418</v>
      </c>
      <c r="L374" t="s">
        <v>5745</v>
      </c>
      <c r="Q374" t="s">
        <v>6235</v>
      </c>
      <c r="R374">
        <v>604050012</v>
      </c>
      <c r="T374" t="s">
        <v>7</v>
      </c>
      <c r="U374" s="3" t="str">
        <f>+VLOOKUP(Sites_per_tag[[#This Row],[Activity_tag]],Parameter!$A$24:$B$32,2,0)</f>
        <v>SMP</v>
      </c>
      <c r="W374">
        <v>45.844192999999997</v>
      </c>
      <c r="X374">
        <v>-25.314821999999999</v>
      </c>
    </row>
    <row r="375" spans="1:24" x14ac:dyDescent="0.35">
      <c r="A375" s="3" t="str">
        <f t="shared" si="5"/>
        <v>604050013SMP</v>
      </c>
      <c r="B375" t="s">
        <v>6211</v>
      </c>
      <c r="C375">
        <f>+VLOOKUP(Sites_per_tag[[#This Row],[Field_office]],Parameter!$A$3:$B$11,2,0)</f>
        <v>6</v>
      </c>
      <c r="E375" t="s">
        <v>5646</v>
      </c>
      <c r="F375" t="s">
        <v>5647</v>
      </c>
      <c r="H375" t="str">
        <f ca="1">PROPER(Sites_per_tag[[#This Row],[Adm2Name]])</f>
        <v>Ambovombe-Androy</v>
      </c>
      <c r="I375" t="s">
        <v>5655</v>
      </c>
      <c r="K375" t="s">
        <v>418</v>
      </c>
      <c r="L375" t="s">
        <v>5745</v>
      </c>
      <c r="Q375" t="s">
        <v>3216</v>
      </c>
      <c r="R375">
        <v>604050013</v>
      </c>
      <c r="T375" t="s">
        <v>7</v>
      </c>
      <c r="U375" s="3" t="str">
        <f>+VLOOKUP(Sites_per_tag[[#This Row],[Activity_tag]],Parameter!$A$24:$B$32,2,0)</f>
        <v>SMP</v>
      </c>
      <c r="W375">
        <v>45.835234999999997</v>
      </c>
      <c r="X375">
        <v>-25.250420999999999</v>
      </c>
    </row>
    <row r="376" spans="1:24" x14ac:dyDescent="0.35">
      <c r="A376" s="3" t="str">
        <f t="shared" si="5"/>
        <v>604050014SMP</v>
      </c>
      <c r="B376" t="s">
        <v>6211</v>
      </c>
      <c r="C376">
        <f>+VLOOKUP(Sites_per_tag[[#This Row],[Field_office]],Parameter!$A$3:$B$11,2,0)</f>
        <v>6</v>
      </c>
      <c r="E376" t="s">
        <v>5646</v>
      </c>
      <c r="F376" t="s">
        <v>5647</v>
      </c>
      <c r="H376" t="str">
        <f ca="1">PROPER(Sites_per_tag[[#This Row],[Adm2Name]])</f>
        <v>Ambovombe-Androy</v>
      </c>
      <c r="I376" t="s">
        <v>5655</v>
      </c>
      <c r="K376" t="s">
        <v>418</v>
      </c>
      <c r="L376" t="s">
        <v>5745</v>
      </c>
      <c r="Q376" t="s">
        <v>3798</v>
      </c>
      <c r="R376">
        <v>604050014</v>
      </c>
      <c r="T376" t="s">
        <v>7</v>
      </c>
      <c r="U376" s="3" t="str">
        <f>+VLOOKUP(Sites_per_tag[[#This Row],[Activity_tag]],Parameter!$A$24:$B$32,2,0)</f>
        <v>SMP</v>
      </c>
      <c r="W376">
        <v>45.866658999999999</v>
      </c>
      <c r="X376">
        <v>-25.229178999999998</v>
      </c>
    </row>
    <row r="377" spans="1:24" x14ac:dyDescent="0.35">
      <c r="A377" s="3" t="str">
        <f t="shared" si="5"/>
        <v>604050015SMP</v>
      </c>
      <c r="B377" t="s">
        <v>6211</v>
      </c>
      <c r="C377">
        <f>+VLOOKUP(Sites_per_tag[[#This Row],[Field_office]],Parameter!$A$3:$B$11,2,0)</f>
        <v>6</v>
      </c>
      <c r="E377" t="s">
        <v>5646</v>
      </c>
      <c r="F377" t="s">
        <v>5647</v>
      </c>
      <c r="H377" t="str">
        <f ca="1">PROPER(Sites_per_tag[[#This Row],[Adm2Name]])</f>
        <v>Ambovombe-Androy</v>
      </c>
      <c r="I377" t="s">
        <v>5655</v>
      </c>
      <c r="K377" t="s">
        <v>418</v>
      </c>
      <c r="L377" t="s">
        <v>5745</v>
      </c>
      <c r="Q377" t="s">
        <v>3868</v>
      </c>
      <c r="R377">
        <v>604050015</v>
      </c>
      <c r="T377" t="s">
        <v>7</v>
      </c>
      <c r="U377" s="3" t="str">
        <f>+VLOOKUP(Sites_per_tag[[#This Row],[Activity_tag]],Parameter!$A$24:$B$32,2,0)</f>
        <v>SMP</v>
      </c>
      <c r="W377">
        <v>45.876271000000003</v>
      </c>
      <c r="X377">
        <v>-25.267785</v>
      </c>
    </row>
    <row r="378" spans="1:24" x14ac:dyDescent="0.35">
      <c r="A378" s="3" t="str">
        <f t="shared" si="5"/>
        <v>604050017SMP</v>
      </c>
      <c r="B378" t="s">
        <v>6211</v>
      </c>
      <c r="C378">
        <f>+VLOOKUP(Sites_per_tag[[#This Row],[Field_office]],Parameter!$A$3:$B$11,2,0)</f>
        <v>6</v>
      </c>
      <c r="E378" t="s">
        <v>5646</v>
      </c>
      <c r="F378" t="s">
        <v>5647</v>
      </c>
      <c r="H378" t="str">
        <f ca="1">PROPER(Sites_per_tag[[#This Row],[Adm2Name]])</f>
        <v>Ambovombe-Androy</v>
      </c>
      <c r="I378" t="s">
        <v>5655</v>
      </c>
      <c r="K378" t="s">
        <v>418</v>
      </c>
      <c r="L378" t="s">
        <v>5745</v>
      </c>
      <c r="Q378" t="s">
        <v>1894</v>
      </c>
      <c r="R378">
        <v>604050017</v>
      </c>
      <c r="T378" t="s">
        <v>7</v>
      </c>
      <c r="U378" s="3" t="str">
        <f>+VLOOKUP(Sites_per_tag[[#This Row],[Activity_tag]],Parameter!$A$24:$B$32,2,0)</f>
        <v>SMP</v>
      </c>
      <c r="W378">
        <v>45.908515000000001</v>
      </c>
      <c r="X378">
        <v>-25.279788</v>
      </c>
    </row>
    <row r="379" spans="1:24" x14ac:dyDescent="0.35">
      <c r="A379" s="3" t="str">
        <f t="shared" si="5"/>
        <v>604050022SMP</v>
      </c>
      <c r="B379" t="s">
        <v>6211</v>
      </c>
      <c r="C379">
        <f>+VLOOKUP(Sites_per_tag[[#This Row],[Field_office]],Parameter!$A$3:$B$11,2,0)</f>
        <v>6</v>
      </c>
      <c r="E379" t="s">
        <v>5646</v>
      </c>
      <c r="F379" t="s">
        <v>5647</v>
      </c>
      <c r="H379" t="str">
        <f ca="1">PROPER(Sites_per_tag[[#This Row],[Adm2Name]])</f>
        <v>Ambovombe-Androy</v>
      </c>
      <c r="I379" t="s">
        <v>5655</v>
      </c>
      <c r="K379" t="s">
        <v>418</v>
      </c>
      <c r="L379" t="s">
        <v>5745</v>
      </c>
      <c r="Q379" t="s">
        <v>2594</v>
      </c>
      <c r="R379">
        <v>604050022</v>
      </c>
      <c r="T379" t="s">
        <v>7</v>
      </c>
      <c r="U379" s="3" t="str">
        <f>+VLOOKUP(Sites_per_tag[[#This Row],[Activity_tag]],Parameter!$A$24:$B$32,2,0)</f>
        <v>SMP</v>
      </c>
      <c r="W379">
        <v>45.859949999999998</v>
      </c>
      <c r="X379">
        <v>-25.273779999999999</v>
      </c>
    </row>
    <row r="380" spans="1:24" x14ac:dyDescent="0.35">
      <c r="A380" s="3" t="str">
        <f t="shared" si="5"/>
        <v>604050037SMP</v>
      </c>
      <c r="B380" t="s">
        <v>6211</v>
      </c>
      <c r="C380">
        <f>+VLOOKUP(Sites_per_tag[[#This Row],[Field_office]],Parameter!$A$3:$B$11,2,0)</f>
        <v>6</v>
      </c>
      <c r="E380" t="s">
        <v>5646</v>
      </c>
      <c r="F380" t="s">
        <v>5647</v>
      </c>
      <c r="H380" t="str">
        <f ca="1">PROPER(Sites_per_tag[[#This Row],[Adm2Name]])</f>
        <v>Ambovombe-Androy</v>
      </c>
      <c r="I380" t="s">
        <v>5655</v>
      </c>
      <c r="K380" t="s">
        <v>418</v>
      </c>
      <c r="L380" t="s">
        <v>5745</v>
      </c>
      <c r="Q380" t="s">
        <v>2673</v>
      </c>
      <c r="R380">
        <v>604050037</v>
      </c>
      <c r="T380" t="s">
        <v>7</v>
      </c>
      <c r="U380" s="3" t="str">
        <f>+VLOOKUP(Sites_per_tag[[#This Row],[Activity_tag]],Parameter!$A$24:$B$32,2,0)</f>
        <v>SMP</v>
      </c>
      <c r="W380">
        <v>45.858111000000001</v>
      </c>
      <c r="X380">
        <v>-25.310479000000001</v>
      </c>
    </row>
    <row r="381" spans="1:24" x14ac:dyDescent="0.35">
      <c r="A381" s="3" t="str">
        <f t="shared" si="5"/>
        <v>604060001SMP</v>
      </c>
      <c r="B381" t="s">
        <v>6211</v>
      </c>
      <c r="C381">
        <f>+VLOOKUP(Sites_per_tag[[#This Row],[Field_office]],Parameter!$A$3:$B$11,2,0)</f>
        <v>6</v>
      </c>
      <c r="E381" t="s">
        <v>5646</v>
      </c>
      <c r="F381" t="s">
        <v>5647</v>
      </c>
      <c r="H381" t="str">
        <f ca="1">PROPER(Sites_per_tag[[#This Row],[Adm2Name]])</f>
        <v>Ambovombe-Androy</v>
      </c>
      <c r="I381" t="s">
        <v>5655</v>
      </c>
      <c r="K381" t="s">
        <v>6211</v>
      </c>
      <c r="L381" t="s">
        <v>5756</v>
      </c>
      <c r="Q381" t="s">
        <v>292</v>
      </c>
      <c r="R381">
        <v>604060001</v>
      </c>
      <c r="T381" t="s">
        <v>7</v>
      </c>
      <c r="U381" s="3" t="str">
        <f>+VLOOKUP(Sites_per_tag[[#This Row],[Activity_tag]],Parameter!$A$24:$B$32,2,0)</f>
        <v>SMP</v>
      </c>
      <c r="W381">
        <v>46.048929999999999</v>
      </c>
      <c r="X381">
        <v>-25.24278</v>
      </c>
    </row>
    <row r="382" spans="1:24" x14ac:dyDescent="0.35">
      <c r="A382" s="3" t="str">
        <f t="shared" si="5"/>
        <v>604060002SMP</v>
      </c>
      <c r="B382" t="s">
        <v>6211</v>
      </c>
      <c r="C382">
        <f>+VLOOKUP(Sites_per_tag[[#This Row],[Field_office]],Parameter!$A$3:$B$11,2,0)</f>
        <v>6</v>
      </c>
      <c r="E382" t="s">
        <v>5646</v>
      </c>
      <c r="F382" t="s">
        <v>5647</v>
      </c>
      <c r="H382" t="str">
        <f ca="1">PROPER(Sites_per_tag[[#This Row],[Adm2Name]])</f>
        <v>Ambovombe-Androy</v>
      </c>
      <c r="I382" t="s">
        <v>5655</v>
      </c>
      <c r="K382" t="s">
        <v>6211</v>
      </c>
      <c r="L382" t="s">
        <v>5756</v>
      </c>
      <c r="Q382" t="s">
        <v>337</v>
      </c>
      <c r="R382">
        <v>604060002</v>
      </c>
      <c r="T382" t="s">
        <v>7</v>
      </c>
      <c r="U382" s="3" t="str">
        <f>+VLOOKUP(Sites_per_tag[[#This Row],[Activity_tag]],Parameter!$A$24:$B$32,2,0)</f>
        <v>SMP</v>
      </c>
      <c r="W382">
        <v>46.134652000000003</v>
      </c>
      <c r="X382">
        <v>-25.191065999999999</v>
      </c>
    </row>
    <row r="383" spans="1:24" x14ac:dyDescent="0.35">
      <c r="A383" s="3" t="str">
        <f t="shared" si="5"/>
        <v>604060003SMP</v>
      </c>
      <c r="B383" t="s">
        <v>6211</v>
      </c>
      <c r="C383">
        <f>+VLOOKUP(Sites_per_tag[[#This Row],[Field_office]],Parameter!$A$3:$B$11,2,0)</f>
        <v>6</v>
      </c>
      <c r="E383" t="s">
        <v>5646</v>
      </c>
      <c r="F383" t="s">
        <v>5647</v>
      </c>
      <c r="H383" t="str">
        <f ca="1">PROPER(Sites_per_tag[[#This Row],[Adm2Name]])</f>
        <v>Ambovombe-Androy</v>
      </c>
      <c r="I383" t="s">
        <v>5655</v>
      </c>
      <c r="K383" t="s">
        <v>6211</v>
      </c>
      <c r="L383" t="s">
        <v>5756</v>
      </c>
      <c r="Q383" t="s">
        <v>6236</v>
      </c>
      <c r="R383">
        <v>604060003</v>
      </c>
      <c r="T383" t="s">
        <v>7</v>
      </c>
      <c r="U383" s="3" t="str">
        <f>+VLOOKUP(Sites_per_tag[[#This Row],[Activity_tag]],Parameter!$A$24:$B$32,2,0)</f>
        <v>SMP</v>
      </c>
      <c r="W383">
        <v>46.140324</v>
      </c>
      <c r="X383">
        <v>-25.176328999999999</v>
      </c>
    </row>
    <row r="384" spans="1:24" x14ac:dyDescent="0.35">
      <c r="A384" s="3" t="str">
        <f t="shared" si="5"/>
        <v>604060007SMP</v>
      </c>
      <c r="B384" t="s">
        <v>6211</v>
      </c>
      <c r="C384">
        <f>+VLOOKUP(Sites_per_tag[[#This Row],[Field_office]],Parameter!$A$3:$B$11,2,0)</f>
        <v>6</v>
      </c>
      <c r="E384" t="s">
        <v>5646</v>
      </c>
      <c r="F384" t="s">
        <v>5647</v>
      </c>
      <c r="H384" t="str">
        <f ca="1">PROPER(Sites_per_tag[[#This Row],[Adm2Name]])</f>
        <v>Ambovombe-Androy</v>
      </c>
      <c r="I384" t="s">
        <v>5655</v>
      </c>
      <c r="K384" t="s">
        <v>6211</v>
      </c>
      <c r="L384" t="s">
        <v>5756</v>
      </c>
      <c r="Q384" t="s">
        <v>1119</v>
      </c>
      <c r="R384">
        <v>604060007</v>
      </c>
      <c r="T384" t="s">
        <v>7</v>
      </c>
      <c r="U384" s="3" t="str">
        <f>+VLOOKUP(Sites_per_tag[[#This Row],[Activity_tag]],Parameter!$A$24:$B$32,2,0)</f>
        <v>SMP</v>
      </c>
      <c r="W384">
        <v>46.06662</v>
      </c>
      <c r="X384">
        <v>-25.160612</v>
      </c>
    </row>
    <row r="385" spans="1:24" x14ac:dyDescent="0.35">
      <c r="A385" s="3" t="str">
        <f t="shared" si="5"/>
        <v>604060009SMP</v>
      </c>
      <c r="B385" t="s">
        <v>6211</v>
      </c>
      <c r="C385">
        <f>+VLOOKUP(Sites_per_tag[[#This Row],[Field_office]],Parameter!$A$3:$B$11,2,0)</f>
        <v>6</v>
      </c>
      <c r="E385" t="s">
        <v>5646</v>
      </c>
      <c r="F385" t="s">
        <v>5647</v>
      </c>
      <c r="H385" t="str">
        <f ca="1">PROPER(Sites_per_tag[[#This Row],[Adm2Name]])</f>
        <v>Ambovombe-Androy</v>
      </c>
      <c r="I385" t="s">
        <v>5655</v>
      </c>
      <c r="K385" t="s">
        <v>6211</v>
      </c>
      <c r="L385" t="s">
        <v>5756</v>
      </c>
      <c r="Q385" t="s">
        <v>1284</v>
      </c>
      <c r="R385">
        <v>604060009</v>
      </c>
      <c r="T385" t="s">
        <v>7</v>
      </c>
      <c r="U385" s="3" t="str">
        <f>+VLOOKUP(Sites_per_tag[[#This Row],[Activity_tag]],Parameter!$A$24:$B$32,2,0)</f>
        <v>SMP</v>
      </c>
      <c r="W385">
        <v>46.105226000000002</v>
      </c>
      <c r="X385">
        <v>-25.192080000000001</v>
      </c>
    </row>
    <row r="386" spans="1:24" x14ac:dyDescent="0.35">
      <c r="A386" s="3" t="str">
        <f t="shared" si="5"/>
        <v>604060010SMP</v>
      </c>
      <c r="B386" t="s">
        <v>6211</v>
      </c>
      <c r="C386">
        <f>+VLOOKUP(Sites_per_tag[[#This Row],[Field_office]],Parameter!$A$3:$B$11,2,0)</f>
        <v>6</v>
      </c>
      <c r="E386" t="s">
        <v>5646</v>
      </c>
      <c r="F386" t="s">
        <v>5647</v>
      </c>
      <c r="H386" t="str">
        <f ca="1">PROPER(Sites_per_tag[[#This Row],[Adm2Name]])</f>
        <v>Ambovombe-Androy</v>
      </c>
      <c r="I386" t="s">
        <v>5655</v>
      </c>
      <c r="K386" t="s">
        <v>6211</v>
      </c>
      <c r="L386" t="s">
        <v>5756</v>
      </c>
      <c r="Q386" t="s">
        <v>1541</v>
      </c>
      <c r="R386">
        <v>604060010</v>
      </c>
      <c r="T386" t="s">
        <v>7</v>
      </c>
      <c r="U386" s="3" t="str">
        <f>+VLOOKUP(Sites_per_tag[[#This Row],[Activity_tag]],Parameter!$A$24:$B$32,2,0)</f>
        <v>SMP</v>
      </c>
      <c r="W386">
        <v>46.063724999999998</v>
      </c>
      <c r="X386">
        <v>-25.217752000000001</v>
      </c>
    </row>
    <row r="387" spans="1:24" x14ac:dyDescent="0.35">
      <c r="A387" s="3" t="str">
        <f t="shared" ref="A387:A450" si="6">+R387&amp;U387</f>
        <v>604060011SMP</v>
      </c>
      <c r="B387" t="s">
        <v>6211</v>
      </c>
      <c r="C387">
        <f>+VLOOKUP(Sites_per_tag[[#This Row],[Field_office]],Parameter!$A$3:$B$11,2,0)</f>
        <v>6</v>
      </c>
      <c r="E387" t="s">
        <v>5646</v>
      </c>
      <c r="F387" t="s">
        <v>5647</v>
      </c>
      <c r="H387" t="str">
        <f ca="1">PROPER(Sites_per_tag[[#This Row],[Adm2Name]])</f>
        <v>Ambovombe-Androy</v>
      </c>
      <c r="I387" t="s">
        <v>5655</v>
      </c>
      <c r="K387" t="s">
        <v>6211</v>
      </c>
      <c r="L387" t="s">
        <v>5756</v>
      </c>
      <c r="Q387" t="s">
        <v>1592</v>
      </c>
      <c r="R387">
        <v>604060011</v>
      </c>
      <c r="T387" t="s">
        <v>7</v>
      </c>
      <c r="U387" s="3" t="str">
        <f>+VLOOKUP(Sites_per_tag[[#This Row],[Activity_tag]],Parameter!$A$24:$B$32,2,0)</f>
        <v>SMP</v>
      </c>
      <c r="W387">
        <v>46.139243999999998</v>
      </c>
      <c r="X387">
        <v>-25.145512</v>
      </c>
    </row>
    <row r="388" spans="1:24" x14ac:dyDescent="0.35">
      <c r="A388" s="3" t="str">
        <f t="shared" si="6"/>
        <v>604060012SMP</v>
      </c>
      <c r="B388" t="s">
        <v>6211</v>
      </c>
      <c r="C388">
        <f>+VLOOKUP(Sites_per_tag[[#This Row],[Field_office]],Parameter!$A$3:$B$11,2,0)</f>
        <v>6</v>
      </c>
      <c r="E388" t="s">
        <v>5646</v>
      </c>
      <c r="F388" t="s">
        <v>5647</v>
      </c>
      <c r="H388" t="str">
        <f ca="1">PROPER(Sites_per_tag[[#This Row],[Adm2Name]])</f>
        <v>Ambovombe-Androy</v>
      </c>
      <c r="I388" t="s">
        <v>5655</v>
      </c>
      <c r="K388" t="s">
        <v>6211</v>
      </c>
      <c r="L388" t="s">
        <v>5756</v>
      </c>
      <c r="Q388" t="s">
        <v>1595</v>
      </c>
      <c r="R388">
        <v>604060012</v>
      </c>
      <c r="T388" t="s">
        <v>7</v>
      </c>
      <c r="U388" s="3" t="str">
        <f>+VLOOKUP(Sites_per_tag[[#This Row],[Activity_tag]],Parameter!$A$24:$B$32,2,0)</f>
        <v>SMP</v>
      </c>
      <c r="W388">
        <v>46.089849000000001</v>
      </c>
      <c r="X388">
        <v>-25.186225</v>
      </c>
    </row>
    <row r="389" spans="1:24" x14ac:dyDescent="0.35">
      <c r="A389" s="3" t="str">
        <f t="shared" si="6"/>
        <v>604060016SMP</v>
      </c>
      <c r="B389" t="s">
        <v>6211</v>
      </c>
      <c r="C389">
        <f>+VLOOKUP(Sites_per_tag[[#This Row],[Field_office]],Parameter!$A$3:$B$11,2,0)</f>
        <v>6</v>
      </c>
      <c r="E389" t="s">
        <v>5646</v>
      </c>
      <c r="F389" t="s">
        <v>5647</v>
      </c>
      <c r="H389" t="str">
        <f ca="1">PROPER(Sites_per_tag[[#This Row],[Adm2Name]])</f>
        <v>Ambovombe-Androy</v>
      </c>
      <c r="I389" t="s">
        <v>5655</v>
      </c>
      <c r="K389" t="s">
        <v>6211</v>
      </c>
      <c r="L389" t="s">
        <v>5756</v>
      </c>
      <c r="Q389" t="s">
        <v>2177</v>
      </c>
      <c r="R389">
        <v>604060016</v>
      </c>
      <c r="T389" t="s">
        <v>7</v>
      </c>
      <c r="U389" s="3" t="str">
        <f>+VLOOKUP(Sites_per_tag[[#This Row],[Activity_tag]],Parameter!$A$24:$B$32,2,0)</f>
        <v>SMP</v>
      </c>
      <c r="W389">
        <v>46.140849000000003</v>
      </c>
      <c r="X389">
        <v>-25.102432</v>
      </c>
    </row>
    <row r="390" spans="1:24" x14ac:dyDescent="0.35">
      <c r="A390" s="3" t="str">
        <f t="shared" si="6"/>
        <v>604060019SMP</v>
      </c>
      <c r="B390" t="s">
        <v>6211</v>
      </c>
      <c r="C390">
        <f>+VLOOKUP(Sites_per_tag[[#This Row],[Field_office]],Parameter!$A$3:$B$11,2,0)</f>
        <v>6</v>
      </c>
      <c r="E390" t="s">
        <v>5646</v>
      </c>
      <c r="F390" t="s">
        <v>5647</v>
      </c>
      <c r="H390" t="str">
        <f ca="1">PROPER(Sites_per_tag[[#This Row],[Adm2Name]])</f>
        <v>Ambovombe-Androy</v>
      </c>
      <c r="I390" t="s">
        <v>5655</v>
      </c>
      <c r="K390" t="s">
        <v>6211</v>
      </c>
      <c r="L390" t="s">
        <v>5756</v>
      </c>
      <c r="Q390" t="s">
        <v>2407</v>
      </c>
      <c r="R390">
        <v>604060019</v>
      </c>
      <c r="T390" t="s">
        <v>7</v>
      </c>
      <c r="U390" s="3" t="str">
        <f>+VLOOKUP(Sites_per_tag[[#This Row],[Activity_tag]],Parameter!$A$24:$B$32,2,0)</f>
        <v>SMP</v>
      </c>
      <c r="W390">
        <v>46.11204</v>
      </c>
      <c r="X390">
        <v>-25.229073</v>
      </c>
    </row>
    <row r="391" spans="1:24" x14ac:dyDescent="0.35">
      <c r="A391" s="3" t="str">
        <f t="shared" si="6"/>
        <v>604060021SMP</v>
      </c>
      <c r="B391" t="s">
        <v>6211</v>
      </c>
      <c r="C391">
        <f>+VLOOKUP(Sites_per_tag[[#This Row],[Field_office]],Parameter!$A$3:$B$11,2,0)</f>
        <v>6</v>
      </c>
      <c r="E391" t="s">
        <v>5646</v>
      </c>
      <c r="F391" t="s">
        <v>5647</v>
      </c>
      <c r="H391" t="str">
        <f ca="1">PROPER(Sites_per_tag[[#This Row],[Adm2Name]])</f>
        <v>Ambovombe-Androy</v>
      </c>
      <c r="I391" t="s">
        <v>5655</v>
      </c>
      <c r="K391" t="s">
        <v>6211</v>
      </c>
      <c r="L391" t="s">
        <v>5756</v>
      </c>
      <c r="Q391" t="s">
        <v>3043</v>
      </c>
      <c r="R391">
        <v>604060021</v>
      </c>
      <c r="T391" t="s">
        <v>7</v>
      </c>
      <c r="U391" s="3" t="str">
        <f>+VLOOKUP(Sites_per_tag[[#This Row],[Activity_tag]],Parameter!$A$24:$B$32,2,0)</f>
        <v>SMP</v>
      </c>
      <c r="W391">
        <v>46.123770999999998</v>
      </c>
      <c r="X391">
        <v>-25.203104</v>
      </c>
    </row>
    <row r="392" spans="1:24" x14ac:dyDescent="0.35">
      <c r="A392" s="3" t="str">
        <f t="shared" si="6"/>
        <v>604060022SMP</v>
      </c>
      <c r="B392" t="s">
        <v>6211</v>
      </c>
      <c r="C392">
        <f>+VLOOKUP(Sites_per_tag[[#This Row],[Field_office]],Parameter!$A$3:$B$11,2,0)</f>
        <v>6</v>
      </c>
      <c r="E392" t="s">
        <v>5646</v>
      </c>
      <c r="F392" t="s">
        <v>5647</v>
      </c>
      <c r="H392" t="str">
        <f ca="1">PROPER(Sites_per_tag[[#This Row],[Adm2Name]])</f>
        <v>Ambovombe-Androy</v>
      </c>
      <c r="I392" t="s">
        <v>5655</v>
      </c>
      <c r="K392" t="s">
        <v>6211</v>
      </c>
      <c r="L392" t="s">
        <v>5756</v>
      </c>
      <c r="Q392" t="s">
        <v>3195</v>
      </c>
      <c r="R392">
        <v>604060022</v>
      </c>
      <c r="T392" t="s">
        <v>7</v>
      </c>
      <c r="U392" s="3" t="str">
        <f>+VLOOKUP(Sites_per_tag[[#This Row],[Activity_tag]],Parameter!$A$24:$B$32,2,0)</f>
        <v>SMP</v>
      </c>
      <c r="W392">
        <v>46.082738999999997</v>
      </c>
      <c r="X392">
        <v>-25.189467</v>
      </c>
    </row>
    <row r="393" spans="1:24" x14ac:dyDescent="0.35">
      <c r="A393" s="3" t="str">
        <f t="shared" si="6"/>
        <v>604060023SMP</v>
      </c>
      <c r="B393" t="s">
        <v>6211</v>
      </c>
      <c r="C393">
        <f>+VLOOKUP(Sites_per_tag[[#This Row],[Field_office]],Parameter!$A$3:$B$11,2,0)</f>
        <v>6</v>
      </c>
      <c r="E393" t="s">
        <v>5646</v>
      </c>
      <c r="F393" t="s">
        <v>5647</v>
      </c>
      <c r="H393" t="str">
        <f ca="1">PROPER(Sites_per_tag[[#This Row],[Adm2Name]])</f>
        <v>Ambovombe-Androy</v>
      </c>
      <c r="I393" t="s">
        <v>5655</v>
      </c>
      <c r="K393" t="s">
        <v>6211</v>
      </c>
      <c r="L393" t="s">
        <v>5756</v>
      </c>
      <c r="Q393" t="s">
        <v>3453</v>
      </c>
      <c r="R393">
        <v>604060023</v>
      </c>
      <c r="T393" t="s">
        <v>7</v>
      </c>
      <c r="U393" s="3" t="str">
        <f>+VLOOKUP(Sites_per_tag[[#This Row],[Activity_tag]],Parameter!$A$24:$B$32,2,0)</f>
        <v>SMP</v>
      </c>
      <c r="W393">
        <v>46.101165999999999</v>
      </c>
      <c r="X393">
        <v>-25.190612000000002</v>
      </c>
    </row>
    <row r="394" spans="1:24" x14ac:dyDescent="0.35">
      <c r="A394" s="3" t="str">
        <f t="shared" si="6"/>
        <v>604060025SMP</v>
      </c>
      <c r="B394" t="s">
        <v>6211</v>
      </c>
      <c r="C394">
        <f>+VLOOKUP(Sites_per_tag[[#This Row],[Field_office]],Parameter!$A$3:$B$11,2,0)</f>
        <v>6</v>
      </c>
      <c r="E394" t="s">
        <v>5646</v>
      </c>
      <c r="F394" t="s">
        <v>5647</v>
      </c>
      <c r="H394" t="str">
        <f ca="1">PROPER(Sites_per_tag[[#This Row],[Adm2Name]])</f>
        <v>Ambovombe-Androy</v>
      </c>
      <c r="I394" t="s">
        <v>5655</v>
      </c>
      <c r="K394" t="s">
        <v>6211</v>
      </c>
      <c r="L394" t="s">
        <v>5756</v>
      </c>
      <c r="Q394" t="s">
        <v>3540</v>
      </c>
      <c r="R394">
        <v>604060025</v>
      </c>
      <c r="T394" t="s">
        <v>7</v>
      </c>
      <c r="U394" s="3" t="str">
        <f>+VLOOKUP(Sites_per_tag[[#This Row],[Activity_tag]],Parameter!$A$24:$B$32,2,0)</f>
        <v>SMP</v>
      </c>
      <c r="W394">
        <v>46.093606999999999</v>
      </c>
      <c r="X394">
        <v>-25.212734000000001</v>
      </c>
    </row>
    <row r="395" spans="1:24" x14ac:dyDescent="0.35">
      <c r="A395" s="3" t="str">
        <f t="shared" si="6"/>
        <v>604060026SMP</v>
      </c>
      <c r="B395" t="s">
        <v>6211</v>
      </c>
      <c r="C395">
        <f>+VLOOKUP(Sites_per_tag[[#This Row],[Field_office]],Parameter!$A$3:$B$11,2,0)</f>
        <v>6</v>
      </c>
      <c r="E395" t="s">
        <v>5646</v>
      </c>
      <c r="F395" t="s">
        <v>5647</v>
      </c>
      <c r="H395" t="str">
        <f ca="1">PROPER(Sites_per_tag[[#This Row],[Adm2Name]])</f>
        <v>Ambovombe-Androy</v>
      </c>
      <c r="I395" t="s">
        <v>5655</v>
      </c>
      <c r="K395" t="s">
        <v>6211</v>
      </c>
      <c r="L395" t="s">
        <v>5756</v>
      </c>
      <c r="Q395" t="s">
        <v>6237</v>
      </c>
      <c r="R395">
        <v>604060026</v>
      </c>
      <c r="T395" t="s">
        <v>7</v>
      </c>
      <c r="U395" s="3" t="str">
        <f>+VLOOKUP(Sites_per_tag[[#This Row],[Activity_tag]],Parameter!$A$24:$B$32,2,0)</f>
        <v>SMP</v>
      </c>
      <c r="W395">
        <v>46.096161000000002</v>
      </c>
      <c r="X395">
        <v>-25.174108</v>
      </c>
    </row>
    <row r="396" spans="1:24" x14ac:dyDescent="0.35">
      <c r="A396" s="3" t="str">
        <f t="shared" si="6"/>
        <v>604060027SMP</v>
      </c>
      <c r="B396" t="s">
        <v>6211</v>
      </c>
      <c r="C396">
        <f>+VLOOKUP(Sites_per_tag[[#This Row],[Field_office]],Parameter!$A$3:$B$11,2,0)</f>
        <v>6</v>
      </c>
      <c r="E396" t="s">
        <v>5646</v>
      </c>
      <c r="F396" t="s">
        <v>5647</v>
      </c>
      <c r="H396" t="str">
        <f ca="1">PROPER(Sites_per_tag[[#This Row],[Adm2Name]])</f>
        <v>Ambovombe-Androy</v>
      </c>
      <c r="I396" t="s">
        <v>5655</v>
      </c>
      <c r="K396" t="s">
        <v>6211</v>
      </c>
      <c r="L396" t="s">
        <v>5756</v>
      </c>
      <c r="Q396" t="s">
        <v>3734</v>
      </c>
      <c r="R396">
        <v>604060027</v>
      </c>
      <c r="T396" t="s">
        <v>7</v>
      </c>
      <c r="U396" s="3" t="str">
        <f>+VLOOKUP(Sites_per_tag[[#This Row],[Activity_tag]],Parameter!$A$24:$B$32,2,0)</f>
        <v>SMP</v>
      </c>
      <c r="W396">
        <v>46.157544999999999</v>
      </c>
      <c r="X396">
        <v>-25.127952000000001</v>
      </c>
    </row>
    <row r="397" spans="1:24" x14ac:dyDescent="0.35">
      <c r="A397" s="3" t="str">
        <f t="shared" si="6"/>
        <v>604060029SMP</v>
      </c>
      <c r="B397" t="s">
        <v>6211</v>
      </c>
      <c r="C397">
        <f>+VLOOKUP(Sites_per_tag[[#This Row],[Field_office]],Parameter!$A$3:$B$11,2,0)</f>
        <v>6</v>
      </c>
      <c r="E397" t="s">
        <v>5646</v>
      </c>
      <c r="F397" t="s">
        <v>5647</v>
      </c>
      <c r="H397" t="str">
        <f ca="1">PROPER(Sites_per_tag[[#This Row],[Adm2Name]])</f>
        <v>Ambovombe-Androy</v>
      </c>
      <c r="I397" t="s">
        <v>5655</v>
      </c>
      <c r="K397" t="s">
        <v>6211</v>
      </c>
      <c r="L397" t="s">
        <v>5756</v>
      </c>
      <c r="Q397" t="s">
        <v>1649</v>
      </c>
      <c r="R397">
        <v>604060029</v>
      </c>
      <c r="T397" t="s">
        <v>7</v>
      </c>
      <c r="U397" s="3" t="str">
        <f>+VLOOKUP(Sites_per_tag[[#This Row],[Activity_tag]],Parameter!$A$24:$B$32,2,0)</f>
        <v>SMP</v>
      </c>
      <c r="W397">
        <v>46.092953000000001</v>
      </c>
      <c r="X397">
        <v>-25.169383</v>
      </c>
    </row>
    <row r="398" spans="1:24" x14ac:dyDescent="0.35">
      <c r="A398" s="3" t="str">
        <f t="shared" si="6"/>
        <v>604060030SMP</v>
      </c>
      <c r="B398" t="s">
        <v>6211</v>
      </c>
      <c r="C398">
        <f>+VLOOKUP(Sites_per_tag[[#This Row],[Field_office]],Parameter!$A$3:$B$11,2,0)</f>
        <v>6</v>
      </c>
      <c r="E398" t="s">
        <v>5646</v>
      </c>
      <c r="F398" t="s">
        <v>5647</v>
      </c>
      <c r="H398" t="str">
        <f ca="1">PROPER(Sites_per_tag[[#This Row],[Adm2Name]])</f>
        <v>Ambovombe-Androy</v>
      </c>
      <c r="I398" t="s">
        <v>5655</v>
      </c>
      <c r="K398" t="s">
        <v>6211</v>
      </c>
      <c r="L398" t="s">
        <v>5756</v>
      </c>
      <c r="Q398" t="s">
        <v>2684</v>
      </c>
      <c r="R398">
        <v>604060030</v>
      </c>
      <c r="T398" t="s">
        <v>7</v>
      </c>
      <c r="U398" s="3" t="str">
        <f>+VLOOKUP(Sites_per_tag[[#This Row],[Activity_tag]],Parameter!$A$24:$B$32,2,0)</f>
        <v>SMP</v>
      </c>
      <c r="W398">
        <v>46.048929999999999</v>
      </c>
      <c r="X398">
        <v>-25.24278</v>
      </c>
    </row>
    <row r="399" spans="1:24" x14ac:dyDescent="0.35">
      <c r="A399" s="3" t="str">
        <f t="shared" si="6"/>
        <v>604060031SMP</v>
      </c>
      <c r="B399" t="s">
        <v>6211</v>
      </c>
      <c r="C399">
        <f>+VLOOKUP(Sites_per_tag[[#This Row],[Field_office]],Parameter!$A$3:$B$11,2,0)</f>
        <v>6</v>
      </c>
      <c r="E399" t="s">
        <v>5646</v>
      </c>
      <c r="F399" t="s">
        <v>5647</v>
      </c>
      <c r="H399" t="str">
        <f ca="1">PROPER(Sites_per_tag[[#This Row],[Adm2Name]])</f>
        <v>Ambovombe-Androy</v>
      </c>
      <c r="I399" t="s">
        <v>5655</v>
      </c>
      <c r="K399" t="s">
        <v>6211</v>
      </c>
      <c r="L399" t="s">
        <v>5756</v>
      </c>
      <c r="Q399" t="s">
        <v>1690</v>
      </c>
      <c r="R399">
        <v>604060031</v>
      </c>
      <c r="T399" t="s">
        <v>7</v>
      </c>
      <c r="U399" s="3" t="str">
        <f>+VLOOKUP(Sites_per_tag[[#This Row],[Activity_tag]],Parameter!$A$24:$B$32,2,0)</f>
        <v>SMP</v>
      </c>
      <c r="W399">
        <v>46.061419000000001</v>
      </c>
      <c r="X399">
        <v>-25.263591000000002</v>
      </c>
    </row>
    <row r="400" spans="1:24" x14ac:dyDescent="0.35">
      <c r="A400" s="3" t="str">
        <f t="shared" si="6"/>
        <v>604060032SMP</v>
      </c>
      <c r="B400" t="s">
        <v>6211</v>
      </c>
      <c r="C400">
        <f>+VLOOKUP(Sites_per_tag[[#This Row],[Field_office]],Parameter!$A$3:$B$11,2,0)</f>
        <v>6</v>
      </c>
      <c r="E400" t="s">
        <v>5646</v>
      </c>
      <c r="F400" t="s">
        <v>5647</v>
      </c>
      <c r="H400" t="str">
        <f ca="1">PROPER(Sites_per_tag[[#This Row],[Adm2Name]])</f>
        <v>Ambovombe-Androy</v>
      </c>
      <c r="I400" t="s">
        <v>5655</v>
      </c>
      <c r="K400" t="s">
        <v>6211</v>
      </c>
      <c r="L400" t="s">
        <v>5756</v>
      </c>
      <c r="Q400" t="s">
        <v>3814</v>
      </c>
      <c r="R400">
        <v>604060032</v>
      </c>
      <c r="T400" t="s">
        <v>7</v>
      </c>
      <c r="U400" s="3" t="str">
        <f>+VLOOKUP(Sites_per_tag[[#This Row],[Activity_tag]],Parameter!$A$24:$B$32,2,0)</f>
        <v>SMP</v>
      </c>
      <c r="W400">
        <v>46.103476999999998</v>
      </c>
      <c r="X400">
        <v>-25.220096999999999</v>
      </c>
    </row>
    <row r="401" spans="1:24" x14ac:dyDescent="0.35">
      <c r="A401" s="3" t="str">
        <f t="shared" si="6"/>
        <v>604060044SMP</v>
      </c>
      <c r="B401" t="s">
        <v>6211</v>
      </c>
      <c r="C401">
        <f>+VLOOKUP(Sites_per_tag[[#This Row],[Field_office]],Parameter!$A$3:$B$11,2,0)</f>
        <v>6</v>
      </c>
      <c r="E401" t="s">
        <v>5646</v>
      </c>
      <c r="F401" t="s">
        <v>5647</v>
      </c>
      <c r="H401" t="str">
        <f ca="1">PROPER(Sites_per_tag[[#This Row],[Adm2Name]])</f>
        <v>Ambovombe-Androy</v>
      </c>
      <c r="I401" t="s">
        <v>5655</v>
      </c>
      <c r="K401" t="s">
        <v>6211</v>
      </c>
      <c r="L401" t="s">
        <v>5756</v>
      </c>
      <c r="Q401" t="s">
        <v>1170</v>
      </c>
      <c r="R401">
        <v>604060044</v>
      </c>
      <c r="T401" t="s">
        <v>7</v>
      </c>
      <c r="U401" s="3" t="str">
        <f>+VLOOKUP(Sites_per_tag[[#This Row],[Activity_tag]],Parameter!$A$24:$B$32,2,0)</f>
        <v>SMP</v>
      </c>
      <c r="W401">
        <v>46.094231000000001</v>
      </c>
      <c r="X401">
        <v>-25.081164999999999</v>
      </c>
    </row>
    <row r="402" spans="1:24" x14ac:dyDescent="0.35">
      <c r="A402" s="3" t="str">
        <f t="shared" si="6"/>
        <v>604060046SMP</v>
      </c>
      <c r="B402" t="s">
        <v>6211</v>
      </c>
      <c r="C402">
        <f>+VLOOKUP(Sites_per_tag[[#This Row],[Field_office]],Parameter!$A$3:$B$11,2,0)</f>
        <v>6</v>
      </c>
      <c r="E402" t="s">
        <v>5646</v>
      </c>
      <c r="F402" t="s">
        <v>5647</v>
      </c>
      <c r="H402" t="str">
        <f ca="1">PROPER(Sites_per_tag[[#This Row],[Adm2Name]])</f>
        <v>Ambovombe-Androy</v>
      </c>
      <c r="I402" t="s">
        <v>5655</v>
      </c>
      <c r="K402" t="s">
        <v>6211</v>
      </c>
      <c r="L402" t="s">
        <v>5756</v>
      </c>
      <c r="Q402" t="s">
        <v>3669</v>
      </c>
      <c r="R402">
        <v>604060046</v>
      </c>
      <c r="T402" t="s">
        <v>7</v>
      </c>
      <c r="U402" s="3" t="str">
        <f>+VLOOKUP(Sites_per_tag[[#This Row],[Activity_tag]],Parameter!$A$24:$B$32,2,0)</f>
        <v>SMP</v>
      </c>
      <c r="W402">
        <v>46.090074999999999</v>
      </c>
      <c r="X402">
        <v>-25.185298</v>
      </c>
    </row>
    <row r="403" spans="1:24" x14ac:dyDescent="0.35">
      <c r="A403" s="3" t="str">
        <f t="shared" si="6"/>
        <v>604070001SMP</v>
      </c>
      <c r="B403" t="s">
        <v>6211</v>
      </c>
      <c r="C403">
        <f>+VLOOKUP(Sites_per_tag[[#This Row],[Field_office]],Parameter!$A$3:$B$11,2,0)</f>
        <v>6</v>
      </c>
      <c r="E403" t="s">
        <v>5646</v>
      </c>
      <c r="F403" t="s">
        <v>5647</v>
      </c>
      <c r="H403" t="str">
        <f ca="1">PROPER(Sites_per_tag[[#This Row],[Adm2Name]])</f>
        <v>Antanimora Sud</v>
      </c>
      <c r="I403" t="s">
        <v>5664</v>
      </c>
      <c r="K403" t="s">
        <v>493</v>
      </c>
      <c r="L403" t="s">
        <v>5758</v>
      </c>
      <c r="Q403" t="s">
        <v>495</v>
      </c>
      <c r="R403">
        <v>604070001</v>
      </c>
      <c r="T403" t="s">
        <v>7</v>
      </c>
      <c r="U403" s="3" t="str">
        <f>+VLOOKUP(Sites_per_tag[[#This Row],[Activity_tag]],Parameter!$A$24:$B$32,2,0)</f>
        <v>SMP</v>
      </c>
      <c r="W403">
        <v>45.636288</v>
      </c>
      <c r="X403">
        <v>-24.476814999999998</v>
      </c>
    </row>
    <row r="404" spans="1:24" x14ac:dyDescent="0.35">
      <c r="A404" s="3" t="str">
        <f t="shared" si="6"/>
        <v>604070003SMP</v>
      </c>
      <c r="B404" t="s">
        <v>6211</v>
      </c>
      <c r="C404">
        <f>+VLOOKUP(Sites_per_tag[[#This Row],[Field_office]],Parameter!$A$3:$B$11,2,0)</f>
        <v>6</v>
      </c>
      <c r="E404" t="s">
        <v>5646</v>
      </c>
      <c r="F404" t="s">
        <v>5647</v>
      </c>
      <c r="H404" t="str">
        <f ca="1">PROPER(Sites_per_tag[[#This Row],[Adm2Name]])</f>
        <v>Antanimora Sud</v>
      </c>
      <c r="I404" t="s">
        <v>5664</v>
      </c>
      <c r="K404" t="s">
        <v>493</v>
      </c>
      <c r="L404" t="s">
        <v>5758</v>
      </c>
      <c r="Q404" t="s">
        <v>507</v>
      </c>
      <c r="R404">
        <v>604070003</v>
      </c>
      <c r="T404" t="s">
        <v>7</v>
      </c>
      <c r="U404" s="3" t="str">
        <f>+VLOOKUP(Sites_per_tag[[#This Row],[Activity_tag]],Parameter!$A$24:$B$32,2,0)</f>
        <v>SMP</v>
      </c>
      <c r="W404">
        <v>45.653050999999998</v>
      </c>
      <c r="X404">
        <v>-24.496549000000002</v>
      </c>
    </row>
    <row r="405" spans="1:24" x14ac:dyDescent="0.35">
      <c r="A405" s="3" t="str">
        <f t="shared" si="6"/>
        <v>604070004SMP</v>
      </c>
      <c r="B405" t="s">
        <v>6211</v>
      </c>
      <c r="C405">
        <f>+VLOOKUP(Sites_per_tag[[#This Row],[Field_office]],Parameter!$A$3:$B$11,2,0)</f>
        <v>6</v>
      </c>
      <c r="E405" t="s">
        <v>5646</v>
      </c>
      <c r="F405" t="s">
        <v>5647</v>
      </c>
      <c r="H405" t="str">
        <f ca="1">PROPER(Sites_per_tag[[#This Row],[Adm2Name]])</f>
        <v>Antanimora Sud</v>
      </c>
      <c r="I405" t="s">
        <v>5664</v>
      </c>
      <c r="K405" t="s">
        <v>493</v>
      </c>
      <c r="L405" t="s">
        <v>5758</v>
      </c>
      <c r="Q405" t="s">
        <v>1093</v>
      </c>
      <c r="R405">
        <v>604070004</v>
      </c>
      <c r="T405" t="s">
        <v>7</v>
      </c>
      <c r="U405" s="3" t="str">
        <f>+VLOOKUP(Sites_per_tag[[#This Row],[Activity_tag]],Parameter!$A$24:$B$32,2,0)</f>
        <v>SMP</v>
      </c>
      <c r="W405">
        <v>45.651479999999999</v>
      </c>
      <c r="X405">
        <v>-24.573979999999999</v>
      </c>
    </row>
    <row r="406" spans="1:24" x14ac:dyDescent="0.35">
      <c r="A406" s="3" t="str">
        <f t="shared" si="6"/>
        <v>604070008SMP</v>
      </c>
      <c r="B406" t="s">
        <v>6211</v>
      </c>
      <c r="C406">
        <f>+VLOOKUP(Sites_per_tag[[#This Row],[Field_office]],Parameter!$A$3:$B$11,2,0)</f>
        <v>6</v>
      </c>
      <c r="E406" t="s">
        <v>5646</v>
      </c>
      <c r="F406" t="s">
        <v>5647</v>
      </c>
      <c r="H406" t="str">
        <f ca="1">PROPER(Sites_per_tag[[#This Row],[Adm2Name]])</f>
        <v>Antanimora Sud</v>
      </c>
      <c r="I406" t="s">
        <v>5664</v>
      </c>
      <c r="K406" t="s">
        <v>493</v>
      </c>
      <c r="L406" t="s">
        <v>5758</v>
      </c>
      <c r="Q406" t="s">
        <v>2054</v>
      </c>
      <c r="R406">
        <v>604070008</v>
      </c>
      <c r="T406" t="s">
        <v>7</v>
      </c>
      <c r="U406" s="3" t="str">
        <f>+VLOOKUP(Sites_per_tag[[#This Row],[Activity_tag]],Parameter!$A$24:$B$32,2,0)</f>
        <v>SMP</v>
      </c>
      <c r="W406">
        <v>45.651479999999999</v>
      </c>
      <c r="X406">
        <v>-24.573979999999999</v>
      </c>
    </row>
    <row r="407" spans="1:24" x14ac:dyDescent="0.35">
      <c r="A407" s="3" t="str">
        <f t="shared" si="6"/>
        <v>604070010SMP</v>
      </c>
      <c r="B407" t="s">
        <v>6211</v>
      </c>
      <c r="C407">
        <f>+VLOOKUP(Sites_per_tag[[#This Row],[Field_office]],Parameter!$A$3:$B$11,2,0)</f>
        <v>6</v>
      </c>
      <c r="E407" t="s">
        <v>5646</v>
      </c>
      <c r="F407" t="s">
        <v>5647</v>
      </c>
      <c r="H407" t="str">
        <f ca="1">PROPER(Sites_per_tag[[#This Row],[Adm2Name]])</f>
        <v>Antanimora Sud</v>
      </c>
      <c r="I407" t="s">
        <v>5664</v>
      </c>
      <c r="K407" t="s">
        <v>493</v>
      </c>
      <c r="L407" t="s">
        <v>5758</v>
      </c>
      <c r="Q407" t="s">
        <v>3533</v>
      </c>
      <c r="R407">
        <v>604070010</v>
      </c>
      <c r="T407" t="s">
        <v>7</v>
      </c>
      <c r="U407" s="3" t="str">
        <f>+VLOOKUP(Sites_per_tag[[#This Row],[Activity_tag]],Parameter!$A$24:$B$32,2,0)</f>
        <v>SMP</v>
      </c>
      <c r="W407">
        <v>45.651479999999999</v>
      </c>
      <c r="X407">
        <v>-24.573979999999999</v>
      </c>
    </row>
    <row r="408" spans="1:24" x14ac:dyDescent="0.35">
      <c r="A408" s="3" t="str">
        <f t="shared" si="6"/>
        <v>604080005SMP</v>
      </c>
      <c r="B408" t="s">
        <v>6211</v>
      </c>
      <c r="C408">
        <f>+VLOOKUP(Sites_per_tag[[#This Row],[Field_office]],Parameter!$A$3:$B$11,2,0)</f>
        <v>6</v>
      </c>
      <c r="E408" t="s">
        <v>5646</v>
      </c>
      <c r="F408" t="s">
        <v>5647</v>
      </c>
      <c r="H408" t="str">
        <f ca="1">PROPER(Sites_per_tag[[#This Row],[Adm2Name]])</f>
        <v>Antanimora Sud</v>
      </c>
      <c r="I408" t="s">
        <v>5664</v>
      </c>
      <c r="K408" t="s">
        <v>719</v>
      </c>
      <c r="L408" t="s">
        <v>5787</v>
      </c>
      <c r="Q408" t="s">
        <v>6238</v>
      </c>
      <c r="R408">
        <v>604080005</v>
      </c>
      <c r="T408" t="s">
        <v>7</v>
      </c>
      <c r="U408" s="3" t="str">
        <f>+VLOOKUP(Sites_per_tag[[#This Row],[Activity_tag]],Parameter!$A$24:$B$32,2,0)</f>
        <v>SMP</v>
      </c>
      <c r="W408">
        <v>45.589151999999999</v>
      </c>
      <c r="X408">
        <v>-24.7196</v>
      </c>
    </row>
    <row r="409" spans="1:24" x14ac:dyDescent="0.35">
      <c r="A409" s="3" t="str">
        <f t="shared" si="6"/>
        <v>604080010SMP</v>
      </c>
      <c r="B409" t="s">
        <v>6211</v>
      </c>
      <c r="C409">
        <f>+VLOOKUP(Sites_per_tag[[#This Row],[Field_office]],Parameter!$A$3:$B$11,2,0)</f>
        <v>6</v>
      </c>
      <c r="E409" t="s">
        <v>5646</v>
      </c>
      <c r="F409" t="s">
        <v>5647</v>
      </c>
      <c r="H409" t="str">
        <f ca="1">PROPER(Sites_per_tag[[#This Row],[Adm2Name]])</f>
        <v>Antanimora Sud</v>
      </c>
      <c r="I409" t="s">
        <v>5664</v>
      </c>
      <c r="K409" t="s">
        <v>719</v>
      </c>
      <c r="L409" t="s">
        <v>5787</v>
      </c>
      <c r="Q409" t="s">
        <v>4176</v>
      </c>
      <c r="R409">
        <v>604080010</v>
      </c>
      <c r="T409" t="s">
        <v>7</v>
      </c>
      <c r="U409" s="3" t="str">
        <f>+VLOOKUP(Sites_per_tag[[#This Row],[Activity_tag]],Parameter!$A$24:$B$32,2,0)</f>
        <v>SMP</v>
      </c>
      <c r="W409">
        <v>45.596539999999997</v>
      </c>
      <c r="X409">
        <v>-24.669090000000001</v>
      </c>
    </row>
    <row r="410" spans="1:24" x14ac:dyDescent="0.35">
      <c r="A410" s="3" t="str">
        <f t="shared" si="6"/>
        <v>604080011SMP</v>
      </c>
      <c r="B410" t="s">
        <v>6211</v>
      </c>
      <c r="C410">
        <f>+VLOOKUP(Sites_per_tag[[#This Row],[Field_office]],Parameter!$A$3:$B$11,2,0)</f>
        <v>6</v>
      </c>
      <c r="E410" t="s">
        <v>5646</v>
      </c>
      <c r="F410" t="s">
        <v>5647</v>
      </c>
      <c r="H410" t="str">
        <f ca="1">PROPER(Sites_per_tag[[#This Row],[Adm2Name]])</f>
        <v>Antanimora Sud</v>
      </c>
      <c r="I410" t="s">
        <v>5664</v>
      </c>
      <c r="K410" t="s">
        <v>719</v>
      </c>
      <c r="L410" t="s">
        <v>5787</v>
      </c>
      <c r="Q410" t="s">
        <v>814</v>
      </c>
      <c r="R410">
        <v>604080011</v>
      </c>
      <c r="T410" t="s">
        <v>7</v>
      </c>
      <c r="U410" s="3" t="str">
        <f>+VLOOKUP(Sites_per_tag[[#This Row],[Activity_tag]],Parameter!$A$24:$B$32,2,0)</f>
        <v>SMP</v>
      </c>
      <c r="W410">
        <v>45.545344</v>
      </c>
      <c r="X410">
        <v>-24.637156999999998</v>
      </c>
    </row>
    <row r="411" spans="1:24" x14ac:dyDescent="0.35">
      <c r="A411" s="3" t="str">
        <f t="shared" si="6"/>
        <v>604080017SMP</v>
      </c>
      <c r="B411" t="s">
        <v>6211</v>
      </c>
      <c r="C411">
        <f>+VLOOKUP(Sites_per_tag[[#This Row],[Field_office]],Parameter!$A$3:$B$11,2,0)</f>
        <v>6</v>
      </c>
      <c r="E411" t="s">
        <v>5646</v>
      </c>
      <c r="F411" t="s">
        <v>5647</v>
      </c>
      <c r="H411" t="str">
        <f ca="1">PROPER(Sites_per_tag[[#This Row],[Adm2Name]])</f>
        <v>Antanimora Sud</v>
      </c>
      <c r="I411" t="s">
        <v>5664</v>
      </c>
      <c r="K411" t="s">
        <v>719</v>
      </c>
      <c r="L411" t="s">
        <v>5787</v>
      </c>
      <c r="Q411" t="s">
        <v>1806</v>
      </c>
      <c r="R411">
        <v>604080017</v>
      </c>
      <c r="T411" t="s">
        <v>7</v>
      </c>
      <c r="U411" s="3" t="str">
        <f>+VLOOKUP(Sites_per_tag[[#This Row],[Activity_tag]],Parameter!$A$24:$B$32,2,0)</f>
        <v>SMP</v>
      </c>
      <c r="W411">
        <v>45.617595999999999</v>
      </c>
      <c r="X411">
        <v>-24.696732999999998</v>
      </c>
    </row>
    <row r="412" spans="1:24" x14ac:dyDescent="0.35">
      <c r="A412" s="3" t="str">
        <f t="shared" si="6"/>
        <v>604080018SMP</v>
      </c>
      <c r="B412" t="s">
        <v>6211</v>
      </c>
      <c r="C412">
        <f>+VLOOKUP(Sites_per_tag[[#This Row],[Field_office]],Parameter!$A$3:$B$11,2,0)</f>
        <v>6</v>
      </c>
      <c r="E412" t="s">
        <v>5646</v>
      </c>
      <c r="F412" t="s">
        <v>5647</v>
      </c>
      <c r="H412" t="str">
        <f ca="1">PROPER(Sites_per_tag[[#This Row],[Adm2Name]])</f>
        <v>Antanimora Sud</v>
      </c>
      <c r="I412" t="s">
        <v>5664</v>
      </c>
      <c r="K412" t="s">
        <v>719</v>
      </c>
      <c r="L412" t="s">
        <v>5787</v>
      </c>
      <c r="Q412" t="s">
        <v>1865</v>
      </c>
      <c r="R412">
        <v>604080018</v>
      </c>
      <c r="T412" t="s">
        <v>7</v>
      </c>
      <c r="U412" s="3" t="str">
        <f>+VLOOKUP(Sites_per_tag[[#This Row],[Activity_tag]],Parameter!$A$24:$B$32,2,0)</f>
        <v>SMP</v>
      </c>
      <c r="W412">
        <v>45.581822000000003</v>
      </c>
      <c r="X412">
        <v>-24.615696</v>
      </c>
    </row>
    <row r="413" spans="1:24" x14ac:dyDescent="0.35">
      <c r="A413" s="3" t="str">
        <f t="shared" si="6"/>
        <v>604080019SMP</v>
      </c>
      <c r="B413" t="s">
        <v>6211</v>
      </c>
      <c r="C413">
        <f>+VLOOKUP(Sites_per_tag[[#This Row],[Field_office]],Parameter!$A$3:$B$11,2,0)</f>
        <v>6</v>
      </c>
      <c r="E413" t="s">
        <v>5646</v>
      </c>
      <c r="F413" t="s">
        <v>5647</v>
      </c>
      <c r="H413" t="str">
        <f ca="1">PROPER(Sites_per_tag[[#This Row],[Adm2Name]])</f>
        <v>Antanimora Sud</v>
      </c>
      <c r="I413" t="s">
        <v>5664</v>
      </c>
      <c r="K413" t="s">
        <v>719</v>
      </c>
      <c r="L413" t="s">
        <v>5787</v>
      </c>
      <c r="Q413" t="s">
        <v>1866</v>
      </c>
      <c r="R413">
        <v>604080019</v>
      </c>
      <c r="T413" t="s">
        <v>7</v>
      </c>
      <c r="U413" s="3" t="str">
        <f>+VLOOKUP(Sites_per_tag[[#This Row],[Activity_tag]],Parameter!$A$24:$B$32,2,0)</f>
        <v>SMP</v>
      </c>
      <c r="W413">
        <v>45.578324000000002</v>
      </c>
      <c r="X413">
        <v>-24.633403000000001</v>
      </c>
    </row>
    <row r="414" spans="1:24" x14ac:dyDescent="0.35">
      <c r="A414" s="3" t="str">
        <f t="shared" si="6"/>
        <v>604080042SMP</v>
      </c>
      <c r="B414" t="s">
        <v>6211</v>
      </c>
      <c r="C414">
        <f>+VLOOKUP(Sites_per_tag[[#This Row],[Field_office]],Parameter!$A$3:$B$11,2,0)</f>
        <v>6</v>
      </c>
      <c r="E414" t="s">
        <v>5646</v>
      </c>
      <c r="F414" t="s">
        <v>5647</v>
      </c>
      <c r="H414" t="str">
        <f ca="1">PROPER(Sites_per_tag[[#This Row],[Adm2Name]])</f>
        <v>Antanimora Sud</v>
      </c>
      <c r="I414" t="s">
        <v>5664</v>
      </c>
      <c r="K414" t="s">
        <v>719</v>
      </c>
      <c r="L414" t="s">
        <v>5787</v>
      </c>
      <c r="Q414" t="s">
        <v>2253</v>
      </c>
      <c r="R414">
        <v>604080042</v>
      </c>
      <c r="T414" t="s">
        <v>7</v>
      </c>
      <c r="U414" s="3" t="str">
        <f>+VLOOKUP(Sites_per_tag[[#This Row],[Activity_tag]],Parameter!$A$24:$B$32,2,0)</f>
        <v>SMP</v>
      </c>
      <c r="W414">
        <v>45.651380000000003</v>
      </c>
      <c r="X414">
        <v>-24.77112</v>
      </c>
    </row>
    <row r="415" spans="1:24" x14ac:dyDescent="0.35">
      <c r="A415" s="3" t="str">
        <f t="shared" si="6"/>
        <v>604080050SMP</v>
      </c>
      <c r="B415" t="s">
        <v>6211</v>
      </c>
      <c r="C415">
        <f>+VLOOKUP(Sites_per_tag[[#This Row],[Field_office]],Parameter!$A$3:$B$11,2,0)</f>
        <v>6</v>
      </c>
      <c r="E415" t="s">
        <v>5646</v>
      </c>
      <c r="F415" t="s">
        <v>5647</v>
      </c>
      <c r="H415" t="str">
        <f ca="1">PROPER(Sites_per_tag[[#This Row],[Adm2Name]])</f>
        <v>Antanimora Sud</v>
      </c>
      <c r="I415" t="s">
        <v>5664</v>
      </c>
      <c r="K415" t="s">
        <v>719</v>
      </c>
      <c r="L415" t="s">
        <v>5787</v>
      </c>
      <c r="Q415" t="s">
        <v>952</v>
      </c>
      <c r="R415">
        <v>604080050</v>
      </c>
      <c r="T415" t="s">
        <v>7</v>
      </c>
      <c r="U415" s="3" t="str">
        <f>+VLOOKUP(Sites_per_tag[[#This Row],[Activity_tag]],Parameter!$A$24:$B$32,2,0)</f>
        <v>SMP</v>
      </c>
      <c r="W415">
        <v>45.651380000000003</v>
      </c>
      <c r="X415">
        <v>-24.77112</v>
      </c>
    </row>
    <row r="416" spans="1:24" x14ac:dyDescent="0.35">
      <c r="A416" s="3" t="str">
        <f t="shared" si="6"/>
        <v>604090002SMP</v>
      </c>
      <c r="B416" t="s">
        <v>6211</v>
      </c>
      <c r="C416">
        <f>+VLOOKUP(Sites_per_tag[[#This Row],[Field_office]],Parameter!$A$3:$B$11,2,0)</f>
        <v>6</v>
      </c>
      <c r="E416" t="s">
        <v>5646</v>
      </c>
      <c r="F416" t="s">
        <v>5647</v>
      </c>
      <c r="H416" t="str">
        <f ca="1">PROPER(Sites_per_tag[[#This Row],[Adm2Name]])</f>
        <v>Ambovombe-Androy</v>
      </c>
      <c r="I416" t="s">
        <v>5655</v>
      </c>
      <c r="K416" t="s">
        <v>5817</v>
      </c>
      <c r="L416" t="s">
        <v>5818</v>
      </c>
      <c r="Q416" t="s">
        <v>1068</v>
      </c>
      <c r="R416">
        <v>604090002</v>
      </c>
      <c r="T416" t="s">
        <v>7</v>
      </c>
      <c r="U416" s="3" t="str">
        <f>+VLOOKUP(Sites_per_tag[[#This Row],[Activity_tag]],Parameter!$A$24:$B$32,2,0)</f>
        <v>SMP</v>
      </c>
      <c r="W416">
        <v>46.193983000000003</v>
      </c>
      <c r="X416">
        <v>-25.038699000000001</v>
      </c>
    </row>
    <row r="417" spans="1:24" x14ac:dyDescent="0.35">
      <c r="A417" s="3" t="str">
        <f t="shared" si="6"/>
        <v>604090003SMP</v>
      </c>
      <c r="B417" t="s">
        <v>6211</v>
      </c>
      <c r="C417">
        <f>+VLOOKUP(Sites_per_tag[[#This Row],[Field_office]],Parameter!$A$3:$B$11,2,0)</f>
        <v>6</v>
      </c>
      <c r="E417" t="s">
        <v>5646</v>
      </c>
      <c r="F417" t="s">
        <v>5647</v>
      </c>
      <c r="H417" t="str">
        <f ca="1">PROPER(Sites_per_tag[[#This Row],[Adm2Name]])</f>
        <v>Ambovombe-Androy</v>
      </c>
      <c r="I417" t="s">
        <v>5655</v>
      </c>
      <c r="K417" t="s">
        <v>5817</v>
      </c>
      <c r="L417" t="s">
        <v>5818</v>
      </c>
      <c r="Q417" t="s">
        <v>1070</v>
      </c>
      <c r="R417">
        <v>604090003</v>
      </c>
      <c r="T417" t="s">
        <v>7</v>
      </c>
      <c r="U417" s="3" t="str">
        <f>+VLOOKUP(Sites_per_tag[[#This Row],[Activity_tag]],Parameter!$A$24:$B$32,2,0)</f>
        <v>SMP</v>
      </c>
      <c r="W417">
        <v>46.258074000000001</v>
      </c>
      <c r="X417">
        <v>-25.065263000000002</v>
      </c>
    </row>
    <row r="418" spans="1:24" x14ac:dyDescent="0.35">
      <c r="A418" s="3" t="str">
        <f t="shared" si="6"/>
        <v>604090004SMP</v>
      </c>
      <c r="B418" t="s">
        <v>6211</v>
      </c>
      <c r="C418">
        <f>+VLOOKUP(Sites_per_tag[[#This Row],[Field_office]],Parameter!$A$3:$B$11,2,0)</f>
        <v>6</v>
      </c>
      <c r="E418" t="s">
        <v>5646</v>
      </c>
      <c r="F418" t="s">
        <v>5647</v>
      </c>
      <c r="H418" t="str">
        <f ca="1">PROPER(Sites_per_tag[[#This Row],[Adm2Name]])</f>
        <v>Ambovombe-Androy</v>
      </c>
      <c r="I418" t="s">
        <v>5655</v>
      </c>
      <c r="K418" t="s">
        <v>5817</v>
      </c>
      <c r="L418" t="s">
        <v>5818</v>
      </c>
      <c r="Q418" t="s">
        <v>4166</v>
      </c>
      <c r="R418">
        <v>604090004</v>
      </c>
      <c r="T418" t="s">
        <v>7</v>
      </c>
      <c r="U418" s="3" t="str">
        <f>+VLOOKUP(Sites_per_tag[[#This Row],[Activity_tag]],Parameter!$A$24:$B$32,2,0)</f>
        <v>SMP</v>
      </c>
      <c r="W418">
        <v>46.222524999999997</v>
      </c>
      <c r="X418">
        <v>-25.048756000000001</v>
      </c>
    </row>
    <row r="419" spans="1:24" x14ac:dyDescent="0.35">
      <c r="A419" s="3" t="str">
        <f t="shared" si="6"/>
        <v>604090005SMP</v>
      </c>
      <c r="B419" t="s">
        <v>6211</v>
      </c>
      <c r="C419">
        <f>+VLOOKUP(Sites_per_tag[[#This Row],[Field_office]],Parameter!$A$3:$B$11,2,0)</f>
        <v>6</v>
      </c>
      <c r="E419" t="s">
        <v>5646</v>
      </c>
      <c r="F419" t="s">
        <v>5647</v>
      </c>
      <c r="H419" t="str">
        <f ca="1">PROPER(Sites_per_tag[[#This Row],[Adm2Name]])</f>
        <v>Ambovombe-Androy</v>
      </c>
      <c r="I419" t="s">
        <v>5655</v>
      </c>
      <c r="K419" t="s">
        <v>5817</v>
      </c>
      <c r="L419" t="s">
        <v>5818</v>
      </c>
      <c r="Q419" t="s">
        <v>4169</v>
      </c>
      <c r="R419">
        <v>604090005</v>
      </c>
      <c r="T419" t="s">
        <v>7</v>
      </c>
      <c r="U419" s="3" t="str">
        <f>+VLOOKUP(Sites_per_tag[[#This Row],[Activity_tag]],Parameter!$A$24:$B$32,2,0)</f>
        <v>SMP</v>
      </c>
      <c r="W419">
        <v>46.248990999999997</v>
      </c>
      <c r="X419">
        <v>-25.069275000000001</v>
      </c>
    </row>
    <row r="420" spans="1:24" x14ac:dyDescent="0.35">
      <c r="A420" s="3" t="str">
        <f t="shared" si="6"/>
        <v>604090007SMP</v>
      </c>
      <c r="B420" t="s">
        <v>6211</v>
      </c>
      <c r="C420">
        <f>+VLOOKUP(Sites_per_tag[[#This Row],[Field_office]],Parameter!$A$3:$B$11,2,0)</f>
        <v>6</v>
      </c>
      <c r="E420" t="s">
        <v>5646</v>
      </c>
      <c r="F420" t="s">
        <v>5647</v>
      </c>
      <c r="H420" t="str">
        <f ca="1">PROPER(Sites_per_tag[[#This Row],[Adm2Name]])</f>
        <v>Ambovombe-Androy</v>
      </c>
      <c r="I420" t="s">
        <v>5655</v>
      </c>
      <c r="K420" t="s">
        <v>5817</v>
      </c>
      <c r="L420" t="s">
        <v>5818</v>
      </c>
      <c r="Q420" t="s">
        <v>6239</v>
      </c>
      <c r="R420">
        <v>604090007</v>
      </c>
      <c r="T420" t="s">
        <v>7</v>
      </c>
      <c r="U420" s="3" t="str">
        <f>+VLOOKUP(Sites_per_tag[[#This Row],[Activity_tag]],Parameter!$A$24:$B$32,2,0)</f>
        <v>SMP</v>
      </c>
      <c r="W420">
        <v>46.239372000000003</v>
      </c>
      <c r="X420">
        <v>-25.060164</v>
      </c>
    </row>
    <row r="421" spans="1:24" x14ac:dyDescent="0.35">
      <c r="A421" s="3" t="str">
        <f t="shared" si="6"/>
        <v>604090008SMP</v>
      </c>
      <c r="B421" t="s">
        <v>6211</v>
      </c>
      <c r="C421">
        <f>+VLOOKUP(Sites_per_tag[[#This Row],[Field_office]],Parameter!$A$3:$B$11,2,0)</f>
        <v>6</v>
      </c>
      <c r="E421" t="s">
        <v>5646</v>
      </c>
      <c r="F421" t="s">
        <v>5647</v>
      </c>
      <c r="H421" t="str">
        <f ca="1">PROPER(Sites_per_tag[[#This Row],[Adm2Name]])</f>
        <v>Ambovombe-Androy</v>
      </c>
      <c r="I421" t="s">
        <v>5655</v>
      </c>
      <c r="K421" t="s">
        <v>5817</v>
      </c>
      <c r="L421" t="s">
        <v>5818</v>
      </c>
      <c r="Q421" t="s">
        <v>3000</v>
      </c>
      <c r="R421">
        <v>604090008</v>
      </c>
      <c r="T421" t="s">
        <v>7</v>
      </c>
      <c r="U421" s="3" t="str">
        <f>+VLOOKUP(Sites_per_tag[[#This Row],[Activity_tag]],Parameter!$A$24:$B$32,2,0)</f>
        <v>SMP</v>
      </c>
      <c r="W421">
        <v>46.194028000000003</v>
      </c>
      <c r="X421">
        <v>-25.064691</v>
      </c>
    </row>
    <row r="422" spans="1:24" x14ac:dyDescent="0.35">
      <c r="A422" s="3" t="str">
        <f t="shared" si="6"/>
        <v>604090010SMP</v>
      </c>
      <c r="B422" t="s">
        <v>6211</v>
      </c>
      <c r="C422">
        <f>+VLOOKUP(Sites_per_tag[[#This Row],[Field_office]],Parameter!$A$3:$B$11,2,0)</f>
        <v>6</v>
      </c>
      <c r="E422" t="s">
        <v>5646</v>
      </c>
      <c r="F422" t="s">
        <v>5647</v>
      </c>
      <c r="H422" t="str">
        <f ca="1">PROPER(Sites_per_tag[[#This Row],[Adm2Name]])</f>
        <v>Ambovombe-Androy</v>
      </c>
      <c r="I422" t="s">
        <v>5655</v>
      </c>
      <c r="K422" t="s">
        <v>6240</v>
      </c>
      <c r="L422" t="s">
        <v>6039</v>
      </c>
      <c r="Q422" t="s">
        <v>3018</v>
      </c>
      <c r="R422">
        <v>604090010</v>
      </c>
      <c r="T422" t="s">
        <v>7</v>
      </c>
      <c r="U422" s="3" t="str">
        <f>+VLOOKUP(Sites_per_tag[[#This Row],[Activity_tag]],Parameter!$A$24:$B$32,2,0)</f>
        <v>SMP</v>
      </c>
      <c r="W422">
        <v>46.210202000000002</v>
      </c>
      <c r="X422">
        <v>-25.025421999999999</v>
      </c>
    </row>
    <row r="423" spans="1:24" x14ac:dyDescent="0.35">
      <c r="A423" s="3" t="str">
        <f t="shared" si="6"/>
        <v>604090014SMP</v>
      </c>
      <c r="B423" t="s">
        <v>6211</v>
      </c>
      <c r="C423">
        <f>+VLOOKUP(Sites_per_tag[[#This Row],[Field_office]],Parameter!$A$3:$B$11,2,0)</f>
        <v>6</v>
      </c>
      <c r="E423" t="s">
        <v>5646</v>
      </c>
      <c r="F423" t="s">
        <v>5647</v>
      </c>
      <c r="H423" t="str">
        <f ca="1">PROPER(Sites_per_tag[[#This Row],[Adm2Name]])</f>
        <v>Ambovombe-Androy</v>
      </c>
      <c r="I423" t="s">
        <v>5655</v>
      </c>
      <c r="K423" t="s">
        <v>5817</v>
      </c>
      <c r="L423" t="s">
        <v>5818</v>
      </c>
      <c r="Q423" t="s">
        <v>1069</v>
      </c>
      <c r="R423">
        <v>604090014</v>
      </c>
      <c r="T423" t="s">
        <v>7</v>
      </c>
      <c r="U423" s="3" t="str">
        <f>+VLOOKUP(Sites_per_tag[[#This Row],[Activity_tag]],Parameter!$A$24:$B$32,2,0)</f>
        <v>SMP</v>
      </c>
      <c r="W423">
        <v>46.117530000000002</v>
      </c>
      <c r="X423">
        <v>-25.025829999999999</v>
      </c>
    </row>
    <row r="424" spans="1:24" x14ac:dyDescent="0.35">
      <c r="A424" s="3" t="str">
        <f t="shared" si="6"/>
        <v>604090017SMP</v>
      </c>
      <c r="B424" t="s">
        <v>6211</v>
      </c>
      <c r="C424">
        <f>+VLOOKUP(Sites_per_tag[[#This Row],[Field_office]],Parameter!$A$3:$B$11,2,0)</f>
        <v>6</v>
      </c>
      <c r="E424" t="s">
        <v>5646</v>
      </c>
      <c r="F424" t="s">
        <v>5647</v>
      </c>
      <c r="H424" t="str">
        <f ca="1">PROPER(Sites_per_tag[[#This Row],[Adm2Name]])</f>
        <v>Ambovombe-Androy</v>
      </c>
      <c r="I424" t="s">
        <v>5655</v>
      </c>
      <c r="K424" t="s">
        <v>5817</v>
      </c>
      <c r="L424" t="s">
        <v>5818</v>
      </c>
      <c r="Q424" t="s">
        <v>2322</v>
      </c>
      <c r="R424">
        <v>604090017</v>
      </c>
      <c r="T424" t="s">
        <v>7</v>
      </c>
      <c r="U424" s="3" t="str">
        <f>+VLOOKUP(Sites_per_tag[[#This Row],[Activity_tag]],Parameter!$A$24:$B$32,2,0)</f>
        <v>SMP</v>
      </c>
      <c r="W424">
        <v>46.117530000000002</v>
      </c>
      <c r="X424">
        <v>-25.025829999999999</v>
      </c>
    </row>
    <row r="425" spans="1:24" x14ac:dyDescent="0.35">
      <c r="A425" s="3" t="str">
        <f t="shared" si="6"/>
        <v>604090021SMP</v>
      </c>
      <c r="B425" t="s">
        <v>6211</v>
      </c>
      <c r="C425">
        <f>+VLOOKUP(Sites_per_tag[[#This Row],[Field_office]],Parameter!$A$3:$B$11,2,0)</f>
        <v>6</v>
      </c>
      <c r="E425" t="s">
        <v>5646</v>
      </c>
      <c r="F425" t="s">
        <v>5647</v>
      </c>
      <c r="H425" t="str">
        <f ca="1">PROPER(Sites_per_tag[[#This Row],[Adm2Name]])</f>
        <v>Ambovombe-Androy</v>
      </c>
      <c r="I425" t="s">
        <v>5655</v>
      </c>
      <c r="K425" t="s">
        <v>6149</v>
      </c>
      <c r="L425" t="s">
        <v>6150</v>
      </c>
      <c r="Q425" t="s">
        <v>6241</v>
      </c>
      <c r="R425">
        <v>604090021</v>
      </c>
      <c r="T425" t="s">
        <v>7</v>
      </c>
      <c r="U425" s="3" t="str">
        <f>+VLOOKUP(Sites_per_tag[[#This Row],[Activity_tag]],Parameter!$A$24:$B$32,2,0)</f>
        <v>SMP</v>
      </c>
      <c r="W425">
        <v>46.043520000000001</v>
      </c>
      <c r="X425">
        <v>-25.197430000000001</v>
      </c>
    </row>
    <row r="426" spans="1:24" x14ac:dyDescent="0.35">
      <c r="A426" s="3" t="str">
        <f t="shared" si="6"/>
        <v>604100011SMP</v>
      </c>
      <c r="B426" t="s">
        <v>6211</v>
      </c>
      <c r="C426">
        <f>+VLOOKUP(Sites_per_tag[[#This Row],[Field_office]],Parameter!$A$3:$B$11,2,0)</f>
        <v>6</v>
      </c>
      <c r="E426" t="s">
        <v>5646</v>
      </c>
      <c r="F426" t="s">
        <v>5647</v>
      </c>
      <c r="H426" t="str">
        <f ca="1">PROPER(Sites_per_tag[[#This Row],[Adm2Name]])</f>
        <v>Antanimora Sud</v>
      </c>
      <c r="I426" t="s">
        <v>5664</v>
      </c>
      <c r="K426" t="s">
        <v>5606</v>
      </c>
      <c r="L426" t="s">
        <v>5856</v>
      </c>
      <c r="Q426" t="s">
        <v>706</v>
      </c>
      <c r="R426">
        <v>604100011</v>
      </c>
      <c r="T426" t="s">
        <v>7</v>
      </c>
      <c r="U426" s="3" t="str">
        <f>+VLOOKUP(Sites_per_tag[[#This Row],[Activity_tag]],Parameter!$A$24:$B$32,2,0)</f>
        <v>SMP</v>
      </c>
      <c r="W426">
        <v>45.648896999999998</v>
      </c>
      <c r="X426">
        <v>-24.817895</v>
      </c>
    </row>
    <row r="427" spans="1:24" x14ac:dyDescent="0.35">
      <c r="A427" s="3" t="str">
        <f t="shared" si="6"/>
        <v>604100016SMP</v>
      </c>
      <c r="B427" t="s">
        <v>6211</v>
      </c>
      <c r="C427">
        <f>+VLOOKUP(Sites_per_tag[[#This Row],[Field_office]],Parameter!$A$3:$B$11,2,0)</f>
        <v>6</v>
      </c>
      <c r="E427" t="s">
        <v>5646</v>
      </c>
      <c r="F427" t="s">
        <v>5647</v>
      </c>
      <c r="H427" t="str">
        <f ca="1">PROPER(Sites_per_tag[[#This Row],[Adm2Name]])</f>
        <v>Antanimora Sud</v>
      </c>
      <c r="I427" t="s">
        <v>5664</v>
      </c>
      <c r="K427" t="s">
        <v>5606</v>
      </c>
      <c r="L427" t="s">
        <v>5856</v>
      </c>
      <c r="Q427" t="s">
        <v>1274</v>
      </c>
      <c r="R427">
        <v>604100016</v>
      </c>
      <c r="T427" t="s">
        <v>7</v>
      </c>
      <c r="U427" s="3" t="str">
        <f>+VLOOKUP(Sites_per_tag[[#This Row],[Activity_tag]],Parameter!$A$24:$B$32,2,0)</f>
        <v>SMP</v>
      </c>
      <c r="W427">
        <v>45.866979999999998</v>
      </c>
      <c r="X427">
        <v>-24.692250000000001</v>
      </c>
    </row>
    <row r="428" spans="1:24" x14ac:dyDescent="0.35">
      <c r="A428" s="3" t="str">
        <f t="shared" si="6"/>
        <v>604100017SMP</v>
      </c>
      <c r="B428" t="s">
        <v>6211</v>
      </c>
      <c r="C428">
        <f>+VLOOKUP(Sites_per_tag[[#This Row],[Field_office]],Parameter!$A$3:$B$11,2,0)</f>
        <v>6</v>
      </c>
      <c r="E428" t="s">
        <v>5646</v>
      </c>
      <c r="F428" t="s">
        <v>5647</v>
      </c>
      <c r="H428" t="str">
        <f ca="1">PROPER(Sites_per_tag[[#This Row],[Adm2Name]])</f>
        <v>Antanimora Sud</v>
      </c>
      <c r="I428" t="s">
        <v>5664</v>
      </c>
      <c r="K428" t="s">
        <v>773</v>
      </c>
      <c r="L428" t="s">
        <v>5795</v>
      </c>
      <c r="Q428" t="s">
        <v>1225</v>
      </c>
      <c r="R428">
        <v>604100017</v>
      </c>
      <c r="T428" t="s">
        <v>7</v>
      </c>
      <c r="U428" s="3" t="str">
        <f>+VLOOKUP(Sites_per_tag[[#This Row],[Activity_tag]],Parameter!$A$24:$B$32,2,0)</f>
        <v>SMP</v>
      </c>
      <c r="W428">
        <v>45.709865000000001</v>
      </c>
      <c r="X428">
        <v>-24.600470000000001</v>
      </c>
    </row>
    <row r="429" spans="1:24" x14ac:dyDescent="0.35">
      <c r="A429" s="3" t="str">
        <f t="shared" si="6"/>
        <v>604100018SMP</v>
      </c>
      <c r="B429" t="s">
        <v>6211</v>
      </c>
      <c r="C429">
        <f>+VLOOKUP(Sites_per_tag[[#This Row],[Field_office]],Parameter!$A$3:$B$11,2,0)</f>
        <v>6</v>
      </c>
      <c r="E429" t="s">
        <v>5646</v>
      </c>
      <c r="F429" t="s">
        <v>5647</v>
      </c>
      <c r="H429" t="str">
        <f ca="1">PROPER(Sites_per_tag[[#This Row],[Adm2Name]])</f>
        <v>Antanimora Sud</v>
      </c>
      <c r="I429" t="s">
        <v>5664</v>
      </c>
      <c r="K429" t="s">
        <v>773</v>
      </c>
      <c r="L429" t="s">
        <v>5795</v>
      </c>
      <c r="Q429" t="s">
        <v>1339</v>
      </c>
      <c r="R429">
        <v>604100018</v>
      </c>
      <c r="T429" t="s">
        <v>7</v>
      </c>
      <c r="U429" s="3" t="str">
        <f>+VLOOKUP(Sites_per_tag[[#This Row],[Activity_tag]],Parameter!$A$24:$B$32,2,0)</f>
        <v>SMP</v>
      </c>
      <c r="W429">
        <v>45.718024</v>
      </c>
      <c r="X429">
        <v>-24.600883</v>
      </c>
    </row>
    <row r="430" spans="1:24" x14ac:dyDescent="0.35">
      <c r="A430" s="3" t="str">
        <f t="shared" si="6"/>
        <v>604100019SMP</v>
      </c>
      <c r="B430" t="s">
        <v>6211</v>
      </c>
      <c r="C430">
        <f>+VLOOKUP(Sites_per_tag[[#This Row],[Field_office]],Parameter!$A$3:$B$11,2,0)</f>
        <v>6</v>
      </c>
      <c r="E430" t="s">
        <v>5646</v>
      </c>
      <c r="F430" t="s">
        <v>5647</v>
      </c>
      <c r="H430" t="str">
        <f ca="1">PROPER(Sites_per_tag[[#This Row],[Adm2Name]])</f>
        <v>Antanimora Sud</v>
      </c>
      <c r="I430" t="s">
        <v>5664</v>
      </c>
      <c r="K430" t="s">
        <v>5606</v>
      </c>
      <c r="L430" t="s">
        <v>5856</v>
      </c>
      <c r="Q430" t="s">
        <v>6242</v>
      </c>
      <c r="R430">
        <v>604100019</v>
      </c>
      <c r="T430" t="s">
        <v>7</v>
      </c>
      <c r="U430" s="3" t="str">
        <f>+VLOOKUP(Sites_per_tag[[#This Row],[Activity_tag]],Parameter!$A$24:$B$32,2,0)</f>
        <v>SMP</v>
      </c>
      <c r="W430">
        <v>45.657277000000001</v>
      </c>
      <c r="X430">
        <v>-24.814143000000001</v>
      </c>
    </row>
    <row r="431" spans="1:24" x14ac:dyDescent="0.35">
      <c r="A431" s="3" t="str">
        <f t="shared" si="6"/>
        <v>604100027SMP</v>
      </c>
      <c r="B431" t="s">
        <v>6211</v>
      </c>
      <c r="C431">
        <f>+VLOOKUP(Sites_per_tag[[#This Row],[Field_office]],Parameter!$A$3:$B$11,2,0)</f>
        <v>6</v>
      </c>
      <c r="E431" t="s">
        <v>5646</v>
      </c>
      <c r="F431" t="s">
        <v>5647</v>
      </c>
      <c r="H431" t="str">
        <f ca="1">PROPER(Sites_per_tag[[#This Row],[Adm2Name]])</f>
        <v>Antanimora Sud</v>
      </c>
      <c r="I431" t="s">
        <v>5664</v>
      </c>
      <c r="K431" t="s">
        <v>5606</v>
      </c>
      <c r="L431" t="s">
        <v>5856</v>
      </c>
      <c r="Q431" t="s">
        <v>6243</v>
      </c>
      <c r="R431">
        <v>604100027</v>
      </c>
      <c r="T431" t="s">
        <v>7</v>
      </c>
      <c r="U431" s="3" t="str">
        <f>+VLOOKUP(Sites_per_tag[[#This Row],[Activity_tag]],Parameter!$A$24:$B$32,2,0)</f>
        <v>SMP</v>
      </c>
      <c r="W431">
        <v>45.762337000000002</v>
      </c>
      <c r="X431">
        <v>-24.947998999999999</v>
      </c>
    </row>
    <row r="432" spans="1:24" x14ac:dyDescent="0.35">
      <c r="A432" s="3" t="str">
        <f t="shared" si="6"/>
        <v>604100031SMP</v>
      </c>
      <c r="B432" t="s">
        <v>6211</v>
      </c>
      <c r="C432">
        <f>+VLOOKUP(Sites_per_tag[[#This Row],[Field_office]],Parameter!$A$3:$B$11,2,0)</f>
        <v>6</v>
      </c>
      <c r="E432" t="s">
        <v>5646</v>
      </c>
      <c r="F432" t="s">
        <v>5647</v>
      </c>
      <c r="H432" t="str">
        <f ca="1">PROPER(Sites_per_tag[[#This Row],[Adm2Name]])</f>
        <v>Antanimora Sud</v>
      </c>
      <c r="I432" t="s">
        <v>5664</v>
      </c>
      <c r="K432" t="s">
        <v>5606</v>
      </c>
      <c r="L432" t="s">
        <v>5856</v>
      </c>
      <c r="Q432" t="s">
        <v>3972</v>
      </c>
      <c r="R432">
        <v>604100031</v>
      </c>
      <c r="T432" t="s">
        <v>7</v>
      </c>
      <c r="U432" s="3" t="str">
        <f>+VLOOKUP(Sites_per_tag[[#This Row],[Activity_tag]],Parameter!$A$24:$B$32,2,0)</f>
        <v>SMP</v>
      </c>
      <c r="W432">
        <v>45.885179000000001</v>
      </c>
      <c r="X432">
        <v>-24.692941000000001</v>
      </c>
    </row>
    <row r="433" spans="1:24" x14ac:dyDescent="0.35">
      <c r="A433" s="3" t="str">
        <f t="shared" si="6"/>
        <v>604100051SMP</v>
      </c>
      <c r="B433" t="s">
        <v>6211</v>
      </c>
      <c r="C433">
        <f>+VLOOKUP(Sites_per_tag[[#This Row],[Field_office]],Parameter!$A$3:$B$11,2,0)</f>
        <v>6</v>
      </c>
      <c r="E433" t="s">
        <v>5646</v>
      </c>
      <c r="F433" t="s">
        <v>5647</v>
      </c>
      <c r="H433" t="str">
        <f ca="1">PROPER(Sites_per_tag[[#This Row],[Adm2Name]])</f>
        <v>Antanimora Sud</v>
      </c>
      <c r="I433" t="s">
        <v>5664</v>
      </c>
      <c r="K433" t="s">
        <v>773</v>
      </c>
      <c r="L433" t="s">
        <v>5795</v>
      </c>
      <c r="Q433" t="s">
        <v>311</v>
      </c>
      <c r="R433">
        <v>604100051</v>
      </c>
      <c r="T433" t="s">
        <v>7</v>
      </c>
      <c r="U433" s="3" t="str">
        <f>+VLOOKUP(Sites_per_tag[[#This Row],[Activity_tag]],Parameter!$A$24:$B$32,2,0)</f>
        <v>SMP</v>
      </c>
      <c r="W433">
        <v>45.545847000000002</v>
      </c>
      <c r="X433">
        <v>-24.517239</v>
      </c>
    </row>
    <row r="434" spans="1:24" x14ac:dyDescent="0.35">
      <c r="A434" s="3" t="str">
        <f t="shared" si="6"/>
        <v>604100057SMP</v>
      </c>
      <c r="B434" t="s">
        <v>6211</v>
      </c>
      <c r="C434">
        <f>+VLOOKUP(Sites_per_tag[[#This Row],[Field_office]],Parameter!$A$3:$B$11,2,0)</f>
        <v>6</v>
      </c>
      <c r="E434" t="s">
        <v>5646</v>
      </c>
      <c r="F434" t="s">
        <v>5647</v>
      </c>
      <c r="H434" t="str">
        <f ca="1">PROPER(Sites_per_tag[[#This Row],[Adm2Name]])</f>
        <v>Antanimora Sud</v>
      </c>
      <c r="I434" t="s">
        <v>5664</v>
      </c>
      <c r="K434" t="s">
        <v>5606</v>
      </c>
      <c r="L434" t="s">
        <v>5856</v>
      </c>
      <c r="Q434" t="s">
        <v>6244</v>
      </c>
      <c r="R434">
        <v>604100057</v>
      </c>
      <c r="T434" t="s">
        <v>7</v>
      </c>
      <c r="U434" s="3" t="str">
        <f>+VLOOKUP(Sites_per_tag[[#This Row],[Activity_tag]],Parameter!$A$24:$B$32,2,0)</f>
        <v>SMP</v>
      </c>
      <c r="W434">
        <v>45.866979999999998</v>
      </c>
      <c r="X434">
        <v>-24.692250000000001</v>
      </c>
    </row>
    <row r="435" spans="1:24" x14ac:dyDescent="0.35">
      <c r="A435" s="3" t="str">
        <f t="shared" si="6"/>
        <v>604100058SMP</v>
      </c>
      <c r="B435" t="s">
        <v>6211</v>
      </c>
      <c r="C435">
        <f>+VLOOKUP(Sites_per_tag[[#This Row],[Field_office]],Parameter!$A$3:$B$11,2,0)</f>
        <v>6</v>
      </c>
      <c r="E435" t="s">
        <v>5646</v>
      </c>
      <c r="F435" t="s">
        <v>5647</v>
      </c>
      <c r="H435" t="str">
        <f ca="1">PROPER(Sites_per_tag[[#This Row],[Adm2Name]])</f>
        <v>Antanimora Sud</v>
      </c>
      <c r="I435" t="s">
        <v>5664</v>
      </c>
      <c r="K435" t="s">
        <v>5606</v>
      </c>
      <c r="L435" t="s">
        <v>5856</v>
      </c>
      <c r="Q435" t="s">
        <v>1940</v>
      </c>
      <c r="R435">
        <v>604100058</v>
      </c>
      <c r="T435" t="s">
        <v>7</v>
      </c>
      <c r="U435" s="3" t="str">
        <f>+VLOOKUP(Sites_per_tag[[#This Row],[Activity_tag]],Parameter!$A$24:$B$32,2,0)</f>
        <v>SMP</v>
      </c>
      <c r="W435">
        <v>45.866979999999998</v>
      </c>
      <c r="X435">
        <v>-24.692250000000001</v>
      </c>
    </row>
    <row r="436" spans="1:24" x14ac:dyDescent="0.35">
      <c r="A436" s="3" t="str">
        <f t="shared" si="6"/>
        <v>604100060SMP</v>
      </c>
      <c r="B436" t="s">
        <v>6211</v>
      </c>
      <c r="C436">
        <f>+VLOOKUP(Sites_per_tag[[#This Row],[Field_office]],Parameter!$A$3:$B$11,2,0)</f>
        <v>6</v>
      </c>
      <c r="E436" t="s">
        <v>5646</v>
      </c>
      <c r="F436" t="s">
        <v>5647</v>
      </c>
      <c r="H436" t="str">
        <f ca="1">PROPER(Sites_per_tag[[#This Row],[Adm2Name]])</f>
        <v>Antanimora Sud</v>
      </c>
      <c r="I436" t="s">
        <v>5664</v>
      </c>
      <c r="K436" t="s">
        <v>5606</v>
      </c>
      <c r="L436" t="s">
        <v>5856</v>
      </c>
      <c r="Q436" t="s">
        <v>588</v>
      </c>
      <c r="R436">
        <v>604100060</v>
      </c>
      <c r="T436" t="s">
        <v>7</v>
      </c>
      <c r="U436" s="3" t="str">
        <f>+VLOOKUP(Sites_per_tag[[#This Row],[Activity_tag]],Parameter!$A$24:$B$32,2,0)</f>
        <v>SMP</v>
      </c>
      <c r="W436">
        <v>45.866979999999998</v>
      </c>
      <c r="X436">
        <v>-24.692250000000001</v>
      </c>
    </row>
    <row r="437" spans="1:24" x14ac:dyDescent="0.35">
      <c r="A437" s="3" t="str">
        <f t="shared" si="6"/>
        <v>604110001SMP</v>
      </c>
      <c r="B437" t="s">
        <v>6211</v>
      </c>
      <c r="C437">
        <f>+VLOOKUP(Sites_per_tag[[#This Row],[Field_office]],Parameter!$A$3:$B$11,2,0)</f>
        <v>6</v>
      </c>
      <c r="E437" t="s">
        <v>5646</v>
      </c>
      <c r="F437" t="s">
        <v>5647</v>
      </c>
      <c r="H437" t="str">
        <f ca="1">PROPER(Sites_per_tag[[#This Row],[Adm2Name]])</f>
        <v>Ambovombe-Androy</v>
      </c>
      <c r="I437" t="s">
        <v>5655</v>
      </c>
      <c r="K437" t="s">
        <v>2387</v>
      </c>
      <c r="L437" t="s">
        <v>5945</v>
      </c>
      <c r="Q437" t="s">
        <v>144</v>
      </c>
      <c r="R437">
        <v>604110001</v>
      </c>
      <c r="T437" t="s">
        <v>7</v>
      </c>
      <c r="U437" s="3" t="str">
        <f>+VLOOKUP(Sites_per_tag[[#This Row],[Activity_tag]],Parameter!$A$24:$B$32,2,0)</f>
        <v>SMP</v>
      </c>
      <c r="W437">
        <v>45.930869000000001</v>
      </c>
      <c r="X437">
        <v>-25.295506</v>
      </c>
    </row>
    <row r="438" spans="1:24" x14ac:dyDescent="0.35">
      <c r="A438" s="3" t="str">
        <f t="shared" si="6"/>
        <v>604110002SMP</v>
      </c>
      <c r="B438" t="s">
        <v>6211</v>
      </c>
      <c r="C438">
        <f>+VLOOKUP(Sites_per_tag[[#This Row],[Field_office]],Parameter!$A$3:$B$11,2,0)</f>
        <v>6</v>
      </c>
      <c r="E438" t="s">
        <v>5646</v>
      </c>
      <c r="F438" t="s">
        <v>5647</v>
      </c>
      <c r="H438" t="str">
        <f ca="1">PROPER(Sites_per_tag[[#This Row],[Adm2Name]])</f>
        <v>Ambovombe-Androy</v>
      </c>
      <c r="I438" t="s">
        <v>5655</v>
      </c>
      <c r="K438" t="s">
        <v>2387</v>
      </c>
      <c r="L438" t="s">
        <v>5945</v>
      </c>
      <c r="Q438" t="s">
        <v>468</v>
      </c>
      <c r="R438">
        <v>604110002</v>
      </c>
      <c r="T438" t="s">
        <v>7</v>
      </c>
      <c r="U438" s="3" t="str">
        <f>+VLOOKUP(Sites_per_tag[[#This Row],[Activity_tag]],Parameter!$A$24:$B$32,2,0)</f>
        <v>SMP</v>
      </c>
      <c r="W438">
        <v>45.984715000000001</v>
      </c>
      <c r="X438">
        <v>-25.275926999999999</v>
      </c>
    </row>
    <row r="439" spans="1:24" x14ac:dyDescent="0.35">
      <c r="A439" s="3" t="str">
        <f t="shared" si="6"/>
        <v>604110003SMP</v>
      </c>
      <c r="B439" t="s">
        <v>6211</v>
      </c>
      <c r="C439">
        <f>+VLOOKUP(Sites_per_tag[[#This Row],[Field_office]],Parameter!$A$3:$B$11,2,0)</f>
        <v>6</v>
      </c>
      <c r="E439" t="s">
        <v>5646</v>
      </c>
      <c r="F439" t="s">
        <v>5647</v>
      </c>
      <c r="H439" t="str">
        <f ca="1">PROPER(Sites_per_tag[[#This Row],[Adm2Name]])</f>
        <v>Ambovombe-Androy</v>
      </c>
      <c r="I439" t="s">
        <v>5655</v>
      </c>
      <c r="K439" t="s">
        <v>2387</v>
      </c>
      <c r="L439" t="s">
        <v>5945</v>
      </c>
      <c r="Q439" t="s">
        <v>6245</v>
      </c>
      <c r="R439">
        <v>604110003</v>
      </c>
      <c r="T439" t="s">
        <v>7</v>
      </c>
      <c r="U439" s="3" t="str">
        <f>+VLOOKUP(Sites_per_tag[[#This Row],[Activity_tag]],Parameter!$A$24:$B$32,2,0)</f>
        <v>SMP</v>
      </c>
      <c r="W439">
        <v>45.966428999999998</v>
      </c>
      <c r="X439">
        <v>-25.257237</v>
      </c>
    </row>
    <row r="440" spans="1:24" x14ac:dyDescent="0.35">
      <c r="A440" s="3" t="str">
        <f t="shared" si="6"/>
        <v>604110004SMP</v>
      </c>
      <c r="B440" t="s">
        <v>6211</v>
      </c>
      <c r="C440">
        <f>+VLOOKUP(Sites_per_tag[[#This Row],[Field_office]],Parameter!$A$3:$B$11,2,0)</f>
        <v>6</v>
      </c>
      <c r="E440" t="s">
        <v>5646</v>
      </c>
      <c r="F440" t="s">
        <v>5647</v>
      </c>
      <c r="H440" t="str">
        <f ca="1">PROPER(Sites_per_tag[[#This Row],[Adm2Name]])</f>
        <v>Ambovombe-Androy</v>
      </c>
      <c r="I440" t="s">
        <v>5655</v>
      </c>
      <c r="K440" t="s">
        <v>2387</v>
      </c>
      <c r="L440" t="s">
        <v>5945</v>
      </c>
      <c r="Q440" t="s">
        <v>1926</v>
      </c>
      <c r="R440">
        <v>604110004</v>
      </c>
      <c r="T440" t="s">
        <v>7</v>
      </c>
      <c r="U440" s="3" t="str">
        <f>+VLOOKUP(Sites_per_tag[[#This Row],[Activity_tag]],Parameter!$A$24:$B$32,2,0)</f>
        <v>SMP</v>
      </c>
      <c r="W440">
        <v>45.981974999999998</v>
      </c>
      <c r="X440">
        <v>-25.292911</v>
      </c>
    </row>
    <row r="441" spans="1:24" x14ac:dyDescent="0.35">
      <c r="A441" s="3" t="str">
        <f t="shared" si="6"/>
        <v>604110005SMP</v>
      </c>
      <c r="B441" t="s">
        <v>6211</v>
      </c>
      <c r="C441">
        <f>+VLOOKUP(Sites_per_tag[[#This Row],[Field_office]],Parameter!$A$3:$B$11,2,0)</f>
        <v>6</v>
      </c>
      <c r="E441" t="s">
        <v>5646</v>
      </c>
      <c r="F441" t="s">
        <v>5647</v>
      </c>
      <c r="H441" t="str">
        <f ca="1">PROPER(Sites_per_tag[[#This Row],[Adm2Name]])</f>
        <v>Ambovombe-Androy</v>
      </c>
      <c r="I441" t="s">
        <v>5655</v>
      </c>
      <c r="K441" t="s">
        <v>2387</v>
      </c>
      <c r="L441" t="s">
        <v>5945</v>
      </c>
      <c r="Q441" t="s">
        <v>5762</v>
      </c>
      <c r="R441">
        <v>604110005</v>
      </c>
      <c r="T441" t="s">
        <v>7</v>
      </c>
      <c r="U441" s="3" t="str">
        <f>+VLOOKUP(Sites_per_tag[[#This Row],[Activity_tag]],Parameter!$A$24:$B$32,2,0)</f>
        <v>SMP</v>
      </c>
      <c r="W441">
        <v>45.946564000000002</v>
      </c>
      <c r="X441">
        <v>-25.286169999999998</v>
      </c>
    </row>
    <row r="442" spans="1:24" x14ac:dyDescent="0.35">
      <c r="A442" s="3" t="str">
        <f t="shared" si="6"/>
        <v>604110007SMP</v>
      </c>
      <c r="B442" t="s">
        <v>6211</v>
      </c>
      <c r="C442">
        <f>+VLOOKUP(Sites_per_tag[[#This Row],[Field_office]],Parameter!$A$3:$B$11,2,0)</f>
        <v>6</v>
      </c>
      <c r="E442" t="s">
        <v>5646</v>
      </c>
      <c r="F442" t="s">
        <v>5647</v>
      </c>
      <c r="H442" t="str">
        <f ca="1">PROPER(Sites_per_tag[[#This Row],[Adm2Name]])</f>
        <v>Ambovombe-Androy</v>
      </c>
      <c r="I442" t="s">
        <v>5655</v>
      </c>
      <c r="K442" t="s">
        <v>2387</v>
      </c>
      <c r="L442" t="s">
        <v>5945</v>
      </c>
      <c r="Q442" t="s">
        <v>3192</v>
      </c>
      <c r="R442">
        <v>604110007</v>
      </c>
      <c r="T442" t="s">
        <v>7</v>
      </c>
      <c r="U442" s="3" t="str">
        <f>+VLOOKUP(Sites_per_tag[[#This Row],[Activity_tag]],Parameter!$A$24:$B$32,2,0)</f>
        <v>SMP</v>
      </c>
      <c r="W442">
        <v>45.9617</v>
      </c>
      <c r="X442">
        <v>-25.272770999999999</v>
      </c>
    </row>
    <row r="443" spans="1:24" x14ac:dyDescent="0.35">
      <c r="A443" s="3" t="str">
        <f t="shared" si="6"/>
        <v>604110008SMP</v>
      </c>
      <c r="B443" t="s">
        <v>6211</v>
      </c>
      <c r="C443">
        <f>+VLOOKUP(Sites_per_tag[[#This Row],[Field_office]],Parameter!$A$3:$B$11,2,0)</f>
        <v>6</v>
      </c>
      <c r="E443" t="s">
        <v>5646</v>
      </c>
      <c r="F443" t="s">
        <v>5647</v>
      </c>
      <c r="H443" t="str">
        <f ca="1">PROPER(Sites_per_tag[[#This Row],[Adm2Name]])</f>
        <v>Ambovombe-Androy</v>
      </c>
      <c r="I443" t="s">
        <v>5655</v>
      </c>
      <c r="K443" t="s">
        <v>2387</v>
      </c>
      <c r="L443" t="s">
        <v>5945</v>
      </c>
      <c r="Q443" t="s">
        <v>3285</v>
      </c>
      <c r="R443">
        <v>604110008</v>
      </c>
      <c r="T443" t="s">
        <v>7</v>
      </c>
      <c r="U443" s="3" t="str">
        <f>+VLOOKUP(Sites_per_tag[[#This Row],[Activity_tag]],Parameter!$A$24:$B$32,2,0)</f>
        <v>SMP</v>
      </c>
      <c r="W443">
        <v>45.978695999999999</v>
      </c>
      <c r="X443">
        <v>-25.253968</v>
      </c>
    </row>
    <row r="444" spans="1:24" x14ac:dyDescent="0.35">
      <c r="A444" s="3" t="str">
        <f t="shared" si="6"/>
        <v>604110011SMP</v>
      </c>
      <c r="B444" t="s">
        <v>6211</v>
      </c>
      <c r="C444">
        <f>+VLOOKUP(Sites_per_tag[[#This Row],[Field_office]],Parameter!$A$3:$B$11,2,0)</f>
        <v>6</v>
      </c>
      <c r="E444" t="s">
        <v>5646</v>
      </c>
      <c r="F444" t="s">
        <v>5647</v>
      </c>
      <c r="H444" t="str">
        <f ca="1">PROPER(Sites_per_tag[[#This Row],[Adm2Name]])</f>
        <v>Ambovombe-Androy</v>
      </c>
      <c r="I444" t="s">
        <v>5655</v>
      </c>
      <c r="K444" t="s">
        <v>2387</v>
      </c>
      <c r="L444" t="s">
        <v>5945</v>
      </c>
      <c r="Q444" t="s">
        <v>2514</v>
      </c>
      <c r="R444">
        <v>604110011</v>
      </c>
      <c r="T444" t="s">
        <v>7</v>
      </c>
      <c r="U444" s="3" t="str">
        <f>+VLOOKUP(Sites_per_tag[[#This Row],[Activity_tag]],Parameter!$A$24:$B$32,2,0)</f>
        <v>SMP</v>
      </c>
      <c r="W444">
        <v>45.943041000000001</v>
      </c>
      <c r="X444">
        <v>-25.276648000000002</v>
      </c>
    </row>
    <row r="445" spans="1:24" x14ac:dyDescent="0.35">
      <c r="A445" s="3" t="str">
        <f t="shared" si="6"/>
        <v>604120007SMP</v>
      </c>
      <c r="B445" t="s">
        <v>6211</v>
      </c>
      <c r="C445">
        <f>+VLOOKUP(Sites_per_tag[[#This Row],[Field_office]],Parameter!$A$3:$B$11,2,0)</f>
        <v>6</v>
      </c>
      <c r="E445" t="s">
        <v>5646</v>
      </c>
      <c r="F445" t="s">
        <v>5647</v>
      </c>
      <c r="H445" t="str">
        <f ca="1">PROPER(Sites_per_tag[[#This Row],[Adm2Name]])</f>
        <v>Antanimora Sud</v>
      </c>
      <c r="I445" t="s">
        <v>5664</v>
      </c>
      <c r="K445" t="s">
        <v>6246</v>
      </c>
      <c r="L445" t="s">
        <v>5974</v>
      </c>
      <c r="Q445" t="s">
        <v>2151</v>
      </c>
      <c r="R445">
        <v>604120007</v>
      </c>
      <c r="T445" t="s">
        <v>7</v>
      </c>
      <c r="U445" s="3" t="str">
        <f>+VLOOKUP(Sites_per_tag[[#This Row],[Activity_tag]],Parameter!$A$24:$B$32,2,0)</f>
        <v>SMP</v>
      </c>
      <c r="W445">
        <v>45.774279999999997</v>
      </c>
      <c r="X445">
        <v>-24.463329999999999</v>
      </c>
    </row>
    <row r="446" spans="1:24" x14ac:dyDescent="0.35">
      <c r="A446" s="3" t="str">
        <f t="shared" si="6"/>
        <v>604130005SMP</v>
      </c>
      <c r="B446" t="s">
        <v>6211</v>
      </c>
      <c r="C446">
        <f>+VLOOKUP(Sites_per_tag[[#This Row],[Field_office]],Parameter!$A$3:$B$11,2,0)</f>
        <v>6</v>
      </c>
      <c r="E446" t="s">
        <v>5646</v>
      </c>
      <c r="F446" t="s">
        <v>5647</v>
      </c>
      <c r="H446" t="str">
        <f ca="1">PROPER(Sites_per_tag[[#This Row],[Adm2Name]])</f>
        <v>Antanimora Sud</v>
      </c>
      <c r="I446" t="s">
        <v>5664</v>
      </c>
      <c r="K446" t="s">
        <v>6247</v>
      </c>
      <c r="L446" t="s">
        <v>5991</v>
      </c>
      <c r="Q446" t="s">
        <v>1128</v>
      </c>
      <c r="R446">
        <v>604130005</v>
      </c>
      <c r="T446" t="s">
        <v>7</v>
      </c>
      <c r="U446" s="3" t="str">
        <f>+VLOOKUP(Sites_per_tag[[#This Row],[Activity_tag]],Parameter!$A$24:$B$32,2,0)</f>
        <v>SMP</v>
      </c>
      <c r="W446">
        <v>45.479660000000003</v>
      </c>
      <c r="X446">
        <v>-24.799347000000001</v>
      </c>
    </row>
    <row r="447" spans="1:24" x14ac:dyDescent="0.35">
      <c r="A447" s="3" t="str">
        <f t="shared" si="6"/>
        <v>604130006SMP</v>
      </c>
      <c r="B447" t="s">
        <v>6211</v>
      </c>
      <c r="C447">
        <f>+VLOOKUP(Sites_per_tag[[#This Row],[Field_office]],Parameter!$A$3:$B$11,2,0)</f>
        <v>6</v>
      </c>
      <c r="E447" t="s">
        <v>5646</v>
      </c>
      <c r="F447" t="s">
        <v>5647</v>
      </c>
      <c r="H447" t="str">
        <f ca="1">PROPER(Sites_per_tag[[#This Row],[Adm2Name]])</f>
        <v>Antanimora Sud</v>
      </c>
      <c r="I447" t="s">
        <v>5664</v>
      </c>
      <c r="K447" t="s">
        <v>6247</v>
      </c>
      <c r="L447" t="s">
        <v>5991</v>
      </c>
      <c r="Q447" t="s">
        <v>1326</v>
      </c>
      <c r="R447">
        <v>604130006</v>
      </c>
      <c r="T447" t="s">
        <v>7</v>
      </c>
      <c r="U447" s="3" t="str">
        <f>+VLOOKUP(Sites_per_tag[[#This Row],[Activity_tag]],Parameter!$A$24:$B$32,2,0)</f>
        <v>SMP</v>
      </c>
      <c r="W447">
        <v>45.549774999999997</v>
      </c>
      <c r="X447">
        <v>-24.77534</v>
      </c>
    </row>
    <row r="448" spans="1:24" x14ac:dyDescent="0.35">
      <c r="A448" s="3" t="str">
        <f t="shared" si="6"/>
        <v>604130007SMP</v>
      </c>
      <c r="B448" t="s">
        <v>6211</v>
      </c>
      <c r="C448">
        <f>+VLOOKUP(Sites_per_tag[[#This Row],[Field_office]],Parameter!$A$3:$B$11,2,0)</f>
        <v>6</v>
      </c>
      <c r="E448" t="s">
        <v>5646</v>
      </c>
      <c r="F448" t="s">
        <v>5647</v>
      </c>
      <c r="H448" t="str">
        <f ca="1">PROPER(Sites_per_tag[[#This Row],[Adm2Name]])</f>
        <v>Antanimora Sud</v>
      </c>
      <c r="I448" t="s">
        <v>5664</v>
      </c>
      <c r="K448" t="s">
        <v>6247</v>
      </c>
      <c r="L448" t="s">
        <v>5991</v>
      </c>
      <c r="Q448" t="s">
        <v>1329</v>
      </c>
      <c r="R448">
        <v>604130007</v>
      </c>
      <c r="T448" t="s">
        <v>7</v>
      </c>
      <c r="U448" s="3" t="str">
        <f>+VLOOKUP(Sites_per_tag[[#This Row],[Activity_tag]],Parameter!$A$24:$B$32,2,0)</f>
        <v>SMP</v>
      </c>
      <c r="W448">
        <v>45.573224000000003</v>
      </c>
      <c r="X448">
        <v>-24.795027000000001</v>
      </c>
    </row>
    <row r="449" spans="1:24" x14ac:dyDescent="0.35">
      <c r="A449" s="3" t="str">
        <f t="shared" si="6"/>
        <v>604130008SMP</v>
      </c>
      <c r="B449" t="s">
        <v>6211</v>
      </c>
      <c r="C449">
        <f>+VLOOKUP(Sites_per_tag[[#This Row],[Field_office]],Parameter!$A$3:$B$11,2,0)</f>
        <v>6</v>
      </c>
      <c r="E449" t="s">
        <v>5646</v>
      </c>
      <c r="F449" t="s">
        <v>5647</v>
      </c>
      <c r="H449" t="str">
        <f ca="1">PROPER(Sites_per_tag[[#This Row],[Adm2Name]])</f>
        <v>Antanimora Sud</v>
      </c>
      <c r="I449" t="s">
        <v>5664</v>
      </c>
      <c r="K449" t="s">
        <v>6248</v>
      </c>
      <c r="L449" t="s">
        <v>5797</v>
      </c>
      <c r="Q449" t="s">
        <v>1420</v>
      </c>
      <c r="R449">
        <v>604130008</v>
      </c>
      <c r="T449" t="s">
        <v>7</v>
      </c>
      <c r="U449" s="3" t="str">
        <f>+VLOOKUP(Sites_per_tag[[#This Row],[Activity_tag]],Parameter!$A$24:$B$32,2,0)</f>
        <v>SMP</v>
      </c>
      <c r="W449">
        <v>45.472422999999999</v>
      </c>
      <c r="X449">
        <v>-25.024587</v>
      </c>
    </row>
    <row r="450" spans="1:24" x14ac:dyDescent="0.35">
      <c r="A450" s="3" t="str">
        <f t="shared" si="6"/>
        <v>604130009SMP</v>
      </c>
      <c r="B450" t="s">
        <v>6211</v>
      </c>
      <c r="C450">
        <f>+VLOOKUP(Sites_per_tag[[#This Row],[Field_office]],Parameter!$A$3:$B$11,2,0)</f>
        <v>6</v>
      </c>
      <c r="E450" t="s">
        <v>5646</v>
      </c>
      <c r="F450" t="s">
        <v>5647</v>
      </c>
      <c r="H450" t="str">
        <f ca="1">PROPER(Sites_per_tag[[#This Row],[Adm2Name]])</f>
        <v>Antanimora Sud</v>
      </c>
      <c r="I450" t="s">
        <v>5664</v>
      </c>
      <c r="K450" t="s">
        <v>6248</v>
      </c>
      <c r="L450" t="s">
        <v>5797</v>
      </c>
      <c r="Q450" t="s">
        <v>1433</v>
      </c>
      <c r="R450">
        <v>604130009</v>
      </c>
      <c r="T450" t="s">
        <v>7</v>
      </c>
      <c r="U450" s="3" t="str">
        <f>+VLOOKUP(Sites_per_tag[[#This Row],[Activity_tag]],Parameter!$A$24:$B$32,2,0)</f>
        <v>SMP</v>
      </c>
      <c r="W450">
        <v>45.462547999999998</v>
      </c>
      <c r="X450">
        <v>-25.080431999999998</v>
      </c>
    </row>
    <row r="451" spans="1:24" x14ac:dyDescent="0.35">
      <c r="A451" s="3" t="str">
        <f t="shared" ref="A451:A514" si="7">+R451&amp;U451</f>
        <v>604130010SMP</v>
      </c>
      <c r="B451" t="s">
        <v>6211</v>
      </c>
      <c r="C451">
        <f>+VLOOKUP(Sites_per_tag[[#This Row],[Field_office]],Parameter!$A$3:$B$11,2,0)</f>
        <v>6</v>
      </c>
      <c r="E451" t="s">
        <v>5646</v>
      </c>
      <c r="F451" t="s">
        <v>5647</v>
      </c>
      <c r="H451" t="str">
        <f ca="1">PROPER(Sites_per_tag[[#This Row],[Adm2Name]])</f>
        <v>Antanimora Sud</v>
      </c>
      <c r="I451" t="s">
        <v>5664</v>
      </c>
      <c r="K451" t="s">
        <v>6247</v>
      </c>
      <c r="L451" t="s">
        <v>5991</v>
      </c>
      <c r="Q451" t="s">
        <v>2021</v>
      </c>
      <c r="R451">
        <v>604130010</v>
      </c>
      <c r="T451" t="s">
        <v>7</v>
      </c>
      <c r="U451" s="3" t="str">
        <f>+VLOOKUP(Sites_per_tag[[#This Row],[Activity_tag]],Parameter!$A$24:$B$32,2,0)</f>
        <v>SMP</v>
      </c>
      <c r="W451">
        <v>45.464618999999999</v>
      </c>
      <c r="X451">
        <v>-24.961675</v>
      </c>
    </row>
    <row r="452" spans="1:24" x14ac:dyDescent="0.35">
      <c r="A452" s="3" t="str">
        <f t="shared" si="7"/>
        <v>604130012SMP</v>
      </c>
      <c r="B452" t="s">
        <v>6211</v>
      </c>
      <c r="C452">
        <f>+VLOOKUP(Sites_per_tag[[#This Row],[Field_office]],Parameter!$A$3:$B$11,2,0)</f>
        <v>6</v>
      </c>
      <c r="E452" t="s">
        <v>5646</v>
      </c>
      <c r="F452" t="s">
        <v>5647</v>
      </c>
      <c r="H452" t="str">
        <f ca="1">PROPER(Sites_per_tag[[#This Row],[Adm2Name]])</f>
        <v>Antanimora Sud</v>
      </c>
      <c r="I452" t="s">
        <v>5664</v>
      </c>
      <c r="K452" t="s">
        <v>6247</v>
      </c>
      <c r="L452" t="s">
        <v>5991</v>
      </c>
      <c r="Q452" t="s">
        <v>2628</v>
      </c>
      <c r="R452">
        <v>604130012</v>
      </c>
      <c r="T452" t="s">
        <v>7</v>
      </c>
      <c r="U452" s="3" t="str">
        <f>+VLOOKUP(Sites_per_tag[[#This Row],[Activity_tag]],Parameter!$A$24:$B$32,2,0)</f>
        <v>SMP</v>
      </c>
      <c r="W452">
        <v>45.524787000000003</v>
      </c>
      <c r="X452">
        <v>-24.936717999999999</v>
      </c>
    </row>
    <row r="453" spans="1:24" x14ac:dyDescent="0.35">
      <c r="A453" s="3" t="str">
        <f t="shared" si="7"/>
        <v>604130014SMP</v>
      </c>
      <c r="B453" t="s">
        <v>6211</v>
      </c>
      <c r="C453">
        <f>+VLOOKUP(Sites_per_tag[[#This Row],[Field_office]],Parameter!$A$3:$B$11,2,0)</f>
        <v>6</v>
      </c>
      <c r="E453" t="s">
        <v>5646</v>
      </c>
      <c r="F453" t="s">
        <v>5647</v>
      </c>
      <c r="H453" t="str">
        <f ca="1">PROPER(Sites_per_tag[[#This Row],[Adm2Name]])</f>
        <v>Antanimora Sud</v>
      </c>
      <c r="I453" t="s">
        <v>5664</v>
      </c>
      <c r="K453" t="s">
        <v>6247</v>
      </c>
      <c r="L453" t="s">
        <v>5991</v>
      </c>
      <c r="Q453" t="s">
        <v>3737</v>
      </c>
      <c r="R453">
        <v>604130014</v>
      </c>
      <c r="T453" t="s">
        <v>7</v>
      </c>
      <c r="U453" s="3" t="str">
        <f>+VLOOKUP(Sites_per_tag[[#This Row],[Activity_tag]],Parameter!$A$24:$B$32,2,0)</f>
        <v>SMP</v>
      </c>
      <c r="W453">
        <v>45.549948000000001</v>
      </c>
      <c r="X453">
        <v>-24.820202999999999</v>
      </c>
    </row>
    <row r="454" spans="1:24" x14ac:dyDescent="0.35">
      <c r="A454" s="3" t="str">
        <f t="shared" si="7"/>
        <v>604130016SMP</v>
      </c>
      <c r="B454" t="s">
        <v>6211</v>
      </c>
      <c r="C454">
        <f>+VLOOKUP(Sites_per_tag[[#This Row],[Field_office]],Parameter!$A$3:$B$11,2,0)</f>
        <v>6</v>
      </c>
      <c r="E454" t="s">
        <v>5646</v>
      </c>
      <c r="F454" t="s">
        <v>5647</v>
      </c>
      <c r="H454" t="str">
        <f ca="1">PROPER(Sites_per_tag[[#This Row],[Adm2Name]])</f>
        <v>Antanimora Sud</v>
      </c>
      <c r="I454" t="s">
        <v>5664</v>
      </c>
      <c r="K454" t="s">
        <v>6248</v>
      </c>
      <c r="L454" t="s">
        <v>5797</v>
      </c>
      <c r="Q454" t="s">
        <v>256</v>
      </c>
      <c r="R454">
        <v>604130016</v>
      </c>
      <c r="T454" t="s">
        <v>7</v>
      </c>
      <c r="U454" s="3" t="str">
        <f>+VLOOKUP(Sites_per_tag[[#This Row],[Activity_tag]],Parameter!$A$24:$B$32,2,0)</f>
        <v>SMP</v>
      </c>
      <c r="W454">
        <v>45.610092999999999</v>
      </c>
      <c r="X454">
        <v>-24.776060000000001</v>
      </c>
    </row>
    <row r="455" spans="1:24" x14ac:dyDescent="0.35">
      <c r="A455" s="3" t="str">
        <f t="shared" si="7"/>
        <v>604130019SMP</v>
      </c>
      <c r="B455" t="s">
        <v>6211</v>
      </c>
      <c r="C455">
        <f>+VLOOKUP(Sites_per_tag[[#This Row],[Field_office]],Parameter!$A$3:$B$11,2,0)</f>
        <v>6</v>
      </c>
      <c r="E455" t="s">
        <v>5646</v>
      </c>
      <c r="F455" t="s">
        <v>5647</v>
      </c>
      <c r="H455" t="str">
        <f ca="1">PROPER(Sites_per_tag[[#This Row],[Adm2Name]])</f>
        <v>Antanimora Sud</v>
      </c>
      <c r="I455" t="s">
        <v>5664</v>
      </c>
      <c r="K455" t="s">
        <v>6248</v>
      </c>
      <c r="L455" t="s">
        <v>5797</v>
      </c>
      <c r="Q455" t="s">
        <v>3799</v>
      </c>
      <c r="R455">
        <v>604130019</v>
      </c>
      <c r="T455" t="s">
        <v>7</v>
      </c>
      <c r="U455" s="3" t="str">
        <f>+VLOOKUP(Sites_per_tag[[#This Row],[Activity_tag]],Parameter!$A$24:$B$32,2,0)</f>
        <v>SMP</v>
      </c>
      <c r="W455">
        <v>45.631115000000001</v>
      </c>
      <c r="X455">
        <v>-25.070571999999999</v>
      </c>
    </row>
    <row r="456" spans="1:24" x14ac:dyDescent="0.35">
      <c r="A456" s="3" t="str">
        <f t="shared" si="7"/>
        <v>604130022SMP</v>
      </c>
      <c r="B456" t="s">
        <v>6211</v>
      </c>
      <c r="C456">
        <f>+VLOOKUP(Sites_per_tag[[#This Row],[Field_office]],Parameter!$A$3:$B$11,2,0)</f>
        <v>6</v>
      </c>
      <c r="E456" t="s">
        <v>5646</v>
      </c>
      <c r="F456" t="s">
        <v>5647</v>
      </c>
      <c r="H456" t="str">
        <f ca="1">PROPER(Sites_per_tag[[#This Row],[Adm2Name]])</f>
        <v>Antanimora Sud</v>
      </c>
      <c r="I456" t="s">
        <v>5664</v>
      </c>
      <c r="K456" t="s">
        <v>6247</v>
      </c>
      <c r="L456" t="s">
        <v>5991</v>
      </c>
      <c r="Q456" t="s">
        <v>4189</v>
      </c>
      <c r="R456">
        <v>604130022</v>
      </c>
      <c r="T456" t="s">
        <v>7</v>
      </c>
      <c r="U456" s="3" t="str">
        <f>+VLOOKUP(Sites_per_tag[[#This Row],[Activity_tag]],Parameter!$A$24:$B$32,2,0)</f>
        <v>SMP</v>
      </c>
      <c r="W456">
        <v>45.498569000000003</v>
      </c>
      <c r="X456">
        <v>-24.773016999999999</v>
      </c>
    </row>
    <row r="457" spans="1:24" x14ac:dyDescent="0.35">
      <c r="A457" s="3" t="str">
        <f t="shared" si="7"/>
        <v>604130025SMP</v>
      </c>
      <c r="B457" t="s">
        <v>6211</v>
      </c>
      <c r="C457">
        <f>+VLOOKUP(Sites_per_tag[[#This Row],[Field_office]],Parameter!$A$3:$B$11,2,0)</f>
        <v>6</v>
      </c>
      <c r="E457" t="s">
        <v>5646</v>
      </c>
      <c r="F457" t="s">
        <v>5647</v>
      </c>
      <c r="H457" t="str">
        <f ca="1">PROPER(Sites_per_tag[[#This Row],[Adm2Name]])</f>
        <v>Antanimora Sud</v>
      </c>
      <c r="I457" t="s">
        <v>5664</v>
      </c>
      <c r="K457" t="s">
        <v>6247</v>
      </c>
      <c r="L457" t="s">
        <v>5991</v>
      </c>
      <c r="Q457" t="s">
        <v>2667</v>
      </c>
      <c r="R457">
        <v>604130025</v>
      </c>
      <c r="T457" t="s">
        <v>7</v>
      </c>
      <c r="U457" s="3" t="str">
        <f>+VLOOKUP(Sites_per_tag[[#This Row],[Activity_tag]],Parameter!$A$24:$B$32,2,0)</f>
        <v>SMP</v>
      </c>
      <c r="W457">
        <v>45.497675999999998</v>
      </c>
      <c r="X457">
        <v>-24.878903000000001</v>
      </c>
    </row>
    <row r="458" spans="1:24" x14ac:dyDescent="0.35">
      <c r="A458" s="3" t="str">
        <f t="shared" si="7"/>
        <v>604130026SMP</v>
      </c>
      <c r="B458" t="s">
        <v>6211</v>
      </c>
      <c r="C458">
        <f>+VLOOKUP(Sites_per_tag[[#This Row],[Field_office]],Parameter!$A$3:$B$11,2,0)</f>
        <v>6</v>
      </c>
      <c r="E458" t="s">
        <v>5646</v>
      </c>
      <c r="F458" t="s">
        <v>5647</v>
      </c>
      <c r="H458" t="str">
        <f ca="1">PROPER(Sites_per_tag[[#This Row],[Adm2Name]])</f>
        <v>Antanimora Sud</v>
      </c>
      <c r="I458" t="s">
        <v>5664</v>
      </c>
      <c r="K458" t="s">
        <v>6248</v>
      </c>
      <c r="L458" t="s">
        <v>5797</v>
      </c>
      <c r="Q458" t="s">
        <v>2269</v>
      </c>
      <c r="R458">
        <v>604130026</v>
      </c>
      <c r="T458" t="s">
        <v>7</v>
      </c>
      <c r="U458" s="3" t="str">
        <f>+VLOOKUP(Sites_per_tag[[#This Row],[Activity_tag]],Parameter!$A$24:$B$32,2,0)</f>
        <v>SMP</v>
      </c>
      <c r="W458">
        <v>45.394170000000003</v>
      </c>
      <c r="X458">
        <v>-25.097218000000002</v>
      </c>
    </row>
    <row r="459" spans="1:24" x14ac:dyDescent="0.35">
      <c r="A459" s="3" t="str">
        <f t="shared" si="7"/>
        <v>604130028SMP</v>
      </c>
      <c r="B459" t="s">
        <v>6211</v>
      </c>
      <c r="C459">
        <f>+VLOOKUP(Sites_per_tag[[#This Row],[Field_office]],Parameter!$A$3:$B$11,2,0)</f>
        <v>6</v>
      </c>
      <c r="E459" t="s">
        <v>5646</v>
      </c>
      <c r="F459" t="s">
        <v>5647</v>
      </c>
      <c r="H459" t="str">
        <f ca="1">PROPER(Sites_per_tag[[#This Row],[Adm2Name]])</f>
        <v>Antanimora Sud</v>
      </c>
      <c r="I459" t="s">
        <v>5664</v>
      </c>
      <c r="K459" t="s">
        <v>6247</v>
      </c>
      <c r="L459" t="s">
        <v>5991</v>
      </c>
      <c r="Q459" t="s">
        <v>6249</v>
      </c>
      <c r="R459">
        <v>604130028</v>
      </c>
      <c r="T459" t="s">
        <v>7</v>
      </c>
      <c r="U459" s="3" t="str">
        <f>+VLOOKUP(Sites_per_tag[[#This Row],[Activity_tag]],Parameter!$A$24:$B$32,2,0)</f>
        <v>SMP</v>
      </c>
      <c r="W459">
        <v>45.359136999999997</v>
      </c>
      <c r="X459">
        <v>-24.898779000000001</v>
      </c>
    </row>
    <row r="460" spans="1:24" x14ac:dyDescent="0.35">
      <c r="A460" s="3" t="str">
        <f t="shared" si="7"/>
        <v>604130031SMP</v>
      </c>
      <c r="B460" t="s">
        <v>6211</v>
      </c>
      <c r="C460">
        <f>+VLOOKUP(Sites_per_tag[[#This Row],[Field_office]],Parameter!$A$3:$B$11,2,0)</f>
        <v>6</v>
      </c>
      <c r="E460" t="s">
        <v>5646</v>
      </c>
      <c r="F460" t="s">
        <v>5647</v>
      </c>
      <c r="H460" t="str">
        <f ca="1">PROPER(Sites_per_tag[[#This Row],[Adm2Name]])</f>
        <v>Antanimora Sud</v>
      </c>
      <c r="I460" t="s">
        <v>5664</v>
      </c>
      <c r="K460" t="s">
        <v>6248</v>
      </c>
      <c r="L460" t="s">
        <v>5797</v>
      </c>
      <c r="Q460" t="s">
        <v>2208</v>
      </c>
      <c r="R460">
        <v>604130031</v>
      </c>
      <c r="T460" t="s">
        <v>7</v>
      </c>
      <c r="U460" s="3" t="str">
        <f>+VLOOKUP(Sites_per_tag[[#This Row],[Activity_tag]],Parameter!$A$24:$B$32,2,0)</f>
        <v>SMP</v>
      </c>
      <c r="W460">
        <v>45.617655999999997</v>
      </c>
      <c r="X460">
        <v>-25.002246</v>
      </c>
    </row>
    <row r="461" spans="1:24" x14ac:dyDescent="0.35">
      <c r="A461" s="3" t="str">
        <f t="shared" si="7"/>
        <v>604130032SMP</v>
      </c>
      <c r="B461" t="s">
        <v>6211</v>
      </c>
      <c r="C461">
        <f>+VLOOKUP(Sites_per_tag[[#This Row],[Field_office]],Parameter!$A$3:$B$11,2,0)</f>
        <v>6</v>
      </c>
      <c r="E461" t="s">
        <v>5646</v>
      </c>
      <c r="F461" t="s">
        <v>5647</v>
      </c>
      <c r="H461" t="str">
        <f ca="1">PROPER(Sites_per_tag[[#This Row],[Adm2Name]])</f>
        <v>Antanimora Sud</v>
      </c>
      <c r="I461" t="s">
        <v>5664</v>
      </c>
      <c r="K461" t="s">
        <v>6247</v>
      </c>
      <c r="L461" t="s">
        <v>5991</v>
      </c>
      <c r="Q461" t="s">
        <v>972</v>
      </c>
      <c r="R461">
        <v>604130032</v>
      </c>
      <c r="T461" t="s">
        <v>7</v>
      </c>
      <c r="U461" s="3" t="str">
        <f>+VLOOKUP(Sites_per_tag[[#This Row],[Activity_tag]],Parameter!$A$24:$B$32,2,0)</f>
        <v>SMP</v>
      </c>
      <c r="W461">
        <v>45.579949999999997</v>
      </c>
      <c r="X461">
        <v>-24.81822</v>
      </c>
    </row>
    <row r="462" spans="1:24" x14ac:dyDescent="0.35">
      <c r="A462" s="3" t="str">
        <f t="shared" si="7"/>
        <v>604130034SMP</v>
      </c>
      <c r="B462" t="s">
        <v>6211</v>
      </c>
      <c r="C462">
        <f>+VLOOKUP(Sites_per_tag[[#This Row],[Field_office]],Parameter!$A$3:$B$11,2,0)</f>
        <v>6</v>
      </c>
      <c r="E462" t="s">
        <v>5646</v>
      </c>
      <c r="F462" t="s">
        <v>5647</v>
      </c>
      <c r="H462" t="str">
        <f ca="1">PROPER(Sites_per_tag[[#This Row],[Adm2Name]])</f>
        <v>Antanimora Sud</v>
      </c>
      <c r="I462" t="s">
        <v>5664</v>
      </c>
      <c r="K462" t="s">
        <v>6248</v>
      </c>
      <c r="L462" t="s">
        <v>5797</v>
      </c>
      <c r="Q462" t="s">
        <v>521</v>
      </c>
      <c r="R462">
        <v>604130034</v>
      </c>
      <c r="T462" t="s">
        <v>7</v>
      </c>
      <c r="U462" s="3" t="str">
        <f>+VLOOKUP(Sites_per_tag[[#This Row],[Activity_tag]],Parameter!$A$24:$B$32,2,0)</f>
        <v>SMP</v>
      </c>
      <c r="W462">
        <v>45.610092999999999</v>
      </c>
      <c r="X462">
        <v>-24.776060000000001</v>
      </c>
    </row>
    <row r="463" spans="1:24" x14ac:dyDescent="0.35">
      <c r="A463" s="3" t="str">
        <f t="shared" si="7"/>
        <v>604140001SMP</v>
      </c>
      <c r="B463" t="s">
        <v>6211</v>
      </c>
      <c r="C463">
        <f>+VLOOKUP(Sites_per_tag[[#This Row],[Field_office]],Parameter!$A$3:$B$11,2,0)</f>
        <v>6</v>
      </c>
      <c r="E463" t="s">
        <v>5646</v>
      </c>
      <c r="F463" t="s">
        <v>5647</v>
      </c>
      <c r="H463" t="str">
        <f ca="1">PROPER(Sites_per_tag[[#This Row],[Adm2Name]])</f>
        <v>Ambovombe-Androy</v>
      </c>
      <c r="I463" t="s">
        <v>5655</v>
      </c>
      <c r="K463" t="s">
        <v>6240</v>
      </c>
      <c r="L463" t="s">
        <v>6039</v>
      </c>
      <c r="Q463" t="s">
        <v>1299</v>
      </c>
      <c r="R463">
        <v>604140001</v>
      </c>
      <c r="T463" t="s">
        <v>7</v>
      </c>
      <c r="U463" s="3" t="str">
        <f>+VLOOKUP(Sites_per_tag[[#This Row],[Activity_tag]],Parameter!$A$24:$B$32,2,0)</f>
        <v>SMP</v>
      </c>
      <c r="W463">
        <v>46.206035999999997</v>
      </c>
      <c r="X463">
        <v>-25.141372</v>
      </c>
    </row>
    <row r="464" spans="1:24" x14ac:dyDescent="0.35">
      <c r="A464" s="3" t="str">
        <f t="shared" si="7"/>
        <v>604140002SMP</v>
      </c>
      <c r="B464" t="s">
        <v>6211</v>
      </c>
      <c r="C464">
        <f>+VLOOKUP(Sites_per_tag[[#This Row],[Field_office]],Parameter!$A$3:$B$11,2,0)</f>
        <v>6</v>
      </c>
      <c r="E464" t="s">
        <v>5646</v>
      </c>
      <c r="F464" t="s">
        <v>5647</v>
      </c>
      <c r="H464" t="str">
        <f ca="1">PROPER(Sites_per_tag[[#This Row],[Adm2Name]])</f>
        <v>Ambovombe-Androy</v>
      </c>
      <c r="I464" t="s">
        <v>5655</v>
      </c>
      <c r="K464" t="s">
        <v>6240</v>
      </c>
      <c r="L464" t="s">
        <v>6039</v>
      </c>
      <c r="Q464" t="s">
        <v>1421</v>
      </c>
      <c r="R464">
        <v>604140002</v>
      </c>
      <c r="T464" t="s">
        <v>7</v>
      </c>
      <c r="U464" s="3" t="str">
        <f>+VLOOKUP(Sites_per_tag[[#This Row],[Activity_tag]],Parameter!$A$24:$B$32,2,0)</f>
        <v>SMP</v>
      </c>
      <c r="W464">
        <v>46.217666999999999</v>
      </c>
      <c r="X464">
        <v>-25.197505</v>
      </c>
    </row>
    <row r="465" spans="1:24" x14ac:dyDescent="0.35">
      <c r="A465" s="3" t="str">
        <f t="shared" si="7"/>
        <v>604140003SMP</v>
      </c>
      <c r="B465" t="s">
        <v>6211</v>
      </c>
      <c r="C465">
        <f>+VLOOKUP(Sites_per_tag[[#This Row],[Field_office]],Parameter!$A$3:$B$11,2,0)</f>
        <v>6</v>
      </c>
      <c r="E465" t="s">
        <v>5646</v>
      </c>
      <c r="F465" t="s">
        <v>5647</v>
      </c>
      <c r="H465" t="str">
        <f ca="1">PROPER(Sites_per_tag[[#This Row],[Adm2Name]])</f>
        <v>Ambovombe-Androy</v>
      </c>
      <c r="I465" t="s">
        <v>5655</v>
      </c>
      <c r="K465" t="s">
        <v>6240</v>
      </c>
      <c r="L465" t="s">
        <v>6039</v>
      </c>
      <c r="Q465" t="s">
        <v>6250</v>
      </c>
      <c r="R465">
        <v>604140003</v>
      </c>
      <c r="T465" t="s">
        <v>7</v>
      </c>
      <c r="U465" s="3" t="str">
        <f>+VLOOKUP(Sites_per_tag[[#This Row],[Activity_tag]],Parameter!$A$24:$B$32,2,0)</f>
        <v>SMP</v>
      </c>
      <c r="W465">
        <v>46.202691999999999</v>
      </c>
      <c r="X465">
        <v>-25.105460000000001</v>
      </c>
    </row>
    <row r="466" spans="1:24" x14ac:dyDescent="0.35">
      <c r="A466" s="3" t="str">
        <f t="shared" si="7"/>
        <v>604140009SMP</v>
      </c>
      <c r="B466" t="s">
        <v>6211</v>
      </c>
      <c r="C466">
        <f>+VLOOKUP(Sites_per_tag[[#This Row],[Field_office]],Parameter!$A$3:$B$11,2,0)</f>
        <v>6</v>
      </c>
      <c r="E466" t="s">
        <v>5646</v>
      </c>
      <c r="F466" t="s">
        <v>5647</v>
      </c>
      <c r="H466" t="str">
        <f ca="1">PROPER(Sites_per_tag[[#This Row],[Adm2Name]])</f>
        <v>Ambovombe-Androy</v>
      </c>
      <c r="I466" t="s">
        <v>5655</v>
      </c>
      <c r="K466" t="s">
        <v>6240</v>
      </c>
      <c r="L466" t="s">
        <v>6039</v>
      </c>
      <c r="Q466" t="s">
        <v>1311</v>
      </c>
      <c r="R466">
        <v>604140009</v>
      </c>
      <c r="T466" t="s">
        <v>7</v>
      </c>
      <c r="U466" s="3" t="str">
        <f>+VLOOKUP(Sites_per_tag[[#This Row],[Activity_tag]],Parameter!$A$24:$B$32,2,0)</f>
        <v>SMP</v>
      </c>
      <c r="W466">
        <v>46.152831999999997</v>
      </c>
      <c r="X466">
        <v>-25.199736000000001</v>
      </c>
    </row>
    <row r="467" spans="1:24" x14ac:dyDescent="0.35">
      <c r="A467" s="3" t="str">
        <f t="shared" si="7"/>
        <v>604140012SMP</v>
      </c>
      <c r="B467" t="s">
        <v>6211</v>
      </c>
      <c r="C467">
        <f>+VLOOKUP(Sites_per_tag[[#This Row],[Field_office]],Parameter!$A$3:$B$11,2,0)</f>
        <v>6</v>
      </c>
      <c r="E467" t="s">
        <v>5646</v>
      </c>
      <c r="F467" t="s">
        <v>5647</v>
      </c>
      <c r="H467" t="str">
        <f ca="1">PROPER(Sites_per_tag[[#This Row],[Adm2Name]])</f>
        <v>Ambovombe-Androy</v>
      </c>
      <c r="I467" t="s">
        <v>5655</v>
      </c>
      <c r="K467" t="s">
        <v>6240</v>
      </c>
      <c r="L467" t="s">
        <v>6039</v>
      </c>
      <c r="Q467" t="s">
        <v>3847</v>
      </c>
      <c r="R467">
        <v>604140012</v>
      </c>
      <c r="T467" t="s">
        <v>7</v>
      </c>
      <c r="U467" s="3" t="str">
        <f>+VLOOKUP(Sites_per_tag[[#This Row],[Activity_tag]],Parameter!$A$24:$B$32,2,0)</f>
        <v>SMP</v>
      </c>
      <c r="W467">
        <v>46.156745000000001</v>
      </c>
      <c r="X467">
        <v>-25.171046</v>
      </c>
    </row>
    <row r="468" spans="1:24" x14ac:dyDescent="0.35">
      <c r="A468" s="3" t="str">
        <f t="shared" si="7"/>
        <v>604140013SMP</v>
      </c>
      <c r="B468" t="s">
        <v>6211</v>
      </c>
      <c r="C468">
        <f>+VLOOKUP(Sites_per_tag[[#This Row],[Field_office]],Parameter!$A$3:$B$11,2,0)</f>
        <v>6</v>
      </c>
      <c r="E468" t="s">
        <v>5646</v>
      </c>
      <c r="F468" t="s">
        <v>5647</v>
      </c>
      <c r="H468" t="str">
        <f ca="1">PROPER(Sites_per_tag[[#This Row],[Adm2Name]])</f>
        <v>Ambovombe-Androy</v>
      </c>
      <c r="I468" t="s">
        <v>5655</v>
      </c>
      <c r="K468" t="s">
        <v>6240</v>
      </c>
      <c r="L468" t="s">
        <v>6039</v>
      </c>
      <c r="Q468" t="s">
        <v>6251</v>
      </c>
      <c r="R468">
        <v>604140013</v>
      </c>
      <c r="T468" t="s">
        <v>7</v>
      </c>
      <c r="U468" s="3" t="str">
        <f>+VLOOKUP(Sites_per_tag[[#This Row],[Activity_tag]],Parameter!$A$24:$B$32,2,0)</f>
        <v>SMP</v>
      </c>
      <c r="W468">
        <v>46.156745000000001</v>
      </c>
      <c r="X468">
        <v>-25.171046</v>
      </c>
    </row>
    <row r="469" spans="1:24" x14ac:dyDescent="0.35">
      <c r="A469" s="3" t="str">
        <f t="shared" si="7"/>
        <v>604140014SMP</v>
      </c>
      <c r="B469" t="s">
        <v>6211</v>
      </c>
      <c r="C469">
        <f>+VLOOKUP(Sites_per_tag[[#This Row],[Field_office]],Parameter!$A$3:$B$11,2,0)</f>
        <v>6</v>
      </c>
      <c r="E469" t="s">
        <v>5646</v>
      </c>
      <c r="F469" t="s">
        <v>5647</v>
      </c>
      <c r="H469" t="str">
        <f ca="1">PROPER(Sites_per_tag[[#This Row],[Adm2Name]])</f>
        <v>Ambovombe-Androy</v>
      </c>
      <c r="I469" t="s">
        <v>5655</v>
      </c>
      <c r="K469" t="s">
        <v>6240</v>
      </c>
      <c r="L469" t="s">
        <v>6039</v>
      </c>
      <c r="Q469" t="s">
        <v>6252</v>
      </c>
      <c r="R469">
        <v>604140014</v>
      </c>
      <c r="T469" t="s">
        <v>7</v>
      </c>
      <c r="U469" s="3" t="str">
        <f>+VLOOKUP(Sites_per_tag[[#This Row],[Activity_tag]],Parameter!$A$24:$B$32,2,0)</f>
        <v>SMP</v>
      </c>
      <c r="W469">
        <v>46.192633000000001</v>
      </c>
      <c r="X469">
        <v>-25.198675999999999</v>
      </c>
    </row>
    <row r="470" spans="1:24" x14ac:dyDescent="0.35">
      <c r="A470" s="3" t="str">
        <f t="shared" si="7"/>
        <v>604140019SMP</v>
      </c>
      <c r="B470" t="s">
        <v>6211</v>
      </c>
      <c r="C470">
        <f>+VLOOKUP(Sites_per_tag[[#This Row],[Field_office]],Parameter!$A$3:$B$11,2,0)</f>
        <v>6</v>
      </c>
      <c r="E470" t="s">
        <v>5646</v>
      </c>
      <c r="F470" t="s">
        <v>5647</v>
      </c>
      <c r="H470" t="str">
        <f ca="1">PROPER(Sites_per_tag[[#This Row],[Adm2Name]])</f>
        <v>Ambovombe-Androy</v>
      </c>
      <c r="I470" t="s">
        <v>5655</v>
      </c>
      <c r="K470" t="s">
        <v>6240</v>
      </c>
      <c r="L470" t="s">
        <v>6039</v>
      </c>
      <c r="Q470" t="s">
        <v>1276</v>
      </c>
      <c r="R470">
        <v>604140019</v>
      </c>
      <c r="T470" t="s">
        <v>7</v>
      </c>
      <c r="U470" s="3" t="str">
        <f>+VLOOKUP(Sites_per_tag[[#This Row],[Activity_tag]],Parameter!$A$24:$B$32,2,0)</f>
        <v>SMP</v>
      </c>
      <c r="W470">
        <v>46.183776999999999</v>
      </c>
      <c r="X470">
        <v>-25.182663000000002</v>
      </c>
    </row>
    <row r="471" spans="1:24" x14ac:dyDescent="0.35">
      <c r="A471" s="3" t="str">
        <f t="shared" si="7"/>
        <v>604150002SMP</v>
      </c>
      <c r="B471" t="s">
        <v>6211</v>
      </c>
      <c r="C471">
        <f>+VLOOKUP(Sites_per_tag[[#This Row],[Field_office]],Parameter!$A$3:$B$11,2,0)</f>
        <v>6</v>
      </c>
      <c r="E471" t="s">
        <v>5646</v>
      </c>
      <c r="F471" t="s">
        <v>5647</v>
      </c>
      <c r="H471" t="str">
        <f ca="1">PROPER(Sites_per_tag[[#This Row],[Adm2Name]])</f>
        <v>Ambovombe-Androy</v>
      </c>
      <c r="I471" t="s">
        <v>5655</v>
      </c>
      <c r="K471" t="s">
        <v>6253</v>
      </c>
      <c r="L471" t="s">
        <v>6040</v>
      </c>
      <c r="Q471" t="s">
        <v>336</v>
      </c>
      <c r="R471">
        <v>604150002</v>
      </c>
      <c r="T471" t="s">
        <v>7</v>
      </c>
      <c r="U471" s="3" t="str">
        <f>+VLOOKUP(Sites_per_tag[[#This Row],[Activity_tag]],Parameter!$A$24:$B$32,2,0)</f>
        <v>SMP</v>
      </c>
      <c r="W471">
        <v>46.254015000000003</v>
      </c>
      <c r="X471">
        <v>-25.172991</v>
      </c>
    </row>
    <row r="472" spans="1:24" x14ac:dyDescent="0.35">
      <c r="A472" s="3" t="str">
        <f t="shared" si="7"/>
        <v>604150003SMP</v>
      </c>
      <c r="B472" t="s">
        <v>6211</v>
      </c>
      <c r="C472">
        <f>+VLOOKUP(Sites_per_tag[[#This Row],[Field_office]],Parameter!$A$3:$B$11,2,0)</f>
        <v>6</v>
      </c>
      <c r="E472" t="s">
        <v>5646</v>
      </c>
      <c r="F472" t="s">
        <v>5647</v>
      </c>
      <c r="H472" t="str">
        <f ca="1">PROPER(Sites_per_tag[[#This Row],[Adm2Name]])</f>
        <v>Ambovombe-Androy</v>
      </c>
      <c r="I472" t="s">
        <v>5655</v>
      </c>
      <c r="K472" t="s">
        <v>6253</v>
      </c>
      <c r="L472" t="s">
        <v>6040</v>
      </c>
      <c r="Q472" t="s">
        <v>1620</v>
      </c>
      <c r="R472">
        <v>604150003</v>
      </c>
      <c r="T472" t="s">
        <v>7</v>
      </c>
      <c r="U472" s="3" t="str">
        <f>+VLOOKUP(Sites_per_tag[[#This Row],[Activity_tag]],Parameter!$A$24:$B$32,2,0)</f>
        <v>SMP</v>
      </c>
      <c r="W472">
        <v>46.166342999999998</v>
      </c>
      <c r="X472">
        <v>-25.185286000000001</v>
      </c>
    </row>
    <row r="473" spans="1:24" x14ac:dyDescent="0.35">
      <c r="A473" s="3" t="str">
        <f t="shared" si="7"/>
        <v>604150004SMP</v>
      </c>
      <c r="B473" t="s">
        <v>6211</v>
      </c>
      <c r="C473">
        <f>+VLOOKUP(Sites_per_tag[[#This Row],[Field_office]],Parameter!$A$3:$B$11,2,0)</f>
        <v>6</v>
      </c>
      <c r="E473" t="s">
        <v>5646</v>
      </c>
      <c r="F473" t="s">
        <v>5647</v>
      </c>
      <c r="H473" t="str">
        <f ca="1">PROPER(Sites_per_tag[[#This Row],[Adm2Name]])</f>
        <v>Ambovombe-Androy</v>
      </c>
      <c r="I473" t="s">
        <v>5655</v>
      </c>
      <c r="K473" t="s">
        <v>6253</v>
      </c>
      <c r="L473" t="s">
        <v>6040</v>
      </c>
      <c r="Q473" t="s">
        <v>6254</v>
      </c>
      <c r="R473">
        <v>604150004</v>
      </c>
      <c r="T473" t="s">
        <v>7</v>
      </c>
      <c r="U473" s="3" t="str">
        <f>+VLOOKUP(Sites_per_tag[[#This Row],[Activity_tag]],Parameter!$A$24:$B$32,2,0)</f>
        <v>SMP</v>
      </c>
      <c r="W473">
        <v>46.179200000000002</v>
      </c>
      <c r="X473">
        <v>-25.135221000000001</v>
      </c>
    </row>
    <row r="474" spans="1:24" x14ac:dyDescent="0.35">
      <c r="A474" s="3" t="str">
        <f t="shared" si="7"/>
        <v>604150006SMP</v>
      </c>
      <c r="B474" t="s">
        <v>6211</v>
      </c>
      <c r="C474">
        <f>+VLOOKUP(Sites_per_tag[[#This Row],[Field_office]],Parameter!$A$3:$B$11,2,0)</f>
        <v>6</v>
      </c>
      <c r="E474" t="s">
        <v>5646</v>
      </c>
      <c r="F474" t="s">
        <v>5647</v>
      </c>
      <c r="H474" t="str">
        <f ca="1">PROPER(Sites_per_tag[[#This Row],[Adm2Name]])</f>
        <v>Ambovombe-Androy</v>
      </c>
      <c r="I474" t="s">
        <v>5655</v>
      </c>
      <c r="K474" t="s">
        <v>6253</v>
      </c>
      <c r="L474" t="s">
        <v>6040</v>
      </c>
      <c r="Q474" t="s">
        <v>6255</v>
      </c>
      <c r="R474">
        <v>604150006</v>
      </c>
      <c r="T474" t="s">
        <v>7</v>
      </c>
      <c r="U474" s="3" t="str">
        <f>+VLOOKUP(Sites_per_tag[[#This Row],[Activity_tag]],Parameter!$A$24:$B$32,2,0)</f>
        <v>SMP</v>
      </c>
      <c r="W474">
        <v>46.269382</v>
      </c>
      <c r="X474">
        <v>-25.174776999999999</v>
      </c>
    </row>
    <row r="475" spans="1:24" x14ac:dyDescent="0.35">
      <c r="A475" s="3" t="str">
        <f t="shared" si="7"/>
        <v>604150009SMP</v>
      </c>
      <c r="B475" t="s">
        <v>6211</v>
      </c>
      <c r="C475">
        <f>+VLOOKUP(Sites_per_tag[[#This Row],[Field_office]],Parameter!$A$3:$B$11,2,0)</f>
        <v>6</v>
      </c>
      <c r="E475" t="s">
        <v>5646</v>
      </c>
      <c r="F475" t="s">
        <v>5647</v>
      </c>
      <c r="H475" t="str">
        <f ca="1">PROPER(Sites_per_tag[[#This Row],[Adm2Name]])</f>
        <v>Ambovombe-Androy</v>
      </c>
      <c r="I475" t="s">
        <v>5655</v>
      </c>
      <c r="K475" t="s">
        <v>6253</v>
      </c>
      <c r="L475" t="s">
        <v>6040</v>
      </c>
      <c r="Q475" t="s">
        <v>3512</v>
      </c>
      <c r="R475">
        <v>604150009</v>
      </c>
      <c r="T475" t="s">
        <v>7</v>
      </c>
      <c r="U475" s="3" t="str">
        <f>+VLOOKUP(Sites_per_tag[[#This Row],[Activity_tag]],Parameter!$A$24:$B$32,2,0)</f>
        <v>SMP</v>
      </c>
      <c r="W475">
        <v>46.240034999999999</v>
      </c>
      <c r="X475">
        <v>-25.119388000000001</v>
      </c>
    </row>
    <row r="476" spans="1:24" x14ac:dyDescent="0.35">
      <c r="A476" s="3" t="str">
        <f t="shared" si="7"/>
        <v>604150010SMP</v>
      </c>
      <c r="B476" t="s">
        <v>6211</v>
      </c>
      <c r="C476">
        <f>+VLOOKUP(Sites_per_tag[[#This Row],[Field_office]],Parameter!$A$3:$B$11,2,0)</f>
        <v>6</v>
      </c>
      <c r="E476" t="s">
        <v>5646</v>
      </c>
      <c r="F476" t="s">
        <v>5647</v>
      </c>
      <c r="H476" t="str">
        <f ca="1">PROPER(Sites_per_tag[[#This Row],[Adm2Name]])</f>
        <v>Ambovombe-Androy</v>
      </c>
      <c r="I476" t="s">
        <v>5655</v>
      </c>
      <c r="K476" t="s">
        <v>6253</v>
      </c>
      <c r="L476" t="s">
        <v>6040</v>
      </c>
      <c r="Q476" t="s">
        <v>6256</v>
      </c>
      <c r="R476">
        <v>604150010</v>
      </c>
      <c r="T476" t="s">
        <v>7</v>
      </c>
      <c r="U476" s="3" t="str">
        <f>+VLOOKUP(Sites_per_tag[[#This Row],[Activity_tag]],Parameter!$A$24:$B$32,2,0)</f>
        <v>SMP</v>
      </c>
      <c r="W476">
        <v>46.244321999999997</v>
      </c>
      <c r="X476">
        <v>-25.176857999999999</v>
      </c>
    </row>
    <row r="477" spans="1:24" x14ac:dyDescent="0.35">
      <c r="A477" s="3" t="str">
        <f t="shared" si="7"/>
        <v>604150011SMP</v>
      </c>
      <c r="B477" t="s">
        <v>6211</v>
      </c>
      <c r="C477">
        <f>+VLOOKUP(Sites_per_tag[[#This Row],[Field_office]],Parameter!$A$3:$B$11,2,0)</f>
        <v>6</v>
      </c>
      <c r="E477" t="s">
        <v>5646</v>
      </c>
      <c r="F477" t="s">
        <v>5647</v>
      </c>
      <c r="H477" t="str">
        <f ca="1">PROPER(Sites_per_tag[[#This Row],[Adm2Name]])</f>
        <v>Ambovombe-Androy</v>
      </c>
      <c r="I477" t="s">
        <v>5655</v>
      </c>
      <c r="K477" t="s">
        <v>6253</v>
      </c>
      <c r="L477" t="s">
        <v>6040</v>
      </c>
      <c r="Q477" t="s">
        <v>3511</v>
      </c>
      <c r="R477">
        <v>604150011</v>
      </c>
      <c r="T477" t="s">
        <v>7</v>
      </c>
      <c r="U477" s="3" t="str">
        <f>+VLOOKUP(Sites_per_tag[[#This Row],[Activity_tag]],Parameter!$A$24:$B$32,2,0)</f>
        <v>SMP</v>
      </c>
      <c r="W477">
        <v>46.206781999999997</v>
      </c>
      <c r="X477">
        <v>-25.126975999999999</v>
      </c>
    </row>
    <row r="478" spans="1:24" x14ac:dyDescent="0.35">
      <c r="A478" s="3" t="str">
        <f t="shared" si="7"/>
        <v>604150012SMP</v>
      </c>
      <c r="B478" t="s">
        <v>6211</v>
      </c>
      <c r="C478">
        <f>+VLOOKUP(Sites_per_tag[[#This Row],[Field_office]],Parameter!$A$3:$B$11,2,0)</f>
        <v>6</v>
      </c>
      <c r="E478" t="s">
        <v>5646</v>
      </c>
      <c r="F478" t="s">
        <v>5647</v>
      </c>
      <c r="H478" t="str">
        <f ca="1">PROPER(Sites_per_tag[[#This Row],[Adm2Name]])</f>
        <v>Ambovombe-Androy</v>
      </c>
      <c r="I478" t="s">
        <v>5655</v>
      </c>
      <c r="K478" t="s">
        <v>6253</v>
      </c>
      <c r="L478" t="s">
        <v>6040</v>
      </c>
      <c r="Q478" t="s">
        <v>6257</v>
      </c>
      <c r="R478">
        <v>604150012</v>
      </c>
      <c r="T478" t="s">
        <v>7</v>
      </c>
      <c r="U478" s="3" t="str">
        <f>+VLOOKUP(Sites_per_tag[[#This Row],[Activity_tag]],Parameter!$A$24:$B$32,2,0)</f>
        <v>SMP</v>
      </c>
      <c r="W478">
        <v>46.200113000000002</v>
      </c>
      <c r="X478">
        <v>-25.182769</v>
      </c>
    </row>
    <row r="479" spans="1:24" x14ac:dyDescent="0.35">
      <c r="A479" s="3" t="str">
        <f t="shared" si="7"/>
        <v>604150023SMP</v>
      </c>
      <c r="B479" t="s">
        <v>6211</v>
      </c>
      <c r="C479">
        <f>+VLOOKUP(Sites_per_tag[[#This Row],[Field_office]],Parameter!$A$3:$B$11,2,0)</f>
        <v>6</v>
      </c>
      <c r="E479" t="s">
        <v>5646</v>
      </c>
      <c r="F479" t="s">
        <v>5647</v>
      </c>
      <c r="H479" t="str">
        <f ca="1">PROPER(Sites_per_tag[[#This Row],[Adm2Name]])</f>
        <v>Ambovombe-Androy</v>
      </c>
      <c r="I479" t="s">
        <v>5655</v>
      </c>
      <c r="K479" t="s">
        <v>6253</v>
      </c>
      <c r="L479" t="s">
        <v>6040</v>
      </c>
      <c r="Q479" t="s">
        <v>3064</v>
      </c>
      <c r="R479">
        <v>604150023</v>
      </c>
      <c r="T479" t="s">
        <v>7</v>
      </c>
      <c r="U479" s="3" t="str">
        <f>+VLOOKUP(Sites_per_tag[[#This Row],[Activity_tag]],Parameter!$A$24:$B$32,2,0)</f>
        <v>SMP</v>
      </c>
      <c r="W479">
        <v>46.223931999999998</v>
      </c>
      <c r="X479">
        <v>-25.133548999999999</v>
      </c>
    </row>
    <row r="480" spans="1:24" x14ac:dyDescent="0.35">
      <c r="A480" s="3" t="str">
        <f t="shared" si="7"/>
        <v>604160001SMP</v>
      </c>
      <c r="B480" t="s">
        <v>6211</v>
      </c>
      <c r="C480">
        <f>+VLOOKUP(Sites_per_tag[[#This Row],[Field_office]],Parameter!$A$3:$B$11,2,0)</f>
        <v>6</v>
      </c>
      <c r="E480" t="s">
        <v>5646</v>
      </c>
      <c r="F480" t="s">
        <v>5647</v>
      </c>
      <c r="H480" t="str">
        <f ca="1">PROPER(Sites_per_tag[[#This Row],[Adm2Name]])</f>
        <v>Antanimora Sud</v>
      </c>
      <c r="I480" t="s">
        <v>5664</v>
      </c>
      <c r="K480" t="s">
        <v>6258</v>
      </c>
      <c r="L480" t="s">
        <v>6054</v>
      </c>
      <c r="Q480" t="s">
        <v>451</v>
      </c>
      <c r="R480">
        <v>604160001</v>
      </c>
      <c r="T480" t="s">
        <v>7</v>
      </c>
      <c r="U480" s="3" t="str">
        <f>+VLOOKUP(Sites_per_tag[[#This Row],[Activity_tag]],Parameter!$A$24:$B$32,2,0)</f>
        <v>SMP</v>
      </c>
      <c r="W480">
        <v>45.690935000000003</v>
      </c>
      <c r="X480">
        <v>-25.164088</v>
      </c>
    </row>
    <row r="481" spans="1:24" x14ac:dyDescent="0.35">
      <c r="A481" s="3" t="str">
        <f t="shared" si="7"/>
        <v>604160002SMP</v>
      </c>
      <c r="B481" t="s">
        <v>6211</v>
      </c>
      <c r="C481">
        <f>+VLOOKUP(Sites_per_tag[[#This Row],[Field_office]],Parameter!$A$3:$B$11,2,0)</f>
        <v>6</v>
      </c>
      <c r="E481" t="s">
        <v>5646</v>
      </c>
      <c r="F481" t="s">
        <v>5647</v>
      </c>
      <c r="H481" t="str">
        <f ca="1">PROPER(Sites_per_tag[[#This Row],[Adm2Name]])</f>
        <v>Antanimora Sud</v>
      </c>
      <c r="I481" t="s">
        <v>5664</v>
      </c>
      <c r="K481" t="s">
        <v>6258</v>
      </c>
      <c r="L481" t="s">
        <v>6054</v>
      </c>
      <c r="Q481" t="s">
        <v>3103</v>
      </c>
      <c r="R481">
        <v>604160002</v>
      </c>
      <c r="T481" t="s">
        <v>7</v>
      </c>
      <c r="U481" s="3" t="str">
        <f>+VLOOKUP(Sites_per_tag[[#This Row],[Activity_tag]],Parameter!$A$24:$B$32,2,0)</f>
        <v>SMP</v>
      </c>
      <c r="W481">
        <v>45.695554999999999</v>
      </c>
      <c r="X481">
        <v>-25.124271</v>
      </c>
    </row>
    <row r="482" spans="1:24" x14ac:dyDescent="0.35">
      <c r="A482" s="3" t="str">
        <f t="shared" si="7"/>
        <v>604160003SMP</v>
      </c>
      <c r="B482" t="s">
        <v>6211</v>
      </c>
      <c r="C482">
        <f>+VLOOKUP(Sites_per_tag[[#This Row],[Field_office]],Parameter!$A$3:$B$11,2,0)</f>
        <v>6</v>
      </c>
      <c r="E482" t="s">
        <v>5646</v>
      </c>
      <c r="F482" t="s">
        <v>5647</v>
      </c>
      <c r="H482" t="str">
        <f ca="1">PROPER(Sites_per_tag[[#This Row],[Adm2Name]])</f>
        <v>Antanimora Sud</v>
      </c>
      <c r="I482" t="s">
        <v>5664</v>
      </c>
      <c r="K482" t="s">
        <v>6258</v>
      </c>
      <c r="L482" t="s">
        <v>6054</v>
      </c>
      <c r="Q482" t="s">
        <v>3249</v>
      </c>
      <c r="R482">
        <v>604160003</v>
      </c>
      <c r="T482" t="s">
        <v>7</v>
      </c>
      <c r="U482" s="3" t="str">
        <f>+VLOOKUP(Sites_per_tag[[#This Row],[Activity_tag]],Parameter!$A$24:$B$32,2,0)</f>
        <v>SMP</v>
      </c>
      <c r="W482">
        <v>45.702452999999998</v>
      </c>
      <c r="X482">
        <v>-25.111681000000001</v>
      </c>
    </row>
    <row r="483" spans="1:24" x14ac:dyDescent="0.35">
      <c r="A483" s="3" t="str">
        <f t="shared" si="7"/>
        <v>604160004SMP</v>
      </c>
      <c r="B483" t="s">
        <v>6211</v>
      </c>
      <c r="C483">
        <f>+VLOOKUP(Sites_per_tag[[#This Row],[Field_office]],Parameter!$A$3:$B$11,2,0)</f>
        <v>6</v>
      </c>
      <c r="E483" t="s">
        <v>5646</v>
      </c>
      <c r="F483" t="s">
        <v>5647</v>
      </c>
      <c r="H483" t="str">
        <f ca="1">PROPER(Sites_per_tag[[#This Row],[Adm2Name]])</f>
        <v>Antanimora Sud</v>
      </c>
      <c r="I483" t="s">
        <v>5664</v>
      </c>
      <c r="K483" t="s">
        <v>6258</v>
      </c>
      <c r="L483" t="s">
        <v>6054</v>
      </c>
      <c r="Q483" t="s">
        <v>3831</v>
      </c>
      <c r="R483">
        <v>604160004</v>
      </c>
      <c r="T483" t="s">
        <v>7</v>
      </c>
      <c r="U483" s="3" t="str">
        <f>+VLOOKUP(Sites_per_tag[[#This Row],[Activity_tag]],Parameter!$A$24:$B$32,2,0)</f>
        <v>SMP</v>
      </c>
      <c r="W483">
        <v>45.674270999999997</v>
      </c>
      <c r="X483">
        <v>-25.156046</v>
      </c>
    </row>
    <row r="484" spans="1:24" x14ac:dyDescent="0.35">
      <c r="A484" s="3" t="str">
        <f t="shared" si="7"/>
        <v>604170003SMP</v>
      </c>
      <c r="B484" t="s">
        <v>6211</v>
      </c>
      <c r="C484">
        <f>+VLOOKUP(Sites_per_tag[[#This Row],[Field_office]],Parameter!$A$3:$B$11,2,0)</f>
        <v>6</v>
      </c>
      <c r="E484" t="s">
        <v>5646</v>
      </c>
      <c r="F484" t="s">
        <v>5647</v>
      </c>
      <c r="H484" t="str">
        <f ca="1">PROPER(Sites_per_tag[[#This Row],[Adm2Name]])</f>
        <v>Ambovombe-Androy</v>
      </c>
      <c r="I484" t="s">
        <v>5655</v>
      </c>
      <c r="K484" t="s">
        <v>5682</v>
      </c>
      <c r="L484" t="s">
        <v>6099</v>
      </c>
      <c r="Q484" t="s">
        <v>6259</v>
      </c>
      <c r="R484">
        <v>604170003</v>
      </c>
      <c r="T484" t="s">
        <v>7</v>
      </c>
      <c r="U484" s="3" t="str">
        <f>+VLOOKUP(Sites_per_tag[[#This Row],[Activity_tag]],Parameter!$A$24:$B$32,2,0)</f>
        <v>SMP</v>
      </c>
      <c r="W484">
        <v>45.771895000000001</v>
      </c>
      <c r="X484">
        <v>-25.182034999999999</v>
      </c>
    </row>
    <row r="485" spans="1:24" x14ac:dyDescent="0.35">
      <c r="A485" s="3" t="str">
        <f t="shared" si="7"/>
        <v>604170004SMP</v>
      </c>
      <c r="B485" t="s">
        <v>6211</v>
      </c>
      <c r="C485">
        <f>+VLOOKUP(Sites_per_tag[[#This Row],[Field_office]],Parameter!$A$3:$B$11,2,0)</f>
        <v>6</v>
      </c>
      <c r="E485" t="s">
        <v>5646</v>
      </c>
      <c r="F485" t="s">
        <v>5647</v>
      </c>
      <c r="H485" t="str">
        <f ca="1">PROPER(Sites_per_tag[[#This Row],[Adm2Name]])</f>
        <v>Ambovombe-Androy</v>
      </c>
      <c r="I485" t="s">
        <v>5655</v>
      </c>
      <c r="K485" t="s">
        <v>5682</v>
      </c>
      <c r="L485" t="s">
        <v>6099</v>
      </c>
      <c r="Q485" t="s">
        <v>626</v>
      </c>
      <c r="R485">
        <v>604170004</v>
      </c>
      <c r="T485" t="s">
        <v>7</v>
      </c>
      <c r="U485" s="3" t="str">
        <f>+VLOOKUP(Sites_per_tag[[#This Row],[Activity_tag]],Parameter!$A$24:$B$32,2,0)</f>
        <v>SMP</v>
      </c>
      <c r="W485">
        <v>45.695920000000001</v>
      </c>
      <c r="X485">
        <v>-25.23423</v>
      </c>
    </row>
    <row r="486" spans="1:24" x14ac:dyDescent="0.35">
      <c r="A486" s="3" t="str">
        <f t="shared" si="7"/>
        <v>604170006SMP</v>
      </c>
      <c r="B486" t="s">
        <v>6211</v>
      </c>
      <c r="C486">
        <f>+VLOOKUP(Sites_per_tag[[#This Row],[Field_office]],Parameter!$A$3:$B$11,2,0)</f>
        <v>6</v>
      </c>
      <c r="E486" t="s">
        <v>5646</v>
      </c>
      <c r="F486" t="s">
        <v>5647</v>
      </c>
      <c r="H486" t="str">
        <f ca="1">PROPER(Sites_per_tag[[#This Row],[Adm2Name]])</f>
        <v>Ambovombe-Androy</v>
      </c>
      <c r="I486" t="s">
        <v>5655</v>
      </c>
      <c r="K486" t="s">
        <v>5682</v>
      </c>
      <c r="L486" t="s">
        <v>6099</v>
      </c>
      <c r="Q486" t="s">
        <v>806</v>
      </c>
      <c r="R486">
        <v>604170006</v>
      </c>
      <c r="T486" t="s">
        <v>7</v>
      </c>
      <c r="U486" s="3" t="str">
        <f>+VLOOKUP(Sites_per_tag[[#This Row],[Activity_tag]],Parameter!$A$24:$B$32,2,0)</f>
        <v>SMP</v>
      </c>
      <c r="W486">
        <v>45.751395000000002</v>
      </c>
      <c r="X486">
        <v>-25.179839000000001</v>
      </c>
    </row>
    <row r="487" spans="1:24" x14ac:dyDescent="0.35">
      <c r="A487" s="3" t="str">
        <f t="shared" si="7"/>
        <v>604170007SMP</v>
      </c>
      <c r="B487" t="s">
        <v>6211</v>
      </c>
      <c r="C487">
        <f>+VLOOKUP(Sites_per_tag[[#This Row],[Field_office]],Parameter!$A$3:$B$11,2,0)</f>
        <v>6</v>
      </c>
      <c r="E487" t="s">
        <v>5646</v>
      </c>
      <c r="F487" t="s">
        <v>5647</v>
      </c>
      <c r="H487" t="str">
        <f ca="1">PROPER(Sites_per_tag[[#This Row],[Adm2Name]])</f>
        <v>Ambovombe-Androy</v>
      </c>
      <c r="I487" t="s">
        <v>5655</v>
      </c>
      <c r="K487" t="s">
        <v>5682</v>
      </c>
      <c r="L487" t="s">
        <v>6099</v>
      </c>
      <c r="Q487" t="s">
        <v>1094</v>
      </c>
      <c r="R487">
        <v>604170007</v>
      </c>
      <c r="T487" t="s">
        <v>7</v>
      </c>
      <c r="U487" s="3" t="str">
        <f>+VLOOKUP(Sites_per_tag[[#This Row],[Activity_tag]],Parameter!$A$24:$B$32,2,0)</f>
        <v>SMP</v>
      </c>
      <c r="W487">
        <v>45.748252999999998</v>
      </c>
      <c r="X487">
        <v>-25.230350000000001</v>
      </c>
    </row>
    <row r="488" spans="1:24" x14ac:dyDescent="0.35">
      <c r="A488" s="3" t="str">
        <f t="shared" si="7"/>
        <v>604170008SMP</v>
      </c>
      <c r="B488" t="s">
        <v>6211</v>
      </c>
      <c r="C488">
        <f>+VLOOKUP(Sites_per_tag[[#This Row],[Field_office]],Parameter!$A$3:$B$11,2,0)</f>
        <v>6</v>
      </c>
      <c r="E488" t="s">
        <v>5646</v>
      </c>
      <c r="F488" t="s">
        <v>5647</v>
      </c>
      <c r="H488" t="str">
        <f ca="1">PROPER(Sites_per_tag[[#This Row],[Adm2Name]])</f>
        <v>Ambovombe-Androy</v>
      </c>
      <c r="I488" t="s">
        <v>5655</v>
      </c>
      <c r="K488" t="s">
        <v>5682</v>
      </c>
      <c r="L488" t="s">
        <v>6099</v>
      </c>
      <c r="Q488" t="s">
        <v>6260</v>
      </c>
      <c r="R488">
        <v>604170008</v>
      </c>
      <c r="T488" t="s">
        <v>7</v>
      </c>
      <c r="U488" s="3" t="str">
        <f>+VLOOKUP(Sites_per_tag[[#This Row],[Activity_tag]],Parameter!$A$24:$B$32,2,0)</f>
        <v>SMP</v>
      </c>
      <c r="W488">
        <v>45.743022000000003</v>
      </c>
      <c r="X488">
        <v>-25.208704000000001</v>
      </c>
    </row>
    <row r="489" spans="1:24" x14ac:dyDescent="0.35">
      <c r="A489" s="3" t="str">
        <f t="shared" si="7"/>
        <v>604170009SMP</v>
      </c>
      <c r="B489" t="s">
        <v>6211</v>
      </c>
      <c r="C489">
        <f>+VLOOKUP(Sites_per_tag[[#This Row],[Field_office]],Parameter!$A$3:$B$11,2,0)</f>
        <v>6</v>
      </c>
      <c r="E489" t="s">
        <v>5646</v>
      </c>
      <c r="F489" t="s">
        <v>5647</v>
      </c>
      <c r="H489" t="str">
        <f ca="1">PROPER(Sites_per_tag[[#This Row],[Adm2Name]])</f>
        <v>Ambovombe-Androy</v>
      </c>
      <c r="I489" t="s">
        <v>5655</v>
      </c>
      <c r="K489" t="s">
        <v>5682</v>
      </c>
      <c r="L489" t="s">
        <v>6099</v>
      </c>
      <c r="Q489" t="s">
        <v>1246</v>
      </c>
      <c r="R489">
        <v>604170009</v>
      </c>
      <c r="T489" t="s">
        <v>7</v>
      </c>
      <c r="U489" s="3" t="str">
        <f>+VLOOKUP(Sites_per_tag[[#This Row],[Activity_tag]],Parameter!$A$24:$B$32,2,0)</f>
        <v>SMP</v>
      </c>
      <c r="W489">
        <v>45.809559999999998</v>
      </c>
      <c r="X489">
        <v>-25.166841000000002</v>
      </c>
    </row>
    <row r="490" spans="1:24" x14ac:dyDescent="0.35">
      <c r="A490" s="3" t="str">
        <f t="shared" si="7"/>
        <v>604170011SMP</v>
      </c>
      <c r="B490" t="s">
        <v>6211</v>
      </c>
      <c r="C490">
        <f>+VLOOKUP(Sites_per_tag[[#This Row],[Field_office]],Parameter!$A$3:$B$11,2,0)</f>
        <v>6</v>
      </c>
      <c r="E490" t="s">
        <v>5646</v>
      </c>
      <c r="F490" t="s">
        <v>5647</v>
      </c>
      <c r="H490" t="str">
        <f ca="1">PROPER(Sites_per_tag[[#This Row],[Adm2Name]])</f>
        <v>Ambovombe-Androy</v>
      </c>
      <c r="I490" t="s">
        <v>5655</v>
      </c>
      <c r="K490" t="s">
        <v>5682</v>
      </c>
      <c r="L490" t="s">
        <v>6099</v>
      </c>
      <c r="Q490" t="s">
        <v>1911</v>
      </c>
      <c r="R490">
        <v>604170011</v>
      </c>
      <c r="T490" t="s">
        <v>7</v>
      </c>
      <c r="U490" s="3" t="str">
        <f>+VLOOKUP(Sites_per_tag[[#This Row],[Activity_tag]],Parameter!$A$24:$B$32,2,0)</f>
        <v>SMP</v>
      </c>
      <c r="W490">
        <v>45.855772000000002</v>
      </c>
      <c r="X490">
        <v>-25.144660999999999</v>
      </c>
    </row>
    <row r="491" spans="1:24" x14ac:dyDescent="0.35">
      <c r="A491" s="3" t="str">
        <f t="shared" si="7"/>
        <v>604170014SMP</v>
      </c>
      <c r="B491" t="s">
        <v>6211</v>
      </c>
      <c r="C491">
        <f>+VLOOKUP(Sites_per_tag[[#This Row],[Field_office]],Parameter!$A$3:$B$11,2,0)</f>
        <v>6</v>
      </c>
      <c r="E491" t="s">
        <v>5646</v>
      </c>
      <c r="F491" t="s">
        <v>5647</v>
      </c>
      <c r="H491" t="str">
        <f ca="1">PROPER(Sites_per_tag[[#This Row],[Adm2Name]])</f>
        <v>Ambovombe-Androy</v>
      </c>
      <c r="I491" t="s">
        <v>5655</v>
      </c>
      <c r="K491" t="s">
        <v>5682</v>
      </c>
      <c r="L491" t="s">
        <v>6099</v>
      </c>
      <c r="Q491" t="s">
        <v>5831</v>
      </c>
      <c r="R491">
        <v>604170014</v>
      </c>
      <c r="T491" t="s">
        <v>7</v>
      </c>
      <c r="U491" s="3" t="str">
        <f>+VLOOKUP(Sites_per_tag[[#This Row],[Activity_tag]],Parameter!$A$24:$B$32,2,0)</f>
        <v>SMP</v>
      </c>
      <c r="W491">
        <v>45.823368000000002</v>
      </c>
      <c r="X491">
        <v>-25.190058000000001</v>
      </c>
    </row>
    <row r="492" spans="1:24" x14ac:dyDescent="0.35">
      <c r="A492" s="3" t="str">
        <f t="shared" si="7"/>
        <v>604170017SMP</v>
      </c>
      <c r="B492" t="s">
        <v>6211</v>
      </c>
      <c r="C492">
        <f>+VLOOKUP(Sites_per_tag[[#This Row],[Field_office]],Parameter!$A$3:$B$11,2,0)</f>
        <v>6</v>
      </c>
      <c r="E492" t="s">
        <v>5646</v>
      </c>
      <c r="F492" t="s">
        <v>5647</v>
      </c>
      <c r="H492" t="str">
        <f ca="1">PROPER(Sites_per_tag[[#This Row],[Adm2Name]])</f>
        <v>Ambovombe-Androy</v>
      </c>
      <c r="I492" t="s">
        <v>5655</v>
      </c>
      <c r="K492" t="s">
        <v>5682</v>
      </c>
      <c r="L492" t="s">
        <v>6099</v>
      </c>
      <c r="Q492" t="s">
        <v>6261</v>
      </c>
      <c r="R492">
        <v>604170017</v>
      </c>
      <c r="T492" t="s">
        <v>7</v>
      </c>
      <c r="U492" s="3" t="str">
        <f>+VLOOKUP(Sites_per_tag[[#This Row],[Activity_tag]],Parameter!$A$24:$B$32,2,0)</f>
        <v>SMP</v>
      </c>
      <c r="W492">
        <v>45.720970000000001</v>
      </c>
      <c r="X492">
        <v>-25.174627999999998</v>
      </c>
    </row>
    <row r="493" spans="1:24" x14ac:dyDescent="0.35">
      <c r="A493" s="3" t="str">
        <f t="shared" si="7"/>
        <v>604170018SMP</v>
      </c>
      <c r="B493" t="s">
        <v>6211</v>
      </c>
      <c r="C493">
        <f>+VLOOKUP(Sites_per_tag[[#This Row],[Field_office]],Parameter!$A$3:$B$11,2,0)</f>
        <v>6</v>
      </c>
      <c r="E493" t="s">
        <v>5646</v>
      </c>
      <c r="F493" t="s">
        <v>5647</v>
      </c>
      <c r="H493" t="str">
        <f ca="1">PROPER(Sites_per_tag[[#This Row],[Adm2Name]])</f>
        <v>Ambovombe-Androy</v>
      </c>
      <c r="I493" t="s">
        <v>5655</v>
      </c>
      <c r="K493" t="s">
        <v>5682</v>
      </c>
      <c r="L493" t="s">
        <v>6099</v>
      </c>
      <c r="Q493" t="s">
        <v>3152</v>
      </c>
      <c r="R493">
        <v>604170018</v>
      </c>
      <c r="T493" t="s">
        <v>7</v>
      </c>
      <c r="U493" s="3" t="str">
        <f>+VLOOKUP(Sites_per_tag[[#This Row],[Activity_tag]],Parameter!$A$24:$B$32,2,0)</f>
        <v>SMP</v>
      </c>
      <c r="W493">
        <v>45.695920000000001</v>
      </c>
      <c r="X493">
        <v>-25.23423</v>
      </c>
    </row>
    <row r="494" spans="1:24" x14ac:dyDescent="0.35">
      <c r="A494" s="3" t="str">
        <f t="shared" si="7"/>
        <v>604170019SMP</v>
      </c>
      <c r="B494" t="s">
        <v>6211</v>
      </c>
      <c r="C494">
        <f>+VLOOKUP(Sites_per_tag[[#This Row],[Field_office]],Parameter!$A$3:$B$11,2,0)</f>
        <v>6</v>
      </c>
      <c r="E494" t="s">
        <v>5646</v>
      </c>
      <c r="F494" t="s">
        <v>5647</v>
      </c>
      <c r="H494" t="str">
        <f ca="1">PROPER(Sites_per_tag[[#This Row],[Adm2Name]])</f>
        <v>Ambovombe-Androy</v>
      </c>
      <c r="I494" t="s">
        <v>5655</v>
      </c>
      <c r="K494" t="s">
        <v>5682</v>
      </c>
      <c r="L494" t="s">
        <v>6099</v>
      </c>
      <c r="Q494" t="s">
        <v>6262</v>
      </c>
      <c r="R494">
        <v>604170019</v>
      </c>
      <c r="T494" t="s">
        <v>7</v>
      </c>
      <c r="U494" s="3" t="str">
        <f>+VLOOKUP(Sites_per_tag[[#This Row],[Activity_tag]],Parameter!$A$24:$B$32,2,0)</f>
        <v>SMP</v>
      </c>
      <c r="W494">
        <v>45.809401999999999</v>
      </c>
      <c r="X494">
        <v>-25.193131000000001</v>
      </c>
    </row>
    <row r="495" spans="1:24" x14ac:dyDescent="0.35">
      <c r="A495" s="3" t="str">
        <f t="shared" si="7"/>
        <v>604170021SMP</v>
      </c>
      <c r="B495" t="s">
        <v>6211</v>
      </c>
      <c r="C495">
        <f>+VLOOKUP(Sites_per_tag[[#This Row],[Field_office]],Parameter!$A$3:$B$11,2,0)</f>
        <v>6</v>
      </c>
      <c r="E495" t="s">
        <v>5646</v>
      </c>
      <c r="F495" t="s">
        <v>5647</v>
      </c>
      <c r="H495" t="str">
        <f ca="1">PROPER(Sites_per_tag[[#This Row],[Adm2Name]])</f>
        <v>Ambovombe-Androy</v>
      </c>
      <c r="I495" t="s">
        <v>5655</v>
      </c>
      <c r="K495" t="s">
        <v>5682</v>
      </c>
      <c r="L495" t="s">
        <v>6099</v>
      </c>
      <c r="Q495" t="s">
        <v>6263</v>
      </c>
      <c r="R495">
        <v>604170021</v>
      </c>
      <c r="T495" t="s">
        <v>7</v>
      </c>
      <c r="U495" s="3" t="str">
        <f>+VLOOKUP(Sites_per_tag[[#This Row],[Activity_tag]],Parameter!$A$24:$B$32,2,0)</f>
        <v>SMP</v>
      </c>
      <c r="W495">
        <v>45.762545000000003</v>
      </c>
      <c r="X495">
        <v>-25.158522999999999</v>
      </c>
    </row>
    <row r="496" spans="1:24" x14ac:dyDescent="0.35">
      <c r="A496" s="3" t="str">
        <f t="shared" si="7"/>
        <v>604170022SMP</v>
      </c>
      <c r="B496" t="s">
        <v>6211</v>
      </c>
      <c r="C496">
        <f>+VLOOKUP(Sites_per_tag[[#This Row],[Field_office]],Parameter!$A$3:$B$11,2,0)</f>
        <v>6</v>
      </c>
      <c r="E496" t="s">
        <v>5646</v>
      </c>
      <c r="F496" t="s">
        <v>5647</v>
      </c>
      <c r="H496" t="str">
        <f ca="1">PROPER(Sites_per_tag[[#This Row],[Adm2Name]])</f>
        <v>Ambovombe-Androy</v>
      </c>
      <c r="I496" t="s">
        <v>5655</v>
      </c>
      <c r="K496" t="s">
        <v>5682</v>
      </c>
      <c r="L496" t="s">
        <v>6099</v>
      </c>
      <c r="Q496" t="s">
        <v>6264</v>
      </c>
      <c r="R496">
        <v>604170022</v>
      </c>
      <c r="T496" t="s">
        <v>7</v>
      </c>
      <c r="U496" s="3" t="str">
        <f>+VLOOKUP(Sites_per_tag[[#This Row],[Activity_tag]],Parameter!$A$24:$B$32,2,0)</f>
        <v>SMP</v>
      </c>
      <c r="W496">
        <v>45.776443999999998</v>
      </c>
      <c r="X496">
        <v>-25.241541999999999</v>
      </c>
    </row>
    <row r="497" spans="1:24" x14ac:dyDescent="0.35">
      <c r="A497" s="3" t="str">
        <f t="shared" si="7"/>
        <v>604170024SMP</v>
      </c>
      <c r="B497" t="s">
        <v>6211</v>
      </c>
      <c r="C497">
        <f>+VLOOKUP(Sites_per_tag[[#This Row],[Field_office]],Parameter!$A$3:$B$11,2,0)</f>
        <v>6</v>
      </c>
      <c r="E497" t="s">
        <v>5646</v>
      </c>
      <c r="F497" t="s">
        <v>5647</v>
      </c>
      <c r="H497" t="str">
        <f ca="1">PROPER(Sites_per_tag[[#This Row],[Adm2Name]])</f>
        <v>Ambovombe-Androy</v>
      </c>
      <c r="I497" t="s">
        <v>5655</v>
      </c>
      <c r="K497" t="s">
        <v>5682</v>
      </c>
      <c r="L497" t="s">
        <v>6099</v>
      </c>
      <c r="Q497" t="s">
        <v>6265</v>
      </c>
      <c r="R497">
        <v>604170024</v>
      </c>
      <c r="T497" t="s">
        <v>7</v>
      </c>
      <c r="U497" s="3" t="str">
        <f>+VLOOKUP(Sites_per_tag[[#This Row],[Activity_tag]],Parameter!$A$24:$B$32,2,0)</f>
        <v>SMP</v>
      </c>
      <c r="W497">
        <v>45.761854</v>
      </c>
      <c r="X497">
        <v>-25.209554000000001</v>
      </c>
    </row>
    <row r="498" spans="1:24" x14ac:dyDescent="0.35">
      <c r="A498" s="3" t="str">
        <f t="shared" si="7"/>
        <v>604170025SMP</v>
      </c>
      <c r="B498" t="s">
        <v>6211</v>
      </c>
      <c r="C498">
        <f>+VLOOKUP(Sites_per_tag[[#This Row],[Field_office]],Parameter!$A$3:$B$11,2,0)</f>
        <v>6</v>
      </c>
      <c r="E498" t="s">
        <v>5646</v>
      </c>
      <c r="F498" t="s">
        <v>5647</v>
      </c>
      <c r="H498" t="str">
        <f ca="1">PROPER(Sites_per_tag[[#This Row],[Adm2Name]])</f>
        <v>Ambovombe-Androy</v>
      </c>
      <c r="I498" t="s">
        <v>5655</v>
      </c>
      <c r="K498" t="s">
        <v>5682</v>
      </c>
      <c r="L498" t="s">
        <v>6099</v>
      </c>
      <c r="Q498" t="s">
        <v>3685</v>
      </c>
      <c r="R498">
        <v>604170025</v>
      </c>
      <c r="T498" t="s">
        <v>7</v>
      </c>
      <c r="U498" s="3" t="str">
        <f>+VLOOKUP(Sites_per_tag[[#This Row],[Activity_tag]],Parameter!$A$24:$B$32,2,0)</f>
        <v>SMP</v>
      </c>
      <c r="W498">
        <v>45.778595000000003</v>
      </c>
      <c r="X498">
        <v>-25.189478000000001</v>
      </c>
    </row>
    <row r="499" spans="1:24" x14ac:dyDescent="0.35">
      <c r="A499" s="3" t="str">
        <f t="shared" si="7"/>
        <v>604170037SMP</v>
      </c>
      <c r="B499" t="s">
        <v>6211</v>
      </c>
      <c r="C499">
        <f>+VLOOKUP(Sites_per_tag[[#This Row],[Field_office]],Parameter!$A$3:$B$11,2,0)</f>
        <v>6</v>
      </c>
      <c r="E499" t="s">
        <v>5646</v>
      </c>
      <c r="F499" t="s">
        <v>5647</v>
      </c>
      <c r="H499" t="str">
        <f ca="1">PROPER(Sites_per_tag[[#This Row],[Adm2Name]])</f>
        <v>Ambovombe-Androy</v>
      </c>
      <c r="I499" t="s">
        <v>5655</v>
      </c>
      <c r="K499" t="s">
        <v>5682</v>
      </c>
      <c r="L499" t="s">
        <v>6099</v>
      </c>
      <c r="Q499" t="s">
        <v>2313</v>
      </c>
      <c r="R499">
        <v>604170037</v>
      </c>
      <c r="T499" t="s">
        <v>7</v>
      </c>
      <c r="U499" s="3" t="str">
        <f>+VLOOKUP(Sites_per_tag[[#This Row],[Activity_tag]],Parameter!$A$24:$B$32,2,0)</f>
        <v>SMP</v>
      </c>
      <c r="W499">
        <v>45.695920000000001</v>
      </c>
      <c r="X499">
        <v>-25.23423</v>
      </c>
    </row>
    <row r="500" spans="1:24" x14ac:dyDescent="0.35">
      <c r="A500" s="3" t="str">
        <f t="shared" si="7"/>
        <v>604190002SMP</v>
      </c>
      <c r="B500" t="s">
        <v>6211</v>
      </c>
      <c r="C500">
        <f>+VLOOKUP(Sites_per_tag[[#This Row],[Field_office]],Parameter!$A$3:$B$11,2,0)</f>
        <v>6</v>
      </c>
      <c r="E500" t="s">
        <v>5646</v>
      </c>
      <c r="F500" t="s">
        <v>5647</v>
      </c>
      <c r="H500" t="str">
        <f ca="1">PROPER(Sites_per_tag[[#This Row],[Adm2Name]])</f>
        <v>Ambovombe-Androy</v>
      </c>
      <c r="I500" t="s">
        <v>5655</v>
      </c>
      <c r="K500" t="s">
        <v>6149</v>
      </c>
      <c r="L500" t="s">
        <v>6150</v>
      </c>
      <c r="Q500" t="s">
        <v>1109</v>
      </c>
      <c r="R500">
        <v>604190002</v>
      </c>
      <c r="T500" t="s">
        <v>7</v>
      </c>
      <c r="U500" s="3" t="str">
        <f>+VLOOKUP(Sites_per_tag[[#This Row],[Activity_tag]],Parameter!$A$24:$B$32,2,0)</f>
        <v>SMP</v>
      </c>
      <c r="W500">
        <v>45.980839000000003</v>
      </c>
      <c r="X500">
        <v>-24.992160999999999</v>
      </c>
    </row>
    <row r="501" spans="1:24" x14ac:dyDescent="0.35">
      <c r="A501" s="3" t="str">
        <f t="shared" si="7"/>
        <v>604190005SMP</v>
      </c>
      <c r="B501" t="s">
        <v>6211</v>
      </c>
      <c r="C501">
        <f>+VLOOKUP(Sites_per_tag[[#This Row],[Field_office]],Parameter!$A$3:$B$11,2,0)</f>
        <v>6</v>
      </c>
      <c r="E501" t="s">
        <v>5646</v>
      </c>
      <c r="F501" t="s">
        <v>5647</v>
      </c>
      <c r="H501" t="str">
        <f ca="1">PROPER(Sites_per_tag[[#This Row],[Adm2Name]])</f>
        <v>Ambovombe-Androy</v>
      </c>
      <c r="I501" t="s">
        <v>5655</v>
      </c>
      <c r="K501" t="s">
        <v>6149</v>
      </c>
      <c r="L501" t="s">
        <v>6150</v>
      </c>
      <c r="Q501" t="s">
        <v>6266</v>
      </c>
      <c r="R501">
        <v>604190005</v>
      </c>
      <c r="T501" t="s">
        <v>7</v>
      </c>
      <c r="U501" s="3" t="str">
        <f>+VLOOKUP(Sites_per_tag[[#This Row],[Activity_tag]],Parameter!$A$24:$B$32,2,0)</f>
        <v>SMP</v>
      </c>
      <c r="W501">
        <v>45.994256</v>
      </c>
      <c r="X501">
        <v>-25.246977999999999</v>
      </c>
    </row>
    <row r="502" spans="1:24" x14ac:dyDescent="0.35">
      <c r="A502" s="3" t="str">
        <f t="shared" si="7"/>
        <v>604190007SMP</v>
      </c>
      <c r="B502" t="s">
        <v>6211</v>
      </c>
      <c r="C502">
        <f>+VLOOKUP(Sites_per_tag[[#This Row],[Field_office]],Parameter!$A$3:$B$11,2,0)</f>
        <v>6</v>
      </c>
      <c r="E502" t="s">
        <v>5646</v>
      </c>
      <c r="F502" t="s">
        <v>5647</v>
      </c>
      <c r="H502" t="str">
        <f ca="1">PROPER(Sites_per_tag[[#This Row],[Adm2Name]])</f>
        <v>Ambovombe-Androy</v>
      </c>
      <c r="I502" t="s">
        <v>5655</v>
      </c>
      <c r="K502" t="s">
        <v>6149</v>
      </c>
      <c r="L502" t="s">
        <v>6150</v>
      </c>
      <c r="Q502" t="s">
        <v>318</v>
      </c>
      <c r="R502">
        <v>604190007</v>
      </c>
      <c r="T502" t="s">
        <v>7</v>
      </c>
      <c r="U502" s="3" t="str">
        <f>+VLOOKUP(Sites_per_tag[[#This Row],[Activity_tag]],Parameter!$A$24:$B$32,2,0)</f>
        <v>SMP</v>
      </c>
      <c r="W502">
        <v>46.067661999999999</v>
      </c>
      <c r="X502">
        <v>-25.031638000000001</v>
      </c>
    </row>
    <row r="503" spans="1:24" x14ac:dyDescent="0.35">
      <c r="A503" s="3" t="str">
        <f t="shared" si="7"/>
        <v>604190008SMP</v>
      </c>
      <c r="B503" t="s">
        <v>6211</v>
      </c>
      <c r="C503">
        <f>+VLOOKUP(Sites_per_tag[[#This Row],[Field_office]],Parameter!$A$3:$B$11,2,0)</f>
        <v>6</v>
      </c>
      <c r="E503" t="s">
        <v>5646</v>
      </c>
      <c r="F503" t="s">
        <v>5647</v>
      </c>
      <c r="H503" t="str">
        <f ca="1">PROPER(Sites_per_tag[[#This Row],[Adm2Name]])</f>
        <v>Ambovombe-Androy</v>
      </c>
      <c r="I503" t="s">
        <v>5655</v>
      </c>
      <c r="K503" t="s">
        <v>6149</v>
      </c>
      <c r="L503" t="s">
        <v>6150</v>
      </c>
      <c r="Q503" t="s">
        <v>319</v>
      </c>
      <c r="R503">
        <v>604190008</v>
      </c>
      <c r="T503" t="s">
        <v>7</v>
      </c>
      <c r="U503" s="3" t="str">
        <f>+VLOOKUP(Sites_per_tag[[#This Row],[Activity_tag]],Parameter!$A$24:$B$32,2,0)</f>
        <v>SMP</v>
      </c>
      <c r="W503">
        <v>46.065054000000003</v>
      </c>
      <c r="X503">
        <v>-25.008863999999999</v>
      </c>
    </row>
    <row r="504" spans="1:24" x14ac:dyDescent="0.35">
      <c r="A504" s="3" t="str">
        <f t="shared" si="7"/>
        <v>604190012SMP</v>
      </c>
      <c r="B504" t="s">
        <v>6211</v>
      </c>
      <c r="C504">
        <f>+VLOOKUP(Sites_per_tag[[#This Row],[Field_office]],Parameter!$A$3:$B$11,2,0)</f>
        <v>6</v>
      </c>
      <c r="E504" t="s">
        <v>5646</v>
      </c>
      <c r="F504" t="s">
        <v>5647</v>
      </c>
      <c r="H504" t="str">
        <f ca="1">PROPER(Sites_per_tag[[#This Row],[Adm2Name]])</f>
        <v>Ambovombe-Androy</v>
      </c>
      <c r="I504" t="s">
        <v>5655</v>
      </c>
      <c r="K504" t="s">
        <v>6149</v>
      </c>
      <c r="L504" t="s">
        <v>6150</v>
      </c>
      <c r="Q504" t="s">
        <v>6241</v>
      </c>
      <c r="R504">
        <v>604190012</v>
      </c>
      <c r="T504" t="s">
        <v>7</v>
      </c>
      <c r="U504" s="3" t="str">
        <f>+VLOOKUP(Sites_per_tag[[#This Row],[Activity_tag]],Parameter!$A$24:$B$32,2,0)</f>
        <v>SMP</v>
      </c>
      <c r="W504">
        <v>46.039242000000002</v>
      </c>
      <c r="X504">
        <v>-25.208361</v>
      </c>
    </row>
    <row r="505" spans="1:24" x14ac:dyDescent="0.35">
      <c r="A505" s="3" t="str">
        <f t="shared" si="7"/>
        <v>604190013SMP</v>
      </c>
      <c r="B505" t="s">
        <v>6211</v>
      </c>
      <c r="C505">
        <f>+VLOOKUP(Sites_per_tag[[#This Row],[Field_office]],Parameter!$A$3:$B$11,2,0)</f>
        <v>6</v>
      </c>
      <c r="E505" t="s">
        <v>5646</v>
      </c>
      <c r="F505" t="s">
        <v>5647</v>
      </c>
      <c r="H505" t="str">
        <f ca="1">PROPER(Sites_per_tag[[#This Row],[Adm2Name]])</f>
        <v>Ambovombe-Androy</v>
      </c>
      <c r="I505" t="s">
        <v>5655</v>
      </c>
      <c r="K505" t="s">
        <v>6149</v>
      </c>
      <c r="L505" t="s">
        <v>6150</v>
      </c>
      <c r="Q505" t="s">
        <v>29</v>
      </c>
      <c r="R505">
        <v>604190013</v>
      </c>
      <c r="T505" t="s">
        <v>7</v>
      </c>
      <c r="U505" s="3" t="str">
        <f>+VLOOKUP(Sites_per_tag[[#This Row],[Activity_tag]],Parameter!$A$24:$B$32,2,0)</f>
        <v>SMP</v>
      </c>
      <c r="W505">
        <v>46.119503000000002</v>
      </c>
      <c r="X505">
        <v>-25.028973000000001</v>
      </c>
    </row>
    <row r="506" spans="1:24" x14ac:dyDescent="0.35">
      <c r="A506" s="3" t="str">
        <f t="shared" si="7"/>
        <v>604190014SMP</v>
      </c>
      <c r="B506" t="s">
        <v>6211</v>
      </c>
      <c r="C506">
        <f>+VLOOKUP(Sites_per_tag[[#This Row],[Field_office]],Parameter!$A$3:$B$11,2,0)</f>
        <v>6</v>
      </c>
      <c r="E506" t="s">
        <v>5646</v>
      </c>
      <c r="F506" t="s">
        <v>5647</v>
      </c>
      <c r="H506" t="str">
        <f ca="1">PROPER(Sites_per_tag[[#This Row],[Adm2Name]])</f>
        <v>Ambovombe-Androy</v>
      </c>
      <c r="I506" t="s">
        <v>5655</v>
      </c>
      <c r="K506" t="s">
        <v>6149</v>
      </c>
      <c r="L506" t="s">
        <v>6150</v>
      </c>
      <c r="Q506" t="s">
        <v>3485</v>
      </c>
      <c r="R506">
        <v>604190014</v>
      </c>
      <c r="T506" t="s">
        <v>7</v>
      </c>
      <c r="U506" s="3" t="str">
        <f>+VLOOKUP(Sites_per_tag[[#This Row],[Activity_tag]],Parameter!$A$24:$B$32,2,0)</f>
        <v>SMP</v>
      </c>
      <c r="W506">
        <v>46.112845</v>
      </c>
      <c r="X506">
        <v>-24.966925</v>
      </c>
    </row>
    <row r="507" spans="1:24" x14ac:dyDescent="0.35">
      <c r="A507" s="3" t="str">
        <f t="shared" si="7"/>
        <v>604190015SMP</v>
      </c>
      <c r="B507" t="s">
        <v>6211</v>
      </c>
      <c r="C507">
        <f>+VLOOKUP(Sites_per_tag[[#This Row],[Field_office]],Parameter!$A$3:$B$11,2,0)</f>
        <v>6</v>
      </c>
      <c r="E507" t="s">
        <v>5646</v>
      </c>
      <c r="F507" t="s">
        <v>5647</v>
      </c>
      <c r="H507" t="str">
        <f ca="1">PROPER(Sites_per_tag[[#This Row],[Adm2Name]])</f>
        <v>Ambovombe-Androy</v>
      </c>
      <c r="I507" t="s">
        <v>5655</v>
      </c>
      <c r="K507" t="s">
        <v>6149</v>
      </c>
      <c r="L507" t="s">
        <v>6150</v>
      </c>
      <c r="Q507" t="s">
        <v>1033</v>
      </c>
      <c r="R507">
        <v>604190015</v>
      </c>
      <c r="T507" t="s">
        <v>7</v>
      </c>
      <c r="U507" s="3" t="str">
        <f>+VLOOKUP(Sites_per_tag[[#This Row],[Activity_tag]],Parameter!$A$24:$B$32,2,0)</f>
        <v>SMP</v>
      </c>
      <c r="W507">
        <v>45.909717000000001</v>
      </c>
      <c r="X507">
        <v>-25.174424999999999</v>
      </c>
    </row>
    <row r="508" spans="1:24" x14ac:dyDescent="0.35">
      <c r="A508" s="3" t="str">
        <f t="shared" si="7"/>
        <v>604200001SMP</v>
      </c>
      <c r="B508" t="s">
        <v>6211</v>
      </c>
      <c r="C508">
        <f>+VLOOKUP(Sites_per_tag[[#This Row],[Field_office]],Parameter!$A$3:$B$11,2,0)</f>
        <v>6</v>
      </c>
      <c r="E508" t="s">
        <v>1448</v>
      </c>
      <c r="F508" t="s">
        <v>5651</v>
      </c>
      <c r="H508" t="str">
        <f ca="1">PROPER(Sites_per_tag[[#This Row],[Adm2Name]])</f>
        <v>Betroka</v>
      </c>
      <c r="I508" t="s">
        <v>5691</v>
      </c>
      <c r="K508" t="s">
        <v>4513</v>
      </c>
      <c r="L508" t="s">
        <v>5773</v>
      </c>
      <c r="Q508" t="s">
        <v>594</v>
      </c>
      <c r="R508">
        <v>604200001</v>
      </c>
      <c r="T508" t="s">
        <v>7</v>
      </c>
      <c r="U508" s="3" t="str">
        <f>+VLOOKUP(Sites_per_tag[[#This Row],[Activity_tag]],Parameter!$A$24:$B$32,2,0)</f>
        <v>SMP</v>
      </c>
      <c r="W508">
        <v>45.946125000000002</v>
      </c>
      <c r="X508">
        <v>-25.203050999999999</v>
      </c>
    </row>
    <row r="509" spans="1:24" x14ac:dyDescent="0.35">
      <c r="A509" s="3" t="str">
        <f t="shared" si="7"/>
        <v>604200003SMP</v>
      </c>
      <c r="B509" t="s">
        <v>6211</v>
      </c>
      <c r="C509">
        <f>+VLOOKUP(Sites_per_tag[[#This Row],[Field_office]],Parameter!$A$3:$B$11,2,0)</f>
        <v>6</v>
      </c>
      <c r="E509" t="s">
        <v>1448</v>
      </c>
      <c r="F509" t="s">
        <v>5651</v>
      </c>
      <c r="H509" t="str">
        <f ca="1">PROPER(Sites_per_tag[[#This Row],[Adm2Name]])</f>
        <v>Betroka</v>
      </c>
      <c r="I509" t="s">
        <v>5691</v>
      </c>
      <c r="K509" t="s">
        <v>4513</v>
      </c>
      <c r="L509" t="s">
        <v>5773</v>
      </c>
      <c r="Q509" t="s">
        <v>1292</v>
      </c>
      <c r="R509">
        <v>604200003</v>
      </c>
      <c r="T509" t="s">
        <v>7</v>
      </c>
      <c r="U509" s="3" t="str">
        <f>+VLOOKUP(Sites_per_tag[[#This Row],[Activity_tag]],Parameter!$A$24:$B$32,2,0)</f>
        <v>SMP</v>
      </c>
      <c r="W509">
        <v>45.896737000000002</v>
      </c>
      <c r="X509">
        <v>-25.104385000000001</v>
      </c>
    </row>
    <row r="510" spans="1:24" x14ac:dyDescent="0.35">
      <c r="A510" s="3" t="str">
        <f t="shared" si="7"/>
        <v>604200004SMP</v>
      </c>
      <c r="B510" t="s">
        <v>6211</v>
      </c>
      <c r="C510">
        <f>+VLOOKUP(Sites_per_tag[[#This Row],[Field_office]],Parameter!$A$3:$B$11,2,0)</f>
        <v>6</v>
      </c>
      <c r="E510" t="s">
        <v>1448</v>
      </c>
      <c r="F510" t="s">
        <v>5651</v>
      </c>
      <c r="H510" t="str">
        <f ca="1">PROPER(Sites_per_tag[[#This Row],[Adm2Name]])</f>
        <v>Betroka</v>
      </c>
      <c r="I510" t="s">
        <v>5691</v>
      </c>
      <c r="K510" t="s">
        <v>4513</v>
      </c>
      <c r="L510" t="s">
        <v>5773</v>
      </c>
      <c r="Q510" t="s">
        <v>1293</v>
      </c>
      <c r="R510">
        <v>604200004</v>
      </c>
      <c r="T510" t="s">
        <v>7</v>
      </c>
      <c r="U510" s="3" t="str">
        <f>+VLOOKUP(Sites_per_tag[[#This Row],[Activity_tag]],Parameter!$A$24:$B$32,2,0)</f>
        <v>SMP</v>
      </c>
      <c r="W510">
        <v>45.897168000000001</v>
      </c>
      <c r="X510">
        <v>-25.148371000000001</v>
      </c>
    </row>
    <row r="511" spans="1:24" x14ac:dyDescent="0.35">
      <c r="A511" s="3" t="str">
        <f t="shared" si="7"/>
        <v>604200008SMP</v>
      </c>
      <c r="B511" t="s">
        <v>6211</v>
      </c>
      <c r="C511">
        <f>+VLOOKUP(Sites_per_tag[[#This Row],[Field_office]],Parameter!$A$3:$B$11,2,0)</f>
        <v>6</v>
      </c>
      <c r="E511" t="s">
        <v>1448</v>
      </c>
      <c r="F511" t="s">
        <v>5651</v>
      </c>
      <c r="H511" t="str">
        <f ca="1">PROPER(Sites_per_tag[[#This Row],[Adm2Name]])</f>
        <v>Betroka</v>
      </c>
      <c r="I511" t="s">
        <v>5691</v>
      </c>
      <c r="K511" t="s">
        <v>4513</v>
      </c>
      <c r="L511" t="s">
        <v>5773</v>
      </c>
      <c r="Q511" t="s">
        <v>630</v>
      </c>
      <c r="R511">
        <v>604200008</v>
      </c>
      <c r="T511" t="s">
        <v>7</v>
      </c>
      <c r="U511" s="3" t="str">
        <f>+VLOOKUP(Sites_per_tag[[#This Row],[Activity_tag]],Parameter!$A$24:$B$32,2,0)</f>
        <v>SMP</v>
      </c>
      <c r="W511">
        <v>45.951535</v>
      </c>
      <c r="X511">
        <v>-25.186703999999999</v>
      </c>
    </row>
    <row r="512" spans="1:24" x14ac:dyDescent="0.35">
      <c r="A512" s="3" t="str">
        <f t="shared" si="7"/>
        <v>604220016SMP</v>
      </c>
      <c r="B512" t="s">
        <v>6211</v>
      </c>
      <c r="C512">
        <f>+VLOOKUP(Sites_per_tag[[#This Row],[Field_office]],Parameter!$A$3:$B$11,2,0)</f>
        <v>6</v>
      </c>
      <c r="E512" t="s">
        <v>5646</v>
      </c>
      <c r="F512" t="s">
        <v>5647</v>
      </c>
      <c r="H512" t="str">
        <f ca="1">PROPER(Sites_per_tag[[#This Row],[Adm2Name]])</f>
        <v>Antanimora Sud</v>
      </c>
      <c r="I512" t="s">
        <v>5664</v>
      </c>
      <c r="K512" t="s">
        <v>6248</v>
      </c>
      <c r="L512" t="s">
        <v>5797</v>
      </c>
      <c r="Q512" t="s">
        <v>975</v>
      </c>
      <c r="R512">
        <v>604220016</v>
      </c>
      <c r="T512" t="s">
        <v>7</v>
      </c>
      <c r="U512" s="3" t="str">
        <f>+VLOOKUP(Sites_per_tag[[#This Row],[Activity_tag]],Parameter!$A$24:$B$32,2,0)</f>
        <v>SMP</v>
      </c>
      <c r="W512">
        <v>45.610092999999999</v>
      </c>
      <c r="X512">
        <v>-24.776060000000001</v>
      </c>
    </row>
    <row r="513" spans="1:24" x14ac:dyDescent="0.35">
      <c r="A513" s="3" t="str">
        <f t="shared" si="7"/>
        <v>605010001SMP</v>
      </c>
      <c r="B513" t="s">
        <v>6267</v>
      </c>
      <c r="C513">
        <f>+VLOOKUP(Sites_per_tag[[#This Row],[Field_office]],Parameter!$A$3:$B$11,2,0)</f>
        <v>9</v>
      </c>
      <c r="E513" t="s">
        <v>5650</v>
      </c>
      <c r="F513" t="s">
        <v>5654</v>
      </c>
      <c r="H513" t="str">
        <f ca="1">PROPER(Sites_per_tag[[#This Row],[Adm2Name]])</f>
        <v>Ampanihy Ouest</v>
      </c>
      <c r="I513" t="s">
        <v>5660</v>
      </c>
      <c r="K513" t="s">
        <v>457</v>
      </c>
      <c r="L513" t="s">
        <v>5748</v>
      </c>
      <c r="Q513" t="s">
        <v>2252</v>
      </c>
      <c r="R513">
        <v>605010001</v>
      </c>
      <c r="T513" t="s">
        <v>7</v>
      </c>
      <c r="U513" s="3" t="str">
        <f>+VLOOKUP(Sites_per_tag[[#This Row],[Activity_tag]],Parameter!$A$24:$B$32,2,0)</f>
        <v>SMP</v>
      </c>
      <c r="W513">
        <v>45.073084999999999</v>
      </c>
      <c r="X513">
        <v>-24.500236000000001</v>
      </c>
    </row>
    <row r="514" spans="1:24" x14ac:dyDescent="0.35">
      <c r="A514" s="3" t="str">
        <f t="shared" si="7"/>
        <v>605010002SMP</v>
      </c>
      <c r="B514" t="s">
        <v>6267</v>
      </c>
      <c r="C514">
        <f>+VLOOKUP(Sites_per_tag[[#This Row],[Field_office]],Parameter!$A$3:$B$11,2,0)</f>
        <v>9</v>
      </c>
      <c r="E514" t="s">
        <v>5650</v>
      </c>
      <c r="F514" t="s">
        <v>5654</v>
      </c>
      <c r="H514" t="str">
        <f ca="1">PROPER(Sites_per_tag[[#This Row],[Adm2Name]])</f>
        <v>Ampanihy Ouest</v>
      </c>
      <c r="I514" t="s">
        <v>5660</v>
      </c>
      <c r="K514" t="s">
        <v>457</v>
      </c>
      <c r="L514" t="s">
        <v>5748</v>
      </c>
      <c r="Q514" t="s">
        <v>6268</v>
      </c>
      <c r="R514">
        <v>605010002</v>
      </c>
      <c r="T514" t="s">
        <v>7</v>
      </c>
      <c r="U514" s="3" t="str">
        <f>+VLOOKUP(Sites_per_tag[[#This Row],[Activity_tag]],Parameter!$A$24:$B$32,2,0)</f>
        <v>SMP</v>
      </c>
      <c r="W514">
        <v>45.046126000000001</v>
      </c>
      <c r="X514">
        <v>-24.601599</v>
      </c>
    </row>
    <row r="515" spans="1:24" x14ac:dyDescent="0.35">
      <c r="A515" s="3" t="str">
        <f t="shared" ref="A515:A578" si="8">+R515&amp;U515</f>
        <v>605010003SMP</v>
      </c>
      <c r="B515" t="s">
        <v>6267</v>
      </c>
      <c r="C515">
        <f>+VLOOKUP(Sites_per_tag[[#This Row],[Field_office]],Parameter!$A$3:$B$11,2,0)</f>
        <v>9</v>
      </c>
      <c r="E515" t="s">
        <v>5650</v>
      </c>
      <c r="F515" t="s">
        <v>5654</v>
      </c>
      <c r="H515" t="str">
        <f ca="1">PROPER(Sites_per_tag[[#This Row],[Adm2Name]])</f>
        <v>Ampanihy Ouest</v>
      </c>
      <c r="I515" t="s">
        <v>5660</v>
      </c>
      <c r="K515" t="s">
        <v>457</v>
      </c>
      <c r="L515" t="s">
        <v>5748</v>
      </c>
      <c r="Q515" t="s">
        <v>6234</v>
      </c>
      <c r="R515">
        <v>605010003</v>
      </c>
      <c r="T515" t="s">
        <v>7</v>
      </c>
      <c r="U515" s="3" t="str">
        <f>+VLOOKUP(Sites_per_tag[[#This Row],[Activity_tag]],Parameter!$A$24:$B$32,2,0)</f>
        <v>SMP</v>
      </c>
      <c r="W515">
        <v>45.046126000000001</v>
      </c>
      <c r="X515">
        <v>-24.601599</v>
      </c>
    </row>
    <row r="516" spans="1:24" x14ac:dyDescent="0.35">
      <c r="A516" s="3" t="str">
        <f t="shared" si="8"/>
        <v>605010004SMP</v>
      </c>
      <c r="B516" t="s">
        <v>6267</v>
      </c>
      <c r="C516">
        <f>+VLOOKUP(Sites_per_tag[[#This Row],[Field_office]],Parameter!$A$3:$B$11,2,0)</f>
        <v>9</v>
      </c>
      <c r="E516" t="s">
        <v>5650</v>
      </c>
      <c r="F516" t="s">
        <v>5654</v>
      </c>
      <c r="H516" t="str">
        <f ca="1">PROPER(Sites_per_tag[[#This Row],[Adm2Name]])</f>
        <v>Ampanihy Ouest</v>
      </c>
      <c r="I516" t="s">
        <v>5660</v>
      </c>
      <c r="K516" t="s">
        <v>457</v>
      </c>
      <c r="L516" t="s">
        <v>5748</v>
      </c>
      <c r="Q516" t="s">
        <v>2426</v>
      </c>
      <c r="R516">
        <v>605010004</v>
      </c>
      <c r="T516" t="s">
        <v>7</v>
      </c>
      <c r="U516" s="3" t="str">
        <f>+VLOOKUP(Sites_per_tag[[#This Row],[Activity_tag]],Parameter!$A$24:$B$32,2,0)</f>
        <v>SMP</v>
      </c>
      <c r="W516">
        <v>44.980111000000001</v>
      </c>
      <c r="X516">
        <v>-24.568504000000001</v>
      </c>
    </row>
    <row r="517" spans="1:24" x14ac:dyDescent="0.35">
      <c r="A517" s="3" t="str">
        <f t="shared" si="8"/>
        <v>605010005SMP</v>
      </c>
      <c r="B517" t="s">
        <v>6267</v>
      </c>
      <c r="C517">
        <f>+VLOOKUP(Sites_per_tag[[#This Row],[Field_office]],Parameter!$A$3:$B$11,2,0)</f>
        <v>9</v>
      </c>
      <c r="E517" t="s">
        <v>5650</v>
      </c>
      <c r="F517" t="s">
        <v>5654</v>
      </c>
      <c r="H517" t="str">
        <f ca="1">PROPER(Sites_per_tag[[#This Row],[Adm2Name]])</f>
        <v>Ampanihy Ouest</v>
      </c>
      <c r="I517" t="s">
        <v>5660</v>
      </c>
      <c r="K517" t="s">
        <v>457</v>
      </c>
      <c r="L517" t="s">
        <v>5748</v>
      </c>
      <c r="Q517" t="s">
        <v>3132</v>
      </c>
      <c r="R517">
        <v>605010005</v>
      </c>
      <c r="T517" t="s">
        <v>7</v>
      </c>
      <c r="U517" s="3" t="str">
        <f>+VLOOKUP(Sites_per_tag[[#This Row],[Activity_tag]],Parameter!$A$24:$B$32,2,0)</f>
        <v>SMP</v>
      </c>
      <c r="W517">
        <v>44.980111000000001</v>
      </c>
      <c r="X517">
        <v>-24.568504000000001</v>
      </c>
    </row>
    <row r="518" spans="1:24" x14ac:dyDescent="0.35">
      <c r="A518" s="3" t="str">
        <f t="shared" si="8"/>
        <v>605010006SMP</v>
      </c>
      <c r="B518" t="s">
        <v>6267</v>
      </c>
      <c r="C518">
        <f>+VLOOKUP(Sites_per_tag[[#This Row],[Field_office]],Parameter!$A$3:$B$11,2,0)</f>
        <v>9</v>
      </c>
      <c r="E518" t="s">
        <v>5650</v>
      </c>
      <c r="F518" t="s">
        <v>5654</v>
      </c>
      <c r="H518" t="str">
        <f ca="1">PROPER(Sites_per_tag[[#This Row],[Adm2Name]])</f>
        <v>Ampanihy Ouest</v>
      </c>
      <c r="I518" t="s">
        <v>5660</v>
      </c>
      <c r="K518" t="s">
        <v>457</v>
      </c>
      <c r="L518" t="s">
        <v>5748</v>
      </c>
      <c r="Q518" t="s">
        <v>1501</v>
      </c>
      <c r="R518">
        <v>605010006</v>
      </c>
      <c r="T518" t="s">
        <v>7</v>
      </c>
      <c r="U518" s="3" t="str">
        <f>+VLOOKUP(Sites_per_tag[[#This Row],[Activity_tag]],Parameter!$A$24:$B$32,2,0)</f>
        <v>SMP</v>
      </c>
      <c r="W518">
        <v>44.916846999999997</v>
      </c>
      <c r="X518">
        <v>-24.780792999999999</v>
      </c>
    </row>
    <row r="519" spans="1:24" x14ac:dyDescent="0.35">
      <c r="A519" s="3" t="str">
        <f t="shared" si="8"/>
        <v>605010008SMP</v>
      </c>
      <c r="B519" t="s">
        <v>6267</v>
      </c>
      <c r="C519">
        <f>+VLOOKUP(Sites_per_tag[[#This Row],[Field_office]],Parameter!$A$3:$B$11,2,0)</f>
        <v>9</v>
      </c>
      <c r="E519" t="s">
        <v>5650</v>
      </c>
      <c r="F519" t="s">
        <v>5654</v>
      </c>
      <c r="H519" t="str">
        <f ca="1">PROPER(Sites_per_tag[[#This Row],[Adm2Name]])</f>
        <v>Ampanihy Ouest</v>
      </c>
      <c r="I519" t="s">
        <v>5660</v>
      </c>
      <c r="K519" t="s">
        <v>457</v>
      </c>
      <c r="L519" t="s">
        <v>5748</v>
      </c>
      <c r="Q519" t="s">
        <v>3248</v>
      </c>
      <c r="R519">
        <v>605010008</v>
      </c>
      <c r="T519" t="s">
        <v>7</v>
      </c>
      <c r="U519" s="3" t="str">
        <f>+VLOOKUP(Sites_per_tag[[#This Row],[Activity_tag]],Parameter!$A$24:$B$32,2,0)</f>
        <v>SMP</v>
      </c>
      <c r="W519">
        <v>44.952722999999999</v>
      </c>
      <c r="X519">
        <v>-24.553560999999998</v>
      </c>
    </row>
    <row r="520" spans="1:24" x14ac:dyDescent="0.35">
      <c r="A520" s="3" t="str">
        <f t="shared" si="8"/>
        <v>605010014SMP</v>
      </c>
      <c r="B520" t="s">
        <v>6267</v>
      </c>
      <c r="C520">
        <f>+VLOOKUP(Sites_per_tag[[#This Row],[Field_office]],Parameter!$A$3:$B$11,2,0)</f>
        <v>9</v>
      </c>
      <c r="E520" t="s">
        <v>5650</v>
      </c>
      <c r="F520" t="s">
        <v>5654</v>
      </c>
      <c r="H520" t="str">
        <f ca="1">PROPER(Sites_per_tag[[#This Row],[Adm2Name]])</f>
        <v>Ampanihy Ouest</v>
      </c>
      <c r="I520" t="s">
        <v>5660</v>
      </c>
      <c r="K520" t="s">
        <v>457</v>
      </c>
      <c r="L520" t="s">
        <v>5748</v>
      </c>
      <c r="Q520" t="s">
        <v>35</v>
      </c>
      <c r="R520">
        <v>605010014</v>
      </c>
      <c r="T520" t="s">
        <v>7</v>
      </c>
      <c r="U520" s="3" t="str">
        <f>+VLOOKUP(Sites_per_tag[[#This Row],[Activity_tag]],Parameter!$A$24:$B$32,2,0)</f>
        <v>SMP</v>
      </c>
      <c r="W520">
        <v>44.866945999999999</v>
      </c>
      <c r="X520">
        <v>-24.832601</v>
      </c>
    </row>
    <row r="521" spans="1:24" x14ac:dyDescent="0.35">
      <c r="A521" s="3" t="str">
        <f t="shared" si="8"/>
        <v>605020002SMP</v>
      </c>
      <c r="B521" t="s">
        <v>6267</v>
      </c>
      <c r="C521">
        <f>+VLOOKUP(Sites_per_tag[[#This Row],[Field_office]],Parameter!$A$3:$B$11,2,0)</f>
        <v>9</v>
      </c>
      <c r="E521" t="s">
        <v>5650</v>
      </c>
      <c r="F521" t="s">
        <v>5654</v>
      </c>
      <c r="H521" t="str">
        <f ca="1">PROPER(Sites_per_tag[[#This Row],[Adm2Name]])</f>
        <v>Ampanihy Ouest</v>
      </c>
      <c r="I521" t="s">
        <v>5660</v>
      </c>
      <c r="K521" t="s">
        <v>5607</v>
      </c>
      <c r="L521" t="s">
        <v>5759</v>
      </c>
      <c r="Q521" t="s">
        <v>136</v>
      </c>
      <c r="R521">
        <v>605020002</v>
      </c>
      <c r="T521" t="s">
        <v>7</v>
      </c>
      <c r="U521" s="3" t="str">
        <f>+VLOOKUP(Sites_per_tag[[#This Row],[Activity_tag]],Parameter!$A$24:$B$32,2,0)</f>
        <v>SMP</v>
      </c>
      <c r="W521">
        <v>44.660659000000003</v>
      </c>
      <c r="X521">
        <v>-25.001566</v>
      </c>
    </row>
    <row r="522" spans="1:24" x14ac:dyDescent="0.35">
      <c r="A522" s="3" t="str">
        <f t="shared" si="8"/>
        <v>605020003SMP</v>
      </c>
      <c r="B522" t="s">
        <v>6267</v>
      </c>
      <c r="C522">
        <f>+VLOOKUP(Sites_per_tag[[#This Row],[Field_office]],Parameter!$A$3:$B$11,2,0)</f>
        <v>9</v>
      </c>
      <c r="E522" t="s">
        <v>5650</v>
      </c>
      <c r="F522" t="s">
        <v>5654</v>
      </c>
      <c r="H522" t="str">
        <f ca="1">PROPER(Sites_per_tag[[#This Row],[Adm2Name]])</f>
        <v>Ampanihy Ouest</v>
      </c>
      <c r="I522" t="s">
        <v>5660</v>
      </c>
      <c r="K522" t="s">
        <v>5607</v>
      </c>
      <c r="L522" t="s">
        <v>5759</v>
      </c>
      <c r="Q522" t="s">
        <v>6269</v>
      </c>
      <c r="R522">
        <v>605020003</v>
      </c>
      <c r="T522" t="s">
        <v>7</v>
      </c>
      <c r="U522" s="3" t="str">
        <f>+VLOOKUP(Sites_per_tag[[#This Row],[Activity_tag]],Parameter!$A$24:$B$32,2,0)</f>
        <v>SMP</v>
      </c>
      <c r="W522">
        <v>44.853783999999997</v>
      </c>
      <c r="X522">
        <v>-24.702328999999999</v>
      </c>
    </row>
    <row r="523" spans="1:24" x14ac:dyDescent="0.35">
      <c r="A523" s="3" t="str">
        <f t="shared" si="8"/>
        <v>605020004SMP</v>
      </c>
      <c r="B523" t="s">
        <v>6267</v>
      </c>
      <c r="C523">
        <f>+VLOOKUP(Sites_per_tag[[#This Row],[Field_office]],Parameter!$A$3:$B$11,2,0)</f>
        <v>9</v>
      </c>
      <c r="E523" t="s">
        <v>5650</v>
      </c>
      <c r="F523" t="s">
        <v>5654</v>
      </c>
      <c r="H523" t="str">
        <f ca="1">PROPER(Sites_per_tag[[#This Row],[Adm2Name]])</f>
        <v>Ampanihy Ouest</v>
      </c>
      <c r="I523" t="s">
        <v>5660</v>
      </c>
      <c r="K523" t="s">
        <v>5607</v>
      </c>
      <c r="L523" t="s">
        <v>5759</v>
      </c>
      <c r="Q523" t="s">
        <v>1563</v>
      </c>
      <c r="R523">
        <v>605020004</v>
      </c>
      <c r="T523" t="s">
        <v>7</v>
      </c>
      <c r="U523" s="3" t="str">
        <f>+VLOOKUP(Sites_per_tag[[#This Row],[Activity_tag]],Parameter!$A$24:$B$32,2,0)</f>
        <v>SMP</v>
      </c>
      <c r="W523">
        <v>44.588482999999997</v>
      </c>
      <c r="X523">
        <v>-24.869275999999999</v>
      </c>
    </row>
    <row r="524" spans="1:24" x14ac:dyDescent="0.35">
      <c r="A524" s="3" t="str">
        <f t="shared" si="8"/>
        <v>605020005SMP</v>
      </c>
      <c r="B524" t="s">
        <v>6267</v>
      </c>
      <c r="C524">
        <f>+VLOOKUP(Sites_per_tag[[#This Row],[Field_office]],Parameter!$A$3:$B$11,2,0)</f>
        <v>9</v>
      </c>
      <c r="E524" t="s">
        <v>5650</v>
      </c>
      <c r="F524" t="s">
        <v>5654</v>
      </c>
      <c r="H524" t="str">
        <f ca="1">PROPER(Sites_per_tag[[#This Row],[Adm2Name]])</f>
        <v>Ampanihy Ouest</v>
      </c>
      <c r="I524" t="s">
        <v>5660</v>
      </c>
      <c r="K524" t="s">
        <v>5607</v>
      </c>
      <c r="L524" t="s">
        <v>5759</v>
      </c>
      <c r="Q524" t="s">
        <v>6270</v>
      </c>
      <c r="R524">
        <v>605020005</v>
      </c>
      <c r="T524" t="s">
        <v>7</v>
      </c>
      <c r="U524" s="3" t="str">
        <f>+VLOOKUP(Sites_per_tag[[#This Row],[Activity_tag]],Parameter!$A$24:$B$32,2,0)</f>
        <v>SMP</v>
      </c>
      <c r="W524">
        <v>44.744135</v>
      </c>
      <c r="X524">
        <v>-24.70298</v>
      </c>
    </row>
    <row r="525" spans="1:24" x14ac:dyDescent="0.35">
      <c r="A525" s="3" t="str">
        <f t="shared" si="8"/>
        <v>605020006SMP</v>
      </c>
      <c r="B525" t="s">
        <v>6267</v>
      </c>
      <c r="C525">
        <f>+VLOOKUP(Sites_per_tag[[#This Row],[Field_office]],Parameter!$A$3:$B$11,2,0)</f>
        <v>9</v>
      </c>
      <c r="E525" t="s">
        <v>5650</v>
      </c>
      <c r="F525" t="s">
        <v>5654</v>
      </c>
      <c r="H525" t="str">
        <f ca="1">PROPER(Sites_per_tag[[#This Row],[Adm2Name]])</f>
        <v>Ampanihy Ouest</v>
      </c>
      <c r="I525" t="s">
        <v>5660</v>
      </c>
      <c r="K525" t="s">
        <v>5607</v>
      </c>
      <c r="L525" t="s">
        <v>5759</v>
      </c>
      <c r="Q525" t="s">
        <v>6271</v>
      </c>
      <c r="R525">
        <v>605020006</v>
      </c>
      <c r="T525" t="s">
        <v>7</v>
      </c>
      <c r="U525" s="3" t="str">
        <f>+VLOOKUP(Sites_per_tag[[#This Row],[Activity_tag]],Parameter!$A$24:$B$32,2,0)</f>
        <v>SMP</v>
      </c>
      <c r="W525">
        <v>44.788500999999997</v>
      </c>
      <c r="X525">
        <v>-24.687951999999999</v>
      </c>
    </row>
    <row r="526" spans="1:24" x14ac:dyDescent="0.35">
      <c r="A526" s="3" t="str">
        <f t="shared" si="8"/>
        <v>605020007SMP</v>
      </c>
      <c r="B526" t="s">
        <v>6267</v>
      </c>
      <c r="C526">
        <f>+VLOOKUP(Sites_per_tag[[#This Row],[Field_office]],Parameter!$A$3:$B$11,2,0)</f>
        <v>9</v>
      </c>
      <c r="E526" t="s">
        <v>5650</v>
      </c>
      <c r="F526" t="s">
        <v>5654</v>
      </c>
      <c r="H526" t="str">
        <f ca="1">PROPER(Sites_per_tag[[#This Row],[Adm2Name]])</f>
        <v>Ampanihy Ouest</v>
      </c>
      <c r="I526" t="s">
        <v>5660</v>
      </c>
      <c r="K526" t="s">
        <v>5607</v>
      </c>
      <c r="L526" t="s">
        <v>5759</v>
      </c>
      <c r="Q526" t="s">
        <v>6272</v>
      </c>
      <c r="R526">
        <v>605020007</v>
      </c>
      <c r="T526" t="s">
        <v>7</v>
      </c>
      <c r="U526" s="3" t="str">
        <f>+VLOOKUP(Sites_per_tag[[#This Row],[Activity_tag]],Parameter!$A$24:$B$32,2,0)</f>
        <v>SMP</v>
      </c>
      <c r="W526">
        <v>44.652943999999998</v>
      </c>
      <c r="X526">
        <v>-24.932838</v>
      </c>
    </row>
    <row r="527" spans="1:24" x14ac:dyDescent="0.35">
      <c r="A527" s="3" t="str">
        <f t="shared" si="8"/>
        <v>605020010SMP</v>
      </c>
      <c r="B527" t="s">
        <v>6267</v>
      </c>
      <c r="C527">
        <f>+VLOOKUP(Sites_per_tag[[#This Row],[Field_office]],Parameter!$A$3:$B$11,2,0)</f>
        <v>9</v>
      </c>
      <c r="E527" t="s">
        <v>5650</v>
      </c>
      <c r="F527" t="s">
        <v>5654</v>
      </c>
      <c r="H527" t="str">
        <f ca="1">PROPER(Sites_per_tag[[#This Row],[Adm2Name]])</f>
        <v>Ampanihy Ouest</v>
      </c>
      <c r="I527" t="s">
        <v>5660</v>
      </c>
      <c r="K527" t="s">
        <v>5607</v>
      </c>
      <c r="L527" t="s">
        <v>5759</v>
      </c>
      <c r="Q527" t="s">
        <v>6273</v>
      </c>
      <c r="R527">
        <v>605020010</v>
      </c>
      <c r="T527" t="s">
        <v>7</v>
      </c>
      <c r="U527" s="3" t="str">
        <f>+VLOOKUP(Sites_per_tag[[#This Row],[Activity_tag]],Parameter!$A$24:$B$32,2,0)</f>
        <v>SMP</v>
      </c>
      <c r="W527">
        <v>44.748213999999997</v>
      </c>
      <c r="X527">
        <v>-24.696522999999999</v>
      </c>
    </row>
    <row r="528" spans="1:24" x14ac:dyDescent="0.35">
      <c r="A528" s="3" t="str">
        <f t="shared" si="8"/>
        <v>605020011SMP</v>
      </c>
      <c r="B528" t="s">
        <v>6267</v>
      </c>
      <c r="C528">
        <f>+VLOOKUP(Sites_per_tag[[#This Row],[Field_office]],Parameter!$A$3:$B$11,2,0)</f>
        <v>9</v>
      </c>
      <c r="E528" t="s">
        <v>5650</v>
      </c>
      <c r="F528" t="s">
        <v>5654</v>
      </c>
      <c r="H528" t="str">
        <f ca="1">PROPER(Sites_per_tag[[#This Row],[Adm2Name]])</f>
        <v>Ampanihy Ouest</v>
      </c>
      <c r="I528" t="s">
        <v>5660</v>
      </c>
      <c r="K528" t="s">
        <v>5607</v>
      </c>
      <c r="L528" t="s">
        <v>5759</v>
      </c>
      <c r="Q528" t="s">
        <v>6274</v>
      </c>
      <c r="R528">
        <v>605020011</v>
      </c>
      <c r="T528" t="s">
        <v>7</v>
      </c>
      <c r="U528" s="3" t="str">
        <f>+VLOOKUP(Sites_per_tag[[#This Row],[Activity_tag]],Parameter!$A$24:$B$32,2,0)</f>
        <v>SMP</v>
      </c>
      <c r="W528">
        <v>44.744807000000002</v>
      </c>
      <c r="X528">
        <v>-24.693622999999999</v>
      </c>
    </row>
    <row r="529" spans="1:24" x14ac:dyDescent="0.35">
      <c r="A529" s="3" t="str">
        <f t="shared" si="8"/>
        <v>605020012SMP</v>
      </c>
      <c r="B529" t="s">
        <v>6267</v>
      </c>
      <c r="C529">
        <f>+VLOOKUP(Sites_per_tag[[#This Row],[Field_office]],Parameter!$A$3:$B$11,2,0)</f>
        <v>9</v>
      </c>
      <c r="E529" t="s">
        <v>5650</v>
      </c>
      <c r="F529" t="s">
        <v>5654</v>
      </c>
      <c r="H529" t="str">
        <f ca="1">PROPER(Sites_per_tag[[#This Row],[Adm2Name]])</f>
        <v>Ampanihy Ouest</v>
      </c>
      <c r="I529" t="s">
        <v>5660</v>
      </c>
      <c r="K529" t="s">
        <v>5607</v>
      </c>
      <c r="L529" t="s">
        <v>5759</v>
      </c>
      <c r="Q529" t="s">
        <v>6275</v>
      </c>
      <c r="R529">
        <v>605020012</v>
      </c>
      <c r="T529" t="s">
        <v>7</v>
      </c>
      <c r="U529" s="3" t="str">
        <f>+VLOOKUP(Sites_per_tag[[#This Row],[Activity_tag]],Parameter!$A$24:$B$32,2,0)</f>
        <v>SMP</v>
      </c>
      <c r="W529">
        <v>44.739655999999997</v>
      </c>
      <c r="X529">
        <v>-24.689671000000001</v>
      </c>
    </row>
    <row r="530" spans="1:24" x14ac:dyDescent="0.35">
      <c r="A530" s="3" t="str">
        <f t="shared" si="8"/>
        <v>605020013SMP</v>
      </c>
      <c r="B530" t="s">
        <v>6267</v>
      </c>
      <c r="C530">
        <f>+VLOOKUP(Sites_per_tag[[#This Row],[Field_office]],Parameter!$A$3:$B$11,2,0)</f>
        <v>9</v>
      </c>
      <c r="E530" t="s">
        <v>5650</v>
      </c>
      <c r="F530" t="s">
        <v>5654</v>
      </c>
      <c r="H530" t="str">
        <f ca="1">PROPER(Sites_per_tag[[#This Row],[Adm2Name]])</f>
        <v>Ampanihy Ouest</v>
      </c>
      <c r="I530" t="s">
        <v>5660</v>
      </c>
      <c r="K530" t="s">
        <v>5607</v>
      </c>
      <c r="L530" t="s">
        <v>5759</v>
      </c>
      <c r="Q530" t="s">
        <v>6276</v>
      </c>
      <c r="R530">
        <v>605020013</v>
      </c>
      <c r="T530" t="s">
        <v>7</v>
      </c>
      <c r="U530" s="3" t="str">
        <f>+VLOOKUP(Sites_per_tag[[#This Row],[Activity_tag]],Parameter!$A$24:$B$32,2,0)</f>
        <v>SMP</v>
      </c>
      <c r="W530">
        <v>44.649670999999998</v>
      </c>
      <c r="X530">
        <v>-24.814333000000001</v>
      </c>
    </row>
    <row r="531" spans="1:24" x14ac:dyDescent="0.35">
      <c r="A531" s="3" t="str">
        <f t="shared" si="8"/>
        <v>605020014SMP</v>
      </c>
      <c r="B531" t="s">
        <v>6267</v>
      </c>
      <c r="C531">
        <f>+VLOOKUP(Sites_per_tag[[#This Row],[Field_office]],Parameter!$A$3:$B$11,2,0)</f>
        <v>9</v>
      </c>
      <c r="E531" t="s">
        <v>5650</v>
      </c>
      <c r="F531" t="s">
        <v>5654</v>
      </c>
      <c r="H531" t="str">
        <f ca="1">PROPER(Sites_per_tag[[#This Row],[Adm2Name]])</f>
        <v>Ampanihy Ouest</v>
      </c>
      <c r="I531" t="s">
        <v>5660</v>
      </c>
      <c r="K531" t="s">
        <v>5607</v>
      </c>
      <c r="L531" t="s">
        <v>5759</v>
      </c>
      <c r="Q531" t="s">
        <v>6277</v>
      </c>
      <c r="R531">
        <v>605020014</v>
      </c>
      <c r="T531" t="s">
        <v>7</v>
      </c>
      <c r="U531" s="3" t="str">
        <f>+VLOOKUP(Sites_per_tag[[#This Row],[Activity_tag]],Parameter!$A$24:$B$32,2,0)</f>
        <v>SMP</v>
      </c>
      <c r="W531">
        <v>44.510381000000002</v>
      </c>
      <c r="X531">
        <v>-24.811805</v>
      </c>
    </row>
    <row r="532" spans="1:24" x14ac:dyDescent="0.35">
      <c r="A532" s="3" t="str">
        <f t="shared" si="8"/>
        <v>605020016SMP</v>
      </c>
      <c r="B532" t="s">
        <v>6267</v>
      </c>
      <c r="C532">
        <f>+VLOOKUP(Sites_per_tag[[#This Row],[Field_office]],Parameter!$A$3:$B$11,2,0)</f>
        <v>9</v>
      </c>
      <c r="E532" t="s">
        <v>5650</v>
      </c>
      <c r="F532" t="s">
        <v>5654</v>
      </c>
      <c r="H532" t="str">
        <f ca="1">PROPER(Sites_per_tag[[#This Row],[Adm2Name]])</f>
        <v>Ampanihy Ouest</v>
      </c>
      <c r="I532" t="s">
        <v>5660</v>
      </c>
      <c r="K532" t="s">
        <v>5607</v>
      </c>
      <c r="L532" t="s">
        <v>5759</v>
      </c>
      <c r="Q532" t="s">
        <v>2379</v>
      </c>
      <c r="R532">
        <v>605020016</v>
      </c>
      <c r="T532" t="s">
        <v>7</v>
      </c>
      <c r="U532" s="3" t="str">
        <f>+VLOOKUP(Sites_per_tag[[#This Row],[Activity_tag]],Parameter!$A$24:$B$32,2,0)</f>
        <v>SMP</v>
      </c>
      <c r="W532">
        <v>44.788910999999999</v>
      </c>
      <c r="X532">
        <v>-24.717592</v>
      </c>
    </row>
    <row r="533" spans="1:24" x14ac:dyDescent="0.35">
      <c r="A533" s="3" t="str">
        <f t="shared" si="8"/>
        <v>605020017SMP</v>
      </c>
      <c r="B533" t="s">
        <v>6267</v>
      </c>
      <c r="C533">
        <f>+VLOOKUP(Sites_per_tag[[#This Row],[Field_office]],Parameter!$A$3:$B$11,2,0)</f>
        <v>9</v>
      </c>
      <c r="E533" t="s">
        <v>5650</v>
      </c>
      <c r="F533" t="s">
        <v>5654</v>
      </c>
      <c r="H533" t="str">
        <f ca="1">PROPER(Sites_per_tag[[#This Row],[Adm2Name]])</f>
        <v>Ampanihy Ouest</v>
      </c>
      <c r="I533" t="s">
        <v>5660</v>
      </c>
      <c r="K533" t="s">
        <v>5607</v>
      </c>
      <c r="L533" t="s">
        <v>5759</v>
      </c>
      <c r="Q533" t="s">
        <v>6278</v>
      </c>
      <c r="R533">
        <v>605020017</v>
      </c>
      <c r="T533" t="s">
        <v>7</v>
      </c>
      <c r="U533" s="3" t="str">
        <f>+VLOOKUP(Sites_per_tag[[#This Row],[Activity_tag]],Parameter!$A$24:$B$32,2,0)</f>
        <v>SMP</v>
      </c>
      <c r="W533">
        <v>44.578192000000001</v>
      </c>
      <c r="X533">
        <v>-24.834831000000001</v>
      </c>
    </row>
    <row r="534" spans="1:24" x14ac:dyDescent="0.35">
      <c r="A534" s="3" t="str">
        <f t="shared" si="8"/>
        <v>605020022SMP</v>
      </c>
      <c r="B534" t="s">
        <v>6267</v>
      </c>
      <c r="C534">
        <f>+VLOOKUP(Sites_per_tag[[#This Row],[Field_office]],Parameter!$A$3:$B$11,2,0)</f>
        <v>9</v>
      </c>
      <c r="E534" t="s">
        <v>5650</v>
      </c>
      <c r="F534" t="s">
        <v>5654</v>
      </c>
      <c r="H534" t="str">
        <f ca="1">PROPER(Sites_per_tag[[#This Row],[Adm2Name]])</f>
        <v>Ampanihy Ouest</v>
      </c>
      <c r="I534" t="s">
        <v>5660</v>
      </c>
      <c r="K534" t="s">
        <v>5607</v>
      </c>
      <c r="L534" t="s">
        <v>5759</v>
      </c>
      <c r="Q534" t="s">
        <v>1239</v>
      </c>
      <c r="R534">
        <v>605020022</v>
      </c>
      <c r="T534" t="s">
        <v>7</v>
      </c>
      <c r="U534" s="3" t="str">
        <f>+VLOOKUP(Sites_per_tag[[#This Row],[Activity_tag]],Parameter!$A$24:$B$32,2,0)</f>
        <v>SMP</v>
      </c>
      <c r="W534">
        <v>44.508560000000003</v>
      </c>
      <c r="X534">
        <v>-24.781645999999999</v>
      </c>
    </row>
    <row r="535" spans="1:24" x14ac:dyDescent="0.35">
      <c r="A535" s="3" t="str">
        <f t="shared" si="8"/>
        <v>605020023SMP</v>
      </c>
      <c r="B535" t="s">
        <v>6267</v>
      </c>
      <c r="C535">
        <f>+VLOOKUP(Sites_per_tag[[#This Row],[Field_office]],Parameter!$A$3:$B$11,2,0)</f>
        <v>9</v>
      </c>
      <c r="E535" t="s">
        <v>5650</v>
      </c>
      <c r="F535" t="s">
        <v>5654</v>
      </c>
      <c r="H535" t="str">
        <f ca="1">PROPER(Sites_per_tag[[#This Row],[Adm2Name]])</f>
        <v>Ampanihy Ouest</v>
      </c>
      <c r="I535" t="s">
        <v>5660</v>
      </c>
      <c r="K535" t="s">
        <v>5607</v>
      </c>
      <c r="L535" t="s">
        <v>5759</v>
      </c>
      <c r="Q535" t="s">
        <v>128</v>
      </c>
      <c r="R535">
        <v>605020023</v>
      </c>
      <c r="T535" t="s">
        <v>7</v>
      </c>
      <c r="U535" s="3" t="str">
        <f>+VLOOKUP(Sites_per_tag[[#This Row],[Activity_tag]],Parameter!$A$24:$B$32,2,0)</f>
        <v>SMP</v>
      </c>
      <c r="W535">
        <v>44.866656999999996</v>
      </c>
      <c r="X535">
        <v>-24.645454000000001</v>
      </c>
    </row>
    <row r="536" spans="1:24" x14ac:dyDescent="0.35">
      <c r="A536" s="3" t="str">
        <f t="shared" si="8"/>
        <v>605020026SMP</v>
      </c>
      <c r="B536" t="s">
        <v>6267</v>
      </c>
      <c r="C536">
        <f>+VLOOKUP(Sites_per_tag[[#This Row],[Field_office]],Parameter!$A$3:$B$11,2,0)</f>
        <v>9</v>
      </c>
      <c r="E536" t="s">
        <v>5650</v>
      </c>
      <c r="F536" t="s">
        <v>5654</v>
      </c>
      <c r="H536" t="str">
        <f ca="1">PROPER(Sites_per_tag[[#This Row],[Adm2Name]])</f>
        <v>Ampanihy Ouest</v>
      </c>
      <c r="I536" t="s">
        <v>5660</v>
      </c>
      <c r="K536" t="s">
        <v>5607</v>
      </c>
      <c r="L536" t="s">
        <v>5759</v>
      </c>
      <c r="Q536" t="s">
        <v>3468</v>
      </c>
      <c r="R536">
        <v>605020026</v>
      </c>
      <c r="T536" t="s">
        <v>7</v>
      </c>
      <c r="U536" s="3" t="str">
        <f>+VLOOKUP(Sites_per_tag[[#This Row],[Activity_tag]],Parameter!$A$24:$B$32,2,0)</f>
        <v>SMP</v>
      </c>
      <c r="W536">
        <v>44.581122000000001</v>
      </c>
      <c r="X536">
        <v>-24.812854999999999</v>
      </c>
    </row>
    <row r="537" spans="1:24" x14ac:dyDescent="0.35">
      <c r="A537" s="3" t="str">
        <f t="shared" si="8"/>
        <v>605030002SMP</v>
      </c>
      <c r="B537" t="s">
        <v>6267</v>
      </c>
      <c r="C537">
        <f>+VLOOKUP(Sites_per_tag[[#This Row],[Field_office]],Parameter!$A$3:$B$11,2,0)</f>
        <v>9</v>
      </c>
      <c r="E537" t="s">
        <v>5650</v>
      </c>
      <c r="F537" t="s">
        <v>5654</v>
      </c>
      <c r="H537" t="str">
        <f ca="1">PROPER(Sites_per_tag[[#This Row],[Adm2Name]])</f>
        <v>Ampanihy Ouest</v>
      </c>
      <c r="I537" t="s">
        <v>5660</v>
      </c>
      <c r="K537" t="s">
        <v>5103</v>
      </c>
      <c r="L537" t="s">
        <v>5809</v>
      </c>
      <c r="Q537" t="s">
        <v>6279</v>
      </c>
      <c r="R537">
        <v>605030002</v>
      </c>
      <c r="T537" t="s">
        <v>7</v>
      </c>
      <c r="U537" s="3" t="str">
        <f>+VLOOKUP(Sites_per_tag[[#This Row],[Activity_tag]],Parameter!$A$24:$B$32,2,0)</f>
        <v>SMP</v>
      </c>
      <c r="W537">
        <v>44.435823999999997</v>
      </c>
      <c r="X537">
        <v>-25.111816000000001</v>
      </c>
    </row>
    <row r="538" spans="1:24" x14ac:dyDescent="0.35">
      <c r="A538" s="3" t="str">
        <f t="shared" si="8"/>
        <v>605030003SMP</v>
      </c>
      <c r="B538" t="s">
        <v>6267</v>
      </c>
      <c r="C538">
        <f>+VLOOKUP(Sites_per_tag[[#This Row],[Field_office]],Parameter!$A$3:$B$11,2,0)</f>
        <v>9</v>
      </c>
      <c r="E538" t="s">
        <v>5650</v>
      </c>
      <c r="F538" t="s">
        <v>5654</v>
      </c>
      <c r="H538" t="str">
        <f ca="1">PROPER(Sites_per_tag[[#This Row],[Adm2Name]])</f>
        <v>Ampanihy Ouest</v>
      </c>
      <c r="I538" t="s">
        <v>5660</v>
      </c>
      <c r="K538" t="s">
        <v>5103</v>
      </c>
      <c r="L538" t="s">
        <v>5809</v>
      </c>
      <c r="Q538" t="s">
        <v>2257</v>
      </c>
      <c r="R538">
        <v>605030003</v>
      </c>
      <c r="T538" t="s">
        <v>7</v>
      </c>
      <c r="U538" s="3" t="str">
        <f>+VLOOKUP(Sites_per_tag[[#This Row],[Activity_tag]],Parameter!$A$24:$B$32,2,0)</f>
        <v>SMP</v>
      </c>
      <c r="W538">
        <v>44.435783000000001</v>
      </c>
      <c r="X538">
        <v>-25.196911</v>
      </c>
    </row>
    <row r="539" spans="1:24" x14ac:dyDescent="0.35">
      <c r="A539" s="3" t="str">
        <f t="shared" si="8"/>
        <v>605030004SMP</v>
      </c>
      <c r="B539" t="s">
        <v>6267</v>
      </c>
      <c r="C539">
        <f>+VLOOKUP(Sites_per_tag[[#This Row],[Field_office]],Parameter!$A$3:$B$11,2,0)</f>
        <v>9</v>
      </c>
      <c r="E539" t="s">
        <v>5650</v>
      </c>
      <c r="F539" t="s">
        <v>5654</v>
      </c>
      <c r="H539" t="str">
        <f ca="1">PROPER(Sites_per_tag[[#This Row],[Adm2Name]])</f>
        <v>Ampanihy Ouest</v>
      </c>
      <c r="I539" t="s">
        <v>5660</v>
      </c>
      <c r="K539" t="s">
        <v>5103</v>
      </c>
      <c r="L539" t="s">
        <v>5809</v>
      </c>
      <c r="Q539" t="s">
        <v>1200</v>
      </c>
      <c r="R539">
        <v>605030004</v>
      </c>
      <c r="T539" t="s">
        <v>7</v>
      </c>
      <c r="U539" s="3" t="str">
        <f>+VLOOKUP(Sites_per_tag[[#This Row],[Activity_tag]],Parameter!$A$24:$B$32,2,0)</f>
        <v>SMP</v>
      </c>
      <c r="W539">
        <v>44.302630000000001</v>
      </c>
      <c r="X539">
        <v>-25.101347000000001</v>
      </c>
    </row>
    <row r="540" spans="1:24" x14ac:dyDescent="0.35">
      <c r="A540" s="3" t="str">
        <f t="shared" si="8"/>
        <v>605030005SMP</v>
      </c>
      <c r="B540" t="s">
        <v>6267</v>
      </c>
      <c r="C540">
        <f>+VLOOKUP(Sites_per_tag[[#This Row],[Field_office]],Parameter!$A$3:$B$11,2,0)</f>
        <v>9</v>
      </c>
      <c r="E540" t="s">
        <v>5650</v>
      </c>
      <c r="F540" t="s">
        <v>5654</v>
      </c>
      <c r="H540" t="str">
        <f ca="1">PROPER(Sites_per_tag[[#This Row],[Adm2Name]])</f>
        <v>Ampanihy Ouest</v>
      </c>
      <c r="I540" t="s">
        <v>5660</v>
      </c>
      <c r="K540" t="s">
        <v>5103</v>
      </c>
      <c r="L540" t="s">
        <v>5809</v>
      </c>
      <c r="Q540" t="s">
        <v>6280</v>
      </c>
      <c r="R540">
        <v>605030005</v>
      </c>
      <c r="T540" t="s">
        <v>7</v>
      </c>
      <c r="U540" s="3" t="str">
        <f>+VLOOKUP(Sites_per_tag[[#This Row],[Activity_tag]],Parameter!$A$24:$B$32,2,0)</f>
        <v>SMP</v>
      </c>
      <c r="W540">
        <v>44.425800000000002</v>
      </c>
      <c r="X540">
        <v>-25.177150000000001</v>
      </c>
    </row>
    <row r="541" spans="1:24" x14ac:dyDescent="0.35">
      <c r="A541" s="3" t="str">
        <f t="shared" si="8"/>
        <v>605030007SMP</v>
      </c>
      <c r="B541" t="s">
        <v>6267</v>
      </c>
      <c r="C541">
        <f>+VLOOKUP(Sites_per_tag[[#This Row],[Field_office]],Parameter!$A$3:$B$11,2,0)</f>
        <v>9</v>
      </c>
      <c r="E541" t="s">
        <v>5650</v>
      </c>
      <c r="F541" t="s">
        <v>5654</v>
      </c>
      <c r="H541" t="str">
        <f ca="1">PROPER(Sites_per_tag[[#This Row],[Adm2Name]])</f>
        <v>Ampanihy Ouest</v>
      </c>
      <c r="I541" t="s">
        <v>5660</v>
      </c>
      <c r="K541" t="s">
        <v>5103</v>
      </c>
      <c r="L541" t="s">
        <v>5809</v>
      </c>
      <c r="Q541" t="s">
        <v>6250</v>
      </c>
      <c r="R541">
        <v>605030007</v>
      </c>
      <c r="T541" t="s">
        <v>7</v>
      </c>
      <c r="U541" s="3" t="str">
        <f>+VLOOKUP(Sites_per_tag[[#This Row],[Activity_tag]],Parameter!$A$24:$B$32,2,0)</f>
        <v>SMP</v>
      </c>
      <c r="W541">
        <v>44.091279</v>
      </c>
      <c r="X541">
        <v>-24.999482</v>
      </c>
    </row>
    <row r="542" spans="1:24" x14ac:dyDescent="0.35">
      <c r="A542" s="3" t="str">
        <f t="shared" si="8"/>
        <v>605030008SMP</v>
      </c>
      <c r="B542" t="s">
        <v>6267</v>
      </c>
      <c r="C542">
        <f>+VLOOKUP(Sites_per_tag[[#This Row],[Field_office]],Parameter!$A$3:$B$11,2,0)</f>
        <v>9</v>
      </c>
      <c r="E542" t="s">
        <v>5650</v>
      </c>
      <c r="F542" t="s">
        <v>5654</v>
      </c>
      <c r="H542" t="str">
        <f ca="1">PROPER(Sites_per_tag[[#This Row],[Adm2Name]])</f>
        <v>Ampanihy Ouest</v>
      </c>
      <c r="I542" t="s">
        <v>5660</v>
      </c>
      <c r="K542" t="s">
        <v>5103</v>
      </c>
      <c r="L542" t="s">
        <v>5809</v>
      </c>
      <c r="Q542" t="s">
        <v>2356</v>
      </c>
      <c r="R542">
        <v>605030008</v>
      </c>
      <c r="T542" t="s">
        <v>7</v>
      </c>
      <c r="U542" s="3" t="str">
        <f>+VLOOKUP(Sites_per_tag[[#This Row],[Activity_tag]],Parameter!$A$24:$B$32,2,0)</f>
        <v>SMP</v>
      </c>
      <c r="W542">
        <v>44.323675000000001</v>
      </c>
      <c r="X542">
        <v>-25.045763000000001</v>
      </c>
    </row>
    <row r="543" spans="1:24" x14ac:dyDescent="0.35">
      <c r="A543" s="3" t="str">
        <f t="shared" si="8"/>
        <v>605030009SMP</v>
      </c>
      <c r="B543" t="s">
        <v>6267</v>
      </c>
      <c r="C543">
        <f>+VLOOKUP(Sites_per_tag[[#This Row],[Field_office]],Parameter!$A$3:$B$11,2,0)</f>
        <v>9</v>
      </c>
      <c r="E543" t="s">
        <v>5650</v>
      </c>
      <c r="F543" t="s">
        <v>5654</v>
      </c>
      <c r="H543" t="str">
        <f ca="1">PROPER(Sites_per_tag[[#This Row],[Adm2Name]])</f>
        <v>Ampanihy Ouest</v>
      </c>
      <c r="I543" t="s">
        <v>5660</v>
      </c>
      <c r="K543" t="s">
        <v>5103</v>
      </c>
      <c r="L543" t="s">
        <v>5809</v>
      </c>
      <c r="Q543" t="s">
        <v>2432</v>
      </c>
      <c r="R543">
        <v>605030009</v>
      </c>
      <c r="T543" t="s">
        <v>7</v>
      </c>
      <c r="U543" s="3" t="str">
        <f>+VLOOKUP(Sites_per_tag[[#This Row],[Activity_tag]],Parameter!$A$24:$B$32,2,0)</f>
        <v>SMP</v>
      </c>
      <c r="W543">
        <v>44.268273999999998</v>
      </c>
      <c r="X543">
        <v>-25.002271</v>
      </c>
    </row>
    <row r="544" spans="1:24" x14ac:dyDescent="0.35">
      <c r="A544" s="3" t="str">
        <f t="shared" si="8"/>
        <v>605030010SMP</v>
      </c>
      <c r="B544" t="s">
        <v>6267</v>
      </c>
      <c r="C544">
        <f>+VLOOKUP(Sites_per_tag[[#This Row],[Field_office]],Parameter!$A$3:$B$11,2,0)</f>
        <v>9</v>
      </c>
      <c r="E544" t="s">
        <v>5650</v>
      </c>
      <c r="F544" t="s">
        <v>5654</v>
      </c>
      <c r="H544" t="str">
        <f ca="1">PROPER(Sites_per_tag[[#This Row],[Adm2Name]])</f>
        <v>Ampanihy Ouest</v>
      </c>
      <c r="I544" t="s">
        <v>5660</v>
      </c>
      <c r="K544" t="s">
        <v>5103</v>
      </c>
      <c r="L544" t="s">
        <v>5809</v>
      </c>
      <c r="Q544" t="s">
        <v>2290</v>
      </c>
      <c r="R544">
        <v>605030010</v>
      </c>
      <c r="T544" t="s">
        <v>7</v>
      </c>
      <c r="U544" s="3" t="str">
        <f>+VLOOKUP(Sites_per_tag[[#This Row],[Activity_tag]],Parameter!$A$24:$B$32,2,0)</f>
        <v>SMP</v>
      </c>
      <c r="W544">
        <v>44.355401999999998</v>
      </c>
      <c r="X544">
        <v>-25.264887999999999</v>
      </c>
    </row>
    <row r="545" spans="1:24" x14ac:dyDescent="0.35">
      <c r="A545" s="3" t="str">
        <f t="shared" si="8"/>
        <v>605030011SMP</v>
      </c>
      <c r="B545" t="s">
        <v>6267</v>
      </c>
      <c r="C545">
        <f>+VLOOKUP(Sites_per_tag[[#This Row],[Field_office]],Parameter!$A$3:$B$11,2,0)</f>
        <v>9</v>
      </c>
      <c r="E545" t="s">
        <v>5650</v>
      </c>
      <c r="F545" t="s">
        <v>5654</v>
      </c>
      <c r="H545" t="str">
        <f ca="1">PROPER(Sites_per_tag[[#This Row],[Adm2Name]])</f>
        <v>Ampanihy Ouest</v>
      </c>
      <c r="I545" t="s">
        <v>5660</v>
      </c>
      <c r="K545" t="s">
        <v>5103</v>
      </c>
      <c r="L545" t="s">
        <v>5809</v>
      </c>
      <c r="Q545" t="s">
        <v>2294</v>
      </c>
      <c r="R545">
        <v>605030011</v>
      </c>
      <c r="T545" t="s">
        <v>7</v>
      </c>
      <c r="U545" s="3" t="str">
        <f>+VLOOKUP(Sites_per_tag[[#This Row],[Activity_tag]],Parameter!$A$24:$B$32,2,0)</f>
        <v>SMP</v>
      </c>
      <c r="W545">
        <v>44.310755</v>
      </c>
      <c r="X545">
        <v>-25.116377</v>
      </c>
    </row>
    <row r="546" spans="1:24" x14ac:dyDescent="0.35">
      <c r="A546" s="3" t="str">
        <f t="shared" si="8"/>
        <v>605030012SMP</v>
      </c>
      <c r="B546" t="s">
        <v>6267</v>
      </c>
      <c r="C546">
        <f>+VLOOKUP(Sites_per_tag[[#This Row],[Field_office]],Parameter!$A$3:$B$11,2,0)</f>
        <v>9</v>
      </c>
      <c r="E546" t="s">
        <v>5650</v>
      </c>
      <c r="F546" t="s">
        <v>5654</v>
      </c>
      <c r="H546" t="str">
        <f ca="1">PROPER(Sites_per_tag[[#This Row],[Adm2Name]])</f>
        <v>Ampanihy Ouest</v>
      </c>
      <c r="I546" t="s">
        <v>5660</v>
      </c>
      <c r="K546" t="s">
        <v>5103</v>
      </c>
      <c r="L546" t="s">
        <v>5809</v>
      </c>
      <c r="Q546" t="s">
        <v>2631</v>
      </c>
      <c r="R546">
        <v>605030012</v>
      </c>
      <c r="T546" t="s">
        <v>7</v>
      </c>
      <c r="U546" s="3" t="str">
        <f>+VLOOKUP(Sites_per_tag[[#This Row],[Activity_tag]],Parameter!$A$24:$B$32,2,0)</f>
        <v>SMP</v>
      </c>
      <c r="W546">
        <v>44.294494</v>
      </c>
      <c r="X546">
        <v>-25.026088000000001</v>
      </c>
    </row>
    <row r="547" spans="1:24" x14ac:dyDescent="0.35">
      <c r="A547" s="3" t="str">
        <f t="shared" si="8"/>
        <v>605030013SMP</v>
      </c>
      <c r="B547" t="s">
        <v>6267</v>
      </c>
      <c r="C547">
        <f>+VLOOKUP(Sites_per_tag[[#This Row],[Field_office]],Parameter!$A$3:$B$11,2,0)</f>
        <v>9</v>
      </c>
      <c r="E547" t="s">
        <v>5650</v>
      </c>
      <c r="F547" t="s">
        <v>5654</v>
      </c>
      <c r="H547" t="str">
        <f ca="1">PROPER(Sites_per_tag[[#This Row],[Adm2Name]])</f>
        <v>Ampanihy Ouest</v>
      </c>
      <c r="I547" t="s">
        <v>5660</v>
      </c>
      <c r="K547" t="s">
        <v>5103</v>
      </c>
      <c r="L547" t="s">
        <v>5809</v>
      </c>
      <c r="Q547" t="s">
        <v>2650</v>
      </c>
      <c r="R547">
        <v>605030013</v>
      </c>
      <c r="T547" t="s">
        <v>7</v>
      </c>
      <c r="U547" s="3" t="str">
        <f>+VLOOKUP(Sites_per_tag[[#This Row],[Activity_tag]],Parameter!$A$24:$B$32,2,0)</f>
        <v>SMP</v>
      </c>
      <c r="W547">
        <v>44.341119999999997</v>
      </c>
      <c r="X547">
        <v>-25.048774999999999</v>
      </c>
    </row>
    <row r="548" spans="1:24" x14ac:dyDescent="0.35">
      <c r="A548" s="3" t="str">
        <f t="shared" si="8"/>
        <v>605030014SMP</v>
      </c>
      <c r="B548" t="s">
        <v>6267</v>
      </c>
      <c r="C548">
        <f>+VLOOKUP(Sites_per_tag[[#This Row],[Field_office]],Parameter!$A$3:$B$11,2,0)</f>
        <v>9</v>
      </c>
      <c r="E548" t="s">
        <v>5650</v>
      </c>
      <c r="F548" t="s">
        <v>5654</v>
      </c>
      <c r="H548" t="str">
        <f ca="1">PROPER(Sites_per_tag[[#This Row],[Adm2Name]])</f>
        <v>Ampanihy Ouest</v>
      </c>
      <c r="I548" t="s">
        <v>5660</v>
      </c>
      <c r="K548" t="s">
        <v>5103</v>
      </c>
      <c r="L548" t="s">
        <v>5809</v>
      </c>
      <c r="Q548" t="s">
        <v>2653</v>
      </c>
      <c r="R548">
        <v>605030014</v>
      </c>
      <c r="T548" t="s">
        <v>7</v>
      </c>
      <c r="U548" s="3" t="str">
        <f>+VLOOKUP(Sites_per_tag[[#This Row],[Activity_tag]],Parameter!$A$24:$B$32,2,0)</f>
        <v>SMP</v>
      </c>
      <c r="W548">
        <v>44.312627999999997</v>
      </c>
      <c r="X548">
        <v>-24.966360999999999</v>
      </c>
    </row>
    <row r="549" spans="1:24" x14ac:dyDescent="0.35">
      <c r="A549" s="3" t="str">
        <f t="shared" si="8"/>
        <v>605030015SMP</v>
      </c>
      <c r="B549" t="s">
        <v>6267</v>
      </c>
      <c r="C549">
        <f>+VLOOKUP(Sites_per_tag[[#This Row],[Field_office]],Parameter!$A$3:$B$11,2,0)</f>
        <v>9</v>
      </c>
      <c r="E549" t="s">
        <v>5650</v>
      </c>
      <c r="F549" t="s">
        <v>5654</v>
      </c>
      <c r="H549" t="str">
        <f ca="1">PROPER(Sites_per_tag[[#This Row],[Adm2Name]])</f>
        <v>Ampanihy Ouest</v>
      </c>
      <c r="I549" t="s">
        <v>5660</v>
      </c>
      <c r="K549" t="s">
        <v>5103</v>
      </c>
      <c r="L549" t="s">
        <v>5809</v>
      </c>
      <c r="Q549" t="s">
        <v>2652</v>
      </c>
      <c r="R549">
        <v>605030015</v>
      </c>
      <c r="T549" t="s">
        <v>7</v>
      </c>
      <c r="U549" s="3" t="str">
        <f>+VLOOKUP(Sites_per_tag[[#This Row],[Activity_tag]],Parameter!$A$24:$B$32,2,0)</f>
        <v>SMP</v>
      </c>
      <c r="W549">
        <v>44.407110000000003</v>
      </c>
      <c r="X549">
        <v>-25.004892999999999</v>
      </c>
    </row>
    <row r="550" spans="1:24" x14ac:dyDescent="0.35">
      <c r="A550" s="3" t="str">
        <f t="shared" si="8"/>
        <v>605030016SMP</v>
      </c>
      <c r="B550" t="s">
        <v>6267</v>
      </c>
      <c r="C550">
        <f>+VLOOKUP(Sites_per_tag[[#This Row],[Field_office]],Parameter!$A$3:$B$11,2,0)</f>
        <v>9</v>
      </c>
      <c r="E550" t="s">
        <v>5650</v>
      </c>
      <c r="F550" t="s">
        <v>5654</v>
      </c>
      <c r="H550" t="str">
        <f ca="1">PROPER(Sites_per_tag[[#This Row],[Adm2Name]])</f>
        <v>Ampanihy Ouest</v>
      </c>
      <c r="I550" t="s">
        <v>5660</v>
      </c>
      <c r="K550" t="s">
        <v>5103</v>
      </c>
      <c r="L550" t="s">
        <v>5809</v>
      </c>
      <c r="Q550" t="s">
        <v>2296</v>
      </c>
      <c r="R550">
        <v>605030016</v>
      </c>
      <c r="T550" t="s">
        <v>7</v>
      </c>
      <c r="U550" s="3" t="str">
        <f>+VLOOKUP(Sites_per_tag[[#This Row],[Activity_tag]],Parameter!$A$24:$B$32,2,0)</f>
        <v>SMP</v>
      </c>
      <c r="W550">
        <v>44.457751999999999</v>
      </c>
      <c r="X550">
        <v>-25.206795</v>
      </c>
    </row>
    <row r="551" spans="1:24" x14ac:dyDescent="0.35">
      <c r="A551" s="3" t="str">
        <f t="shared" si="8"/>
        <v>605030021SMP</v>
      </c>
      <c r="B551" t="s">
        <v>6267</v>
      </c>
      <c r="C551">
        <f>+VLOOKUP(Sites_per_tag[[#This Row],[Field_office]],Parameter!$A$3:$B$11,2,0)</f>
        <v>9</v>
      </c>
      <c r="E551" t="s">
        <v>5650</v>
      </c>
      <c r="F551" t="s">
        <v>5654</v>
      </c>
      <c r="H551" t="str">
        <f ca="1">PROPER(Sites_per_tag[[#This Row],[Adm2Name]])</f>
        <v>Ampanihy Ouest</v>
      </c>
      <c r="I551" t="s">
        <v>5660</v>
      </c>
      <c r="K551" t="s">
        <v>5103</v>
      </c>
      <c r="L551" t="s">
        <v>5809</v>
      </c>
      <c r="Q551" t="s">
        <v>4252</v>
      </c>
      <c r="R551">
        <v>605030021</v>
      </c>
      <c r="T551" t="s">
        <v>7</v>
      </c>
      <c r="U551" s="3" t="str">
        <f>+VLOOKUP(Sites_per_tag[[#This Row],[Activity_tag]],Parameter!$A$24:$B$32,2,0)</f>
        <v>SMP</v>
      </c>
      <c r="W551">
        <v>44.394965999999997</v>
      </c>
      <c r="X551">
        <v>-25.152863</v>
      </c>
    </row>
    <row r="552" spans="1:24" x14ac:dyDescent="0.35">
      <c r="A552" s="3" t="str">
        <f t="shared" si="8"/>
        <v>605030022SMP</v>
      </c>
      <c r="B552" t="s">
        <v>6267</v>
      </c>
      <c r="C552">
        <f>+VLOOKUP(Sites_per_tag[[#This Row],[Field_office]],Parameter!$A$3:$B$11,2,0)</f>
        <v>9</v>
      </c>
      <c r="E552" t="s">
        <v>5650</v>
      </c>
      <c r="F552" t="s">
        <v>5654</v>
      </c>
      <c r="H552" t="str">
        <f ca="1">PROPER(Sites_per_tag[[#This Row],[Adm2Name]])</f>
        <v>Ampanihy Ouest</v>
      </c>
      <c r="I552" t="s">
        <v>5660</v>
      </c>
      <c r="K552" t="s">
        <v>5103</v>
      </c>
      <c r="L552" t="s">
        <v>5809</v>
      </c>
      <c r="Q552" t="s">
        <v>4251</v>
      </c>
      <c r="R552">
        <v>605030022</v>
      </c>
      <c r="T552" t="s">
        <v>7</v>
      </c>
      <c r="U552" s="3" t="str">
        <f>+VLOOKUP(Sites_per_tag[[#This Row],[Activity_tag]],Parameter!$A$24:$B$32,2,0)</f>
        <v>SMP</v>
      </c>
      <c r="W552">
        <v>44.234935</v>
      </c>
      <c r="X552">
        <v>-24.990193999999999</v>
      </c>
    </row>
    <row r="553" spans="1:24" x14ac:dyDescent="0.35">
      <c r="A553" s="3" t="str">
        <f t="shared" si="8"/>
        <v>605030023SMP</v>
      </c>
      <c r="B553" t="s">
        <v>6267</v>
      </c>
      <c r="C553">
        <f>+VLOOKUP(Sites_per_tag[[#This Row],[Field_office]],Parameter!$A$3:$B$11,2,0)</f>
        <v>9</v>
      </c>
      <c r="E553" t="s">
        <v>5650</v>
      </c>
      <c r="F553" t="s">
        <v>5654</v>
      </c>
      <c r="H553" t="str">
        <f ca="1">PROPER(Sites_per_tag[[#This Row],[Adm2Name]])</f>
        <v>Ampanihy Ouest</v>
      </c>
      <c r="I553" t="s">
        <v>5660</v>
      </c>
      <c r="K553" t="s">
        <v>5103</v>
      </c>
      <c r="L553" t="s">
        <v>5809</v>
      </c>
      <c r="Q553" t="s">
        <v>4255</v>
      </c>
      <c r="R553">
        <v>605030023</v>
      </c>
      <c r="T553" t="s">
        <v>7</v>
      </c>
      <c r="U553" s="3" t="str">
        <f>+VLOOKUP(Sites_per_tag[[#This Row],[Activity_tag]],Parameter!$A$24:$B$32,2,0)</f>
        <v>SMP</v>
      </c>
      <c r="W553">
        <v>44.427109999999999</v>
      </c>
      <c r="X553">
        <v>-25.217381</v>
      </c>
    </row>
    <row r="554" spans="1:24" x14ac:dyDescent="0.35">
      <c r="A554" s="3" t="str">
        <f t="shared" si="8"/>
        <v>605030024SMP</v>
      </c>
      <c r="B554" t="s">
        <v>6267</v>
      </c>
      <c r="C554">
        <f>+VLOOKUP(Sites_per_tag[[#This Row],[Field_office]],Parameter!$A$3:$B$11,2,0)</f>
        <v>9</v>
      </c>
      <c r="E554" t="s">
        <v>5650</v>
      </c>
      <c r="F554" t="s">
        <v>5654</v>
      </c>
      <c r="H554" t="str">
        <f ca="1">PROPER(Sites_per_tag[[#This Row],[Adm2Name]])</f>
        <v>Ampanihy Ouest</v>
      </c>
      <c r="I554" t="s">
        <v>5660</v>
      </c>
      <c r="K554" t="s">
        <v>5103</v>
      </c>
      <c r="L554" t="s">
        <v>5809</v>
      </c>
      <c r="Q554" t="s">
        <v>2651</v>
      </c>
      <c r="R554">
        <v>605030024</v>
      </c>
      <c r="T554" t="s">
        <v>7</v>
      </c>
      <c r="U554" s="3" t="str">
        <f>+VLOOKUP(Sites_per_tag[[#This Row],[Activity_tag]],Parameter!$A$24:$B$32,2,0)</f>
        <v>SMP</v>
      </c>
      <c r="W554">
        <v>44.354148000000002</v>
      </c>
      <c r="X554">
        <v>-25.075105000000001</v>
      </c>
    </row>
    <row r="555" spans="1:24" x14ac:dyDescent="0.35">
      <c r="A555" s="3" t="str">
        <f t="shared" si="8"/>
        <v>605030025SMP</v>
      </c>
      <c r="B555" t="s">
        <v>6267</v>
      </c>
      <c r="C555">
        <f>+VLOOKUP(Sites_per_tag[[#This Row],[Field_office]],Parameter!$A$3:$B$11,2,0)</f>
        <v>9</v>
      </c>
      <c r="E555" t="s">
        <v>5650</v>
      </c>
      <c r="F555" t="s">
        <v>5654</v>
      </c>
      <c r="H555" t="str">
        <f ca="1">PROPER(Sites_per_tag[[#This Row],[Adm2Name]])</f>
        <v>Ampanihy Ouest</v>
      </c>
      <c r="I555" t="s">
        <v>5660</v>
      </c>
      <c r="K555" t="s">
        <v>5103</v>
      </c>
      <c r="L555" t="s">
        <v>5809</v>
      </c>
      <c r="Q555" t="s">
        <v>2765</v>
      </c>
      <c r="R555">
        <v>605030025</v>
      </c>
      <c r="T555" t="s">
        <v>7</v>
      </c>
      <c r="U555" s="3" t="str">
        <f>+VLOOKUP(Sites_per_tag[[#This Row],[Activity_tag]],Parameter!$A$24:$B$32,2,0)</f>
        <v>SMP</v>
      </c>
      <c r="W555">
        <v>44.481386999999998</v>
      </c>
      <c r="X555">
        <v>-25.240888000000002</v>
      </c>
    </row>
    <row r="556" spans="1:24" x14ac:dyDescent="0.35">
      <c r="A556" s="3" t="str">
        <f t="shared" si="8"/>
        <v>605030026SMP</v>
      </c>
      <c r="B556" t="s">
        <v>6267</v>
      </c>
      <c r="C556">
        <f>+VLOOKUP(Sites_per_tag[[#This Row],[Field_office]],Parameter!$A$3:$B$11,2,0)</f>
        <v>9</v>
      </c>
      <c r="E556" t="s">
        <v>5650</v>
      </c>
      <c r="F556" t="s">
        <v>5654</v>
      </c>
      <c r="H556" t="str">
        <f ca="1">PROPER(Sites_per_tag[[#This Row],[Adm2Name]])</f>
        <v>Ampanihy Ouest</v>
      </c>
      <c r="I556" t="s">
        <v>5660</v>
      </c>
      <c r="K556" t="s">
        <v>5103</v>
      </c>
      <c r="L556" t="s">
        <v>5809</v>
      </c>
      <c r="Q556" t="s">
        <v>6281</v>
      </c>
      <c r="R556">
        <v>605030026</v>
      </c>
      <c r="T556" t="s">
        <v>7</v>
      </c>
      <c r="U556" s="3" t="str">
        <f>+VLOOKUP(Sites_per_tag[[#This Row],[Activity_tag]],Parameter!$A$24:$B$32,2,0)</f>
        <v>SMP</v>
      </c>
      <c r="W556">
        <v>44.150772000000003</v>
      </c>
      <c r="X556">
        <v>-24.964400000000001</v>
      </c>
    </row>
    <row r="557" spans="1:24" x14ac:dyDescent="0.35">
      <c r="A557" s="3" t="str">
        <f t="shared" si="8"/>
        <v>605030029SMP</v>
      </c>
      <c r="B557" t="s">
        <v>6267</v>
      </c>
      <c r="C557">
        <f>+VLOOKUP(Sites_per_tag[[#This Row],[Field_office]],Parameter!$A$3:$B$11,2,0)</f>
        <v>9</v>
      </c>
      <c r="E557" t="s">
        <v>5650</v>
      </c>
      <c r="F557" t="s">
        <v>5654</v>
      </c>
      <c r="H557" t="str">
        <f ca="1">PROPER(Sites_per_tag[[#This Row],[Adm2Name]])</f>
        <v>Ampanihy Ouest</v>
      </c>
      <c r="I557" t="s">
        <v>5660</v>
      </c>
      <c r="K557" t="s">
        <v>5103</v>
      </c>
      <c r="L557" t="s">
        <v>5809</v>
      </c>
      <c r="Q557" t="s">
        <v>4256</v>
      </c>
      <c r="R557">
        <v>605030029</v>
      </c>
      <c r="T557" t="s">
        <v>7</v>
      </c>
      <c r="U557" s="3" t="str">
        <f>+VLOOKUP(Sites_per_tag[[#This Row],[Activity_tag]],Parameter!$A$24:$B$32,2,0)</f>
        <v>SMP</v>
      </c>
      <c r="W557">
        <v>44.188155999999999</v>
      </c>
      <c r="X557">
        <v>-24.972035999999999</v>
      </c>
    </row>
    <row r="558" spans="1:24" x14ac:dyDescent="0.35">
      <c r="A558" s="3" t="str">
        <f t="shared" si="8"/>
        <v>605040002SMP</v>
      </c>
      <c r="B558" t="s">
        <v>6267</v>
      </c>
      <c r="C558">
        <f>+VLOOKUP(Sites_per_tag[[#This Row],[Field_office]],Parameter!$A$3:$B$11,2,0)</f>
        <v>9</v>
      </c>
      <c r="E558" t="s">
        <v>5650</v>
      </c>
      <c r="F558" t="s">
        <v>5654</v>
      </c>
      <c r="H558" t="str">
        <f ca="1">PROPER(Sites_per_tag[[#This Row],[Adm2Name]])</f>
        <v>Ampanihy Ouest</v>
      </c>
      <c r="I558" t="s">
        <v>5660</v>
      </c>
      <c r="K558" t="s">
        <v>1349</v>
      </c>
      <c r="L558" t="s">
        <v>5842</v>
      </c>
      <c r="Q558" t="s">
        <v>3019</v>
      </c>
      <c r="R558">
        <v>605040002</v>
      </c>
      <c r="T558" t="s">
        <v>7</v>
      </c>
      <c r="U558" s="3" t="str">
        <f>+VLOOKUP(Sites_per_tag[[#This Row],[Activity_tag]],Parameter!$A$24:$B$32,2,0)</f>
        <v>SMP</v>
      </c>
      <c r="W558">
        <v>44.979525000000002</v>
      </c>
      <c r="X558">
        <v>-24.418813</v>
      </c>
    </row>
    <row r="559" spans="1:24" x14ac:dyDescent="0.35">
      <c r="A559" s="3" t="str">
        <f t="shared" si="8"/>
        <v>605040003SMP</v>
      </c>
      <c r="B559" t="s">
        <v>6267</v>
      </c>
      <c r="C559">
        <f>+VLOOKUP(Sites_per_tag[[#This Row],[Field_office]],Parameter!$A$3:$B$11,2,0)</f>
        <v>9</v>
      </c>
      <c r="E559" t="s">
        <v>5650</v>
      </c>
      <c r="F559" t="s">
        <v>5654</v>
      </c>
      <c r="H559" t="str">
        <f ca="1">PROPER(Sites_per_tag[[#This Row],[Adm2Name]])</f>
        <v>Ampanihy Ouest</v>
      </c>
      <c r="I559" t="s">
        <v>5660</v>
      </c>
      <c r="K559" t="s">
        <v>1349</v>
      </c>
      <c r="L559" t="s">
        <v>5842</v>
      </c>
      <c r="Q559" t="s">
        <v>3130</v>
      </c>
      <c r="R559">
        <v>605040003</v>
      </c>
      <c r="T559" t="s">
        <v>7</v>
      </c>
      <c r="U559" s="3" t="str">
        <f>+VLOOKUP(Sites_per_tag[[#This Row],[Activity_tag]],Parameter!$A$24:$B$32,2,0)</f>
        <v>SMP</v>
      </c>
      <c r="W559">
        <v>44.971196999999997</v>
      </c>
      <c r="X559">
        <v>-24.539287999999999</v>
      </c>
    </row>
    <row r="560" spans="1:24" x14ac:dyDescent="0.35">
      <c r="A560" s="3" t="str">
        <f t="shared" si="8"/>
        <v>605040006SMP</v>
      </c>
      <c r="B560" t="s">
        <v>6267</v>
      </c>
      <c r="C560">
        <f>+VLOOKUP(Sites_per_tag[[#This Row],[Field_office]],Parameter!$A$3:$B$11,2,0)</f>
        <v>9</v>
      </c>
      <c r="E560" t="s">
        <v>5650</v>
      </c>
      <c r="F560" t="s">
        <v>5654</v>
      </c>
      <c r="H560" t="str">
        <f ca="1">PROPER(Sites_per_tag[[#This Row],[Adm2Name]])</f>
        <v>Ampanihy Ouest</v>
      </c>
      <c r="I560" t="s">
        <v>5660</v>
      </c>
      <c r="K560" t="s">
        <v>1349</v>
      </c>
      <c r="L560" t="s">
        <v>5842</v>
      </c>
      <c r="Q560" t="s">
        <v>6282</v>
      </c>
      <c r="R560">
        <v>605040006</v>
      </c>
      <c r="T560" t="s">
        <v>7</v>
      </c>
      <c r="U560" s="3" t="str">
        <f>+VLOOKUP(Sites_per_tag[[#This Row],[Activity_tag]],Parameter!$A$24:$B$32,2,0)</f>
        <v>SMP</v>
      </c>
      <c r="W560">
        <v>45.004254000000003</v>
      </c>
      <c r="X560">
        <v>-24.482206000000001</v>
      </c>
    </row>
    <row r="561" spans="1:24" x14ac:dyDescent="0.35">
      <c r="A561" s="3" t="str">
        <f t="shared" si="8"/>
        <v>605040007SMP</v>
      </c>
      <c r="B561" t="s">
        <v>6267</v>
      </c>
      <c r="C561">
        <f>+VLOOKUP(Sites_per_tag[[#This Row],[Field_office]],Parameter!$A$3:$B$11,2,0)</f>
        <v>9</v>
      </c>
      <c r="E561" t="s">
        <v>5650</v>
      </c>
      <c r="F561" t="s">
        <v>5654</v>
      </c>
      <c r="H561" t="str">
        <f ca="1">PROPER(Sites_per_tag[[#This Row],[Adm2Name]])</f>
        <v>Ampanihy Ouest</v>
      </c>
      <c r="I561" t="s">
        <v>5660</v>
      </c>
      <c r="K561" t="s">
        <v>1349</v>
      </c>
      <c r="L561" t="s">
        <v>5842</v>
      </c>
      <c r="Q561" t="s">
        <v>6283</v>
      </c>
      <c r="R561">
        <v>605040007</v>
      </c>
      <c r="T561" t="s">
        <v>7</v>
      </c>
      <c r="U561" s="3" t="str">
        <f>+VLOOKUP(Sites_per_tag[[#This Row],[Activity_tag]],Parameter!$A$24:$B$32,2,0)</f>
        <v>SMP</v>
      </c>
      <c r="W561">
        <v>45.034052000000003</v>
      </c>
      <c r="X561">
        <v>-24.282281000000001</v>
      </c>
    </row>
    <row r="562" spans="1:24" x14ac:dyDescent="0.35">
      <c r="A562" s="3" t="str">
        <f t="shared" si="8"/>
        <v>605040008SMP</v>
      </c>
      <c r="B562" t="s">
        <v>6267</v>
      </c>
      <c r="C562">
        <f>+VLOOKUP(Sites_per_tag[[#This Row],[Field_office]],Parameter!$A$3:$B$11,2,0)</f>
        <v>9</v>
      </c>
      <c r="E562" t="s">
        <v>5650</v>
      </c>
      <c r="F562" t="s">
        <v>5654</v>
      </c>
      <c r="H562" t="str">
        <f ca="1">PROPER(Sites_per_tag[[#This Row],[Adm2Name]])</f>
        <v>Ampanihy Ouest</v>
      </c>
      <c r="I562" t="s">
        <v>5660</v>
      </c>
      <c r="K562" t="s">
        <v>1349</v>
      </c>
      <c r="L562" t="s">
        <v>5842</v>
      </c>
      <c r="Q562" t="s">
        <v>6284</v>
      </c>
      <c r="R562">
        <v>605040008</v>
      </c>
      <c r="T562" t="s">
        <v>7</v>
      </c>
      <c r="U562" s="3" t="str">
        <f>+VLOOKUP(Sites_per_tag[[#This Row],[Activity_tag]],Parameter!$A$24:$B$32,2,0)</f>
        <v>SMP</v>
      </c>
      <c r="W562">
        <v>44.973911000000001</v>
      </c>
      <c r="X562">
        <v>-24.468436000000001</v>
      </c>
    </row>
    <row r="563" spans="1:24" x14ac:dyDescent="0.35">
      <c r="A563" s="3" t="str">
        <f t="shared" si="8"/>
        <v>605040014SMP</v>
      </c>
      <c r="B563" t="s">
        <v>6267</v>
      </c>
      <c r="C563">
        <f>+VLOOKUP(Sites_per_tag[[#This Row],[Field_office]],Parameter!$A$3:$B$11,2,0)</f>
        <v>9</v>
      </c>
      <c r="E563" t="s">
        <v>5650</v>
      </c>
      <c r="F563" t="s">
        <v>5654</v>
      </c>
      <c r="H563" t="str">
        <f ca="1">PROPER(Sites_per_tag[[#This Row],[Adm2Name]])</f>
        <v>Ampanihy Ouest</v>
      </c>
      <c r="I563" t="s">
        <v>5660</v>
      </c>
      <c r="K563" t="s">
        <v>1349</v>
      </c>
      <c r="L563" t="s">
        <v>5842</v>
      </c>
      <c r="Q563" t="s">
        <v>3336</v>
      </c>
      <c r="R563">
        <v>605040014</v>
      </c>
      <c r="T563" t="s">
        <v>7</v>
      </c>
      <c r="U563" s="3" t="str">
        <f>+VLOOKUP(Sites_per_tag[[#This Row],[Activity_tag]],Parameter!$A$24:$B$32,2,0)</f>
        <v>SMP</v>
      </c>
      <c r="W563">
        <v>45.004441999999997</v>
      </c>
      <c r="X563">
        <v>-24.511019000000001</v>
      </c>
    </row>
    <row r="564" spans="1:24" x14ac:dyDescent="0.35">
      <c r="A564" s="3" t="str">
        <f t="shared" si="8"/>
        <v>605050001SMP</v>
      </c>
      <c r="B564" t="s">
        <v>6267</v>
      </c>
      <c r="C564">
        <f>+VLOOKUP(Sites_per_tag[[#This Row],[Field_office]],Parameter!$A$3:$B$11,2,0)</f>
        <v>9</v>
      </c>
      <c r="E564" t="s">
        <v>5650</v>
      </c>
      <c r="F564" t="s">
        <v>5654</v>
      </c>
      <c r="H564" t="str">
        <f ca="1">PROPER(Sites_per_tag[[#This Row],[Adm2Name]])</f>
        <v>Ampanihy Ouest</v>
      </c>
      <c r="I564" t="s">
        <v>5660</v>
      </c>
      <c r="K564" t="s">
        <v>1375</v>
      </c>
      <c r="L564" t="s">
        <v>5844</v>
      </c>
      <c r="Q564" t="s">
        <v>502</v>
      </c>
      <c r="R564">
        <v>605050001</v>
      </c>
      <c r="T564" t="s">
        <v>7</v>
      </c>
      <c r="U564" s="3" t="str">
        <f>+VLOOKUP(Sites_per_tag[[#This Row],[Activity_tag]],Parameter!$A$24:$B$32,2,0)</f>
        <v>SMP</v>
      </c>
      <c r="W564">
        <v>44.684598999999999</v>
      </c>
      <c r="X564">
        <v>-24.506740000000001</v>
      </c>
    </row>
    <row r="565" spans="1:24" x14ac:dyDescent="0.35">
      <c r="A565" s="3" t="str">
        <f t="shared" si="8"/>
        <v>605050002SMP</v>
      </c>
      <c r="B565" t="s">
        <v>6267</v>
      </c>
      <c r="C565">
        <f>+VLOOKUP(Sites_per_tag[[#This Row],[Field_office]],Parameter!$A$3:$B$11,2,0)</f>
        <v>9</v>
      </c>
      <c r="E565" t="s">
        <v>5650</v>
      </c>
      <c r="F565" t="s">
        <v>5654</v>
      </c>
      <c r="H565" t="str">
        <f ca="1">PROPER(Sites_per_tag[[#This Row],[Adm2Name]])</f>
        <v>Ampanihy Ouest</v>
      </c>
      <c r="I565" t="s">
        <v>5660</v>
      </c>
      <c r="K565" t="s">
        <v>1375</v>
      </c>
      <c r="L565" t="s">
        <v>5844</v>
      </c>
      <c r="Q565" t="s">
        <v>635</v>
      </c>
      <c r="R565">
        <v>605050002</v>
      </c>
      <c r="T565" t="s">
        <v>7</v>
      </c>
      <c r="U565" s="3" t="str">
        <f>+VLOOKUP(Sites_per_tag[[#This Row],[Activity_tag]],Parameter!$A$24:$B$32,2,0)</f>
        <v>SMP</v>
      </c>
      <c r="W565">
        <v>44.776922999999996</v>
      </c>
      <c r="X565">
        <v>-24.482111</v>
      </c>
    </row>
    <row r="566" spans="1:24" x14ac:dyDescent="0.35">
      <c r="A566" s="3" t="str">
        <f t="shared" si="8"/>
        <v>605050003SMP</v>
      </c>
      <c r="B566" t="s">
        <v>6267</v>
      </c>
      <c r="C566">
        <f>+VLOOKUP(Sites_per_tag[[#This Row],[Field_office]],Parameter!$A$3:$B$11,2,0)</f>
        <v>9</v>
      </c>
      <c r="E566" t="s">
        <v>5650</v>
      </c>
      <c r="F566" t="s">
        <v>5654</v>
      </c>
      <c r="H566" t="str">
        <f ca="1">PROPER(Sites_per_tag[[#This Row],[Adm2Name]])</f>
        <v>Ampanihy Ouest</v>
      </c>
      <c r="I566" t="s">
        <v>5660</v>
      </c>
      <c r="K566" t="s">
        <v>1375</v>
      </c>
      <c r="L566" t="s">
        <v>5844</v>
      </c>
      <c r="Q566" t="s">
        <v>6285</v>
      </c>
      <c r="R566">
        <v>605050003</v>
      </c>
      <c r="T566" t="s">
        <v>7</v>
      </c>
      <c r="U566" s="3" t="str">
        <f>+VLOOKUP(Sites_per_tag[[#This Row],[Activity_tag]],Parameter!$A$24:$B$32,2,0)</f>
        <v>SMP</v>
      </c>
      <c r="W566">
        <v>44.783234999999998</v>
      </c>
      <c r="X566">
        <v>-24.573031</v>
      </c>
    </row>
    <row r="567" spans="1:24" x14ac:dyDescent="0.35">
      <c r="A567" s="3" t="str">
        <f t="shared" si="8"/>
        <v>605050005SMP</v>
      </c>
      <c r="B567" t="s">
        <v>6267</v>
      </c>
      <c r="C567">
        <f>+VLOOKUP(Sites_per_tag[[#This Row],[Field_office]],Parameter!$A$3:$B$11,2,0)</f>
        <v>9</v>
      </c>
      <c r="E567" t="s">
        <v>5650</v>
      </c>
      <c r="F567" t="s">
        <v>5654</v>
      </c>
      <c r="H567" t="str">
        <f ca="1">PROPER(Sites_per_tag[[#This Row],[Adm2Name]])</f>
        <v>Ampanihy Ouest</v>
      </c>
      <c r="I567" t="s">
        <v>5660</v>
      </c>
      <c r="K567" t="s">
        <v>1375</v>
      </c>
      <c r="L567" t="s">
        <v>5844</v>
      </c>
      <c r="Q567" t="s">
        <v>1825</v>
      </c>
      <c r="R567">
        <v>605050005</v>
      </c>
      <c r="T567" t="s">
        <v>7</v>
      </c>
      <c r="U567" s="3" t="str">
        <f>+VLOOKUP(Sites_per_tag[[#This Row],[Activity_tag]],Parameter!$A$24:$B$32,2,0)</f>
        <v>SMP</v>
      </c>
      <c r="W567">
        <v>44.673698000000002</v>
      </c>
      <c r="X567">
        <v>-24.535511</v>
      </c>
    </row>
    <row r="568" spans="1:24" x14ac:dyDescent="0.35">
      <c r="A568" s="3" t="str">
        <f t="shared" si="8"/>
        <v>605050006SMP</v>
      </c>
      <c r="B568" t="s">
        <v>6267</v>
      </c>
      <c r="C568">
        <f>+VLOOKUP(Sites_per_tag[[#This Row],[Field_office]],Parameter!$A$3:$B$11,2,0)</f>
        <v>9</v>
      </c>
      <c r="E568" t="s">
        <v>5650</v>
      </c>
      <c r="F568" t="s">
        <v>5654</v>
      </c>
      <c r="H568" t="str">
        <f ca="1">PROPER(Sites_per_tag[[#This Row],[Adm2Name]])</f>
        <v>Ampanihy Ouest</v>
      </c>
      <c r="I568" t="s">
        <v>5660</v>
      </c>
      <c r="K568" t="s">
        <v>1375</v>
      </c>
      <c r="L568" t="s">
        <v>5844</v>
      </c>
      <c r="Q568" t="s">
        <v>6286</v>
      </c>
      <c r="R568">
        <v>605050006</v>
      </c>
      <c r="T568" t="s">
        <v>7</v>
      </c>
      <c r="U568" s="3" t="str">
        <f>+VLOOKUP(Sites_per_tag[[#This Row],[Activity_tag]],Parameter!$A$24:$B$32,2,0)</f>
        <v>SMP</v>
      </c>
      <c r="W568">
        <v>44.665824999999998</v>
      </c>
      <c r="X568">
        <v>-24.585609999999999</v>
      </c>
    </row>
    <row r="569" spans="1:24" x14ac:dyDescent="0.35">
      <c r="A569" s="3" t="str">
        <f t="shared" si="8"/>
        <v>605050008SMP</v>
      </c>
      <c r="B569" t="s">
        <v>6267</v>
      </c>
      <c r="C569">
        <f>+VLOOKUP(Sites_per_tag[[#This Row],[Field_office]],Parameter!$A$3:$B$11,2,0)</f>
        <v>9</v>
      </c>
      <c r="E569" t="s">
        <v>5650</v>
      </c>
      <c r="F569" t="s">
        <v>5654</v>
      </c>
      <c r="H569" t="str">
        <f ca="1">PROPER(Sites_per_tag[[#This Row],[Adm2Name]])</f>
        <v>Ampanihy Ouest</v>
      </c>
      <c r="I569" t="s">
        <v>5660</v>
      </c>
      <c r="K569" t="s">
        <v>1375</v>
      </c>
      <c r="L569" t="s">
        <v>5844</v>
      </c>
      <c r="Q569" t="s">
        <v>6287</v>
      </c>
      <c r="R569">
        <v>605050008</v>
      </c>
      <c r="T569" t="s">
        <v>7</v>
      </c>
      <c r="U569" s="3" t="str">
        <f>+VLOOKUP(Sites_per_tag[[#This Row],[Activity_tag]],Parameter!$A$24:$B$32,2,0)</f>
        <v>SMP</v>
      </c>
      <c r="W569">
        <v>44.621561</v>
      </c>
      <c r="X569">
        <v>-24.562068</v>
      </c>
    </row>
    <row r="570" spans="1:24" x14ac:dyDescent="0.35">
      <c r="A570" s="3" t="str">
        <f t="shared" si="8"/>
        <v>605050011SMP</v>
      </c>
      <c r="B570" t="s">
        <v>6267</v>
      </c>
      <c r="C570">
        <f>+VLOOKUP(Sites_per_tag[[#This Row],[Field_office]],Parameter!$A$3:$B$11,2,0)</f>
        <v>9</v>
      </c>
      <c r="E570" t="s">
        <v>5650</v>
      </c>
      <c r="F570" t="s">
        <v>5654</v>
      </c>
      <c r="H570" t="str">
        <f ca="1">PROPER(Sites_per_tag[[#This Row],[Adm2Name]])</f>
        <v>Ampanihy Ouest</v>
      </c>
      <c r="I570" t="s">
        <v>5660</v>
      </c>
      <c r="K570" t="s">
        <v>1375</v>
      </c>
      <c r="L570" t="s">
        <v>5844</v>
      </c>
      <c r="Q570" t="s">
        <v>6288</v>
      </c>
      <c r="R570">
        <v>605050011</v>
      </c>
      <c r="T570" t="s">
        <v>7</v>
      </c>
      <c r="U570" s="3" t="str">
        <f>+VLOOKUP(Sites_per_tag[[#This Row],[Activity_tag]],Parameter!$A$24:$B$32,2,0)</f>
        <v>SMP</v>
      </c>
      <c r="W570">
        <v>44.623654000000002</v>
      </c>
      <c r="X570">
        <v>-24.585683</v>
      </c>
    </row>
    <row r="571" spans="1:24" x14ac:dyDescent="0.35">
      <c r="A571" s="3" t="str">
        <f t="shared" si="8"/>
        <v>605050013SMP</v>
      </c>
      <c r="B571" t="s">
        <v>6267</v>
      </c>
      <c r="C571">
        <f>+VLOOKUP(Sites_per_tag[[#This Row],[Field_office]],Parameter!$A$3:$B$11,2,0)</f>
        <v>9</v>
      </c>
      <c r="E571" t="s">
        <v>5650</v>
      </c>
      <c r="F571" t="s">
        <v>5654</v>
      </c>
      <c r="H571" t="str">
        <f ca="1">PROPER(Sites_per_tag[[#This Row],[Adm2Name]])</f>
        <v>Ampanihy Ouest</v>
      </c>
      <c r="I571" t="s">
        <v>5660</v>
      </c>
      <c r="K571" t="s">
        <v>1375</v>
      </c>
      <c r="L571" t="s">
        <v>5844</v>
      </c>
      <c r="Q571" t="s">
        <v>636</v>
      </c>
      <c r="R571">
        <v>605050013</v>
      </c>
      <c r="T571" t="s">
        <v>7</v>
      </c>
      <c r="U571" s="3" t="str">
        <f>+VLOOKUP(Sites_per_tag[[#This Row],[Activity_tag]],Parameter!$A$24:$B$32,2,0)</f>
        <v>SMP</v>
      </c>
      <c r="W571">
        <v>44.828828999999999</v>
      </c>
      <c r="X571">
        <v>-24.451954000000001</v>
      </c>
    </row>
    <row r="572" spans="1:24" x14ac:dyDescent="0.35">
      <c r="A572" s="3" t="str">
        <f t="shared" si="8"/>
        <v>605070001SMP</v>
      </c>
      <c r="B572" t="s">
        <v>6267</v>
      </c>
      <c r="C572">
        <f>+VLOOKUP(Sites_per_tag[[#This Row],[Field_office]],Parameter!$A$3:$B$11,2,0)</f>
        <v>9</v>
      </c>
      <c r="E572" t="s">
        <v>5650</v>
      </c>
      <c r="F572" t="s">
        <v>5654</v>
      </c>
      <c r="H572" t="str">
        <f ca="1">PROPER(Sites_per_tag[[#This Row],[Adm2Name]])</f>
        <v>Ampanihy Ouest</v>
      </c>
      <c r="I572" t="s">
        <v>5660</v>
      </c>
      <c r="K572" t="s">
        <v>1457</v>
      </c>
      <c r="L572" t="s">
        <v>5852</v>
      </c>
      <c r="Q572" t="s">
        <v>1469</v>
      </c>
      <c r="R572">
        <v>605070001</v>
      </c>
      <c r="T572" t="s">
        <v>7</v>
      </c>
      <c r="U572" s="3" t="str">
        <f>+VLOOKUP(Sites_per_tag[[#This Row],[Activity_tag]],Parameter!$A$24:$B$32,2,0)</f>
        <v>SMP</v>
      </c>
      <c r="W572">
        <v>44.887822</v>
      </c>
      <c r="X572">
        <v>-24.420210999999998</v>
      </c>
    </row>
    <row r="573" spans="1:24" x14ac:dyDescent="0.35">
      <c r="A573" s="3" t="str">
        <f t="shared" si="8"/>
        <v>605070003SMP</v>
      </c>
      <c r="B573" t="s">
        <v>6267</v>
      </c>
      <c r="C573">
        <f>+VLOOKUP(Sites_per_tag[[#This Row],[Field_office]],Parameter!$A$3:$B$11,2,0)</f>
        <v>9</v>
      </c>
      <c r="E573" t="s">
        <v>5650</v>
      </c>
      <c r="F573" t="s">
        <v>5654</v>
      </c>
      <c r="H573" t="str">
        <f ca="1">PROPER(Sites_per_tag[[#This Row],[Adm2Name]])</f>
        <v>Ampanihy Ouest</v>
      </c>
      <c r="I573" t="s">
        <v>5660</v>
      </c>
      <c r="K573" t="s">
        <v>1457</v>
      </c>
      <c r="L573" t="s">
        <v>5852</v>
      </c>
      <c r="Q573" t="s">
        <v>1697</v>
      </c>
      <c r="R573">
        <v>605070003</v>
      </c>
      <c r="T573" t="s">
        <v>7</v>
      </c>
      <c r="U573" s="3" t="str">
        <f>+VLOOKUP(Sites_per_tag[[#This Row],[Activity_tag]],Parameter!$A$24:$B$32,2,0)</f>
        <v>SMP</v>
      </c>
      <c r="W573">
        <v>44.795613000000003</v>
      </c>
      <c r="X573">
        <v>-24.323947</v>
      </c>
    </row>
    <row r="574" spans="1:24" x14ac:dyDescent="0.35">
      <c r="A574" s="3" t="str">
        <f t="shared" si="8"/>
        <v>605070004SMP</v>
      </c>
      <c r="B574" t="s">
        <v>6267</v>
      </c>
      <c r="C574">
        <f>+VLOOKUP(Sites_per_tag[[#This Row],[Field_office]],Parameter!$A$3:$B$11,2,0)</f>
        <v>9</v>
      </c>
      <c r="E574" t="s">
        <v>5650</v>
      </c>
      <c r="F574" t="s">
        <v>5654</v>
      </c>
      <c r="H574" t="str">
        <f ca="1">PROPER(Sites_per_tag[[#This Row],[Adm2Name]])</f>
        <v>Ampanihy Ouest</v>
      </c>
      <c r="I574" t="s">
        <v>5660</v>
      </c>
      <c r="K574" t="s">
        <v>1457</v>
      </c>
      <c r="L574" t="s">
        <v>5852</v>
      </c>
      <c r="Q574" t="s">
        <v>6289</v>
      </c>
      <c r="R574">
        <v>605070004</v>
      </c>
      <c r="T574" t="s">
        <v>7</v>
      </c>
      <c r="U574" s="3" t="str">
        <f>+VLOOKUP(Sites_per_tag[[#This Row],[Activity_tag]],Parameter!$A$24:$B$32,2,0)</f>
        <v>SMP</v>
      </c>
      <c r="W574">
        <v>44.958993999999997</v>
      </c>
      <c r="X574">
        <v>-24.293368000000001</v>
      </c>
    </row>
    <row r="575" spans="1:24" x14ac:dyDescent="0.35">
      <c r="A575" s="3" t="str">
        <f t="shared" si="8"/>
        <v>605070007SMP</v>
      </c>
      <c r="B575" t="s">
        <v>6267</v>
      </c>
      <c r="C575">
        <f>+VLOOKUP(Sites_per_tag[[#This Row],[Field_office]],Parameter!$A$3:$B$11,2,0)</f>
        <v>9</v>
      </c>
      <c r="E575" t="s">
        <v>5650</v>
      </c>
      <c r="F575" t="s">
        <v>5654</v>
      </c>
      <c r="H575" t="str">
        <f ca="1">PROPER(Sites_per_tag[[#This Row],[Adm2Name]])</f>
        <v>Ampanihy Ouest</v>
      </c>
      <c r="I575" t="s">
        <v>5660</v>
      </c>
      <c r="K575" t="s">
        <v>1457</v>
      </c>
      <c r="L575" t="s">
        <v>5852</v>
      </c>
      <c r="Q575" t="s">
        <v>3306</v>
      </c>
      <c r="R575">
        <v>605070007</v>
      </c>
      <c r="T575" t="s">
        <v>7</v>
      </c>
      <c r="U575" s="3" t="str">
        <f>+VLOOKUP(Sites_per_tag[[#This Row],[Activity_tag]],Parameter!$A$24:$B$32,2,0)</f>
        <v>SMP</v>
      </c>
      <c r="W575">
        <v>44.911408999999999</v>
      </c>
      <c r="X575">
        <v>-24.434443000000002</v>
      </c>
    </row>
    <row r="576" spans="1:24" x14ac:dyDescent="0.35">
      <c r="A576" s="3" t="str">
        <f t="shared" si="8"/>
        <v>605070008SMP</v>
      </c>
      <c r="B576" t="s">
        <v>6267</v>
      </c>
      <c r="C576">
        <f>+VLOOKUP(Sites_per_tag[[#This Row],[Field_office]],Parameter!$A$3:$B$11,2,0)</f>
        <v>9</v>
      </c>
      <c r="E576" t="s">
        <v>5650</v>
      </c>
      <c r="F576" t="s">
        <v>5654</v>
      </c>
      <c r="H576" t="str">
        <f ca="1">PROPER(Sites_per_tag[[#This Row],[Adm2Name]])</f>
        <v>Ampanihy Ouest</v>
      </c>
      <c r="I576" t="s">
        <v>5660</v>
      </c>
      <c r="K576" t="s">
        <v>1457</v>
      </c>
      <c r="L576" t="s">
        <v>5852</v>
      </c>
      <c r="Q576" t="s">
        <v>6290</v>
      </c>
      <c r="R576">
        <v>605070008</v>
      </c>
      <c r="T576" t="s">
        <v>7</v>
      </c>
      <c r="U576" s="3" t="str">
        <f>+VLOOKUP(Sites_per_tag[[#This Row],[Activity_tag]],Parameter!$A$24:$B$32,2,0)</f>
        <v>SMP</v>
      </c>
      <c r="W576">
        <v>44.937674999999999</v>
      </c>
      <c r="X576">
        <v>-24.401917000000001</v>
      </c>
    </row>
    <row r="577" spans="1:24" x14ac:dyDescent="0.35">
      <c r="A577" s="3" t="str">
        <f t="shared" si="8"/>
        <v>605070009SMP</v>
      </c>
      <c r="B577" t="s">
        <v>6267</v>
      </c>
      <c r="C577">
        <f>+VLOOKUP(Sites_per_tag[[#This Row],[Field_office]],Parameter!$A$3:$B$11,2,0)</f>
        <v>9</v>
      </c>
      <c r="E577" t="s">
        <v>5650</v>
      </c>
      <c r="F577" t="s">
        <v>5654</v>
      </c>
      <c r="H577" t="str">
        <f ca="1">PROPER(Sites_per_tag[[#This Row],[Adm2Name]])</f>
        <v>Ampanihy Ouest</v>
      </c>
      <c r="I577" t="s">
        <v>5660</v>
      </c>
      <c r="K577" t="s">
        <v>1457</v>
      </c>
      <c r="L577" t="s">
        <v>5852</v>
      </c>
      <c r="Q577" t="s">
        <v>5686</v>
      </c>
      <c r="R577">
        <v>605070009</v>
      </c>
      <c r="T577" t="s">
        <v>7</v>
      </c>
      <c r="U577" s="3" t="str">
        <f>+VLOOKUP(Sites_per_tag[[#This Row],[Activity_tag]],Parameter!$A$24:$B$32,2,0)</f>
        <v>SMP</v>
      </c>
      <c r="W577">
        <v>44.922851000000001</v>
      </c>
      <c r="X577">
        <v>-24.344830999999999</v>
      </c>
    </row>
    <row r="578" spans="1:24" x14ac:dyDescent="0.35">
      <c r="A578" s="3" t="str">
        <f t="shared" si="8"/>
        <v>605070010SMP</v>
      </c>
      <c r="B578" t="s">
        <v>6267</v>
      </c>
      <c r="C578">
        <f>+VLOOKUP(Sites_per_tag[[#This Row],[Field_office]],Parameter!$A$3:$B$11,2,0)</f>
        <v>9</v>
      </c>
      <c r="E578" t="s">
        <v>5650</v>
      </c>
      <c r="F578" t="s">
        <v>5654</v>
      </c>
      <c r="H578" t="str">
        <f ca="1">PROPER(Sites_per_tag[[#This Row],[Adm2Name]])</f>
        <v>Ampanihy Ouest</v>
      </c>
      <c r="I578" t="s">
        <v>5660</v>
      </c>
      <c r="K578" t="s">
        <v>1457</v>
      </c>
      <c r="L578" t="s">
        <v>5852</v>
      </c>
      <c r="Q578" t="s">
        <v>4200</v>
      </c>
      <c r="R578">
        <v>605070010</v>
      </c>
      <c r="T578" t="s">
        <v>7</v>
      </c>
      <c r="U578" s="3" t="str">
        <f>+VLOOKUP(Sites_per_tag[[#This Row],[Activity_tag]],Parameter!$A$24:$B$32,2,0)</f>
        <v>SMP</v>
      </c>
      <c r="W578">
        <v>44.889107000000003</v>
      </c>
      <c r="X578">
        <v>-24.402543000000001</v>
      </c>
    </row>
    <row r="579" spans="1:24" x14ac:dyDescent="0.35">
      <c r="A579" s="3" t="str">
        <f t="shared" ref="A579:A642" si="9">+R579&amp;U579</f>
        <v>605070011SMP</v>
      </c>
      <c r="B579" t="s">
        <v>6267</v>
      </c>
      <c r="C579">
        <f>+VLOOKUP(Sites_per_tag[[#This Row],[Field_office]],Parameter!$A$3:$B$11,2,0)</f>
        <v>9</v>
      </c>
      <c r="E579" t="s">
        <v>5650</v>
      </c>
      <c r="F579" t="s">
        <v>5654</v>
      </c>
      <c r="H579" t="str">
        <f ca="1">PROPER(Sites_per_tag[[#This Row],[Adm2Name]])</f>
        <v>Ampanihy Ouest</v>
      </c>
      <c r="I579" t="s">
        <v>5660</v>
      </c>
      <c r="K579" t="s">
        <v>1693</v>
      </c>
      <c r="L579" t="s">
        <v>5880</v>
      </c>
      <c r="Q579" t="s">
        <v>6291</v>
      </c>
      <c r="R579">
        <v>605070011</v>
      </c>
      <c r="T579" t="s">
        <v>7</v>
      </c>
      <c r="U579" s="3" t="str">
        <f>+VLOOKUP(Sites_per_tag[[#This Row],[Activity_tag]],Parameter!$A$24:$B$32,2,0)</f>
        <v>SMP</v>
      </c>
      <c r="W579">
        <v>44.752105999999998</v>
      </c>
      <c r="X579">
        <v>-24.41309</v>
      </c>
    </row>
    <row r="580" spans="1:24" x14ac:dyDescent="0.35">
      <c r="A580" s="3" t="str">
        <f t="shared" si="9"/>
        <v>605070012SMP</v>
      </c>
      <c r="B580" t="s">
        <v>6267</v>
      </c>
      <c r="C580">
        <f>+VLOOKUP(Sites_per_tag[[#This Row],[Field_office]],Parameter!$A$3:$B$11,2,0)</f>
        <v>9</v>
      </c>
      <c r="E580" t="s">
        <v>5650</v>
      </c>
      <c r="F580" t="s">
        <v>5654</v>
      </c>
      <c r="H580" t="str">
        <f ca="1">PROPER(Sites_per_tag[[#This Row],[Adm2Name]])</f>
        <v>Ampanihy Ouest</v>
      </c>
      <c r="I580" t="s">
        <v>5660</v>
      </c>
      <c r="K580" t="s">
        <v>1693</v>
      </c>
      <c r="L580" t="s">
        <v>5880</v>
      </c>
      <c r="Q580" t="s">
        <v>1697</v>
      </c>
      <c r="R580">
        <v>605070012</v>
      </c>
      <c r="T580" t="s">
        <v>7</v>
      </c>
      <c r="U580" s="3" t="str">
        <f>+VLOOKUP(Sites_per_tag[[#This Row],[Activity_tag]],Parameter!$A$24:$B$32,2,0)</f>
        <v>SMP</v>
      </c>
      <c r="W580">
        <v>44.786186000000001</v>
      </c>
      <c r="X580">
        <v>-24.325246</v>
      </c>
    </row>
    <row r="581" spans="1:24" x14ac:dyDescent="0.35">
      <c r="A581" s="3" t="str">
        <f t="shared" si="9"/>
        <v>605070013SMP</v>
      </c>
      <c r="B581" t="s">
        <v>6267</v>
      </c>
      <c r="C581">
        <f>+VLOOKUP(Sites_per_tag[[#This Row],[Field_office]],Parameter!$A$3:$B$11,2,0)</f>
        <v>9</v>
      </c>
      <c r="E581" t="s">
        <v>5650</v>
      </c>
      <c r="F581" t="s">
        <v>5654</v>
      </c>
      <c r="H581" t="str">
        <f ca="1">PROPER(Sites_per_tag[[#This Row],[Adm2Name]])</f>
        <v>Ampanihy Ouest</v>
      </c>
      <c r="I581" t="s">
        <v>5660</v>
      </c>
      <c r="K581" t="s">
        <v>1457</v>
      </c>
      <c r="L581" t="s">
        <v>5852</v>
      </c>
      <c r="Q581" t="s">
        <v>1889</v>
      </c>
      <c r="R581">
        <v>605070013</v>
      </c>
      <c r="T581" t="s">
        <v>7</v>
      </c>
      <c r="U581" s="3" t="str">
        <f>+VLOOKUP(Sites_per_tag[[#This Row],[Activity_tag]],Parameter!$A$24:$B$32,2,0)</f>
        <v>SMP</v>
      </c>
      <c r="W581">
        <v>44.876362999999998</v>
      </c>
      <c r="X581">
        <v>-24.327002</v>
      </c>
    </row>
    <row r="582" spans="1:24" x14ac:dyDescent="0.35">
      <c r="A582" s="3" t="str">
        <f t="shared" si="9"/>
        <v>605070014SMP</v>
      </c>
      <c r="B582" t="s">
        <v>6267</v>
      </c>
      <c r="C582">
        <f>+VLOOKUP(Sites_per_tag[[#This Row],[Field_office]],Parameter!$A$3:$B$11,2,0)</f>
        <v>9</v>
      </c>
      <c r="E582" t="s">
        <v>5650</v>
      </c>
      <c r="F582" t="s">
        <v>5654</v>
      </c>
      <c r="H582" t="str">
        <f ca="1">PROPER(Sites_per_tag[[#This Row],[Adm2Name]])</f>
        <v>Ampanihy Ouest</v>
      </c>
      <c r="I582" t="s">
        <v>5660</v>
      </c>
      <c r="K582" t="s">
        <v>1457</v>
      </c>
      <c r="L582" t="s">
        <v>5852</v>
      </c>
      <c r="Q582" t="s">
        <v>2044</v>
      </c>
      <c r="R582">
        <v>605070014</v>
      </c>
      <c r="T582" t="s">
        <v>7</v>
      </c>
      <c r="U582" s="3" t="str">
        <f>+VLOOKUP(Sites_per_tag[[#This Row],[Activity_tag]],Parameter!$A$24:$B$32,2,0)</f>
        <v>SMP</v>
      </c>
      <c r="W582">
        <v>45.011215999999997</v>
      </c>
      <c r="X582">
        <v>-24.362928</v>
      </c>
    </row>
    <row r="583" spans="1:24" x14ac:dyDescent="0.35">
      <c r="A583" s="3" t="str">
        <f t="shared" si="9"/>
        <v>605070016SMP</v>
      </c>
      <c r="B583" t="s">
        <v>6267</v>
      </c>
      <c r="C583">
        <f>+VLOOKUP(Sites_per_tag[[#This Row],[Field_office]],Parameter!$A$3:$B$11,2,0)</f>
        <v>9</v>
      </c>
      <c r="E583" t="s">
        <v>5650</v>
      </c>
      <c r="F583" t="s">
        <v>5654</v>
      </c>
      <c r="H583" t="str">
        <f ca="1">PROPER(Sites_per_tag[[#This Row],[Adm2Name]])</f>
        <v>Ampanihy Ouest</v>
      </c>
      <c r="I583" t="s">
        <v>5660</v>
      </c>
      <c r="K583" t="s">
        <v>1457</v>
      </c>
      <c r="L583" t="s">
        <v>5852</v>
      </c>
      <c r="Q583" t="s">
        <v>3305</v>
      </c>
      <c r="R583">
        <v>605070016</v>
      </c>
      <c r="T583" t="s">
        <v>7</v>
      </c>
      <c r="U583" s="3" t="str">
        <f>+VLOOKUP(Sites_per_tag[[#This Row],[Activity_tag]],Parameter!$A$24:$B$32,2,0)</f>
        <v>SMP</v>
      </c>
      <c r="W583">
        <v>44.904035999999998</v>
      </c>
      <c r="X583">
        <v>-24.443846000000001</v>
      </c>
    </row>
    <row r="584" spans="1:24" x14ac:dyDescent="0.35">
      <c r="A584" s="3" t="str">
        <f t="shared" si="9"/>
        <v>605070017SMP</v>
      </c>
      <c r="B584" t="s">
        <v>6267</v>
      </c>
      <c r="C584">
        <f>+VLOOKUP(Sites_per_tag[[#This Row],[Field_office]],Parameter!$A$3:$B$11,2,0)</f>
        <v>9</v>
      </c>
      <c r="E584" t="s">
        <v>5650</v>
      </c>
      <c r="F584" t="s">
        <v>5654</v>
      </c>
      <c r="H584" t="str">
        <f ca="1">PROPER(Sites_per_tag[[#This Row],[Adm2Name]])</f>
        <v>Ampanihy Ouest</v>
      </c>
      <c r="I584" t="s">
        <v>5660</v>
      </c>
      <c r="K584" t="s">
        <v>5885</v>
      </c>
      <c r="L584" t="s">
        <v>5962</v>
      </c>
      <c r="Q584" t="s">
        <v>3432</v>
      </c>
      <c r="R584">
        <v>605070017</v>
      </c>
      <c r="T584" t="s">
        <v>7</v>
      </c>
      <c r="U584" s="3" t="str">
        <f>+VLOOKUP(Sites_per_tag[[#This Row],[Activity_tag]],Parameter!$A$24:$B$32,2,0)</f>
        <v>SMP</v>
      </c>
      <c r="W584">
        <v>44.906782</v>
      </c>
      <c r="X584">
        <v>-24.228914</v>
      </c>
    </row>
    <row r="585" spans="1:24" x14ac:dyDescent="0.35">
      <c r="A585" s="3" t="str">
        <f t="shared" si="9"/>
        <v>605070019SMP</v>
      </c>
      <c r="B585" t="s">
        <v>6267</v>
      </c>
      <c r="C585">
        <f>+VLOOKUP(Sites_per_tag[[#This Row],[Field_office]],Parameter!$A$3:$B$11,2,0)</f>
        <v>9</v>
      </c>
      <c r="E585" t="s">
        <v>5650</v>
      </c>
      <c r="F585" t="s">
        <v>5654</v>
      </c>
      <c r="H585" t="str">
        <f ca="1">PROPER(Sites_per_tag[[#This Row],[Adm2Name]])</f>
        <v>Ampanihy Ouest</v>
      </c>
      <c r="I585" t="s">
        <v>5660</v>
      </c>
      <c r="K585" t="s">
        <v>1457</v>
      </c>
      <c r="L585" t="s">
        <v>5852</v>
      </c>
      <c r="Q585" t="s">
        <v>224</v>
      </c>
      <c r="R585">
        <v>605070019</v>
      </c>
      <c r="T585" t="s">
        <v>7</v>
      </c>
      <c r="U585" s="3" t="str">
        <f>+VLOOKUP(Sites_per_tag[[#This Row],[Activity_tag]],Parameter!$A$24:$B$32,2,0)</f>
        <v>SMP</v>
      </c>
      <c r="W585">
        <v>44.733288999999999</v>
      </c>
      <c r="X585">
        <v>-24.265367000000001</v>
      </c>
    </row>
    <row r="586" spans="1:24" x14ac:dyDescent="0.35">
      <c r="A586" s="3" t="str">
        <f t="shared" si="9"/>
        <v>605070023SMP</v>
      </c>
      <c r="B586" t="s">
        <v>6267</v>
      </c>
      <c r="C586">
        <f>+VLOOKUP(Sites_per_tag[[#This Row],[Field_office]],Parameter!$A$3:$B$11,2,0)</f>
        <v>9</v>
      </c>
      <c r="E586" t="s">
        <v>5650</v>
      </c>
      <c r="F586" t="s">
        <v>5654</v>
      </c>
      <c r="H586" t="str">
        <f ca="1">PROPER(Sites_per_tag[[#This Row],[Adm2Name]])</f>
        <v>Ampanihy Ouest</v>
      </c>
      <c r="I586" t="s">
        <v>5660</v>
      </c>
      <c r="K586" t="s">
        <v>1457</v>
      </c>
      <c r="L586" t="s">
        <v>5852</v>
      </c>
      <c r="Q586" t="s">
        <v>6292</v>
      </c>
      <c r="R586">
        <v>605070023</v>
      </c>
      <c r="T586" t="s">
        <v>7</v>
      </c>
      <c r="U586" s="3" t="str">
        <f>+VLOOKUP(Sites_per_tag[[#This Row],[Activity_tag]],Parameter!$A$24:$B$32,2,0)</f>
        <v>SMP</v>
      </c>
      <c r="W586">
        <v>44.987209999999997</v>
      </c>
      <c r="X586">
        <v>-24.318353999999999</v>
      </c>
    </row>
    <row r="587" spans="1:24" x14ac:dyDescent="0.35">
      <c r="A587" s="3" t="str">
        <f t="shared" si="9"/>
        <v>605070026SMP</v>
      </c>
      <c r="B587" t="s">
        <v>6267</v>
      </c>
      <c r="C587">
        <f>+VLOOKUP(Sites_per_tag[[#This Row],[Field_office]],Parameter!$A$3:$B$11,2,0)</f>
        <v>9</v>
      </c>
      <c r="E587" t="s">
        <v>5650</v>
      </c>
      <c r="F587" t="s">
        <v>5654</v>
      </c>
      <c r="H587" t="str">
        <f ca="1">PROPER(Sites_per_tag[[#This Row],[Adm2Name]])</f>
        <v>Ampanihy Ouest</v>
      </c>
      <c r="I587" t="s">
        <v>5660</v>
      </c>
      <c r="K587" t="s">
        <v>1457</v>
      </c>
      <c r="L587" t="s">
        <v>5852</v>
      </c>
      <c r="Q587" t="s">
        <v>558</v>
      </c>
      <c r="R587">
        <v>605070026</v>
      </c>
      <c r="T587" t="s">
        <v>7</v>
      </c>
      <c r="U587" s="3" t="str">
        <f>+VLOOKUP(Sites_per_tag[[#This Row],[Activity_tag]],Parameter!$A$24:$B$32,2,0)</f>
        <v>SMP</v>
      </c>
      <c r="W587">
        <v>44.807662999999998</v>
      </c>
      <c r="X587">
        <v>-24.390581999999998</v>
      </c>
    </row>
    <row r="588" spans="1:24" x14ac:dyDescent="0.35">
      <c r="A588" s="3" t="str">
        <f t="shared" si="9"/>
        <v>605080001SMP</v>
      </c>
      <c r="B588" t="s">
        <v>6267</v>
      </c>
      <c r="C588">
        <f>+VLOOKUP(Sites_per_tag[[#This Row],[Field_office]],Parameter!$A$3:$B$11,2,0)</f>
        <v>9</v>
      </c>
      <c r="E588" t="s">
        <v>5650</v>
      </c>
      <c r="F588" t="s">
        <v>5654</v>
      </c>
      <c r="H588" t="str">
        <f ca="1">PROPER(Sites_per_tag[[#This Row],[Adm2Name]])</f>
        <v>Ampanihy Ouest</v>
      </c>
      <c r="I588" t="s">
        <v>5660</v>
      </c>
      <c r="K588" t="s">
        <v>1872</v>
      </c>
      <c r="L588" t="s">
        <v>5902</v>
      </c>
      <c r="Q588" t="s">
        <v>276</v>
      </c>
      <c r="R588">
        <v>605080001</v>
      </c>
      <c r="T588" t="s">
        <v>7</v>
      </c>
      <c r="U588" s="3" t="str">
        <f>+VLOOKUP(Sites_per_tag[[#This Row],[Activity_tag]],Parameter!$A$24:$B$32,2,0)</f>
        <v>SMP</v>
      </c>
      <c r="W588">
        <v>44.807662999999998</v>
      </c>
      <c r="X588">
        <v>-24.390581999999998</v>
      </c>
    </row>
    <row r="589" spans="1:24" x14ac:dyDescent="0.35">
      <c r="A589" s="3" t="str">
        <f t="shared" si="9"/>
        <v>605080002SMP</v>
      </c>
      <c r="B589" t="s">
        <v>6267</v>
      </c>
      <c r="C589">
        <f>+VLOOKUP(Sites_per_tag[[#This Row],[Field_office]],Parameter!$A$3:$B$11,2,0)</f>
        <v>9</v>
      </c>
      <c r="E589" t="s">
        <v>5650</v>
      </c>
      <c r="F589" t="s">
        <v>5654</v>
      </c>
      <c r="H589" t="str">
        <f ca="1">PROPER(Sites_per_tag[[#This Row],[Adm2Name]])</f>
        <v>Ampanihy Ouest</v>
      </c>
      <c r="I589" t="s">
        <v>5660</v>
      </c>
      <c r="K589" t="s">
        <v>1872</v>
      </c>
      <c r="L589" t="s">
        <v>5902</v>
      </c>
      <c r="Q589" t="s">
        <v>1935</v>
      </c>
      <c r="R589">
        <v>605080002</v>
      </c>
      <c r="T589" t="s">
        <v>7</v>
      </c>
      <c r="U589" s="3" t="str">
        <f>+VLOOKUP(Sites_per_tag[[#This Row],[Activity_tag]],Parameter!$A$24:$B$32,2,0)</f>
        <v>SMP</v>
      </c>
      <c r="W589">
        <v>44.594059999999999</v>
      </c>
      <c r="X589">
        <v>-24.205411000000002</v>
      </c>
    </row>
    <row r="590" spans="1:24" x14ac:dyDescent="0.35">
      <c r="A590" s="3" t="str">
        <f t="shared" si="9"/>
        <v>605080003SMP</v>
      </c>
      <c r="B590" t="s">
        <v>6267</v>
      </c>
      <c r="C590">
        <f>+VLOOKUP(Sites_per_tag[[#This Row],[Field_office]],Parameter!$A$3:$B$11,2,0)</f>
        <v>9</v>
      </c>
      <c r="E590" t="s">
        <v>5650</v>
      </c>
      <c r="F590" t="s">
        <v>5654</v>
      </c>
      <c r="H590" t="str">
        <f ca="1">PROPER(Sites_per_tag[[#This Row],[Adm2Name]])</f>
        <v>Ampanihy Ouest</v>
      </c>
      <c r="I590" t="s">
        <v>5660</v>
      </c>
      <c r="K590" t="s">
        <v>1872</v>
      </c>
      <c r="L590" t="s">
        <v>5902</v>
      </c>
      <c r="Q590" t="s">
        <v>6293</v>
      </c>
      <c r="R590">
        <v>605080003</v>
      </c>
      <c r="T590" t="s">
        <v>7</v>
      </c>
      <c r="U590" s="3" t="str">
        <f>+VLOOKUP(Sites_per_tag[[#This Row],[Activity_tag]],Parameter!$A$24:$B$32,2,0)</f>
        <v>SMP</v>
      </c>
      <c r="W590">
        <v>44.647762</v>
      </c>
      <c r="X590">
        <v>-24.176642000000001</v>
      </c>
    </row>
    <row r="591" spans="1:24" x14ac:dyDescent="0.35">
      <c r="A591" s="3" t="str">
        <f t="shared" si="9"/>
        <v>605080005SMP</v>
      </c>
      <c r="B591" t="s">
        <v>6267</v>
      </c>
      <c r="C591">
        <f>+VLOOKUP(Sites_per_tag[[#This Row],[Field_office]],Parameter!$A$3:$B$11,2,0)</f>
        <v>9</v>
      </c>
      <c r="E591" t="s">
        <v>5650</v>
      </c>
      <c r="F591" t="s">
        <v>5654</v>
      </c>
      <c r="H591" t="str">
        <f ca="1">PROPER(Sites_per_tag[[#This Row],[Adm2Name]])</f>
        <v>Ampanihy Ouest</v>
      </c>
      <c r="I591" t="s">
        <v>5660</v>
      </c>
      <c r="K591" t="s">
        <v>1872</v>
      </c>
      <c r="L591" t="s">
        <v>5902</v>
      </c>
      <c r="Q591" t="s">
        <v>3706</v>
      </c>
      <c r="R591">
        <v>605080005</v>
      </c>
      <c r="T591" t="s">
        <v>7</v>
      </c>
      <c r="U591" s="3" t="str">
        <f>+VLOOKUP(Sites_per_tag[[#This Row],[Activity_tag]],Parameter!$A$24:$B$32,2,0)</f>
        <v>SMP</v>
      </c>
      <c r="W591">
        <v>44.695445999999997</v>
      </c>
      <c r="X591">
        <v>-24.412065999999999</v>
      </c>
    </row>
    <row r="592" spans="1:24" x14ac:dyDescent="0.35">
      <c r="A592" s="3" t="str">
        <f t="shared" si="9"/>
        <v>605080006SMP</v>
      </c>
      <c r="B592" t="s">
        <v>6267</v>
      </c>
      <c r="C592">
        <f>+VLOOKUP(Sites_per_tag[[#This Row],[Field_office]],Parameter!$A$3:$B$11,2,0)</f>
        <v>9</v>
      </c>
      <c r="E592" t="s">
        <v>5650</v>
      </c>
      <c r="F592" t="s">
        <v>5654</v>
      </c>
      <c r="H592" t="str">
        <f ca="1">PROPER(Sites_per_tag[[#This Row],[Adm2Name]])</f>
        <v>Ampanihy Ouest</v>
      </c>
      <c r="I592" t="s">
        <v>5660</v>
      </c>
      <c r="K592" t="s">
        <v>1872</v>
      </c>
      <c r="L592" t="s">
        <v>5902</v>
      </c>
      <c r="Q592" t="s">
        <v>5757</v>
      </c>
      <c r="R592">
        <v>605080006</v>
      </c>
      <c r="T592" t="s">
        <v>7</v>
      </c>
      <c r="U592" s="3" t="str">
        <f>+VLOOKUP(Sites_per_tag[[#This Row],[Activity_tag]],Parameter!$A$24:$B$32,2,0)</f>
        <v>SMP</v>
      </c>
      <c r="W592">
        <v>44.592188999999998</v>
      </c>
      <c r="X592">
        <v>-24.254639999999998</v>
      </c>
    </row>
    <row r="593" spans="1:24" x14ac:dyDescent="0.35">
      <c r="A593" s="3" t="str">
        <f t="shared" si="9"/>
        <v>605080007SMP</v>
      </c>
      <c r="B593" t="s">
        <v>6267</v>
      </c>
      <c r="C593">
        <f>+VLOOKUP(Sites_per_tag[[#This Row],[Field_office]],Parameter!$A$3:$B$11,2,0)</f>
        <v>9</v>
      </c>
      <c r="E593" t="s">
        <v>5650</v>
      </c>
      <c r="F593" t="s">
        <v>5654</v>
      </c>
      <c r="H593" t="str">
        <f ca="1">PROPER(Sites_per_tag[[#This Row],[Adm2Name]])</f>
        <v>Ampanihy Ouest</v>
      </c>
      <c r="I593" t="s">
        <v>5660</v>
      </c>
      <c r="K593" t="s">
        <v>1872</v>
      </c>
      <c r="L593" t="s">
        <v>5902</v>
      </c>
      <c r="Q593" t="s">
        <v>6294</v>
      </c>
      <c r="R593">
        <v>605080007</v>
      </c>
      <c r="T593" t="s">
        <v>7</v>
      </c>
      <c r="U593" s="3" t="str">
        <f>+VLOOKUP(Sites_per_tag[[#This Row],[Activity_tag]],Parameter!$A$24:$B$32,2,0)</f>
        <v>SMP</v>
      </c>
      <c r="W593">
        <v>44.646692000000002</v>
      </c>
      <c r="X593">
        <v>-24.263005</v>
      </c>
    </row>
    <row r="594" spans="1:24" x14ac:dyDescent="0.35">
      <c r="A594" s="3" t="str">
        <f t="shared" si="9"/>
        <v>605080011SMP</v>
      </c>
      <c r="B594" t="s">
        <v>6267</v>
      </c>
      <c r="C594">
        <f>+VLOOKUP(Sites_per_tag[[#This Row],[Field_office]],Parameter!$A$3:$B$11,2,0)</f>
        <v>9</v>
      </c>
      <c r="E594" t="s">
        <v>5650</v>
      </c>
      <c r="F594" t="s">
        <v>5654</v>
      </c>
      <c r="H594" t="str">
        <f ca="1">PROPER(Sites_per_tag[[#This Row],[Adm2Name]])</f>
        <v>Ampanihy Ouest</v>
      </c>
      <c r="I594" t="s">
        <v>5660</v>
      </c>
      <c r="K594" t="s">
        <v>1872</v>
      </c>
      <c r="L594" t="s">
        <v>5902</v>
      </c>
      <c r="Q594" t="s">
        <v>6295</v>
      </c>
      <c r="R594">
        <v>605080011</v>
      </c>
      <c r="T594" t="s">
        <v>7</v>
      </c>
      <c r="U594" s="3" t="str">
        <f>+VLOOKUP(Sites_per_tag[[#This Row],[Activity_tag]],Parameter!$A$24:$B$32,2,0)</f>
        <v>SMP</v>
      </c>
      <c r="W594">
        <v>44.677048999999997</v>
      </c>
      <c r="X594">
        <v>-24.298342000000002</v>
      </c>
    </row>
    <row r="595" spans="1:24" x14ac:dyDescent="0.35">
      <c r="A595" s="3" t="str">
        <f t="shared" si="9"/>
        <v>605080025SMP</v>
      </c>
      <c r="B595" t="s">
        <v>6267</v>
      </c>
      <c r="C595">
        <f>+VLOOKUP(Sites_per_tag[[#This Row],[Field_office]],Parameter!$A$3:$B$11,2,0)</f>
        <v>9</v>
      </c>
      <c r="E595" t="s">
        <v>5650</v>
      </c>
      <c r="F595" t="s">
        <v>5654</v>
      </c>
      <c r="H595" t="str">
        <f ca="1">PROPER(Sites_per_tag[[#This Row],[Adm2Name]])</f>
        <v>Ampanihy Ouest</v>
      </c>
      <c r="I595" t="s">
        <v>5660</v>
      </c>
      <c r="K595" t="s">
        <v>1872</v>
      </c>
      <c r="L595" t="s">
        <v>5902</v>
      </c>
      <c r="Q595" t="s">
        <v>6296</v>
      </c>
      <c r="R595">
        <v>605080025</v>
      </c>
      <c r="T595" t="s">
        <v>7</v>
      </c>
      <c r="U595" s="3" t="str">
        <f>+VLOOKUP(Sites_per_tag[[#This Row],[Activity_tag]],Parameter!$A$24:$B$32,2,0)</f>
        <v>SMP</v>
      </c>
      <c r="W595">
        <v>44.680459999999997</v>
      </c>
      <c r="X595">
        <v>-24.224374999999998</v>
      </c>
    </row>
    <row r="596" spans="1:24" x14ac:dyDescent="0.35">
      <c r="A596" s="3" t="str">
        <f t="shared" si="9"/>
        <v>605080029SMP</v>
      </c>
      <c r="B596" t="s">
        <v>6267</v>
      </c>
      <c r="C596">
        <f>+VLOOKUP(Sites_per_tag[[#This Row],[Field_office]],Parameter!$A$3:$B$11,2,0)</f>
        <v>9</v>
      </c>
      <c r="E596" t="s">
        <v>5650</v>
      </c>
      <c r="F596" t="s">
        <v>5654</v>
      </c>
      <c r="H596" t="str">
        <f ca="1">PROPER(Sites_per_tag[[#This Row],[Adm2Name]])</f>
        <v>Ampanihy Ouest</v>
      </c>
      <c r="I596" t="s">
        <v>5660</v>
      </c>
      <c r="K596" t="s">
        <v>1872</v>
      </c>
      <c r="L596" t="s">
        <v>5902</v>
      </c>
      <c r="Q596" t="s">
        <v>3705</v>
      </c>
      <c r="R596">
        <v>605080029</v>
      </c>
      <c r="T596" t="s">
        <v>7</v>
      </c>
      <c r="U596" s="3" t="str">
        <f>+VLOOKUP(Sites_per_tag[[#This Row],[Activity_tag]],Parameter!$A$24:$B$32,2,0)</f>
        <v>SMP</v>
      </c>
      <c r="W596">
        <v>44.630769999999998</v>
      </c>
      <c r="X596">
        <v>-24.296436</v>
      </c>
    </row>
    <row r="597" spans="1:24" x14ac:dyDescent="0.35">
      <c r="A597" s="3" t="str">
        <f t="shared" si="9"/>
        <v>605090001SMP</v>
      </c>
      <c r="B597" t="s">
        <v>6267</v>
      </c>
      <c r="C597">
        <f>+VLOOKUP(Sites_per_tag[[#This Row],[Field_office]],Parameter!$A$3:$B$11,2,0)</f>
        <v>9</v>
      </c>
      <c r="E597" t="s">
        <v>5650</v>
      </c>
      <c r="F597" t="s">
        <v>5654</v>
      </c>
      <c r="H597" t="str">
        <f ca="1">PROPER(Sites_per_tag[[#This Row],[Adm2Name]])</f>
        <v>Ampanihy Ouest</v>
      </c>
      <c r="I597" t="s">
        <v>5660</v>
      </c>
      <c r="K597" t="s">
        <v>2007</v>
      </c>
      <c r="L597" t="s">
        <v>5921</v>
      </c>
      <c r="Q597" t="s">
        <v>440</v>
      </c>
      <c r="R597">
        <v>605090001</v>
      </c>
      <c r="T597" t="s">
        <v>7</v>
      </c>
      <c r="U597" s="3" t="str">
        <f>+VLOOKUP(Sites_per_tag[[#This Row],[Activity_tag]],Parameter!$A$24:$B$32,2,0)</f>
        <v>SMP</v>
      </c>
      <c r="W597">
        <v>44.650813999999997</v>
      </c>
      <c r="X597">
        <v>-24.035678000000001</v>
      </c>
    </row>
    <row r="598" spans="1:24" x14ac:dyDescent="0.35">
      <c r="A598" s="3" t="str">
        <f t="shared" si="9"/>
        <v>605090002SMP</v>
      </c>
      <c r="B598" t="s">
        <v>6267</v>
      </c>
      <c r="C598">
        <f>+VLOOKUP(Sites_per_tag[[#This Row],[Field_office]],Parameter!$A$3:$B$11,2,0)</f>
        <v>9</v>
      </c>
      <c r="E598" t="s">
        <v>5650</v>
      </c>
      <c r="F598" t="s">
        <v>5654</v>
      </c>
      <c r="H598" t="str">
        <f ca="1">PROPER(Sites_per_tag[[#This Row],[Adm2Name]])</f>
        <v>Ampanihy Ouest</v>
      </c>
      <c r="I598" t="s">
        <v>5660</v>
      </c>
      <c r="K598" t="s">
        <v>2007</v>
      </c>
      <c r="L598" t="s">
        <v>5921</v>
      </c>
      <c r="Q598" t="s">
        <v>513</v>
      </c>
      <c r="R598">
        <v>605090002</v>
      </c>
      <c r="T598" t="s">
        <v>7</v>
      </c>
      <c r="U598" s="3" t="str">
        <f>+VLOOKUP(Sites_per_tag[[#This Row],[Activity_tag]],Parameter!$A$24:$B$32,2,0)</f>
        <v>SMP</v>
      </c>
      <c r="W598">
        <v>44.839709999999997</v>
      </c>
      <c r="X598">
        <v>-24.022516</v>
      </c>
    </row>
    <row r="599" spans="1:24" x14ac:dyDescent="0.35">
      <c r="A599" s="3" t="str">
        <f t="shared" si="9"/>
        <v>605090003SMP</v>
      </c>
      <c r="B599" t="s">
        <v>6267</v>
      </c>
      <c r="C599">
        <f>+VLOOKUP(Sites_per_tag[[#This Row],[Field_office]],Parameter!$A$3:$B$11,2,0)</f>
        <v>9</v>
      </c>
      <c r="E599" t="s">
        <v>5650</v>
      </c>
      <c r="F599" t="s">
        <v>5654</v>
      </c>
      <c r="H599" t="str">
        <f ca="1">PROPER(Sites_per_tag[[#This Row],[Adm2Name]])</f>
        <v>Ampanihy Ouest</v>
      </c>
      <c r="I599" t="s">
        <v>5660</v>
      </c>
      <c r="K599" t="s">
        <v>2007</v>
      </c>
      <c r="L599" t="s">
        <v>5921</v>
      </c>
      <c r="Q599" t="s">
        <v>1927</v>
      </c>
      <c r="R599">
        <v>605090003</v>
      </c>
      <c r="T599" t="s">
        <v>7</v>
      </c>
      <c r="U599" s="3" t="str">
        <f>+VLOOKUP(Sites_per_tag[[#This Row],[Activity_tag]],Parameter!$A$24:$B$32,2,0)</f>
        <v>SMP</v>
      </c>
      <c r="W599">
        <v>44.619543999999998</v>
      </c>
      <c r="X599">
        <v>-23.999542000000002</v>
      </c>
    </row>
    <row r="600" spans="1:24" x14ac:dyDescent="0.35">
      <c r="A600" s="3" t="str">
        <f t="shared" si="9"/>
        <v>605090004SMP</v>
      </c>
      <c r="B600" t="s">
        <v>6267</v>
      </c>
      <c r="C600">
        <f>+VLOOKUP(Sites_per_tag[[#This Row],[Field_office]],Parameter!$A$3:$B$11,2,0)</f>
        <v>9</v>
      </c>
      <c r="E600" t="s">
        <v>5650</v>
      </c>
      <c r="F600" t="s">
        <v>5654</v>
      </c>
      <c r="H600" t="str">
        <f ca="1">PROPER(Sites_per_tag[[#This Row],[Adm2Name]])</f>
        <v>Ampanihy Ouest</v>
      </c>
      <c r="I600" t="s">
        <v>5660</v>
      </c>
      <c r="K600" t="s">
        <v>2007</v>
      </c>
      <c r="L600" t="s">
        <v>5921</v>
      </c>
      <c r="Q600" t="s">
        <v>2012</v>
      </c>
      <c r="R600">
        <v>605090004</v>
      </c>
      <c r="T600" t="s">
        <v>7</v>
      </c>
      <c r="U600" s="3" t="str">
        <f>+VLOOKUP(Sites_per_tag[[#This Row],[Activity_tag]],Parameter!$A$24:$B$32,2,0)</f>
        <v>SMP</v>
      </c>
      <c r="W600">
        <v>44.666964</v>
      </c>
      <c r="X600">
        <v>-24.004535000000001</v>
      </c>
    </row>
    <row r="601" spans="1:24" x14ac:dyDescent="0.35">
      <c r="A601" s="3" t="str">
        <f t="shared" si="9"/>
        <v>605090009SMP</v>
      </c>
      <c r="B601" t="s">
        <v>6267</v>
      </c>
      <c r="C601">
        <f>+VLOOKUP(Sites_per_tag[[#This Row],[Field_office]],Parameter!$A$3:$B$11,2,0)</f>
        <v>9</v>
      </c>
      <c r="E601" t="s">
        <v>5650</v>
      </c>
      <c r="F601" t="s">
        <v>5654</v>
      </c>
      <c r="H601" t="str">
        <f ca="1">PROPER(Sites_per_tag[[#This Row],[Adm2Name]])</f>
        <v>Ampanihy Ouest</v>
      </c>
      <c r="I601" t="s">
        <v>5660</v>
      </c>
      <c r="K601" t="s">
        <v>2007</v>
      </c>
      <c r="L601" t="s">
        <v>5921</v>
      </c>
      <c r="Q601" t="s">
        <v>2011</v>
      </c>
      <c r="R601">
        <v>605090009</v>
      </c>
      <c r="T601" t="s">
        <v>7</v>
      </c>
      <c r="U601" s="3" t="str">
        <f>+VLOOKUP(Sites_per_tag[[#This Row],[Activity_tag]],Parameter!$A$24:$B$32,2,0)</f>
        <v>SMP</v>
      </c>
      <c r="W601">
        <v>44.668469999999999</v>
      </c>
      <c r="X601">
        <v>-23.993901999999999</v>
      </c>
    </row>
    <row r="602" spans="1:24" x14ac:dyDescent="0.35">
      <c r="A602" s="3" t="str">
        <f t="shared" si="9"/>
        <v>605090015SMP</v>
      </c>
      <c r="B602" t="s">
        <v>6267</v>
      </c>
      <c r="C602">
        <f>+VLOOKUP(Sites_per_tag[[#This Row],[Field_office]],Parameter!$A$3:$B$11,2,0)</f>
        <v>9</v>
      </c>
      <c r="E602" t="s">
        <v>5650</v>
      </c>
      <c r="F602" t="s">
        <v>5654</v>
      </c>
      <c r="H602" t="str">
        <f ca="1">PROPER(Sites_per_tag[[#This Row],[Adm2Name]])</f>
        <v>Ampanihy Ouest</v>
      </c>
      <c r="I602" t="s">
        <v>5660</v>
      </c>
      <c r="K602" t="s">
        <v>2007</v>
      </c>
      <c r="L602" t="s">
        <v>5921</v>
      </c>
      <c r="Q602" t="s">
        <v>255</v>
      </c>
      <c r="R602">
        <v>605090015</v>
      </c>
      <c r="T602" t="s">
        <v>7</v>
      </c>
      <c r="U602" s="3" t="str">
        <f>+VLOOKUP(Sites_per_tag[[#This Row],[Activity_tag]],Parameter!$A$24:$B$32,2,0)</f>
        <v>SMP</v>
      </c>
      <c r="W602">
        <v>44.811836999999997</v>
      </c>
      <c r="X602">
        <v>-24.046548999999999</v>
      </c>
    </row>
    <row r="603" spans="1:24" x14ac:dyDescent="0.35">
      <c r="A603" s="3" t="str">
        <f t="shared" si="9"/>
        <v>605100002SMP</v>
      </c>
      <c r="B603" t="s">
        <v>6267</v>
      </c>
      <c r="C603">
        <f>+VLOOKUP(Sites_per_tag[[#This Row],[Field_office]],Parameter!$A$3:$B$11,2,0)</f>
        <v>9</v>
      </c>
      <c r="E603" t="s">
        <v>5650</v>
      </c>
      <c r="F603" t="s">
        <v>5654</v>
      </c>
      <c r="H603" t="str">
        <f ca="1">PROPER(Sites_per_tag[[#This Row],[Adm2Name]])</f>
        <v>Ampanihy Ouest</v>
      </c>
      <c r="I603" t="s">
        <v>5660</v>
      </c>
      <c r="K603" t="s">
        <v>5799</v>
      </c>
      <c r="L603" t="s">
        <v>5942</v>
      </c>
      <c r="Q603" t="s">
        <v>205</v>
      </c>
      <c r="R603">
        <v>605100002</v>
      </c>
      <c r="T603" t="s">
        <v>7</v>
      </c>
      <c r="U603" s="3" t="str">
        <f>+VLOOKUP(Sites_per_tag[[#This Row],[Activity_tag]],Parameter!$A$24:$B$32,2,0)</f>
        <v>SMP</v>
      </c>
      <c r="W603">
        <v>44.564348000000003</v>
      </c>
      <c r="X603">
        <v>-24.092976</v>
      </c>
    </row>
    <row r="604" spans="1:24" x14ac:dyDescent="0.35">
      <c r="A604" s="3" t="str">
        <f t="shared" si="9"/>
        <v>605100004SMP</v>
      </c>
      <c r="B604" t="s">
        <v>6267</v>
      </c>
      <c r="C604">
        <f>+VLOOKUP(Sites_per_tag[[#This Row],[Field_office]],Parameter!$A$3:$B$11,2,0)</f>
        <v>9</v>
      </c>
      <c r="E604" t="s">
        <v>5650</v>
      </c>
      <c r="F604" t="s">
        <v>5654</v>
      </c>
      <c r="H604" t="str">
        <f ca="1">PROPER(Sites_per_tag[[#This Row],[Adm2Name]])</f>
        <v>Ampanihy Ouest</v>
      </c>
      <c r="I604" t="s">
        <v>5660</v>
      </c>
      <c r="K604" t="s">
        <v>5799</v>
      </c>
      <c r="L604" t="s">
        <v>5942</v>
      </c>
      <c r="Q604" t="s">
        <v>2262</v>
      </c>
      <c r="R604">
        <v>605100004</v>
      </c>
      <c r="T604" t="s">
        <v>7</v>
      </c>
      <c r="U604" s="3" t="str">
        <f>+VLOOKUP(Sites_per_tag[[#This Row],[Activity_tag]],Parameter!$A$24:$B$32,2,0)</f>
        <v>SMP</v>
      </c>
      <c r="W604">
        <v>44.494667</v>
      </c>
      <c r="X604">
        <v>-24.248104999999999</v>
      </c>
    </row>
    <row r="605" spans="1:24" x14ac:dyDescent="0.35">
      <c r="A605" s="3" t="str">
        <f t="shared" si="9"/>
        <v>605100005SMP</v>
      </c>
      <c r="B605" t="s">
        <v>6267</v>
      </c>
      <c r="C605">
        <f>+VLOOKUP(Sites_per_tag[[#This Row],[Field_office]],Parameter!$A$3:$B$11,2,0)</f>
        <v>9</v>
      </c>
      <c r="E605" t="s">
        <v>5650</v>
      </c>
      <c r="F605" t="s">
        <v>5654</v>
      </c>
      <c r="H605" t="str">
        <f ca="1">PROPER(Sites_per_tag[[#This Row],[Adm2Name]])</f>
        <v>Ampanihy Ouest</v>
      </c>
      <c r="I605" t="s">
        <v>5660</v>
      </c>
      <c r="K605" t="s">
        <v>5799</v>
      </c>
      <c r="L605" t="s">
        <v>5942</v>
      </c>
      <c r="Q605" t="s">
        <v>2270</v>
      </c>
      <c r="R605">
        <v>605100005</v>
      </c>
      <c r="T605" t="s">
        <v>7</v>
      </c>
      <c r="U605" s="3" t="str">
        <f>+VLOOKUP(Sites_per_tag[[#This Row],[Activity_tag]],Parameter!$A$24:$B$32,2,0)</f>
        <v>SMP</v>
      </c>
      <c r="W605">
        <v>44.564014</v>
      </c>
      <c r="X605">
        <v>-24.112404999999999</v>
      </c>
    </row>
    <row r="606" spans="1:24" x14ac:dyDescent="0.35">
      <c r="A606" s="3" t="str">
        <f t="shared" si="9"/>
        <v>605100006SMP</v>
      </c>
      <c r="B606" t="s">
        <v>6267</v>
      </c>
      <c r="C606">
        <f>+VLOOKUP(Sites_per_tag[[#This Row],[Field_office]],Parameter!$A$3:$B$11,2,0)</f>
        <v>9</v>
      </c>
      <c r="E606" t="s">
        <v>5650</v>
      </c>
      <c r="F606" t="s">
        <v>5654</v>
      </c>
      <c r="H606" t="str">
        <f ca="1">PROPER(Sites_per_tag[[#This Row],[Adm2Name]])</f>
        <v>Ampanihy Ouest</v>
      </c>
      <c r="I606" t="s">
        <v>5660</v>
      </c>
      <c r="K606" t="s">
        <v>5799</v>
      </c>
      <c r="L606" t="s">
        <v>5942</v>
      </c>
      <c r="Q606" t="s">
        <v>1607</v>
      </c>
      <c r="R606">
        <v>605100006</v>
      </c>
      <c r="T606" t="s">
        <v>7</v>
      </c>
      <c r="U606" s="3" t="str">
        <f>+VLOOKUP(Sites_per_tag[[#This Row],[Activity_tag]],Parameter!$A$24:$B$32,2,0)</f>
        <v>SMP</v>
      </c>
      <c r="W606">
        <v>44.535114</v>
      </c>
      <c r="X606">
        <v>-24.36215</v>
      </c>
    </row>
    <row r="607" spans="1:24" x14ac:dyDescent="0.35">
      <c r="A607" s="3" t="str">
        <f t="shared" si="9"/>
        <v>605100008SMP</v>
      </c>
      <c r="B607" t="s">
        <v>6267</v>
      </c>
      <c r="C607">
        <f>+VLOOKUP(Sites_per_tag[[#This Row],[Field_office]],Parameter!$A$3:$B$11,2,0)</f>
        <v>9</v>
      </c>
      <c r="E607" t="s">
        <v>5650</v>
      </c>
      <c r="F607" t="s">
        <v>5654</v>
      </c>
      <c r="H607" t="str">
        <f ca="1">PROPER(Sites_per_tag[[#This Row],[Adm2Name]])</f>
        <v>Ampanihy Ouest</v>
      </c>
      <c r="I607" t="s">
        <v>5660</v>
      </c>
      <c r="K607" t="s">
        <v>5799</v>
      </c>
      <c r="L607" t="s">
        <v>5942</v>
      </c>
      <c r="Q607" t="s">
        <v>6297</v>
      </c>
      <c r="R607">
        <v>605100008</v>
      </c>
      <c r="T607" t="s">
        <v>7</v>
      </c>
      <c r="U607" s="3" t="str">
        <f>+VLOOKUP(Sites_per_tag[[#This Row],[Activity_tag]],Parameter!$A$24:$B$32,2,0)</f>
        <v>SMP</v>
      </c>
      <c r="W607">
        <v>44.547947999999998</v>
      </c>
      <c r="X607">
        <v>-24.095782</v>
      </c>
    </row>
    <row r="608" spans="1:24" x14ac:dyDescent="0.35">
      <c r="A608" s="3" t="str">
        <f t="shared" si="9"/>
        <v>605100009SMP</v>
      </c>
      <c r="B608" t="s">
        <v>6267</v>
      </c>
      <c r="C608">
        <f>+VLOOKUP(Sites_per_tag[[#This Row],[Field_office]],Parameter!$A$3:$B$11,2,0)</f>
        <v>9</v>
      </c>
      <c r="E608" t="s">
        <v>5650</v>
      </c>
      <c r="F608" t="s">
        <v>5654</v>
      </c>
      <c r="H608" t="str">
        <f ca="1">PROPER(Sites_per_tag[[#This Row],[Adm2Name]])</f>
        <v>Ampanihy Ouest</v>
      </c>
      <c r="I608" t="s">
        <v>5660</v>
      </c>
      <c r="K608" t="s">
        <v>5799</v>
      </c>
      <c r="L608" t="s">
        <v>5942</v>
      </c>
      <c r="Q608" t="s">
        <v>2280</v>
      </c>
      <c r="R608">
        <v>605100009</v>
      </c>
      <c r="T608" t="s">
        <v>7</v>
      </c>
      <c r="U608" s="3" t="str">
        <f>+VLOOKUP(Sites_per_tag[[#This Row],[Activity_tag]],Parameter!$A$24:$B$32,2,0)</f>
        <v>SMP</v>
      </c>
      <c r="W608">
        <v>44.406300999999999</v>
      </c>
      <c r="X608">
        <v>-24.545038000000002</v>
      </c>
    </row>
    <row r="609" spans="1:24" x14ac:dyDescent="0.35">
      <c r="A609" s="3" t="str">
        <f t="shared" si="9"/>
        <v>605100011SMP</v>
      </c>
      <c r="B609" t="s">
        <v>6267</v>
      </c>
      <c r="C609">
        <f>+VLOOKUP(Sites_per_tag[[#This Row],[Field_office]],Parameter!$A$3:$B$11,2,0)</f>
        <v>9</v>
      </c>
      <c r="E609" t="s">
        <v>5650</v>
      </c>
      <c r="F609" t="s">
        <v>5654</v>
      </c>
      <c r="H609" t="str">
        <f ca="1">PROPER(Sites_per_tag[[#This Row],[Adm2Name]])</f>
        <v>Ampanihy Ouest</v>
      </c>
      <c r="I609" t="s">
        <v>5660</v>
      </c>
      <c r="K609" t="s">
        <v>5799</v>
      </c>
      <c r="L609" t="s">
        <v>5942</v>
      </c>
      <c r="Q609" t="s">
        <v>6298</v>
      </c>
      <c r="R609">
        <v>605100011</v>
      </c>
      <c r="T609" t="s">
        <v>7</v>
      </c>
      <c r="U609" s="3" t="str">
        <f>+VLOOKUP(Sites_per_tag[[#This Row],[Activity_tag]],Parameter!$A$24:$B$32,2,0)</f>
        <v>SMP</v>
      </c>
      <c r="W609">
        <v>44.342545000000001</v>
      </c>
      <c r="X609">
        <v>-24.309588000000002</v>
      </c>
    </row>
    <row r="610" spans="1:24" x14ac:dyDescent="0.35">
      <c r="A610" s="3" t="str">
        <f t="shared" si="9"/>
        <v>605100012SMP</v>
      </c>
      <c r="B610" t="s">
        <v>6267</v>
      </c>
      <c r="C610">
        <f>+VLOOKUP(Sites_per_tag[[#This Row],[Field_office]],Parameter!$A$3:$B$11,2,0)</f>
        <v>9</v>
      </c>
      <c r="E610" t="s">
        <v>5650</v>
      </c>
      <c r="F610" t="s">
        <v>5654</v>
      </c>
      <c r="H610" t="str">
        <f ca="1">PROPER(Sites_per_tag[[#This Row],[Adm2Name]])</f>
        <v>Ampanihy Ouest</v>
      </c>
      <c r="I610" t="s">
        <v>5660</v>
      </c>
      <c r="K610" t="s">
        <v>5799</v>
      </c>
      <c r="L610" t="s">
        <v>5942</v>
      </c>
      <c r="Q610" t="s">
        <v>4257</v>
      </c>
      <c r="R610">
        <v>605100012</v>
      </c>
      <c r="T610" t="s">
        <v>7</v>
      </c>
      <c r="U610" s="3" t="str">
        <f>+VLOOKUP(Sites_per_tag[[#This Row],[Activity_tag]],Parameter!$A$24:$B$32,2,0)</f>
        <v>SMP</v>
      </c>
      <c r="W610">
        <v>44.423214999999999</v>
      </c>
      <c r="X610">
        <v>-24.286242999999999</v>
      </c>
    </row>
    <row r="611" spans="1:24" x14ac:dyDescent="0.35">
      <c r="A611" s="3" t="str">
        <f t="shared" si="9"/>
        <v>605100013SMP</v>
      </c>
      <c r="B611" t="s">
        <v>6267</v>
      </c>
      <c r="C611">
        <f>+VLOOKUP(Sites_per_tag[[#This Row],[Field_office]],Parameter!$A$3:$B$11,2,0)</f>
        <v>9</v>
      </c>
      <c r="E611" t="s">
        <v>5650</v>
      </c>
      <c r="F611" t="s">
        <v>5654</v>
      </c>
      <c r="H611" t="str">
        <f ca="1">PROPER(Sites_per_tag[[#This Row],[Adm2Name]])</f>
        <v>Ampanihy Ouest</v>
      </c>
      <c r="I611" t="s">
        <v>5660</v>
      </c>
      <c r="K611" t="s">
        <v>5799</v>
      </c>
      <c r="L611" t="s">
        <v>5942</v>
      </c>
      <c r="Q611" t="s">
        <v>3143</v>
      </c>
      <c r="R611">
        <v>605100013</v>
      </c>
      <c r="T611" t="s">
        <v>7</v>
      </c>
      <c r="U611" s="3" t="str">
        <f>+VLOOKUP(Sites_per_tag[[#This Row],[Activity_tag]],Parameter!$A$24:$B$32,2,0)</f>
        <v>SMP</v>
      </c>
      <c r="W611">
        <v>44.508249999999997</v>
      </c>
      <c r="X611">
        <v>-24.422895</v>
      </c>
    </row>
    <row r="612" spans="1:24" x14ac:dyDescent="0.35">
      <c r="A612" s="3" t="str">
        <f t="shared" si="9"/>
        <v>605100014SMP</v>
      </c>
      <c r="B612" t="s">
        <v>6267</v>
      </c>
      <c r="C612">
        <f>+VLOOKUP(Sites_per_tag[[#This Row],[Field_office]],Parameter!$A$3:$B$11,2,0)</f>
        <v>9</v>
      </c>
      <c r="E612" t="s">
        <v>5650</v>
      </c>
      <c r="F612" t="s">
        <v>5654</v>
      </c>
      <c r="H612" t="str">
        <f ca="1">PROPER(Sites_per_tag[[#This Row],[Adm2Name]])</f>
        <v>Ampanihy Ouest</v>
      </c>
      <c r="I612" t="s">
        <v>5660</v>
      </c>
      <c r="K612" t="s">
        <v>5799</v>
      </c>
      <c r="L612" t="s">
        <v>5942</v>
      </c>
      <c r="Q612" t="s">
        <v>3700</v>
      </c>
      <c r="R612">
        <v>605100014</v>
      </c>
      <c r="T612" t="s">
        <v>7</v>
      </c>
      <c r="U612" s="3" t="str">
        <f>+VLOOKUP(Sites_per_tag[[#This Row],[Activity_tag]],Parameter!$A$24:$B$32,2,0)</f>
        <v>SMP</v>
      </c>
      <c r="W612">
        <v>44.575536999999997</v>
      </c>
      <c r="X612">
        <v>-24.044824999999999</v>
      </c>
    </row>
    <row r="613" spans="1:24" x14ac:dyDescent="0.35">
      <c r="A613" s="3" t="str">
        <f t="shared" si="9"/>
        <v>605100015SMP</v>
      </c>
      <c r="B613" t="s">
        <v>6267</v>
      </c>
      <c r="C613">
        <f>+VLOOKUP(Sites_per_tag[[#This Row],[Field_office]],Parameter!$A$3:$B$11,2,0)</f>
        <v>9</v>
      </c>
      <c r="E613" t="s">
        <v>5650</v>
      </c>
      <c r="F613" t="s">
        <v>5654</v>
      </c>
      <c r="H613" t="str">
        <f ca="1">PROPER(Sites_per_tag[[#This Row],[Adm2Name]])</f>
        <v>Ampanihy Ouest</v>
      </c>
      <c r="I613" t="s">
        <v>5660</v>
      </c>
      <c r="K613" t="s">
        <v>5799</v>
      </c>
      <c r="L613" t="s">
        <v>5942</v>
      </c>
      <c r="Q613" t="s">
        <v>271</v>
      </c>
      <c r="R613">
        <v>605100015</v>
      </c>
      <c r="T613" t="s">
        <v>7</v>
      </c>
      <c r="U613" s="3" t="str">
        <f>+VLOOKUP(Sites_per_tag[[#This Row],[Activity_tag]],Parameter!$A$24:$B$32,2,0)</f>
        <v>SMP</v>
      </c>
      <c r="W613">
        <v>44.550139000000001</v>
      </c>
      <c r="X613">
        <v>-24.212284</v>
      </c>
    </row>
    <row r="614" spans="1:24" x14ac:dyDescent="0.35">
      <c r="A614" s="3" t="str">
        <f t="shared" si="9"/>
        <v>605100016SMP</v>
      </c>
      <c r="B614" t="s">
        <v>6267</v>
      </c>
      <c r="C614">
        <f>+VLOOKUP(Sites_per_tag[[#This Row],[Field_office]],Parameter!$A$3:$B$11,2,0)</f>
        <v>9</v>
      </c>
      <c r="E614" t="s">
        <v>5650</v>
      </c>
      <c r="F614" t="s">
        <v>5654</v>
      </c>
      <c r="H614" t="str">
        <f ca="1">PROPER(Sites_per_tag[[#This Row],[Adm2Name]])</f>
        <v>Ampanihy Ouest</v>
      </c>
      <c r="I614" t="s">
        <v>5660</v>
      </c>
      <c r="K614" t="s">
        <v>5799</v>
      </c>
      <c r="L614" t="s">
        <v>5942</v>
      </c>
      <c r="Q614" t="s">
        <v>6225</v>
      </c>
      <c r="R614">
        <v>605100016</v>
      </c>
      <c r="T614" t="s">
        <v>7</v>
      </c>
      <c r="U614" s="3" t="str">
        <f>+VLOOKUP(Sites_per_tag[[#This Row],[Activity_tag]],Parameter!$A$24:$B$32,2,0)</f>
        <v>SMP</v>
      </c>
      <c r="W614">
        <v>44.451802000000001</v>
      </c>
      <c r="X614">
        <v>-24.498805999999998</v>
      </c>
    </row>
    <row r="615" spans="1:24" x14ac:dyDescent="0.35">
      <c r="A615" s="3" t="str">
        <f t="shared" si="9"/>
        <v>605100017SMP</v>
      </c>
      <c r="B615" t="s">
        <v>6267</v>
      </c>
      <c r="C615">
        <f>+VLOOKUP(Sites_per_tag[[#This Row],[Field_office]],Parameter!$A$3:$B$11,2,0)</f>
        <v>9</v>
      </c>
      <c r="E615" t="s">
        <v>5650</v>
      </c>
      <c r="F615" t="s">
        <v>5654</v>
      </c>
      <c r="H615" t="str">
        <f ca="1">PROPER(Sites_per_tag[[#This Row],[Adm2Name]])</f>
        <v>Ampanihy Ouest</v>
      </c>
      <c r="I615" t="s">
        <v>5660</v>
      </c>
      <c r="K615" t="s">
        <v>5799</v>
      </c>
      <c r="L615" t="s">
        <v>5942</v>
      </c>
      <c r="Q615" t="s">
        <v>4265</v>
      </c>
      <c r="R615">
        <v>605100017</v>
      </c>
      <c r="T615" t="s">
        <v>7</v>
      </c>
      <c r="U615" s="3" t="str">
        <f>+VLOOKUP(Sites_per_tag[[#This Row],[Activity_tag]],Parameter!$A$24:$B$32,2,0)</f>
        <v>SMP</v>
      </c>
      <c r="W615">
        <v>44.540982999999997</v>
      </c>
      <c r="X615">
        <v>-24.262273</v>
      </c>
    </row>
    <row r="616" spans="1:24" x14ac:dyDescent="0.35">
      <c r="A616" s="3" t="str">
        <f t="shared" si="9"/>
        <v>605100019SMP</v>
      </c>
      <c r="B616" t="s">
        <v>6267</v>
      </c>
      <c r="C616">
        <f>+VLOOKUP(Sites_per_tag[[#This Row],[Field_office]],Parameter!$A$3:$B$11,2,0)</f>
        <v>9</v>
      </c>
      <c r="E616" t="s">
        <v>5650</v>
      </c>
      <c r="F616" t="s">
        <v>5654</v>
      </c>
      <c r="H616" t="str">
        <f ca="1">PROPER(Sites_per_tag[[#This Row],[Adm2Name]])</f>
        <v>Ampanihy Ouest</v>
      </c>
      <c r="I616" t="s">
        <v>5660</v>
      </c>
      <c r="K616" t="s">
        <v>5799</v>
      </c>
      <c r="L616" t="s">
        <v>5942</v>
      </c>
      <c r="Q616" t="s">
        <v>1845</v>
      </c>
      <c r="R616">
        <v>605100019</v>
      </c>
      <c r="T616" t="s">
        <v>7</v>
      </c>
      <c r="U616" s="3" t="str">
        <f>+VLOOKUP(Sites_per_tag[[#This Row],[Activity_tag]],Parameter!$A$24:$B$32,2,0)</f>
        <v>SMP</v>
      </c>
      <c r="W616">
        <v>44.512343000000001</v>
      </c>
      <c r="X616">
        <v>-24.340716</v>
      </c>
    </row>
    <row r="617" spans="1:24" x14ac:dyDescent="0.35">
      <c r="A617" s="3" t="str">
        <f t="shared" si="9"/>
        <v>605100020SMP</v>
      </c>
      <c r="B617" t="s">
        <v>6267</v>
      </c>
      <c r="C617">
        <f>+VLOOKUP(Sites_per_tag[[#This Row],[Field_office]],Parameter!$A$3:$B$11,2,0)</f>
        <v>9</v>
      </c>
      <c r="E617" t="s">
        <v>5650</v>
      </c>
      <c r="F617" t="s">
        <v>5654</v>
      </c>
      <c r="H617" t="str">
        <f ca="1">PROPER(Sites_per_tag[[#This Row],[Adm2Name]])</f>
        <v>Ampanihy Ouest</v>
      </c>
      <c r="I617" t="s">
        <v>5660</v>
      </c>
      <c r="K617" t="s">
        <v>5799</v>
      </c>
      <c r="L617" t="s">
        <v>5942</v>
      </c>
      <c r="Q617" t="s">
        <v>2337</v>
      </c>
      <c r="R617">
        <v>605100020</v>
      </c>
      <c r="T617" t="s">
        <v>7</v>
      </c>
      <c r="U617" s="3" t="str">
        <f>+VLOOKUP(Sites_per_tag[[#This Row],[Activity_tag]],Parameter!$A$24:$B$32,2,0)</f>
        <v>SMP</v>
      </c>
      <c r="W617">
        <v>44.514125</v>
      </c>
      <c r="X617">
        <v>-24.346664000000001</v>
      </c>
    </row>
    <row r="618" spans="1:24" x14ac:dyDescent="0.35">
      <c r="A618" s="3" t="str">
        <f t="shared" si="9"/>
        <v>605100022SMP</v>
      </c>
      <c r="B618" t="s">
        <v>6267</v>
      </c>
      <c r="C618">
        <f>+VLOOKUP(Sites_per_tag[[#This Row],[Field_office]],Parameter!$A$3:$B$11,2,0)</f>
        <v>9</v>
      </c>
      <c r="E618" t="s">
        <v>5650</v>
      </c>
      <c r="F618" t="s">
        <v>5654</v>
      </c>
      <c r="H618" t="str">
        <f ca="1">PROPER(Sites_per_tag[[#This Row],[Adm2Name]])</f>
        <v>Ampanihy Ouest</v>
      </c>
      <c r="I618" t="s">
        <v>5660</v>
      </c>
      <c r="K618" t="s">
        <v>5799</v>
      </c>
      <c r="L618" t="s">
        <v>5942</v>
      </c>
      <c r="Q618" t="s">
        <v>4267</v>
      </c>
      <c r="R618">
        <v>605100022</v>
      </c>
      <c r="T618" t="s">
        <v>7</v>
      </c>
      <c r="U618" s="3" t="str">
        <f>+VLOOKUP(Sites_per_tag[[#This Row],[Activity_tag]],Parameter!$A$24:$B$32,2,0)</f>
        <v>SMP</v>
      </c>
      <c r="W618">
        <v>44.620679000000003</v>
      </c>
      <c r="X618">
        <v>-24.519442000000002</v>
      </c>
    </row>
    <row r="619" spans="1:24" x14ac:dyDescent="0.35">
      <c r="A619" s="3" t="str">
        <f t="shared" si="9"/>
        <v>605100023SMP</v>
      </c>
      <c r="B619" t="s">
        <v>6267</v>
      </c>
      <c r="C619">
        <f>+VLOOKUP(Sites_per_tag[[#This Row],[Field_office]],Parameter!$A$3:$B$11,2,0)</f>
        <v>9</v>
      </c>
      <c r="E619" t="s">
        <v>5650</v>
      </c>
      <c r="F619" t="s">
        <v>5654</v>
      </c>
      <c r="H619" t="str">
        <f ca="1">PROPER(Sites_per_tag[[#This Row],[Adm2Name]])</f>
        <v>Ampanihy Ouest</v>
      </c>
      <c r="I619" t="s">
        <v>5660</v>
      </c>
      <c r="K619" t="s">
        <v>5799</v>
      </c>
      <c r="L619" t="s">
        <v>5942</v>
      </c>
      <c r="Q619" t="s">
        <v>4260</v>
      </c>
      <c r="R619">
        <v>605100023</v>
      </c>
      <c r="T619" t="s">
        <v>7</v>
      </c>
      <c r="U619" s="3" t="str">
        <f>+VLOOKUP(Sites_per_tag[[#This Row],[Activity_tag]],Parameter!$A$24:$B$32,2,0)</f>
        <v>SMP</v>
      </c>
      <c r="W619">
        <v>44.504539000000001</v>
      </c>
      <c r="X619">
        <v>-24.268872000000002</v>
      </c>
    </row>
    <row r="620" spans="1:24" x14ac:dyDescent="0.35">
      <c r="A620" s="3" t="str">
        <f t="shared" si="9"/>
        <v>605100024SMP</v>
      </c>
      <c r="B620" t="s">
        <v>6267</v>
      </c>
      <c r="C620">
        <f>+VLOOKUP(Sites_per_tag[[#This Row],[Field_office]],Parameter!$A$3:$B$11,2,0)</f>
        <v>9</v>
      </c>
      <c r="E620" t="s">
        <v>5650</v>
      </c>
      <c r="F620" t="s">
        <v>5654</v>
      </c>
      <c r="H620" t="str">
        <f ca="1">PROPER(Sites_per_tag[[#This Row],[Adm2Name]])</f>
        <v>Ampanihy Ouest</v>
      </c>
      <c r="I620" t="s">
        <v>5660</v>
      </c>
      <c r="K620" t="s">
        <v>5799</v>
      </c>
      <c r="L620" t="s">
        <v>5942</v>
      </c>
      <c r="Q620" t="s">
        <v>6299</v>
      </c>
      <c r="R620">
        <v>605100024</v>
      </c>
      <c r="T620" t="s">
        <v>7</v>
      </c>
      <c r="U620" s="3" t="str">
        <f>+VLOOKUP(Sites_per_tag[[#This Row],[Activity_tag]],Parameter!$A$24:$B$32,2,0)</f>
        <v>SMP</v>
      </c>
      <c r="W620">
        <v>44.524154000000003</v>
      </c>
      <c r="X620">
        <v>-24.293688</v>
      </c>
    </row>
    <row r="621" spans="1:24" x14ac:dyDescent="0.35">
      <c r="A621" s="3" t="str">
        <f t="shared" si="9"/>
        <v>605100027SMP</v>
      </c>
      <c r="B621" t="s">
        <v>6267</v>
      </c>
      <c r="C621">
        <f>+VLOOKUP(Sites_per_tag[[#This Row],[Field_office]],Parameter!$A$3:$B$11,2,0)</f>
        <v>9</v>
      </c>
      <c r="E621" t="s">
        <v>5650</v>
      </c>
      <c r="F621" t="s">
        <v>5654</v>
      </c>
      <c r="H621" t="str">
        <f ca="1">PROPER(Sites_per_tag[[#This Row],[Adm2Name]])</f>
        <v>Ampanihy Ouest</v>
      </c>
      <c r="I621" t="s">
        <v>5660</v>
      </c>
      <c r="K621" t="s">
        <v>5799</v>
      </c>
      <c r="L621" t="s">
        <v>5942</v>
      </c>
      <c r="Q621" t="s">
        <v>3213</v>
      </c>
      <c r="R621">
        <v>605100027</v>
      </c>
      <c r="T621" t="s">
        <v>7</v>
      </c>
      <c r="U621" s="3" t="str">
        <f>+VLOOKUP(Sites_per_tag[[#This Row],[Activity_tag]],Parameter!$A$24:$B$32,2,0)</f>
        <v>SMP</v>
      </c>
      <c r="W621">
        <v>44.498890000000003</v>
      </c>
      <c r="X621">
        <v>-24.404442</v>
      </c>
    </row>
    <row r="622" spans="1:24" x14ac:dyDescent="0.35">
      <c r="A622" s="3" t="str">
        <f t="shared" si="9"/>
        <v>605100028SMP</v>
      </c>
      <c r="B622" t="s">
        <v>6267</v>
      </c>
      <c r="C622">
        <f>+VLOOKUP(Sites_per_tag[[#This Row],[Field_office]],Parameter!$A$3:$B$11,2,0)</f>
        <v>9</v>
      </c>
      <c r="E622" t="s">
        <v>5650</v>
      </c>
      <c r="F622" t="s">
        <v>5654</v>
      </c>
      <c r="H622" t="str">
        <f ca="1">PROPER(Sites_per_tag[[#This Row],[Adm2Name]])</f>
        <v>Ampanihy Ouest</v>
      </c>
      <c r="I622" t="s">
        <v>5660</v>
      </c>
      <c r="K622" t="s">
        <v>5799</v>
      </c>
      <c r="L622" t="s">
        <v>5942</v>
      </c>
      <c r="Q622" t="s">
        <v>6264</v>
      </c>
      <c r="R622">
        <v>605100028</v>
      </c>
      <c r="T622" t="s">
        <v>7</v>
      </c>
      <c r="U622" s="3" t="str">
        <f>+VLOOKUP(Sites_per_tag[[#This Row],[Activity_tag]],Parameter!$A$24:$B$32,2,0)</f>
        <v>SMP</v>
      </c>
      <c r="W622">
        <v>44.515565000000002</v>
      </c>
      <c r="X622">
        <v>-24.359611999999998</v>
      </c>
    </row>
    <row r="623" spans="1:24" x14ac:dyDescent="0.35">
      <c r="A623" s="3" t="str">
        <f t="shared" si="9"/>
        <v>605100031SMP</v>
      </c>
      <c r="B623" t="s">
        <v>6267</v>
      </c>
      <c r="C623">
        <f>+VLOOKUP(Sites_per_tag[[#This Row],[Field_office]],Parameter!$A$3:$B$11,2,0)</f>
        <v>9</v>
      </c>
      <c r="E623" t="s">
        <v>5650</v>
      </c>
      <c r="F623" t="s">
        <v>5654</v>
      </c>
      <c r="H623" t="str">
        <f ca="1">PROPER(Sites_per_tag[[#This Row],[Adm2Name]])</f>
        <v>Ampanihy Ouest</v>
      </c>
      <c r="I623" t="s">
        <v>5660</v>
      </c>
      <c r="K623" t="s">
        <v>5799</v>
      </c>
      <c r="L623" t="s">
        <v>5942</v>
      </c>
      <c r="Q623" t="s">
        <v>2189</v>
      </c>
      <c r="R623">
        <v>605100031</v>
      </c>
      <c r="T623" t="s">
        <v>7</v>
      </c>
      <c r="U623" s="3" t="str">
        <f>+VLOOKUP(Sites_per_tag[[#This Row],[Activity_tag]],Parameter!$A$24:$B$32,2,0)</f>
        <v>SMP</v>
      </c>
      <c r="W623">
        <v>44.449463999999999</v>
      </c>
      <c r="X623">
        <v>-24.348934</v>
      </c>
    </row>
    <row r="624" spans="1:24" x14ac:dyDescent="0.35">
      <c r="A624" s="3" t="str">
        <f t="shared" si="9"/>
        <v>605100035SMP</v>
      </c>
      <c r="B624" t="s">
        <v>6267</v>
      </c>
      <c r="C624">
        <f>+VLOOKUP(Sites_per_tag[[#This Row],[Field_office]],Parameter!$A$3:$B$11,2,0)</f>
        <v>9</v>
      </c>
      <c r="E624" t="s">
        <v>5650</v>
      </c>
      <c r="F624" t="s">
        <v>5654</v>
      </c>
      <c r="H624" t="str">
        <f ca="1">PROPER(Sites_per_tag[[#This Row],[Adm2Name]])</f>
        <v>Ampanihy Ouest</v>
      </c>
      <c r="I624" t="s">
        <v>5660</v>
      </c>
      <c r="K624" t="s">
        <v>5799</v>
      </c>
      <c r="L624" t="s">
        <v>5942</v>
      </c>
      <c r="Q624" t="s">
        <v>1045</v>
      </c>
      <c r="R624">
        <v>605100035</v>
      </c>
      <c r="T624" t="s">
        <v>7</v>
      </c>
      <c r="U624" s="3" t="str">
        <f>+VLOOKUP(Sites_per_tag[[#This Row],[Activity_tag]],Parameter!$A$24:$B$32,2,0)</f>
        <v>SMP</v>
      </c>
      <c r="W624">
        <v>44.423836000000001</v>
      </c>
      <c r="X624">
        <v>-24.271094999999999</v>
      </c>
    </row>
    <row r="625" spans="1:24" x14ac:dyDescent="0.35">
      <c r="A625" s="3" t="str">
        <f t="shared" si="9"/>
        <v>605100036SMP</v>
      </c>
      <c r="B625" t="s">
        <v>6267</v>
      </c>
      <c r="C625">
        <f>+VLOOKUP(Sites_per_tag[[#This Row],[Field_office]],Parameter!$A$3:$B$11,2,0)</f>
        <v>9</v>
      </c>
      <c r="E625" t="s">
        <v>5650</v>
      </c>
      <c r="F625" t="s">
        <v>5654</v>
      </c>
      <c r="H625" t="str">
        <f ca="1">PROPER(Sites_per_tag[[#This Row],[Adm2Name]])</f>
        <v>Ampanihy Ouest</v>
      </c>
      <c r="I625" t="s">
        <v>5660</v>
      </c>
      <c r="K625" t="s">
        <v>5799</v>
      </c>
      <c r="L625" t="s">
        <v>5942</v>
      </c>
      <c r="Q625" t="s">
        <v>4264</v>
      </c>
      <c r="R625">
        <v>605100036</v>
      </c>
      <c r="T625" t="s">
        <v>7</v>
      </c>
      <c r="U625" s="3" t="str">
        <f>+VLOOKUP(Sites_per_tag[[#This Row],[Activity_tag]],Parameter!$A$24:$B$32,2,0)</f>
        <v>SMP</v>
      </c>
      <c r="W625">
        <v>44.59196</v>
      </c>
      <c r="X625">
        <v>-24.461424999999998</v>
      </c>
    </row>
    <row r="626" spans="1:24" x14ac:dyDescent="0.35">
      <c r="A626" s="3" t="str">
        <f t="shared" si="9"/>
        <v>605100041SMP</v>
      </c>
      <c r="B626" t="s">
        <v>6267</v>
      </c>
      <c r="C626">
        <f>+VLOOKUP(Sites_per_tag[[#This Row],[Field_office]],Parameter!$A$3:$B$11,2,0)</f>
        <v>9</v>
      </c>
      <c r="E626" t="s">
        <v>5650</v>
      </c>
      <c r="F626" t="s">
        <v>5654</v>
      </c>
      <c r="H626" t="str">
        <f ca="1">PROPER(Sites_per_tag[[#This Row],[Adm2Name]])</f>
        <v>Ampanihy Ouest</v>
      </c>
      <c r="I626" t="s">
        <v>5660</v>
      </c>
      <c r="K626" t="s">
        <v>5799</v>
      </c>
      <c r="L626" t="s">
        <v>5942</v>
      </c>
      <c r="Q626" t="s">
        <v>4200</v>
      </c>
      <c r="R626">
        <v>605100041</v>
      </c>
      <c r="T626" t="s">
        <v>7</v>
      </c>
      <c r="U626" s="3" t="str">
        <f>+VLOOKUP(Sites_per_tag[[#This Row],[Activity_tag]],Parameter!$A$24:$B$32,2,0)</f>
        <v>SMP</v>
      </c>
      <c r="W626">
        <v>44.447327000000001</v>
      </c>
      <c r="X626">
        <v>-24.429296999999998</v>
      </c>
    </row>
    <row r="627" spans="1:24" x14ac:dyDescent="0.35">
      <c r="A627" s="3" t="str">
        <f t="shared" si="9"/>
        <v>605110001SMP</v>
      </c>
      <c r="B627" t="s">
        <v>6267</v>
      </c>
      <c r="C627">
        <f>+VLOOKUP(Sites_per_tag[[#This Row],[Field_office]],Parameter!$A$3:$B$11,2,0)</f>
        <v>9</v>
      </c>
      <c r="E627" t="s">
        <v>5650</v>
      </c>
      <c r="F627" t="s">
        <v>5654</v>
      </c>
      <c r="H627" t="str">
        <f ca="1">PROPER(Sites_per_tag[[#This Row],[Adm2Name]])</f>
        <v>Ampanihy Ouest</v>
      </c>
      <c r="I627" t="s">
        <v>5660</v>
      </c>
      <c r="K627" t="s">
        <v>5746</v>
      </c>
      <c r="L627" t="s">
        <v>5960</v>
      </c>
      <c r="Q627" t="s">
        <v>6300</v>
      </c>
      <c r="R627">
        <v>605110001</v>
      </c>
      <c r="T627" t="s">
        <v>7</v>
      </c>
      <c r="U627" s="3" t="str">
        <f>+VLOOKUP(Sites_per_tag[[#This Row],[Activity_tag]],Parameter!$A$24:$B$32,2,0)</f>
        <v>SMP</v>
      </c>
      <c r="W627">
        <v>45.02704</v>
      </c>
      <c r="X627">
        <v>-24.196843999999999</v>
      </c>
    </row>
    <row r="628" spans="1:24" x14ac:dyDescent="0.35">
      <c r="A628" s="3" t="str">
        <f t="shared" si="9"/>
        <v>605110002SMP</v>
      </c>
      <c r="B628" t="s">
        <v>6267</v>
      </c>
      <c r="C628">
        <f>+VLOOKUP(Sites_per_tag[[#This Row],[Field_office]],Parameter!$A$3:$B$11,2,0)</f>
        <v>9</v>
      </c>
      <c r="E628" t="s">
        <v>5650</v>
      </c>
      <c r="F628" t="s">
        <v>5654</v>
      </c>
      <c r="H628" t="str">
        <f ca="1">PROPER(Sites_per_tag[[#This Row],[Adm2Name]])</f>
        <v>Ampanihy Ouest</v>
      </c>
      <c r="I628" t="s">
        <v>5660</v>
      </c>
      <c r="K628" t="s">
        <v>5746</v>
      </c>
      <c r="L628" t="s">
        <v>5960</v>
      </c>
      <c r="Q628" t="s">
        <v>6249</v>
      </c>
      <c r="R628">
        <v>605110002</v>
      </c>
      <c r="T628" t="s">
        <v>7</v>
      </c>
      <c r="U628" s="3" t="str">
        <f>+VLOOKUP(Sites_per_tag[[#This Row],[Activity_tag]],Parameter!$A$24:$B$32,2,0)</f>
        <v>SMP</v>
      </c>
      <c r="W628">
        <v>45.111269</v>
      </c>
      <c r="X628">
        <v>-24.096260000000001</v>
      </c>
    </row>
    <row r="629" spans="1:24" x14ac:dyDescent="0.35">
      <c r="A629" s="3" t="str">
        <f t="shared" si="9"/>
        <v>605110004SMP</v>
      </c>
      <c r="B629" t="s">
        <v>6267</v>
      </c>
      <c r="C629">
        <f>+VLOOKUP(Sites_per_tag[[#This Row],[Field_office]],Parameter!$A$3:$B$11,2,0)</f>
        <v>9</v>
      </c>
      <c r="E629" t="s">
        <v>5650</v>
      </c>
      <c r="F629" t="s">
        <v>5654</v>
      </c>
      <c r="H629" t="str">
        <f ca="1">PROPER(Sites_per_tag[[#This Row],[Adm2Name]])</f>
        <v>Ampanihy Ouest</v>
      </c>
      <c r="I629" t="s">
        <v>5660</v>
      </c>
      <c r="K629" t="s">
        <v>5746</v>
      </c>
      <c r="L629" t="s">
        <v>5960</v>
      </c>
      <c r="Q629" t="s">
        <v>1676</v>
      </c>
      <c r="R629">
        <v>605110004</v>
      </c>
      <c r="T629" t="s">
        <v>7</v>
      </c>
      <c r="U629" s="3" t="str">
        <f>+VLOOKUP(Sites_per_tag[[#This Row],[Activity_tag]],Parameter!$A$24:$B$32,2,0)</f>
        <v>SMP</v>
      </c>
      <c r="W629">
        <v>44.920662999999998</v>
      </c>
      <c r="X629">
        <v>-24.162461</v>
      </c>
    </row>
    <row r="630" spans="1:24" x14ac:dyDescent="0.35">
      <c r="A630" s="3" t="str">
        <f t="shared" si="9"/>
        <v>605110005SMP</v>
      </c>
      <c r="B630" t="s">
        <v>6267</v>
      </c>
      <c r="C630">
        <f>+VLOOKUP(Sites_per_tag[[#This Row],[Field_office]],Parameter!$A$3:$B$11,2,0)</f>
        <v>9</v>
      </c>
      <c r="E630" t="s">
        <v>5650</v>
      </c>
      <c r="F630" t="s">
        <v>5654</v>
      </c>
      <c r="H630" t="str">
        <f ca="1">PROPER(Sites_per_tag[[#This Row],[Adm2Name]])</f>
        <v>Ampanihy Ouest</v>
      </c>
      <c r="I630" t="s">
        <v>5660</v>
      </c>
      <c r="K630" t="s">
        <v>5746</v>
      </c>
      <c r="L630" t="s">
        <v>5960</v>
      </c>
      <c r="Q630" t="s">
        <v>6226</v>
      </c>
      <c r="R630">
        <v>605110005</v>
      </c>
      <c r="T630" t="s">
        <v>7</v>
      </c>
      <c r="U630" s="3" t="str">
        <f>+VLOOKUP(Sites_per_tag[[#This Row],[Activity_tag]],Parameter!$A$24:$B$32,2,0)</f>
        <v>SMP</v>
      </c>
      <c r="W630">
        <v>44.887005000000002</v>
      </c>
      <c r="X630">
        <v>-24.1327</v>
      </c>
    </row>
    <row r="631" spans="1:24" x14ac:dyDescent="0.35">
      <c r="A631" s="3" t="str">
        <f t="shared" si="9"/>
        <v>605110006SMP</v>
      </c>
      <c r="B631" t="s">
        <v>6267</v>
      </c>
      <c r="C631">
        <f>+VLOOKUP(Sites_per_tag[[#This Row],[Field_office]],Parameter!$A$3:$B$11,2,0)</f>
        <v>9</v>
      </c>
      <c r="E631" t="s">
        <v>5650</v>
      </c>
      <c r="F631" t="s">
        <v>5654</v>
      </c>
      <c r="H631" t="str">
        <f ca="1">PROPER(Sites_per_tag[[#This Row],[Adm2Name]])</f>
        <v>Ampanihy Ouest</v>
      </c>
      <c r="I631" t="s">
        <v>5660</v>
      </c>
      <c r="K631" t="s">
        <v>5746</v>
      </c>
      <c r="L631" t="s">
        <v>5960</v>
      </c>
      <c r="Q631" t="s">
        <v>2148</v>
      </c>
      <c r="R631">
        <v>605110006</v>
      </c>
      <c r="T631" t="s">
        <v>7</v>
      </c>
      <c r="U631" s="3" t="str">
        <f>+VLOOKUP(Sites_per_tag[[#This Row],[Activity_tag]],Parameter!$A$24:$B$32,2,0)</f>
        <v>SMP</v>
      </c>
      <c r="W631">
        <v>45.037714999999999</v>
      </c>
      <c r="X631">
        <v>-24.084174999999998</v>
      </c>
    </row>
    <row r="632" spans="1:24" x14ac:dyDescent="0.35">
      <c r="A632" s="3" t="str">
        <f t="shared" si="9"/>
        <v>605110009SMP</v>
      </c>
      <c r="B632" t="s">
        <v>6267</v>
      </c>
      <c r="C632">
        <f>+VLOOKUP(Sites_per_tag[[#This Row],[Field_office]],Parameter!$A$3:$B$11,2,0)</f>
        <v>9</v>
      </c>
      <c r="E632" t="s">
        <v>5650</v>
      </c>
      <c r="F632" t="s">
        <v>5654</v>
      </c>
      <c r="H632" t="str">
        <f ca="1">PROPER(Sites_per_tag[[#This Row],[Adm2Name]])</f>
        <v>Ampanihy Ouest</v>
      </c>
      <c r="I632" t="s">
        <v>5660</v>
      </c>
      <c r="K632" t="s">
        <v>5746</v>
      </c>
      <c r="L632" t="s">
        <v>5960</v>
      </c>
      <c r="Q632" t="s">
        <v>2317</v>
      </c>
      <c r="R632">
        <v>605110009</v>
      </c>
      <c r="T632" t="s">
        <v>7</v>
      </c>
      <c r="U632" s="3" t="str">
        <f>+VLOOKUP(Sites_per_tag[[#This Row],[Activity_tag]],Parameter!$A$24:$B$32,2,0)</f>
        <v>SMP</v>
      </c>
      <c r="W632">
        <v>45.131265999999997</v>
      </c>
      <c r="X632">
        <v>-24.013818000000001</v>
      </c>
    </row>
    <row r="633" spans="1:24" x14ac:dyDescent="0.35">
      <c r="A633" s="3" t="str">
        <f t="shared" si="9"/>
        <v>605110010SMP</v>
      </c>
      <c r="B633" t="s">
        <v>6267</v>
      </c>
      <c r="C633">
        <f>+VLOOKUP(Sites_per_tag[[#This Row],[Field_office]],Parameter!$A$3:$B$11,2,0)</f>
        <v>9</v>
      </c>
      <c r="E633" t="s">
        <v>5650</v>
      </c>
      <c r="F633" t="s">
        <v>5654</v>
      </c>
      <c r="H633" t="str">
        <f ca="1">PROPER(Sites_per_tag[[#This Row],[Adm2Name]])</f>
        <v>Ampanihy Ouest</v>
      </c>
      <c r="I633" t="s">
        <v>5660</v>
      </c>
      <c r="K633" t="s">
        <v>5783</v>
      </c>
      <c r="L633" t="s">
        <v>5784</v>
      </c>
      <c r="Q633" t="s">
        <v>6264</v>
      </c>
      <c r="R633">
        <v>605110010</v>
      </c>
      <c r="T633" t="s">
        <v>7</v>
      </c>
      <c r="U633" s="3" t="str">
        <f>+VLOOKUP(Sites_per_tag[[#This Row],[Activity_tag]],Parameter!$A$24:$B$32,2,0)</f>
        <v>SMP</v>
      </c>
      <c r="W633">
        <v>44.916142000000001</v>
      </c>
      <c r="X633">
        <v>-24.040861</v>
      </c>
    </row>
    <row r="634" spans="1:24" x14ac:dyDescent="0.35">
      <c r="A634" s="3" t="str">
        <f t="shared" si="9"/>
        <v>605110012SMP</v>
      </c>
      <c r="B634" t="s">
        <v>6267</v>
      </c>
      <c r="C634">
        <f>+VLOOKUP(Sites_per_tag[[#This Row],[Field_office]],Parameter!$A$3:$B$11,2,0)</f>
        <v>9</v>
      </c>
      <c r="E634" t="s">
        <v>5650</v>
      </c>
      <c r="F634" t="s">
        <v>5654</v>
      </c>
      <c r="H634" t="str">
        <f ca="1">PROPER(Sites_per_tag[[#This Row],[Adm2Name]])</f>
        <v>Ampanihy Ouest</v>
      </c>
      <c r="I634" t="s">
        <v>5660</v>
      </c>
      <c r="K634" t="s">
        <v>5746</v>
      </c>
      <c r="L634" t="s">
        <v>5960</v>
      </c>
      <c r="Q634" t="s">
        <v>191</v>
      </c>
      <c r="R634">
        <v>605110012</v>
      </c>
      <c r="T634" t="s">
        <v>7</v>
      </c>
      <c r="U634" s="3" t="str">
        <f>+VLOOKUP(Sites_per_tag[[#This Row],[Activity_tag]],Parameter!$A$24:$B$32,2,0)</f>
        <v>SMP</v>
      </c>
      <c r="W634">
        <v>44.953572999999999</v>
      </c>
      <c r="X634">
        <v>-24.220476999999999</v>
      </c>
    </row>
    <row r="635" spans="1:24" x14ac:dyDescent="0.35">
      <c r="A635" s="3" t="str">
        <f t="shared" si="9"/>
        <v>605110013SMP</v>
      </c>
      <c r="B635" t="s">
        <v>6267</v>
      </c>
      <c r="C635">
        <f>+VLOOKUP(Sites_per_tag[[#This Row],[Field_office]],Parameter!$A$3:$B$11,2,0)</f>
        <v>9</v>
      </c>
      <c r="E635" t="s">
        <v>5650</v>
      </c>
      <c r="F635" t="s">
        <v>5654</v>
      </c>
      <c r="H635" t="str">
        <f ca="1">PROPER(Sites_per_tag[[#This Row],[Adm2Name]])</f>
        <v>Ampanihy Ouest</v>
      </c>
      <c r="I635" t="s">
        <v>5660</v>
      </c>
      <c r="K635" t="s">
        <v>5746</v>
      </c>
      <c r="L635" t="s">
        <v>5960</v>
      </c>
      <c r="Q635" t="s">
        <v>6301</v>
      </c>
      <c r="R635">
        <v>605110013</v>
      </c>
      <c r="T635" t="s">
        <v>7</v>
      </c>
      <c r="U635" s="3" t="str">
        <f>+VLOOKUP(Sites_per_tag[[#This Row],[Activity_tag]],Parameter!$A$24:$B$32,2,0)</f>
        <v>SMP</v>
      </c>
      <c r="W635">
        <v>44.964126999999998</v>
      </c>
      <c r="X635">
        <v>-24.169529000000001</v>
      </c>
    </row>
    <row r="636" spans="1:24" x14ac:dyDescent="0.35">
      <c r="A636" s="3" t="str">
        <f t="shared" si="9"/>
        <v>605110016SMP</v>
      </c>
      <c r="B636" t="s">
        <v>6267</v>
      </c>
      <c r="C636">
        <f>+VLOOKUP(Sites_per_tag[[#This Row],[Field_office]],Parameter!$A$3:$B$11,2,0)</f>
        <v>9</v>
      </c>
      <c r="E636" t="s">
        <v>5650</v>
      </c>
      <c r="F636" t="s">
        <v>5654</v>
      </c>
      <c r="H636" t="str">
        <f ca="1">PROPER(Sites_per_tag[[#This Row],[Adm2Name]])</f>
        <v>Ampanihy Ouest</v>
      </c>
      <c r="I636" t="s">
        <v>5660</v>
      </c>
      <c r="K636" t="s">
        <v>5746</v>
      </c>
      <c r="L636" t="s">
        <v>5960</v>
      </c>
      <c r="Q636" t="s">
        <v>642</v>
      </c>
      <c r="R636">
        <v>605110016</v>
      </c>
      <c r="T636" t="s">
        <v>7</v>
      </c>
      <c r="U636" s="3" t="str">
        <f>+VLOOKUP(Sites_per_tag[[#This Row],[Activity_tag]],Parameter!$A$24:$B$32,2,0)</f>
        <v>SMP</v>
      </c>
      <c r="W636">
        <v>45.132747999999999</v>
      </c>
      <c r="X636">
        <v>-24.144058999999999</v>
      </c>
    </row>
    <row r="637" spans="1:24" x14ac:dyDescent="0.35">
      <c r="A637" s="3" t="str">
        <f t="shared" si="9"/>
        <v>605110017SMP</v>
      </c>
      <c r="B637" t="s">
        <v>6267</v>
      </c>
      <c r="C637">
        <f>+VLOOKUP(Sites_per_tag[[#This Row],[Field_office]],Parameter!$A$3:$B$11,2,0)</f>
        <v>9</v>
      </c>
      <c r="E637" t="s">
        <v>5650</v>
      </c>
      <c r="F637" t="s">
        <v>5654</v>
      </c>
      <c r="H637" t="str">
        <f ca="1">PROPER(Sites_per_tag[[#This Row],[Adm2Name]])</f>
        <v>Ampanihy Ouest</v>
      </c>
      <c r="I637" t="s">
        <v>5660</v>
      </c>
      <c r="K637" t="s">
        <v>5783</v>
      </c>
      <c r="L637" t="s">
        <v>5784</v>
      </c>
      <c r="Q637" t="s">
        <v>698</v>
      </c>
      <c r="R637">
        <v>605110017</v>
      </c>
      <c r="T637" t="s">
        <v>7</v>
      </c>
      <c r="U637" s="3" t="str">
        <f>+VLOOKUP(Sites_per_tag[[#This Row],[Activity_tag]],Parameter!$A$24:$B$32,2,0)</f>
        <v>SMP</v>
      </c>
      <c r="W637">
        <v>44.918711000000002</v>
      </c>
      <c r="X637">
        <v>-23.997941000000001</v>
      </c>
    </row>
    <row r="638" spans="1:24" x14ac:dyDescent="0.35">
      <c r="A638" s="3" t="str">
        <f t="shared" si="9"/>
        <v>605110018SMP</v>
      </c>
      <c r="B638" t="s">
        <v>6267</v>
      </c>
      <c r="C638">
        <f>+VLOOKUP(Sites_per_tag[[#This Row],[Field_office]],Parameter!$A$3:$B$11,2,0)</f>
        <v>9</v>
      </c>
      <c r="E638" t="s">
        <v>5650</v>
      </c>
      <c r="F638" t="s">
        <v>5654</v>
      </c>
      <c r="H638" t="str">
        <f ca="1">PROPER(Sites_per_tag[[#This Row],[Adm2Name]])</f>
        <v>Ampanihy Ouest</v>
      </c>
      <c r="I638" t="s">
        <v>5660</v>
      </c>
      <c r="K638" t="s">
        <v>5746</v>
      </c>
      <c r="L638" t="s">
        <v>5960</v>
      </c>
      <c r="Q638" t="s">
        <v>864</v>
      </c>
      <c r="R638">
        <v>605110018</v>
      </c>
      <c r="T638" t="s">
        <v>7</v>
      </c>
      <c r="U638" s="3" t="str">
        <f>+VLOOKUP(Sites_per_tag[[#This Row],[Activity_tag]],Parameter!$A$24:$B$32,2,0)</f>
        <v>SMP</v>
      </c>
      <c r="W638">
        <v>45.127290000000002</v>
      </c>
      <c r="X638">
        <v>-24.170438000000001</v>
      </c>
    </row>
    <row r="639" spans="1:24" x14ac:dyDescent="0.35">
      <c r="A639" s="3" t="str">
        <f t="shared" si="9"/>
        <v>605110019SMP</v>
      </c>
      <c r="B639" t="s">
        <v>6267</v>
      </c>
      <c r="C639">
        <f>+VLOOKUP(Sites_per_tag[[#This Row],[Field_office]],Parameter!$A$3:$B$11,2,0)</f>
        <v>9</v>
      </c>
      <c r="E639" t="s">
        <v>5650</v>
      </c>
      <c r="F639" t="s">
        <v>5654</v>
      </c>
      <c r="H639" t="str">
        <f ca="1">PROPER(Sites_per_tag[[#This Row],[Adm2Name]])</f>
        <v>Ampanihy Ouest</v>
      </c>
      <c r="I639" t="s">
        <v>5660</v>
      </c>
      <c r="K639" t="s">
        <v>5746</v>
      </c>
      <c r="L639" t="s">
        <v>5960</v>
      </c>
      <c r="Q639" t="s">
        <v>6302</v>
      </c>
      <c r="R639">
        <v>605110019</v>
      </c>
      <c r="T639" t="s">
        <v>7</v>
      </c>
      <c r="U639" s="3" t="str">
        <f>+VLOOKUP(Sites_per_tag[[#This Row],[Activity_tag]],Parameter!$A$24:$B$32,2,0)</f>
        <v>SMP</v>
      </c>
      <c r="W639">
        <v>44.916476000000003</v>
      </c>
      <c r="X639">
        <v>-24.186467</v>
      </c>
    </row>
    <row r="640" spans="1:24" x14ac:dyDescent="0.35">
      <c r="A640" s="3" t="str">
        <f t="shared" si="9"/>
        <v>605110020SMP</v>
      </c>
      <c r="B640" t="s">
        <v>6267</v>
      </c>
      <c r="C640">
        <f>+VLOOKUP(Sites_per_tag[[#This Row],[Field_office]],Parameter!$A$3:$B$11,2,0)</f>
        <v>9</v>
      </c>
      <c r="E640" t="s">
        <v>5650</v>
      </c>
      <c r="F640" t="s">
        <v>5654</v>
      </c>
      <c r="H640" t="str">
        <f ca="1">PROPER(Sites_per_tag[[#This Row],[Adm2Name]])</f>
        <v>Ampanihy Ouest</v>
      </c>
      <c r="I640" t="s">
        <v>5660</v>
      </c>
      <c r="K640" t="s">
        <v>5746</v>
      </c>
      <c r="L640" t="s">
        <v>5960</v>
      </c>
      <c r="Q640" t="s">
        <v>1010</v>
      </c>
      <c r="R640">
        <v>605110020</v>
      </c>
      <c r="T640" t="s">
        <v>7</v>
      </c>
      <c r="U640" s="3" t="str">
        <f>+VLOOKUP(Sites_per_tag[[#This Row],[Activity_tag]],Parameter!$A$24:$B$32,2,0)</f>
        <v>SMP</v>
      </c>
      <c r="W640">
        <v>45.097090000000001</v>
      </c>
      <c r="X640">
        <v>-24.134831999999999</v>
      </c>
    </row>
    <row r="641" spans="1:24" x14ac:dyDescent="0.35">
      <c r="A641" s="3" t="str">
        <f t="shared" si="9"/>
        <v>605110022SMP</v>
      </c>
      <c r="B641" t="s">
        <v>6267</v>
      </c>
      <c r="C641">
        <f>+VLOOKUP(Sites_per_tag[[#This Row],[Field_office]],Parameter!$A$3:$B$11,2,0)</f>
        <v>9</v>
      </c>
      <c r="E641" t="s">
        <v>5650</v>
      </c>
      <c r="F641" t="s">
        <v>5654</v>
      </c>
      <c r="H641" t="str">
        <f ca="1">PROPER(Sites_per_tag[[#This Row],[Adm2Name]])</f>
        <v>Ampanihy Ouest</v>
      </c>
      <c r="I641" t="s">
        <v>5660</v>
      </c>
      <c r="K641" t="s">
        <v>5746</v>
      </c>
      <c r="L641" t="s">
        <v>5960</v>
      </c>
      <c r="Q641" t="s">
        <v>3229</v>
      </c>
      <c r="R641">
        <v>605110022</v>
      </c>
      <c r="T641" t="s">
        <v>7</v>
      </c>
      <c r="U641" s="3" t="str">
        <f>+VLOOKUP(Sites_per_tag[[#This Row],[Activity_tag]],Parameter!$A$24:$B$32,2,0)</f>
        <v>SMP</v>
      </c>
      <c r="W641">
        <v>45.125016000000002</v>
      </c>
      <c r="X641">
        <v>-23.979098</v>
      </c>
    </row>
    <row r="642" spans="1:24" x14ac:dyDescent="0.35">
      <c r="A642" s="3" t="str">
        <f t="shared" si="9"/>
        <v>605110023SMP</v>
      </c>
      <c r="B642" t="s">
        <v>6267</v>
      </c>
      <c r="C642">
        <f>+VLOOKUP(Sites_per_tag[[#This Row],[Field_office]],Parameter!$A$3:$B$11,2,0)</f>
        <v>9</v>
      </c>
      <c r="E642" t="s">
        <v>5650</v>
      </c>
      <c r="F642" t="s">
        <v>5654</v>
      </c>
      <c r="H642" t="str">
        <f ca="1">PROPER(Sites_per_tag[[#This Row],[Adm2Name]])</f>
        <v>Ampanihy Ouest</v>
      </c>
      <c r="I642" t="s">
        <v>5660</v>
      </c>
      <c r="K642" t="s">
        <v>5746</v>
      </c>
      <c r="L642" t="s">
        <v>5960</v>
      </c>
      <c r="Q642" t="s">
        <v>1917</v>
      </c>
      <c r="R642">
        <v>605110023</v>
      </c>
      <c r="T642" t="s">
        <v>7</v>
      </c>
      <c r="U642" s="3" t="str">
        <f>+VLOOKUP(Sites_per_tag[[#This Row],[Activity_tag]],Parameter!$A$24:$B$32,2,0)</f>
        <v>SMP</v>
      </c>
      <c r="W642">
        <v>44.975012999999997</v>
      </c>
      <c r="X642">
        <v>-24.027766</v>
      </c>
    </row>
    <row r="643" spans="1:24" x14ac:dyDescent="0.35">
      <c r="A643" s="3" t="str">
        <f t="shared" ref="A643:A706" si="10">+R643&amp;U643</f>
        <v>605110025SMP</v>
      </c>
      <c r="B643" t="s">
        <v>6267</v>
      </c>
      <c r="C643">
        <f>+VLOOKUP(Sites_per_tag[[#This Row],[Field_office]],Parameter!$A$3:$B$11,2,0)</f>
        <v>9</v>
      </c>
      <c r="E643" t="s">
        <v>5650</v>
      </c>
      <c r="F643" t="s">
        <v>5654</v>
      </c>
      <c r="H643" t="str">
        <f ca="1">PROPER(Sites_per_tag[[#This Row],[Adm2Name]])</f>
        <v>Ampanihy Ouest</v>
      </c>
      <c r="I643" t="s">
        <v>5660</v>
      </c>
      <c r="K643" t="s">
        <v>5746</v>
      </c>
      <c r="L643" t="s">
        <v>5960</v>
      </c>
      <c r="Q643" t="s">
        <v>2112</v>
      </c>
      <c r="R643">
        <v>605110025</v>
      </c>
      <c r="T643" t="s">
        <v>7</v>
      </c>
      <c r="U643" s="3" t="str">
        <f>+VLOOKUP(Sites_per_tag[[#This Row],[Activity_tag]],Parameter!$A$24:$B$32,2,0)</f>
        <v>SMP</v>
      </c>
      <c r="W643">
        <v>44.948183</v>
      </c>
      <c r="X643">
        <v>-24.068860000000001</v>
      </c>
    </row>
    <row r="644" spans="1:24" x14ac:dyDescent="0.35">
      <c r="A644" s="3" t="str">
        <f t="shared" si="10"/>
        <v>605110027SMP</v>
      </c>
      <c r="B644" t="s">
        <v>6267</v>
      </c>
      <c r="C644">
        <f>+VLOOKUP(Sites_per_tag[[#This Row],[Field_office]],Parameter!$A$3:$B$11,2,0)</f>
        <v>9</v>
      </c>
      <c r="E644" t="s">
        <v>5650</v>
      </c>
      <c r="F644" t="s">
        <v>5654</v>
      </c>
      <c r="H644" t="str">
        <f ca="1">PROPER(Sites_per_tag[[#This Row],[Adm2Name]])</f>
        <v>Ampanihy Ouest</v>
      </c>
      <c r="I644" t="s">
        <v>5660</v>
      </c>
      <c r="K644" t="s">
        <v>5746</v>
      </c>
      <c r="L644" t="s">
        <v>5960</v>
      </c>
      <c r="Q644" t="s">
        <v>2170</v>
      </c>
      <c r="R644">
        <v>605110027</v>
      </c>
      <c r="T644" t="s">
        <v>7</v>
      </c>
      <c r="U644" s="3" t="str">
        <f>+VLOOKUP(Sites_per_tag[[#This Row],[Activity_tag]],Parameter!$A$24:$B$32,2,0)</f>
        <v>SMP</v>
      </c>
      <c r="W644">
        <v>45.128478000000001</v>
      </c>
      <c r="X644">
        <v>-24.063693000000001</v>
      </c>
    </row>
    <row r="645" spans="1:24" x14ac:dyDescent="0.35">
      <c r="A645" s="3" t="str">
        <f t="shared" si="10"/>
        <v>605110028SMP</v>
      </c>
      <c r="B645" t="s">
        <v>6267</v>
      </c>
      <c r="C645">
        <f>+VLOOKUP(Sites_per_tag[[#This Row],[Field_office]],Parameter!$A$3:$B$11,2,0)</f>
        <v>9</v>
      </c>
      <c r="E645" t="s">
        <v>5650</v>
      </c>
      <c r="F645" t="s">
        <v>5654</v>
      </c>
      <c r="H645" t="str">
        <f ca="1">PROPER(Sites_per_tag[[#This Row],[Adm2Name]])</f>
        <v>Ampanihy Ouest</v>
      </c>
      <c r="I645" t="s">
        <v>5660</v>
      </c>
      <c r="K645" t="s">
        <v>5746</v>
      </c>
      <c r="L645" t="s">
        <v>5960</v>
      </c>
      <c r="Q645" t="s">
        <v>2497</v>
      </c>
      <c r="R645">
        <v>605110028</v>
      </c>
      <c r="T645" t="s">
        <v>7</v>
      </c>
      <c r="U645" s="3" t="str">
        <f>+VLOOKUP(Sites_per_tag[[#This Row],[Activity_tag]],Parameter!$A$24:$B$32,2,0)</f>
        <v>SMP</v>
      </c>
      <c r="W645">
        <v>45.018875000000001</v>
      </c>
      <c r="X645">
        <v>-24.053926000000001</v>
      </c>
    </row>
    <row r="646" spans="1:24" x14ac:dyDescent="0.35">
      <c r="A646" s="3" t="str">
        <f t="shared" si="10"/>
        <v>605110029SMP</v>
      </c>
      <c r="B646" t="s">
        <v>6267</v>
      </c>
      <c r="C646">
        <f>+VLOOKUP(Sites_per_tag[[#This Row],[Field_office]],Parameter!$A$3:$B$11,2,0)</f>
        <v>9</v>
      </c>
      <c r="E646" t="s">
        <v>5650</v>
      </c>
      <c r="F646" t="s">
        <v>5654</v>
      </c>
      <c r="H646" t="str">
        <f ca="1">PROPER(Sites_per_tag[[#This Row],[Adm2Name]])</f>
        <v>Ampanihy Ouest</v>
      </c>
      <c r="I646" t="s">
        <v>5660</v>
      </c>
      <c r="K646" t="s">
        <v>5746</v>
      </c>
      <c r="L646" t="s">
        <v>5960</v>
      </c>
      <c r="Q646" t="s">
        <v>6303</v>
      </c>
      <c r="R646">
        <v>605110029</v>
      </c>
      <c r="T646" t="s">
        <v>7</v>
      </c>
      <c r="U646" s="3" t="str">
        <f>+VLOOKUP(Sites_per_tag[[#This Row],[Activity_tag]],Parameter!$A$24:$B$32,2,0)</f>
        <v>SMP</v>
      </c>
      <c r="W646">
        <v>45.023744000000001</v>
      </c>
      <c r="X646">
        <v>-24.113665000000001</v>
      </c>
    </row>
    <row r="647" spans="1:24" x14ac:dyDescent="0.35">
      <c r="A647" s="3" t="str">
        <f t="shared" si="10"/>
        <v>605110030SMP</v>
      </c>
      <c r="B647" t="s">
        <v>6267</v>
      </c>
      <c r="C647">
        <f>+VLOOKUP(Sites_per_tag[[#This Row],[Field_office]],Parameter!$A$3:$B$11,2,0)</f>
        <v>9</v>
      </c>
      <c r="E647" t="s">
        <v>5650</v>
      </c>
      <c r="F647" t="s">
        <v>5654</v>
      </c>
      <c r="H647" t="str">
        <f ca="1">PROPER(Sites_per_tag[[#This Row],[Adm2Name]])</f>
        <v>Ampanihy Ouest</v>
      </c>
      <c r="I647" t="s">
        <v>5660</v>
      </c>
      <c r="K647" t="s">
        <v>5746</v>
      </c>
      <c r="L647" t="s">
        <v>5960</v>
      </c>
      <c r="Q647" t="s">
        <v>3450</v>
      </c>
      <c r="R647">
        <v>605110030</v>
      </c>
      <c r="T647" t="s">
        <v>7</v>
      </c>
      <c r="U647" s="3" t="str">
        <f>+VLOOKUP(Sites_per_tag[[#This Row],[Activity_tag]],Parameter!$A$24:$B$32,2,0)</f>
        <v>SMP</v>
      </c>
      <c r="W647">
        <v>45.037536000000003</v>
      </c>
      <c r="X647">
        <v>-24.102713999999999</v>
      </c>
    </row>
    <row r="648" spans="1:24" x14ac:dyDescent="0.35">
      <c r="A648" s="3" t="str">
        <f t="shared" si="10"/>
        <v>605110032SMP</v>
      </c>
      <c r="B648" t="s">
        <v>6267</v>
      </c>
      <c r="C648">
        <f>+VLOOKUP(Sites_per_tag[[#This Row],[Field_office]],Parameter!$A$3:$B$11,2,0)</f>
        <v>9</v>
      </c>
      <c r="E648" t="s">
        <v>5650</v>
      </c>
      <c r="F648" t="s">
        <v>5654</v>
      </c>
      <c r="H648" t="str">
        <f ca="1">PROPER(Sites_per_tag[[#This Row],[Adm2Name]])</f>
        <v>Ampanihy Ouest</v>
      </c>
      <c r="I648" t="s">
        <v>5660</v>
      </c>
      <c r="K648" t="s">
        <v>5746</v>
      </c>
      <c r="L648" t="s">
        <v>5960</v>
      </c>
      <c r="Q648" t="s">
        <v>4268</v>
      </c>
      <c r="R648">
        <v>605110032</v>
      </c>
      <c r="T648" t="s">
        <v>7</v>
      </c>
      <c r="U648" s="3" t="str">
        <f>+VLOOKUP(Sites_per_tag[[#This Row],[Activity_tag]],Parameter!$A$24:$B$32,2,0)</f>
        <v>SMP</v>
      </c>
      <c r="W648">
        <v>44.849777000000003</v>
      </c>
      <c r="X648">
        <v>-24.117163999999999</v>
      </c>
    </row>
    <row r="649" spans="1:24" x14ac:dyDescent="0.35">
      <c r="A649" s="3" t="str">
        <f t="shared" si="10"/>
        <v>605110037SMP</v>
      </c>
      <c r="B649" t="s">
        <v>6267</v>
      </c>
      <c r="C649">
        <f>+VLOOKUP(Sites_per_tag[[#This Row],[Field_office]],Parameter!$A$3:$B$11,2,0)</f>
        <v>9</v>
      </c>
      <c r="E649" t="s">
        <v>5650</v>
      </c>
      <c r="F649" t="s">
        <v>5654</v>
      </c>
      <c r="H649" t="str">
        <f ca="1">PROPER(Sites_per_tag[[#This Row],[Adm2Name]])</f>
        <v>Ampanihy Ouest</v>
      </c>
      <c r="I649" t="s">
        <v>5660</v>
      </c>
      <c r="K649" t="s">
        <v>5746</v>
      </c>
      <c r="L649" t="s">
        <v>5960</v>
      </c>
      <c r="Q649" t="s">
        <v>2258</v>
      </c>
      <c r="R649">
        <v>605110037</v>
      </c>
      <c r="T649" t="s">
        <v>7</v>
      </c>
      <c r="U649" s="3" t="str">
        <f>+VLOOKUP(Sites_per_tag[[#This Row],[Activity_tag]],Parameter!$A$24:$B$32,2,0)</f>
        <v>SMP</v>
      </c>
      <c r="W649">
        <v>44.945354999999999</v>
      </c>
      <c r="X649">
        <v>-24.103013000000001</v>
      </c>
    </row>
    <row r="650" spans="1:24" x14ac:dyDescent="0.35">
      <c r="A650" s="3" t="str">
        <f t="shared" si="10"/>
        <v>605110038SMP</v>
      </c>
      <c r="B650" t="s">
        <v>6267</v>
      </c>
      <c r="C650">
        <f>+VLOOKUP(Sites_per_tag[[#This Row],[Field_office]],Parameter!$A$3:$B$11,2,0)</f>
        <v>9</v>
      </c>
      <c r="E650" t="s">
        <v>5650</v>
      </c>
      <c r="F650" t="s">
        <v>5654</v>
      </c>
      <c r="H650" t="str">
        <f ca="1">PROPER(Sites_per_tag[[#This Row],[Adm2Name]])</f>
        <v>Ampanihy Ouest</v>
      </c>
      <c r="I650" t="s">
        <v>5660</v>
      </c>
      <c r="K650" t="s">
        <v>5746</v>
      </c>
      <c r="L650" t="s">
        <v>5960</v>
      </c>
      <c r="Q650" t="s">
        <v>3393</v>
      </c>
      <c r="R650">
        <v>605110038</v>
      </c>
      <c r="T650" t="s">
        <v>7</v>
      </c>
      <c r="U650" s="3" t="str">
        <f>+VLOOKUP(Sites_per_tag[[#This Row],[Activity_tag]],Parameter!$A$24:$B$32,2,0)</f>
        <v>SMP</v>
      </c>
      <c r="W650">
        <v>44.890292000000002</v>
      </c>
      <c r="X650">
        <v>-24.139417999999999</v>
      </c>
    </row>
    <row r="651" spans="1:24" x14ac:dyDescent="0.35">
      <c r="A651" s="3" t="str">
        <f t="shared" si="10"/>
        <v>605110042SMP</v>
      </c>
      <c r="B651" t="s">
        <v>6267</v>
      </c>
      <c r="C651">
        <f>+VLOOKUP(Sites_per_tag[[#This Row],[Field_office]],Parameter!$A$3:$B$11,2,0)</f>
        <v>9</v>
      </c>
      <c r="E651" t="s">
        <v>5650</v>
      </c>
      <c r="F651" t="s">
        <v>5654</v>
      </c>
      <c r="H651" t="str">
        <f ca="1">PROPER(Sites_per_tag[[#This Row],[Adm2Name]])</f>
        <v>Ampanihy Ouest</v>
      </c>
      <c r="I651" t="s">
        <v>5660</v>
      </c>
      <c r="K651" t="s">
        <v>5746</v>
      </c>
      <c r="L651" t="s">
        <v>5960</v>
      </c>
      <c r="Q651" t="s">
        <v>2255</v>
      </c>
      <c r="R651">
        <v>605110042</v>
      </c>
      <c r="T651" t="s">
        <v>7</v>
      </c>
      <c r="U651" s="3" t="str">
        <f>+VLOOKUP(Sites_per_tag[[#This Row],[Activity_tag]],Parameter!$A$24:$B$32,2,0)</f>
        <v>SMP</v>
      </c>
      <c r="W651">
        <v>44.877178000000001</v>
      </c>
      <c r="X651">
        <v>-24.093668999999998</v>
      </c>
    </row>
    <row r="652" spans="1:24" x14ac:dyDescent="0.35">
      <c r="A652" s="3" t="str">
        <f t="shared" si="10"/>
        <v>605110051SMP</v>
      </c>
      <c r="B652" t="s">
        <v>6267</v>
      </c>
      <c r="C652">
        <f>+VLOOKUP(Sites_per_tag[[#This Row],[Field_office]],Parameter!$A$3:$B$11,2,0)</f>
        <v>9</v>
      </c>
      <c r="E652" t="s">
        <v>5650</v>
      </c>
      <c r="F652" t="s">
        <v>5654</v>
      </c>
      <c r="H652" t="str">
        <f ca="1">PROPER(Sites_per_tag[[#This Row],[Adm2Name]])</f>
        <v>Ampanihy Ouest</v>
      </c>
      <c r="I652" t="s">
        <v>5660</v>
      </c>
      <c r="K652" t="s">
        <v>5746</v>
      </c>
      <c r="L652" t="s">
        <v>5960</v>
      </c>
      <c r="Q652" t="s">
        <v>1275</v>
      </c>
      <c r="R652">
        <v>605110051</v>
      </c>
      <c r="T652" t="s">
        <v>7</v>
      </c>
      <c r="U652" s="3" t="str">
        <f>+VLOOKUP(Sites_per_tag[[#This Row],[Activity_tag]],Parameter!$A$24:$B$32,2,0)</f>
        <v>SMP</v>
      </c>
      <c r="W652">
        <v>44.899732999999998</v>
      </c>
      <c r="X652">
        <v>-24.221121</v>
      </c>
    </row>
    <row r="653" spans="1:24" x14ac:dyDescent="0.35">
      <c r="A653" s="3" t="str">
        <f t="shared" si="10"/>
        <v>605120003SMP</v>
      </c>
      <c r="B653" t="s">
        <v>6267</v>
      </c>
      <c r="C653">
        <f>+VLOOKUP(Sites_per_tag[[#This Row],[Field_office]],Parameter!$A$3:$B$11,2,0)</f>
        <v>9</v>
      </c>
      <c r="E653" t="s">
        <v>5650</v>
      </c>
      <c r="F653" t="s">
        <v>5654</v>
      </c>
      <c r="H653" t="str">
        <f ca="1">PROPER(Sites_per_tag[[#This Row],[Adm2Name]])</f>
        <v>Ampanihy Ouest</v>
      </c>
      <c r="I653" t="s">
        <v>5660</v>
      </c>
      <c r="K653" t="s">
        <v>5885</v>
      </c>
      <c r="L653" t="s">
        <v>5962</v>
      </c>
      <c r="Q653" t="s">
        <v>2318</v>
      </c>
      <c r="R653">
        <v>605120003</v>
      </c>
      <c r="T653" t="s">
        <v>7</v>
      </c>
      <c r="U653" s="3" t="str">
        <f>+VLOOKUP(Sites_per_tag[[#This Row],[Activity_tag]],Parameter!$A$24:$B$32,2,0)</f>
        <v>SMP</v>
      </c>
      <c r="W653">
        <v>44.733288999999999</v>
      </c>
      <c r="X653">
        <v>-24.265367000000001</v>
      </c>
    </row>
    <row r="654" spans="1:24" x14ac:dyDescent="0.35">
      <c r="A654" s="3" t="str">
        <f t="shared" si="10"/>
        <v>605120004SMP</v>
      </c>
      <c r="B654" t="s">
        <v>6267</v>
      </c>
      <c r="C654">
        <f>+VLOOKUP(Sites_per_tag[[#This Row],[Field_office]],Parameter!$A$3:$B$11,2,0)</f>
        <v>9</v>
      </c>
      <c r="E654" t="s">
        <v>5650</v>
      </c>
      <c r="F654" t="s">
        <v>5654</v>
      </c>
      <c r="H654" t="str">
        <f ca="1">PROPER(Sites_per_tag[[#This Row],[Adm2Name]])</f>
        <v>Ampanihy Ouest</v>
      </c>
      <c r="I654" t="s">
        <v>5660</v>
      </c>
      <c r="K654" t="s">
        <v>5885</v>
      </c>
      <c r="L654" t="s">
        <v>5962</v>
      </c>
      <c r="Q654" t="s">
        <v>424</v>
      </c>
      <c r="R654">
        <v>605120004</v>
      </c>
      <c r="T654" t="s">
        <v>7</v>
      </c>
      <c r="U654" s="3" t="str">
        <f>+VLOOKUP(Sites_per_tag[[#This Row],[Activity_tag]],Parameter!$A$24:$B$32,2,0)</f>
        <v>SMP</v>
      </c>
      <c r="W654">
        <v>44.694440999999998</v>
      </c>
      <c r="X654">
        <v>-24.463684000000001</v>
      </c>
    </row>
    <row r="655" spans="1:24" x14ac:dyDescent="0.35">
      <c r="A655" s="3" t="str">
        <f t="shared" si="10"/>
        <v>605120005SMP</v>
      </c>
      <c r="B655" t="s">
        <v>6267</v>
      </c>
      <c r="C655">
        <f>+VLOOKUP(Sites_per_tag[[#This Row],[Field_office]],Parameter!$A$3:$B$11,2,0)</f>
        <v>9</v>
      </c>
      <c r="E655" t="s">
        <v>5650</v>
      </c>
      <c r="F655" t="s">
        <v>5654</v>
      </c>
      <c r="H655" t="str">
        <f ca="1">PROPER(Sites_per_tag[[#This Row],[Adm2Name]])</f>
        <v>Ampanihy Ouest</v>
      </c>
      <c r="I655" t="s">
        <v>5660</v>
      </c>
      <c r="K655" t="s">
        <v>5885</v>
      </c>
      <c r="L655" t="s">
        <v>5962</v>
      </c>
      <c r="Q655" t="s">
        <v>445</v>
      </c>
      <c r="R655">
        <v>605120005</v>
      </c>
      <c r="T655" t="s">
        <v>7</v>
      </c>
      <c r="U655" s="3" t="str">
        <f>+VLOOKUP(Sites_per_tag[[#This Row],[Activity_tag]],Parameter!$A$24:$B$32,2,0)</f>
        <v>SMP</v>
      </c>
      <c r="W655">
        <v>44.880707000000001</v>
      </c>
      <c r="X655">
        <v>-24.301033</v>
      </c>
    </row>
    <row r="656" spans="1:24" x14ac:dyDescent="0.35">
      <c r="A656" s="3" t="str">
        <f t="shared" si="10"/>
        <v>605120006SMP</v>
      </c>
      <c r="B656" t="s">
        <v>6267</v>
      </c>
      <c r="C656">
        <f>+VLOOKUP(Sites_per_tag[[#This Row],[Field_office]],Parameter!$A$3:$B$11,2,0)</f>
        <v>9</v>
      </c>
      <c r="E656" t="s">
        <v>5650</v>
      </c>
      <c r="F656" t="s">
        <v>5654</v>
      </c>
      <c r="H656" t="str">
        <f ca="1">PROPER(Sites_per_tag[[#This Row],[Adm2Name]])</f>
        <v>Ampanihy Ouest</v>
      </c>
      <c r="I656" t="s">
        <v>5660</v>
      </c>
      <c r="K656" t="s">
        <v>5885</v>
      </c>
      <c r="L656" t="s">
        <v>5962</v>
      </c>
      <c r="Q656" t="s">
        <v>6304</v>
      </c>
      <c r="R656">
        <v>605120006</v>
      </c>
      <c r="T656" t="s">
        <v>7</v>
      </c>
      <c r="U656" s="3" t="str">
        <f>+VLOOKUP(Sites_per_tag[[#This Row],[Activity_tag]],Parameter!$A$24:$B$32,2,0)</f>
        <v>SMP</v>
      </c>
      <c r="W656">
        <v>44.700074999999998</v>
      </c>
      <c r="X656">
        <v>-24.289000000000001</v>
      </c>
    </row>
    <row r="657" spans="1:24" x14ac:dyDescent="0.35">
      <c r="A657" s="3" t="str">
        <f t="shared" si="10"/>
        <v>605120007SMP</v>
      </c>
      <c r="B657" t="s">
        <v>6267</v>
      </c>
      <c r="C657">
        <f>+VLOOKUP(Sites_per_tag[[#This Row],[Field_office]],Parameter!$A$3:$B$11,2,0)</f>
        <v>9</v>
      </c>
      <c r="E657" t="s">
        <v>5650</v>
      </c>
      <c r="F657" t="s">
        <v>5654</v>
      </c>
      <c r="H657" t="str">
        <f ca="1">PROPER(Sites_per_tag[[#This Row],[Adm2Name]])</f>
        <v>Ampanihy Ouest</v>
      </c>
      <c r="I657" t="s">
        <v>5660</v>
      </c>
      <c r="K657" t="s">
        <v>5885</v>
      </c>
      <c r="L657" t="s">
        <v>5962</v>
      </c>
      <c r="Q657" t="s">
        <v>6305</v>
      </c>
      <c r="R657">
        <v>605120007</v>
      </c>
      <c r="T657" t="s">
        <v>7</v>
      </c>
      <c r="U657" s="3" t="str">
        <f>+VLOOKUP(Sites_per_tag[[#This Row],[Activity_tag]],Parameter!$A$24:$B$32,2,0)</f>
        <v>SMP</v>
      </c>
      <c r="W657">
        <v>44.832886999999999</v>
      </c>
      <c r="X657">
        <v>-24.260154</v>
      </c>
    </row>
    <row r="658" spans="1:24" x14ac:dyDescent="0.35">
      <c r="A658" s="3" t="str">
        <f t="shared" si="10"/>
        <v>605120008SMP</v>
      </c>
      <c r="B658" t="s">
        <v>6267</v>
      </c>
      <c r="C658">
        <f>+VLOOKUP(Sites_per_tag[[#This Row],[Field_office]],Parameter!$A$3:$B$11,2,0)</f>
        <v>9</v>
      </c>
      <c r="E658" t="s">
        <v>5650</v>
      </c>
      <c r="F658" t="s">
        <v>5654</v>
      </c>
      <c r="H658" t="str">
        <f ca="1">PROPER(Sites_per_tag[[#This Row],[Adm2Name]])</f>
        <v>Ampanihy Ouest</v>
      </c>
      <c r="I658" t="s">
        <v>5660</v>
      </c>
      <c r="K658" t="s">
        <v>5885</v>
      </c>
      <c r="L658" t="s">
        <v>5962</v>
      </c>
      <c r="Q658" t="s">
        <v>1351</v>
      </c>
      <c r="R658">
        <v>605120008</v>
      </c>
      <c r="T658" t="s">
        <v>7</v>
      </c>
      <c r="U658" s="3" t="str">
        <f>+VLOOKUP(Sites_per_tag[[#This Row],[Activity_tag]],Parameter!$A$24:$B$32,2,0)</f>
        <v>SMP</v>
      </c>
      <c r="W658">
        <v>44.847017999999998</v>
      </c>
      <c r="X658">
        <v>-24.225213</v>
      </c>
    </row>
    <row r="659" spans="1:24" x14ac:dyDescent="0.35">
      <c r="A659" s="3" t="str">
        <f t="shared" si="10"/>
        <v>605120009SMP</v>
      </c>
      <c r="B659" t="s">
        <v>6267</v>
      </c>
      <c r="C659">
        <f>+VLOOKUP(Sites_per_tag[[#This Row],[Field_office]],Parameter!$A$3:$B$11,2,0)</f>
        <v>9</v>
      </c>
      <c r="E659" t="s">
        <v>5650</v>
      </c>
      <c r="F659" t="s">
        <v>5654</v>
      </c>
      <c r="H659" t="str">
        <f ca="1">PROPER(Sites_per_tag[[#This Row],[Adm2Name]])</f>
        <v>Ampanihy Ouest</v>
      </c>
      <c r="I659" t="s">
        <v>5660</v>
      </c>
      <c r="K659" t="s">
        <v>5885</v>
      </c>
      <c r="L659" t="s">
        <v>5962</v>
      </c>
      <c r="Q659" t="s">
        <v>2506</v>
      </c>
      <c r="R659">
        <v>605120009</v>
      </c>
      <c r="T659" t="s">
        <v>7</v>
      </c>
      <c r="U659" s="3" t="str">
        <f>+VLOOKUP(Sites_per_tag[[#This Row],[Activity_tag]],Parameter!$A$24:$B$32,2,0)</f>
        <v>SMP</v>
      </c>
      <c r="W659">
        <v>44.808926999999997</v>
      </c>
      <c r="X659">
        <v>-24.188756000000001</v>
      </c>
    </row>
    <row r="660" spans="1:24" x14ac:dyDescent="0.35">
      <c r="A660" s="3" t="str">
        <f t="shared" si="10"/>
        <v>605120011SMP</v>
      </c>
      <c r="B660" t="s">
        <v>6267</v>
      </c>
      <c r="C660">
        <f>+VLOOKUP(Sites_per_tag[[#This Row],[Field_office]],Parameter!$A$3:$B$11,2,0)</f>
        <v>9</v>
      </c>
      <c r="E660" t="s">
        <v>5650</v>
      </c>
      <c r="F660" t="s">
        <v>5654</v>
      </c>
      <c r="H660" t="str">
        <f ca="1">PROPER(Sites_per_tag[[#This Row],[Adm2Name]])</f>
        <v>Ampanihy Ouest</v>
      </c>
      <c r="I660" t="s">
        <v>5660</v>
      </c>
      <c r="K660" t="s">
        <v>5885</v>
      </c>
      <c r="L660" t="s">
        <v>5962</v>
      </c>
      <c r="Q660" t="s">
        <v>2130</v>
      </c>
      <c r="R660">
        <v>605120011</v>
      </c>
      <c r="T660" t="s">
        <v>7</v>
      </c>
      <c r="U660" s="3" t="str">
        <f>+VLOOKUP(Sites_per_tag[[#This Row],[Activity_tag]],Parameter!$A$24:$B$32,2,0)</f>
        <v>SMP</v>
      </c>
      <c r="W660">
        <v>44.808926999999997</v>
      </c>
      <c r="X660">
        <v>-24.188756000000001</v>
      </c>
    </row>
    <row r="661" spans="1:24" x14ac:dyDescent="0.35">
      <c r="A661" s="3" t="str">
        <f t="shared" si="10"/>
        <v>605120016SMP</v>
      </c>
      <c r="B661" t="s">
        <v>6267</v>
      </c>
      <c r="C661">
        <f>+VLOOKUP(Sites_per_tag[[#This Row],[Field_office]],Parameter!$A$3:$B$11,2,0)</f>
        <v>9</v>
      </c>
      <c r="E661" t="s">
        <v>5650</v>
      </c>
      <c r="F661" t="s">
        <v>5654</v>
      </c>
      <c r="H661" t="str">
        <f ca="1">PROPER(Sites_per_tag[[#This Row],[Adm2Name]])</f>
        <v>Ampanihy Ouest</v>
      </c>
      <c r="I661" t="s">
        <v>5660</v>
      </c>
      <c r="K661" t="s">
        <v>5885</v>
      </c>
      <c r="L661" t="s">
        <v>5962</v>
      </c>
      <c r="Q661" t="s">
        <v>3433</v>
      </c>
      <c r="R661">
        <v>605120016</v>
      </c>
      <c r="T661" t="s">
        <v>7</v>
      </c>
      <c r="U661" s="3" t="str">
        <f>+VLOOKUP(Sites_per_tag[[#This Row],[Activity_tag]],Parameter!$A$24:$B$32,2,0)</f>
        <v>SMP</v>
      </c>
      <c r="W661">
        <v>44.884659999999997</v>
      </c>
      <c r="X661">
        <v>-24.263002</v>
      </c>
    </row>
    <row r="662" spans="1:24" x14ac:dyDescent="0.35">
      <c r="A662" s="3" t="str">
        <f t="shared" si="10"/>
        <v>605130002SMP</v>
      </c>
      <c r="B662" t="s">
        <v>6267</v>
      </c>
      <c r="C662">
        <f>+VLOOKUP(Sites_per_tag[[#This Row],[Field_office]],Parameter!$A$3:$B$11,2,0)</f>
        <v>9</v>
      </c>
      <c r="E662" t="s">
        <v>5650</v>
      </c>
      <c r="F662" t="s">
        <v>5654</v>
      </c>
      <c r="H662" t="str">
        <f ca="1">PROPER(Sites_per_tag[[#This Row],[Adm2Name]])</f>
        <v>Ampanihy Ouest</v>
      </c>
      <c r="I662" t="s">
        <v>5660</v>
      </c>
      <c r="K662" t="s">
        <v>5719</v>
      </c>
      <c r="L662" t="s">
        <v>5983</v>
      </c>
      <c r="Q662" t="s">
        <v>6306</v>
      </c>
      <c r="R662">
        <v>605130002</v>
      </c>
      <c r="T662" t="s">
        <v>7</v>
      </c>
      <c r="U662" s="3" t="str">
        <f>+VLOOKUP(Sites_per_tag[[#This Row],[Activity_tag]],Parameter!$A$24:$B$32,2,0)</f>
        <v>SMP</v>
      </c>
      <c r="W662">
        <v>43.852525999999997</v>
      </c>
      <c r="X662">
        <v>-24.500637000000001</v>
      </c>
    </row>
    <row r="663" spans="1:24" x14ac:dyDescent="0.35">
      <c r="A663" s="3" t="str">
        <f t="shared" si="10"/>
        <v>605130005SMP</v>
      </c>
      <c r="B663" t="s">
        <v>6267</v>
      </c>
      <c r="C663">
        <f>+VLOOKUP(Sites_per_tag[[#This Row],[Field_office]],Parameter!$A$3:$B$11,2,0)</f>
        <v>9</v>
      </c>
      <c r="E663" t="s">
        <v>5650</v>
      </c>
      <c r="F663" t="s">
        <v>5654</v>
      </c>
      <c r="H663" t="str">
        <f ca="1">PROPER(Sites_per_tag[[#This Row],[Adm2Name]])</f>
        <v>Ampanihy Ouest</v>
      </c>
      <c r="I663" t="s">
        <v>5660</v>
      </c>
      <c r="K663" t="s">
        <v>5719</v>
      </c>
      <c r="L663" t="s">
        <v>5983</v>
      </c>
      <c r="Q663" t="s">
        <v>2058</v>
      </c>
      <c r="R663">
        <v>605130005</v>
      </c>
      <c r="T663" t="s">
        <v>7</v>
      </c>
      <c r="U663" s="3" t="str">
        <f>+VLOOKUP(Sites_per_tag[[#This Row],[Activity_tag]],Parameter!$A$24:$B$32,2,0)</f>
        <v>SMP</v>
      </c>
      <c r="W663">
        <v>43.797179</v>
      </c>
      <c r="X663">
        <v>-24.450613000000001</v>
      </c>
    </row>
    <row r="664" spans="1:24" x14ac:dyDescent="0.35">
      <c r="A664" s="3" t="str">
        <f t="shared" si="10"/>
        <v>605130006SMP</v>
      </c>
      <c r="B664" t="s">
        <v>6267</v>
      </c>
      <c r="C664">
        <f>+VLOOKUP(Sites_per_tag[[#This Row],[Field_office]],Parameter!$A$3:$B$11,2,0)</f>
        <v>9</v>
      </c>
      <c r="E664" t="s">
        <v>5650</v>
      </c>
      <c r="F664" t="s">
        <v>5654</v>
      </c>
      <c r="H664" t="str">
        <f ca="1">PROPER(Sites_per_tag[[#This Row],[Adm2Name]])</f>
        <v>Ampanihy Ouest</v>
      </c>
      <c r="I664" t="s">
        <v>5660</v>
      </c>
      <c r="K664" t="s">
        <v>5719</v>
      </c>
      <c r="L664" t="s">
        <v>5983</v>
      </c>
      <c r="Q664" t="s">
        <v>2347</v>
      </c>
      <c r="R664">
        <v>605130006</v>
      </c>
      <c r="T664" t="s">
        <v>7</v>
      </c>
      <c r="U664" s="3" t="str">
        <f>+VLOOKUP(Sites_per_tag[[#This Row],[Activity_tag]],Parameter!$A$24:$B$32,2,0)</f>
        <v>SMP</v>
      </c>
      <c r="W664">
        <v>43.927160000000001</v>
      </c>
      <c r="X664">
        <v>-24.600183999999999</v>
      </c>
    </row>
    <row r="665" spans="1:24" x14ac:dyDescent="0.35">
      <c r="A665" s="3" t="str">
        <f t="shared" si="10"/>
        <v>605130007SMP</v>
      </c>
      <c r="B665" t="s">
        <v>6267</v>
      </c>
      <c r="C665">
        <f>+VLOOKUP(Sites_per_tag[[#This Row],[Field_office]],Parameter!$A$3:$B$11,2,0)</f>
        <v>9</v>
      </c>
      <c r="E665" t="s">
        <v>5650</v>
      </c>
      <c r="F665" t="s">
        <v>5654</v>
      </c>
      <c r="H665" t="str">
        <f ca="1">PROPER(Sites_per_tag[[#This Row],[Adm2Name]])</f>
        <v>Ampanihy Ouest</v>
      </c>
      <c r="I665" t="s">
        <v>5660</v>
      </c>
      <c r="K665" t="s">
        <v>955</v>
      </c>
      <c r="L665" t="s">
        <v>5808</v>
      </c>
      <c r="Q665" t="s">
        <v>3745</v>
      </c>
      <c r="R665">
        <v>605130007</v>
      </c>
      <c r="T665" t="s">
        <v>7</v>
      </c>
      <c r="U665" s="3" t="str">
        <f>+VLOOKUP(Sites_per_tag[[#This Row],[Activity_tag]],Parameter!$A$24:$B$32,2,0)</f>
        <v>SMP</v>
      </c>
      <c r="W665">
        <v>44.100278000000003</v>
      </c>
      <c r="X665">
        <v>-24.974730000000001</v>
      </c>
    </row>
    <row r="666" spans="1:24" x14ac:dyDescent="0.35">
      <c r="A666" s="3" t="str">
        <f t="shared" si="10"/>
        <v>605130008SMP</v>
      </c>
      <c r="B666" t="s">
        <v>6267</v>
      </c>
      <c r="C666">
        <f>+VLOOKUP(Sites_per_tag[[#This Row],[Field_office]],Parameter!$A$3:$B$11,2,0)</f>
        <v>9</v>
      </c>
      <c r="E666" t="s">
        <v>5650</v>
      </c>
      <c r="F666" t="s">
        <v>5654</v>
      </c>
      <c r="H666" t="str">
        <f ca="1">PROPER(Sites_per_tag[[#This Row],[Adm2Name]])</f>
        <v>Ampanihy Ouest</v>
      </c>
      <c r="I666" t="s">
        <v>5660</v>
      </c>
      <c r="K666" t="s">
        <v>5719</v>
      </c>
      <c r="L666" t="s">
        <v>5983</v>
      </c>
      <c r="Q666" t="s">
        <v>6307</v>
      </c>
      <c r="R666">
        <v>605130008</v>
      </c>
      <c r="T666" t="s">
        <v>7</v>
      </c>
      <c r="U666" s="3" t="str">
        <f>+VLOOKUP(Sites_per_tag[[#This Row],[Activity_tag]],Parameter!$A$24:$B$32,2,0)</f>
        <v>SMP</v>
      </c>
      <c r="W666">
        <v>43.979667999999997</v>
      </c>
      <c r="X666">
        <v>-24.804136</v>
      </c>
    </row>
    <row r="667" spans="1:24" x14ac:dyDescent="0.35">
      <c r="A667" s="3" t="str">
        <f t="shared" si="10"/>
        <v>605130009SMP</v>
      </c>
      <c r="B667" t="s">
        <v>6267</v>
      </c>
      <c r="C667">
        <f>+VLOOKUP(Sites_per_tag[[#This Row],[Field_office]],Parameter!$A$3:$B$11,2,0)</f>
        <v>9</v>
      </c>
      <c r="E667" t="s">
        <v>5650</v>
      </c>
      <c r="F667" t="s">
        <v>5654</v>
      </c>
      <c r="H667" t="str">
        <f ca="1">PROPER(Sites_per_tag[[#This Row],[Adm2Name]])</f>
        <v>Ampanihy Ouest</v>
      </c>
      <c r="I667" t="s">
        <v>5660</v>
      </c>
      <c r="K667" t="s">
        <v>955</v>
      </c>
      <c r="L667" t="s">
        <v>5808</v>
      </c>
      <c r="Q667" t="s">
        <v>4247</v>
      </c>
      <c r="R667">
        <v>605130009</v>
      </c>
      <c r="T667" t="s">
        <v>7</v>
      </c>
      <c r="U667" s="3" t="str">
        <f>+VLOOKUP(Sites_per_tag[[#This Row],[Activity_tag]],Parameter!$A$24:$B$32,2,0)</f>
        <v>SMP</v>
      </c>
      <c r="W667">
        <v>44.09919</v>
      </c>
      <c r="X667">
        <v>-24.934816999999999</v>
      </c>
    </row>
    <row r="668" spans="1:24" x14ac:dyDescent="0.35">
      <c r="A668" s="3" t="str">
        <f t="shared" si="10"/>
        <v>605130010SMP</v>
      </c>
      <c r="B668" t="s">
        <v>6267</v>
      </c>
      <c r="C668">
        <f>+VLOOKUP(Sites_per_tag[[#This Row],[Field_office]],Parameter!$A$3:$B$11,2,0)</f>
        <v>9</v>
      </c>
      <c r="E668" t="s">
        <v>5650</v>
      </c>
      <c r="F668" t="s">
        <v>5654</v>
      </c>
      <c r="H668" t="str">
        <f ca="1">PROPER(Sites_per_tag[[#This Row],[Adm2Name]])</f>
        <v>Ampanihy Ouest</v>
      </c>
      <c r="I668" t="s">
        <v>5660</v>
      </c>
      <c r="K668" t="s">
        <v>5799</v>
      </c>
      <c r="L668" t="s">
        <v>5942</v>
      </c>
      <c r="Q668" t="s">
        <v>6308</v>
      </c>
      <c r="R668">
        <v>605130010</v>
      </c>
      <c r="T668" t="s">
        <v>7</v>
      </c>
      <c r="U668" s="3" t="str">
        <f>+VLOOKUP(Sites_per_tag[[#This Row],[Activity_tag]],Parameter!$A$24:$B$32,2,0)</f>
        <v>SMP</v>
      </c>
      <c r="W668">
        <v>44.333460000000002</v>
      </c>
      <c r="X668">
        <v>-24.586542999999999</v>
      </c>
    </row>
    <row r="669" spans="1:24" x14ac:dyDescent="0.35">
      <c r="A669" s="3" t="str">
        <f t="shared" si="10"/>
        <v>605130011SMP</v>
      </c>
      <c r="B669" t="s">
        <v>6267</v>
      </c>
      <c r="C669">
        <f>+VLOOKUP(Sites_per_tag[[#This Row],[Field_office]],Parameter!$A$3:$B$11,2,0)</f>
        <v>9</v>
      </c>
      <c r="E669" t="s">
        <v>5650</v>
      </c>
      <c r="F669" t="s">
        <v>5654</v>
      </c>
      <c r="H669" t="str">
        <f ca="1">PROPER(Sites_per_tag[[#This Row],[Adm2Name]])</f>
        <v>Ampanihy Ouest</v>
      </c>
      <c r="I669" t="s">
        <v>5660</v>
      </c>
      <c r="K669" t="s">
        <v>955</v>
      </c>
      <c r="L669" t="s">
        <v>5808</v>
      </c>
      <c r="Q669" t="s">
        <v>6309</v>
      </c>
      <c r="R669">
        <v>605130011</v>
      </c>
      <c r="T669" t="s">
        <v>7</v>
      </c>
      <c r="U669" s="3" t="str">
        <f>+VLOOKUP(Sites_per_tag[[#This Row],[Activity_tag]],Parameter!$A$24:$B$32,2,0)</f>
        <v>SMP</v>
      </c>
      <c r="W669">
        <v>44.052030000000002</v>
      </c>
      <c r="X669">
        <v>-24.881461999999999</v>
      </c>
    </row>
    <row r="670" spans="1:24" x14ac:dyDescent="0.35">
      <c r="A670" s="3" t="str">
        <f t="shared" si="10"/>
        <v>605130013SMP</v>
      </c>
      <c r="B670" t="s">
        <v>6267</v>
      </c>
      <c r="C670">
        <f>+VLOOKUP(Sites_per_tag[[#This Row],[Field_office]],Parameter!$A$3:$B$11,2,0)</f>
        <v>9</v>
      </c>
      <c r="E670" t="s">
        <v>5650</v>
      </c>
      <c r="F670" t="s">
        <v>5654</v>
      </c>
      <c r="H670" t="str">
        <f ca="1">PROPER(Sites_per_tag[[#This Row],[Adm2Name]])</f>
        <v>Ampanihy Ouest</v>
      </c>
      <c r="I670" t="s">
        <v>5660</v>
      </c>
      <c r="K670" t="s">
        <v>5719</v>
      </c>
      <c r="L670" t="s">
        <v>5983</v>
      </c>
      <c r="Q670" t="s">
        <v>1589</v>
      </c>
      <c r="R670">
        <v>605130013</v>
      </c>
      <c r="T670" t="s">
        <v>7</v>
      </c>
      <c r="U670" s="3" t="str">
        <f>+VLOOKUP(Sites_per_tag[[#This Row],[Activity_tag]],Parameter!$A$24:$B$32,2,0)</f>
        <v>SMP</v>
      </c>
      <c r="W670">
        <v>43.845280000000002</v>
      </c>
      <c r="X670">
        <v>-24.504899999999999</v>
      </c>
    </row>
    <row r="671" spans="1:24" x14ac:dyDescent="0.35">
      <c r="A671" s="3" t="str">
        <f t="shared" si="10"/>
        <v>605130014SMP</v>
      </c>
      <c r="B671" t="s">
        <v>6267</v>
      </c>
      <c r="C671">
        <f>+VLOOKUP(Sites_per_tag[[#This Row],[Field_office]],Parameter!$A$3:$B$11,2,0)</f>
        <v>9</v>
      </c>
      <c r="E671" t="s">
        <v>5650</v>
      </c>
      <c r="F671" t="s">
        <v>5654</v>
      </c>
      <c r="H671" t="str">
        <f ca="1">PROPER(Sites_per_tag[[#This Row],[Adm2Name]])</f>
        <v>Ampanihy Ouest</v>
      </c>
      <c r="I671" t="s">
        <v>5660</v>
      </c>
      <c r="K671" t="s">
        <v>955</v>
      </c>
      <c r="L671" t="s">
        <v>5808</v>
      </c>
      <c r="Q671" t="s">
        <v>6310</v>
      </c>
      <c r="R671">
        <v>605130014</v>
      </c>
      <c r="T671" t="s">
        <v>7</v>
      </c>
      <c r="U671" s="3" t="str">
        <f>+VLOOKUP(Sites_per_tag[[#This Row],[Activity_tag]],Parameter!$A$24:$B$32,2,0)</f>
        <v>SMP</v>
      </c>
      <c r="W671">
        <v>44.022367000000003</v>
      </c>
      <c r="X671">
        <v>-24.855907999999999</v>
      </c>
    </row>
    <row r="672" spans="1:24" x14ac:dyDescent="0.35">
      <c r="A672" s="3" t="str">
        <f t="shared" si="10"/>
        <v>605130015SMP</v>
      </c>
      <c r="B672" t="s">
        <v>6267</v>
      </c>
      <c r="C672">
        <f>+VLOOKUP(Sites_per_tag[[#This Row],[Field_office]],Parameter!$A$3:$B$11,2,0)</f>
        <v>9</v>
      </c>
      <c r="E672" t="s">
        <v>5650</v>
      </c>
      <c r="F672" t="s">
        <v>5654</v>
      </c>
      <c r="H672" t="str">
        <f ca="1">PROPER(Sites_per_tag[[#This Row],[Adm2Name]])</f>
        <v>Ampanihy Ouest</v>
      </c>
      <c r="I672" t="s">
        <v>5660</v>
      </c>
      <c r="K672" t="s">
        <v>5719</v>
      </c>
      <c r="L672" t="s">
        <v>5983</v>
      </c>
      <c r="Q672" t="s">
        <v>1941</v>
      </c>
      <c r="R672">
        <v>605130015</v>
      </c>
      <c r="T672" t="s">
        <v>7</v>
      </c>
      <c r="U672" s="3" t="str">
        <f>+VLOOKUP(Sites_per_tag[[#This Row],[Activity_tag]],Parameter!$A$24:$B$32,2,0)</f>
        <v>SMP</v>
      </c>
      <c r="W672">
        <v>43.839480999999999</v>
      </c>
      <c r="X672">
        <v>-24.473082000000002</v>
      </c>
    </row>
    <row r="673" spans="1:24" x14ac:dyDescent="0.35">
      <c r="A673" s="3" t="str">
        <f t="shared" si="10"/>
        <v>605130016SMP</v>
      </c>
      <c r="B673" t="s">
        <v>6267</v>
      </c>
      <c r="C673">
        <f>+VLOOKUP(Sites_per_tag[[#This Row],[Field_office]],Parameter!$A$3:$B$11,2,0)</f>
        <v>9</v>
      </c>
      <c r="E673" t="s">
        <v>5650</v>
      </c>
      <c r="F673" t="s">
        <v>5654</v>
      </c>
      <c r="H673" t="str">
        <f ca="1">PROPER(Sites_per_tag[[#This Row],[Adm2Name]])</f>
        <v>Ampanihy Ouest</v>
      </c>
      <c r="I673" t="s">
        <v>5660</v>
      </c>
      <c r="K673" t="s">
        <v>5719</v>
      </c>
      <c r="L673" t="s">
        <v>5983</v>
      </c>
      <c r="Q673" t="s">
        <v>2051</v>
      </c>
      <c r="R673">
        <v>605130016</v>
      </c>
      <c r="T673" t="s">
        <v>7</v>
      </c>
      <c r="U673" s="3" t="str">
        <f>+VLOOKUP(Sites_per_tag[[#This Row],[Activity_tag]],Parameter!$A$24:$B$32,2,0)</f>
        <v>SMP</v>
      </c>
      <c r="W673">
        <v>43.960455000000003</v>
      </c>
      <c r="X673">
        <v>-24.786985999999999</v>
      </c>
    </row>
    <row r="674" spans="1:24" x14ac:dyDescent="0.35">
      <c r="A674" s="3" t="str">
        <f t="shared" si="10"/>
        <v>605130017SMP</v>
      </c>
      <c r="B674" t="s">
        <v>6267</v>
      </c>
      <c r="C674">
        <f>+VLOOKUP(Sites_per_tag[[#This Row],[Field_office]],Parameter!$A$3:$B$11,2,0)</f>
        <v>9</v>
      </c>
      <c r="E674" t="s">
        <v>5650</v>
      </c>
      <c r="F674" t="s">
        <v>5654</v>
      </c>
      <c r="H674" t="str">
        <f ca="1">PROPER(Sites_per_tag[[#This Row],[Adm2Name]])</f>
        <v>Ampanihy Ouest</v>
      </c>
      <c r="I674" t="s">
        <v>5660</v>
      </c>
      <c r="K674" t="s">
        <v>955</v>
      </c>
      <c r="L674" t="s">
        <v>5808</v>
      </c>
      <c r="Q674" t="s">
        <v>6311</v>
      </c>
      <c r="R674">
        <v>605130017</v>
      </c>
      <c r="T674" t="s">
        <v>7</v>
      </c>
      <c r="U674" s="3" t="str">
        <f>+VLOOKUP(Sites_per_tag[[#This Row],[Activity_tag]],Parameter!$A$24:$B$32,2,0)</f>
        <v>SMP</v>
      </c>
      <c r="W674">
        <v>44.118848</v>
      </c>
      <c r="X674">
        <v>-24.954191000000002</v>
      </c>
    </row>
    <row r="675" spans="1:24" x14ac:dyDescent="0.35">
      <c r="A675" s="3" t="str">
        <f t="shared" si="10"/>
        <v>605130018SMP</v>
      </c>
      <c r="B675" t="s">
        <v>6267</v>
      </c>
      <c r="C675">
        <f>+VLOOKUP(Sites_per_tag[[#This Row],[Field_office]],Parameter!$A$3:$B$11,2,0)</f>
        <v>9</v>
      </c>
      <c r="E675" t="s">
        <v>5650</v>
      </c>
      <c r="F675" t="s">
        <v>5654</v>
      </c>
      <c r="H675" t="str">
        <f ca="1">PROPER(Sites_per_tag[[#This Row],[Adm2Name]])</f>
        <v>Ampanihy Ouest</v>
      </c>
      <c r="I675" t="s">
        <v>5660</v>
      </c>
      <c r="K675" t="s">
        <v>5719</v>
      </c>
      <c r="L675" t="s">
        <v>5983</v>
      </c>
      <c r="Q675" t="s">
        <v>4010</v>
      </c>
      <c r="R675">
        <v>605130018</v>
      </c>
      <c r="T675" t="s">
        <v>7</v>
      </c>
      <c r="U675" s="3" t="str">
        <f>+VLOOKUP(Sites_per_tag[[#This Row],[Activity_tag]],Parameter!$A$24:$B$32,2,0)</f>
        <v>SMP</v>
      </c>
      <c r="W675">
        <v>43.944367</v>
      </c>
      <c r="X675">
        <v>-24.689620000000001</v>
      </c>
    </row>
    <row r="676" spans="1:24" x14ac:dyDescent="0.35">
      <c r="A676" s="3" t="str">
        <f t="shared" si="10"/>
        <v>605130019SMP</v>
      </c>
      <c r="B676" t="s">
        <v>6267</v>
      </c>
      <c r="C676">
        <f>+VLOOKUP(Sites_per_tag[[#This Row],[Field_office]],Parameter!$A$3:$B$11,2,0)</f>
        <v>9</v>
      </c>
      <c r="E676" t="s">
        <v>5650</v>
      </c>
      <c r="F676" t="s">
        <v>5654</v>
      </c>
      <c r="H676" t="str">
        <f ca="1">PROPER(Sites_per_tag[[#This Row],[Adm2Name]])</f>
        <v>Ampanihy Ouest</v>
      </c>
      <c r="I676" t="s">
        <v>5660</v>
      </c>
      <c r="K676" t="s">
        <v>955</v>
      </c>
      <c r="L676" t="s">
        <v>5808</v>
      </c>
      <c r="Q676" t="s">
        <v>2077</v>
      </c>
      <c r="R676">
        <v>605130019</v>
      </c>
      <c r="T676" t="s">
        <v>7</v>
      </c>
      <c r="U676" s="3" t="str">
        <f>+VLOOKUP(Sites_per_tag[[#This Row],[Activity_tag]],Parameter!$A$24:$B$32,2,0)</f>
        <v>SMP</v>
      </c>
      <c r="W676">
        <v>44.021532000000001</v>
      </c>
      <c r="X676">
        <v>-24.835754999999999</v>
      </c>
    </row>
    <row r="677" spans="1:24" x14ac:dyDescent="0.35">
      <c r="A677" s="3" t="str">
        <f t="shared" si="10"/>
        <v>605130020SMP</v>
      </c>
      <c r="B677" t="s">
        <v>6267</v>
      </c>
      <c r="C677">
        <f>+VLOOKUP(Sites_per_tag[[#This Row],[Field_office]],Parameter!$A$3:$B$11,2,0)</f>
        <v>9</v>
      </c>
      <c r="E677" t="s">
        <v>5650</v>
      </c>
      <c r="F677" t="s">
        <v>5654</v>
      </c>
      <c r="H677" t="str">
        <f ca="1">PROPER(Sites_per_tag[[#This Row],[Adm2Name]])</f>
        <v>Ampanihy Ouest</v>
      </c>
      <c r="I677" t="s">
        <v>5660</v>
      </c>
      <c r="K677" t="s">
        <v>5719</v>
      </c>
      <c r="L677" t="s">
        <v>5983</v>
      </c>
      <c r="Q677" t="s">
        <v>2608</v>
      </c>
      <c r="R677">
        <v>605130020</v>
      </c>
      <c r="T677" t="s">
        <v>7</v>
      </c>
      <c r="U677" s="3" t="str">
        <f>+VLOOKUP(Sites_per_tag[[#This Row],[Activity_tag]],Parameter!$A$24:$B$32,2,0)</f>
        <v>SMP</v>
      </c>
      <c r="W677">
        <v>43.945590000000003</v>
      </c>
      <c r="X677">
        <v>-24.68375</v>
      </c>
    </row>
    <row r="678" spans="1:24" x14ac:dyDescent="0.35">
      <c r="A678" s="3" t="str">
        <f t="shared" si="10"/>
        <v>605130023SMP</v>
      </c>
      <c r="B678" t="s">
        <v>6267</v>
      </c>
      <c r="C678">
        <f>+VLOOKUP(Sites_per_tag[[#This Row],[Field_office]],Parameter!$A$3:$B$11,2,0)</f>
        <v>9</v>
      </c>
      <c r="E678" t="s">
        <v>5650</v>
      </c>
      <c r="F678" t="s">
        <v>5654</v>
      </c>
      <c r="H678" t="str">
        <f ca="1">PROPER(Sites_per_tag[[#This Row],[Adm2Name]])</f>
        <v>Ampanihy Ouest</v>
      </c>
      <c r="I678" t="s">
        <v>5660</v>
      </c>
      <c r="K678" t="s">
        <v>5719</v>
      </c>
      <c r="L678" t="s">
        <v>5983</v>
      </c>
      <c r="Q678" t="s">
        <v>6312</v>
      </c>
      <c r="R678">
        <v>605130023</v>
      </c>
      <c r="T678" t="s">
        <v>7</v>
      </c>
      <c r="U678" s="3" t="str">
        <f>+VLOOKUP(Sites_per_tag[[#This Row],[Activity_tag]],Parameter!$A$24:$B$32,2,0)</f>
        <v>SMP</v>
      </c>
      <c r="W678">
        <v>43.961387000000002</v>
      </c>
      <c r="X678">
        <v>-24.759974</v>
      </c>
    </row>
    <row r="679" spans="1:24" x14ac:dyDescent="0.35">
      <c r="A679" s="3" t="str">
        <f t="shared" si="10"/>
        <v>605130024SMP</v>
      </c>
      <c r="B679" t="s">
        <v>6267</v>
      </c>
      <c r="C679">
        <f>+VLOOKUP(Sites_per_tag[[#This Row],[Field_office]],Parameter!$A$3:$B$11,2,0)</f>
        <v>9</v>
      </c>
      <c r="E679" t="s">
        <v>5650</v>
      </c>
      <c r="F679" t="s">
        <v>5654</v>
      </c>
      <c r="H679" t="str">
        <f ca="1">PROPER(Sites_per_tag[[#This Row],[Adm2Name]])</f>
        <v>Ampanihy Ouest</v>
      </c>
      <c r="I679" t="s">
        <v>5660</v>
      </c>
      <c r="K679" t="s">
        <v>5719</v>
      </c>
      <c r="L679" t="s">
        <v>5983</v>
      </c>
      <c r="Q679" t="s">
        <v>6313</v>
      </c>
      <c r="R679">
        <v>605130024</v>
      </c>
      <c r="T679" t="s">
        <v>7</v>
      </c>
      <c r="U679" s="3" t="str">
        <f>+VLOOKUP(Sites_per_tag[[#This Row],[Activity_tag]],Parameter!$A$24:$B$32,2,0)</f>
        <v>SMP</v>
      </c>
      <c r="W679">
        <v>43.808762999999999</v>
      </c>
      <c r="X679">
        <v>-24.415019999999998</v>
      </c>
    </row>
    <row r="680" spans="1:24" x14ac:dyDescent="0.35">
      <c r="A680" s="3" t="str">
        <f t="shared" si="10"/>
        <v>605130028SMP</v>
      </c>
      <c r="B680" t="s">
        <v>6267</v>
      </c>
      <c r="C680">
        <f>+VLOOKUP(Sites_per_tag[[#This Row],[Field_office]],Parameter!$A$3:$B$11,2,0)</f>
        <v>9</v>
      </c>
      <c r="E680" t="s">
        <v>5650</v>
      </c>
      <c r="F680" t="s">
        <v>5654</v>
      </c>
      <c r="H680" t="str">
        <f ca="1">PROPER(Sites_per_tag[[#This Row],[Adm2Name]])</f>
        <v>Ampanihy Ouest</v>
      </c>
      <c r="I680" t="s">
        <v>5660</v>
      </c>
      <c r="K680" t="s">
        <v>5719</v>
      </c>
      <c r="L680" t="s">
        <v>5983</v>
      </c>
      <c r="Q680" t="s">
        <v>1170</v>
      </c>
      <c r="R680">
        <v>605130028</v>
      </c>
      <c r="T680" t="s">
        <v>7</v>
      </c>
      <c r="U680" s="3" t="str">
        <f>+VLOOKUP(Sites_per_tag[[#This Row],[Activity_tag]],Parameter!$A$24:$B$32,2,0)</f>
        <v>SMP</v>
      </c>
      <c r="W680">
        <v>43.898023000000002</v>
      </c>
      <c r="X680">
        <v>-24.542670999999999</v>
      </c>
    </row>
    <row r="681" spans="1:24" x14ac:dyDescent="0.35">
      <c r="A681" s="3" t="str">
        <f t="shared" si="10"/>
        <v>605131003SMP</v>
      </c>
      <c r="B681" t="s">
        <v>6267</v>
      </c>
      <c r="C681">
        <f>+VLOOKUP(Sites_per_tag[[#This Row],[Field_office]],Parameter!$A$3:$B$11,2,0)</f>
        <v>9</v>
      </c>
      <c r="E681" t="s">
        <v>5650</v>
      </c>
      <c r="F681" t="s">
        <v>5654</v>
      </c>
      <c r="H681" t="str">
        <f ca="1">PROPER(Sites_per_tag[[#This Row],[Adm2Name]])</f>
        <v>Ampanihy Ouest</v>
      </c>
      <c r="I681" t="s">
        <v>5660</v>
      </c>
      <c r="K681" t="s">
        <v>5719</v>
      </c>
      <c r="L681" t="s">
        <v>5983</v>
      </c>
      <c r="Q681" t="s">
        <v>9</v>
      </c>
      <c r="R681">
        <v>605131003</v>
      </c>
      <c r="T681" t="s">
        <v>7</v>
      </c>
      <c r="U681" s="3" t="str">
        <f>+VLOOKUP(Sites_per_tag[[#This Row],[Activity_tag]],Parameter!$A$24:$B$32,2,0)</f>
        <v>SMP</v>
      </c>
      <c r="W681">
        <v>43.7117</v>
      </c>
      <c r="X681">
        <v>-24.307196000000001</v>
      </c>
    </row>
    <row r="682" spans="1:24" x14ac:dyDescent="0.35">
      <c r="A682" s="3" t="str">
        <f t="shared" si="10"/>
        <v>605131004SMP</v>
      </c>
      <c r="B682" t="s">
        <v>6267</v>
      </c>
      <c r="C682">
        <f>+VLOOKUP(Sites_per_tag[[#This Row],[Field_office]],Parameter!$A$3:$B$11,2,0)</f>
        <v>9</v>
      </c>
      <c r="E682" t="s">
        <v>5650</v>
      </c>
      <c r="F682" t="s">
        <v>5654</v>
      </c>
      <c r="H682" t="str">
        <f ca="1">PROPER(Sites_per_tag[[#This Row],[Adm2Name]])</f>
        <v>Ampanihy Ouest</v>
      </c>
      <c r="I682" t="s">
        <v>5660</v>
      </c>
      <c r="K682" t="s">
        <v>5719</v>
      </c>
      <c r="L682" t="s">
        <v>5983</v>
      </c>
      <c r="Q682" t="s">
        <v>12</v>
      </c>
      <c r="R682">
        <v>605131004</v>
      </c>
      <c r="T682" t="s">
        <v>7</v>
      </c>
      <c r="U682" s="3" t="str">
        <f>+VLOOKUP(Sites_per_tag[[#This Row],[Activity_tag]],Parameter!$A$24:$B$32,2,0)</f>
        <v>SMP</v>
      </c>
      <c r="W682">
        <v>43.739559999999997</v>
      </c>
      <c r="X682">
        <v>-24.384444999999999</v>
      </c>
    </row>
    <row r="683" spans="1:24" x14ac:dyDescent="0.35">
      <c r="A683" s="3" t="str">
        <f t="shared" si="10"/>
        <v>605140001SMP</v>
      </c>
      <c r="B683" t="s">
        <v>6267</v>
      </c>
      <c r="C683">
        <f>+VLOOKUP(Sites_per_tag[[#This Row],[Field_office]],Parameter!$A$3:$B$11,2,0)</f>
        <v>9</v>
      </c>
      <c r="E683" t="s">
        <v>5650</v>
      </c>
      <c r="F683" t="s">
        <v>5654</v>
      </c>
      <c r="H683" t="str">
        <f ca="1">PROPER(Sites_per_tag[[#This Row],[Adm2Name]])</f>
        <v>Ampanihy Ouest</v>
      </c>
      <c r="I683" t="s">
        <v>5660</v>
      </c>
      <c r="K683" t="s">
        <v>2914</v>
      </c>
      <c r="L683" t="s">
        <v>6034</v>
      </c>
      <c r="Q683" t="s">
        <v>6314</v>
      </c>
      <c r="R683">
        <v>605140001</v>
      </c>
      <c r="T683" t="s">
        <v>7</v>
      </c>
      <c r="U683" s="3" t="str">
        <f>+VLOOKUP(Sites_per_tag[[#This Row],[Activity_tag]],Parameter!$A$24:$B$32,2,0)</f>
        <v>SMP</v>
      </c>
      <c r="W683">
        <v>44.838985000000001</v>
      </c>
      <c r="X683">
        <v>-24.543292000000001</v>
      </c>
    </row>
    <row r="684" spans="1:24" x14ac:dyDescent="0.35">
      <c r="A684" s="3" t="str">
        <f t="shared" si="10"/>
        <v>605140002SMP</v>
      </c>
      <c r="B684" t="s">
        <v>6267</v>
      </c>
      <c r="C684">
        <f>+VLOOKUP(Sites_per_tag[[#This Row],[Field_office]],Parameter!$A$3:$B$11,2,0)</f>
        <v>9</v>
      </c>
      <c r="E684" t="s">
        <v>5650</v>
      </c>
      <c r="F684" t="s">
        <v>5654</v>
      </c>
      <c r="H684" t="str">
        <f ca="1">PROPER(Sites_per_tag[[#This Row],[Adm2Name]])</f>
        <v>Ampanihy Ouest</v>
      </c>
      <c r="I684" t="s">
        <v>5660</v>
      </c>
      <c r="K684" t="s">
        <v>2914</v>
      </c>
      <c r="L684" t="s">
        <v>6034</v>
      </c>
      <c r="Q684" t="s">
        <v>1844</v>
      </c>
      <c r="R684">
        <v>605140002</v>
      </c>
      <c r="T684" t="s">
        <v>7</v>
      </c>
      <c r="U684" s="3" t="str">
        <f>+VLOOKUP(Sites_per_tag[[#This Row],[Activity_tag]],Parameter!$A$24:$B$32,2,0)</f>
        <v>SMP</v>
      </c>
      <c r="W684">
        <v>44.839838</v>
      </c>
      <c r="X684">
        <v>-24.585487000000001</v>
      </c>
    </row>
    <row r="685" spans="1:24" x14ac:dyDescent="0.35">
      <c r="A685" s="3" t="str">
        <f t="shared" si="10"/>
        <v>605140004SMP</v>
      </c>
      <c r="B685" t="s">
        <v>6267</v>
      </c>
      <c r="C685">
        <f>+VLOOKUP(Sites_per_tag[[#This Row],[Field_office]],Parameter!$A$3:$B$11,2,0)</f>
        <v>9</v>
      </c>
      <c r="E685" t="s">
        <v>5650</v>
      </c>
      <c r="F685" t="s">
        <v>5654</v>
      </c>
      <c r="H685" t="str">
        <f ca="1">PROPER(Sites_per_tag[[#This Row],[Adm2Name]])</f>
        <v>Ampanihy Ouest</v>
      </c>
      <c r="I685" t="s">
        <v>5660</v>
      </c>
      <c r="K685" t="s">
        <v>2914</v>
      </c>
      <c r="L685" t="s">
        <v>6034</v>
      </c>
      <c r="Q685" t="s">
        <v>2288</v>
      </c>
      <c r="R685">
        <v>605140004</v>
      </c>
      <c r="T685" t="s">
        <v>7</v>
      </c>
      <c r="U685" s="3" t="str">
        <f>+VLOOKUP(Sites_per_tag[[#This Row],[Activity_tag]],Parameter!$A$24:$B$32,2,0)</f>
        <v>SMP</v>
      </c>
      <c r="W685">
        <v>44.888052000000002</v>
      </c>
      <c r="X685">
        <v>-24.577584000000002</v>
      </c>
    </row>
    <row r="686" spans="1:24" x14ac:dyDescent="0.35">
      <c r="A686" s="3" t="str">
        <f t="shared" si="10"/>
        <v>605140005SMP</v>
      </c>
      <c r="B686" t="s">
        <v>6267</v>
      </c>
      <c r="C686">
        <f>+VLOOKUP(Sites_per_tag[[#This Row],[Field_office]],Parameter!$A$3:$B$11,2,0)</f>
        <v>9</v>
      </c>
      <c r="E686" t="s">
        <v>5650</v>
      </c>
      <c r="F686" t="s">
        <v>5654</v>
      </c>
      <c r="H686" t="str">
        <f ca="1">PROPER(Sites_per_tag[[#This Row],[Adm2Name]])</f>
        <v>Ampanihy Ouest</v>
      </c>
      <c r="I686" t="s">
        <v>5660</v>
      </c>
      <c r="K686" t="s">
        <v>2914</v>
      </c>
      <c r="L686" t="s">
        <v>6034</v>
      </c>
      <c r="Q686" t="s">
        <v>2307</v>
      </c>
      <c r="R686">
        <v>605140005</v>
      </c>
      <c r="T686" t="s">
        <v>7</v>
      </c>
      <c r="U686" s="3" t="str">
        <f>+VLOOKUP(Sites_per_tag[[#This Row],[Activity_tag]],Parameter!$A$24:$B$32,2,0)</f>
        <v>SMP</v>
      </c>
      <c r="W686">
        <v>44.844479999999997</v>
      </c>
      <c r="X686">
        <v>-24.485755999999999</v>
      </c>
    </row>
    <row r="687" spans="1:24" x14ac:dyDescent="0.35">
      <c r="A687" s="3" t="str">
        <f t="shared" si="10"/>
        <v>605140006SMP</v>
      </c>
      <c r="B687" t="s">
        <v>6267</v>
      </c>
      <c r="C687">
        <f>+VLOOKUP(Sites_per_tag[[#This Row],[Field_office]],Parameter!$A$3:$B$11,2,0)</f>
        <v>9</v>
      </c>
      <c r="E687" t="s">
        <v>5650</v>
      </c>
      <c r="F687" t="s">
        <v>5654</v>
      </c>
      <c r="H687" t="str">
        <f ca="1">PROPER(Sites_per_tag[[#This Row],[Adm2Name]])</f>
        <v>Ampanihy Ouest</v>
      </c>
      <c r="I687" t="s">
        <v>5660</v>
      </c>
      <c r="K687" t="s">
        <v>2914</v>
      </c>
      <c r="L687" t="s">
        <v>6034</v>
      </c>
      <c r="Q687" t="s">
        <v>6315</v>
      </c>
      <c r="R687">
        <v>605140006</v>
      </c>
      <c r="T687" t="s">
        <v>7</v>
      </c>
      <c r="U687" s="3" t="str">
        <f>+VLOOKUP(Sites_per_tag[[#This Row],[Activity_tag]],Parameter!$A$24:$B$32,2,0)</f>
        <v>SMP</v>
      </c>
      <c r="W687">
        <v>44.883181999999998</v>
      </c>
      <c r="X687">
        <v>-24.591989999999999</v>
      </c>
    </row>
    <row r="688" spans="1:24" x14ac:dyDescent="0.35">
      <c r="A688" s="3" t="str">
        <f t="shared" si="10"/>
        <v>605140007SMP</v>
      </c>
      <c r="B688" t="s">
        <v>6267</v>
      </c>
      <c r="C688">
        <f>+VLOOKUP(Sites_per_tag[[#This Row],[Field_office]],Parameter!$A$3:$B$11,2,0)</f>
        <v>9</v>
      </c>
      <c r="E688" t="s">
        <v>5650</v>
      </c>
      <c r="F688" t="s">
        <v>5654</v>
      </c>
      <c r="H688" t="str">
        <f ca="1">PROPER(Sites_per_tag[[#This Row],[Adm2Name]])</f>
        <v>Ampanihy Ouest</v>
      </c>
      <c r="I688" t="s">
        <v>5660</v>
      </c>
      <c r="K688" t="s">
        <v>2914</v>
      </c>
      <c r="L688" t="s">
        <v>6034</v>
      </c>
      <c r="Q688" t="s">
        <v>6316</v>
      </c>
      <c r="R688">
        <v>605140007</v>
      </c>
      <c r="T688" t="s">
        <v>7</v>
      </c>
      <c r="U688" s="3" t="str">
        <f>+VLOOKUP(Sites_per_tag[[#This Row],[Activity_tag]],Parameter!$A$24:$B$32,2,0)</f>
        <v>SMP</v>
      </c>
      <c r="W688">
        <v>44.867083999999998</v>
      </c>
      <c r="X688">
        <v>-24.584807000000001</v>
      </c>
    </row>
    <row r="689" spans="1:24" x14ac:dyDescent="0.35">
      <c r="A689" s="3" t="str">
        <f t="shared" si="10"/>
        <v>605140008SMP</v>
      </c>
      <c r="B689" t="s">
        <v>6267</v>
      </c>
      <c r="C689">
        <f>+VLOOKUP(Sites_per_tag[[#This Row],[Field_office]],Parameter!$A$3:$B$11,2,0)</f>
        <v>9</v>
      </c>
      <c r="E689" t="s">
        <v>5650</v>
      </c>
      <c r="F689" t="s">
        <v>5654</v>
      </c>
      <c r="H689" t="str">
        <f ca="1">PROPER(Sites_per_tag[[#This Row],[Adm2Name]])</f>
        <v>Ampanihy Ouest</v>
      </c>
      <c r="I689" t="s">
        <v>5660</v>
      </c>
      <c r="K689" t="s">
        <v>2914</v>
      </c>
      <c r="L689" t="s">
        <v>6034</v>
      </c>
      <c r="Q689" t="s">
        <v>6317</v>
      </c>
      <c r="R689">
        <v>605140008</v>
      </c>
      <c r="T689" t="s">
        <v>7</v>
      </c>
      <c r="U689" s="3" t="str">
        <f>+VLOOKUP(Sites_per_tag[[#This Row],[Activity_tag]],Parameter!$A$24:$B$32,2,0)</f>
        <v>SMP</v>
      </c>
      <c r="W689">
        <v>44.922364999999999</v>
      </c>
      <c r="X689">
        <v>-24.494859999999999</v>
      </c>
    </row>
    <row r="690" spans="1:24" x14ac:dyDescent="0.35">
      <c r="A690" s="3" t="str">
        <f t="shared" si="10"/>
        <v>605140009SMP</v>
      </c>
      <c r="B690" t="s">
        <v>6267</v>
      </c>
      <c r="C690">
        <f>+VLOOKUP(Sites_per_tag[[#This Row],[Field_office]],Parameter!$A$3:$B$11,2,0)</f>
        <v>9</v>
      </c>
      <c r="E690" t="s">
        <v>5650</v>
      </c>
      <c r="F690" t="s">
        <v>5654</v>
      </c>
      <c r="H690" t="str">
        <f ca="1">PROPER(Sites_per_tag[[#This Row],[Adm2Name]])</f>
        <v>Ampanihy Ouest</v>
      </c>
      <c r="I690" t="s">
        <v>5660</v>
      </c>
      <c r="K690" t="s">
        <v>2914</v>
      </c>
      <c r="L690" t="s">
        <v>6034</v>
      </c>
      <c r="Q690" t="s">
        <v>6318</v>
      </c>
      <c r="R690">
        <v>605140009</v>
      </c>
      <c r="T690" t="s">
        <v>7</v>
      </c>
      <c r="U690" s="3" t="str">
        <f>+VLOOKUP(Sites_per_tag[[#This Row],[Activity_tag]],Parameter!$A$24:$B$32,2,0)</f>
        <v>SMP</v>
      </c>
      <c r="W690">
        <v>44.816890000000001</v>
      </c>
      <c r="X690">
        <v>-24.500160000000001</v>
      </c>
    </row>
    <row r="691" spans="1:24" x14ac:dyDescent="0.35">
      <c r="A691" s="3" t="str">
        <f t="shared" si="10"/>
        <v>605150002SMP</v>
      </c>
      <c r="B691" t="s">
        <v>6267</v>
      </c>
      <c r="C691">
        <f>+VLOOKUP(Sites_per_tag[[#This Row],[Field_office]],Parameter!$A$3:$B$11,2,0)</f>
        <v>9</v>
      </c>
      <c r="E691" t="s">
        <v>5650</v>
      </c>
      <c r="F691" t="s">
        <v>5654</v>
      </c>
      <c r="H691" t="str">
        <f ca="1">PROPER(Sites_per_tag[[#This Row],[Adm2Name]])</f>
        <v>Ampanihy Ouest</v>
      </c>
      <c r="I691" t="s">
        <v>5660</v>
      </c>
      <c r="K691" t="s">
        <v>3938</v>
      </c>
      <c r="L691" t="s">
        <v>6169</v>
      </c>
      <c r="Q691" t="s">
        <v>199</v>
      </c>
      <c r="R691">
        <v>605150002</v>
      </c>
      <c r="T691" t="s">
        <v>7</v>
      </c>
      <c r="U691" s="3" t="str">
        <f>+VLOOKUP(Sites_per_tag[[#This Row],[Activity_tag]],Parameter!$A$24:$B$32,2,0)</f>
        <v>SMP</v>
      </c>
      <c r="W691">
        <v>44.619081000000001</v>
      </c>
      <c r="X691">
        <v>-24.101621000000002</v>
      </c>
    </row>
    <row r="692" spans="1:24" x14ac:dyDescent="0.35">
      <c r="A692" s="3" t="str">
        <f t="shared" si="10"/>
        <v>605150004SMP</v>
      </c>
      <c r="B692" t="s">
        <v>6267</v>
      </c>
      <c r="C692">
        <f>+VLOOKUP(Sites_per_tag[[#This Row],[Field_office]],Parameter!$A$3:$B$11,2,0)</f>
        <v>9</v>
      </c>
      <c r="E692" t="s">
        <v>5650</v>
      </c>
      <c r="F692" t="s">
        <v>5654</v>
      </c>
      <c r="H692" t="str">
        <f ca="1">PROPER(Sites_per_tag[[#This Row],[Adm2Name]])</f>
        <v>Ampanihy Ouest</v>
      </c>
      <c r="I692" t="s">
        <v>5660</v>
      </c>
      <c r="K692" t="s">
        <v>3938</v>
      </c>
      <c r="L692" t="s">
        <v>6169</v>
      </c>
      <c r="Q692" t="s">
        <v>1294</v>
      </c>
      <c r="R692">
        <v>605150004</v>
      </c>
      <c r="T692" t="s">
        <v>7</v>
      </c>
      <c r="U692" s="3" t="str">
        <f>+VLOOKUP(Sites_per_tag[[#This Row],[Activity_tag]],Parameter!$A$24:$B$32,2,0)</f>
        <v>SMP</v>
      </c>
      <c r="W692">
        <v>44.763705999999999</v>
      </c>
      <c r="X692">
        <v>-24.190731</v>
      </c>
    </row>
    <row r="693" spans="1:24" x14ac:dyDescent="0.35">
      <c r="A693" s="3" t="str">
        <f t="shared" si="10"/>
        <v>605150009SMP</v>
      </c>
      <c r="B693" t="s">
        <v>6267</v>
      </c>
      <c r="C693">
        <f>+VLOOKUP(Sites_per_tag[[#This Row],[Field_office]],Parameter!$A$3:$B$11,2,0)</f>
        <v>9</v>
      </c>
      <c r="E693" t="s">
        <v>5650</v>
      </c>
      <c r="F693" t="s">
        <v>5654</v>
      </c>
      <c r="H693" t="str">
        <f ca="1">PROPER(Sites_per_tag[[#This Row],[Adm2Name]])</f>
        <v>Ampanihy Ouest</v>
      </c>
      <c r="I693" t="s">
        <v>5660</v>
      </c>
      <c r="K693" t="s">
        <v>3938</v>
      </c>
      <c r="L693" t="s">
        <v>6169</v>
      </c>
      <c r="Q693" t="s">
        <v>2261</v>
      </c>
      <c r="R693">
        <v>605150009</v>
      </c>
      <c r="T693" t="s">
        <v>7</v>
      </c>
      <c r="U693" s="3" t="str">
        <f>+VLOOKUP(Sites_per_tag[[#This Row],[Activity_tag]],Parameter!$A$24:$B$32,2,0)</f>
        <v>SMP</v>
      </c>
      <c r="W693">
        <v>44.794683999999997</v>
      </c>
      <c r="X693">
        <v>-24.120308000000001</v>
      </c>
    </row>
    <row r="694" spans="1:24" x14ac:dyDescent="0.35">
      <c r="A694" s="3" t="str">
        <f t="shared" si="10"/>
        <v>605150013SMP</v>
      </c>
      <c r="B694" t="s">
        <v>6267</v>
      </c>
      <c r="C694">
        <f>+VLOOKUP(Sites_per_tag[[#This Row],[Field_office]],Parameter!$A$3:$B$11,2,0)</f>
        <v>9</v>
      </c>
      <c r="E694" t="s">
        <v>5650</v>
      </c>
      <c r="F694" t="s">
        <v>5654</v>
      </c>
      <c r="H694" t="str">
        <f ca="1">PROPER(Sites_per_tag[[#This Row],[Adm2Name]])</f>
        <v>Ampanihy Ouest</v>
      </c>
      <c r="I694" t="s">
        <v>5660</v>
      </c>
      <c r="K694" t="s">
        <v>3938</v>
      </c>
      <c r="L694" t="s">
        <v>6169</v>
      </c>
      <c r="Q694" t="s">
        <v>2160</v>
      </c>
      <c r="R694">
        <v>605150013</v>
      </c>
      <c r="T694" t="s">
        <v>7</v>
      </c>
      <c r="U694" s="3" t="str">
        <f>+VLOOKUP(Sites_per_tag[[#This Row],[Activity_tag]],Parameter!$A$24:$B$32,2,0)</f>
        <v>SMP</v>
      </c>
      <c r="W694">
        <v>44.799757</v>
      </c>
      <c r="X694">
        <v>-24.072115</v>
      </c>
    </row>
    <row r="695" spans="1:24" x14ac:dyDescent="0.35">
      <c r="A695" s="3" t="str">
        <f t="shared" si="10"/>
        <v>605150016SMP</v>
      </c>
      <c r="B695" t="s">
        <v>6267</v>
      </c>
      <c r="C695">
        <f>+VLOOKUP(Sites_per_tag[[#This Row],[Field_office]],Parameter!$A$3:$B$11,2,0)</f>
        <v>9</v>
      </c>
      <c r="E695" t="s">
        <v>5650</v>
      </c>
      <c r="F695" t="s">
        <v>5654</v>
      </c>
      <c r="H695" t="str">
        <f ca="1">PROPER(Sites_per_tag[[#This Row],[Adm2Name]])</f>
        <v>Ampanihy Ouest</v>
      </c>
      <c r="I695" t="s">
        <v>5660</v>
      </c>
      <c r="K695" t="s">
        <v>3938</v>
      </c>
      <c r="L695" t="s">
        <v>6169</v>
      </c>
      <c r="Q695" t="s">
        <v>206</v>
      </c>
      <c r="R695">
        <v>605150016</v>
      </c>
      <c r="T695" t="s">
        <v>7</v>
      </c>
      <c r="U695" s="3" t="str">
        <f>+VLOOKUP(Sites_per_tag[[#This Row],[Activity_tag]],Parameter!$A$24:$B$32,2,0)</f>
        <v>SMP</v>
      </c>
      <c r="W695">
        <v>44.796787999999999</v>
      </c>
      <c r="X695">
        <v>-24.140519000000001</v>
      </c>
    </row>
    <row r="696" spans="1:24" x14ac:dyDescent="0.35">
      <c r="A696" s="3" t="str">
        <f t="shared" si="10"/>
        <v>605150021SMP</v>
      </c>
      <c r="B696" t="s">
        <v>6267</v>
      </c>
      <c r="C696">
        <f>+VLOOKUP(Sites_per_tag[[#This Row],[Field_office]],Parameter!$A$3:$B$11,2,0)</f>
        <v>9</v>
      </c>
      <c r="E696" t="s">
        <v>5650</v>
      </c>
      <c r="F696" t="s">
        <v>5654</v>
      </c>
      <c r="H696" t="str">
        <f ca="1">PROPER(Sites_per_tag[[#This Row],[Adm2Name]])</f>
        <v>Ampanihy Ouest</v>
      </c>
      <c r="I696" t="s">
        <v>5660</v>
      </c>
      <c r="K696" t="s">
        <v>3938</v>
      </c>
      <c r="L696" t="s">
        <v>6169</v>
      </c>
      <c r="Q696" t="s">
        <v>6319</v>
      </c>
      <c r="R696">
        <v>605150021</v>
      </c>
      <c r="T696" t="s">
        <v>7</v>
      </c>
      <c r="U696" s="3" t="str">
        <f>+VLOOKUP(Sites_per_tag[[#This Row],[Activity_tag]],Parameter!$A$24:$B$32,2,0)</f>
        <v>SMP</v>
      </c>
      <c r="W696">
        <v>44.729885000000003</v>
      </c>
      <c r="X696">
        <v>-24.106016</v>
      </c>
    </row>
    <row r="697" spans="1:24" x14ac:dyDescent="0.35">
      <c r="A697" s="3" t="str">
        <f t="shared" si="10"/>
        <v>605160001SMP</v>
      </c>
      <c r="B697" t="s">
        <v>6267</v>
      </c>
      <c r="C697">
        <f>+VLOOKUP(Sites_per_tag[[#This Row],[Field_office]],Parameter!$A$3:$B$11,2,0)</f>
        <v>9</v>
      </c>
      <c r="E697" t="s">
        <v>5650</v>
      </c>
      <c r="F697" t="s">
        <v>5654</v>
      </c>
      <c r="H697" t="str">
        <f ca="1">PROPER(Sites_per_tag[[#This Row],[Adm2Name]])</f>
        <v>Ampanihy Ouest</v>
      </c>
      <c r="I697" t="s">
        <v>5660</v>
      </c>
      <c r="K697" t="s">
        <v>1244</v>
      </c>
      <c r="L697" t="s">
        <v>5838</v>
      </c>
      <c r="Q697" t="s">
        <v>477</v>
      </c>
      <c r="R697">
        <v>605160001</v>
      </c>
      <c r="T697" t="s">
        <v>7</v>
      </c>
      <c r="U697" s="3" t="str">
        <f>+VLOOKUP(Sites_per_tag[[#This Row],[Activity_tag]],Parameter!$A$24:$B$32,2,0)</f>
        <v>SMP</v>
      </c>
      <c r="W697">
        <v>44.826661000000001</v>
      </c>
      <c r="X697">
        <v>-24.652276000000001</v>
      </c>
    </row>
    <row r="698" spans="1:24" x14ac:dyDescent="0.35">
      <c r="A698" s="3" t="str">
        <f t="shared" si="10"/>
        <v>605160002SMP</v>
      </c>
      <c r="B698" t="s">
        <v>6267</v>
      </c>
      <c r="C698">
        <f>+VLOOKUP(Sites_per_tag[[#This Row],[Field_office]],Parameter!$A$3:$B$11,2,0)</f>
        <v>9</v>
      </c>
      <c r="E698" t="s">
        <v>5650</v>
      </c>
      <c r="F698" t="s">
        <v>5654</v>
      </c>
      <c r="H698" t="str">
        <f ca="1">PROPER(Sites_per_tag[[#This Row],[Adm2Name]])</f>
        <v>Ampanihy Ouest</v>
      </c>
      <c r="I698" t="s">
        <v>5660</v>
      </c>
      <c r="K698" t="s">
        <v>1244</v>
      </c>
      <c r="L698" t="s">
        <v>5838</v>
      </c>
      <c r="Q698" t="s">
        <v>1734</v>
      </c>
      <c r="R698">
        <v>605160002</v>
      </c>
      <c r="T698" t="s">
        <v>7</v>
      </c>
      <c r="U698" s="3" t="str">
        <f>+VLOOKUP(Sites_per_tag[[#This Row],[Activity_tag]],Parameter!$A$24:$B$32,2,0)</f>
        <v>SMP</v>
      </c>
      <c r="W698">
        <v>44.686169999999997</v>
      </c>
      <c r="X698">
        <v>-24.622772999999999</v>
      </c>
    </row>
    <row r="699" spans="1:24" x14ac:dyDescent="0.35">
      <c r="A699" s="3" t="str">
        <f t="shared" si="10"/>
        <v>605160003SMP</v>
      </c>
      <c r="B699" t="s">
        <v>6267</v>
      </c>
      <c r="C699">
        <f>+VLOOKUP(Sites_per_tag[[#This Row],[Field_office]],Parameter!$A$3:$B$11,2,0)</f>
        <v>9</v>
      </c>
      <c r="E699" t="s">
        <v>5650</v>
      </c>
      <c r="F699" t="s">
        <v>5654</v>
      </c>
      <c r="H699" t="str">
        <f ca="1">PROPER(Sites_per_tag[[#This Row],[Adm2Name]])</f>
        <v>Ampanihy Ouest</v>
      </c>
      <c r="I699" t="s">
        <v>5660</v>
      </c>
      <c r="K699" t="s">
        <v>1244</v>
      </c>
      <c r="L699" t="s">
        <v>5838</v>
      </c>
      <c r="Q699" t="s">
        <v>6320</v>
      </c>
      <c r="R699">
        <v>605160003</v>
      </c>
      <c r="T699" t="s">
        <v>7</v>
      </c>
      <c r="U699" s="3" t="str">
        <f>+VLOOKUP(Sites_per_tag[[#This Row],[Activity_tag]],Parameter!$A$24:$B$32,2,0)</f>
        <v>SMP</v>
      </c>
      <c r="W699">
        <v>44.80912</v>
      </c>
      <c r="X699">
        <v>-24.590413000000002</v>
      </c>
    </row>
    <row r="700" spans="1:24" x14ac:dyDescent="0.35">
      <c r="A700" s="3" t="str">
        <f t="shared" si="10"/>
        <v>605160004SMP</v>
      </c>
      <c r="B700" t="s">
        <v>6267</v>
      </c>
      <c r="C700">
        <f>+VLOOKUP(Sites_per_tag[[#This Row],[Field_office]],Parameter!$A$3:$B$11,2,0)</f>
        <v>9</v>
      </c>
      <c r="E700" t="s">
        <v>5650</v>
      </c>
      <c r="F700" t="s">
        <v>5654</v>
      </c>
      <c r="H700" t="str">
        <f ca="1">PROPER(Sites_per_tag[[#This Row],[Adm2Name]])</f>
        <v>Ampanihy Ouest</v>
      </c>
      <c r="I700" t="s">
        <v>5660</v>
      </c>
      <c r="K700" t="s">
        <v>1244</v>
      </c>
      <c r="L700" t="s">
        <v>5838</v>
      </c>
      <c r="Q700" t="s">
        <v>2306</v>
      </c>
      <c r="R700">
        <v>605160004</v>
      </c>
      <c r="T700" t="s">
        <v>7</v>
      </c>
      <c r="U700" s="3" t="str">
        <f>+VLOOKUP(Sites_per_tag[[#This Row],[Activity_tag]],Parameter!$A$24:$B$32,2,0)</f>
        <v>SMP</v>
      </c>
      <c r="W700">
        <v>44.701695000000001</v>
      </c>
      <c r="X700">
        <v>-24.742032999999999</v>
      </c>
    </row>
    <row r="701" spans="1:24" x14ac:dyDescent="0.35">
      <c r="A701" s="3" t="str">
        <f t="shared" si="10"/>
        <v>605160006SMP</v>
      </c>
      <c r="B701" t="s">
        <v>6267</v>
      </c>
      <c r="C701">
        <f>+VLOOKUP(Sites_per_tag[[#This Row],[Field_office]],Parameter!$A$3:$B$11,2,0)</f>
        <v>9</v>
      </c>
      <c r="E701" t="s">
        <v>5650</v>
      </c>
      <c r="F701" t="s">
        <v>5654</v>
      </c>
      <c r="H701" t="str">
        <f ca="1">PROPER(Sites_per_tag[[#This Row],[Adm2Name]])</f>
        <v>Ampanihy Ouest</v>
      </c>
      <c r="I701" t="s">
        <v>5660</v>
      </c>
      <c r="K701" t="s">
        <v>1244</v>
      </c>
      <c r="L701" t="s">
        <v>5838</v>
      </c>
      <c r="Q701" t="s">
        <v>6321</v>
      </c>
      <c r="R701">
        <v>605160006</v>
      </c>
      <c r="T701" t="s">
        <v>7</v>
      </c>
      <c r="U701" s="3" t="str">
        <f>+VLOOKUP(Sites_per_tag[[#This Row],[Activity_tag]],Parameter!$A$24:$B$32,2,0)</f>
        <v>SMP</v>
      </c>
      <c r="W701">
        <v>44.746653999999999</v>
      </c>
      <c r="X701">
        <v>-24.616952000000001</v>
      </c>
    </row>
    <row r="702" spans="1:24" x14ac:dyDescent="0.35">
      <c r="A702" s="3" t="str">
        <f t="shared" si="10"/>
        <v>605160007SMP</v>
      </c>
      <c r="B702" t="s">
        <v>6267</v>
      </c>
      <c r="C702">
        <f>+VLOOKUP(Sites_per_tag[[#This Row],[Field_office]],Parameter!$A$3:$B$11,2,0)</f>
        <v>9</v>
      </c>
      <c r="E702" t="s">
        <v>5650</v>
      </c>
      <c r="F702" t="s">
        <v>5654</v>
      </c>
      <c r="H702" t="str">
        <f ca="1">PROPER(Sites_per_tag[[#This Row],[Adm2Name]])</f>
        <v>Ampanihy Ouest</v>
      </c>
      <c r="I702" t="s">
        <v>5660</v>
      </c>
      <c r="K702" t="s">
        <v>1244</v>
      </c>
      <c r="L702" t="s">
        <v>5838</v>
      </c>
      <c r="Q702" t="s">
        <v>6322</v>
      </c>
      <c r="R702">
        <v>605160007</v>
      </c>
      <c r="T702" t="s">
        <v>7</v>
      </c>
      <c r="U702" s="3" t="str">
        <f>+VLOOKUP(Sites_per_tag[[#This Row],[Activity_tag]],Parameter!$A$24:$B$32,2,0)</f>
        <v>SMP</v>
      </c>
      <c r="W702">
        <v>44.726049000000003</v>
      </c>
      <c r="X702">
        <v>-24.682372999999998</v>
      </c>
    </row>
    <row r="703" spans="1:24" x14ac:dyDescent="0.35">
      <c r="A703" s="3" t="str">
        <f t="shared" si="10"/>
        <v>605160008SMP</v>
      </c>
      <c r="B703" t="s">
        <v>6267</v>
      </c>
      <c r="C703">
        <f>+VLOOKUP(Sites_per_tag[[#This Row],[Field_office]],Parameter!$A$3:$B$11,2,0)</f>
        <v>9</v>
      </c>
      <c r="E703" t="s">
        <v>5650</v>
      </c>
      <c r="F703" t="s">
        <v>5654</v>
      </c>
      <c r="H703" t="str">
        <f ca="1">PROPER(Sites_per_tag[[#This Row],[Adm2Name]])</f>
        <v>Ampanihy Ouest</v>
      </c>
      <c r="I703" t="s">
        <v>5660</v>
      </c>
      <c r="K703" t="s">
        <v>1244</v>
      </c>
      <c r="L703" t="s">
        <v>5838</v>
      </c>
      <c r="Q703" t="s">
        <v>6323</v>
      </c>
      <c r="R703">
        <v>605160008</v>
      </c>
      <c r="T703" t="s">
        <v>7</v>
      </c>
      <c r="U703" s="3" t="str">
        <f>+VLOOKUP(Sites_per_tag[[#This Row],[Activity_tag]],Parameter!$A$24:$B$32,2,0)</f>
        <v>SMP</v>
      </c>
      <c r="W703">
        <v>44.769227000000001</v>
      </c>
      <c r="X703">
        <v>-24.659776000000001</v>
      </c>
    </row>
    <row r="704" spans="1:24" x14ac:dyDescent="0.35">
      <c r="A704" s="3" t="str">
        <f t="shared" si="10"/>
        <v>605160010SMP</v>
      </c>
      <c r="B704" t="s">
        <v>6267</v>
      </c>
      <c r="C704">
        <f>+VLOOKUP(Sites_per_tag[[#This Row],[Field_office]],Parameter!$A$3:$B$11,2,0)</f>
        <v>9</v>
      </c>
      <c r="E704" t="s">
        <v>5650</v>
      </c>
      <c r="F704" t="s">
        <v>5654</v>
      </c>
      <c r="H704" t="str">
        <f ca="1">PROPER(Sites_per_tag[[#This Row],[Adm2Name]])</f>
        <v>Ampanihy Ouest</v>
      </c>
      <c r="I704" t="s">
        <v>5660</v>
      </c>
      <c r="K704" t="s">
        <v>1244</v>
      </c>
      <c r="L704" t="s">
        <v>5838</v>
      </c>
      <c r="Q704" t="s">
        <v>1798</v>
      </c>
      <c r="R704">
        <v>605160010</v>
      </c>
      <c r="T704" t="s">
        <v>7</v>
      </c>
      <c r="U704" s="3" t="str">
        <f>+VLOOKUP(Sites_per_tag[[#This Row],[Activity_tag]],Parameter!$A$24:$B$32,2,0)</f>
        <v>SMP</v>
      </c>
      <c r="W704">
        <v>44.578830000000004</v>
      </c>
      <c r="X704">
        <v>-24.693899999999999</v>
      </c>
    </row>
    <row r="705" spans="1:24" x14ac:dyDescent="0.35">
      <c r="A705" s="3" t="str">
        <f t="shared" si="10"/>
        <v>605160012SMP</v>
      </c>
      <c r="B705" t="s">
        <v>6267</v>
      </c>
      <c r="C705">
        <f>+VLOOKUP(Sites_per_tag[[#This Row],[Field_office]],Parameter!$A$3:$B$11,2,0)</f>
        <v>9</v>
      </c>
      <c r="E705" t="s">
        <v>5650</v>
      </c>
      <c r="F705" t="s">
        <v>5654</v>
      </c>
      <c r="H705" t="str">
        <f ca="1">PROPER(Sites_per_tag[[#This Row],[Adm2Name]])</f>
        <v>Ampanihy Ouest</v>
      </c>
      <c r="I705" t="s">
        <v>5660</v>
      </c>
      <c r="K705" t="s">
        <v>1244</v>
      </c>
      <c r="L705" t="s">
        <v>5838</v>
      </c>
      <c r="Q705" t="s">
        <v>6324</v>
      </c>
      <c r="R705">
        <v>605160012</v>
      </c>
      <c r="T705" t="s">
        <v>7</v>
      </c>
      <c r="U705" s="3" t="str">
        <f>+VLOOKUP(Sites_per_tag[[#This Row],[Activity_tag]],Parameter!$A$24:$B$32,2,0)</f>
        <v>SMP</v>
      </c>
      <c r="W705">
        <v>44.731589</v>
      </c>
      <c r="X705">
        <v>-24.739187000000001</v>
      </c>
    </row>
    <row r="706" spans="1:24" x14ac:dyDescent="0.35">
      <c r="A706" s="3" t="str">
        <f t="shared" si="10"/>
        <v>605160014SMP</v>
      </c>
      <c r="B706" t="s">
        <v>6267</v>
      </c>
      <c r="C706">
        <f>+VLOOKUP(Sites_per_tag[[#This Row],[Field_office]],Parameter!$A$3:$B$11,2,0)</f>
        <v>9</v>
      </c>
      <c r="E706" t="s">
        <v>5650</v>
      </c>
      <c r="F706" t="s">
        <v>5654</v>
      </c>
      <c r="H706" t="str">
        <f ca="1">PROPER(Sites_per_tag[[#This Row],[Adm2Name]])</f>
        <v>Ampanihy Ouest</v>
      </c>
      <c r="I706" t="s">
        <v>5660</v>
      </c>
      <c r="K706" t="s">
        <v>1244</v>
      </c>
      <c r="L706" t="s">
        <v>5838</v>
      </c>
      <c r="Q706" t="s">
        <v>2121</v>
      </c>
      <c r="R706">
        <v>605160014</v>
      </c>
      <c r="T706" t="s">
        <v>7</v>
      </c>
      <c r="U706" s="3" t="str">
        <f>+VLOOKUP(Sites_per_tag[[#This Row],[Activity_tag]],Parameter!$A$24:$B$32,2,0)</f>
        <v>SMP</v>
      </c>
      <c r="W706">
        <v>44.770553999999997</v>
      </c>
      <c r="X706">
        <v>-24.606971000000001</v>
      </c>
    </row>
    <row r="707" spans="1:24" x14ac:dyDescent="0.35">
      <c r="A707" s="3" t="str">
        <f t="shared" ref="A707:A770" si="11">+R707&amp;U707</f>
        <v>605170002SMP</v>
      </c>
      <c r="B707" t="s">
        <v>6267</v>
      </c>
      <c r="C707">
        <f>+VLOOKUP(Sites_per_tag[[#This Row],[Field_office]],Parameter!$A$3:$B$11,2,0)</f>
        <v>9</v>
      </c>
      <c r="E707" t="s">
        <v>5650</v>
      </c>
      <c r="F707" t="s">
        <v>5654</v>
      </c>
      <c r="H707" t="str">
        <f ca="1">PROPER(Sites_per_tag[[#This Row],[Adm2Name]])</f>
        <v>Ampanihy Ouest</v>
      </c>
      <c r="I707" t="s">
        <v>5660</v>
      </c>
      <c r="K707" t="s">
        <v>5877</v>
      </c>
      <c r="L707" t="s">
        <v>5878</v>
      </c>
      <c r="Q707" t="s">
        <v>1132</v>
      </c>
      <c r="R707">
        <v>605170002</v>
      </c>
      <c r="T707" t="s">
        <v>7</v>
      </c>
      <c r="U707" s="3" t="str">
        <f>+VLOOKUP(Sites_per_tag[[#This Row],[Activity_tag]],Parameter!$A$24:$B$32,2,0)</f>
        <v>SMP</v>
      </c>
      <c r="W707">
        <v>44.376798999999998</v>
      </c>
      <c r="X707">
        <v>-24.047530999999999</v>
      </c>
    </row>
    <row r="708" spans="1:24" x14ac:dyDescent="0.35">
      <c r="A708" s="3" t="str">
        <f t="shared" si="11"/>
        <v>605170003SMP</v>
      </c>
      <c r="B708" t="s">
        <v>6267</v>
      </c>
      <c r="C708">
        <f>+VLOOKUP(Sites_per_tag[[#This Row],[Field_office]],Parameter!$A$3:$B$11,2,0)</f>
        <v>9</v>
      </c>
      <c r="E708" t="s">
        <v>5650</v>
      </c>
      <c r="F708" t="s">
        <v>5654</v>
      </c>
      <c r="H708" t="str">
        <f ca="1">PROPER(Sites_per_tag[[#This Row],[Adm2Name]])</f>
        <v>Ampanihy Ouest</v>
      </c>
      <c r="I708" t="s">
        <v>5660</v>
      </c>
      <c r="K708" t="s">
        <v>5877</v>
      </c>
      <c r="L708" t="s">
        <v>5878</v>
      </c>
      <c r="Q708" t="s">
        <v>2260</v>
      </c>
      <c r="R708">
        <v>605170003</v>
      </c>
      <c r="T708" t="s">
        <v>7</v>
      </c>
      <c r="U708" s="3" t="str">
        <f>+VLOOKUP(Sites_per_tag[[#This Row],[Activity_tag]],Parameter!$A$24:$B$32,2,0)</f>
        <v>SMP</v>
      </c>
      <c r="W708">
        <v>44.593798999999997</v>
      </c>
      <c r="X708">
        <v>-24.135717</v>
      </c>
    </row>
    <row r="709" spans="1:24" x14ac:dyDescent="0.35">
      <c r="A709" s="3" t="str">
        <f t="shared" si="11"/>
        <v>605170004SMP</v>
      </c>
      <c r="B709" t="s">
        <v>6267</v>
      </c>
      <c r="C709">
        <f>+VLOOKUP(Sites_per_tag[[#This Row],[Field_office]],Parameter!$A$3:$B$11,2,0)</f>
        <v>9</v>
      </c>
      <c r="E709" t="s">
        <v>5650</v>
      </c>
      <c r="F709" t="s">
        <v>5654</v>
      </c>
      <c r="H709" t="str">
        <f ca="1">PROPER(Sites_per_tag[[#This Row],[Adm2Name]])</f>
        <v>Ampanihy Ouest</v>
      </c>
      <c r="I709" t="s">
        <v>5660</v>
      </c>
      <c r="K709" t="s">
        <v>5877</v>
      </c>
      <c r="L709" t="s">
        <v>5878</v>
      </c>
      <c r="Q709" t="s">
        <v>1891</v>
      </c>
      <c r="R709">
        <v>605170004</v>
      </c>
      <c r="T709" t="s">
        <v>7</v>
      </c>
      <c r="U709" s="3" t="str">
        <f>+VLOOKUP(Sites_per_tag[[#This Row],[Activity_tag]],Parameter!$A$24:$B$32,2,0)</f>
        <v>SMP</v>
      </c>
      <c r="W709">
        <v>44.483302000000002</v>
      </c>
      <c r="X709">
        <v>-24.234424000000001</v>
      </c>
    </row>
    <row r="710" spans="1:24" x14ac:dyDescent="0.35">
      <c r="A710" s="3" t="str">
        <f t="shared" si="11"/>
        <v>605170005SMP</v>
      </c>
      <c r="B710" t="s">
        <v>6267</v>
      </c>
      <c r="C710">
        <f>+VLOOKUP(Sites_per_tag[[#This Row],[Field_office]],Parameter!$A$3:$B$11,2,0)</f>
        <v>9</v>
      </c>
      <c r="E710" t="s">
        <v>5650</v>
      </c>
      <c r="F710" t="s">
        <v>5654</v>
      </c>
      <c r="H710" t="str">
        <f ca="1">PROPER(Sites_per_tag[[#This Row],[Adm2Name]])</f>
        <v>Ampanihy Ouest</v>
      </c>
      <c r="I710" t="s">
        <v>5660</v>
      </c>
      <c r="K710" t="s">
        <v>5877</v>
      </c>
      <c r="L710" t="s">
        <v>5878</v>
      </c>
      <c r="Q710" t="s">
        <v>2663</v>
      </c>
      <c r="R710">
        <v>605170005</v>
      </c>
      <c r="T710" t="s">
        <v>7</v>
      </c>
      <c r="U710" s="3" t="str">
        <f>+VLOOKUP(Sites_per_tag[[#This Row],[Activity_tag]],Parameter!$A$24:$B$32,2,0)</f>
        <v>SMP</v>
      </c>
      <c r="W710">
        <v>44.411228999999999</v>
      </c>
      <c r="X710">
        <v>-24.144051999999999</v>
      </c>
    </row>
    <row r="711" spans="1:24" x14ac:dyDescent="0.35">
      <c r="A711" s="3" t="str">
        <f t="shared" si="11"/>
        <v>605170007SMP</v>
      </c>
      <c r="B711" t="s">
        <v>6267</v>
      </c>
      <c r="C711">
        <f>+VLOOKUP(Sites_per_tag[[#This Row],[Field_office]],Parameter!$A$3:$B$11,2,0)</f>
        <v>9</v>
      </c>
      <c r="E711" t="s">
        <v>5650</v>
      </c>
      <c r="F711" t="s">
        <v>5654</v>
      </c>
      <c r="H711" t="str">
        <f ca="1">PROPER(Sites_per_tag[[#This Row],[Adm2Name]])</f>
        <v>Ampanihy Ouest</v>
      </c>
      <c r="I711" t="s">
        <v>5660</v>
      </c>
      <c r="K711" t="s">
        <v>5877</v>
      </c>
      <c r="L711" t="s">
        <v>5878</v>
      </c>
      <c r="Q711" t="s">
        <v>2515</v>
      </c>
      <c r="R711">
        <v>605170007</v>
      </c>
      <c r="T711" t="s">
        <v>7</v>
      </c>
      <c r="U711" s="3" t="str">
        <f>+VLOOKUP(Sites_per_tag[[#This Row],[Activity_tag]],Parameter!$A$24:$B$32,2,0)</f>
        <v>SMP</v>
      </c>
      <c r="W711">
        <v>44.454667999999998</v>
      </c>
      <c r="X711">
        <v>-24.205079999999999</v>
      </c>
    </row>
    <row r="712" spans="1:24" x14ac:dyDescent="0.35">
      <c r="A712" s="3" t="str">
        <f t="shared" si="11"/>
        <v>605170008SMP</v>
      </c>
      <c r="B712" t="s">
        <v>6267</v>
      </c>
      <c r="C712">
        <f>+VLOOKUP(Sites_per_tag[[#This Row],[Field_office]],Parameter!$A$3:$B$11,2,0)</f>
        <v>9</v>
      </c>
      <c r="E712" t="s">
        <v>5650</v>
      </c>
      <c r="F712" t="s">
        <v>5654</v>
      </c>
      <c r="H712" t="str">
        <f ca="1">PROPER(Sites_per_tag[[#This Row],[Adm2Name]])</f>
        <v>Ampanihy Ouest</v>
      </c>
      <c r="I712" t="s">
        <v>5660</v>
      </c>
      <c r="K712" t="s">
        <v>5877</v>
      </c>
      <c r="L712" t="s">
        <v>5878</v>
      </c>
      <c r="Q712" t="s">
        <v>2996</v>
      </c>
      <c r="R712">
        <v>605170008</v>
      </c>
      <c r="T712" t="s">
        <v>7</v>
      </c>
      <c r="U712" s="3" t="str">
        <f>+VLOOKUP(Sites_per_tag[[#This Row],[Activity_tag]],Parameter!$A$24:$B$32,2,0)</f>
        <v>SMP</v>
      </c>
      <c r="W712">
        <v>44.301586999999998</v>
      </c>
      <c r="X712">
        <v>-24.183115999999998</v>
      </c>
    </row>
    <row r="713" spans="1:24" x14ac:dyDescent="0.35">
      <c r="A713" s="3" t="str">
        <f t="shared" si="11"/>
        <v>605170009SMP</v>
      </c>
      <c r="B713" t="s">
        <v>6267</v>
      </c>
      <c r="C713">
        <f>+VLOOKUP(Sites_per_tag[[#This Row],[Field_office]],Parameter!$A$3:$B$11,2,0)</f>
        <v>9</v>
      </c>
      <c r="E713" t="s">
        <v>5650</v>
      </c>
      <c r="F713" t="s">
        <v>5654</v>
      </c>
      <c r="H713" t="str">
        <f ca="1">PROPER(Sites_per_tag[[#This Row],[Adm2Name]])</f>
        <v>Ampanihy Ouest</v>
      </c>
      <c r="I713" t="s">
        <v>5660</v>
      </c>
      <c r="K713" t="s">
        <v>5877</v>
      </c>
      <c r="L713" t="s">
        <v>5878</v>
      </c>
      <c r="Q713" t="s">
        <v>2312</v>
      </c>
      <c r="R713">
        <v>605170009</v>
      </c>
      <c r="T713" t="s">
        <v>7</v>
      </c>
      <c r="U713" s="3" t="str">
        <f>+VLOOKUP(Sites_per_tag[[#This Row],[Activity_tag]],Parameter!$A$24:$B$32,2,0)</f>
        <v>SMP</v>
      </c>
      <c r="W713">
        <v>44.347070000000002</v>
      </c>
      <c r="X713">
        <v>-24.076229999999999</v>
      </c>
    </row>
    <row r="714" spans="1:24" x14ac:dyDescent="0.35">
      <c r="A714" s="3" t="str">
        <f t="shared" si="11"/>
        <v>605170010SMP</v>
      </c>
      <c r="B714" t="s">
        <v>6267</v>
      </c>
      <c r="C714">
        <f>+VLOOKUP(Sites_per_tag[[#This Row],[Field_office]],Parameter!$A$3:$B$11,2,0)</f>
        <v>9</v>
      </c>
      <c r="E714" t="s">
        <v>5650</v>
      </c>
      <c r="F714" t="s">
        <v>5654</v>
      </c>
      <c r="H714" t="str">
        <f ca="1">PROPER(Sites_per_tag[[#This Row],[Adm2Name]])</f>
        <v>Ampanihy Ouest</v>
      </c>
      <c r="I714" t="s">
        <v>5660</v>
      </c>
      <c r="K714" t="s">
        <v>5877</v>
      </c>
      <c r="L714" t="s">
        <v>5878</v>
      </c>
      <c r="Q714" t="s">
        <v>3546</v>
      </c>
      <c r="R714">
        <v>605170010</v>
      </c>
      <c r="T714" t="s">
        <v>7</v>
      </c>
      <c r="U714" s="3" t="str">
        <f>+VLOOKUP(Sites_per_tag[[#This Row],[Activity_tag]],Parameter!$A$24:$B$32,2,0)</f>
        <v>SMP</v>
      </c>
      <c r="W714">
        <v>44.432015</v>
      </c>
      <c r="X714">
        <v>-24.251428000000001</v>
      </c>
    </row>
    <row r="715" spans="1:24" x14ac:dyDescent="0.35">
      <c r="A715" s="3" t="str">
        <f t="shared" si="11"/>
        <v>605170011SMP</v>
      </c>
      <c r="B715" t="s">
        <v>6267</v>
      </c>
      <c r="C715">
        <f>+VLOOKUP(Sites_per_tag[[#This Row],[Field_office]],Parameter!$A$3:$B$11,2,0)</f>
        <v>9</v>
      </c>
      <c r="E715" t="s">
        <v>5650</v>
      </c>
      <c r="F715" t="s">
        <v>5654</v>
      </c>
      <c r="H715" t="str">
        <f ca="1">PROPER(Sites_per_tag[[#This Row],[Adm2Name]])</f>
        <v>Ampanihy Ouest</v>
      </c>
      <c r="I715" t="s">
        <v>5660</v>
      </c>
      <c r="K715" t="s">
        <v>5877</v>
      </c>
      <c r="L715" t="s">
        <v>5878</v>
      </c>
      <c r="Q715" t="s">
        <v>1220</v>
      </c>
      <c r="R715">
        <v>605170011</v>
      </c>
      <c r="T715" t="s">
        <v>7</v>
      </c>
      <c r="U715" s="3" t="str">
        <f>+VLOOKUP(Sites_per_tag[[#This Row],[Activity_tag]],Parameter!$A$24:$B$32,2,0)</f>
        <v>SMP</v>
      </c>
      <c r="W715">
        <v>44.414005000000003</v>
      </c>
      <c r="X715">
        <v>-24.086808999999999</v>
      </c>
    </row>
    <row r="716" spans="1:24" x14ac:dyDescent="0.35">
      <c r="A716" s="3" t="str">
        <f t="shared" si="11"/>
        <v>605170012SMP</v>
      </c>
      <c r="B716" t="s">
        <v>6267</v>
      </c>
      <c r="C716">
        <f>+VLOOKUP(Sites_per_tag[[#This Row],[Field_office]],Parameter!$A$3:$B$11,2,0)</f>
        <v>9</v>
      </c>
      <c r="E716" t="s">
        <v>5650</v>
      </c>
      <c r="F716" t="s">
        <v>5654</v>
      </c>
      <c r="H716" t="str">
        <f ca="1">PROPER(Sites_per_tag[[#This Row],[Adm2Name]])</f>
        <v>Ampanihy Ouest</v>
      </c>
      <c r="I716" t="s">
        <v>5660</v>
      </c>
      <c r="K716" t="s">
        <v>5877</v>
      </c>
      <c r="L716" t="s">
        <v>5878</v>
      </c>
      <c r="Q716" t="s">
        <v>1666</v>
      </c>
      <c r="R716">
        <v>605170012</v>
      </c>
      <c r="T716" t="s">
        <v>7</v>
      </c>
      <c r="U716" s="3" t="str">
        <f>+VLOOKUP(Sites_per_tag[[#This Row],[Activity_tag]],Parameter!$A$24:$B$32,2,0)</f>
        <v>SMP</v>
      </c>
      <c r="W716">
        <v>44.347070000000002</v>
      </c>
      <c r="X716">
        <v>-24.076229999999999</v>
      </c>
    </row>
    <row r="717" spans="1:24" x14ac:dyDescent="0.35">
      <c r="A717" s="3" t="str">
        <f t="shared" si="11"/>
        <v>605170013SMP</v>
      </c>
      <c r="B717" t="s">
        <v>6267</v>
      </c>
      <c r="C717">
        <f>+VLOOKUP(Sites_per_tag[[#This Row],[Field_office]],Parameter!$A$3:$B$11,2,0)</f>
        <v>9</v>
      </c>
      <c r="E717" t="s">
        <v>5650</v>
      </c>
      <c r="F717" t="s">
        <v>5654</v>
      </c>
      <c r="H717" t="str">
        <f ca="1">PROPER(Sites_per_tag[[#This Row],[Adm2Name]])</f>
        <v>Ampanihy Ouest</v>
      </c>
      <c r="I717" t="s">
        <v>5660</v>
      </c>
      <c r="K717" t="s">
        <v>5877</v>
      </c>
      <c r="L717" t="s">
        <v>5878</v>
      </c>
      <c r="Q717" t="s">
        <v>6325</v>
      </c>
      <c r="R717">
        <v>605170013</v>
      </c>
      <c r="T717" t="s">
        <v>7</v>
      </c>
      <c r="U717" s="3" t="str">
        <f>+VLOOKUP(Sites_per_tag[[#This Row],[Activity_tag]],Parameter!$A$24:$B$32,2,0)</f>
        <v>SMP</v>
      </c>
      <c r="W717">
        <v>44.468280999999998</v>
      </c>
      <c r="X717">
        <v>-24.112043</v>
      </c>
    </row>
    <row r="718" spans="1:24" x14ac:dyDescent="0.35">
      <c r="A718" s="3" t="str">
        <f t="shared" si="11"/>
        <v>605170014SMP</v>
      </c>
      <c r="B718" t="s">
        <v>6267</v>
      </c>
      <c r="C718">
        <f>+VLOOKUP(Sites_per_tag[[#This Row],[Field_office]],Parameter!$A$3:$B$11,2,0)</f>
        <v>9</v>
      </c>
      <c r="E718" t="s">
        <v>5650</v>
      </c>
      <c r="F718" t="s">
        <v>5654</v>
      </c>
      <c r="H718" t="str">
        <f ca="1">PROPER(Sites_per_tag[[#This Row],[Adm2Name]])</f>
        <v>Ampanihy Ouest</v>
      </c>
      <c r="I718" t="s">
        <v>5660</v>
      </c>
      <c r="K718" t="s">
        <v>5877</v>
      </c>
      <c r="L718" t="s">
        <v>5878</v>
      </c>
      <c r="Q718" t="s">
        <v>2442</v>
      </c>
      <c r="R718">
        <v>605170014</v>
      </c>
      <c r="T718" t="s">
        <v>7</v>
      </c>
      <c r="U718" s="3" t="str">
        <f>+VLOOKUP(Sites_per_tag[[#This Row],[Activity_tag]],Parameter!$A$24:$B$32,2,0)</f>
        <v>SMP</v>
      </c>
      <c r="W718">
        <v>44.563274999999997</v>
      </c>
      <c r="X718">
        <v>-24.161460000000002</v>
      </c>
    </row>
    <row r="719" spans="1:24" x14ac:dyDescent="0.35">
      <c r="A719" s="3" t="str">
        <f t="shared" si="11"/>
        <v>605170017SMP</v>
      </c>
      <c r="B719" t="s">
        <v>6267</v>
      </c>
      <c r="C719">
        <f>+VLOOKUP(Sites_per_tag[[#This Row],[Field_office]],Parameter!$A$3:$B$11,2,0)</f>
        <v>9</v>
      </c>
      <c r="E719" t="s">
        <v>5650</v>
      </c>
      <c r="F719" t="s">
        <v>5654</v>
      </c>
      <c r="H719" t="str">
        <f ca="1">PROPER(Sites_per_tag[[#This Row],[Adm2Name]])</f>
        <v>Ampanihy Ouest</v>
      </c>
      <c r="I719" t="s">
        <v>5660</v>
      </c>
      <c r="K719" t="s">
        <v>5877</v>
      </c>
      <c r="L719" t="s">
        <v>5878</v>
      </c>
      <c r="Q719" t="s">
        <v>43</v>
      </c>
      <c r="R719">
        <v>605170017</v>
      </c>
      <c r="T719" t="s">
        <v>7</v>
      </c>
      <c r="U719" s="3" t="str">
        <f>+VLOOKUP(Sites_per_tag[[#This Row],[Activity_tag]],Parameter!$A$24:$B$32,2,0)</f>
        <v>SMP</v>
      </c>
      <c r="W719">
        <v>44.388559000000001</v>
      </c>
      <c r="X719">
        <v>-24.125343000000001</v>
      </c>
    </row>
    <row r="720" spans="1:24" x14ac:dyDescent="0.35">
      <c r="A720" s="3" t="str">
        <f t="shared" si="11"/>
        <v>605170018SMP</v>
      </c>
      <c r="B720" t="s">
        <v>6267</v>
      </c>
      <c r="C720">
        <f>+VLOOKUP(Sites_per_tag[[#This Row],[Field_office]],Parameter!$A$3:$B$11,2,0)</f>
        <v>9</v>
      </c>
      <c r="E720" t="s">
        <v>5650</v>
      </c>
      <c r="F720" t="s">
        <v>5654</v>
      </c>
      <c r="H720" t="str">
        <f ca="1">PROPER(Sites_per_tag[[#This Row],[Adm2Name]])</f>
        <v>Ampanihy Ouest</v>
      </c>
      <c r="I720" t="s">
        <v>5660</v>
      </c>
      <c r="K720" t="s">
        <v>5877</v>
      </c>
      <c r="L720" t="s">
        <v>5878</v>
      </c>
      <c r="Q720" t="s">
        <v>42</v>
      </c>
      <c r="R720">
        <v>605170018</v>
      </c>
      <c r="T720" t="s">
        <v>7</v>
      </c>
      <c r="U720" s="3" t="str">
        <f>+VLOOKUP(Sites_per_tag[[#This Row],[Activity_tag]],Parameter!$A$24:$B$32,2,0)</f>
        <v>SMP</v>
      </c>
      <c r="W720">
        <v>44.346054000000002</v>
      </c>
      <c r="X720">
        <v>-24.076540999999999</v>
      </c>
    </row>
    <row r="721" spans="1:24" x14ac:dyDescent="0.35">
      <c r="A721" s="3" t="str">
        <f t="shared" si="11"/>
        <v>605170019SMP</v>
      </c>
      <c r="B721" t="s">
        <v>6267</v>
      </c>
      <c r="C721">
        <f>+VLOOKUP(Sites_per_tag[[#This Row],[Field_office]],Parameter!$A$3:$B$11,2,0)</f>
        <v>9</v>
      </c>
      <c r="E721" t="s">
        <v>5650</v>
      </c>
      <c r="F721" t="s">
        <v>5654</v>
      </c>
      <c r="H721" t="str">
        <f ca="1">PROPER(Sites_per_tag[[#This Row],[Adm2Name]])</f>
        <v>Ampanihy Ouest</v>
      </c>
      <c r="I721" t="s">
        <v>5660</v>
      </c>
      <c r="K721" t="s">
        <v>5877</v>
      </c>
      <c r="L721" t="s">
        <v>5878</v>
      </c>
      <c r="Q721" t="s">
        <v>1890</v>
      </c>
      <c r="R721">
        <v>605170019</v>
      </c>
      <c r="T721" t="s">
        <v>7</v>
      </c>
      <c r="U721" s="3" t="str">
        <f>+VLOOKUP(Sites_per_tag[[#This Row],[Activity_tag]],Parameter!$A$24:$B$32,2,0)</f>
        <v>SMP</v>
      </c>
      <c r="W721">
        <v>44.476018000000003</v>
      </c>
      <c r="X721">
        <v>-24.212071999999999</v>
      </c>
    </row>
    <row r="722" spans="1:24" x14ac:dyDescent="0.35">
      <c r="A722" s="3" t="str">
        <f t="shared" si="11"/>
        <v>605170021SMP</v>
      </c>
      <c r="B722" t="s">
        <v>6267</v>
      </c>
      <c r="C722">
        <f>+VLOOKUP(Sites_per_tag[[#This Row],[Field_office]],Parameter!$A$3:$B$11,2,0)</f>
        <v>9</v>
      </c>
      <c r="E722" t="s">
        <v>5650</v>
      </c>
      <c r="F722" t="s">
        <v>5654</v>
      </c>
      <c r="H722" t="str">
        <f ca="1">PROPER(Sites_per_tag[[#This Row],[Adm2Name]])</f>
        <v>Ampanihy Ouest</v>
      </c>
      <c r="I722" t="s">
        <v>5660</v>
      </c>
      <c r="K722" t="s">
        <v>5877</v>
      </c>
      <c r="L722" t="s">
        <v>5878</v>
      </c>
      <c r="Q722" t="s">
        <v>2284</v>
      </c>
      <c r="R722">
        <v>605170021</v>
      </c>
      <c r="T722" t="s">
        <v>7</v>
      </c>
      <c r="U722" s="3" t="str">
        <f>+VLOOKUP(Sites_per_tag[[#This Row],[Activity_tag]],Parameter!$A$24:$B$32,2,0)</f>
        <v>SMP</v>
      </c>
      <c r="W722">
        <v>44.424368999999999</v>
      </c>
      <c r="X722">
        <v>-24.239125000000001</v>
      </c>
    </row>
    <row r="723" spans="1:24" x14ac:dyDescent="0.35">
      <c r="A723" s="3" t="str">
        <f t="shared" si="11"/>
        <v>605170024SMP</v>
      </c>
      <c r="B723" t="s">
        <v>6267</v>
      </c>
      <c r="C723">
        <f>+VLOOKUP(Sites_per_tag[[#This Row],[Field_office]],Parameter!$A$3:$B$11,2,0)</f>
        <v>9</v>
      </c>
      <c r="E723" t="s">
        <v>5650</v>
      </c>
      <c r="F723" t="s">
        <v>5654</v>
      </c>
      <c r="H723" t="str">
        <f ca="1">PROPER(Sites_per_tag[[#This Row],[Adm2Name]])</f>
        <v>Ampanihy Ouest</v>
      </c>
      <c r="I723" t="s">
        <v>5660</v>
      </c>
      <c r="K723" t="s">
        <v>5877</v>
      </c>
      <c r="L723" t="s">
        <v>5878</v>
      </c>
      <c r="Q723" t="s">
        <v>2310</v>
      </c>
      <c r="R723">
        <v>605170024</v>
      </c>
      <c r="T723" t="s">
        <v>7</v>
      </c>
      <c r="U723" s="3" t="str">
        <f>+VLOOKUP(Sites_per_tag[[#This Row],[Activity_tag]],Parameter!$A$24:$B$32,2,0)</f>
        <v>SMP</v>
      </c>
      <c r="W723">
        <v>44.432302</v>
      </c>
      <c r="X723">
        <v>-24.216138999999998</v>
      </c>
    </row>
    <row r="724" spans="1:24" x14ac:dyDescent="0.35">
      <c r="A724" s="3" t="str">
        <f t="shared" si="11"/>
        <v>605171003SMP</v>
      </c>
      <c r="B724" t="s">
        <v>6267</v>
      </c>
      <c r="C724">
        <f>+VLOOKUP(Sites_per_tag[[#This Row],[Field_office]],Parameter!$A$3:$B$11,2,0)</f>
        <v>9</v>
      </c>
      <c r="E724" t="s">
        <v>5650</v>
      </c>
      <c r="F724" t="s">
        <v>5654</v>
      </c>
      <c r="H724" t="str">
        <f ca="1">PROPER(Sites_per_tag[[#This Row],[Adm2Name]])</f>
        <v>Ampanihy Ouest</v>
      </c>
      <c r="I724" t="s">
        <v>5660</v>
      </c>
      <c r="K724" t="s">
        <v>5877</v>
      </c>
      <c r="L724" t="s">
        <v>5878</v>
      </c>
      <c r="Q724" t="s">
        <v>1810</v>
      </c>
      <c r="R724">
        <v>605171003</v>
      </c>
      <c r="T724" t="s">
        <v>7</v>
      </c>
      <c r="U724" s="3" t="str">
        <f>+VLOOKUP(Sites_per_tag[[#This Row],[Activity_tag]],Parameter!$A$24:$B$32,2,0)</f>
        <v>SMP</v>
      </c>
      <c r="W724">
        <v>44.245277000000002</v>
      </c>
      <c r="X724">
        <v>-24.229588</v>
      </c>
    </row>
    <row r="725" spans="1:24" x14ac:dyDescent="0.35">
      <c r="A725" s="3" t="str">
        <f t="shared" si="11"/>
        <v>607010001SMP</v>
      </c>
      <c r="B725" t="s">
        <v>6211</v>
      </c>
      <c r="C725">
        <f>+VLOOKUP(Sites_per_tag[[#This Row],[Field_office]],Parameter!$A$3:$B$11,2,0)</f>
        <v>6</v>
      </c>
      <c r="E725" t="s">
        <v>5646</v>
      </c>
      <c r="F725" t="s">
        <v>5647</v>
      </c>
      <c r="H725" t="str">
        <f ca="1">PROPER(Sites_per_tag[[#This Row],[Adm2Name]])</f>
        <v>Bekily</v>
      </c>
      <c r="I725" t="s">
        <v>5683</v>
      </c>
      <c r="K725" t="s">
        <v>6326</v>
      </c>
      <c r="L725" t="s">
        <v>5653</v>
      </c>
      <c r="Q725" t="s">
        <v>230</v>
      </c>
      <c r="R725">
        <v>607010001</v>
      </c>
      <c r="T725" t="s">
        <v>7</v>
      </c>
      <c r="U725" s="3" t="str">
        <f>+VLOOKUP(Sites_per_tag[[#This Row],[Activity_tag]],Parameter!$A$24:$B$32,2,0)</f>
        <v>SMP</v>
      </c>
      <c r="W725">
        <v>45.233809999999998</v>
      </c>
      <c r="X725">
        <v>-24.067719</v>
      </c>
    </row>
    <row r="726" spans="1:24" x14ac:dyDescent="0.35">
      <c r="A726" s="3" t="str">
        <f t="shared" si="11"/>
        <v>607010004SMP</v>
      </c>
      <c r="B726" t="s">
        <v>6211</v>
      </c>
      <c r="C726">
        <f>+VLOOKUP(Sites_per_tag[[#This Row],[Field_office]],Parameter!$A$3:$B$11,2,0)</f>
        <v>6</v>
      </c>
      <c r="E726" t="s">
        <v>5646</v>
      </c>
      <c r="F726" t="s">
        <v>5647</v>
      </c>
      <c r="H726" t="str">
        <f ca="1">PROPER(Sites_per_tag[[#This Row],[Adm2Name]])</f>
        <v>Bekily</v>
      </c>
      <c r="I726" t="s">
        <v>5683</v>
      </c>
      <c r="K726" t="s">
        <v>6326</v>
      </c>
      <c r="L726" t="s">
        <v>5653</v>
      </c>
      <c r="Q726" t="s">
        <v>4206</v>
      </c>
      <c r="R726">
        <v>607010004</v>
      </c>
      <c r="T726" t="s">
        <v>7</v>
      </c>
      <c r="U726" s="3" t="str">
        <f>+VLOOKUP(Sites_per_tag[[#This Row],[Activity_tag]],Parameter!$A$24:$B$32,2,0)</f>
        <v>SMP</v>
      </c>
      <c r="W726">
        <v>45.179830000000003</v>
      </c>
      <c r="X726">
        <v>-24.046983000000001</v>
      </c>
    </row>
    <row r="727" spans="1:24" x14ac:dyDescent="0.35">
      <c r="A727" s="3" t="str">
        <f t="shared" si="11"/>
        <v>607010020SMP</v>
      </c>
      <c r="B727" t="s">
        <v>6211</v>
      </c>
      <c r="C727">
        <f>+VLOOKUP(Sites_per_tag[[#This Row],[Field_office]],Parameter!$A$3:$B$11,2,0)</f>
        <v>6</v>
      </c>
      <c r="E727" t="s">
        <v>5646</v>
      </c>
      <c r="F727" t="s">
        <v>5647</v>
      </c>
      <c r="H727" t="str">
        <f ca="1">PROPER(Sites_per_tag[[#This Row],[Adm2Name]])</f>
        <v>Bekily</v>
      </c>
      <c r="I727" t="s">
        <v>5683</v>
      </c>
      <c r="K727" t="s">
        <v>6326</v>
      </c>
      <c r="L727" t="s">
        <v>5653</v>
      </c>
      <c r="Q727" t="s">
        <v>6327</v>
      </c>
      <c r="R727">
        <v>607010020</v>
      </c>
      <c r="T727" t="s">
        <v>7</v>
      </c>
      <c r="U727" s="3" t="str">
        <f>+VLOOKUP(Sites_per_tag[[#This Row],[Activity_tag]],Parameter!$A$24:$B$32,2,0)</f>
        <v>SMP</v>
      </c>
      <c r="W727">
        <v>45.254705000000001</v>
      </c>
      <c r="X727">
        <v>-23.914992000000002</v>
      </c>
    </row>
    <row r="728" spans="1:24" x14ac:dyDescent="0.35">
      <c r="A728" s="3" t="str">
        <f t="shared" si="11"/>
        <v>607010021SMP</v>
      </c>
      <c r="B728" t="s">
        <v>6211</v>
      </c>
      <c r="C728">
        <f>+VLOOKUP(Sites_per_tag[[#This Row],[Field_office]],Parameter!$A$3:$B$11,2,0)</f>
        <v>6</v>
      </c>
      <c r="E728" t="s">
        <v>5646</v>
      </c>
      <c r="F728" t="s">
        <v>5647</v>
      </c>
      <c r="H728" t="str">
        <f ca="1">PROPER(Sites_per_tag[[#This Row],[Adm2Name]])</f>
        <v>Bekily</v>
      </c>
      <c r="I728" t="s">
        <v>5683</v>
      </c>
      <c r="K728" t="s">
        <v>6328</v>
      </c>
      <c r="L728" t="s">
        <v>5695</v>
      </c>
      <c r="Q728" t="s">
        <v>3507</v>
      </c>
      <c r="R728">
        <v>607010021</v>
      </c>
      <c r="T728" t="s">
        <v>7</v>
      </c>
      <c r="U728" s="3" t="str">
        <f>+VLOOKUP(Sites_per_tag[[#This Row],[Activity_tag]],Parameter!$A$24:$B$32,2,0)</f>
        <v>SMP</v>
      </c>
      <c r="W728">
        <v>45.418500999999999</v>
      </c>
      <c r="X728">
        <v>-23.941123999999999</v>
      </c>
    </row>
    <row r="729" spans="1:24" x14ac:dyDescent="0.35">
      <c r="A729" s="3" t="str">
        <f t="shared" si="11"/>
        <v>607010023SMP</v>
      </c>
      <c r="B729" t="s">
        <v>6211</v>
      </c>
      <c r="C729">
        <f>+VLOOKUP(Sites_per_tag[[#This Row],[Field_office]],Parameter!$A$3:$B$11,2,0)</f>
        <v>6</v>
      </c>
      <c r="E729" t="s">
        <v>5646</v>
      </c>
      <c r="F729" t="s">
        <v>5647</v>
      </c>
      <c r="H729" t="str">
        <f ca="1">PROPER(Sites_per_tag[[#This Row],[Adm2Name]])</f>
        <v>Bekily</v>
      </c>
      <c r="I729" t="s">
        <v>5683</v>
      </c>
      <c r="K729" t="s">
        <v>6326</v>
      </c>
      <c r="L729" t="s">
        <v>5653</v>
      </c>
      <c r="Q729" t="s">
        <v>70</v>
      </c>
      <c r="R729">
        <v>607010023</v>
      </c>
      <c r="T729" t="s">
        <v>7</v>
      </c>
      <c r="U729" s="3" t="str">
        <f>+VLOOKUP(Sites_per_tag[[#This Row],[Activity_tag]],Parameter!$A$24:$B$32,2,0)</f>
        <v>SMP</v>
      </c>
      <c r="W729">
        <v>45.258088999999998</v>
      </c>
      <c r="X729">
        <v>-24.005765</v>
      </c>
    </row>
    <row r="730" spans="1:24" x14ac:dyDescent="0.35">
      <c r="A730" s="3" t="str">
        <f t="shared" si="11"/>
        <v>607010024SMP</v>
      </c>
      <c r="B730" t="s">
        <v>6211</v>
      </c>
      <c r="C730">
        <f>+VLOOKUP(Sites_per_tag[[#This Row],[Field_office]],Parameter!$A$3:$B$11,2,0)</f>
        <v>6</v>
      </c>
      <c r="E730" t="s">
        <v>5646</v>
      </c>
      <c r="F730" t="s">
        <v>5647</v>
      </c>
      <c r="H730" t="str">
        <f ca="1">PROPER(Sites_per_tag[[#This Row],[Adm2Name]])</f>
        <v>Bekily</v>
      </c>
      <c r="I730" t="s">
        <v>5683</v>
      </c>
      <c r="K730" t="s">
        <v>6329</v>
      </c>
      <c r="L730" t="s">
        <v>6067</v>
      </c>
      <c r="Q730" t="s">
        <v>4197</v>
      </c>
      <c r="R730">
        <v>607010024</v>
      </c>
      <c r="T730" t="s">
        <v>7</v>
      </c>
      <c r="U730" s="3" t="str">
        <f>+VLOOKUP(Sites_per_tag[[#This Row],[Activity_tag]],Parameter!$A$24:$B$32,2,0)</f>
        <v>SMP</v>
      </c>
      <c r="W730">
        <v>45.180531000000002</v>
      </c>
      <c r="X730">
        <v>-24.108205999999999</v>
      </c>
    </row>
    <row r="731" spans="1:24" x14ac:dyDescent="0.35">
      <c r="A731" s="3" t="str">
        <f t="shared" si="11"/>
        <v>607010027SMP</v>
      </c>
      <c r="B731" t="s">
        <v>6211</v>
      </c>
      <c r="C731">
        <f>+VLOOKUP(Sites_per_tag[[#This Row],[Field_office]],Parameter!$A$3:$B$11,2,0)</f>
        <v>6</v>
      </c>
      <c r="E731" t="s">
        <v>5646</v>
      </c>
      <c r="F731" t="s">
        <v>5647</v>
      </c>
      <c r="H731" t="str">
        <f ca="1">PROPER(Sites_per_tag[[#This Row],[Adm2Name]])</f>
        <v>Bekily</v>
      </c>
      <c r="I731" t="s">
        <v>5683</v>
      </c>
      <c r="K731" t="s">
        <v>2017</v>
      </c>
      <c r="L731" t="s">
        <v>5922</v>
      </c>
      <c r="Q731" t="s">
        <v>4270</v>
      </c>
      <c r="R731">
        <v>607010027</v>
      </c>
      <c r="T731" t="s">
        <v>7</v>
      </c>
      <c r="U731" s="3" t="str">
        <f>+VLOOKUP(Sites_per_tag[[#This Row],[Activity_tag]],Parameter!$A$24:$B$32,2,0)</f>
        <v>SMP</v>
      </c>
      <c r="W731">
        <v>45.256228999999998</v>
      </c>
      <c r="X731">
        <v>-24.132173999999999</v>
      </c>
    </row>
    <row r="732" spans="1:24" x14ac:dyDescent="0.35">
      <c r="A732" s="3" t="str">
        <f t="shared" si="11"/>
        <v>607010029SMP</v>
      </c>
      <c r="B732" t="s">
        <v>6211</v>
      </c>
      <c r="C732">
        <f>+VLOOKUP(Sites_per_tag[[#This Row],[Field_office]],Parameter!$A$3:$B$11,2,0)</f>
        <v>6</v>
      </c>
      <c r="E732" t="s">
        <v>5646</v>
      </c>
      <c r="F732" t="s">
        <v>5647</v>
      </c>
      <c r="H732" t="str">
        <f ca="1">PROPER(Sites_per_tag[[#This Row],[Adm2Name]])</f>
        <v>Bekily</v>
      </c>
      <c r="I732" t="s">
        <v>5683</v>
      </c>
      <c r="K732" t="s">
        <v>6328</v>
      </c>
      <c r="L732" t="s">
        <v>5695</v>
      </c>
      <c r="Q732" t="s">
        <v>2180</v>
      </c>
      <c r="R732">
        <v>607010029</v>
      </c>
      <c r="T732" t="s">
        <v>7</v>
      </c>
      <c r="U732" s="3" t="str">
        <f>+VLOOKUP(Sites_per_tag[[#This Row],[Activity_tag]],Parameter!$A$24:$B$32,2,0)</f>
        <v>SMP</v>
      </c>
      <c r="W732">
        <v>45.350755999999997</v>
      </c>
      <c r="X732">
        <v>-24.045093999999999</v>
      </c>
    </row>
    <row r="733" spans="1:24" x14ac:dyDescent="0.35">
      <c r="A733" s="3" t="str">
        <f t="shared" si="11"/>
        <v>607010032SMP</v>
      </c>
      <c r="B733" t="s">
        <v>6211</v>
      </c>
      <c r="C733">
        <f>+VLOOKUP(Sites_per_tag[[#This Row],[Field_office]],Parameter!$A$3:$B$11,2,0)</f>
        <v>6</v>
      </c>
      <c r="E733" t="s">
        <v>5646</v>
      </c>
      <c r="F733" t="s">
        <v>5647</v>
      </c>
      <c r="H733" t="str">
        <f ca="1">PROPER(Sites_per_tag[[#This Row],[Adm2Name]])</f>
        <v>Bekily</v>
      </c>
      <c r="I733" t="s">
        <v>5683</v>
      </c>
      <c r="K733" t="s">
        <v>6329</v>
      </c>
      <c r="L733" t="s">
        <v>6067</v>
      </c>
      <c r="Q733" t="s">
        <v>3928</v>
      </c>
      <c r="R733">
        <v>607010032</v>
      </c>
      <c r="T733" t="s">
        <v>7</v>
      </c>
      <c r="U733" s="3" t="str">
        <f>+VLOOKUP(Sites_per_tag[[#This Row],[Activity_tag]],Parameter!$A$24:$B$32,2,0)</f>
        <v>SMP</v>
      </c>
      <c r="W733">
        <v>45.172060000000002</v>
      </c>
      <c r="X733">
        <v>-24.132477000000002</v>
      </c>
    </row>
    <row r="734" spans="1:24" x14ac:dyDescent="0.35">
      <c r="A734" s="3" t="str">
        <f t="shared" si="11"/>
        <v>607010036SMP</v>
      </c>
      <c r="B734" t="s">
        <v>6211</v>
      </c>
      <c r="C734">
        <f>+VLOOKUP(Sites_per_tag[[#This Row],[Field_office]],Parameter!$A$3:$B$11,2,0)</f>
        <v>6</v>
      </c>
      <c r="E734" t="s">
        <v>5646</v>
      </c>
      <c r="F734" t="s">
        <v>5647</v>
      </c>
      <c r="H734" t="str">
        <f ca="1">PROPER(Sites_per_tag[[#This Row],[Adm2Name]])</f>
        <v>Bekily</v>
      </c>
      <c r="I734" t="s">
        <v>5683</v>
      </c>
      <c r="K734" t="s">
        <v>6328</v>
      </c>
      <c r="L734" t="s">
        <v>5695</v>
      </c>
      <c r="Q734" t="s">
        <v>2287</v>
      </c>
      <c r="R734">
        <v>607010036</v>
      </c>
      <c r="T734" t="s">
        <v>7</v>
      </c>
      <c r="U734" s="3" t="str">
        <f>+VLOOKUP(Sites_per_tag[[#This Row],[Activity_tag]],Parameter!$A$24:$B$32,2,0)</f>
        <v>SMP</v>
      </c>
      <c r="W734">
        <v>45.438980000000001</v>
      </c>
      <c r="X734">
        <v>-24.012519999999999</v>
      </c>
    </row>
    <row r="735" spans="1:24" x14ac:dyDescent="0.35">
      <c r="A735" s="3" t="str">
        <f t="shared" si="11"/>
        <v>607020004SMP</v>
      </c>
      <c r="B735" t="s">
        <v>6211</v>
      </c>
      <c r="C735">
        <f>+VLOOKUP(Sites_per_tag[[#This Row],[Field_office]],Parameter!$A$3:$B$11,2,0)</f>
        <v>6</v>
      </c>
      <c r="E735" t="s">
        <v>5646</v>
      </c>
      <c r="F735" t="s">
        <v>5647</v>
      </c>
      <c r="H735" t="str">
        <f ca="1">PROPER(Sites_per_tag[[#This Row],[Adm2Name]])</f>
        <v>Bekily</v>
      </c>
      <c r="I735" t="s">
        <v>5683</v>
      </c>
      <c r="K735" t="s">
        <v>6330</v>
      </c>
      <c r="L735" t="s">
        <v>5898</v>
      </c>
      <c r="Q735" t="s">
        <v>2267</v>
      </c>
      <c r="R735">
        <v>607020004</v>
      </c>
      <c r="T735" t="s">
        <v>7</v>
      </c>
      <c r="U735" s="3" t="str">
        <f>+VLOOKUP(Sites_per_tag[[#This Row],[Activity_tag]],Parameter!$A$24:$B$32,2,0)</f>
        <v>SMP</v>
      </c>
      <c r="W735">
        <v>45.167470000000002</v>
      </c>
      <c r="X735">
        <v>-24.536750000000001</v>
      </c>
    </row>
    <row r="736" spans="1:24" x14ac:dyDescent="0.35">
      <c r="A736" s="3" t="str">
        <f t="shared" si="11"/>
        <v>607020007SMP</v>
      </c>
      <c r="B736" t="s">
        <v>6211</v>
      </c>
      <c r="C736">
        <f>+VLOOKUP(Sites_per_tag[[#This Row],[Field_office]],Parameter!$A$3:$B$11,2,0)</f>
        <v>6</v>
      </c>
      <c r="E736" t="s">
        <v>5646</v>
      </c>
      <c r="F736" t="s">
        <v>5647</v>
      </c>
      <c r="H736" t="str">
        <f ca="1">PROPER(Sites_per_tag[[#This Row],[Adm2Name]])</f>
        <v>Bekily</v>
      </c>
      <c r="I736" t="s">
        <v>5683</v>
      </c>
      <c r="K736" t="s">
        <v>6328</v>
      </c>
      <c r="L736" t="s">
        <v>5695</v>
      </c>
      <c r="Q736" t="s">
        <v>2405</v>
      </c>
      <c r="R736">
        <v>607020007</v>
      </c>
      <c r="T736" t="s">
        <v>7</v>
      </c>
      <c r="U736" s="3" t="str">
        <f>+VLOOKUP(Sites_per_tag[[#This Row],[Activity_tag]],Parameter!$A$24:$B$32,2,0)</f>
        <v>SMP</v>
      </c>
      <c r="W736">
        <v>45.381666000000003</v>
      </c>
      <c r="X736">
        <v>-24.023835999999999</v>
      </c>
    </row>
    <row r="737" spans="1:24" x14ac:dyDescent="0.35">
      <c r="A737" s="3" t="str">
        <f t="shared" si="11"/>
        <v>607020009SMP</v>
      </c>
      <c r="B737" t="s">
        <v>6211</v>
      </c>
      <c r="C737">
        <f>+VLOOKUP(Sites_per_tag[[#This Row],[Field_office]],Parameter!$A$3:$B$11,2,0)</f>
        <v>6</v>
      </c>
      <c r="E737" t="s">
        <v>5646</v>
      </c>
      <c r="F737" t="s">
        <v>5647</v>
      </c>
      <c r="H737" t="str">
        <f ca="1">PROPER(Sites_per_tag[[#This Row],[Adm2Name]])</f>
        <v>Bekily</v>
      </c>
      <c r="I737" t="s">
        <v>5683</v>
      </c>
      <c r="K737" t="s">
        <v>6328</v>
      </c>
      <c r="L737" t="s">
        <v>5695</v>
      </c>
      <c r="Q737" t="s">
        <v>262</v>
      </c>
      <c r="R737">
        <v>607020009</v>
      </c>
      <c r="T737" t="s">
        <v>7</v>
      </c>
      <c r="U737" s="3" t="str">
        <f>+VLOOKUP(Sites_per_tag[[#This Row],[Activity_tag]],Parameter!$A$24:$B$32,2,0)</f>
        <v>SMP</v>
      </c>
      <c r="W737">
        <v>45.398195999999999</v>
      </c>
      <c r="X737">
        <v>-24.051641</v>
      </c>
    </row>
    <row r="738" spans="1:24" x14ac:dyDescent="0.35">
      <c r="A738" s="3" t="str">
        <f t="shared" si="11"/>
        <v>607020010SMP</v>
      </c>
      <c r="B738" t="s">
        <v>6211</v>
      </c>
      <c r="C738">
        <f>+VLOOKUP(Sites_per_tag[[#This Row],[Field_office]],Parameter!$A$3:$B$11,2,0)</f>
        <v>6</v>
      </c>
      <c r="E738" t="s">
        <v>5646</v>
      </c>
      <c r="F738" t="s">
        <v>5647</v>
      </c>
      <c r="H738" t="str">
        <f ca="1">PROPER(Sites_per_tag[[#This Row],[Adm2Name]])</f>
        <v>Bekily</v>
      </c>
      <c r="I738" t="s">
        <v>5683</v>
      </c>
      <c r="K738" t="s">
        <v>3824</v>
      </c>
      <c r="L738" t="s">
        <v>6122</v>
      </c>
      <c r="Q738" t="s">
        <v>6331</v>
      </c>
      <c r="R738">
        <v>607020010</v>
      </c>
      <c r="T738" t="s">
        <v>7</v>
      </c>
      <c r="U738" s="3" t="str">
        <f>+VLOOKUP(Sites_per_tag[[#This Row],[Activity_tag]],Parameter!$A$24:$B$32,2,0)</f>
        <v>SMP</v>
      </c>
      <c r="W738">
        <v>45.374634</v>
      </c>
      <c r="X738">
        <v>-24.094989000000002</v>
      </c>
    </row>
    <row r="739" spans="1:24" x14ac:dyDescent="0.35">
      <c r="A739" s="3" t="str">
        <f t="shared" si="11"/>
        <v>607020011SMP</v>
      </c>
      <c r="B739" t="s">
        <v>6211</v>
      </c>
      <c r="C739">
        <f>+VLOOKUP(Sites_per_tag[[#This Row],[Field_office]],Parameter!$A$3:$B$11,2,0)</f>
        <v>6</v>
      </c>
      <c r="E739" t="s">
        <v>5646</v>
      </c>
      <c r="F739" t="s">
        <v>5647</v>
      </c>
      <c r="H739" t="str">
        <f ca="1">PROPER(Sites_per_tag[[#This Row],[Adm2Name]])</f>
        <v>Bekily</v>
      </c>
      <c r="I739" t="s">
        <v>5683</v>
      </c>
      <c r="K739" t="s">
        <v>6328</v>
      </c>
      <c r="L739" t="s">
        <v>5695</v>
      </c>
      <c r="Q739" t="s">
        <v>6332</v>
      </c>
      <c r="R739">
        <v>607020011</v>
      </c>
      <c r="T739" t="s">
        <v>7</v>
      </c>
      <c r="U739" s="3" t="str">
        <f>+VLOOKUP(Sites_per_tag[[#This Row],[Activity_tag]],Parameter!$A$24:$B$32,2,0)</f>
        <v>SMP</v>
      </c>
      <c r="W739">
        <v>45.413983999999999</v>
      </c>
      <c r="X739">
        <v>-24.021061</v>
      </c>
    </row>
    <row r="740" spans="1:24" x14ac:dyDescent="0.35">
      <c r="A740" s="3" t="str">
        <f t="shared" si="11"/>
        <v>607020014SMP</v>
      </c>
      <c r="B740" t="s">
        <v>6211</v>
      </c>
      <c r="C740">
        <f>+VLOOKUP(Sites_per_tag[[#This Row],[Field_office]],Parameter!$A$3:$B$11,2,0)</f>
        <v>6</v>
      </c>
      <c r="E740" t="s">
        <v>5646</v>
      </c>
      <c r="F740" t="s">
        <v>5647</v>
      </c>
      <c r="H740" t="str">
        <f ca="1">PROPER(Sites_per_tag[[#This Row],[Adm2Name]])</f>
        <v>Bekily</v>
      </c>
      <c r="I740" t="s">
        <v>5683</v>
      </c>
      <c r="K740" t="s">
        <v>6328</v>
      </c>
      <c r="L740" t="s">
        <v>5695</v>
      </c>
      <c r="Q740" t="s">
        <v>2292</v>
      </c>
      <c r="R740">
        <v>607020014</v>
      </c>
      <c r="T740" t="s">
        <v>7</v>
      </c>
      <c r="U740" s="3" t="str">
        <f>+VLOOKUP(Sites_per_tag[[#This Row],[Activity_tag]],Parameter!$A$24:$B$32,2,0)</f>
        <v>SMP</v>
      </c>
      <c r="W740">
        <v>45.438980000000001</v>
      </c>
      <c r="X740">
        <v>-24.012519999999999</v>
      </c>
    </row>
    <row r="741" spans="1:24" x14ac:dyDescent="0.35">
      <c r="A741" s="3" t="str">
        <f t="shared" si="11"/>
        <v>607030001SMP</v>
      </c>
      <c r="B741" t="s">
        <v>6211</v>
      </c>
      <c r="C741">
        <f>+VLOOKUP(Sites_per_tag[[#This Row],[Field_office]],Parameter!$A$3:$B$11,2,0)</f>
        <v>6</v>
      </c>
      <c r="E741" t="s">
        <v>5646</v>
      </c>
      <c r="F741" t="s">
        <v>5647</v>
      </c>
      <c r="H741" t="str">
        <f ca="1">PROPER(Sites_per_tag[[#This Row],[Adm2Name]])</f>
        <v>Bekily</v>
      </c>
      <c r="I741" t="s">
        <v>5683</v>
      </c>
      <c r="K741" t="s">
        <v>1004</v>
      </c>
      <c r="L741" t="s">
        <v>5812</v>
      </c>
      <c r="Q741" t="s">
        <v>6333</v>
      </c>
      <c r="R741">
        <v>607030001</v>
      </c>
      <c r="T741" t="s">
        <v>7</v>
      </c>
      <c r="U741" s="3" t="str">
        <f>+VLOOKUP(Sites_per_tag[[#This Row],[Activity_tag]],Parameter!$A$24:$B$32,2,0)</f>
        <v>SMP</v>
      </c>
      <c r="W741">
        <v>45.621130000000001</v>
      </c>
      <c r="X741">
        <v>-24.352399999999999</v>
      </c>
    </row>
    <row r="742" spans="1:24" x14ac:dyDescent="0.35">
      <c r="A742" s="3" t="str">
        <f t="shared" si="11"/>
        <v>607040001SMP</v>
      </c>
      <c r="B742" t="s">
        <v>6211</v>
      </c>
      <c r="C742">
        <f>+VLOOKUP(Sites_per_tag[[#This Row],[Field_office]],Parameter!$A$3:$B$11,2,0)</f>
        <v>6</v>
      </c>
      <c r="E742" t="s">
        <v>5646</v>
      </c>
      <c r="F742" t="s">
        <v>5647</v>
      </c>
      <c r="H742" t="str">
        <f ca="1">PROPER(Sites_per_tag[[#This Row],[Adm2Name]])</f>
        <v>Bekily</v>
      </c>
      <c r="I742" t="s">
        <v>5683</v>
      </c>
      <c r="K742" t="s">
        <v>5813</v>
      </c>
      <c r="L742" t="s">
        <v>5814</v>
      </c>
      <c r="Q742" t="s">
        <v>618</v>
      </c>
      <c r="R742">
        <v>607040001</v>
      </c>
      <c r="T742" t="s">
        <v>7</v>
      </c>
      <c r="U742" s="3" t="str">
        <f>+VLOOKUP(Sites_per_tag[[#This Row],[Activity_tag]],Parameter!$A$24:$B$32,2,0)</f>
        <v>SMP</v>
      </c>
      <c r="W742">
        <v>45.281132999999997</v>
      </c>
      <c r="X742">
        <v>-24.327746000000001</v>
      </c>
    </row>
    <row r="743" spans="1:24" x14ac:dyDescent="0.35">
      <c r="A743" s="3" t="str">
        <f t="shared" si="11"/>
        <v>607040003SMP</v>
      </c>
      <c r="B743" t="s">
        <v>6211</v>
      </c>
      <c r="C743">
        <f>+VLOOKUP(Sites_per_tag[[#This Row],[Field_office]],Parameter!$A$3:$B$11,2,0)</f>
        <v>6</v>
      </c>
      <c r="E743" t="s">
        <v>5646</v>
      </c>
      <c r="F743" t="s">
        <v>5647</v>
      </c>
      <c r="H743" t="str">
        <f ca="1">PROPER(Sites_per_tag[[#This Row],[Adm2Name]])</f>
        <v>Bekily</v>
      </c>
      <c r="I743" t="s">
        <v>5683</v>
      </c>
      <c r="K743" t="s">
        <v>5813</v>
      </c>
      <c r="L743" t="s">
        <v>5814</v>
      </c>
      <c r="Q743" t="s">
        <v>2283</v>
      </c>
      <c r="R743">
        <v>607040003</v>
      </c>
      <c r="T743" t="s">
        <v>7</v>
      </c>
      <c r="U743" s="3" t="str">
        <f>+VLOOKUP(Sites_per_tag[[#This Row],[Activity_tag]],Parameter!$A$24:$B$32,2,0)</f>
        <v>SMP</v>
      </c>
      <c r="W743">
        <v>45.294536999999998</v>
      </c>
      <c r="X743">
        <v>-24.303552</v>
      </c>
    </row>
    <row r="744" spans="1:24" x14ac:dyDescent="0.35">
      <c r="A744" s="3" t="str">
        <f t="shared" si="11"/>
        <v>607040004SMP</v>
      </c>
      <c r="B744" t="s">
        <v>6211</v>
      </c>
      <c r="C744">
        <f>+VLOOKUP(Sites_per_tag[[#This Row],[Field_office]],Parameter!$A$3:$B$11,2,0)</f>
        <v>6</v>
      </c>
      <c r="E744" t="s">
        <v>5646</v>
      </c>
      <c r="F744" t="s">
        <v>5647</v>
      </c>
      <c r="H744" t="str">
        <f ca="1">PROPER(Sites_per_tag[[#This Row],[Adm2Name]])</f>
        <v>Bekily</v>
      </c>
      <c r="I744" t="s">
        <v>5683</v>
      </c>
      <c r="K744" t="s">
        <v>5813</v>
      </c>
      <c r="L744" t="s">
        <v>5814</v>
      </c>
      <c r="Q744" t="s">
        <v>1013</v>
      </c>
      <c r="R744">
        <v>607040004</v>
      </c>
      <c r="T744" t="s">
        <v>7</v>
      </c>
      <c r="U744" s="3" t="str">
        <f>+VLOOKUP(Sites_per_tag[[#This Row],[Activity_tag]],Parameter!$A$24:$B$32,2,0)</f>
        <v>SMP</v>
      </c>
      <c r="W744">
        <v>45.282221</v>
      </c>
      <c r="X744">
        <v>-24.266877000000001</v>
      </c>
    </row>
    <row r="745" spans="1:24" x14ac:dyDescent="0.35">
      <c r="A745" s="3" t="str">
        <f t="shared" si="11"/>
        <v>607040005SMP</v>
      </c>
      <c r="B745" t="s">
        <v>6211</v>
      </c>
      <c r="C745">
        <f>+VLOOKUP(Sites_per_tag[[#This Row],[Field_office]],Parameter!$A$3:$B$11,2,0)</f>
        <v>6</v>
      </c>
      <c r="E745" t="s">
        <v>5646</v>
      </c>
      <c r="F745" t="s">
        <v>5647</v>
      </c>
      <c r="H745" t="str">
        <f ca="1">PROPER(Sites_per_tag[[#This Row],[Adm2Name]])</f>
        <v>Bekily</v>
      </c>
      <c r="I745" t="s">
        <v>5683</v>
      </c>
      <c r="K745" t="s">
        <v>5813</v>
      </c>
      <c r="L745" t="s">
        <v>5814</v>
      </c>
      <c r="Q745" t="s">
        <v>6293</v>
      </c>
      <c r="R745">
        <v>607040005</v>
      </c>
      <c r="T745" t="s">
        <v>7</v>
      </c>
      <c r="U745" s="3" t="str">
        <f>+VLOOKUP(Sites_per_tag[[#This Row],[Activity_tag]],Parameter!$A$24:$B$32,2,0)</f>
        <v>SMP</v>
      </c>
      <c r="W745">
        <v>45.257936999999998</v>
      </c>
      <c r="X745">
        <v>-24.318957999999999</v>
      </c>
    </row>
    <row r="746" spans="1:24" x14ac:dyDescent="0.35">
      <c r="A746" s="3" t="str">
        <f t="shared" si="11"/>
        <v>607050001SMP</v>
      </c>
      <c r="B746" t="s">
        <v>6211</v>
      </c>
      <c r="C746">
        <f>+VLOOKUP(Sites_per_tag[[#This Row],[Field_office]],Parameter!$A$3:$B$11,2,0)</f>
        <v>6</v>
      </c>
      <c r="E746" t="s">
        <v>5646</v>
      </c>
      <c r="F746" t="s">
        <v>5647</v>
      </c>
      <c r="H746" t="str">
        <f ca="1">PROPER(Sites_per_tag[[#This Row],[Adm2Name]])</f>
        <v>Bekily</v>
      </c>
      <c r="I746" t="s">
        <v>5683</v>
      </c>
      <c r="K746" t="s">
        <v>6334</v>
      </c>
      <c r="L746" t="s">
        <v>5824</v>
      </c>
      <c r="Q746" t="s">
        <v>6335</v>
      </c>
      <c r="R746">
        <v>607050001</v>
      </c>
      <c r="T746" t="s">
        <v>7</v>
      </c>
      <c r="U746" s="3" t="str">
        <f>+VLOOKUP(Sites_per_tag[[#This Row],[Activity_tag]],Parameter!$A$24:$B$32,2,0)</f>
        <v>SMP</v>
      </c>
      <c r="W746">
        <v>45.199527000000003</v>
      </c>
      <c r="X746">
        <v>-24.170627</v>
      </c>
    </row>
    <row r="747" spans="1:24" x14ac:dyDescent="0.35">
      <c r="A747" s="3" t="str">
        <f t="shared" si="11"/>
        <v>607050003SMP</v>
      </c>
      <c r="B747" t="s">
        <v>6211</v>
      </c>
      <c r="C747">
        <f>+VLOOKUP(Sites_per_tag[[#This Row],[Field_office]],Parameter!$A$3:$B$11,2,0)</f>
        <v>6</v>
      </c>
      <c r="E747" t="s">
        <v>5646</v>
      </c>
      <c r="F747" t="s">
        <v>5647</v>
      </c>
      <c r="H747" t="str">
        <f ca="1">PROPER(Sites_per_tag[[#This Row],[Adm2Name]])</f>
        <v>Bekily</v>
      </c>
      <c r="I747" t="s">
        <v>5683</v>
      </c>
      <c r="K747" t="s">
        <v>6334</v>
      </c>
      <c r="L747" t="s">
        <v>5824</v>
      </c>
      <c r="Q747" t="s">
        <v>858</v>
      </c>
      <c r="R747">
        <v>607050003</v>
      </c>
      <c r="T747" t="s">
        <v>7</v>
      </c>
      <c r="U747" s="3" t="str">
        <f>+VLOOKUP(Sites_per_tag[[#This Row],[Activity_tag]],Parameter!$A$24:$B$32,2,0)</f>
        <v>SMP</v>
      </c>
      <c r="W747">
        <v>45.318322999999999</v>
      </c>
      <c r="X747">
        <v>-24.158149000000002</v>
      </c>
    </row>
    <row r="748" spans="1:24" x14ac:dyDescent="0.35">
      <c r="A748" s="3" t="str">
        <f t="shared" si="11"/>
        <v>607050006SMP</v>
      </c>
      <c r="B748" t="s">
        <v>6211</v>
      </c>
      <c r="C748">
        <f>+VLOOKUP(Sites_per_tag[[#This Row],[Field_office]],Parameter!$A$3:$B$11,2,0)</f>
        <v>6</v>
      </c>
      <c r="E748" t="s">
        <v>5646</v>
      </c>
      <c r="F748" t="s">
        <v>5647</v>
      </c>
      <c r="H748" t="str">
        <f ca="1">PROPER(Sites_per_tag[[#This Row],[Adm2Name]])</f>
        <v>Bekily</v>
      </c>
      <c r="I748" t="s">
        <v>5683</v>
      </c>
      <c r="K748" t="s">
        <v>6334</v>
      </c>
      <c r="L748" t="s">
        <v>5824</v>
      </c>
      <c r="Q748" t="s">
        <v>6336</v>
      </c>
      <c r="R748">
        <v>607050006</v>
      </c>
      <c r="T748" t="s">
        <v>7</v>
      </c>
      <c r="U748" s="3" t="str">
        <f>+VLOOKUP(Sites_per_tag[[#This Row],[Activity_tag]],Parameter!$A$24:$B$32,2,0)</f>
        <v>SMP</v>
      </c>
      <c r="W748">
        <v>45.219791000000001</v>
      </c>
      <c r="X748">
        <v>-24.215945999999999</v>
      </c>
    </row>
    <row r="749" spans="1:24" x14ac:dyDescent="0.35">
      <c r="A749" s="3" t="str">
        <f t="shared" si="11"/>
        <v>607050008SMP</v>
      </c>
      <c r="B749" t="s">
        <v>6211</v>
      </c>
      <c r="C749">
        <f>+VLOOKUP(Sites_per_tag[[#This Row],[Field_office]],Parameter!$A$3:$B$11,2,0)</f>
        <v>6</v>
      </c>
      <c r="E749" t="s">
        <v>5646</v>
      </c>
      <c r="F749" t="s">
        <v>5647</v>
      </c>
      <c r="H749" t="str">
        <f ca="1">PROPER(Sites_per_tag[[#This Row],[Adm2Name]])</f>
        <v>Bekily</v>
      </c>
      <c r="I749" t="s">
        <v>5683</v>
      </c>
      <c r="K749" t="s">
        <v>6334</v>
      </c>
      <c r="L749" t="s">
        <v>5824</v>
      </c>
      <c r="Q749" t="s">
        <v>1125</v>
      </c>
      <c r="R749">
        <v>607050008</v>
      </c>
      <c r="T749" t="s">
        <v>7</v>
      </c>
      <c r="U749" s="3" t="str">
        <f>+VLOOKUP(Sites_per_tag[[#This Row],[Activity_tag]],Parameter!$A$24:$B$32,2,0)</f>
        <v>SMP</v>
      </c>
      <c r="W749">
        <v>45.287545000000001</v>
      </c>
      <c r="X749">
        <v>-24.196213</v>
      </c>
    </row>
    <row r="750" spans="1:24" x14ac:dyDescent="0.35">
      <c r="A750" s="3" t="str">
        <f t="shared" si="11"/>
        <v>607060003SMP</v>
      </c>
      <c r="B750" t="s">
        <v>6211</v>
      </c>
      <c r="C750">
        <f>+VLOOKUP(Sites_per_tag[[#This Row],[Field_office]],Parameter!$A$3:$B$11,2,0)</f>
        <v>6</v>
      </c>
      <c r="E750" t="s">
        <v>5646</v>
      </c>
      <c r="F750" t="s">
        <v>5647</v>
      </c>
      <c r="H750" t="str">
        <f ca="1">PROPER(Sites_per_tag[[#This Row],[Adm2Name]])</f>
        <v>Bekily</v>
      </c>
      <c r="I750" t="s">
        <v>5683</v>
      </c>
      <c r="K750" t="s">
        <v>1569</v>
      </c>
      <c r="L750" t="s">
        <v>5871</v>
      </c>
      <c r="Q750" t="s">
        <v>1452</v>
      </c>
      <c r="R750">
        <v>607060003</v>
      </c>
      <c r="T750" t="s">
        <v>7</v>
      </c>
      <c r="U750" s="3" t="str">
        <f>+VLOOKUP(Sites_per_tag[[#This Row],[Activity_tag]],Parameter!$A$24:$B$32,2,0)</f>
        <v>SMP</v>
      </c>
      <c r="W750">
        <v>45.156483999999999</v>
      </c>
      <c r="X750">
        <v>-24.248405000000002</v>
      </c>
    </row>
    <row r="751" spans="1:24" x14ac:dyDescent="0.35">
      <c r="A751" s="3" t="str">
        <f t="shared" si="11"/>
        <v>607060004SMP</v>
      </c>
      <c r="B751" t="s">
        <v>6211</v>
      </c>
      <c r="C751">
        <f>+VLOOKUP(Sites_per_tag[[#This Row],[Field_office]],Parameter!$A$3:$B$11,2,0)</f>
        <v>6</v>
      </c>
      <c r="E751" t="s">
        <v>5646</v>
      </c>
      <c r="F751" t="s">
        <v>5647</v>
      </c>
      <c r="H751" t="str">
        <f ca="1">PROPER(Sites_per_tag[[#This Row],[Adm2Name]])</f>
        <v>Bekily</v>
      </c>
      <c r="I751" t="s">
        <v>5683</v>
      </c>
      <c r="K751" t="s">
        <v>1569</v>
      </c>
      <c r="L751" t="s">
        <v>5871</v>
      </c>
      <c r="Q751" t="s">
        <v>4208</v>
      </c>
      <c r="R751">
        <v>607060004</v>
      </c>
      <c r="T751" t="s">
        <v>7</v>
      </c>
      <c r="U751" s="3" t="str">
        <f>+VLOOKUP(Sites_per_tag[[#This Row],[Activity_tag]],Parameter!$A$24:$B$32,2,0)</f>
        <v>SMP</v>
      </c>
      <c r="W751">
        <v>45.090549000000003</v>
      </c>
      <c r="X751">
        <v>-24.25103</v>
      </c>
    </row>
    <row r="752" spans="1:24" x14ac:dyDescent="0.35">
      <c r="A752" s="3" t="str">
        <f t="shared" si="11"/>
        <v>607060005SMP</v>
      </c>
      <c r="B752" t="s">
        <v>6211</v>
      </c>
      <c r="C752">
        <f>+VLOOKUP(Sites_per_tag[[#This Row],[Field_office]],Parameter!$A$3:$B$11,2,0)</f>
        <v>6</v>
      </c>
      <c r="E752" t="s">
        <v>5646</v>
      </c>
      <c r="F752" t="s">
        <v>5647</v>
      </c>
      <c r="H752" t="str">
        <f ca="1">PROPER(Sites_per_tag[[#This Row],[Adm2Name]])</f>
        <v>Bekily</v>
      </c>
      <c r="I752" t="s">
        <v>5683</v>
      </c>
      <c r="K752" t="s">
        <v>1569</v>
      </c>
      <c r="L752" t="s">
        <v>5871</v>
      </c>
      <c r="Q752" t="s">
        <v>5870</v>
      </c>
      <c r="R752">
        <v>607060005</v>
      </c>
      <c r="T752" t="s">
        <v>7</v>
      </c>
      <c r="U752" s="3" t="str">
        <f>+VLOOKUP(Sites_per_tag[[#This Row],[Activity_tag]],Parameter!$A$24:$B$32,2,0)</f>
        <v>SMP</v>
      </c>
      <c r="W752">
        <v>45.181215000000002</v>
      </c>
      <c r="X752">
        <v>-24.246148999999999</v>
      </c>
    </row>
    <row r="753" spans="1:24" x14ac:dyDescent="0.35">
      <c r="A753" s="3" t="str">
        <f t="shared" si="11"/>
        <v>607070002SMP</v>
      </c>
      <c r="B753" t="s">
        <v>6211</v>
      </c>
      <c r="C753">
        <f>+VLOOKUP(Sites_per_tag[[#This Row],[Field_office]],Parameter!$A$3:$B$11,2,0)</f>
        <v>6</v>
      </c>
      <c r="E753" t="s">
        <v>5646</v>
      </c>
      <c r="F753" t="s">
        <v>5647</v>
      </c>
      <c r="H753" t="str">
        <f ca="1">PROPER(Sites_per_tag[[#This Row],[Adm2Name]])</f>
        <v>Bekily</v>
      </c>
      <c r="I753" t="s">
        <v>5683</v>
      </c>
      <c r="K753" t="s">
        <v>6330</v>
      </c>
      <c r="L753" t="s">
        <v>5898</v>
      </c>
      <c r="Q753" t="s">
        <v>178</v>
      </c>
      <c r="R753">
        <v>607070002</v>
      </c>
      <c r="T753" t="s">
        <v>7</v>
      </c>
      <c r="U753" s="3" t="str">
        <f>+VLOOKUP(Sites_per_tag[[#This Row],[Activity_tag]],Parameter!$A$24:$B$32,2,0)</f>
        <v>SMP</v>
      </c>
      <c r="W753">
        <v>45.234000999999999</v>
      </c>
      <c r="X753">
        <v>-24.597100999999999</v>
      </c>
    </row>
    <row r="754" spans="1:24" x14ac:dyDescent="0.35">
      <c r="A754" s="3" t="str">
        <f t="shared" si="11"/>
        <v>607070003SMP</v>
      </c>
      <c r="B754" t="s">
        <v>6211</v>
      </c>
      <c r="C754">
        <f>+VLOOKUP(Sites_per_tag[[#This Row],[Field_office]],Parameter!$A$3:$B$11,2,0)</f>
        <v>6</v>
      </c>
      <c r="E754" t="s">
        <v>5646</v>
      </c>
      <c r="F754" t="s">
        <v>5647</v>
      </c>
      <c r="H754" t="str">
        <f ca="1">PROPER(Sites_per_tag[[#This Row],[Adm2Name]])</f>
        <v>Bekily</v>
      </c>
      <c r="I754" t="s">
        <v>5683</v>
      </c>
      <c r="K754" t="s">
        <v>6337</v>
      </c>
      <c r="L754" t="s">
        <v>5933</v>
      </c>
      <c r="Q754" t="s">
        <v>192</v>
      </c>
      <c r="R754">
        <v>607070003</v>
      </c>
      <c r="T754" t="s">
        <v>7</v>
      </c>
      <c r="U754" s="3" t="str">
        <f>+VLOOKUP(Sites_per_tag[[#This Row],[Activity_tag]],Parameter!$A$24:$B$32,2,0)</f>
        <v>SMP</v>
      </c>
      <c r="W754">
        <v>45.296554999999998</v>
      </c>
      <c r="X754">
        <v>-24.682466999999999</v>
      </c>
    </row>
    <row r="755" spans="1:24" x14ac:dyDescent="0.35">
      <c r="A755" s="3" t="str">
        <f t="shared" si="11"/>
        <v>607070006SMP</v>
      </c>
      <c r="B755" t="s">
        <v>6211</v>
      </c>
      <c r="C755">
        <f>+VLOOKUP(Sites_per_tag[[#This Row],[Field_office]],Parameter!$A$3:$B$11,2,0)</f>
        <v>6</v>
      </c>
      <c r="E755" t="s">
        <v>5646</v>
      </c>
      <c r="F755" t="s">
        <v>5647</v>
      </c>
      <c r="H755" t="str">
        <f ca="1">PROPER(Sites_per_tag[[#This Row],[Adm2Name]])</f>
        <v>Bekily</v>
      </c>
      <c r="I755" t="s">
        <v>5683</v>
      </c>
      <c r="K755" t="s">
        <v>6337</v>
      </c>
      <c r="L755" t="s">
        <v>5933</v>
      </c>
      <c r="Q755" t="s">
        <v>1579</v>
      </c>
      <c r="R755">
        <v>607070006</v>
      </c>
      <c r="T755" t="s">
        <v>7</v>
      </c>
      <c r="U755" s="3" t="str">
        <f>+VLOOKUP(Sites_per_tag[[#This Row],[Activity_tag]],Parameter!$A$24:$B$32,2,0)</f>
        <v>SMP</v>
      </c>
      <c r="W755">
        <v>45.383200000000002</v>
      </c>
      <c r="X755">
        <v>-24.452971999999999</v>
      </c>
    </row>
    <row r="756" spans="1:24" x14ac:dyDescent="0.35">
      <c r="A756" s="3" t="str">
        <f t="shared" si="11"/>
        <v>607070008SMP</v>
      </c>
      <c r="B756" t="s">
        <v>6211</v>
      </c>
      <c r="C756">
        <f>+VLOOKUP(Sites_per_tag[[#This Row],[Field_office]],Parameter!$A$3:$B$11,2,0)</f>
        <v>6</v>
      </c>
      <c r="E756" t="s">
        <v>5646</v>
      </c>
      <c r="F756" t="s">
        <v>5647</v>
      </c>
      <c r="H756" t="str">
        <f ca="1">PROPER(Sites_per_tag[[#This Row],[Adm2Name]])</f>
        <v>Bekily</v>
      </c>
      <c r="I756" t="s">
        <v>5683</v>
      </c>
      <c r="K756" t="s">
        <v>6337</v>
      </c>
      <c r="L756" t="s">
        <v>5933</v>
      </c>
      <c r="Q756" t="s">
        <v>2207</v>
      </c>
      <c r="R756">
        <v>607070008</v>
      </c>
      <c r="T756" t="s">
        <v>7</v>
      </c>
      <c r="U756" s="3" t="str">
        <f>+VLOOKUP(Sites_per_tag[[#This Row],[Activity_tag]],Parameter!$A$24:$B$32,2,0)</f>
        <v>SMP</v>
      </c>
      <c r="W756">
        <v>45.349699999999999</v>
      </c>
      <c r="X756">
        <v>-24.606366000000001</v>
      </c>
    </row>
    <row r="757" spans="1:24" x14ac:dyDescent="0.35">
      <c r="A757" s="3" t="str">
        <f t="shared" si="11"/>
        <v>607070011SMP</v>
      </c>
      <c r="B757" t="s">
        <v>6211</v>
      </c>
      <c r="C757">
        <f>+VLOOKUP(Sites_per_tag[[#This Row],[Field_office]],Parameter!$A$3:$B$11,2,0)</f>
        <v>6</v>
      </c>
      <c r="E757" t="s">
        <v>5646</v>
      </c>
      <c r="F757" t="s">
        <v>5647</v>
      </c>
      <c r="H757" t="str">
        <f ca="1">PROPER(Sites_per_tag[[#This Row],[Adm2Name]])</f>
        <v>Bekily</v>
      </c>
      <c r="I757" t="s">
        <v>5683</v>
      </c>
      <c r="K757" t="s">
        <v>6330</v>
      </c>
      <c r="L757" t="s">
        <v>5898</v>
      </c>
      <c r="Q757" t="s">
        <v>2314</v>
      </c>
      <c r="R757">
        <v>607070011</v>
      </c>
      <c r="T757" t="s">
        <v>7</v>
      </c>
      <c r="U757" s="3" t="str">
        <f>+VLOOKUP(Sites_per_tag[[#This Row],[Activity_tag]],Parameter!$A$24:$B$32,2,0)</f>
        <v>SMP</v>
      </c>
      <c r="W757">
        <v>45.257198000000002</v>
      </c>
      <c r="X757">
        <v>-24.498557999999999</v>
      </c>
    </row>
    <row r="758" spans="1:24" x14ac:dyDescent="0.35">
      <c r="A758" s="3" t="str">
        <f t="shared" si="11"/>
        <v>607070013SMP</v>
      </c>
      <c r="B758" t="s">
        <v>6211</v>
      </c>
      <c r="C758">
        <f>+VLOOKUP(Sites_per_tag[[#This Row],[Field_office]],Parameter!$A$3:$B$11,2,0)</f>
        <v>6</v>
      </c>
      <c r="E758" t="s">
        <v>5646</v>
      </c>
      <c r="F758" t="s">
        <v>5647</v>
      </c>
      <c r="H758" t="str">
        <f ca="1">PROPER(Sites_per_tag[[#This Row],[Adm2Name]])</f>
        <v>Bekily</v>
      </c>
      <c r="I758" t="s">
        <v>5683</v>
      </c>
      <c r="K758" t="s">
        <v>6330</v>
      </c>
      <c r="L758" t="s">
        <v>5898</v>
      </c>
      <c r="Q758" t="s">
        <v>225</v>
      </c>
      <c r="R758">
        <v>607070013</v>
      </c>
      <c r="T758" t="s">
        <v>7</v>
      </c>
      <c r="U758" s="3" t="str">
        <f>+VLOOKUP(Sites_per_tag[[#This Row],[Activity_tag]],Parameter!$A$24:$B$32,2,0)</f>
        <v>SMP</v>
      </c>
      <c r="W758">
        <v>45.298768000000003</v>
      </c>
      <c r="X758">
        <v>-24.434774999999998</v>
      </c>
    </row>
    <row r="759" spans="1:24" x14ac:dyDescent="0.35">
      <c r="A759" s="3" t="str">
        <f t="shared" si="11"/>
        <v>607070014SMP</v>
      </c>
      <c r="B759" t="s">
        <v>6211</v>
      </c>
      <c r="C759">
        <f>+VLOOKUP(Sites_per_tag[[#This Row],[Field_office]],Parameter!$A$3:$B$11,2,0)</f>
        <v>6</v>
      </c>
      <c r="E759" t="s">
        <v>5646</v>
      </c>
      <c r="F759" t="s">
        <v>5647</v>
      </c>
      <c r="H759" t="str">
        <f ca="1">PROPER(Sites_per_tag[[#This Row],[Adm2Name]])</f>
        <v>Bekily</v>
      </c>
      <c r="I759" t="s">
        <v>5683</v>
      </c>
      <c r="K759" t="s">
        <v>6337</v>
      </c>
      <c r="L759" t="s">
        <v>5933</v>
      </c>
      <c r="Q759" t="s">
        <v>573</v>
      </c>
      <c r="R759">
        <v>607070014</v>
      </c>
      <c r="T759" t="s">
        <v>7</v>
      </c>
      <c r="U759" s="3" t="str">
        <f>+VLOOKUP(Sites_per_tag[[#This Row],[Activity_tag]],Parameter!$A$24:$B$32,2,0)</f>
        <v>SMP</v>
      </c>
      <c r="W759">
        <v>45.335157000000002</v>
      </c>
      <c r="X759">
        <v>-24.664639999999999</v>
      </c>
    </row>
    <row r="760" spans="1:24" x14ac:dyDescent="0.35">
      <c r="A760" s="3" t="str">
        <f t="shared" si="11"/>
        <v>607070016SMP</v>
      </c>
      <c r="B760" t="s">
        <v>6211</v>
      </c>
      <c r="C760">
        <f>+VLOOKUP(Sites_per_tag[[#This Row],[Field_office]],Parameter!$A$3:$B$11,2,0)</f>
        <v>6</v>
      </c>
      <c r="E760" t="s">
        <v>5646</v>
      </c>
      <c r="F760" t="s">
        <v>5647</v>
      </c>
      <c r="H760" t="str">
        <f ca="1">PROPER(Sites_per_tag[[#This Row],[Adm2Name]])</f>
        <v>Bekily</v>
      </c>
      <c r="I760" t="s">
        <v>5683</v>
      </c>
      <c r="K760" t="s">
        <v>6330</v>
      </c>
      <c r="L760" t="s">
        <v>5898</v>
      </c>
      <c r="Q760" t="s">
        <v>1205</v>
      </c>
      <c r="R760">
        <v>607070016</v>
      </c>
      <c r="T760" t="s">
        <v>7</v>
      </c>
      <c r="U760" s="3" t="str">
        <f>+VLOOKUP(Sites_per_tag[[#This Row],[Activity_tag]],Parameter!$A$24:$B$32,2,0)</f>
        <v>SMP</v>
      </c>
      <c r="W760">
        <v>45.249569999999999</v>
      </c>
      <c r="X760">
        <v>-24.593636</v>
      </c>
    </row>
    <row r="761" spans="1:24" x14ac:dyDescent="0.35">
      <c r="A761" s="3" t="str">
        <f t="shared" si="11"/>
        <v>607070019SMP</v>
      </c>
      <c r="B761" t="s">
        <v>6211</v>
      </c>
      <c r="C761">
        <f>+VLOOKUP(Sites_per_tag[[#This Row],[Field_office]],Parameter!$A$3:$B$11,2,0)</f>
        <v>6</v>
      </c>
      <c r="E761" t="s">
        <v>5646</v>
      </c>
      <c r="F761" t="s">
        <v>5647</v>
      </c>
      <c r="H761" t="str">
        <f ca="1">PROPER(Sites_per_tag[[#This Row],[Adm2Name]])</f>
        <v>Bekily</v>
      </c>
      <c r="I761" t="s">
        <v>5683</v>
      </c>
      <c r="K761" t="s">
        <v>6337</v>
      </c>
      <c r="L761" t="s">
        <v>5933</v>
      </c>
      <c r="Q761" t="s">
        <v>1685</v>
      </c>
      <c r="R761">
        <v>607070019</v>
      </c>
      <c r="T761" t="s">
        <v>7</v>
      </c>
      <c r="U761" s="3" t="str">
        <f>+VLOOKUP(Sites_per_tag[[#This Row],[Activity_tag]],Parameter!$A$24:$B$32,2,0)</f>
        <v>SMP</v>
      </c>
      <c r="W761">
        <v>45.343220000000002</v>
      </c>
      <c r="X761">
        <v>-24.685378</v>
      </c>
    </row>
    <row r="762" spans="1:24" x14ac:dyDescent="0.35">
      <c r="A762" s="3" t="str">
        <f t="shared" si="11"/>
        <v>607070021SMP</v>
      </c>
      <c r="B762" t="s">
        <v>6211</v>
      </c>
      <c r="C762">
        <f>+VLOOKUP(Sites_per_tag[[#This Row],[Field_office]],Parameter!$A$3:$B$11,2,0)</f>
        <v>6</v>
      </c>
      <c r="E762" t="s">
        <v>5646</v>
      </c>
      <c r="F762" t="s">
        <v>5647</v>
      </c>
      <c r="H762" t="str">
        <f ca="1">PROPER(Sites_per_tag[[#This Row],[Adm2Name]])</f>
        <v>Bekily</v>
      </c>
      <c r="I762" t="s">
        <v>5683</v>
      </c>
      <c r="K762" t="s">
        <v>6330</v>
      </c>
      <c r="L762" t="s">
        <v>5898</v>
      </c>
      <c r="Q762" t="s">
        <v>6338</v>
      </c>
      <c r="R762">
        <v>607070021</v>
      </c>
      <c r="T762" t="s">
        <v>7</v>
      </c>
      <c r="U762" s="3" t="str">
        <f>+VLOOKUP(Sites_per_tag[[#This Row],[Activity_tag]],Parameter!$A$24:$B$32,2,0)</f>
        <v>SMP</v>
      </c>
      <c r="W762">
        <v>45.341603999999997</v>
      </c>
      <c r="X762">
        <v>-24.473738000000001</v>
      </c>
    </row>
    <row r="763" spans="1:24" x14ac:dyDescent="0.35">
      <c r="A763" s="3" t="str">
        <f t="shared" si="11"/>
        <v>607070022SMP</v>
      </c>
      <c r="B763" t="s">
        <v>6211</v>
      </c>
      <c r="C763">
        <f>+VLOOKUP(Sites_per_tag[[#This Row],[Field_office]],Parameter!$A$3:$B$11,2,0)</f>
        <v>6</v>
      </c>
      <c r="E763" t="s">
        <v>5646</v>
      </c>
      <c r="F763" t="s">
        <v>5647</v>
      </c>
      <c r="H763" t="str">
        <f ca="1">PROPER(Sites_per_tag[[#This Row],[Adm2Name]])</f>
        <v>Bekily</v>
      </c>
      <c r="I763" t="s">
        <v>5683</v>
      </c>
      <c r="K763" t="s">
        <v>6330</v>
      </c>
      <c r="L763" t="s">
        <v>5898</v>
      </c>
      <c r="Q763" t="s">
        <v>1856</v>
      </c>
      <c r="R763">
        <v>607070022</v>
      </c>
      <c r="T763" t="s">
        <v>7</v>
      </c>
      <c r="U763" s="3" t="str">
        <f>+VLOOKUP(Sites_per_tag[[#This Row],[Activity_tag]],Parameter!$A$24:$B$32,2,0)</f>
        <v>SMP</v>
      </c>
      <c r="W763">
        <v>45.301056000000003</v>
      </c>
      <c r="X763">
        <v>-24.558721999999999</v>
      </c>
    </row>
    <row r="764" spans="1:24" x14ac:dyDescent="0.35">
      <c r="A764" s="3" t="str">
        <f t="shared" si="11"/>
        <v>607070024SMP</v>
      </c>
      <c r="B764" t="s">
        <v>6211</v>
      </c>
      <c r="C764">
        <f>+VLOOKUP(Sites_per_tag[[#This Row],[Field_office]],Parameter!$A$3:$B$11,2,0)</f>
        <v>6</v>
      </c>
      <c r="E764" t="s">
        <v>5646</v>
      </c>
      <c r="F764" t="s">
        <v>5647</v>
      </c>
      <c r="H764" t="str">
        <f ca="1">PROPER(Sites_per_tag[[#This Row],[Adm2Name]])</f>
        <v>Bekily</v>
      </c>
      <c r="I764" t="s">
        <v>5683</v>
      </c>
      <c r="K764" t="s">
        <v>6330</v>
      </c>
      <c r="L764" t="s">
        <v>5898</v>
      </c>
      <c r="Q764" t="s">
        <v>1948</v>
      </c>
      <c r="R764">
        <v>607070024</v>
      </c>
      <c r="T764" t="s">
        <v>7</v>
      </c>
      <c r="U764" s="3" t="str">
        <f>+VLOOKUP(Sites_per_tag[[#This Row],[Activity_tag]],Parameter!$A$24:$B$32,2,0)</f>
        <v>SMP</v>
      </c>
      <c r="W764">
        <v>45.342382000000001</v>
      </c>
      <c r="X764">
        <v>-24.516382</v>
      </c>
    </row>
    <row r="765" spans="1:24" x14ac:dyDescent="0.35">
      <c r="A765" s="3" t="str">
        <f t="shared" si="11"/>
        <v>607070025SMP</v>
      </c>
      <c r="B765" t="s">
        <v>6211</v>
      </c>
      <c r="C765">
        <f>+VLOOKUP(Sites_per_tag[[#This Row],[Field_office]],Parameter!$A$3:$B$11,2,0)</f>
        <v>6</v>
      </c>
      <c r="E765" t="s">
        <v>5646</v>
      </c>
      <c r="F765" t="s">
        <v>5647</v>
      </c>
      <c r="H765" t="str">
        <f ca="1">PROPER(Sites_per_tag[[#This Row],[Adm2Name]])</f>
        <v>Bekily</v>
      </c>
      <c r="I765" t="s">
        <v>5683</v>
      </c>
      <c r="K765" t="s">
        <v>6330</v>
      </c>
      <c r="L765" t="s">
        <v>5898</v>
      </c>
      <c r="Q765" t="s">
        <v>3162</v>
      </c>
      <c r="R765">
        <v>607070025</v>
      </c>
      <c r="T765" t="s">
        <v>7</v>
      </c>
      <c r="U765" s="3" t="str">
        <f>+VLOOKUP(Sites_per_tag[[#This Row],[Activity_tag]],Parameter!$A$24:$B$32,2,0)</f>
        <v>SMP</v>
      </c>
      <c r="W765">
        <v>45.255540000000003</v>
      </c>
      <c r="X765">
        <v>-24.468686000000002</v>
      </c>
    </row>
    <row r="766" spans="1:24" x14ac:dyDescent="0.35">
      <c r="A766" s="3" t="str">
        <f t="shared" si="11"/>
        <v>607070026SMP</v>
      </c>
      <c r="B766" t="s">
        <v>6211</v>
      </c>
      <c r="C766">
        <f>+VLOOKUP(Sites_per_tag[[#This Row],[Field_office]],Parameter!$A$3:$B$11,2,0)</f>
        <v>6</v>
      </c>
      <c r="E766" t="s">
        <v>5646</v>
      </c>
      <c r="F766" t="s">
        <v>5647</v>
      </c>
      <c r="H766" t="str">
        <f ca="1">PROPER(Sites_per_tag[[#This Row],[Adm2Name]])</f>
        <v>Bekily</v>
      </c>
      <c r="I766" t="s">
        <v>5683</v>
      </c>
      <c r="K766" t="s">
        <v>6330</v>
      </c>
      <c r="L766" t="s">
        <v>5898</v>
      </c>
      <c r="Q766" t="s">
        <v>2321</v>
      </c>
      <c r="R766">
        <v>607070026</v>
      </c>
      <c r="T766" t="s">
        <v>7</v>
      </c>
      <c r="U766" s="3" t="str">
        <f>+VLOOKUP(Sites_per_tag[[#This Row],[Activity_tag]],Parameter!$A$24:$B$32,2,0)</f>
        <v>SMP</v>
      </c>
      <c r="W766">
        <v>45.219776000000003</v>
      </c>
      <c r="X766">
        <v>-24.558613999999999</v>
      </c>
    </row>
    <row r="767" spans="1:24" x14ac:dyDescent="0.35">
      <c r="A767" s="3" t="str">
        <f t="shared" si="11"/>
        <v>607070027SMP</v>
      </c>
      <c r="B767" t="s">
        <v>6211</v>
      </c>
      <c r="C767">
        <f>+VLOOKUP(Sites_per_tag[[#This Row],[Field_office]],Parameter!$A$3:$B$11,2,0)</f>
        <v>6</v>
      </c>
      <c r="E767" t="s">
        <v>5646</v>
      </c>
      <c r="F767" t="s">
        <v>5647</v>
      </c>
      <c r="H767" t="str">
        <f ca="1">PROPER(Sites_per_tag[[#This Row],[Adm2Name]])</f>
        <v>Bekily</v>
      </c>
      <c r="I767" t="s">
        <v>5683</v>
      </c>
      <c r="K767" t="s">
        <v>6337</v>
      </c>
      <c r="L767" t="s">
        <v>5933</v>
      </c>
      <c r="Q767" t="s">
        <v>6203</v>
      </c>
      <c r="R767">
        <v>607070027</v>
      </c>
      <c r="T767" t="s">
        <v>7</v>
      </c>
      <c r="U767" s="3" t="str">
        <f>+VLOOKUP(Sites_per_tag[[#This Row],[Activity_tag]],Parameter!$A$24:$B$32,2,0)</f>
        <v>SMP</v>
      </c>
      <c r="W767">
        <v>45.356710999999997</v>
      </c>
      <c r="X767">
        <v>-24.562045000000001</v>
      </c>
    </row>
    <row r="768" spans="1:24" x14ac:dyDescent="0.35">
      <c r="A768" s="3" t="str">
        <f t="shared" si="11"/>
        <v>607070029SMP</v>
      </c>
      <c r="B768" t="s">
        <v>6211</v>
      </c>
      <c r="C768">
        <f>+VLOOKUP(Sites_per_tag[[#This Row],[Field_office]],Parameter!$A$3:$B$11,2,0)</f>
        <v>6</v>
      </c>
      <c r="E768" t="s">
        <v>5646</v>
      </c>
      <c r="F768" t="s">
        <v>5647</v>
      </c>
      <c r="H768" t="str">
        <f ca="1">PROPER(Sites_per_tag[[#This Row],[Adm2Name]])</f>
        <v>Bekily</v>
      </c>
      <c r="I768" t="s">
        <v>5683</v>
      </c>
      <c r="K768" t="s">
        <v>6330</v>
      </c>
      <c r="L768" t="s">
        <v>5898</v>
      </c>
      <c r="Q768" t="s">
        <v>190</v>
      </c>
      <c r="R768">
        <v>607070029</v>
      </c>
      <c r="T768" t="s">
        <v>7</v>
      </c>
      <c r="U768" s="3" t="str">
        <f>+VLOOKUP(Sites_per_tag[[#This Row],[Activity_tag]],Parameter!$A$24:$B$32,2,0)</f>
        <v>SMP</v>
      </c>
      <c r="W768">
        <v>45.259712</v>
      </c>
      <c r="X768">
        <v>-24.555548999999999</v>
      </c>
    </row>
    <row r="769" spans="1:24" x14ac:dyDescent="0.35">
      <c r="A769" s="3" t="str">
        <f t="shared" si="11"/>
        <v>607070033SMP</v>
      </c>
      <c r="B769" t="s">
        <v>6211</v>
      </c>
      <c r="C769">
        <f>+VLOOKUP(Sites_per_tag[[#This Row],[Field_office]],Parameter!$A$3:$B$11,2,0)</f>
        <v>6</v>
      </c>
      <c r="E769" t="s">
        <v>5646</v>
      </c>
      <c r="F769" t="s">
        <v>5647</v>
      </c>
      <c r="H769" t="str">
        <f ca="1">PROPER(Sites_per_tag[[#This Row],[Adm2Name]])</f>
        <v>Bekily</v>
      </c>
      <c r="I769" t="s">
        <v>5683</v>
      </c>
      <c r="K769" t="s">
        <v>6330</v>
      </c>
      <c r="L769" t="s">
        <v>5898</v>
      </c>
      <c r="Q769" t="s">
        <v>2273</v>
      </c>
      <c r="R769">
        <v>607070033</v>
      </c>
      <c r="T769" t="s">
        <v>7</v>
      </c>
      <c r="U769" s="3" t="str">
        <f>+VLOOKUP(Sites_per_tag[[#This Row],[Activity_tag]],Parameter!$A$24:$B$32,2,0)</f>
        <v>SMP</v>
      </c>
      <c r="W769">
        <v>45.258628999999999</v>
      </c>
      <c r="X769">
        <v>-24.582559</v>
      </c>
    </row>
    <row r="770" spans="1:24" x14ac:dyDescent="0.35">
      <c r="A770" s="3" t="str">
        <f t="shared" si="11"/>
        <v>607070034SMP</v>
      </c>
      <c r="B770" t="s">
        <v>6211</v>
      </c>
      <c r="C770">
        <f>+VLOOKUP(Sites_per_tag[[#This Row],[Field_office]],Parameter!$A$3:$B$11,2,0)</f>
        <v>6</v>
      </c>
      <c r="E770" t="s">
        <v>5646</v>
      </c>
      <c r="F770" t="s">
        <v>5647</v>
      </c>
      <c r="H770" t="str">
        <f ca="1">PROPER(Sites_per_tag[[#This Row],[Adm2Name]])</f>
        <v>Bekily</v>
      </c>
      <c r="I770" t="s">
        <v>5683</v>
      </c>
      <c r="K770" t="s">
        <v>6330</v>
      </c>
      <c r="L770" t="s">
        <v>5898</v>
      </c>
      <c r="Q770" t="s">
        <v>2245</v>
      </c>
      <c r="R770">
        <v>607070034</v>
      </c>
      <c r="T770" t="s">
        <v>7</v>
      </c>
      <c r="U770" s="3" t="str">
        <f>+VLOOKUP(Sites_per_tag[[#This Row],[Activity_tag]],Parameter!$A$24:$B$32,2,0)</f>
        <v>SMP</v>
      </c>
      <c r="W770">
        <v>45.176195999999997</v>
      </c>
      <c r="X770">
        <v>-24.548684000000002</v>
      </c>
    </row>
    <row r="771" spans="1:24" x14ac:dyDescent="0.35">
      <c r="A771" s="3" t="str">
        <f t="shared" ref="A771:A834" si="12">+R771&amp;U771</f>
        <v>607080003SMP</v>
      </c>
      <c r="B771" t="s">
        <v>6211</v>
      </c>
      <c r="C771">
        <f>+VLOOKUP(Sites_per_tag[[#This Row],[Field_office]],Parameter!$A$3:$B$11,2,0)</f>
        <v>6</v>
      </c>
      <c r="E771" t="s">
        <v>5646</v>
      </c>
      <c r="F771" t="s">
        <v>5647</v>
      </c>
      <c r="H771" t="str">
        <f ca="1">PROPER(Sites_per_tag[[#This Row],[Adm2Name]])</f>
        <v>Bekily</v>
      </c>
      <c r="I771" t="s">
        <v>5683</v>
      </c>
      <c r="K771" t="s">
        <v>6339</v>
      </c>
      <c r="L771" t="s">
        <v>5907</v>
      </c>
      <c r="Q771" t="s">
        <v>669</v>
      </c>
      <c r="R771">
        <v>607080003</v>
      </c>
      <c r="T771" t="s">
        <v>7</v>
      </c>
      <c r="U771" s="3" t="str">
        <f>+VLOOKUP(Sites_per_tag[[#This Row],[Activity_tag]],Parameter!$A$24:$B$32,2,0)</f>
        <v>SMP</v>
      </c>
      <c r="W771">
        <v>45.491259999999997</v>
      </c>
      <c r="X771">
        <v>-24.589032</v>
      </c>
    </row>
    <row r="772" spans="1:24" x14ac:dyDescent="0.35">
      <c r="A772" s="3" t="str">
        <f t="shared" si="12"/>
        <v>607080004SMP</v>
      </c>
      <c r="B772" t="s">
        <v>6211</v>
      </c>
      <c r="C772">
        <f>+VLOOKUP(Sites_per_tag[[#This Row],[Field_office]],Parameter!$A$3:$B$11,2,0)</f>
        <v>6</v>
      </c>
      <c r="E772" t="s">
        <v>5646</v>
      </c>
      <c r="F772" t="s">
        <v>5647</v>
      </c>
      <c r="H772" t="str">
        <f ca="1">PROPER(Sites_per_tag[[#This Row],[Adm2Name]])</f>
        <v>Bekily</v>
      </c>
      <c r="I772" t="s">
        <v>5683</v>
      </c>
      <c r="K772" t="s">
        <v>6339</v>
      </c>
      <c r="L772" t="s">
        <v>5907</v>
      </c>
      <c r="Q772" t="s">
        <v>2254</v>
      </c>
      <c r="R772">
        <v>607080004</v>
      </c>
      <c r="T772" t="s">
        <v>7</v>
      </c>
      <c r="U772" s="3" t="str">
        <f>+VLOOKUP(Sites_per_tag[[#This Row],[Activity_tag]],Parameter!$A$24:$B$32,2,0)</f>
        <v>SMP</v>
      </c>
      <c r="W772">
        <v>45.365594999999999</v>
      </c>
      <c r="X772">
        <v>-24.508320000000001</v>
      </c>
    </row>
    <row r="773" spans="1:24" x14ac:dyDescent="0.35">
      <c r="A773" s="3" t="str">
        <f t="shared" si="12"/>
        <v>607080005SMP</v>
      </c>
      <c r="B773" t="s">
        <v>6211</v>
      </c>
      <c r="C773">
        <f>+VLOOKUP(Sites_per_tag[[#This Row],[Field_office]],Parameter!$A$3:$B$11,2,0)</f>
        <v>6</v>
      </c>
      <c r="E773" t="s">
        <v>5646</v>
      </c>
      <c r="F773" t="s">
        <v>5647</v>
      </c>
      <c r="H773" t="str">
        <f ca="1">PROPER(Sites_per_tag[[#This Row],[Adm2Name]])</f>
        <v>Bekily</v>
      </c>
      <c r="I773" t="s">
        <v>5683</v>
      </c>
      <c r="K773" t="s">
        <v>6339</v>
      </c>
      <c r="L773" t="s">
        <v>5907</v>
      </c>
      <c r="Q773" t="s">
        <v>879</v>
      </c>
      <c r="R773">
        <v>607080005</v>
      </c>
      <c r="T773" t="s">
        <v>7</v>
      </c>
      <c r="U773" s="3" t="str">
        <f>+VLOOKUP(Sites_per_tag[[#This Row],[Activity_tag]],Parameter!$A$24:$B$32,2,0)</f>
        <v>SMP</v>
      </c>
      <c r="W773">
        <v>45.468594000000003</v>
      </c>
      <c r="X773">
        <v>-24.583807</v>
      </c>
    </row>
    <row r="774" spans="1:24" x14ac:dyDescent="0.35">
      <c r="A774" s="3" t="str">
        <f t="shared" si="12"/>
        <v>607080006SMP</v>
      </c>
      <c r="B774" t="s">
        <v>6211</v>
      </c>
      <c r="C774">
        <f>+VLOOKUP(Sites_per_tag[[#This Row],[Field_office]],Parameter!$A$3:$B$11,2,0)</f>
        <v>6</v>
      </c>
      <c r="E774" t="s">
        <v>5646</v>
      </c>
      <c r="F774" t="s">
        <v>5647</v>
      </c>
      <c r="H774" t="str">
        <f ca="1">PROPER(Sites_per_tag[[#This Row],[Adm2Name]])</f>
        <v>Bekily</v>
      </c>
      <c r="I774" t="s">
        <v>5683</v>
      </c>
      <c r="K774" t="s">
        <v>6339</v>
      </c>
      <c r="L774" t="s">
        <v>5907</v>
      </c>
      <c r="Q774" t="s">
        <v>6340</v>
      </c>
      <c r="R774">
        <v>607080006</v>
      </c>
      <c r="T774" t="s">
        <v>7</v>
      </c>
      <c r="U774" s="3" t="str">
        <f>+VLOOKUP(Sites_per_tag[[#This Row],[Activity_tag]],Parameter!$A$24:$B$32,2,0)</f>
        <v>SMP</v>
      </c>
      <c r="W774">
        <v>45.403486000000001</v>
      </c>
      <c r="X774">
        <v>-24.436544999999999</v>
      </c>
    </row>
    <row r="775" spans="1:24" x14ac:dyDescent="0.35">
      <c r="A775" s="3" t="str">
        <f t="shared" si="12"/>
        <v>607080007SMP</v>
      </c>
      <c r="B775" t="s">
        <v>6211</v>
      </c>
      <c r="C775">
        <f>+VLOOKUP(Sites_per_tag[[#This Row],[Field_office]],Parameter!$A$3:$B$11,2,0)</f>
        <v>6</v>
      </c>
      <c r="E775" t="s">
        <v>5646</v>
      </c>
      <c r="F775" t="s">
        <v>5647</v>
      </c>
      <c r="H775" t="str">
        <f ca="1">PROPER(Sites_per_tag[[#This Row],[Adm2Name]])</f>
        <v>Bekily</v>
      </c>
      <c r="I775" t="s">
        <v>5683</v>
      </c>
      <c r="K775" t="s">
        <v>6339</v>
      </c>
      <c r="L775" t="s">
        <v>5907</v>
      </c>
      <c r="Q775" t="s">
        <v>6341</v>
      </c>
      <c r="R775">
        <v>607080007</v>
      </c>
      <c r="T775" t="s">
        <v>7</v>
      </c>
      <c r="U775" s="3" t="str">
        <f>+VLOOKUP(Sites_per_tag[[#This Row],[Activity_tag]],Parameter!$A$24:$B$32,2,0)</f>
        <v>SMP</v>
      </c>
      <c r="W775">
        <v>45.374535000000002</v>
      </c>
      <c r="X775">
        <v>-24.496411999999999</v>
      </c>
    </row>
    <row r="776" spans="1:24" x14ac:dyDescent="0.35">
      <c r="A776" s="3" t="str">
        <f t="shared" si="12"/>
        <v>607080012SMP</v>
      </c>
      <c r="B776" t="s">
        <v>6211</v>
      </c>
      <c r="C776">
        <f>+VLOOKUP(Sites_per_tag[[#This Row],[Field_office]],Parameter!$A$3:$B$11,2,0)</f>
        <v>6</v>
      </c>
      <c r="E776" t="s">
        <v>5646</v>
      </c>
      <c r="F776" t="s">
        <v>5647</v>
      </c>
      <c r="H776" t="str">
        <f ca="1">PROPER(Sites_per_tag[[#This Row],[Adm2Name]])</f>
        <v>Bekily</v>
      </c>
      <c r="I776" t="s">
        <v>5683</v>
      </c>
      <c r="K776" t="s">
        <v>6339</v>
      </c>
      <c r="L776" t="s">
        <v>5907</v>
      </c>
      <c r="Q776" t="s">
        <v>2316</v>
      </c>
      <c r="R776">
        <v>607080012</v>
      </c>
      <c r="T776" t="s">
        <v>7</v>
      </c>
      <c r="U776" s="3" t="str">
        <f>+VLOOKUP(Sites_per_tag[[#This Row],[Activity_tag]],Parameter!$A$24:$B$32,2,0)</f>
        <v>SMP</v>
      </c>
      <c r="W776">
        <v>45.414102</v>
      </c>
      <c r="X776">
        <v>-24.503298999999998</v>
      </c>
    </row>
    <row r="777" spans="1:24" x14ac:dyDescent="0.35">
      <c r="A777" s="3" t="str">
        <f t="shared" si="12"/>
        <v>607080013SMP</v>
      </c>
      <c r="B777" t="s">
        <v>6211</v>
      </c>
      <c r="C777">
        <f>+VLOOKUP(Sites_per_tag[[#This Row],[Field_office]],Parameter!$A$3:$B$11,2,0)</f>
        <v>6</v>
      </c>
      <c r="E777" t="s">
        <v>5646</v>
      </c>
      <c r="F777" t="s">
        <v>5647</v>
      </c>
      <c r="H777" t="str">
        <f ca="1">PROPER(Sites_per_tag[[#This Row],[Adm2Name]])</f>
        <v>Bekily</v>
      </c>
      <c r="I777" t="s">
        <v>5683</v>
      </c>
      <c r="K777" t="s">
        <v>6339</v>
      </c>
      <c r="L777" t="s">
        <v>5907</v>
      </c>
      <c r="Q777" t="s">
        <v>17</v>
      </c>
      <c r="R777">
        <v>607080013</v>
      </c>
      <c r="T777" t="s">
        <v>7</v>
      </c>
      <c r="U777" s="3" t="str">
        <f>+VLOOKUP(Sites_per_tag[[#This Row],[Activity_tag]],Parameter!$A$24:$B$32,2,0)</f>
        <v>SMP</v>
      </c>
      <c r="W777">
        <v>45.470913000000003</v>
      </c>
      <c r="X777">
        <v>-24.550795999999998</v>
      </c>
    </row>
    <row r="778" spans="1:24" x14ac:dyDescent="0.35">
      <c r="A778" s="3" t="str">
        <f t="shared" si="12"/>
        <v>607080015SMP</v>
      </c>
      <c r="B778" t="s">
        <v>6211</v>
      </c>
      <c r="C778">
        <f>+VLOOKUP(Sites_per_tag[[#This Row],[Field_office]],Parameter!$A$3:$B$11,2,0)</f>
        <v>6</v>
      </c>
      <c r="E778" t="s">
        <v>5646</v>
      </c>
      <c r="F778" t="s">
        <v>5647</v>
      </c>
      <c r="H778" t="str">
        <f ca="1">PROPER(Sites_per_tag[[#This Row],[Adm2Name]])</f>
        <v>Bekily</v>
      </c>
      <c r="I778" t="s">
        <v>5683</v>
      </c>
      <c r="K778" t="s">
        <v>6339</v>
      </c>
      <c r="L778" t="s">
        <v>5907</v>
      </c>
      <c r="Q778" t="s">
        <v>6342</v>
      </c>
      <c r="R778">
        <v>607080015</v>
      </c>
      <c r="T778" t="s">
        <v>7</v>
      </c>
      <c r="U778" s="3" t="str">
        <f>+VLOOKUP(Sites_per_tag[[#This Row],[Activity_tag]],Parameter!$A$24:$B$32,2,0)</f>
        <v>SMP</v>
      </c>
      <c r="W778">
        <v>45.384563</v>
      </c>
      <c r="X778">
        <v>-24.394404999999999</v>
      </c>
    </row>
    <row r="779" spans="1:24" x14ac:dyDescent="0.35">
      <c r="A779" s="3" t="str">
        <f t="shared" si="12"/>
        <v>607080016SMP</v>
      </c>
      <c r="B779" t="s">
        <v>6211</v>
      </c>
      <c r="C779">
        <f>+VLOOKUP(Sites_per_tag[[#This Row],[Field_office]],Parameter!$A$3:$B$11,2,0)</f>
        <v>6</v>
      </c>
      <c r="E779" t="s">
        <v>5646</v>
      </c>
      <c r="F779" t="s">
        <v>5647</v>
      </c>
      <c r="H779" t="str">
        <f ca="1">PROPER(Sites_per_tag[[#This Row],[Adm2Name]])</f>
        <v>Bekily</v>
      </c>
      <c r="I779" t="s">
        <v>5683</v>
      </c>
      <c r="K779" t="s">
        <v>6339</v>
      </c>
      <c r="L779" t="s">
        <v>5907</v>
      </c>
      <c r="Q779" t="s">
        <v>872</v>
      </c>
      <c r="R779">
        <v>607080016</v>
      </c>
      <c r="T779" t="s">
        <v>7</v>
      </c>
      <c r="U779" s="3" t="str">
        <f>+VLOOKUP(Sites_per_tag[[#This Row],[Activity_tag]],Parameter!$A$24:$B$32,2,0)</f>
        <v>SMP</v>
      </c>
      <c r="W779">
        <v>45.491365999999999</v>
      </c>
      <c r="X779">
        <v>-24.476243</v>
      </c>
    </row>
    <row r="780" spans="1:24" x14ac:dyDescent="0.35">
      <c r="A780" s="3" t="str">
        <f t="shared" si="12"/>
        <v>607080017SMP</v>
      </c>
      <c r="B780" t="s">
        <v>6211</v>
      </c>
      <c r="C780">
        <f>+VLOOKUP(Sites_per_tag[[#This Row],[Field_office]],Parameter!$A$3:$B$11,2,0)</f>
        <v>6</v>
      </c>
      <c r="E780" t="s">
        <v>5646</v>
      </c>
      <c r="F780" t="s">
        <v>5647</v>
      </c>
      <c r="H780" t="str">
        <f ca="1">PROPER(Sites_per_tag[[#This Row],[Adm2Name]])</f>
        <v>Bekily</v>
      </c>
      <c r="I780" t="s">
        <v>5683</v>
      </c>
      <c r="K780" t="s">
        <v>6339</v>
      </c>
      <c r="L780" t="s">
        <v>5907</v>
      </c>
      <c r="Q780" t="s">
        <v>873</v>
      </c>
      <c r="R780">
        <v>607080017</v>
      </c>
      <c r="T780" t="s">
        <v>7</v>
      </c>
      <c r="U780" s="3" t="str">
        <f>+VLOOKUP(Sites_per_tag[[#This Row],[Activity_tag]],Parameter!$A$24:$B$32,2,0)</f>
        <v>SMP</v>
      </c>
      <c r="W780">
        <v>45.503172999999997</v>
      </c>
      <c r="X780">
        <v>-24.473376999999999</v>
      </c>
    </row>
    <row r="781" spans="1:24" x14ac:dyDescent="0.35">
      <c r="A781" s="3" t="str">
        <f t="shared" si="12"/>
        <v>607080018SMP</v>
      </c>
      <c r="B781" t="s">
        <v>6211</v>
      </c>
      <c r="C781">
        <f>+VLOOKUP(Sites_per_tag[[#This Row],[Field_office]],Parameter!$A$3:$B$11,2,0)</f>
        <v>6</v>
      </c>
      <c r="E781" t="s">
        <v>5646</v>
      </c>
      <c r="F781" t="s">
        <v>5647</v>
      </c>
      <c r="H781" t="str">
        <f ca="1">PROPER(Sites_per_tag[[#This Row],[Adm2Name]])</f>
        <v>Bekily</v>
      </c>
      <c r="I781" t="s">
        <v>5683</v>
      </c>
      <c r="K781" t="s">
        <v>6339</v>
      </c>
      <c r="L781" t="s">
        <v>5907</v>
      </c>
      <c r="Q781" t="s">
        <v>1910</v>
      </c>
      <c r="R781">
        <v>607080018</v>
      </c>
      <c r="T781" t="s">
        <v>7</v>
      </c>
      <c r="U781" s="3" t="str">
        <f>+VLOOKUP(Sites_per_tag[[#This Row],[Activity_tag]],Parameter!$A$24:$B$32,2,0)</f>
        <v>SMP</v>
      </c>
      <c r="W781">
        <v>45.412579000000001</v>
      </c>
      <c r="X781">
        <v>-24.484252000000001</v>
      </c>
    </row>
    <row r="782" spans="1:24" x14ac:dyDescent="0.35">
      <c r="A782" s="3" t="str">
        <f t="shared" si="12"/>
        <v>607080022SMP</v>
      </c>
      <c r="B782" t="s">
        <v>6211</v>
      </c>
      <c r="C782">
        <f>+VLOOKUP(Sites_per_tag[[#This Row],[Field_office]],Parameter!$A$3:$B$11,2,0)</f>
        <v>6</v>
      </c>
      <c r="E782" t="s">
        <v>5646</v>
      </c>
      <c r="F782" t="s">
        <v>5647</v>
      </c>
      <c r="H782" t="str">
        <f ca="1">PROPER(Sites_per_tag[[#This Row],[Adm2Name]])</f>
        <v>Bekily</v>
      </c>
      <c r="I782" t="s">
        <v>5683</v>
      </c>
      <c r="K782" t="s">
        <v>6339</v>
      </c>
      <c r="L782" t="s">
        <v>5907</v>
      </c>
      <c r="Q782" t="s">
        <v>2247</v>
      </c>
      <c r="R782">
        <v>607080022</v>
      </c>
      <c r="T782" t="s">
        <v>7</v>
      </c>
      <c r="U782" s="3" t="str">
        <f>+VLOOKUP(Sites_per_tag[[#This Row],[Activity_tag]],Parameter!$A$24:$B$32,2,0)</f>
        <v>SMP</v>
      </c>
      <c r="W782">
        <v>45.364899000000001</v>
      </c>
      <c r="X782">
        <v>-24.357316999999998</v>
      </c>
    </row>
    <row r="783" spans="1:24" x14ac:dyDescent="0.35">
      <c r="A783" s="3" t="str">
        <f t="shared" si="12"/>
        <v>607080023SMP</v>
      </c>
      <c r="B783" t="s">
        <v>6211</v>
      </c>
      <c r="C783">
        <f>+VLOOKUP(Sites_per_tag[[#This Row],[Field_office]],Parameter!$A$3:$B$11,2,0)</f>
        <v>6</v>
      </c>
      <c r="E783" t="s">
        <v>5646</v>
      </c>
      <c r="F783" t="s">
        <v>5647</v>
      </c>
      <c r="H783" t="str">
        <f ca="1">PROPER(Sites_per_tag[[#This Row],[Adm2Name]])</f>
        <v>Bekily</v>
      </c>
      <c r="I783" t="s">
        <v>5683</v>
      </c>
      <c r="K783" t="s">
        <v>6339</v>
      </c>
      <c r="L783" t="s">
        <v>5907</v>
      </c>
      <c r="Q783" t="s">
        <v>2250</v>
      </c>
      <c r="R783">
        <v>607080023</v>
      </c>
      <c r="T783" t="s">
        <v>7</v>
      </c>
      <c r="U783" s="3" t="str">
        <f>+VLOOKUP(Sites_per_tag[[#This Row],[Activity_tag]],Parameter!$A$24:$B$32,2,0)</f>
        <v>SMP</v>
      </c>
      <c r="W783">
        <v>45.350233000000003</v>
      </c>
      <c r="X783">
        <v>-24.448083</v>
      </c>
    </row>
    <row r="784" spans="1:24" x14ac:dyDescent="0.35">
      <c r="A784" s="3" t="str">
        <f t="shared" si="12"/>
        <v>607090005SMP</v>
      </c>
      <c r="B784" t="s">
        <v>6211</v>
      </c>
      <c r="C784">
        <f>+VLOOKUP(Sites_per_tag[[#This Row],[Field_office]],Parameter!$A$3:$B$11,2,0)</f>
        <v>6</v>
      </c>
      <c r="E784" t="s">
        <v>5646</v>
      </c>
      <c r="F784" t="s">
        <v>5647</v>
      </c>
      <c r="H784" t="str">
        <f ca="1">PROPER(Sites_per_tag[[#This Row],[Adm2Name]])</f>
        <v>Bekily</v>
      </c>
      <c r="I784" t="s">
        <v>5683</v>
      </c>
      <c r="K784" t="s">
        <v>6343</v>
      </c>
      <c r="L784" t="s">
        <v>6165</v>
      </c>
      <c r="Q784" t="s">
        <v>1596</v>
      </c>
      <c r="R784">
        <v>607090005</v>
      </c>
      <c r="T784" t="s">
        <v>7</v>
      </c>
      <c r="U784" s="3" t="str">
        <f>+VLOOKUP(Sites_per_tag[[#This Row],[Activity_tag]],Parameter!$A$24:$B$32,2,0)</f>
        <v>SMP</v>
      </c>
      <c r="W784">
        <v>45.530045000000001</v>
      </c>
      <c r="X784">
        <v>-24.100788999999999</v>
      </c>
    </row>
    <row r="785" spans="1:24" x14ac:dyDescent="0.35">
      <c r="A785" s="3" t="str">
        <f t="shared" si="12"/>
        <v>607090006SMP</v>
      </c>
      <c r="B785" t="s">
        <v>6211</v>
      </c>
      <c r="C785">
        <f>+VLOOKUP(Sites_per_tag[[#This Row],[Field_office]],Parameter!$A$3:$B$11,2,0)</f>
        <v>6</v>
      </c>
      <c r="E785" t="s">
        <v>5646</v>
      </c>
      <c r="F785" t="s">
        <v>5647</v>
      </c>
      <c r="H785" t="str">
        <f ca="1">PROPER(Sites_per_tag[[#This Row],[Adm2Name]])</f>
        <v>Bekily</v>
      </c>
      <c r="I785" t="s">
        <v>5683</v>
      </c>
      <c r="K785" t="s">
        <v>6343</v>
      </c>
      <c r="L785" t="s">
        <v>6165</v>
      </c>
      <c r="Q785" t="s">
        <v>2275</v>
      </c>
      <c r="R785">
        <v>607090006</v>
      </c>
      <c r="T785" t="s">
        <v>7</v>
      </c>
      <c r="U785" s="3" t="str">
        <f>+VLOOKUP(Sites_per_tag[[#This Row],[Activity_tag]],Parameter!$A$24:$B$32,2,0)</f>
        <v>SMP</v>
      </c>
      <c r="W785">
        <v>45.534677000000002</v>
      </c>
      <c r="X785">
        <v>-24.119714999999999</v>
      </c>
    </row>
    <row r="786" spans="1:24" x14ac:dyDescent="0.35">
      <c r="A786" s="3" t="str">
        <f t="shared" si="12"/>
        <v>607090010SMP</v>
      </c>
      <c r="B786" t="s">
        <v>6211</v>
      </c>
      <c r="C786">
        <f>+VLOOKUP(Sites_per_tag[[#This Row],[Field_office]],Parameter!$A$3:$B$11,2,0)</f>
        <v>6</v>
      </c>
      <c r="E786" t="s">
        <v>5646</v>
      </c>
      <c r="F786" t="s">
        <v>5647</v>
      </c>
      <c r="H786" t="str">
        <f ca="1">PROPER(Sites_per_tag[[#This Row],[Adm2Name]])</f>
        <v>Bekily</v>
      </c>
      <c r="I786" t="s">
        <v>5683</v>
      </c>
      <c r="K786" t="s">
        <v>1976</v>
      </c>
      <c r="L786" t="s">
        <v>5917</v>
      </c>
      <c r="Q786" t="s">
        <v>6221</v>
      </c>
      <c r="R786">
        <v>607090010</v>
      </c>
      <c r="T786" t="s">
        <v>7</v>
      </c>
      <c r="U786" s="3" t="str">
        <f>+VLOOKUP(Sites_per_tag[[#This Row],[Activity_tag]],Parameter!$A$24:$B$32,2,0)</f>
        <v>SMP</v>
      </c>
      <c r="W786">
        <v>45.675134</v>
      </c>
      <c r="X786">
        <v>-24.177744000000001</v>
      </c>
    </row>
    <row r="787" spans="1:24" x14ac:dyDescent="0.35">
      <c r="A787" s="3" t="str">
        <f t="shared" si="12"/>
        <v>607090012SMP</v>
      </c>
      <c r="B787" t="s">
        <v>6211</v>
      </c>
      <c r="C787">
        <f>+VLOOKUP(Sites_per_tag[[#This Row],[Field_office]],Parameter!$A$3:$B$11,2,0)</f>
        <v>6</v>
      </c>
      <c r="E787" t="s">
        <v>5646</v>
      </c>
      <c r="F787" t="s">
        <v>5647</v>
      </c>
      <c r="H787" t="str">
        <f ca="1">PROPER(Sites_per_tag[[#This Row],[Adm2Name]])</f>
        <v>Bekily</v>
      </c>
      <c r="I787" t="s">
        <v>5683</v>
      </c>
      <c r="K787" t="s">
        <v>6339</v>
      </c>
      <c r="L787" t="s">
        <v>5907</v>
      </c>
      <c r="Q787" t="s">
        <v>1104</v>
      </c>
      <c r="R787">
        <v>607090012</v>
      </c>
      <c r="T787" t="s">
        <v>7</v>
      </c>
      <c r="U787" s="3" t="str">
        <f>+VLOOKUP(Sites_per_tag[[#This Row],[Activity_tag]],Parameter!$A$24:$B$32,2,0)</f>
        <v>SMP</v>
      </c>
      <c r="W787">
        <v>45.687466999999998</v>
      </c>
      <c r="X787">
        <v>-24.103884000000001</v>
      </c>
    </row>
    <row r="788" spans="1:24" x14ac:dyDescent="0.35">
      <c r="A788" s="3" t="str">
        <f t="shared" si="12"/>
        <v>607100003SMP</v>
      </c>
      <c r="B788" t="s">
        <v>6211</v>
      </c>
      <c r="C788">
        <f>+VLOOKUP(Sites_per_tag[[#This Row],[Field_office]],Parameter!$A$3:$B$11,2,0)</f>
        <v>6</v>
      </c>
      <c r="E788" t="s">
        <v>5646</v>
      </c>
      <c r="F788" t="s">
        <v>5647</v>
      </c>
      <c r="H788" t="str">
        <f ca="1">PROPER(Sites_per_tag[[#This Row],[Adm2Name]])</f>
        <v>Bekily</v>
      </c>
      <c r="I788" t="s">
        <v>5683</v>
      </c>
      <c r="K788" t="s">
        <v>5548</v>
      </c>
      <c r="L788" t="s">
        <v>6148</v>
      </c>
      <c r="Q788" t="s">
        <v>2277</v>
      </c>
      <c r="R788">
        <v>607100003</v>
      </c>
      <c r="T788" t="s">
        <v>7</v>
      </c>
      <c r="U788" s="3" t="str">
        <f>+VLOOKUP(Sites_per_tag[[#This Row],[Activity_tag]],Parameter!$A$24:$B$32,2,0)</f>
        <v>SMP</v>
      </c>
      <c r="W788">
        <v>45.171571</v>
      </c>
      <c r="X788">
        <v>-24.412980999999998</v>
      </c>
    </row>
    <row r="789" spans="1:24" x14ac:dyDescent="0.35">
      <c r="A789" s="3" t="str">
        <f t="shared" si="12"/>
        <v>607100006SMP</v>
      </c>
      <c r="B789" t="s">
        <v>6211</v>
      </c>
      <c r="C789">
        <f>+VLOOKUP(Sites_per_tag[[#This Row],[Field_office]],Parameter!$A$3:$B$11,2,0)</f>
        <v>6</v>
      </c>
      <c r="E789" t="s">
        <v>5646</v>
      </c>
      <c r="F789" t="s">
        <v>5647</v>
      </c>
      <c r="H789" t="str">
        <f ca="1">PROPER(Sites_per_tag[[#This Row],[Adm2Name]])</f>
        <v>Bekily</v>
      </c>
      <c r="I789" t="s">
        <v>5683</v>
      </c>
      <c r="K789" t="s">
        <v>6344</v>
      </c>
      <c r="L789" t="s">
        <v>5927</v>
      </c>
      <c r="Q789" t="s">
        <v>6345</v>
      </c>
      <c r="R789">
        <v>607100006</v>
      </c>
      <c r="T789" t="s">
        <v>7</v>
      </c>
      <c r="U789" s="3" t="str">
        <f>+VLOOKUP(Sites_per_tag[[#This Row],[Activity_tag]],Parameter!$A$24:$B$32,2,0)</f>
        <v>SMP</v>
      </c>
      <c r="W789">
        <v>45.068967000000001</v>
      </c>
      <c r="X789">
        <v>-24.404381000000001</v>
      </c>
    </row>
    <row r="790" spans="1:24" x14ac:dyDescent="0.35">
      <c r="A790" s="3" t="str">
        <f t="shared" si="12"/>
        <v>607100010SMP</v>
      </c>
      <c r="B790" t="s">
        <v>6211</v>
      </c>
      <c r="C790">
        <f>+VLOOKUP(Sites_per_tag[[#This Row],[Field_office]],Parameter!$A$3:$B$11,2,0)</f>
        <v>6</v>
      </c>
      <c r="E790" t="s">
        <v>5646</v>
      </c>
      <c r="F790" t="s">
        <v>5647</v>
      </c>
      <c r="H790" t="str">
        <f ca="1">PROPER(Sites_per_tag[[#This Row],[Adm2Name]])</f>
        <v>Bekily</v>
      </c>
      <c r="I790" t="s">
        <v>5683</v>
      </c>
      <c r="K790" t="s">
        <v>6344</v>
      </c>
      <c r="L790" t="s">
        <v>5927</v>
      </c>
      <c r="Q790" t="s">
        <v>741</v>
      </c>
      <c r="R790">
        <v>607100010</v>
      </c>
      <c r="T790" t="s">
        <v>7</v>
      </c>
      <c r="U790" s="3" t="str">
        <f>+VLOOKUP(Sites_per_tag[[#This Row],[Activity_tag]],Parameter!$A$24:$B$32,2,0)</f>
        <v>SMP</v>
      </c>
      <c r="W790">
        <v>45.172739999999997</v>
      </c>
      <c r="X790">
        <v>-24.457540999999999</v>
      </c>
    </row>
    <row r="791" spans="1:24" x14ac:dyDescent="0.35">
      <c r="A791" s="3" t="str">
        <f t="shared" si="12"/>
        <v>607110002SMP</v>
      </c>
      <c r="B791" t="s">
        <v>6211</v>
      </c>
      <c r="C791">
        <f>+VLOOKUP(Sites_per_tag[[#This Row],[Field_office]],Parameter!$A$3:$B$11,2,0)</f>
        <v>6</v>
      </c>
      <c r="E791" t="s">
        <v>5646</v>
      </c>
      <c r="F791" t="s">
        <v>5647</v>
      </c>
      <c r="H791" t="str">
        <f ca="1">PROPER(Sites_per_tag[[#This Row],[Adm2Name]])</f>
        <v>Bekily</v>
      </c>
      <c r="I791" t="s">
        <v>5683</v>
      </c>
      <c r="K791" t="s">
        <v>6337</v>
      </c>
      <c r="L791" t="s">
        <v>5933</v>
      </c>
      <c r="Q791" t="s">
        <v>6299</v>
      </c>
      <c r="R791">
        <v>607110002</v>
      </c>
      <c r="T791" t="s">
        <v>7</v>
      </c>
      <c r="U791" s="3" t="str">
        <f>+VLOOKUP(Sites_per_tag[[#This Row],[Activity_tag]],Parameter!$A$24:$B$32,2,0)</f>
        <v>SMP</v>
      </c>
      <c r="W791">
        <v>45.425345</v>
      </c>
      <c r="X791">
        <v>-24.604167</v>
      </c>
    </row>
    <row r="792" spans="1:24" x14ac:dyDescent="0.35">
      <c r="A792" s="3" t="str">
        <f t="shared" si="12"/>
        <v>607110003SMP</v>
      </c>
      <c r="B792" t="s">
        <v>6211</v>
      </c>
      <c r="C792">
        <f>+VLOOKUP(Sites_per_tag[[#This Row],[Field_office]],Parameter!$A$3:$B$11,2,0)</f>
        <v>6</v>
      </c>
      <c r="E792" t="s">
        <v>5646</v>
      </c>
      <c r="F792" t="s">
        <v>5647</v>
      </c>
      <c r="H792" t="str">
        <f ca="1">PROPER(Sites_per_tag[[#This Row],[Adm2Name]])</f>
        <v>Bekily</v>
      </c>
      <c r="I792" t="s">
        <v>5683</v>
      </c>
      <c r="K792" t="s">
        <v>6337</v>
      </c>
      <c r="L792" t="s">
        <v>5933</v>
      </c>
      <c r="Q792" t="s">
        <v>999</v>
      </c>
      <c r="R792">
        <v>607110003</v>
      </c>
      <c r="T792" t="s">
        <v>7</v>
      </c>
      <c r="U792" s="3" t="str">
        <f>+VLOOKUP(Sites_per_tag[[#This Row],[Activity_tag]],Parameter!$A$24:$B$32,2,0)</f>
        <v>SMP</v>
      </c>
      <c r="W792">
        <v>45.376649</v>
      </c>
      <c r="X792">
        <v>-24.690905999999998</v>
      </c>
    </row>
    <row r="793" spans="1:24" x14ac:dyDescent="0.35">
      <c r="A793" s="3" t="str">
        <f t="shared" si="12"/>
        <v>607110004SMP</v>
      </c>
      <c r="B793" t="s">
        <v>6211</v>
      </c>
      <c r="C793">
        <f>+VLOOKUP(Sites_per_tag[[#This Row],[Field_office]],Parameter!$A$3:$B$11,2,0)</f>
        <v>6</v>
      </c>
      <c r="E793" t="s">
        <v>5646</v>
      </c>
      <c r="F793" t="s">
        <v>5647</v>
      </c>
      <c r="H793" t="str">
        <f ca="1">PROPER(Sites_per_tag[[#This Row],[Adm2Name]])</f>
        <v>Bekily</v>
      </c>
      <c r="I793" t="s">
        <v>5683</v>
      </c>
      <c r="K793" t="s">
        <v>6337</v>
      </c>
      <c r="L793" t="s">
        <v>5933</v>
      </c>
      <c r="Q793" t="s">
        <v>2274</v>
      </c>
      <c r="R793">
        <v>607110004</v>
      </c>
      <c r="T793" t="s">
        <v>7</v>
      </c>
      <c r="U793" s="3" t="str">
        <f>+VLOOKUP(Sites_per_tag[[#This Row],[Activity_tag]],Parameter!$A$24:$B$32,2,0)</f>
        <v>SMP</v>
      </c>
      <c r="W793">
        <v>45.400235000000002</v>
      </c>
      <c r="X793">
        <v>-24.680102999999999</v>
      </c>
    </row>
    <row r="794" spans="1:24" x14ac:dyDescent="0.35">
      <c r="A794" s="3" t="str">
        <f t="shared" si="12"/>
        <v>607110007SMP</v>
      </c>
      <c r="B794" t="s">
        <v>6211</v>
      </c>
      <c r="C794">
        <f>+VLOOKUP(Sites_per_tag[[#This Row],[Field_office]],Parameter!$A$3:$B$11,2,0)</f>
        <v>6</v>
      </c>
      <c r="E794" t="s">
        <v>5646</v>
      </c>
      <c r="F794" t="s">
        <v>5647</v>
      </c>
      <c r="H794" t="str">
        <f ca="1">PROPER(Sites_per_tag[[#This Row],[Adm2Name]])</f>
        <v>Bekily</v>
      </c>
      <c r="I794" t="s">
        <v>5683</v>
      </c>
      <c r="K794" t="s">
        <v>6337</v>
      </c>
      <c r="L794" t="s">
        <v>5933</v>
      </c>
      <c r="Q794" t="s">
        <v>2196</v>
      </c>
      <c r="R794">
        <v>607110007</v>
      </c>
      <c r="T794" t="s">
        <v>7</v>
      </c>
      <c r="U794" s="3" t="str">
        <f>+VLOOKUP(Sites_per_tag[[#This Row],[Activity_tag]],Parameter!$A$24:$B$32,2,0)</f>
        <v>SMP</v>
      </c>
      <c r="W794">
        <v>45.384788999999998</v>
      </c>
      <c r="X794">
        <v>-24.614540999999999</v>
      </c>
    </row>
    <row r="795" spans="1:24" x14ac:dyDescent="0.35">
      <c r="A795" s="3" t="str">
        <f t="shared" si="12"/>
        <v>607110009SMP</v>
      </c>
      <c r="B795" t="s">
        <v>6211</v>
      </c>
      <c r="C795">
        <f>+VLOOKUP(Sites_per_tag[[#This Row],[Field_office]],Parameter!$A$3:$B$11,2,0)</f>
        <v>6</v>
      </c>
      <c r="E795" t="s">
        <v>5646</v>
      </c>
      <c r="F795" t="s">
        <v>5647</v>
      </c>
      <c r="H795" t="str">
        <f ca="1">PROPER(Sites_per_tag[[#This Row],[Adm2Name]])</f>
        <v>Bekily</v>
      </c>
      <c r="I795" t="s">
        <v>5683</v>
      </c>
      <c r="K795" t="s">
        <v>6337</v>
      </c>
      <c r="L795" t="s">
        <v>5933</v>
      </c>
      <c r="Q795" t="s">
        <v>2285</v>
      </c>
      <c r="R795">
        <v>607110009</v>
      </c>
      <c r="T795" t="s">
        <v>7</v>
      </c>
      <c r="U795" s="3" t="str">
        <f>+VLOOKUP(Sites_per_tag[[#This Row],[Activity_tag]],Parameter!$A$24:$B$32,2,0)</f>
        <v>SMP</v>
      </c>
      <c r="W795">
        <v>45.378625999999997</v>
      </c>
      <c r="X795">
        <v>-24.723652000000001</v>
      </c>
    </row>
    <row r="796" spans="1:24" x14ac:dyDescent="0.35">
      <c r="A796" s="3" t="str">
        <f t="shared" si="12"/>
        <v>607110010SMP</v>
      </c>
      <c r="B796" t="s">
        <v>6211</v>
      </c>
      <c r="C796">
        <f>+VLOOKUP(Sites_per_tag[[#This Row],[Field_office]],Parameter!$A$3:$B$11,2,0)</f>
        <v>6</v>
      </c>
      <c r="E796" t="s">
        <v>5646</v>
      </c>
      <c r="F796" t="s">
        <v>5647</v>
      </c>
      <c r="H796" t="str">
        <f ca="1">PROPER(Sites_per_tag[[#This Row],[Adm2Name]])</f>
        <v>Bekily</v>
      </c>
      <c r="I796" t="s">
        <v>5683</v>
      </c>
      <c r="K796" t="s">
        <v>6337</v>
      </c>
      <c r="L796" t="s">
        <v>5933</v>
      </c>
      <c r="Q796" t="s">
        <v>6346</v>
      </c>
      <c r="R796">
        <v>607110010</v>
      </c>
      <c r="T796" t="s">
        <v>7</v>
      </c>
      <c r="U796" s="3" t="str">
        <f>+VLOOKUP(Sites_per_tag[[#This Row],[Activity_tag]],Parameter!$A$24:$B$32,2,0)</f>
        <v>SMP</v>
      </c>
      <c r="W796">
        <v>45.390256999999998</v>
      </c>
      <c r="X796">
        <v>-24.577044999999998</v>
      </c>
    </row>
    <row r="797" spans="1:24" x14ac:dyDescent="0.35">
      <c r="A797" s="3" t="str">
        <f t="shared" si="12"/>
        <v>607110011SMP</v>
      </c>
      <c r="B797" t="s">
        <v>6211</v>
      </c>
      <c r="C797">
        <f>+VLOOKUP(Sites_per_tag[[#This Row],[Field_office]],Parameter!$A$3:$B$11,2,0)</f>
        <v>6</v>
      </c>
      <c r="E797" t="s">
        <v>5646</v>
      </c>
      <c r="F797" t="s">
        <v>5647</v>
      </c>
      <c r="H797" t="str">
        <f ca="1">PROPER(Sites_per_tag[[#This Row],[Adm2Name]])</f>
        <v>Bekily</v>
      </c>
      <c r="I797" t="s">
        <v>5683</v>
      </c>
      <c r="K797" t="s">
        <v>6337</v>
      </c>
      <c r="L797" t="s">
        <v>5933</v>
      </c>
      <c r="Q797" t="s">
        <v>6347</v>
      </c>
      <c r="R797">
        <v>607110011</v>
      </c>
      <c r="T797" t="s">
        <v>7</v>
      </c>
      <c r="U797" s="3" t="str">
        <f>+VLOOKUP(Sites_per_tag[[#This Row],[Activity_tag]],Parameter!$A$24:$B$32,2,0)</f>
        <v>SMP</v>
      </c>
      <c r="W797">
        <v>45.38767</v>
      </c>
      <c r="X797">
        <v>-24.655041000000001</v>
      </c>
    </row>
    <row r="798" spans="1:24" x14ac:dyDescent="0.35">
      <c r="A798" s="3" t="str">
        <f t="shared" si="12"/>
        <v>607120001SMP</v>
      </c>
      <c r="B798" t="s">
        <v>6211</v>
      </c>
      <c r="C798">
        <f>+VLOOKUP(Sites_per_tag[[#This Row],[Field_office]],Parameter!$A$3:$B$11,2,0)</f>
        <v>6</v>
      </c>
      <c r="E798" t="s">
        <v>5646</v>
      </c>
      <c r="F798" t="s">
        <v>5647</v>
      </c>
      <c r="H798" t="str">
        <f ca="1">PROPER(Sites_per_tag[[#This Row],[Adm2Name]])</f>
        <v>Bekily</v>
      </c>
      <c r="I798" t="s">
        <v>5683</v>
      </c>
      <c r="K798" t="s">
        <v>5202</v>
      </c>
      <c r="L798" t="s">
        <v>6015</v>
      </c>
      <c r="Q798" t="s">
        <v>2249</v>
      </c>
      <c r="R798">
        <v>607120001</v>
      </c>
      <c r="T798" t="s">
        <v>7</v>
      </c>
      <c r="U798" s="3" t="str">
        <f>+VLOOKUP(Sites_per_tag[[#This Row],[Activity_tag]],Parameter!$A$24:$B$32,2,0)</f>
        <v>SMP</v>
      </c>
      <c r="W798">
        <v>45.306252999999998</v>
      </c>
      <c r="X798">
        <v>-24.336976</v>
      </c>
    </row>
    <row r="799" spans="1:24" x14ac:dyDescent="0.35">
      <c r="A799" s="3" t="str">
        <f t="shared" si="12"/>
        <v>607120002SMP</v>
      </c>
      <c r="B799" t="s">
        <v>6211</v>
      </c>
      <c r="C799">
        <f>+VLOOKUP(Sites_per_tag[[#This Row],[Field_office]],Parameter!$A$3:$B$11,2,0)</f>
        <v>6</v>
      </c>
      <c r="E799" t="s">
        <v>5646</v>
      </c>
      <c r="F799" t="s">
        <v>5647</v>
      </c>
      <c r="H799" t="str">
        <f ca="1">PROPER(Sites_per_tag[[#This Row],[Adm2Name]])</f>
        <v>Bekily</v>
      </c>
      <c r="I799" t="s">
        <v>5683</v>
      </c>
      <c r="K799" t="s">
        <v>5202</v>
      </c>
      <c r="L799" t="s">
        <v>6015</v>
      </c>
      <c r="Q799" t="s">
        <v>6348</v>
      </c>
      <c r="R799">
        <v>607120002</v>
      </c>
      <c r="T799" t="s">
        <v>7</v>
      </c>
      <c r="U799" s="3" t="str">
        <f>+VLOOKUP(Sites_per_tag[[#This Row],[Activity_tag]],Parameter!$A$24:$B$32,2,0)</f>
        <v>SMP</v>
      </c>
      <c r="W799">
        <v>45.360956000000002</v>
      </c>
      <c r="X799">
        <v>-24.333000999999999</v>
      </c>
    </row>
    <row r="800" spans="1:24" x14ac:dyDescent="0.35">
      <c r="A800" s="3" t="str">
        <f t="shared" si="12"/>
        <v>607120003SMP</v>
      </c>
      <c r="B800" t="s">
        <v>6211</v>
      </c>
      <c r="C800">
        <f>+VLOOKUP(Sites_per_tag[[#This Row],[Field_office]],Parameter!$A$3:$B$11,2,0)</f>
        <v>6</v>
      </c>
      <c r="E800" t="s">
        <v>5646</v>
      </c>
      <c r="F800" t="s">
        <v>5647</v>
      </c>
      <c r="H800" t="str">
        <f ca="1">PROPER(Sites_per_tag[[#This Row],[Adm2Name]])</f>
        <v>Bekily</v>
      </c>
      <c r="I800" t="s">
        <v>5683</v>
      </c>
      <c r="K800" t="s">
        <v>5202</v>
      </c>
      <c r="L800" t="s">
        <v>6015</v>
      </c>
      <c r="Q800" t="s">
        <v>625</v>
      </c>
      <c r="R800">
        <v>607120003</v>
      </c>
      <c r="T800" t="s">
        <v>7</v>
      </c>
      <c r="U800" s="3" t="str">
        <f>+VLOOKUP(Sites_per_tag[[#This Row],[Activity_tag]],Parameter!$A$24:$B$32,2,0)</f>
        <v>SMP</v>
      </c>
      <c r="W800">
        <v>45.372973000000002</v>
      </c>
      <c r="X800">
        <v>-24.259755999999999</v>
      </c>
    </row>
    <row r="801" spans="1:24" x14ac:dyDescent="0.35">
      <c r="A801" s="3" t="str">
        <f t="shared" si="12"/>
        <v>607120006SMP</v>
      </c>
      <c r="B801" t="s">
        <v>6211</v>
      </c>
      <c r="C801">
        <f>+VLOOKUP(Sites_per_tag[[#This Row],[Field_office]],Parameter!$A$3:$B$11,2,0)</f>
        <v>6</v>
      </c>
      <c r="E801" t="s">
        <v>5646</v>
      </c>
      <c r="F801" t="s">
        <v>5647</v>
      </c>
      <c r="H801" t="str">
        <f ca="1">PROPER(Sites_per_tag[[#This Row],[Adm2Name]])</f>
        <v>Bekily</v>
      </c>
      <c r="I801" t="s">
        <v>5683</v>
      </c>
      <c r="K801" t="s">
        <v>5202</v>
      </c>
      <c r="L801" t="s">
        <v>6015</v>
      </c>
      <c r="Q801" t="s">
        <v>2266</v>
      </c>
      <c r="R801">
        <v>607120006</v>
      </c>
      <c r="T801" t="s">
        <v>7</v>
      </c>
      <c r="U801" s="3" t="str">
        <f>+VLOOKUP(Sites_per_tag[[#This Row],[Activity_tag]],Parameter!$A$24:$B$32,2,0)</f>
        <v>SMP</v>
      </c>
      <c r="W801">
        <v>45.397280000000002</v>
      </c>
      <c r="X801">
        <v>-24.2517</v>
      </c>
    </row>
    <row r="802" spans="1:24" x14ac:dyDescent="0.35">
      <c r="A802" s="3" t="str">
        <f t="shared" si="12"/>
        <v>607120007SMP</v>
      </c>
      <c r="B802" t="s">
        <v>6211</v>
      </c>
      <c r="C802">
        <f>+VLOOKUP(Sites_per_tag[[#This Row],[Field_office]],Parameter!$A$3:$B$11,2,0)</f>
        <v>6</v>
      </c>
      <c r="E802" t="s">
        <v>5646</v>
      </c>
      <c r="F802" t="s">
        <v>5647</v>
      </c>
      <c r="H802" t="str">
        <f ca="1">PROPER(Sites_per_tag[[#This Row],[Adm2Name]])</f>
        <v>Bekily</v>
      </c>
      <c r="I802" t="s">
        <v>5683</v>
      </c>
      <c r="K802" t="s">
        <v>5202</v>
      </c>
      <c r="L802" t="s">
        <v>6015</v>
      </c>
      <c r="Q802" t="s">
        <v>1473</v>
      </c>
      <c r="R802">
        <v>607120007</v>
      </c>
      <c r="T802" t="s">
        <v>7</v>
      </c>
      <c r="U802" s="3" t="str">
        <f>+VLOOKUP(Sites_per_tag[[#This Row],[Activity_tag]],Parameter!$A$24:$B$32,2,0)</f>
        <v>SMP</v>
      </c>
      <c r="W802">
        <v>45.367531999999997</v>
      </c>
      <c r="X802">
        <v>-24.343275999999999</v>
      </c>
    </row>
    <row r="803" spans="1:24" x14ac:dyDescent="0.35">
      <c r="A803" s="3" t="str">
        <f t="shared" si="12"/>
        <v>607120009SMP</v>
      </c>
      <c r="B803" t="s">
        <v>6211</v>
      </c>
      <c r="C803">
        <f>+VLOOKUP(Sites_per_tag[[#This Row],[Field_office]],Parameter!$A$3:$B$11,2,0)</f>
        <v>6</v>
      </c>
      <c r="E803" t="s">
        <v>5646</v>
      </c>
      <c r="F803" t="s">
        <v>5647</v>
      </c>
      <c r="H803" t="str">
        <f ca="1">PROPER(Sites_per_tag[[#This Row],[Adm2Name]])</f>
        <v>Bekily</v>
      </c>
      <c r="I803" t="s">
        <v>5683</v>
      </c>
      <c r="K803" t="s">
        <v>5202</v>
      </c>
      <c r="L803" t="s">
        <v>6015</v>
      </c>
      <c r="Q803" t="s">
        <v>2298</v>
      </c>
      <c r="R803">
        <v>607120009</v>
      </c>
      <c r="T803" t="s">
        <v>7</v>
      </c>
      <c r="U803" s="3" t="str">
        <f>+VLOOKUP(Sites_per_tag[[#This Row],[Activity_tag]],Parameter!$A$24:$B$32,2,0)</f>
        <v>SMP</v>
      </c>
      <c r="W803">
        <v>45.423206</v>
      </c>
      <c r="X803">
        <v>-24.347650999999999</v>
      </c>
    </row>
    <row r="804" spans="1:24" x14ac:dyDescent="0.35">
      <c r="A804" s="3" t="str">
        <f t="shared" si="12"/>
        <v>607120010SMP</v>
      </c>
      <c r="B804" t="s">
        <v>6211</v>
      </c>
      <c r="C804">
        <f>+VLOOKUP(Sites_per_tag[[#This Row],[Field_office]],Parameter!$A$3:$B$11,2,0)</f>
        <v>6</v>
      </c>
      <c r="E804" t="s">
        <v>5646</v>
      </c>
      <c r="F804" t="s">
        <v>5647</v>
      </c>
      <c r="H804" t="str">
        <f ca="1">PROPER(Sites_per_tag[[#This Row],[Adm2Name]])</f>
        <v>Bekily</v>
      </c>
      <c r="I804" t="s">
        <v>5683</v>
      </c>
      <c r="K804" t="s">
        <v>5202</v>
      </c>
      <c r="L804" t="s">
        <v>6015</v>
      </c>
      <c r="Q804" t="s">
        <v>3187</v>
      </c>
      <c r="R804">
        <v>607120010</v>
      </c>
      <c r="T804" t="s">
        <v>7</v>
      </c>
      <c r="U804" s="3" t="str">
        <f>+VLOOKUP(Sites_per_tag[[#This Row],[Activity_tag]],Parameter!$A$24:$B$32,2,0)</f>
        <v>SMP</v>
      </c>
      <c r="W804">
        <v>45.329394000000001</v>
      </c>
      <c r="X804">
        <v>-24.311373</v>
      </c>
    </row>
    <row r="805" spans="1:24" x14ac:dyDescent="0.35">
      <c r="A805" s="3" t="str">
        <f t="shared" si="12"/>
        <v>607120011SMP</v>
      </c>
      <c r="B805" t="s">
        <v>6211</v>
      </c>
      <c r="C805">
        <f>+VLOOKUP(Sites_per_tag[[#This Row],[Field_office]],Parameter!$A$3:$B$11,2,0)</f>
        <v>6</v>
      </c>
      <c r="E805" t="s">
        <v>5646</v>
      </c>
      <c r="F805" t="s">
        <v>5647</v>
      </c>
      <c r="H805" t="str">
        <f ca="1">PROPER(Sites_per_tag[[#This Row],[Adm2Name]])</f>
        <v>Bekily</v>
      </c>
      <c r="I805" t="s">
        <v>5683</v>
      </c>
      <c r="K805" t="s">
        <v>5202</v>
      </c>
      <c r="L805" t="s">
        <v>6015</v>
      </c>
      <c r="Q805" t="s">
        <v>3547</v>
      </c>
      <c r="R805">
        <v>607120011</v>
      </c>
      <c r="T805" t="s">
        <v>7</v>
      </c>
      <c r="U805" s="3" t="str">
        <f>+VLOOKUP(Sites_per_tag[[#This Row],[Activity_tag]],Parameter!$A$24:$B$32,2,0)</f>
        <v>SMP</v>
      </c>
      <c r="W805">
        <v>45.386054999999999</v>
      </c>
      <c r="X805">
        <v>-24.247091999999999</v>
      </c>
    </row>
    <row r="806" spans="1:24" x14ac:dyDescent="0.35">
      <c r="A806" s="3" t="str">
        <f t="shared" si="12"/>
        <v>607120012SMP</v>
      </c>
      <c r="B806" t="s">
        <v>6211</v>
      </c>
      <c r="C806">
        <f>+VLOOKUP(Sites_per_tag[[#This Row],[Field_office]],Parameter!$A$3:$B$11,2,0)</f>
        <v>6</v>
      </c>
      <c r="E806" t="s">
        <v>5646</v>
      </c>
      <c r="F806" t="s">
        <v>5647</v>
      </c>
      <c r="H806" t="str">
        <f ca="1">PROPER(Sites_per_tag[[#This Row],[Adm2Name]])</f>
        <v>Bekily</v>
      </c>
      <c r="I806" t="s">
        <v>5683</v>
      </c>
      <c r="K806" t="s">
        <v>5202</v>
      </c>
      <c r="L806" t="s">
        <v>6015</v>
      </c>
      <c r="Q806" t="s">
        <v>445</v>
      </c>
      <c r="R806">
        <v>607120012</v>
      </c>
      <c r="T806" t="s">
        <v>7</v>
      </c>
      <c r="U806" s="3" t="str">
        <f>+VLOOKUP(Sites_per_tag[[#This Row],[Activity_tag]],Parameter!$A$24:$B$32,2,0)</f>
        <v>SMP</v>
      </c>
      <c r="W806">
        <v>45.380549000000002</v>
      </c>
      <c r="X806">
        <v>-24.322808999999999</v>
      </c>
    </row>
    <row r="807" spans="1:24" x14ac:dyDescent="0.35">
      <c r="A807" s="3" t="str">
        <f t="shared" si="12"/>
        <v>607120013SMP</v>
      </c>
      <c r="B807" t="s">
        <v>6211</v>
      </c>
      <c r="C807">
        <f>+VLOOKUP(Sites_per_tag[[#This Row],[Field_office]],Parameter!$A$3:$B$11,2,0)</f>
        <v>6</v>
      </c>
      <c r="E807" t="s">
        <v>5646</v>
      </c>
      <c r="F807" t="s">
        <v>5647</v>
      </c>
      <c r="H807" t="str">
        <f ca="1">PROPER(Sites_per_tag[[#This Row],[Adm2Name]])</f>
        <v>Bekily</v>
      </c>
      <c r="I807" t="s">
        <v>5683</v>
      </c>
      <c r="K807" t="s">
        <v>5202</v>
      </c>
      <c r="L807" t="s">
        <v>6015</v>
      </c>
      <c r="Q807" t="s">
        <v>691</v>
      </c>
      <c r="R807">
        <v>607120013</v>
      </c>
      <c r="T807" t="s">
        <v>7</v>
      </c>
      <c r="U807" s="3" t="str">
        <f>+VLOOKUP(Sites_per_tag[[#This Row],[Activity_tag]],Parameter!$A$24:$B$32,2,0)</f>
        <v>SMP</v>
      </c>
      <c r="W807">
        <v>45.419967999999997</v>
      </c>
      <c r="X807">
        <v>-24.352122000000001</v>
      </c>
    </row>
    <row r="808" spans="1:24" x14ac:dyDescent="0.35">
      <c r="A808" s="3" t="str">
        <f t="shared" si="12"/>
        <v>607120014SMP</v>
      </c>
      <c r="B808" t="s">
        <v>6211</v>
      </c>
      <c r="C808">
        <f>+VLOOKUP(Sites_per_tag[[#This Row],[Field_office]],Parameter!$A$3:$B$11,2,0)</f>
        <v>6</v>
      </c>
      <c r="E808" t="s">
        <v>5646</v>
      </c>
      <c r="F808" t="s">
        <v>5647</v>
      </c>
      <c r="H808" t="str">
        <f ca="1">PROPER(Sites_per_tag[[#This Row],[Adm2Name]])</f>
        <v>Bekily</v>
      </c>
      <c r="I808" t="s">
        <v>5683</v>
      </c>
      <c r="K808" t="s">
        <v>5202</v>
      </c>
      <c r="L808" t="s">
        <v>6015</v>
      </c>
      <c r="Q808" t="s">
        <v>2839</v>
      </c>
      <c r="R808">
        <v>607120014</v>
      </c>
      <c r="T808" t="s">
        <v>7</v>
      </c>
      <c r="U808" s="3" t="str">
        <f>+VLOOKUP(Sites_per_tag[[#This Row],[Activity_tag]],Parameter!$A$24:$B$32,2,0)</f>
        <v>SMP</v>
      </c>
      <c r="W808">
        <v>45.391314999999999</v>
      </c>
      <c r="X808">
        <v>-24.319915000000002</v>
      </c>
    </row>
    <row r="809" spans="1:24" x14ac:dyDescent="0.35">
      <c r="A809" s="3" t="str">
        <f t="shared" si="12"/>
        <v>607120015SMP</v>
      </c>
      <c r="B809" t="s">
        <v>6211</v>
      </c>
      <c r="C809">
        <f>+VLOOKUP(Sites_per_tag[[#This Row],[Field_office]],Parameter!$A$3:$B$11,2,0)</f>
        <v>6</v>
      </c>
      <c r="E809" t="s">
        <v>5646</v>
      </c>
      <c r="F809" t="s">
        <v>5647</v>
      </c>
      <c r="H809" t="str">
        <f ca="1">PROPER(Sites_per_tag[[#This Row],[Adm2Name]])</f>
        <v>Bekily</v>
      </c>
      <c r="I809" t="s">
        <v>5683</v>
      </c>
      <c r="K809" t="s">
        <v>5202</v>
      </c>
      <c r="L809" t="s">
        <v>6015</v>
      </c>
      <c r="Q809" t="s">
        <v>3746</v>
      </c>
      <c r="R809">
        <v>607120015</v>
      </c>
      <c r="T809" t="s">
        <v>7</v>
      </c>
      <c r="U809" s="3" t="str">
        <f>+VLOOKUP(Sites_per_tag[[#This Row],[Activity_tag]],Parameter!$A$24:$B$32,2,0)</f>
        <v>SMP</v>
      </c>
      <c r="W809">
        <v>45.408659</v>
      </c>
      <c r="X809">
        <v>-24.304887999999998</v>
      </c>
    </row>
    <row r="810" spans="1:24" x14ac:dyDescent="0.35">
      <c r="A810" s="3" t="str">
        <f t="shared" si="12"/>
        <v>607120016SMP</v>
      </c>
      <c r="B810" t="s">
        <v>6211</v>
      </c>
      <c r="C810">
        <f>+VLOOKUP(Sites_per_tag[[#This Row],[Field_office]],Parameter!$A$3:$B$11,2,0)</f>
        <v>6</v>
      </c>
      <c r="E810" t="s">
        <v>5646</v>
      </c>
      <c r="F810" t="s">
        <v>5647</v>
      </c>
      <c r="H810" t="str">
        <f ca="1">PROPER(Sites_per_tag[[#This Row],[Adm2Name]])</f>
        <v>Bekily</v>
      </c>
      <c r="I810" t="s">
        <v>5683</v>
      </c>
      <c r="K810" t="s">
        <v>5202</v>
      </c>
      <c r="L810" t="s">
        <v>6015</v>
      </c>
      <c r="Q810" t="s">
        <v>6349</v>
      </c>
      <c r="R810">
        <v>607120016</v>
      </c>
      <c r="T810" t="s">
        <v>7</v>
      </c>
      <c r="U810" s="3" t="str">
        <f>+VLOOKUP(Sites_per_tag[[#This Row],[Activity_tag]],Parameter!$A$24:$B$32,2,0)</f>
        <v>SMP</v>
      </c>
      <c r="W810">
        <v>45.349525</v>
      </c>
      <c r="X810">
        <v>-24.296292000000001</v>
      </c>
    </row>
    <row r="811" spans="1:24" x14ac:dyDescent="0.35">
      <c r="A811" s="3" t="str">
        <f t="shared" si="12"/>
        <v>607120022SMP</v>
      </c>
      <c r="B811" t="s">
        <v>6211</v>
      </c>
      <c r="C811">
        <f>+VLOOKUP(Sites_per_tag[[#This Row],[Field_office]],Parameter!$A$3:$B$11,2,0)</f>
        <v>6</v>
      </c>
      <c r="E811" t="s">
        <v>5646</v>
      </c>
      <c r="F811" t="s">
        <v>5647</v>
      </c>
      <c r="H811" t="str">
        <f ca="1">PROPER(Sites_per_tag[[#This Row],[Adm2Name]])</f>
        <v>Bekily</v>
      </c>
      <c r="I811" t="s">
        <v>5683</v>
      </c>
      <c r="K811" t="s">
        <v>5202</v>
      </c>
      <c r="L811" t="s">
        <v>6015</v>
      </c>
      <c r="Q811" t="s">
        <v>2246</v>
      </c>
      <c r="R811">
        <v>607120022</v>
      </c>
      <c r="T811" t="s">
        <v>7</v>
      </c>
      <c r="U811" s="3" t="str">
        <f>+VLOOKUP(Sites_per_tag[[#This Row],[Activity_tag]],Parameter!$A$24:$B$32,2,0)</f>
        <v>SMP</v>
      </c>
      <c r="W811">
        <v>45.397280000000002</v>
      </c>
      <c r="X811">
        <v>-24.2517</v>
      </c>
    </row>
    <row r="812" spans="1:24" x14ac:dyDescent="0.35">
      <c r="A812" s="3" t="str">
        <f t="shared" si="12"/>
        <v>607120024SMP</v>
      </c>
      <c r="B812" t="s">
        <v>6211</v>
      </c>
      <c r="C812">
        <f>+VLOOKUP(Sites_per_tag[[#This Row],[Field_office]],Parameter!$A$3:$B$11,2,0)</f>
        <v>6</v>
      </c>
      <c r="E812" t="s">
        <v>5646</v>
      </c>
      <c r="F812" t="s">
        <v>5647</v>
      </c>
      <c r="H812" t="str">
        <f ca="1">PROPER(Sites_per_tag[[#This Row],[Adm2Name]])</f>
        <v>Bekily</v>
      </c>
      <c r="I812" t="s">
        <v>5683</v>
      </c>
      <c r="K812" t="s">
        <v>5202</v>
      </c>
      <c r="L812" t="s">
        <v>6015</v>
      </c>
      <c r="Q812" t="s">
        <v>2259</v>
      </c>
      <c r="R812">
        <v>607120024</v>
      </c>
      <c r="T812" t="s">
        <v>7</v>
      </c>
      <c r="U812" s="3" t="str">
        <f>+VLOOKUP(Sites_per_tag[[#This Row],[Activity_tag]],Parameter!$A$24:$B$32,2,0)</f>
        <v>SMP</v>
      </c>
      <c r="W812">
        <v>45.397280000000002</v>
      </c>
      <c r="X812">
        <v>-24.2517</v>
      </c>
    </row>
    <row r="813" spans="1:24" x14ac:dyDescent="0.35">
      <c r="A813" s="3" t="str">
        <f t="shared" si="12"/>
        <v>607130017SMP</v>
      </c>
      <c r="B813" t="s">
        <v>6211</v>
      </c>
      <c r="C813">
        <f>+VLOOKUP(Sites_per_tag[[#This Row],[Field_office]],Parameter!$A$3:$B$11,2,0)</f>
        <v>6</v>
      </c>
      <c r="E813" t="s">
        <v>5646</v>
      </c>
      <c r="F813" t="s">
        <v>5647</v>
      </c>
      <c r="H813" t="str">
        <f ca="1">PROPER(Sites_per_tag[[#This Row],[Adm2Name]])</f>
        <v>Bekily</v>
      </c>
      <c r="I813" t="s">
        <v>5683</v>
      </c>
      <c r="K813" t="s">
        <v>6350</v>
      </c>
      <c r="L813" t="s">
        <v>6055</v>
      </c>
      <c r="Q813" t="s">
        <v>3110</v>
      </c>
      <c r="R813">
        <v>607130017</v>
      </c>
      <c r="T813" t="s">
        <v>7</v>
      </c>
      <c r="U813" s="3" t="str">
        <f>+VLOOKUP(Sites_per_tag[[#This Row],[Activity_tag]],Parameter!$A$24:$B$32,2,0)</f>
        <v>SMP</v>
      </c>
      <c r="W813">
        <v>45.290163999999997</v>
      </c>
      <c r="X813">
        <v>-23.907160999999999</v>
      </c>
    </row>
    <row r="814" spans="1:24" x14ac:dyDescent="0.35">
      <c r="A814" s="3" t="str">
        <f t="shared" si="12"/>
        <v>607140001SMP</v>
      </c>
      <c r="B814" t="s">
        <v>6211</v>
      </c>
      <c r="C814">
        <f>+VLOOKUP(Sites_per_tag[[#This Row],[Field_office]],Parameter!$A$3:$B$11,2,0)</f>
        <v>6</v>
      </c>
      <c r="E814" t="s">
        <v>5646</v>
      </c>
      <c r="F814" t="s">
        <v>5647</v>
      </c>
      <c r="H814" t="str">
        <f ca="1">PROPER(Sites_per_tag[[#This Row],[Adm2Name]])</f>
        <v>Bekily</v>
      </c>
      <c r="I814" t="s">
        <v>5683</v>
      </c>
      <c r="K814" t="s">
        <v>5813</v>
      </c>
      <c r="L814" t="s">
        <v>5814</v>
      </c>
      <c r="Q814" t="s">
        <v>2242</v>
      </c>
      <c r="R814">
        <v>607140001</v>
      </c>
      <c r="T814" t="s">
        <v>7</v>
      </c>
      <c r="U814" s="3" t="str">
        <f>+VLOOKUP(Sites_per_tag[[#This Row],[Activity_tag]],Parameter!$A$24:$B$32,2,0)</f>
        <v>SMP</v>
      </c>
      <c r="W814">
        <v>45.222526000000002</v>
      </c>
      <c r="X814">
        <v>-24.245059999999999</v>
      </c>
    </row>
    <row r="815" spans="1:24" x14ac:dyDescent="0.35">
      <c r="A815" s="3" t="str">
        <f t="shared" si="12"/>
        <v>607140003SMP</v>
      </c>
      <c r="B815" t="s">
        <v>6211</v>
      </c>
      <c r="C815">
        <f>+VLOOKUP(Sites_per_tag[[#This Row],[Field_office]],Parameter!$A$3:$B$11,2,0)</f>
        <v>6</v>
      </c>
      <c r="E815" t="s">
        <v>5646</v>
      </c>
      <c r="F815" t="s">
        <v>5647</v>
      </c>
      <c r="H815" t="str">
        <f ca="1">PROPER(Sites_per_tag[[#This Row],[Adm2Name]])</f>
        <v>Bekily</v>
      </c>
      <c r="I815" t="s">
        <v>5683</v>
      </c>
      <c r="K815" t="s">
        <v>6351</v>
      </c>
      <c r="L815" t="s">
        <v>6076</v>
      </c>
      <c r="Q815" t="s">
        <v>4222</v>
      </c>
      <c r="R815">
        <v>607140003</v>
      </c>
      <c r="T815" t="s">
        <v>7</v>
      </c>
      <c r="U815" s="3" t="str">
        <f>+VLOOKUP(Sites_per_tag[[#This Row],[Activity_tag]],Parameter!$A$24:$B$32,2,0)</f>
        <v>SMP</v>
      </c>
      <c r="W815">
        <v>45.382339999999999</v>
      </c>
      <c r="X815">
        <v>-24.246115</v>
      </c>
    </row>
    <row r="816" spans="1:24" x14ac:dyDescent="0.35">
      <c r="A816" s="3" t="str">
        <f t="shared" si="12"/>
        <v>607140004SMP</v>
      </c>
      <c r="B816" t="s">
        <v>6211</v>
      </c>
      <c r="C816">
        <f>+VLOOKUP(Sites_per_tag[[#This Row],[Field_office]],Parameter!$A$3:$B$11,2,0)</f>
        <v>6</v>
      </c>
      <c r="E816" t="s">
        <v>5646</v>
      </c>
      <c r="F816" t="s">
        <v>5647</v>
      </c>
      <c r="H816" t="str">
        <f ca="1">PROPER(Sites_per_tag[[#This Row],[Adm2Name]])</f>
        <v>Bekily</v>
      </c>
      <c r="I816" t="s">
        <v>5683</v>
      </c>
      <c r="K816" t="s">
        <v>5813</v>
      </c>
      <c r="L816" t="s">
        <v>5814</v>
      </c>
      <c r="Q816" t="s">
        <v>2278</v>
      </c>
      <c r="R816">
        <v>607140004</v>
      </c>
      <c r="T816" t="s">
        <v>7</v>
      </c>
      <c r="U816" s="3" t="str">
        <f>+VLOOKUP(Sites_per_tag[[#This Row],[Activity_tag]],Parameter!$A$24:$B$32,2,0)</f>
        <v>SMP</v>
      </c>
      <c r="W816">
        <v>45.19079</v>
      </c>
      <c r="X816">
        <v>-24.13148</v>
      </c>
    </row>
    <row r="817" spans="1:24" x14ac:dyDescent="0.35">
      <c r="A817" s="3" t="str">
        <f t="shared" si="12"/>
        <v>607140005SMP</v>
      </c>
      <c r="B817" t="s">
        <v>6211</v>
      </c>
      <c r="C817">
        <f>+VLOOKUP(Sites_per_tag[[#This Row],[Field_office]],Parameter!$A$3:$B$11,2,0)</f>
        <v>6</v>
      </c>
      <c r="E817" t="s">
        <v>5646</v>
      </c>
      <c r="F817" t="s">
        <v>5647</v>
      </c>
      <c r="H817" t="str">
        <f ca="1">PROPER(Sites_per_tag[[#This Row],[Adm2Name]])</f>
        <v>Bekily</v>
      </c>
      <c r="I817" t="s">
        <v>5683</v>
      </c>
      <c r="K817" t="s">
        <v>5813</v>
      </c>
      <c r="L817" t="s">
        <v>5814</v>
      </c>
      <c r="Q817" t="s">
        <v>2300</v>
      </c>
      <c r="R817">
        <v>607140005</v>
      </c>
      <c r="T817" t="s">
        <v>7</v>
      </c>
      <c r="U817" s="3" t="str">
        <f>+VLOOKUP(Sites_per_tag[[#This Row],[Activity_tag]],Parameter!$A$24:$B$32,2,0)</f>
        <v>SMP</v>
      </c>
      <c r="W817">
        <v>45.19079</v>
      </c>
      <c r="X817">
        <v>-24.13148</v>
      </c>
    </row>
    <row r="818" spans="1:24" x14ac:dyDescent="0.35">
      <c r="A818" s="3" t="str">
        <f t="shared" si="12"/>
        <v>607140007SMP</v>
      </c>
      <c r="B818" t="s">
        <v>6211</v>
      </c>
      <c r="C818">
        <f>+VLOOKUP(Sites_per_tag[[#This Row],[Field_office]],Parameter!$A$3:$B$11,2,0)</f>
        <v>6</v>
      </c>
      <c r="E818" t="s">
        <v>5646</v>
      </c>
      <c r="F818" t="s">
        <v>5647</v>
      </c>
      <c r="H818" t="str">
        <f ca="1">PROPER(Sites_per_tag[[#This Row],[Adm2Name]])</f>
        <v>Bekily</v>
      </c>
      <c r="I818" t="s">
        <v>5683</v>
      </c>
      <c r="K818" t="s">
        <v>6351</v>
      </c>
      <c r="L818" t="s">
        <v>6076</v>
      </c>
      <c r="Q818" t="s">
        <v>1842</v>
      </c>
      <c r="R818">
        <v>607140007</v>
      </c>
      <c r="T818" t="s">
        <v>7</v>
      </c>
      <c r="U818" s="3" t="str">
        <f>+VLOOKUP(Sites_per_tag[[#This Row],[Activity_tag]],Parameter!$A$24:$B$32,2,0)</f>
        <v>SMP</v>
      </c>
      <c r="W818">
        <v>45.19079</v>
      </c>
      <c r="X818">
        <v>-24.13148</v>
      </c>
    </row>
    <row r="819" spans="1:24" x14ac:dyDescent="0.35">
      <c r="A819" s="3" t="str">
        <f t="shared" si="12"/>
        <v>607140008SMP</v>
      </c>
      <c r="B819" t="s">
        <v>6211</v>
      </c>
      <c r="C819">
        <f>+VLOOKUP(Sites_per_tag[[#This Row],[Field_office]],Parameter!$A$3:$B$11,2,0)</f>
        <v>6</v>
      </c>
      <c r="E819" t="s">
        <v>5646</v>
      </c>
      <c r="F819" t="s">
        <v>5647</v>
      </c>
      <c r="H819" t="str">
        <f ca="1">PROPER(Sites_per_tag[[#This Row],[Adm2Name]])</f>
        <v>Bekily</v>
      </c>
      <c r="I819" t="s">
        <v>5683</v>
      </c>
      <c r="K819" t="s">
        <v>6351</v>
      </c>
      <c r="L819" t="s">
        <v>6076</v>
      </c>
      <c r="Q819" t="s">
        <v>1843</v>
      </c>
      <c r="R819">
        <v>607140008</v>
      </c>
      <c r="T819" t="s">
        <v>7</v>
      </c>
      <c r="U819" s="3" t="str">
        <f>+VLOOKUP(Sites_per_tag[[#This Row],[Activity_tag]],Parameter!$A$24:$B$32,2,0)</f>
        <v>SMP</v>
      </c>
      <c r="W819">
        <v>45.19079</v>
      </c>
      <c r="X819">
        <v>-24.13148</v>
      </c>
    </row>
    <row r="820" spans="1:24" x14ac:dyDescent="0.35">
      <c r="A820" s="3" t="str">
        <f t="shared" si="12"/>
        <v>607140009SMP</v>
      </c>
      <c r="B820" t="s">
        <v>6211</v>
      </c>
      <c r="C820">
        <f>+VLOOKUP(Sites_per_tag[[#This Row],[Field_office]],Parameter!$A$3:$B$11,2,0)</f>
        <v>6</v>
      </c>
      <c r="E820" t="s">
        <v>5646</v>
      </c>
      <c r="F820" t="s">
        <v>5647</v>
      </c>
      <c r="H820" t="str">
        <f ca="1">PROPER(Sites_per_tag[[#This Row],[Adm2Name]])</f>
        <v>Bekily</v>
      </c>
      <c r="I820" t="s">
        <v>5683</v>
      </c>
      <c r="K820" t="s">
        <v>6351</v>
      </c>
      <c r="L820" t="s">
        <v>6076</v>
      </c>
      <c r="Q820" t="s">
        <v>4221</v>
      </c>
      <c r="R820">
        <v>607140009</v>
      </c>
      <c r="T820" t="s">
        <v>7</v>
      </c>
      <c r="U820" s="3" t="str">
        <f>+VLOOKUP(Sites_per_tag[[#This Row],[Activity_tag]],Parameter!$A$24:$B$32,2,0)</f>
        <v>SMP</v>
      </c>
      <c r="W820">
        <v>45.200130000000001</v>
      </c>
      <c r="X820">
        <v>-24.130410000000001</v>
      </c>
    </row>
    <row r="821" spans="1:24" x14ac:dyDescent="0.35">
      <c r="A821" s="3" t="str">
        <f t="shared" si="12"/>
        <v>607140010SMP</v>
      </c>
      <c r="B821" t="s">
        <v>6211</v>
      </c>
      <c r="C821">
        <f>+VLOOKUP(Sites_per_tag[[#This Row],[Field_office]],Parameter!$A$3:$B$11,2,0)</f>
        <v>6</v>
      </c>
      <c r="E821" t="s">
        <v>5646</v>
      </c>
      <c r="F821" t="s">
        <v>5647</v>
      </c>
      <c r="H821" t="str">
        <f ca="1">PROPER(Sites_per_tag[[#This Row],[Adm2Name]])</f>
        <v>Bekily</v>
      </c>
      <c r="I821" t="s">
        <v>5683</v>
      </c>
      <c r="K821" t="s">
        <v>6351</v>
      </c>
      <c r="L821" t="s">
        <v>6076</v>
      </c>
      <c r="Q821" t="s">
        <v>6352</v>
      </c>
      <c r="R821">
        <v>607140010</v>
      </c>
      <c r="T821" t="s">
        <v>7</v>
      </c>
      <c r="U821" s="3" t="str">
        <f>+VLOOKUP(Sites_per_tag[[#This Row],[Activity_tag]],Parameter!$A$24:$B$32,2,0)</f>
        <v>SMP</v>
      </c>
      <c r="W821">
        <v>45.309958999999999</v>
      </c>
      <c r="X821">
        <v>-24.229281</v>
      </c>
    </row>
    <row r="822" spans="1:24" x14ac:dyDescent="0.35">
      <c r="A822" s="3" t="str">
        <f t="shared" si="12"/>
        <v>607140013SMP</v>
      </c>
      <c r="B822" t="s">
        <v>6211</v>
      </c>
      <c r="C822">
        <f>+VLOOKUP(Sites_per_tag[[#This Row],[Field_office]],Parameter!$A$3:$B$11,2,0)</f>
        <v>6</v>
      </c>
      <c r="E822" t="s">
        <v>5646</v>
      </c>
      <c r="F822" t="s">
        <v>5647</v>
      </c>
      <c r="H822" t="str">
        <f ca="1">PROPER(Sites_per_tag[[#This Row],[Adm2Name]])</f>
        <v>Bekily</v>
      </c>
      <c r="I822" t="s">
        <v>5683</v>
      </c>
      <c r="K822" t="s">
        <v>6351</v>
      </c>
      <c r="L822" t="s">
        <v>6076</v>
      </c>
      <c r="Q822" t="s">
        <v>103</v>
      </c>
      <c r="R822">
        <v>607140013</v>
      </c>
      <c r="T822" t="s">
        <v>7</v>
      </c>
      <c r="U822" s="3" t="str">
        <f>+VLOOKUP(Sites_per_tag[[#This Row],[Activity_tag]],Parameter!$A$24:$B$32,2,0)</f>
        <v>SMP</v>
      </c>
      <c r="W822">
        <v>45.323439</v>
      </c>
      <c r="X822">
        <v>-24.230301000000001</v>
      </c>
    </row>
    <row r="823" spans="1:24" x14ac:dyDescent="0.35">
      <c r="A823" s="3" t="str">
        <f t="shared" si="12"/>
        <v>607150002SMP</v>
      </c>
      <c r="B823" t="s">
        <v>6211</v>
      </c>
      <c r="C823">
        <f>+VLOOKUP(Sites_per_tag[[#This Row],[Field_office]],Parameter!$A$3:$B$11,2,0)</f>
        <v>6</v>
      </c>
      <c r="E823" t="s">
        <v>5646</v>
      </c>
      <c r="F823" t="s">
        <v>5647</v>
      </c>
      <c r="H823" t="str">
        <f ca="1">PROPER(Sites_per_tag[[#This Row],[Adm2Name]])</f>
        <v>Bekily</v>
      </c>
      <c r="I823" t="s">
        <v>5683</v>
      </c>
      <c r="K823" t="s">
        <v>3587</v>
      </c>
      <c r="L823" t="s">
        <v>6123</v>
      </c>
      <c r="Q823" t="s">
        <v>393</v>
      </c>
      <c r="R823">
        <v>607150002</v>
      </c>
      <c r="T823" t="s">
        <v>7</v>
      </c>
      <c r="U823" s="3" t="str">
        <f>+VLOOKUP(Sites_per_tag[[#This Row],[Activity_tag]],Parameter!$A$24:$B$32,2,0)</f>
        <v>SMP</v>
      </c>
      <c r="W823">
        <v>45.422002999999997</v>
      </c>
      <c r="X823">
        <v>-24.191699</v>
      </c>
    </row>
    <row r="824" spans="1:24" x14ac:dyDescent="0.35">
      <c r="A824" s="3" t="str">
        <f t="shared" si="12"/>
        <v>607150010SMP</v>
      </c>
      <c r="B824" t="s">
        <v>6211</v>
      </c>
      <c r="C824">
        <f>+VLOOKUP(Sites_per_tag[[#This Row],[Field_office]],Parameter!$A$3:$B$11,2,0)</f>
        <v>6</v>
      </c>
      <c r="E824" t="s">
        <v>5646</v>
      </c>
      <c r="F824" t="s">
        <v>5647</v>
      </c>
      <c r="H824" t="str">
        <f ca="1">PROPER(Sites_per_tag[[#This Row],[Adm2Name]])</f>
        <v>Bekily</v>
      </c>
      <c r="I824" t="s">
        <v>5683</v>
      </c>
      <c r="K824" t="s">
        <v>3587</v>
      </c>
      <c r="L824" t="s">
        <v>6123</v>
      </c>
      <c r="Q824" t="s">
        <v>2526</v>
      </c>
      <c r="R824">
        <v>607150010</v>
      </c>
      <c r="T824" t="s">
        <v>7</v>
      </c>
      <c r="U824" s="3" t="str">
        <f>+VLOOKUP(Sites_per_tag[[#This Row],[Activity_tag]],Parameter!$A$24:$B$32,2,0)</f>
        <v>SMP</v>
      </c>
      <c r="W824">
        <v>45.496848</v>
      </c>
      <c r="X824">
        <v>-24.158619999999999</v>
      </c>
    </row>
    <row r="825" spans="1:24" x14ac:dyDescent="0.35">
      <c r="A825" s="3" t="str">
        <f t="shared" si="12"/>
        <v>607150011SMP</v>
      </c>
      <c r="B825" t="s">
        <v>6211</v>
      </c>
      <c r="C825">
        <f>+VLOOKUP(Sites_per_tag[[#This Row],[Field_office]],Parameter!$A$3:$B$11,2,0)</f>
        <v>6</v>
      </c>
      <c r="E825" t="s">
        <v>5646</v>
      </c>
      <c r="F825" t="s">
        <v>5647</v>
      </c>
      <c r="H825" t="str">
        <f ca="1">PROPER(Sites_per_tag[[#This Row],[Adm2Name]])</f>
        <v>Bekily</v>
      </c>
      <c r="I825" t="s">
        <v>5683</v>
      </c>
      <c r="K825" t="s">
        <v>3587</v>
      </c>
      <c r="L825" t="s">
        <v>6123</v>
      </c>
      <c r="Q825" t="s">
        <v>2750</v>
      </c>
      <c r="R825">
        <v>607150011</v>
      </c>
      <c r="T825" t="s">
        <v>7</v>
      </c>
      <c r="U825" s="3" t="str">
        <f>+VLOOKUP(Sites_per_tag[[#This Row],[Activity_tag]],Parameter!$A$24:$B$32,2,0)</f>
        <v>SMP</v>
      </c>
      <c r="W825">
        <v>45.453372000000002</v>
      </c>
      <c r="X825">
        <v>-24.268795000000001</v>
      </c>
    </row>
    <row r="826" spans="1:24" x14ac:dyDescent="0.35">
      <c r="A826" s="3" t="str">
        <f t="shared" si="12"/>
        <v>607150012SMP</v>
      </c>
      <c r="B826" t="s">
        <v>6211</v>
      </c>
      <c r="C826">
        <f>+VLOOKUP(Sites_per_tag[[#This Row],[Field_office]],Parameter!$A$3:$B$11,2,0)</f>
        <v>6</v>
      </c>
      <c r="E826" t="s">
        <v>5646</v>
      </c>
      <c r="F826" t="s">
        <v>5647</v>
      </c>
      <c r="H826" t="str">
        <f ca="1">PROPER(Sites_per_tag[[#This Row],[Adm2Name]])</f>
        <v>Bekily</v>
      </c>
      <c r="I826" t="s">
        <v>5683</v>
      </c>
      <c r="K826" t="s">
        <v>3587</v>
      </c>
      <c r="L826" t="s">
        <v>6123</v>
      </c>
      <c r="Q826" t="s">
        <v>3230</v>
      </c>
      <c r="R826">
        <v>607150012</v>
      </c>
      <c r="T826" t="s">
        <v>7</v>
      </c>
      <c r="U826" s="3" t="str">
        <f>+VLOOKUP(Sites_per_tag[[#This Row],[Activity_tag]],Parameter!$A$24:$B$32,2,0)</f>
        <v>SMP</v>
      </c>
      <c r="W826">
        <v>45.391230999999998</v>
      </c>
      <c r="X826">
        <v>-24.192139999999998</v>
      </c>
    </row>
    <row r="827" spans="1:24" x14ac:dyDescent="0.35">
      <c r="A827" s="3" t="str">
        <f t="shared" si="12"/>
        <v>607150017SMP</v>
      </c>
      <c r="B827" t="s">
        <v>6211</v>
      </c>
      <c r="C827">
        <f>+VLOOKUP(Sites_per_tag[[#This Row],[Field_office]],Parameter!$A$3:$B$11,2,0)</f>
        <v>6</v>
      </c>
      <c r="E827" t="s">
        <v>5646</v>
      </c>
      <c r="F827" t="s">
        <v>5647</v>
      </c>
      <c r="H827" t="str">
        <f ca="1">PROPER(Sites_per_tag[[#This Row],[Adm2Name]])</f>
        <v>Bekily</v>
      </c>
      <c r="I827" t="s">
        <v>5683</v>
      </c>
      <c r="K827" t="s">
        <v>3587</v>
      </c>
      <c r="L827" t="s">
        <v>6123</v>
      </c>
      <c r="Q827" t="s">
        <v>6353</v>
      </c>
      <c r="R827">
        <v>607150017</v>
      </c>
      <c r="T827" t="s">
        <v>7</v>
      </c>
      <c r="U827" s="3" t="str">
        <f>+VLOOKUP(Sites_per_tag[[#This Row],[Activity_tag]],Parameter!$A$24:$B$32,2,0)</f>
        <v>SMP</v>
      </c>
      <c r="W827">
        <v>45.409103999999999</v>
      </c>
      <c r="X827">
        <v>-24.233919</v>
      </c>
    </row>
    <row r="828" spans="1:24" x14ac:dyDescent="0.35">
      <c r="A828" s="3" t="str">
        <f t="shared" si="12"/>
        <v>607150019SMP</v>
      </c>
      <c r="B828" t="s">
        <v>6211</v>
      </c>
      <c r="C828">
        <f>+VLOOKUP(Sites_per_tag[[#This Row],[Field_office]],Parameter!$A$3:$B$11,2,0)</f>
        <v>6</v>
      </c>
      <c r="E828" t="s">
        <v>5646</v>
      </c>
      <c r="F828" t="s">
        <v>5647</v>
      </c>
      <c r="H828" t="str">
        <f ca="1">PROPER(Sites_per_tag[[#This Row],[Adm2Name]])</f>
        <v>Bekily</v>
      </c>
      <c r="I828" t="s">
        <v>5683</v>
      </c>
      <c r="K828" t="s">
        <v>3587</v>
      </c>
      <c r="L828" t="s">
        <v>6123</v>
      </c>
      <c r="Q828" t="s">
        <v>6354</v>
      </c>
      <c r="R828">
        <v>607150019</v>
      </c>
      <c r="T828" t="s">
        <v>7</v>
      </c>
      <c r="U828" s="3" t="str">
        <f>+VLOOKUP(Sites_per_tag[[#This Row],[Activity_tag]],Parameter!$A$24:$B$32,2,0)</f>
        <v>SMP</v>
      </c>
      <c r="W828">
        <v>45.489702000000001</v>
      </c>
      <c r="X828">
        <v>-24.214797000000001</v>
      </c>
    </row>
    <row r="829" spans="1:24" x14ac:dyDescent="0.35">
      <c r="A829" s="3" t="str">
        <f t="shared" si="12"/>
        <v>607160001SMP</v>
      </c>
      <c r="B829" t="s">
        <v>6211</v>
      </c>
      <c r="C829">
        <f>+VLOOKUP(Sites_per_tag[[#This Row],[Field_office]],Parameter!$A$3:$B$11,2,0)</f>
        <v>6</v>
      </c>
      <c r="E829" t="s">
        <v>5646</v>
      </c>
      <c r="F829" t="s">
        <v>5647</v>
      </c>
      <c r="H829" t="str">
        <f ca="1">PROPER(Sites_per_tag[[#This Row],[Adm2Name]])</f>
        <v>Bekily</v>
      </c>
      <c r="I829" t="s">
        <v>5683</v>
      </c>
      <c r="K829" t="s">
        <v>5548</v>
      </c>
      <c r="L829" t="s">
        <v>6148</v>
      </c>
      <c r="Q829" t="s">
        <v>2263</v>
      </c>
      <c r="R829">
        <v>607160001</v>
      </c>
      <c r="T829" t="s">
        <v>7</v>
      </c>
      <c r="U829" s="3" t="str">
        <f>+VLOOKUP(Sites_per_tag[[#This Row],[Activity_tag]],Parameter!$A$24:$B$32,2,0)</f>
        <v>SMP</v>
      </c>
      <c r="W829">
        <v>45.255336</v>
      </c>
      <c r="X829">
        <v>-24.361031000000001</v>
      </c>
    </row>
    <row r="830" spans="1:24" x14ac:dyDescent="0.35">
      <c r="A830" s="3" t="str">
        <f t="shared" si="12"/>
        <v>607160004SMP</v>
      </c>
      <c r="B830" t="s">
        <v>6211</v>
      </c>
      <c r="C830">
        <f>+VLOOKUP(Sites_per_tag[[#This Row],[Field_office]],Parameter!$A$3:$B$11,2,0)</f>
        <v>6</v>
      </c>
      <c r="E830" t="s">
        <v>5646</v>
      </c>
      <c r="F830" t="s">
        <v>5647</v>
      </c>
      <c r="H830" t="str">
        <f ca="1">PROPER(Sites_per_tag[[#This Row],[Adm2Name]])</f>
        <v>Bekily</v>
      </c>
      <c r="I830" t="s">
        <v>5683</v>
      </c>
      <c r="K830" t="s">
        <v>5548</v>
      </c>
      <c r="L830" t="s">
        <v>6148</v>
      </c>
      <c r="Q830" t="s">
        <v>2281</v>
      </c>
      <c r="R830">
        <v>607160004</v>
      </c>
      <c r="T830" t="s">
        <v>7</v>
      </c>
      <c r="U830" s="3" t="str">
        <f>+VLOOKUP(Sites_per_tag[[#This Row],[Activity_tag]],Parameter!$A$24:$B$32,2,0)</f>
        <v>SMP</v>
      </c>
      <c r="W830">
        <v>45.276195000000001</v>
      </c>
      <c r="X830">
        <v>-24.307428999999999</v>
      </c>
    </row>
    <row r="831" spans="1:24" x14ac:dyDescent="0.35">
      <c r="A831" s="3" t="str">
        <f t="shared" si="12"/>
        <v>607160005SMP</v>
      </c>
      <c r="B831" t="s">
        <v>6211</v>
      </c>
      <c r="C831">
        <f>+VLOOKUP(Sites_per_tag[[#This Row],[Field_office]],Parameter!$A$3:$B$11,2,0)</f>
        <v>6</v>
      </c>
      <c r="E831" t="s">
        <v>5646</v>
      </c>
      <c r="F831" t="s">
        <v>5647</v>
      </c>
      <c r="H831" t="str">
        <f ca="1">PROPER(Sites_per_tag[[#This Row],[Adm2Name]])</f>
        <v>Bekily</v>
      </c>
      <c r="I831" t="s">
        <v>5683</v>
      </c>
      <c r="K831" t="s">
        <v>5548</v>
      </c>
      <c r="L831" t="s">
        <v>6148</v>
      </c>
      <c r="Q831" t="s">
        <v>1051</v>
      </c>
      <c r="R831">
        <v>607160005</v>
      </c>
      <c r="T831" t="s">
        <v>7</v>
      </c>
      <c r="U831" s="3" t="str">
        <f>+VLOOKUP(Sites_per_tag[[#This Row],[Activity_tag]],Parameter!$A$24:$B$32,2,0)</f>
        <v>SMP</v>
      </c>
      <c r="W831">
        <v>45.251530000000002</v>
      </c>
      <c r="X831">
        <v>-24.356169999999999</v>
      </c>
    </row>
    <row r="832" spans="1:24" x14ac:dyDescent="0.35">
      <c r="A832" s="3" t="str">
        <f t="shared" si="12"/>
        <v>607160006SMP</v>
      </c>
      <c r="B832" t="s">
        <v>6211</v>
      </c>
      <c r="C832">
        <f>+VLOOKUP(Sites_per_tag[[#This Row],[Field_office]],Parameter!$A$3:$B$11,2,0)</f>
        <v>6</v>
      </c>
      <c r="E832" t="s">
        <v>5646</v>
      </c>
      <c r="F832" t="s">
        <v>5647</v>
      </c>
      <c r="H832" t="str">
        <f ca="1">PROPER(Sites_per_tag[[#This Row],[Adm2Name]])</f>
        <v>Bekily</v>
      </c>
      <c r="I832" t="s">
        <v>5683</v>
      </c>
      <c r="K832" t="s">
        <v>5548</v>
      </c>
      <c r="L832" t="s">
        <v>6148</v>
      </c>
      <c r="Q832" t="s">
        <v>1567</v>
      </c>
      <c r="R832">
        <v>607160006</v>
      </c>
      <c r="T832" t="s">
        <v>7</v>
      </c>
      <c r="U832" s="3" t="str">
        <f>+VLOOKUP(Sites_per_tag[[#This Row],[Activity_tag]],Parameter!$A$24:$B$32,2,0)</f>
        <v>SMP</v>
      </c>
      <c r="W832">
        <v>45.157586999999999</v>
      </c>
      <c r="X832">
        <v>-24.334692</v>
      </c>
    </row>
    <row r="833" spans="1:24" x14ac:dyDescent="0.35">
      <c r="A833" s="3" t="str">
        <f t="shared" si="12"/>
        <v>607160007SMP</v>
      </c>
      <c r="B833" t="s">
        <v>6211</v>
      </c>
      <c r="C833">
        <f>+VLOOKUP(Sites_per_tag[[#This Row],[Field_office]],Parameter!$A$3:$B$11,2,0)</f>
        <v>6</v>
      </c>
      <c r="E833" t="s">
        <v>5646</v>
      </c>
      <c r="F833" t="s">
        <v>5647</v>
      </c>
      <c r="H833" t="str">
        <f ca="1">PROPER(Sites_per_tag[[#This Row],[Adm2Name]])</f>
        <v>Bekily</v>
      </c>
      <c r="I833" t="s">
        <v>5683</v>
      </c>
      <c r="K833" t="s">
        <v>5548</v>
      </c>
      <c r="L833" t="s">
        <v>6148</v>
      </c>
      <c r="Q833" t="s">
        <v>3776</v>
      </c>
      <c r="R833">
        <v>607160007</v>
      </c>
      <c r="T833" t="s">
        <v>7</v>
      </c>
      <c r="U833" s="3" t="str">
        <f>+VLOOKUP(Sites_per_tag[[#This Row],[Activity_tag]],Parameter!$A$24:$B$32,2,0)</f>
        <v>SMP</v>
      </c>
      <c r="W833">
        <v>45.223564000000003</v>
      </c>
      <c r="X833">
        <v>-24.331855000000001</v>
      </c>
    </row>
    <row r="834" spans="1:24" x14ac:dyDescent="0.35">
      <c r="A834" s="3" t="str">
        <f t="shared" si="12"/>
        <v>607170002SMP</v>
      </c>
      <c r="B834" t="s">
        <v>6211</v>
      </c>
      <c r="C834">
        <f>+VLOOKUP(Sites_per_tag[[#This Row],[Field_office]],Parameter!$A$3:$B$11,2,0)</f>
        <v>6</v>
      </c>
      <c r="E834" t="s">
        <v>5646</v>
      </c>
      <c r="F834" t="s">
        <v>5647</v>
      </c>
      <c r="H834" t="str">
        <f ca="1">PROPER(Sites_per_tag[[#This Row],[Adm2Name]])</f>
        <v>Bekily</v>
      </c>
      <c r="I834" t="s">
        <v>5683</v>
      </c>
      <c r="K834" t="s">
        <v>3824</v>
      </c>
      <c r="L834" t="s">
        <v>6122</v>
      </c>
      <c r="Q834" t="s">
        <v>3145</v>
      </c>
      <c r="R834">
        <v>607170002</v>
      </c>
      <c r="T834" t="s">
        <v>7</v>
      </c>
      <c r="U834" s="3" t="str">
        <f>+VLOOKUP(Sites_per_tag[[#This Row],[Activity_tag]],Parameter!$A$24:$B$32,2,0)</f>
        <v>SMP</v>
      </c>
      <c r="W834">
        <v>45.328152000000003</v>
      </c>
      <c r="X834">
        <v>-24.126232999999999</v>
      </c>
    </row>
    <row r="835" spans="1:24" x14ac:dyDescent="0.35">
      <c r="A835" s="3" t="str">
        <f t="shared" ref="A835:A898" si="13">+R835&amp;U835</f>
        <v>607170004SMP</v>
      </c>
      <c r="B835" t="s">
        <v>6211</v>
      </c>
      <c r="C835">
        <f>+VLOOKUP(Sites_per_tag[[#This Row],[Field_office]],Parameter!$A$3:$B$11,2,0)</f>
        <v>6</v>
      </c>
      <c r="E835" t="s">
        <v>5646</v>
      </c>
      <c r="F835" t="s">
        <v>5647</v>
      </c>
      <c r="H835" t="str">
        <f ca="1">PROPER(Sites_per_tag[[#This Row],[Adm2Name]])</f>
        <v>Bekily</v>
      </c>
      <c r="I835" t="s">
        <v>5683</v>
      </c>
      <c r="K835" t="s">
        <v>3824</v>
      </c>
      <c r="L835" t="s">
        <v>6122</v>
      </c>
      <c r="Q835" t="s">
        <v>2319</v>
      </c>
      <c r="R835">
        <v>607170004</v>
      </c>
      <c r="T835" t="s">
        <v>7</v>
      </c>
      <c r="U835" s="3" t="str">
        <f>+VLOOKUP(Sites_per_tag[[#This Row],[Activity_tag]],Parameter!$A$24:$B$32,2,0)</f>
        <v>SMP</v>
      </c>
      <c r="W835">
        <v>45.377380000000002</v>
      </c>
      <c r="X835">
        <v>-24.137699999999999</v>
      </c>
    </row>
    <row r="836" spans="1:24" x14ac:dyDescent="0.35">
      <c r="A836" s="3" t="str">
        <f t="shared" si="13"/>
        <v>607170005SMP</v>
      </c>
      <c r="B836" t="s">
        <v>6211</v>
      </c>
      <c r="C836">
        <f>+VLOOKUP(Sites_per_tag[[#This Row],[Field_office]],Parameter!$A$3:$B$11,2,0)</f>
        <v>6</v>
      </c>
      <c r="E836" t="s">
        <v>5646</v>
      </c>
      <c r="F836" t="s">
        <v>5647</v>
      </c>
      <c r="H836" t="str">
        <f ca="1">PROPER(Sites_per_tag[[#This Row],[Adm2Name]])</f>
        <v>Bekily</v>
      </c>
      <c r="I836" t="s">
        <v>5683</v>
      </c>
      <c r="K836" t="s">
        <v>3824</v>
      </c>
      <c r="L836" t="s">
        <v>6122</v>
      </c>
      <c r="Q836" t="s">
        <v>3200</v>
      </c>
      <c r="R836">
        <v>607170005</v>
      </c>
      <c r="T836" t="s">
        <v>7</v>
      </c>
      <c r="U836" s="3" t="str">
        <f>+VLOOKUP(Sites_per_tag[[#This Row],[Activity_tag]],Parameter!$A$24:$B$32,2,0)</f>
        <v>SMP</v>
      </c>
      <c r="W836">
        <v>45.324190000000002</v>
      </c>
      <c r="X836">
        <v>-24.127579000000001</v>
      </c>
    </row>
    <row r="837" spans="1:24" x14ac:dyDescent="0.35">
      <c r="A837" s="3" t="str">
        <f t="shared" si="13"/>
        <v>607170006SMP</v>
      </c>
      <c r="B837" t="s">
        <v>6211</v>
      </c>
      <c r="C837">
        <f>+VLOOKUP(Sites_per_tag[[#This Row],[Field_office]],Parameter!$A$3:$B$11,2,0)</f>
        <v>6</v>
      </c>
      <c r="E837" t="s">
        <v>5646</v>
      </c>
      <c r="F837" t="s">
        <v>5647</v>
      </c>
      <c r="H837" t="str">
        <f ca="1">PROPER(Sites_per_tag[[#This Row],[Adm2Name]])</f>
        <v>Bekily</v>
      </c>
      <c r="I837" t="s">
        <v>5683</v>
      </c>
      <c r="K837" t="s">
        <v>3824</v>
      </c>
      <c r="L837" t="s">
        <v>6122</v>
      </c>
      <c r="Q837" t="s">
        <v>3576</v>
      </c>
      <c r="R837">
        <v>607170006</v>
      </c>
      <c r="T837" t="s">
        <v>7</v>
      </c>
      <c r="U837" s="3" t="str">
        <f>+VLOOKUP(Sites_per_tag[[#This Row],[Activity_tag]],Parameter!$A$24:$B$32,2,0)</f>
        <v>SMP</v>
      </c>
      <c r="W837">
        <v>45.378261999999999</v>
      </c>
      <c r="X837">
        <v>-24.145789000000001</v>
      </c>
    </row>
    <row r="838" spans="1:24" x14ac:dyDescent="0.35">
      <c r="A838" s="3" t="str">
        <f t="shared" si="13"/>
        <v>607180002SMP</v>
      </c>
      <c r="B838" t="s">
        <v>6211</v>
      </c>
      <c r="C838">
        <f>+VLOOKUP(Sites_per_tag[[#This Row],[Field_office]],Parameter!$A$3:$B$11,2,0)</f>
        <v>6</v>
      </c>
      <c r="E838" t="s">
        <v>5646</v>
      </c>
      <c r="F838" t="s">
        <v>5647</v>
      </c>
      <c r="H838" t="str">
        <f ca="1">PROPER(Sites_per_tag[[#This Row],[Adm2Name]])</f>
        <v>Bekily</v>
      </c>
      <c r="I838" t="s">
        <v>5683</v>
      </c>
      <c r="K838" t="s">
        <v>6343</v>
      </c>
      <c r="L838" t="s">
        <v>6165</v>
      </c>
      <c r="Q838" t="s">
        <v>2838</v>
      </c>
      <c r="R838">
        <v>607180002</v>
      </c>
      <c r="T838" t="s">
        <v>7</v>
      </c>
      <c r="U838" s="3" t="str">
        <f>+VLOOKUP(Sites_per_tag[[#This Row],[Activity_tag]],Parameter!$A$24:$B$32,2,0)</f>
        <v>SMP</v>
      </c>
      <c r="W838">
        <v>45.621921</v>
      </c>
      <c r="X838">
        <v>-24.024989999999999</v>
      </c>
    </row>
    <row r="839" spans="1:24" x14ac:dyDescent="0.35">
      <c r="A839" s="3" t="str">
        <f t="shared" si="13"/>
        <v>607180008SMP</v>
      </c>
      <c r="B839" t="s">
        <v>6211</v>
      </c>
      <c r="C839">
        <f>+VLOOKUP(Sites_per_tag[[#This Row],[Field_office]],Parameter!$A$3:$B$11,2,0)</f>
        <v>6</v>
      </c>
      <c r="E839" t="s">
        <v>5646</v>
      </c>
      <c r="F839" t="s">
        <v>5647</v>
      </c>
      <c r="H839" t="str">
        <f ca="1">PROPER(Sites_per_tag[[#This Row],[Adm2Name]])</f>
        <v>Bekily</v>
      </c>
      <c r="I839" t="s">
        <v>5683</v>
      </c>
      <c r="K839" t="s">
        <v>6343</v>
      </c>
      <c r="L839" t="s">
        <v>6165</v>
      </c>
      <c r="Q839" t="s">
        <v>2311</v>
      </c>
      <c r="R839">
        <v>607180008</v>
      </c>
      <c r="T839" t="s">
        <v>7</v>
      </c>
      <c r="U839" s="3" t="str">
        <f>+VLOOKUP(Sites_per_tag[[#This Row],[Activity_tag]],Parameter!$A$24:$B$32,2,0)</f>
        <v>SMP</v>
      </c>
      <c r="W839">
        <v>45.490099999999998</v>
      </c>
      <c r="X839">
        <v>-24.08043</v>
      </c>
    </row>
    <row r="840" spans="1:24" x14ac:dyDescent="0.35">
      <c r="A840" s="3" t="str">
        <f t="shared" si="13"/>
        <v>607180010SMP</v>
      </c>
      <c r="B840" t="s">
        <v>6211</v>
      </c>
      <c r="C840">
        <f>+VLOOKUP(Sites_per_tag[[#This Row],[Field_office]],Parameter!$A$3:$B$11,2,0)</f>
        <v>6</v>
      </c>
      <c r="E840" t="s">
        <v>5646</v>
      </c>
      <c r="F840" t="s">
        <v>5647</v>
      </c>
      <c r="H840" t="str">
        <f ca="1">PROPER(Sites_per_tag[[#This Row],[Adm2Name]])</f>
        <v>Bekily</v>
      </c>
      <c r="I840" t="s">
        <v>5683</v>
      </c>
      <c r="K840" t="s">
        <v>6343</v>
      </c>
      <c r="L840" t="s">
        <v>6165</v>
      </c>
      <c r="Q840" t="s">
        <v>2279</v>
      </c>
      <c r="R840">
        <v>607180010</v>
      </c>
      <c r="T840" t="s">
        <v>7</v>
      </c>
      <c r="U840" s="3" t="str">
        <f>+VLOOKUP(Sites_per_tag[[#This Row],[Activity_tag]],Parameter!$A$24:$B$32,2,0)</f>
        <v>SMP</v>
      </c>
      <c r="W840">
        <v>45.490099999999998</v>
      </c>
      <c r="X840">
        <v>-24.08043</v>
      </c>
    </row>
    <row r="841" spans="1:24" x14ac:dyDescent="0.35">
      <c r="A841" s="3" t="str">
        <f t="shared" si="13"/>
        <v>607180011SMP</v>
      </c>
      <c r="B841" t="s">
        <v>6211</v>
      </c>
      <c r="C841">
        <f>+VLOOKUP(Sites_per_tag[[#This Row],[Field_office]],Parameter!$A$3:$B$11,2,0)</f>
        <v>6</v>
      </c>
      <c r="E841" t="s">
        <v>5646</v>
      </c>
      <c r="F841" t="s">
        <v>5647</v>
      </c>
      <c r="H841" t="str">
        <f ca="1">PROPER(Sites_per_tag[[#This Row],[Adm2Name]])</f>
        <v>Bekily</v>
      </c>
      <c r="I841" t="s">
        <v>5683</v>
      </c>
      <c r="K841" t="s">
        <v>6343</v>
      </c>
      <c r="L841" t="s">
        <v>6165</v>
      </c>
      <c r="Q841" t="s">
        <v>2251</v>
      </c>
      <c r="R841">
        <v>607180011</v>
      </c>
      <c r="T841" t="s">
        <v>7</v>
      </c>
      <c r="U841" s="3" t="str">
        <f>+VLOOKUP(Sites_per_tag[[#This Row],[Activity_tag]],Parameter!$A$24:$B$32,2,0)</f>
        <v>SMP</v>
      </c>
      <c r="W841">
        <v>45.490099999999998</v>
      </c>
      <c r="X841">
        <v>-24.08043</v>
      </c>
    </row>
    <row r="842" spans="1:24" x14ac:dyDescent="0.35">
      <c r="A842" s="3" t="str">
        <f t="shared" si="13"/>
        <v>607190001SMP</v>
      </c>
      <c r="B842" t="s">
        <v>6211</v>
      </c>
      <c r="C842">
        <f>+VLOOKUP(Sites_per_tag[[#This Row],[Field_office]],Parameter!$A$3:$B$11,2,0)</f>
        <v>6</v>
      </c>
      <c r="E842" t="s">
        <v>5646</v>
      </c>
      <c r="F842" t="s">
        <v>5647</v>
      </c>
      <c r="H842" t="str">
        <f ca="1">PROPER(Sites_per_tag[[#This Row],[Adm2Name]])</f>
        <v>Bekily</v>
      </c>
      <c r="I842" t="s">
        <v>5683</v>
      </c>
      <c r="K842" t="s">
        <v>6329</v>
      </c>
      <c r="L842" t="s">
        <v>6067</v>
      </c>
      <c r="Q842" t="s">
        <v>6355</v>
      </c>
      <c r="R842">
        <v>607190001</v>
      </c>
      <c r="T842" t="s">
        <v>7</v>
      </c>
      <c r="U842" s="3" t="str">
        <f>+VLOOKUP(Sites_per_tag[[#This Row],[Activity_tag]],Parameter!$A$24:$B$32,2,0)</f>
        <v>SMP</v>
      </c>
      <c r="W842">
        <v>45.149593000000003</v>
      </c>
      <c r="X842">
        <v>-24.163525</v>
      </c>
    </row>
    <row r="843" spans="1:24" x14ac:dyDescent="0.35">
      <c r="A843" s="3" t="str">
        <f t="shared" si="13"/>
        <v>607190003SMP</v>
      </c>
      <c r="B843" t="s">
        <v>6211</v>
      </c>
      <c r="C843">
        <f>+VLOOKUP(Sites_per_tag[[#This Row],[Field_office]],Parameter!$A$3:$B$11,2,0)</f>
        <v>6</v>
      </c>
      <c r="E843" t="s">
        <v>5646</v>
      </c>
      <c r="F843" t="s">
        <v>5647</v>
      </c>
      <c r="H843" t="str">
        <f ca="1">PROPER(Sites_per_tag[[#This Row],[Adm2Name]])</f>
        <v>Bekily</v>
      </c>
      <c r="I843" t="s">
        <v>5683</v>
      </c>
      <c r="K843" t="s">
        <v>2017</v>
      </c>
      <c r="L843" t="s">
        <v>5922</v>
      </c>
      <c r="Q843" t="s">
        <v>6356</v>
      </c>
      <c r="R843">
        <v>607190003</v>
      </c>
      <c r="T843" t="s">
        <v>7</v>
      </c>
      <c r="U843" s="3" t="str">
        <f>+VLOOKUP(Sites_per_tag[[#This Row],[Activity_tag]],Parameter!$A$24:$B$32,2,0)</f>
        <v>SMP</v>
      </c>
      <c r="W843">
        <v>45.236863999999997</v>
      </c>
      <c r="X843">
        <v>-24.159776999999998</v>
      </c>
    </row>
    <row r="844" spans="1:24" x14ac:dyDescent="0.35">
      <c r="A844" s="3" t="str">
        <f t="shared" si="13"/>
        <v>607190005SMP</v>
      </c>
      <c r="B844" t="s">
        <v>6211</v>
      </c>
      <c r="C844">
        <f>+VLOOKUP(Sites_per_tag[[#This Row],[Field_office]],Parameter!$A$3:$B$11,2,0)</f>
        <v>6</v>
      </c>
      <c r="E844" t="s">
        <v>5646</v>
      </c>
      <c r="F844" t="s">
        <v>5647</v>
      </c>
      <c r="H844" t="str">
        <f ca="1">PROPER(Sites_per_tag[[#This Row],[Adm2Name]])</f>
        <v>Bekily</v>
      </c>
      <c r="I844" t="s">
        <v>5683</v>
      </c>
      <c r="K844" t="s">
        <v>2017</v>
      </c>
      <c r="L844" t="s">
        <v>5922</v>
      </c>
      <c r="Q844" t="s">
        <v>6202</v>
      </c>
      <c r="R844">
        <v>607190005</v>
      </c>
      <c r="T844" t="s">
        <v>7</v>
      </c>
      <c r="U844" s="3" t="str">
        <f>+VLOOKUP(Sites_per_tag[[#This Row],[Activity_tag]],Parameter!$A$24:$B$32,2,0)</f>
        <v>SMP</v>
      </c>
      <c r="W844">
        <v>45.338039999999999</v>
      </c>
      <c r="X844">
        <v>-24.158683</v>
      </c>
    </row>
    <row r="845" spans="1:24" x14ac:dyDescent="0.35">
      <c r="A845" s="3" t="str">
        <f t="shared" si="13"/>
        <v>607190007SMP</v>
      </c>
      <c r="B845" t="s">
        <v>6211</v>
      </c>
      <c r="C845">
        <f>+VLOOKUP(Sites_per_tag[[#This Row],[Field_office]],Parameter!$A$3:$B$11,2,0)</f>
        <v>6</v>
      </c>
      <c r="E845" t="s">
        <v>5646</v>
      </c>
      <c r="F845" t="s">
        <v>5647</v>
      </c>
      <c r="H845" t="str">
        <f ca="1">PROPER(Sites_per_tag[[#This Row],[Adm2Name]])</f>
        <v>Bekily</v>
      </c>
      <c r="I845" t="s">
        <v>5683</v>
      </c>
      <c r="K845" t="s">
        <v>2017</v>
      </c>
      <c r="L845" t="s">
        <v>5922</v>
      </c>
      <c r="Q845" t="s">
        <v>6357</v>
      </c>
      <c r="R845">
        <v>607190007</v>
      </c>
      <c r="T845" t="s">
        <v>7</v>
      </c>
      <c r="U845" s="3" t="str">
        <f>+VLOOKUP(Sites_per_tag[[#This Row],[Activity_tag]],Parameter!$A$24:$B$32,2,0)</f>
        <v>SMP</v>
      </c>
      <c r="W845">
        <v>45.211703999999997</v>
      </c>
      <c r="X845">
        <v>-24.130147999999998</v>
      </c>
    </row>
    <row r="846" spans="1:24" x14ac:dyDescent="0.35">
      <c r="A846" s="3" t="str">
        <f t="shared" si="13"/>
        <v>607190008SMP</v>
      </c>
      <c r="B846" t="s">
        <v>6211</v>
      </c>
      <c r="C846">
        <f>+VLOOKUP(Sites_per_tag[[#This Row],[Field_office]],Parameter!$A$3:$B$11,2,0)</f>
        <v>6</v>
      </c>
      <c r="E846" t="s">
        <v>5646</v>
      </c>
      <c r="F846" t="s">
        <v>5647</v>
      </c>
      <c r="H846" t="str">
        <f ca="1">PROPER(Sites_per_tag[[#This Row],[Adm2Name]])</f>
        <v>Bekily</v>
      </c>
      <c r="I846" t="s">
        <v>5683</v>
      </c>
      <c r="K846" t="s">
        <v>2017</v>
      </c>
      <c r="L846" t="s">
        <v>5922</v>
      </c>
      <c r="Q846" t="s">
        <v>6226</v>
      </c>
      <c r="R846">
        <v>607190008</v>
      </c>
      <c r="T846" t="s">
        <v>7</v>
      </c>
      <c r="U846" s="3" t="str">
        <f>+VLOOKUP(Sites_per_tag[[#This Row],[Activity_tag]],Parameter!$A$24:$B$32,2,0)</f>
        <v>SMP</v>
      </c>
      <c r="W846">
        <v>45.272323999999998</v>
      </c>
      <c r="X846">
        <v>-24.166025000000001</v>
      </c>
    </row>
    <row r="847" spans="1:24" x14ac:dyDescent="0.35">
      <c r="A847" s="3" t="str">
        <f t="shared" si="13"/>
        <v>607190009SMP</v>
      </c>
      <c r="B847" t="s">
        <v>6211</v>
      </c>
      <c r="C847">
        <f>+VLOOKUP(Sites_per_tag[[#This Row],[Field_office]],Parameter!$A$3:$B$11,2,0)</f>
        <v>6</v>
      </c>
      <c r="E847" t="s">
        <v>5646</v>
      </c>
      <c r="F847" t="s">
        <v>5647</v>
      </c>
      <c r="H847" t="str">
        <f ca="1">PROPER(Sites_per_tag[[#This Row],[Adm2Name]])</f>
        <v>Bekily</v>
      </c>
      <c r="I847" t="s">
        <v>5683</v>
      </c>
      <c r="K847" t="s">
        <v>6329</v>
      </c>
      <c r="L847" t="s">
        <v>6067</v>
      </c>
      <c r="Q847" t="s">
        <v>6358</v>
      </c>
      <c r="R847">
        <v>607190009</v>
      </c>
      <c r="T847" t="s">
        <v>7</v>
      </c>
      <c r="U847" s="3" t="str">
        <f>+VLOOKUP(Sites_per_tag[[#This Row],[Activity_tag]],Parameter!$A$24:$B$32,2,0)</f>
        <v>SMP</v>
      </c>
      <c r="W847">
        <v>45.202793999999997</v>
      </c>
      <c r="X847">
        <v>-24.138065999999998</v>
      </c>
    </row>
    <row r="848" spans="1:24" x14ac:dyDescent="0.35">
      <c r="A848" s="3" t="str">
        <f t="shared" si="13"/>
        <v>607190011SMP</v>
      </c>
      <c r="B848" t="s">
        <v>6211</v>
      </c>
      <c r="C848">
        <f>+VLOOKUP(Sites_per_tag[[#This Row],[Field_office]],Parameter!$A$3:$B$11,2,0)</f>
        <v>6</v>
      </c>
      <c r="E848" t="s">
        <v>5646</v>
      </c>
      <c r="F848" t="s">
        <v>5647</v>
      </c>
      <c r="H848" t="str">
        <f ca="1">PROPER(Sites_per_tag[[#This Row],[Adm2Name]])</f>
        <v>Bekily</v>
      </c>
      <c r="I848" t="s">
        <v>5683</v>
      </c>
      <c r="K848" t="s">
        <v>2017</v>
      </c>
      <c r="L848" t="s">
        <v>5922</v>
      </c>
      <c r="Q848" t="s">
        <v>2291</v>
      </c>
      <c r="R848">
        <v>607190011</v>
      </c>
      <c r="T848" t="s">
        <v>7</v>
      </c>
      <c r="U848" s="3" t="str">
        <f>+VLOOKUP(Sites_per_tag[[#This Row],[Activity_tag]],Parameter!$A$24:$B$32,2,0)</f>
        <v>SMP</v>
      </c>
      <c r="W848">
        <v>45.331453000000003</v>
      </c>
      <c r="X848">
        <v>-24.173067</v>
      </c>
    </row>
    <row r="849" spans="1:24" x14ac:dyDescent="0.35">
      <c r="A849" s="3" t="str">
        <f t="shared" si="13"/>
        <v>609010001SMP</v>
      </c>
      <c r="B849" t="s">
        <v>6211</v>
      </c>
      <c r="C849">
        <f>+VLOOKUP(Sites_per_tag[[#This Row],[Field_office]],Parameter!$A$3:$B$11,2,0)</f>
        <v>6</v>
      </c>
      <c r="E849" t="s">
        <v>5646</v>
      </c>
      <c r="F849" t="s">
        <v>5647</v>
      </c>
      <c r="H849" t="str">
        <f ca="1">PROPER(Sites_per_tag[[#This Row],[Adm2Name]])</f>
        <v>Beloha</v>
      </c>
      <c r="I849" t="s">
        <v>5685</v>
      </c>
      <c r="K849" t="s">
        <v>5909</v>
      </c>
      <c r="L849" t="s">
        <v>5910</v>
      </c>
      <c r="Q849" t="s">
        <v>826</v>
      </c>
      <c r="R849">
        <v>609010001</v>
      </c>
      <c r="T849" t="s">
        <v>7</v>
      </c>
      <c r="U849" s="3" t="str">
        <f>+VLOOKUP(Sites_per_tag[[#This Row],[Activity_tag]],Parameter!$A$24:$B$32,2,0)</f>
        <v>SMP</v>
      </c>
      <c r="W849">
        <v>45.097664000000002</v>
      </c>
      <c r="X849">
        <v>-25.014869000000001</v>
      </c>
    </row>
    <row r="850" spans="1:24" x14ac:dyDescent="0.35">
      <c r="A850" s="3" t="str">
        <f t="shared" si="13"/>
        <v>609010004SMP</v>
      </c>
      <c r="B850" t="s">
        <v>6211</v>
      </c>
      <c r="C850">
        <f>+VLOOKUP(Sites_per_tag[[#This Row],[Field_office]],Parameter!$A$3:$B$11,2,0)</f>
        <v>6</v>
      </c>
      <c r="E850" t="s">
        <v>5646</v>
      </c>
      <c r="F850" t="s">
        <v>5647</v>
      </c>
      <c r="H850" t="str">
        <f ca="1">PROPER(Sites_per_tag[[#This Row],[Adm2Name]])</f>
        <v>Beloha</v>
      </c>
      <c r="I850" t="s">
        <v>5685</v>
      </c>
      <c r="K850" t="s">
        <v>5909</v>
      </c>
      <c r="L850" t="s">
        <v>5910</v>
      </c>
      <c r="Q850" t="s">
        <v>4234</v>
      </c>
      <c r="R850">
        <v>609010004</v>
      </c>
      <c r="T850" t="s">
        <v>7</v>
      </c>
      <c r="U850" s="3" t="str">
        <f>+VLOOKUP(Sites_per_tag[[#This Row],[Activity_tag]],Parameter!$A$24:$B$32,2,0)</f>
        <v>SMP</v>
      </c>
      <c r="W850">
        <v>45.020648000000001</v>
      </c>
      <c r="X850">
        <v>-25.153327000000001</v>
      </c>
    </row>
    <row r="851" spans="1:24" x14ac:dyDescent="0.35">
      <c r="A851" s="3" t="str">
        <f t="shared" si="13"/>
        <v>609010005SMP</v>
      </c>
      <c r="B851" t="s">
        <v>6211</v>
      </c>
      <c r="C851">
        <f>+VLOOKUP(Sites_per_tag[[#This Row],[Field_office]],Parameter!$A$3:$B$11,2,0)</f>
        <v>6</v>
      </c>
      <c r="E851" t="s">
        <v>5646</v>
      </c>
      <c r="F851" t="s">
        <v>5647</v>
      </c>
      <c r="H851" t="str">
        <f ca="1">PROPER(Sites_per_tag[[#This Row],[Adm2Name]])</f>
        <v>Beloha</v>
      </c>
      <c r="I851" t="s">
        <v>5685</v>
      </c>
      <c r="K851" t="s">
        <v>5667</v>
      </c>
      <c r="L851" t="s">
        <v>6003</v>
      </c>
      <c r="Q851" t="s">
        <v>813</v>
      </c>
      <c r="R851">
        <v>609010005</v>
      </c>
      <c r="T851" t="s">
        <v>7</v>
      </c>
      <c r="U851" s="3" t="str">
        <f>+VLOOKUP(Sites_per_tag[[#This Row],[Activity_tag]],Parameter!$A$24:$B$32,2,0)</f>
        <v>SMP</v>
      </c>
      <c r="W851">
        <v>44.911068999999998</v>
      </c>
      <c r="X851">
        <v>-24.987182000000001</v>
      </c>
    </row>
    <row r="852" spans="1:24" x14ac:dyDescent="0.35">
      <c r="A852" s="3" t="str">
        <f t="shared" si="13"/>
        <v>609010006SMP</v>
      </c>
      <c r="B852" t="s">
        <v>6211</v>
      </c>
      <c r="C852">
        <f>+VLOOKUP(Sites_per_tag[[#This Row],[Field_office]],Parameter!$A$3:$B$11,2,0)</f>
        <v>6</v>
      </c>
      <c r="E852" t="s">
        <v>5646</v>
      </c>
      <c r="F852" t="s">
        <v>5647</v>
      </c>
      <c r="H852" t="str">
        <f ca="1">PROPER(Sites_per_tag[[#This Row],[Adm2Name]])</f>
        <v>Beloha</v>
      </c>
      <c r="I852" t="s">
        <v>5685</v>
      </c>
      <c r="K852" t="s">
        <v>5667</v>
      </c>
      <c r="L852" t="s">
        <v>6003</v>
      </c>
      <c r="Q852" t="s">
        <v>1812</v>
      </c>
      <c r="R852">
        <v>609010006</v>
      </c>
      <c r="T852" t="s">
        <v>7</v>
      </c>
      <c r="U852" s="3" t="str">
        <f>+VLOOKUP(Sites_per_tag[[#This Row],[Activity_tag]],Parameter!$A$24:$B$32,2,0)</f>
        <v>SMP</v>
      </c>
      <c r="W852">
        <v>45.000698</v>
      </c>
      <c r="X852">
        <v>-24.873707</v>
      </c>
    </row>
    <row r="853" spans="1:24" x14ac:dyDescent="0.35">
      <c r="A853" s="3" t="str">
        <f t="shared" si="13"/>
        <v>609010007SMP</v>
      </c>
      <c r="B853" t="s">
        <v>6211</v>
      </c>
      <c r="C853">
        <f>+VLOOKUP(Sites_per_tag[[#This Row],[Field_office]],Parameter!$A$3:$B$11,2,0)</f>
        <v>6</v>
      </c>
      <c r="E853" t="s">
        <v>5646</v>
      </c>
      <c r="F853" t="s">
        <v>5647</v>
      </c>
      <c r="H853" t="str">
        <f ca="1">PROPER(Sites_per_tag[[#This Row],[Adm2Name]])</f>
        <v>Beloha</v>
      </c>
      <c r="I853" t="s">
        <v>5685</v>
      </c>
      <c r="K853" t="s">
        <v>5909</v>
      </c>
      <c r="L853" t="s">
        <v>5910</v>
      </c>
      <c r="Q853" t="s">
        <v>6359</v>
      </c>
      <c r="R853">
        <v>609010007</v>
      </c>
      <c r="T853" t="s">
        <v>7</v>
      </c>
      <c r="U853" s="3" t="str">
        <f>+VLOOKUP(Sites_per_tag[[#This Row],[Activity_tag]],Parameter!$A$24:$B$32,2,0)</f>
        <v>SMP</v>
      </c>
      <c r="W853">
        <v>45.041912000000004</v>
      </c>
      <c r="X853">
        <v>-25.19164</v>
      </c>
    </row>
    <row r="854" spans="1:24" x14ac:dyDescent="0.35">
      <c r="A854" s="3" t="str">
        <f t="shared" si="13"/>
        <v>609010008SMP</v>
      </c>
      <c r="B854" t="s">
        <v>6211</v>
      </c>
      <c r="C854">
        <f>+VLOOKUP(Sites_per_tag[[#This Row],[Field_office]],Parameter!$A$3:$B$11,2,0)</f>
        <v>6</v>
      </c>
      <c r="E854" t="s">
        <v>5646</v>
      </c>
      <c r="F854" t="s">
        <v>5647</v>
      </c>
      <c r="H854" t="str">
        <f ca="1">PROPER(Sites_per_tag[[#This Row],[Adm2Name]])</f>
        <v>Beloha</v>
      </c>
      <c r="I854" t="s">
        <v>5685</v>
      </c>
      <c r="K854" t="s">
        <v>5909</v>
      </c>
      <c r="L854" t="s">
        <v>5910</v>
      </c>
      <c r="Q854" t="s">
        <v>450</v>
      </c>
      <c r="R854">
        <v>609010008</v>
      </c>
      <c r="T854" t="s">
        <v>7</v>
      </c>
      <c r="U854" s="3" t="str">
        <f>+VLOOKUP(Sites_per_tag[[#This Row],[Activity_tag]],Parameter!$A$24:$B$32,2,0)</f>
        <v>SMP</v>
      </c>
      <c r="W854">
        <v>45.083565999999998</v>
      </c>
      <c r="X854">
        <v>-25.240133</v>
      </c>
    </row>
    <row r="855" spans="1:24" x14ac:dyDescent="0.35">
      <c r="A855" s="3" t="str">
        <f t="shared" si="13"/>
        <v>609010010SMP</v>
      </c>
      <c r="B855" t="s">
        <v>6211</v>
      </c>
      <c r="C855">
        <f>+VLOOKUP(Sites_per_tag[[#This Row],[Field_office]],Parameter!$A$3:$B$11,2,0)</f>
        <v>6</v>
      </c>
      <c r="E855" t="s">
        <v>5646</v>
      </c>
      <c r="F855" t="s">
        <v>5647</v>
      </c>
      <c r="H855" t="str">
        <f ca="1">PROPER(Sites_per_tag[[#This Row],[Adm2Name]])</f>
        <v>Beloha</v>
      </c>
      <c r="I855" t="s">
        <v>5685</v>
      </c>
      <c r="K855" t="s">
        <v>5909</v>
      </c>
      <c r="L855" t="s">
        <v>5910</v>
      </c>
      <c r="Q855" t="s">
        <v>783</v>
      </c>
      <c r="R855">
        <v>609010010</v>
      </c>
      <c r="T855" t="s">
        <v>7</v>
      </c>
      <c r="U855" s="3" t="str">
        <f>+VLOOKUP(Sites_per_tag[[#This Row],[Activity_tag]],Parameter!$A$24:$B$32,2,0)</f>
        <v>SMP</v>
      </c>
      <c r="W855">
        <v>45.100161999999997</v>
      </c>
      <c r="X855">
        <v>-25.227118999999998</v>
      </c>
    </row>
    <row r="856" spans="1:24" x14ac:dyDescent="0.35">
      <c r="A856" s="3" t="str">
        <f t="shared" si="13"/>
        <v>609010012SMP</v>
      </c>
      <c r="B856" t="s">
        <v>6211</v>
      </c>
      <c r="C856">
        <f>+VLOOKUP(Sites_per_tag[[#This Row],[Field_office]],Parameter!$A$3:$B$11,2,0)</f>
        <v>6</v>
      </c>
      <c r="E856" t="s">
        <v>5646</v>
      </c>
      <c r="F856" t="s">
        <v>5647</v>
      </c>
      <c r="H856" t="str">
        <f ca="1">PROPER(Sites_per_tag[[#This Row],[Adm2Name]])</f>
        <v>Beloha</v>
      </c>
      <c r="I856" t="s">
        <v>5685</v>
      </c>
      <c r="K856" t="s">
        <v>5909</v>
      </c>
      <c r="L856" t="s">
        <v>5910</v>
      </c>
      <c r="Q856" t="s">
        <v>1180</v>
      </c>
      <c r="R856">
        <v>609010012</v>
      </c>
      <c r="T856" t="s">
        <v>7</v>
      </c>
      <c r="U856" s="3" t="str">
        <f>+VLOOKUP(Sites_per_tag[[#This Row],[Activity_tag]],Parameter!$A$24:$B$32,2,0)</f>
        <v>SMP</v>
      </c>
      <c r="W856">
        <v>45.073013000000003</v>
      </c>
      <c r="X856">
        <v>-25.182596</v>
      </c>
    </row>
    <row r="857" spans="1:24" x14ac:dyDescent="0.35">
      <c r="A857" s="3" t="str">
        <f t="shared" si="13"/>
        <v>609010013SMP</v>
      </c>
      <c r="B857" t="s">
        <v>6211</v>
      </c>
      <c r="C857">
        <f>+VLOOKUP(Sites_per_tag[[#This Row],[Field_office]],Parameter!$A$3:$B$11,2,0)</f>
        <v>6</v>
      </c>
      <c r="E857" t="s">
        <v>5646</v>
      </c>
      <c r="F857" t="s">
        <v>5647</v>
      </c>
      <c r="H857" t="str">
        <f ca="1">PROPER(Sites_per_tag[[#This Row],[Adm2Name]])</f>
        <v>Beloha</v>
      </c>
      <c r="I857" t="s">
        <v>5685</v>
      </c>
      <c r="K857" t="s">
        <v>5909</v>
      </c>
      <c r="L857" t="s">
        <v>5910</v>
      </c>
      <c r="Q857" t="s">
        <v>1265</v>
      </c>
      <c r="R857">
        <v>609010013</v>
      </c>
      <c r="T857" t="s">
        <v>7</v>
      </c>
      <c r="U857" s="3" t="str">
        <f>+VLOOKUP(Sites_per_tag[[#This Row],[Activity_tag]],Parameter!$A$24:$B$32,2,0)</f>
        <v>SMP</v>
      </c>
      <c r="W857">
        <v>45.092529999999996</v>
      </c>
      <c r="X857">
        <v>-24.993941</v>
      </c>
    </row>
    <row r="858" spans="1:24" x14ac:dyDescent="0.35">
      <c r="A858" s="3" t="str">
        <f t="shared" si="13"/>
        <v>609010015SMP</v>
      </c>
      <c r="B858" t="s">
        <v>6211</v>
      </c>
      <c r="C858">
        <f>+VLOOKUP(Sites_per_tag[[#This Row],[Field_office]],Parameter!$A$3:$B$11,2,0)</f>
        <v>6</v>
      </c>
      <c r="E858" t="s">
        <v>5646</v>
      </c>
      <c r="F858" t="s">
        <v>5647</v>
      </c>
      <c r="H858" t="str">
        <f ca="1">PROPER(Sites_per_tag[[#This Row],[Adm2Name]])</f>
        <v>Beloha</v>
      </c>
      <c r="I858" t="s">
        <v>5685</v>
      </c>
      <c r="K858" t="s">
        <v>5909</v>
      </c>
      <c r="L858" t="s">
        <v>5910</v>
      </c>
      <c r="Q858" t="s">
        <v>1562</v>
      </c>
      <c r="R858">
        <v>609010015</v>
      </c>
      <c r="T858" t="s">
        <v>7</v>
      </c>
      <c r="U858" s="3" t="str">
        <f>+VLOOKUP(Sites_per_tag[[#This Row],[Activity_tag]],Parameter!$A$24:$B$32,2,0)</f>
        <v>SMP</v>
      </c>
      <c r="W858">
        <v>45.194336999999997</v>
      </c>
      <c r="X858">
        <v>-25.126639000000001</v>
      </c>
    </row>
    <row r="859" spans="1:24" x14ac:dyDescent="0.35">
      <c r="A859" s="3" t="str">
        <f t="shared" si="13"/>
        <v>609010016SMP</v>
      </c>
      <c r="B859" t="s">
        <v>6211</v>
      </c>
      <c r="C859">
        <f>+VLOOKUP(Sites_per_tag[[#This Row],[Field_office]],Parameter!$A$3:$B$11,2,0)</f>
        <v>6</v>
      </c>
      <c r="E859" t="s">
        <v>5646</v>
      </c>
      <c r="F859" t="s">
        <v>5647</v>
      </c>
      <c r="H859" t="str">
        <f ca="1">PROPER(Sites_per_tag[[#This Row],[Adm2Name]])</f>
        <v>Beloha</v>
      </c>
      <c r="I859" t="s">
        <v>5685</v>
      </c>
      <c r="K859" t="s">
        <v>5909</v>
      </c>
      <c r="L859" t="s">
        <v>5910</v>
      </c>
      <c r="Q859" t="s">
        <v>1716</v>
      </c>
      <c r="R859">
        <v>609010016</v>
      </c>
      <c r="T859" t="s">
        <v>7</v>
      </c>
      <c r="U859" s="3" t="str">
        <f>+VLOOKUP(Sites_per_tag[[#This Row],[Activity_tag]],Parameter!$A$24:$B$32,2,0)</f>
        <v>SMP</v>
      </c>
      <c r="W859">
        <v>45.138919999999999</v>
      </c>
      <c r="X859">
        <v>-25.04945</v>
      </c>
    </row>
    <row r="860" spans="1:24" x14ac:dyDescent="0.35">
      <c r="A860" s="3" t="str">
        <f t="shared" si="13"/>
        <v>609010017SMP</v>
      </c>
      <c r="B860" t="s">
        <v>6211</v>
      </c>
      <c r="C860">
        <f>+VLOOKUP(Sites_per_tag[[#This Row],[Field_office]],Parameter!$A$3:$B$11,2,0)</f>
        <v>6</v>
      </c>
      <c r="E860" t="s">
        <v>5646</v>
      </c>
      <c r="F860" t="s">
        <v>5647</v>
      </c>
      <c r="H860" t="str">
        <f ca="1">PROPER(Sites_per_tag[[#This Row],[Adm2Name]])</f>
        <v>Beloha</v>
      </c>
      <c r="I860" t="s">
        <v>5685</v>
      </c>
      <c r="K860" t="s">
        <v>5909</v>
      </c>
      <c r="L860" t="s">
        <v>5910</v>
      </c>
      <c r="Q860" t="s">
        <v>1930</v>
      </c>
      <c r="R860">
        <v>609010017</v>
      </c>
      <c r="T860" t="s">
        <v>7</v>
      </c>
      <c r="U860" s="3" t="str">
        <f>+VLOOKUP(Sites_per_tag[[#This Row],[Activity_tag]],Parameter!$A$24:$B$32,2,0)</f>
        <v>SMP</v>
      </c>
      <c r="W860">
        <v>45.059221000000001</v>
      </c>
      <c r="X860">
        <v>-25.172543000000001</v>
      </c>
    </row>
    <row r="861" spans="1:24" x14ac:dyDescent="0.35">
      <c r="A861" s="3" t="str">
        <f t="shared" si="13"/>
        <v>609010018SMP</v>
      </c>
      <c r="B861" t="s">
        <v>6211</v>
      </c>
      <c r="C861">
        <f>+VLOOKUP(Sites_per_tag[[#This Row],[Field_office]],Parameter!$A$3:$B$11,2,0)</f>
        <v>6</v>
      </c>
      <c r="E861" t="s">
        <v>5646</v>
      </c>
      <c r="F861" t="s">
        <v>5647</v>
      </c>
      <c r="H861" t="str">
        <f ca="1">PROPER(Sites_per_tag[[#This Row],[Adm2Name]])</f>
        <v>Beloha</v>
      </c>
      <c r="I861" t="s">
        <v>5685</v>
      </c>
      <c r="K861" t="s">
        <v>5909</v>
      </c>
      <c r="L861" t="s">
        <v>5910</v>
      </c>
      <c r="Q861" t="s">
        <v>2656</v>
      </c>
      <c r="R861">
        <v>609010018</v>
      </c>
      <c r="T861" t="s">
        <v>7</v>
      </c>
      <c r="U861" s="3" t="str">
        <f>+VLOOKUP(Sites_per_tag[[#This Row],[Activity_tag]],Parameter!$A$24:$B$32,2,0)</f>
        <v>SMP</v>
      </c>
      <c r="W861">
        <v>44.867814000000003</v>
      </c>
      <c r="X861">
        <v>-25.119875</v>
      </c>
    </row>
    <row r="862" spans="1:24" x14ac:dyDescent="0.35">
      <c r="A862" s="3" t="str">
        <f t="shared" si="13"/>
        <v>609010019SMP</v>
      </c>
      <c r="B862" t="s">
        <v>6211</v>
      </c>
      <c r="C862">
        <f>+VLOOKUP(Sites_per_tag[[#This Row],[Field_office]],Parameter!$A$3:$B$11,2,0)</f>
        <v>6</v>
      </c>
      <c r="E862" t="s">
        <v>5646</v>
      </c>
      <c r="F862" t="s">
        <v>5647</v>
      </c>
      <c r="H862" t="str">
        <f ca="1">PROPER(Sites_per_tag[[#This Row],[Adm2Name]])</f>
        <v>Beloha</v>
      </c>
      <c r="I862" t="s">
        <v>5685</v>
      </c>
      <c r="K862" t="s">
        <v>5667</v>
      </c>
      <c r="L862" t="s">
        <v>6003</v>
      </c>
      <c r="Q862" t="s">
        <v>2813</v>
      </c>
      <c r="R862">
        <v>609010019</v>
      </c>
      <c r="T862" t="s">
        <v>7</v>
      </c>
      <c r="U862" s="3" t="str">
        <f>+VLOOKUP(Sites_per_tag[[#This Row],[Activity_tag]],Parameter!$A$24:$B$32,2,0)</f>
        <v>SMP</v>
      </c>
      <c r="W862">
        <v>44.932789999999997</v>
      </c>
      <c r="X862">
        <v>-24.877500000000001</v>
      </c>
    </row>
    <row r="863" spans="1:24" x14ac:dyDescent="0.35">
      <c r="A863" s="3" t="str">
        <f t="shared" si="13"/>
        <v>609010020SMP</v>
      </c>
      <c r="B863" t="s">
        <v>6211</v>
      </c>
      <c r="C863">
        <f>+VLOOKUP(Sites_per_tag[[#This Row],[Field_office]],Parameter!$A$3:$B$11,2,0)</f>
        <v>6</v>
      </c>
      <c r="E863" t="s">
        <v>5646</v>
      </c>
      <c r="F863" t="s">
        <v>5647</v>
      </c>
      <c r="H863" t="str">
        <f ca="1">PROPER(Sites_per_tag[[#This Row],[Adm2Name]])</f>
        <v>Beloha</v>
      </c>
      <c r="I863" t="s">
        <v>5685</v>
      </c>
      <c r="K863" t="s">
        <v>5909</v>
      </c>
      <c r="L863" t="s">
        <v>5910</v>
      </c>
      <c r="Q863" t="s">
        <v>3217</v>
      </c>
      <c r="R863">
        <v>609010020</v>
      </c>
      <c r="T863" t="s">
        <v>7</v>
      </c>
      <c r="U863" s="3" t="str">
        <f>+VLOOKUP(Sites_per_tag[[#This Row],[Activity_tag]],Parameter!$A$24:$B$32,2,0)</f>
        <v>SMP</v>
      </c>
      <c r="W863">
        <v>45.113477000000003</v>
      </c>
      <c r="X863">
        <v>-25.053127</v>
      </c>
    </row>
    <row r="864" spans="1:24" x14ac:dyDescent="0.35">
      <c r="A864" s="3" t="str">
        <f t="shared" si="13"/>
        <v>609010021SMP</v>
      </c>
      <c r="B864" t="s">
        <v>6211</v>
      </c>
      <c r="C864">
        <f>+VLOOKUP(Sites_per_tag[[#This Row],[Field_office]],Parameter!$A$3:$B$11,2,0)</f>
        <v>6</v>
      </c>
      <c r="E864" t="s">
        <v>5646</v>
      </c>
      <c r="F864" t="s">
        <v>5647</v>
      </c>
      <c r="H864" t="str">
        <f ca="1">PROPER(Sites_per_tag[[#This Row],[Adm2Name]])</f>
        <v>Beloha</v>
      </c>
      <c r="I864" t="s">
        <v>5685</v>
      </c>
      <c r="K864" t="s">
        <v>5909</v>
      </c>
      <c r="L864" t="s">
        <v>5910</v>
      </c>
      <c r="Q864" t="s">
        <v>3252</v>
      </c>
      <c r="R864">
        <v>609010021</v>
      </c>
      <c r="T864" t="s">
        <v>7</v>
      </c>
      <c r="U864" s="3" t="str">
        <f>+VLOOKUP(Sites_per_tag[[#This Row],[Activity_tag]],Parameter!$A$24:$B$32,2,0)</f>
        <v>SMP</v>
      </c>
      <c r="W864">
        <v>45.070295000000002</v>
      </c>
      <c r="X864">
        <v>-25.193563000000001</v>
      </c>
    </row>
    <row r="865" spans="1:24" x14ac:dyDescent="0.35">
      <c r="A865" s="3" t="str">
        <f t="shared" si="13"/>
        <v>609010024SMP</v>
      </c>
      <c r="B865" t="s">
        <v>6211</v>
      </c>
      <c r="C865">
        <f>+VLOOKUP(Sites_per_tag[[#This Row],[Field_office]],Parameter!$A$3:$B$11,2,0)</f>
        <v>6</v>
      </c>
      <c r="E865" t="s">
        <v>5646</v>
      </c>
      <c r="F865" t="s">
        <v>5647</v>
      </c>
      <c r="H865" t="str">
        <f ca="1">PROPER(Sites_per_tag[[#This Row],[Adm2Name]])</f>
        <v>Beloha</v>
      </c>
      <c r="I865" t="s">
        <v>5685</v>
      </c>
      <c r="K865" t="s">
        <v>5667</v>
      </c>
      <c r="L865" t="s">
        <v>6003</v>
      </c>
      <c r="Q865" t="s">
        <v>3985</v>
      </c>
      <c r="R865">
        <v>609010024</v>
      </c>
      <c r="T865" t="s">
        <v>7</v>
      </c>
      <c r="U865" s="3" t="str">
        <f>+VLOOKUP(Sites_per_tag[[#This Row],[Activity_tag]],Parameter!$A$24:$B$32,2,0)</f>
        <v>SMP</v>
      </c>
      <c r="W865">
        <v>44.985311000000003</v>
      </c>
      <c r="X865">
        <v>-24.853511000000001</v>
      </c>
    </row>
    <row r="866" spans="1:24" x14ac:dyDescent="0.35">
      <c r="A866" s="3" t="str">
        <f t="shared" si="13"/>
        <v>609010025SMP</v>
      </c>
      <c r="B866" t="s">
        <v>6211</v>
      </c>
      <c r="C866">
        <f>+VLOOKUP(Sites_per_tag[[#This Row],[Field_office]],Parameter!$A$3:$B$11,2,0)</f>
        <v>6</v>
      </c>
      <c r="E866" t="s">
        <v>5646</v>
      </c>
      <c r="F866" t="s">
        <v>5647</v>
      </c>
      <c r="H866" t="str">
        <f ca="1">PROPER(Sites_per_tag[[#This Row],[Adm2Name]])</f>
        <v>Beloha</v>
      </c>
      <c r="I866" t="s">
        <v>5685</v>
      </c>
      <c r="K866" t="s">
        <v>5909</v>
      </c>
      <c r="L866" t="s">
        <v>5910</v>
      </c>
      <c r="Q866" t="s">
        <v>4001</v>
      </c>
      <c r="R866">
        <v>609010025</v>
      </c>
      <c r="T866" t="s">
        <v>7</v>
      </c>
      <c r="U866" s="3" t="str">
        <f>+VLOOKUP(Sites_per_tag[[#This Row],[Activity_tag]],Parameter!$A$24:$B$32,2,0)</f>
        <v>SMP</v>
      </c>
      <c r="W866">
        <v>45.04466</v>
      </c>
      <c r="X866">
        <v>-25.169685000000001</v>
      </c>
    </row>
    <row r="867" spans="1:24" x14ac:dyDescent="0.35">
      <c r="A867" s="3" t="str">
        <f t="shared" si="13"/>
        <v>609010031SMP</v>
      </c>
      <c r="B867" t="s">
        <v>6211</v>
      </c>
      <c r="C867">
        <f>+VLOOKUP(Sites_per_tag[[#This Row],[Field_office]],Parameter!$A$3:$B$11,2,0)</f>
        <v>6</v>
      </c>
      <c r="E867" t="s">
        <v>5646</v>
      </c>
      <c r="F867" t="s">
        <v>5647</v>
      </c>
      <c r="H867" t="str">
        <f ca="1">PROPER(Sites_per_tag[[#This Row],[Adm2Name]])</f>
        <v>Beloha</v>
      </c>
      <c r="I867" t="s">
        <v>5685</v>
      </c>
      <c r="K867" t="s">
        <v>5909</v>
      </c>
      <c r="L867" t="s">
        <v>5910</v>
      </c>
      <c r="Q867" t="s">
        <v>3282</v>
      </c>
      <c r="R867">
        <v>609010031</v>
      </c>
      <c r="T867" t="s">
        <v>7</v>
      </c>
      <c r="U867" s="3" t="str">
        <f>+VLOOKUP(Sites_per_tag[[#This Row],[Activity_tag]],Parameter!$A$24:$B$32,2,0)</f>
        <v>SMP</v>
      </c>
      <c r="W867">
        <v>45.014156999999997</v>
      </c>
      <c r="X867">
        <v>-25.178812000000001</v>
      </c>
    </row>
    <row r="868" spans="1:24" x14ac:dyDescent="0.35">
      <c r="A868" s="3" t="str">
        <f t="shared" si="13"/>
        <v>609010034SMP</v>
      </c>
      <c r="B868" t="s">
        <v>6211</v>
      </c>
      <c r="C868">
        <f>+VLOOKUP(Sites_per_tag[[#This Row],[Field_office]],Parameter!$A$3:$B$11,2,0)</f>
        <v>6</v>
      </c>
      <c r="E868" t="s">
        <v>5646</v>
      </c>
      <c r="F868" t="s">
        <v>5647</v>
      </c>
      <c r="H868" t="str">
        <f ca="1">PROPER(Sites_per_tag[[#This Row],[Adm2Name]])</f>
        <v>Beloha</v>
      </c>
      <c r="I868" t="s">
        <v>5685</v>
      </c>
      <c r="K868" t="s">
        <v>5667</v>
      </c>
      <c r="L868" t="s">
        <v>6003</v>
      </c>
      <c r="Q868" t="s">
        <v>2814</v>
      </c>
      <c r="R868">
        <v>609010034</v>
      </c>
      <c r="T868" t="s">
        <v>7</v>
      </c>
      <c r="U868" s="3" t="str">
        <f>+VLOOKUP(Sites_per_tag[[#This Row],[Activity_tag]],Parameter!$A$24:$B$32,2,0)</f>
        <v>SMP</v>
      </c>
      <c r="W868">
        <v>44.930630000000001</v>
      </c>
      <c r="X868">
        <v>-24.898575000000001</v>
      </c>
    </row>
    <row r="869" spans="1:24" x14ac:dyDescent="0.35">
      <c r="A869" s="3" t="str">
        <f t="shared" si="13"/>
        <v>609010035SMP</v>
      </c>
      <c r="B869" t="s">
        <v>6211</v>
      </c>
      <c r="C869">
        <f>+VLOOKUP(Sites_per_tag[[#This Row],[Field_office]],Parameter!$A$3:$B$11,2,0)</f>
        <v>6</v>
      </c>
      <c r="E869" t="s">
        <v>5646</v>
      </c>
      <c r="F869" t="s">
        <v>5647</v>
      </c>
      <c r="H869" t="str">
        <f ca="1">PROPER(Sites_per_tag[[#This Row],[Adm2Name]])</f>
        <v>Beloha</v>
      </c>
      <c r="I869" t="s">
        <v>5685</v>
      </c>
      <c r="K869" t="s">
        <v>5909</v>
      </c>
      <c r="L869" t="s">
        <v>5910</v>
      </c>
      <c r="Q869" t="s">
        <v>6360</v>
      </c>
      <c r="R869">
        <v>609010035</v>
      </c>
      <c r="T869" t="s">
        <v>7</v>
      </c>
      <c r="U869" s="3" t="str">
        <f>+VLOOKUP(Sites_per_tag[[#This Row],[Activity_tag]],Parameter!$A$24:$B$32,2,0)</f>
        <v>SMP</v>
      </c>
      <c r="W869">
        <v>45.062142999999999</v>
      </c>
      <c r="X869">
        <v>-25.220480999999999</v>
      </c>
    </row>
    <row r="870" spans="1:24" x14ac:dyDescent="0.35">
      <c r="A870" s="3" t="str">
        <f t="shared" si="13"/>
        <v>609010052SMP</v>
      </c>
      <c r="B870" t="s">
        <v>6211</v>
      </c>
      <c r="C870">
        <f>+VLOOKUP(Sites_per_tag[[#This Row],[Field_office]],Parameter!$A$3:$B$11,2,0)</f>
        <v>6</v>
      </c>
      <c r="E870" t="s">
        <v>5646</v>
      </c>
      <c r="F870" t="s">
        <v>5647</v>
      </c>
      <c r="H870" t="str">
        <f ca="1">PROPER(Sites_per_tag[[#This Row],[Adm2Name]])</f>
        <v>Beloha</v>
      </c>
      <c r="I870" t="s">
        <v>5685</v>
      </c>
      <c r="K870" t="s">
        <v>5667</v>
      </c>
      <c r="L870" t="s">
        <v>6003</v>
      </c>
      <c r="Q870" t="s">
        <v>2272</v>
      </c>
      <c r="R870">
        <v>609010052</v>
      </c>
      <c r="T870" t="s">
        <v>7</v>
      </c>
      <c r="U870" s="3" t="str">
        <f>+VLOOKUP(Sites_per_tag[[#This Row],[Activity_tag]],Parameter!$A$24:$B$32,2,0)</f>
        <v>SMP</v>
      </c>
      <c r="W870">
        <v>44.942245999999997</v>
      </c>
      <c r="X870">
        <v>-24.91676</v>
      </c>
    </row>
    <row r="871" spans="1:24" x14ac:dyDescent="0.35">
      <c r="A871" s="3" t="str">
        <f t="shared" si="13"/>
        <v>609010054SMP</v>
      </c>
      <c r="B871" t="s">
        <v>6211</v>
      </c>
      <c r="C871">
        <f>+VLOOKUP(Sites_per_tag[[#This Row],[Field_office]],Parameter!$A$3:$B$11,2,0)</f>
        <v>6</v>
      </c>
      <c r="E871" t="s">
        <v>5646</v>
      </c>
      <c r="F871" t="s">
        <v>5647</v>
      </c>
      <c r="H871" t="str">
        <f ca="1">PROPER(Sites_per_tag[[#This Row],[Adm2Name]])</f>
        <v>Beloha</v>
      </c>
      <c r="I871" t="s">
        <v>5685</v>
      </c>
      <c r="K871" t="s">
        <v>5909</v>
      </c>
      <c r="L871" t="s">
        <v>5910</v>
      </c>
      <c r="Q871" t="s">
        <v>1329</v>
      </c>
      <c r="R871">
        <v>609010054</v>
      </c>
      <c r="T871" t="s">
        <v>7</v>
      </c>
      <c r="U871" s="3" t="str">
        <f>+VLOOKUP(Sites_per_tag[[#This Row],[Activity_tag]],Parameter!$A$24:$B$32,2,0)</f>
        <v>SMP</v>
      </c>
      <c r="W871">
        <v>44.945385999999999</v>
      </c>
      <c r="X871">
        <v>-25.114851000000002</v>
      </c>
    </row>
    <row r="872" spans="1:24" x14ac:dyDescent="0.35">
      <c r="A872" s="3" t="str">
        <f t="shared" si="13"/>
        <v>609020002SMP</v>
      </c>
      <c r="B872" t="s">
        <v>6211</v>
      </c>
      <c r="C872">
        <f>+VLOOKUP(Sites_per_tag[[#This Row],[Field_office]],Parameter!$A$3:$B$11,2,0)</f>
        <v>6</v>
      </c>
      <c r="E872" t="s">
        <v>5646</v>
      </c>
      <c r="F872" t="s">
        <v>5647</v>
      </c>
      <c r="H872" t="str">
        <f ca="1">PROPER(Sites_per_tag[[#This Row],[Adm2Name]])</f>
        <v>Beloha</v>
      </c>
      <c r="I872" t="s">
        <v>5685</v>
      </c>
      <c r="K872" t="s">
        <v>2658</v>
      </c>
      <c r="L872" t="s">
        <v>5995</v>
      </c>
      <c r="Q872" t="s">
        <v>671</v>
      </c>
      <c r="R872">
        <v>609020002</v>
      </c>
      <c r="T872" t="s">
        <v>7</v>
      </c>
      <c r="U872" s="3" t="str">
        <f>+VLOOKUP(Sites_per_tag[[#This Row],[Activity_tag]],Parameter!$A$24:$B$32,2,0)</f>
        <v>SMP</v>
      </c>
      <c r="W872">
        <v>45.307975999999996</v>
      </c>
      <c r="X872">
        <v>-25.297488000000001</v>
      </c>
    </row>
    <row r="873" spans="1:24" x14ac:dyDescent="0.35">
      <c r="A873" s="3" t="str">
        <f t="shared" si="13"/>
        <v>609020005SMP</v>
      </c>
      <c r="B873" t="s">
        <v>6211</v>
      </c>
      <c r="C873">
        <f>+VLOOKUP(Sites_per_tag[[#This Row],[Field_office]],Parameter!$A$3:$B$11,2,0)</f>
        <v>6</v>
      </c>
      <c r="E873" t="s">
        <v>5646</v>
      </c>
      <c r="F873" t="s">
        <v>5647</v>
      </c>
      <c r="H873" t="str">
        <f ca="1">PROPER(Sites_per_tag[[#This Row],[Adm2Name]])</f>
        <v>Beloha</v>
      </c>
      <c r="I873" t="s">
        <v>5685</v>
      </c>
      <c r="K873" t="s">
        <v>2658</v>
      </c>
      <c r="L873" t="s">
        <v>5995</v>
      </c>
      <c r="Q873" t="s">
        <v>3704</v>
      </c>
      <c r="R873">
        <v>609020005</v>
      </c>
      <c r="T873" t="s">
        <v>7</v>
      </c>
      <c r="U873" s="3" t="str">
        <f>+VLOOKUP(Sites_per_tag[[#This Row],[Activity_tag]],Parameter!$A$24:$B$32,2,0)</f>
        <v>SMP</v>
      </c>
      <c r="W873">
        <v>45.234918999999998</v>
      </c>
      <c r="X873">
        <v>-25.229020999999999</v>
      </c>
    </row>
    <row r="874" spans="1:24" x14ac:dyDescent="0.35">
      <c r="A874" s="3" t="str">
        <f t="shared" si="13"/>
        <v>609020006SMP</v>
      </c>
      <c r="B874" t="s">
        <v>6211</v>
      </c>
      <c r="C874">
        <f>+VLOOKUP(Sites_per_tag[[#This Row],[Field_office]],Parameter!$A$3:$B$11,2,0)</f>
        <v>6</v>
      </c>
      <c r="E874" t="s">
        <v>5646</v>
      </c>
      <c r="F874" t="s">
        <v>5647</v>
      </c>
      <c r="H874" t="str">
        <f ca="1">PROPER(Sites_per_tag[[#This Row],[Adm2Name]])</f>
        <v>Beloha</v>
      </c>
      <c r="I874" t="s">
        <v>5685</v>
      </c>
      <c r="K874" t="s">
        <v>2658</v>
      </c>
      <c r="L874" t="s">
        <v>5995</v>
      </c>
      <c r="Q874" t="s">
        <v>1058</v>
      </c>
      <c r="R874">
        <v>609020006</v>
      </c>
      <c r="T874" t="s">
        <v>7</v>
      </c>
      <c r="U874" s="3" t="str">
        <f>+VLOOKUP(Sites_per_tag[[#This Row],[Activity_tag]],Parameter!$A$24:$B$32,2,0)</f>
        <v>SMP</v>
      </c>
      <c r="W874">
        <v>45.167020999999998</v>
      </c>
      <c r="X874">
        <v>-25.266475</v>
      </c>
    </row>
    <row r="875" spans="1:24" x14ac:dyDescent="0.35">
      <c r="A875" s="3" t="str">
        <f t="shared" si="13"/>
        <v>609020007SMP</v>
      </c>
      <c r="B875" t="s">
        <v>6211</v>
      </c>
      <c r="C875">
        <f>+VLOOKUP(Sites_per_tag[[#This Row],[Field_office]],Parameter!$A$3:$B$11,2,0)</f>
        <v>6</v>
      </c>
      <c r="E875" t="s">
        <v>5646</v>
      </c>
      <c r="F875" t="s">
        <v>5647</v>
      </c>
      <c r="H875" t="str">
        <f ca="1">PROPER(Sites_per_tag[[#This Row],[Adm2Name]])</f>
        <v>Beloha</v>
      </c>
      <c r="I875" t="s">
        <v>5685</v>
      </c>
      <c r="K875" t="s">
        <v>2658</v>
      </c>
      <c r="L875" t="s">
        <v>5995</v>
      </c>
      <c r="Q875" t="s">
        <v>16</v>
      </c>
      <c r="R875">
        <v>609020007</v>
      </c>
      <c r="T875" t="s">
        <v>7</v>
      </c>
      <c r="U875" s="3" t="str">
        <f>+VLOOKUP(Sites_per_tag[[#This Row],[Activity_tag]],Parameter!$A$24:$B$32,2,0)</f>
        <v>SMP</v>
      </c>
      <c r="W875">
        <v>45.190159999999999</v>
      </c>
      <c r="X875">
        <v>-25.192385000000002</v>
      </c>
    </row>
    <row r="876" spans="1:24" x14ac:dyDescent="0.35">
      <c r="A876" s="3" t="str">
        <f t="shared" si="13"/>
        <v>609020008SMP</v>
      </c>
      <c r="B876" t="s">
        <v>6211</v>
      </c>
      <c r="C876">
        <f>+VLOOKUP(Sites_per_tag[[#This Row],[Field_office]],Parameter!$A$3:$B$11,2,0)</f>
        <v>6</v>
      </c>
      <c r="E876" t="s">
        <v>5646</v>
      </c>
      <c r="F876" t="s">
        <v>5647</v>
      </c>
      <c r="H876" t="str">
        <f ca="1">PROPER(Sites_per_tag[[#This Row],[Adm2Name]])</f>
        <v>Beloha</v>
      </c>
      <c r="I876" t="s">
        <v>5685</v>
      </c>
      <c r="K876" t="s">
        <v>2658</v>
      </c>
      <c r="L876" t="s">
        <v>5995</v>
      </c>
      <c r="Q876" t="s">
        <v>359</v>
      </c>
      <c r="R876">
        <v>609020008</v>
      </c>
      <c r="T876" t="s">
        <v>7</v>
      </c>
      <c r="U876" s="3" t="str">
        <f>+VLOOKUP(Sites_per_tag[[#This Row],[Activity_tag]],Parameter!$A$24:$B$32,2,0)</f>
        <v>SMP</v>
      </c>
      <c r="W876">
        <v>45.142871</v>
      </c>
      <c r="X876">
        <v>-25.290438000000002</v>
      </c>
    </row>
    <row r="877" spans="1:24" x14ac:dyDescent="0.35">
      <c r="A877" s="3" t="str">
        <f t="shared" si="13"/>
        <v>609020010SMP</v>
      </c>
      <c r="B877" t="s">
        <v>6211</v>
      </c>
      <c r="C877">
        <f>+VLOOKUP(Sites_per_tag[[#This Row],[Field_office]],Parameter!$A$3:$B$11,2,0)</f>
        <v>6</v>
      </c>
      <c r="E877" t="s">
        <v>5646</v>
      </c>
      <c r="F877" t="s">
        <v>5647</v>
      </c>
      <c r="H877" t="str">
        <f ca="1">PROPER(Sites_per_tag[[#This Row],[Adm2Name]])</f>
        <v>Beloha</v>
      </c>
      <c r="I877" t="s">
        <v>5685</v>
      </c>
      <c r="K877" t="s">
        <v>2658</v>
      </c>
      <c r="L877" t="s">
        <v>5995</v>
      </c>
      <c r="Q877" t="s">
        <v>825</v>
      </c>
      <c r="R877">
        <v>609020010</v>
      </c>
      <c r="T877" t="s">
        <v>7</v>
      </c>
      <c r="U877" s="3" t="str">
        <f>+VLOOKUP(Sites_per_tag[[#This Row],[Activity_tag]],Parameter!$A$24:$B$32,2,0)</f>
        <v>SMP</v>
      </c>
      <c r="W877">
        <v>45.133493999999999</v>
      </c>
      <c r="X877">
        <v>-25.094125999999999</v>
      </c>
    </row>
    <row r="878" spans="1:24" x14ac:dyDescent="0.35">
      <c r="A878" s="3" t="str">
        <f t="shared" si="13"/>
        <v>609020012SMP</v>
      </c>
      <c r="B878" t="s">
        <v>6211</v>
      </c>
      <c r="C878">
        <f>+VLOOKUP(Sites_per_tag[[#This Row],[Field_office]],Parameter!$A$3:$B$11,2,0)</f>
        <v>6</v>
      </c>
      <c r="E878" t="s">
        <v>5646</v>
      </c>
      <c r="F878" t="s">
        <v>5647</v>
      </c>
      <c r="H878" t="str">
        <f ca="1">PROPER(Sites_per_tag[[#This Row],[Adm2Name]])</f>
        <v>Beloha</v>
      </c>
      <c r="I878" t="s">
        <v>5685</v>
      </c>
      <c r="K878" t="s">
        <v>2658</v>
      </c>
      <c r="L878" t="s">
        <v>5995</v>
      </c>
      <c r="Q878" t="s">
        <v>1052</v>
      </c>
      <c r="R878">
        <v>609020012</v>
      </c>
      <c r="T878" t="s">
        <v>7</v>
      </c>
      <c r="U878" s="3" t="str">
        <f>+VLOOKUP(Sites_per_tag[[#This Row],[Activity_tag]],Parameter!$A$24:$B$32,2,0)</f>
        <v>SMP</v>
      </c>
      <c r="W878">
        <v>45.269385999999997</v>
      </c>
      <c r="X878">
        <v>-25.221864</v>
      </c>
    </row>
    <row r="879" spans="1:24" x14ac:dyDescent="0.35">
      <c r="A879" s="3" t="str">
        <f t="shared" si="13"/>
        <v>609020013SMP</v>
      </c>
      <c r="B879" t="s">
        <v>6211</v>
      </c>
      <c r="C879">
        <f>+VLOOKUP(Sites_per_tag[[#This Row],[Field_office]],Parameter!$A$3:$B$11,2,0)</f>
        <v>6</v>
      </c>
      <c r="E879" t="s">
        <v>5646</v>
      </c>
      <c r="F879" t="s">
        <v>5647</v>
      </c>
      <c r="H879" t="str">
        <f ca="1">PROPER(Sites_per_tag[[#This Row],[Adm2Name]])</f>
        <v>Beloha</v>
      </c>
      <c r="I879" t="s">
        <v>5685</v>
      </c>
      <c r="K879" t="s">
        <v>2658</v>
      </c>
      <c r="L879" t="s">
        <v>5995</v>
      </c>
      <c r="Q879" t="s">
        <v>1374</v>
      </c>
      <c r="R879">
        <v>609020013</v>
      </c>
      <c r="T879" t="s">
        <v>7</v>
      </c>
      <c r="U879" s="3" t="str">
        <f>+VLOOKUP(Sites_per_tag[[#This Row],[Activity_tag]],Parameter!$A$24:$B$32,2,0)</f>
        <v>SMP</v>
      </c>
      <c r="W879">
        <v>45.170616000000003</v>
      </c>
      <c r="X879">
        <v>-25.046018</v>
      </c>
    </row>
    <row r="880" spans="1:24" x14ac:dyDescent="0.35">
      <c r="A880" s="3" t="str">
        <f t="shared" si="13"/>
        <v>609020014SMP</v>
      </c>
      <c r="B880" t="s">
        <v>6211</v>
      </c>
      <c r="C880">
        <f>+VLOOKUP(Sites_per_tag[[#This Row],[Field_office]],Parameter!$A$3:$B$11,2,0)</f>
        <v>6</v>
      </c>
      <c r="E880" t="s">
        <v>5646</v>
      </c>
      <c r="F880" t="s">
        <v>5647</v>
      </c>
      <c r="H880" t="str">
        <f ca="1">PROPER(Sites_per_tag[[#This Row],[Adm2Name]])</f>
        <v>Beloha</v>
      </c>
      <c r="I880" t="s">
        <v>5685</v>
      </c>
      <c r="K880" t="s">
        <v>2658</v>
      </c>
      <c r="L880" t="s">
        <v>5995</v>
      </c>
      <c r="Q880" t="s">
        <v>6361</v>
      </c>
      <c r="R880">
        <v>609020014</v>
      </c>
      <c r="T880" t="s">
        <v>7</v>
      </c>
      <c r="U880" s="3" t="str">
        <f>+VLOOKUP(Sites_per_tag[[#This Row],[Activity_tag]],Parameter!$A$24:$B$32,2,0)</f>
        <v>SMP</v>
      </c>
      <c r="W880">
        <v>45.211312</v>
      </c>
      <c r="X880">
        <v>-25.320457000000001</v>
      </c>
    </row>
    <row r="881" spans="1:24" x14ac:dyDescent="0.35">
      <c r="A881" s="3" t="str">
        <f t="shared" si="13"/>
        <v>609020015SMP</v>
      </c>
      <c r="B881" t="s">
        <v>6211</v>
      </c>
      <c r="C881">
        <f>+VLOOKUP(Sites_per_tag[[#This Row],[Field_office]],Parameter!$A$3:$B$11,2,0)</f>
        <v>6</v>
      </c>
      <c r="E881" t="s">
        <v>5646</v>
      </c>
      <c r="F881" t="s">
        <v>5647</v>
      </c>
      <c r="H881" t="str">
        <f ca="1">PROPER(Sites_per_tag[[#This Row],[Adm2Name]])</f>
        <v>Beloha</v>
      </c>
      <c r="I881" t="s">
        <v>5685</v>
      </c>
      <c r="K881" t="s">
        <v>2658</v>
      </c>
      <c r="L881" t="s">
        <v>5995</v>
      </c>
      <c r="Q881" t="s">
        <v>6362</v>
      </c>
      <c r="R881">
        <v>609020015</v>
      </c>
      <c r="T881" t="s">
        <v>7</v>
      </c>
      <c r="U881" s="3" t="str">
        <f>+VLOOKUP(Sites_per_tag[[#This Row],[Activity_tag]],Parameter!$A$24:$B$32,2,0)</f>
        <v>SMP</v>
      </c>
      <c r="W881">
        <v>45.204079999999998</v>
      </c>
      <c r="X881">
        <v>-25.206118</v>
      </c>
    </row>
    <row r="882" spans="1:24" x14ac:dyDescent="0.35">
      <c r="A882" s="3" t="str">
        <f t="shared" si="13"/>
        <v>609020017SMP</v>
      </c>
      <c r="B882" t="s">
        <v>6211</v>
      </c>
      <c r="C882">
        <f>+VLOOKUP(Sites_per_tag[[#This Row],[Field_office]],Parameter!$A$3:$B$11,2,0)</f>
        <v>6</v>
      </c>
      <c r="E882" t="s">
        <v>5646</v>
      </c>
      <c r="F882" t="s">
        <v>5647</v>
      </c>
      <c r="H882" t="str">
        <f ca="1">PROPER(Sites_per_tag[[#This Row],[Adm2Name]])</f>
        <v>Beloha</v>
      </c>
      <c r="I882" t="s">
        <v>5685</v>
      </c>
      <c r="K882" t="s">
        <v>2658</v>
      </c>
      <c r="L882" t="s">
        <v>5995</v>
      </c>
      <c r="Q882" t="s">
        <v>3796</v>
      </c>
      <c r="R882">
        <v>609020017</v>
      </c>
      <c r="T882" t="s">
        <v>7</v>
      </c>
      <c r="U882" s="3" t="str">
        <f>+VLOOKUP(Sites_per_tag[[#This Row],[Activity_tag]],Parameter!$A$24:$B$32,2,0)</f>
        <v>SMP</v>
      </c>
      <c r="W882">
        <v>45.253422999999998</v>
      </c>
      <c r="X882">
        <v>-25.247579999999999</v>
      </c>
    </row>
    <row r="883" spans="1:24" x14ac:dyDescent="0.35">
      <c r="A883" s="3" t="str">
        <f t="shared" si="13"/>
        <v>609020018SMP</v>
      </c>
      <c r="B883" t="s">
        <v>6211</v>
      </c>
      <c r="C883">
        <f>+VLOOKUP(Sites_per_tag[[#This Row],[Field_office]],Parameter!$A$3:$B$11,2,0)</f>
        <v>6</v>
      </c>
      <c r="E883" t="s">
        <v>5646</v>
      </c>
      <c r="F883" t="s">
        <v>5647</v>
      </c>
      <c r="H883" t="str">
        <f ca="1">PROPER(Sites_per_tag[[#This Row],[Adm2Name]])</f>
        <v>Beloha</v>
      </c>
      <c r="I883" t="s">
        <v>5685</v>
      </c>
      <c r="K883" t="s">
        <v>2658</v>
      </c>
      <c r="L883" t="s">
        <v>5995</v>
      </c>
      <c r="Q883" t="s">
        <v>3857</v>
      </c>
      <c r="R883">
        <v>609020018</v>
      </c>
      <c r="T883" t="s">
        <v>7</v>
      </c>
      <c r="U883" s="3" t="str">
        <f>+VLOOKUP(Sites_per_tag[[#This Row],[Activity_tag]],Parameter!$A$24:$B$32,2,0)</f>
        <v>SMP</v>
      </c>
      <c r="W883">
        <v>45.263486999999998</v>
      </c>
      <c r="X883">
        <v>-25.144855</v>
      </c>
    </row>
    <row r="884" spans="1:24" x14ac:dyDescent="0.35">
      <c r="A884" s="3" t="str">
        <f t="shared" si="13"/>
        <v>609020019SMP</v>
      </c>
      <c r="B884" t="s">
        <v>6211</v>
      </c>
      <c r="C884">
        <f>+VLOOKUP(Sites_per_tag[[#This Row],[Field_office]],Parameter!$A$3:$B$11,2,0)</f>
        <v>6</v>
      </c>
      <c r="E884" t="s">
        <v>5646</v>
      </c>
      <c r="F884" t="s">
        <v>5647</v>
      </c>
      <c r="H884" t="str">
        <f ca="1">PROPER(Sites_per_tag[[#This Row],[Adm2Name]])</f>
        <v>Beloha</v>
      </c>
      <c r="I884" t="s">
        <v>5685</v>
      </c>
      <c r="K884" t="s">
        <v>2658</v>
      </c>
      <c r="L884" t="s">
        <v>5995</v>
      </c>
      <c r="Q884" t="s">
        <v>3429</v>
      </c>
      <c r="R884">
        <v>609020019</v>
      </c>
      <c r="T884" t="s">
        <v>7</v>
      </c>
      <c r="U884" s="3" t="str">
        <f>+VLOOKUP(Sites_per_tag[[#This Row],[Activity_tag]],Parameter!$A$24:$B$32,2,0)</f>
        <v>SMP</v>
      </c>
      <c r="W884">
        <v>45.282755999999999</v>
      </c>
      <c r="X884">
        <v>-25.058748000000001</v>
      </c>
    </row>
    <row r="885" spans="1:24" x14ac:dyDescent="0.35">
      <c r="A885" s="3" t="str">
        <f t="shared" si="13"/>
        <v>609020021SMP</v>
      </c>
      <c r="B885" t="s">
        <v>6211</v>
      </c>
      <c r="C885">
        <f>+VLOOKUP(Sites_per_tag[[#This Row],[Field_office]],Parameter!$A$3:$B$11,2,0)</f>
        <v>6</v>
      </c>
      <c r="E885" t="s">
        <v>5646</v>
      </c>
      <c r="F885" t="s">
        <v>5647</v>
      </c>
      <c r="H885" t="str">
        <f ca="1">PROPER(Sites_per_tag[[#This Row],[Adm2Name]])</f>
        <v>Beloha</v>
      </c>
      <c r="I885" t="s">
        <v>5685</v>
      </c>
      <c r="K885" t="s">
        <v>2658</v>
      </c>
      <c r="L885" t="s">
        <v>5995</v>
      </c>
      <c r="Q885" t="s">
        <v>404</v>
      </c>
      <c r="R885">
        <v>609020021</v>
      </c>
      <c r="T885" t="s">
        <v>7</v>
      </c>
      <c r="U885" s="3" t="str">
        <f>+VLOOKUP(Sites_per_tag[[#This Row],[Activity_tag]],Parameter!$A$24:$B$32,2,0)</f>
        <v>SMP</v>
      </c>
      <c r="W885">
        <v>45.206046999999998</v>
      </c>
      <c r="X885">
        <v>-25.261771</v>
      </c>
    </row>
    <row r="886" spans="1:24" x14ac:dyDescent="0.35">
      <c r="A886" s="3" t="str">
        <f t="shared" si="13"/>
        <v>609020022SMP</v>
      </c>
      <c r="B886" t="s">
        <v>6211</v>
      </c>
      <c r="C886">
        <f>+VLOOKUP(Sites_per_tag[[#This Row],[Field_office]],Parameter!$A$3:$B$11,2,0)</f>
        <v>6</v>
      </c>
      <c r="E886" t="s">
        <v>5646</v>
      </c>
      <c r="F886" t="s">
        <v>5647</v>
      </c>
      <c r="H886" t="str">
        <f ca="1">PROPER(Sites_per_tag[[#This Row],[Adm2Name]])</f>
        <v>Beloha</v>
      </c>
      <c r="I886" t="s">
        <v>5685</v>
      </c>
      <c r="K886" t="s">
        <v>2658</v>
      </c>
      <c r="L886" t="s">
        <v>5995</v>
      </c>
      <c r="Q886" t="s">
        <v>3797</v>
      </c>
      <c r="R886">
        <v>609020022</v>
      </c>
      <c r="T886" t="s">
        <v>7</v>
      </c>
      <c r="U886" s="3" t="str">
        <f>+VLOOKUP(Sites_per_tag[[#This Row],[Activity_tag]],Parameter!$A$24:$B$32,2,0)</f>
        <v>SMP</v>
      </c>
      <c r="W886">
        <v>45.247608</v>
      </c>
      <c r="X886">
        <v>-25.261935000000001</v>
      </c>
    </row>
    <row r="887" spans="1:24" x14ac:dyDescent="0.35">
      <c r="A887" s="3" t="str">
        <f t="shared" si="13"/>
        <v>609020025SMP</v>
      </c>
      <c r="B887" t="s">
        <v>6211</v>
      </c>
      <c r="C887">
        <f>+VLOOKUP(Sites_per_tag[[#This Row],[Field_office]],Parameter!$A$3:$B$11,2,0)</f>
        <v>6</v>
      </c>
      <c r="E887" t="s">
        <v>5646</v>
      </c>
      <c r="F887" t="s">
        <v>5647</v>
      </c>
      <c r="H887" t="str">
        <f ca="1">PROPER(Sites_per_tag[[#This Row],[Adm2Name]])</f>
        <v>Beloha</v>
      </c>
      <c r="I887" t="s">
        <v>5685</v>
      </c>
      <c r="K887" t="s">
        <v>2658</v>
      </c>
      <c r="L887" t="s">
        <v>5995</v>
      </c>
      <c r="Q887" t="s">
        <v>6348</v>
      </c>
      <c r="R887">
        <v>609020025</v>
      </c>
      <c r="T887" t="s">
        <v>7</v>
      </c>
      <c r="U887" s="3" t="str">
        <f>+VLOOKUP(Sites_per_tag[[#This Row],[Activity_tag]],Parameter!$A$24:$B$32,2,0)</f>
        <v>SMP</v>
      </c>
      <c r="W887">
        <v>45.350529000000002</v>
      </c>
      <c r="X887">
        <v>-25.044350000000001</v>
      </c>
    </row>
    <row r="888" spans="1:24" x14ac:dyDescent="0.35">
      <c r="A888" s="3" t="str">
        <f t="shared" si="13"/>
        <v>609020026SMP</v>
      </c>
      <c r="B888" t="s">
        <v>6211</v>
      </c>
      <c r="C888">
        <f>+VLOOKUP(Sites_per_tag[[#This Row],[Field_office]],Parameter!$A$3:$B$11,2,0)</f>
        <v>6</v>
      </c>
      <c r="E888" t="s">
        <v>5646</v>
      </c>
      <c r="F888" t="s">
        <v>5647</v>
      </c>
      <c r="H888" t="str">
        <f ca="1">PROPER(Sites_per_tag[[#This Row],[Adm2Name]])</f>
        <v>Beloha</v>
      </c>
      <c r="I888" t="s">
        <v>5685</v>
      </c>
      <c r="K888" t="s">
        <v>2658</v>
      </c>
      <c r="L888" t="s">
        <v>5995</v>
      </c>
      <c r="Q888" t="s">
        <v>6363</v>
      </c>
      <c r="R888">
        <v>609020026</v>
      </c>
      <c r="T888" t="s">
        <v>7</v>
      </c>
      <c r="U888" s="3" t="str">
        <f>+VLOOKUP(Sites_per_tag[[#This Row],[Activity_tag]],Parameter!$A$24:$B$32,2,0)</f>
        <v>SMP</v>
      </c>
      <c r="W888">
        <v>45.143878000000001</v>
      </c>
      <c r="X888">
        <v>-25.216080000000002</v>
      </c>
    </row>
    <row r="889" spans="1:24" x14ac:dyDescent="0.35">
      <c r="A889" s="3" t="str">
        <f t="shared" si="13"/>
        <v>609020028SMP</v>
      </c>
      <c r="B889" t="s">
        <v>6211</v>
      </c>
      <c r="C889">
        <f>+VLOOKUP(Sites_per_tag[[#This Row],[Field_office]],Parameter!$A$3:$B$11,2,0)</f>
        <v>6</v>
      </c>
      <c r="E889" t="s">
        <v>5646</v>
      </c>
      <c r="F889" t="s">
        <v>5647</v>
      </c>
      <c r="H889" t="str">
        <f ca="1">PROPER(Sites_per_tag[[#This Row],[Adm2Name]])</f>
        <v>Beloha</v>
      </c>
      <c r="I889" t="s">
        <v>5685</v>
      </c>
      <c r="K889" t="s">
        <v>2658</v>
      </c>
      <c r="L889" t="s">
        <v>5995</v>
      </c>
      <c r="Q889" t="s">
        <v>57</v>
      </c>
      <c r="R889">
        <v>609020028</v>
      </c>
      <c r="T889" t="s">
        <v>7</v>
      </c>
      <c r="U889" s="3" t="str">
        <f>+VLOOKUP(Sites_per_tag[[#This Row],[Activity_tag]],Parameter!$A$24:$B$32,2,0)</f>
        <v>SMP</v>
      </c>
      <c r="W889">
        <v>45.114767999999998</v>
      </c>
      <c r="X889">
        <v>-25.268353000000001</v>
      </c>
    </row>
    <row r="890" spans="1:24" x14ac:dyDescent="0.35">
      <c r="A890" s="3" t="str">
        <f t="shared" si="13"/>
        <v>609020030SMP</v>
      </c>
      <c r="B890" t="s">
        <v>6211</v>
      </c>
      <c r="C890">
        <f>+VLOOKUP(Sites_per_tag[[#This Row],[Field_office]],Parameter!$A$3:$B$11,2,0)</f>
        <v>6</v>
      </c>
      <c r="E890" t="s">
        <v>5646</v>
      </c>
      <c r="F890" t="s">
        <v>5647</v>
      </c>
      <c r="H890" t="str">
        <f ca="1">PROPER(Sites_per_tag[[#This Row],[Adm2Name]])</f>
        <v>Beloha</v>
      </c>
      <c r="I890" t="s">
        <v>5685</v>
      </c>
      <c r="K890" t="s">
        <v>2658</v>
      </c>
      <c r="L890" t="s">
        <v>5995</v>
      </c>
      <c r="Q890" t="s">
        <v>4188</v>
      </c>
      <c r="R890">
        <v>609020030</v>
      </c>
      <c r="T890" t="s">
        <v>7</v>
      </c>
      <c r="U890" s="3" t="str">
        <f>+VLOOKUP(Sites_per_tag[[#This Row],[Activity_tag]],Parameter!$A$24:$B$32,2,0)</f>
        <v>SMP</v>
      </c>
      <c r="W890">
        <v>45.291452</v>
      </c>
      <c r="X890">
        <v>-25.263812999999999</v>
      </c>
    </row>
    <row r="891" spans="1:24" x14ac:dyDescent="0.35">
      <c r="A891" s="3" t="str">
        <f t="shared" si="13"/>
        <v>609020034SMP</v>
      </c>
      <c r="B891" t="s">
        <v>6211</v>
      </c>
      <c r="C891">
        <f>+VLOOKUP(Sites_per_tag[[#This Row],[Field_office]],Parameter!$A$3:$B$11,2,0)</f>
        <v>6</v>
      </c>
      <c r="E891" t="s">
        <v>5646</v>
      </c>
      <c r="F891" t="s">
        <v>5647</v>
      </c>
      <c r="H891" t="str">
        <f ca="1">PROPER(Sites_per_tag[[#This Row],[Adm2Name]])</f>
        <v>Beloha</v>
      </c>
      <c r="I891" t="s">
        <v>5685</v>
      </c>
      <c r="K891" t="s">
        <v>2658</v>
      </c>
      <c r="L891" t="s">
        <v>5995</v>
      </c>
      <c r="Q891" t="s">
        <v>3464</v>
      </c>
      <c r="R891">
        <v>609020034</v>
      </c>
      <c r="T891" t="s">
        <v>7</v>
      </c>
      <c r="U891" s="3" t="str">
        <f>+VLOOKUP(Sites_per_tag[[#This Row],[Activity_tag]],Parameter!$A$24:$B$32,2,0)</f>
        <v>SMP</v>
      </c>
      <c r="W891">
        <v>45.185614000000001</v>
      </c>
      <c r="X891">
        <v>-25.086966</v>
      </c>
    </row>
    <row r="892" spans="1:24" x14ac:dyDescent="0.35">
      <c r="A892" s="3" t="str">
        <f t="shared" si="13"/>
        <v>609020035SMP</v>
      </c>
      <c r="B892" t="s">
        <v>6211</v>
      </c>
      <c r="C892">
        <f>+VLOOKUP(Sites_per_tag[[#This Row],[Field_office]],Parameter!$A$3:$B$11,2,0)</f>
        <v>6</v>
      </c>
      <c r="E892" t="s">
        <v>5646</v>
      </c>
      <c r="F892" t="s">
        <v>5647</v>
      </c>
      <c r="H892" t="str">
        <f ca="1">PROPER(Sites_per_tag[[#This Row],[Adm2Name]])</f>
        <v>Beloha</v>
      </c>
      <c r="I892" t="s">
        <v>5685</v>
      </c>
      <c r="K892" t="s">
        <v>2658</v>
      </c>
      <c r="L892" t="s">
        <v>5995</v>
      </c>
      <c r="Q892" t="s">
        <v>28</v>
      </c>
      <c r="R892">
        <v>609020035</v>
      </c>
      <c r="T892" t="s">
        <v>7</v>
      </c>
      <c r="U892" s="3" t="str">
        <f>+VLOOKUP(Sites_per_tag[[#This Row],[Activity_tag]],Parameter!$A$24:$B$32,2,0)</f>
        <v>SMP</v>
      </c>
      <c r="W892">
        <v>45.255296999999999</v>
      </c>
      <c r="X892">
        <v>-25.173206</v>
      </c>
    </row>
    <row r="893" spans="1:24" x14ac:dyDescent="0.35">
      <c r="A893" s="3" t="str">
        <f t="shared" si="13"/>
        <v>609020039SMP</v>
      </c>
      <c r="B893" t="s">
        <v>6211</v>
      </c>
      <c r="C893">
        <f>+VLOOKUP(Sites_per_tag[[#This Row],[Field_office]],Parameter!$A$3:$B$11,2,0)</f>
        <v>6</v>
      </c>
      <c r="E893" t="s">
        <v>5646</v>
      </c>
      <c r="F893" t="s">
        <v>5647</v>
      </c>
      <c r="H893" t="str">
        <f ca="1">PROPER(Sites_per_tag[[#This Row],[Adm2Name]])</f>
        <v>Beloha</v>
      </c>
      <c r="I893" t="s">
        <v>5685</v>
      </c>
      <c r="K893" t="s">
        <v>2658</v>
      </c>
      <c r="L893" t="s">
        <v>5995</v>
      </c>
      <c r="Q893" t="s">
        <v>3605</v>
      </c>
      <c r="R893">
        <v>609020039</v>
      </c>
      <c r="T893" t="s">
        <v>7</v>
      </c>
      <c r="U893" s="3" t="str">
        <f>+VLOOKUP(Sites_per_tag[[#This Row],[Activity_tag]],Parameter!$A$24:$B$32,2,0)</f>
        <v>SMP</v>
      </c>
      <c r="W893">
        <v>45.166105000000002</v>
      </c>
      <c r="X893">
        <v>-25.230899000000001</v>
      </c>
    </row>
    <row r="894" spans="1:24" x14ac:dyDescent="0.35">
      <c r="A894" s="3" t="str">
        <f t="shared" si="13"/>
        <v>609020043SMP</v>
      </c>
      <c r="B894" t="s">
        <v>6211</v>
      </c>
      <c r="C894">
        <f>+VLOOKUP(Sites_per_tag[[#This Row],[Field_office]],Parameter!$A$3:$B$11,2,0)</f>
        <v>6</v>
      </c>
      <c r="E894" t="s">
        <v>5646</v>
      </c>
      <c r="F894" t="s">
        <v>5647</v>
      </c>
      <c r="H894" t="str">
        <f ca="1">PROPER(Sites_per_tag[[#This Row],[Adm2Name]])</f>
        <v>Beloha</v>
      </c>
      <c r="I894" t="s">
        <v>5685</v>
      </c>
      <c r="K894" t="s">
        <v>2658</v>
      </c>
      <c r="L894" t="s">
        <v>5995</v>
      </c>
      <c r="Q894" t="s">
        <v>1048</v>
      </c>
      <c r="R894">
        <v>609020043</v>
      </c>
      <c r="T894" t="s">
        <v>7</v>
      </c>
      <c r="U894" s="3" t="str">
        <f>+VLOOKUP(Sites_per_tag[[#This Row],[Activity_tag]],Parameter!$A$24:$B$32,2,0)</f>
        <v>SMP</v>
      </c>
      <c r="W894">
        <v>45.143048</v>
      </c>
      <c r="X894">
        <v>-25.215629</v>
      </c>
    </row>
    <row r="895" spans="1:24" x14ac:dyDescent="0.35">
      <c r="A895" s="3" t="str">
        <f t="shared" si="13"/>
        <v>609030003SMP</v>
      </c>
      <c r="B895" t="s">
        <v>6211</v>
      </c>
      <c r="C895">
        <f>+VLOOKUP(Sites_per_tag[[#This Row],[Field_office]],Parameter!$A$3:$B$11,2,0)</f>
        <v>6</v>
      </c>
      <c r="E895" t="s">
        <v>5646</v>
      </c>
      <c r="F895" t="s">
        <v>5647</v>
      </c>
      <c r="H895" t="str">
        <f ca="1">PROPER(Sites_per_tag[[#This Row],[Adm2Name]])</f>
        <v>Beloha</v>
      </c>
      <c r="I895" t="s">
        <v>5685</v>
      </c>
      <c r="K895" t="s">
        <v>3032</v>
      </c>
      <c r="L895" t="s">
        <v>6044</v>
      </c>
      <c r="Q895" t="s">
        <v>6364</v>
      </c>
      <c r="R895">
        <v>609030003</v>
      </c>
      <c r="T895" t="s">
        <v>7</v>
      </c>
      <c r="U895" s="3" t="str">
        <f>+VLOOKUP(Sites_per_tag[[#This Row],[Activity_tag]],Parameter!$A$24:$B$32,2,0)</f>
        <v>SMP</v>
      </c>
      <c r="W895">
        <v>44.677719000000003</v>
      </c>
      <c r="X895">
        <v>-25.057981000000002</v>
      </c>
    </row>
    <row r="896" spans="1:24" x14ac:dyDescent="0.35">
      <c r="A896" s="3" t="str">
        <f t="shared" si="13"/>
        <v>609030004SMP</v>
      </c>
      <c r="B896" t="s">
        <v>6211</v>
      </c>
      <c r="C896">
        <f>+VLOOKUP(Sites_per_tag[[#This Row],[Field_office]],Parameter!$A$3:$B$11,2,0)</f>
        <v>6</v>
      </c>
      <c r="E896" t="s">
        <v>5646</v>
      </c>
      <c r="F896" t="s">
        <v>5647</v>
      </c>
      <c r="H896" t="str">
        <f ca="1">PROPER(Sites_per_tag[[#This Row],[Adm2Name]])</f>
        <v>Beloha</v>
      </c>
      <c r="I896" t="s">
        <v>5685</v>
      </c>
      <c r="K896" t="s">
        <v>3032</v>
      </c>
      <c r="L896" t="s">
        <v>6044</v>
      </c>
      <c r="Q896" t="s">
        <v>1042</v>
      </c>
      <c r="R896">
        <v>609030004</v>
      </c>
      <c r="T896" t="s">
        <v>7</v>
      </c>
      <c r="U896" s="3" t="str">
        <f>+VLOOKUP(Sites_per_tag[[#This Row],[Activity_tag]],Parameter!$A$24:$B$32,2,0)</f>
        <v>SMP</v>
      </c>
      <c r="W896">
        <v>44.684344000000003</v>
      </c>
      <c r="X896">
        <v>-25.182119</v>
      </c>
    </row>
    <row r="897" spans="1:24" x14ac:dyDescent="0.35">
      <c r="A897" s="3" t="str">
        <f t="shared" si="13"/>
        <v>609030005SMP</v>
      </c>
      <c r="B897" t="s">
        <v>6211</v>
      </c>
      <c r="C897">
        <f>+VLOOKUP(Sites_per_tag[[#This Row],[Field_office]],Parameter!$A$3:$B$11,2,0)</f>
        <v>6</v>
      </c>
      <c r="E897" t="s">
        <v>5646</v>
      </c>
      <c r="F897" t="s">
        <v>5647</v>
      </c>
      <c r="H897" t="str">
        <f ca="1">PROPER(Sites_per_tag[[#This Row],[Adm2Name]])</f>
        <v>Beloha</v>
      </c>
      <c r="I897" t="s">
        <v>5685</v>
      </c>
      <c r="K897" t="s">
        <v>3032</v>
      </c>
      <c r="L897" t="s">
        <v>6044</v>
      </c>
      <c r="Q897" t="s">
        <v>6249</v>
      </c>
      <c r="R897">
        <v>609030005</v>
      </c>
      <c r="T897" t="s">
        <v>7</v>
      </c>
      <c r="U897" s="3" t="str">
        <f>+VLOOKUP(Sites_per_tag[[#This Row],[Activity_tag]],Parameter!$A$24:$B$32,2,0)</f>
        <v>SMP</v>
      </c>
      <c r="W897">
        <v>44.809671999999999</v>
      </c>
      <c r="X897">
        <v>-24.963317</v>
      </c>
    </row>
    <row r="898" spans="1:24" x14ac:dyDescent="0.35">
      <c r="A898" s="3" t="str">
        <f t="shared" si="13"/>
        <v>609030007SMP</v>
      </c>
      <c r="B898" t="s">
        <v>6211</v>
      </c>
      <c r="C898">
        <f>+VLOOKUP(Sites_per_tag[[#This Row],[Field_office]],Parameter!$A$3:$B$11,2,0)</f>
        <v>6</v>
      </c>
      <c r="E898" t="s">
        <v>5646</v>
      </c>
      <c r="F898" t="s">
        <v>5647</v>
      </c>
      <c r="H898" t="str">
        <f ca="1">PROPER(Sites_per_tag[[#This Row],[Adm2Name]])</f>
        <v>Beloha</v>
      </c>
      <c r="I898" t="s">
        <v>5685</v>
      </c>
      <c r="K898" t="s">
        <v>3032</v>
      </c>
      <c r="L898" t="s">
        <v>6044</v>
      </c>
      <c r="Q898" t="s">
        <v>6365</v>
      </c>
      <c r="R898">
        <v>609030007</v>
      </c>
      <c r="T898" t="s">
        <v>7</v>
      </c>
      <c r="U898" s="3" t="str">
        <f>+VLOOKUP(Sites_per_tag[[#This Row],[Activity_tag]],Parameter!$A$24:$B$32,2,0)</f>
        <v>SMP</v>
      </c>
      <c r="W898">
        <v>44.752040999999998</v>
      </c>
      <c r="X898">
        <v>-25.079756</v>
      </c>
    </row>
    <row r="899" spans="1:24" x14ac:dyDescent="0.35">
      <c r="A899" s="3" t="str">
        <f t="shared" ref="A899:A962" si="14">+R899&amp;U899</f>
        <v>609030008SMP</v>
      </c>
      <c r="B899" t="s">
        <v>6211</v>
      </c>
      <c r="C899">
        <f>+VLOOKUP(Sites_per_tag[[#This Row],[Field_office]],Parameter!$A$3:$B$11,2,0)</f>
        <v>6</v>
      </c>
      <c r="E899" t="s">
        <v>5646</v>
      </c>
      <c r="F899" t="s">
        <v>5647</v>
      </c>
      <c r="H899" t="str">
        <f ca="1">PROPER(Sites_per_tag[[#This Row],[Adm2Name]])</f>
        <v>Beloha</v>
      </c>
      <c r="I899" t="s">
        <v>5685</v>
      </c>
      <c r="K899" t="s">
        <v>3032</v>
      </c>
      <c r="L899" t="s">
        <v>6044</v>
      </c>
      <c r="Q899" t="s">
        <v>6366</v>
      </c>
      <c r="R899">
        <v>609030008</v>
      </c>
      <c r="T899" t="s">
        <v>7</v>
      </c>
      <c r="U899" s="3" t="str">
        <f>+VLOOKUP(Sites_per_tag[[#This Row],[Activity_tag]],Parameter!$A$24:$B$32,2,0)</f>
        <v>SMP</v>
      </c>
      <c r="W899">
        <v>44.632835</v>
      </c>
      <c r="X899">
        <v>-25.108238</v>
      </c>
    </row>
    <row r="900" spans="1:24" x14ac:dyDescent="0.35">
      <c r="A900" s="3" t="str">
        <f t="shared" si="14"/>
        <v>609030009SMP</v>
      </c>
      <c r="B900" t="s">
        <v>6211</v>
      </c>
      <c r="C900">
        <f>+VLOOKUP(Sites_per_tag[[#This Row],[Field_office]],Parameter!$A$3:$B$11,2,0)</f>
        <v>6</v>
      </c>
      <c r="E900" t="s">
        <v>5646</v>
      </c>
      <c r="F900" t="s">
        <v>5647</v>
      </c>
      <c r="H900" t="str">
        <f ca="1">PROPER(Sites_per_tag[[#This Row],[Adm2Name]])</f>
        <v>Beloha</v>
      </c>
      <c r="I900" t="s">
        <v>5685</v>
      </c>
      <c r="K900" t="s">
        <v>3032</v>
      </c>
      <c r="L900" t="s">
        <v>6044</v>
      </c>
      <c r="Q900" t="s">
        <v>6264</v>
      </c>
      <c r="R900">
        <v>609030009</v>
      </c>
      <c r="T900" t="s">
        <v>7</v>
      </c>
      <c r="U900" s="3" t="str">
        <f>+VLOOKUP(Sites_per_tag[[#This Row],[Activity_tag]],Parameter!$A$24:$B$32,2,0)</f>
        <v>SMP</v>
      </c>
      <c r="W900">
        <v>44.870187999999999</v>
      </c>
      <c r="X900">
        <v>-25.056276</v>
      </c>
    </row>
    <row r="901" spans="1:24" x14ac:dyDescent="0.35">
      <c r="A901" s="3" t="str">
        <f t="shared" si="14"/>
        <v>609030010SMP</v>
      </c>
      <c r="B901" t="s">
        <v>6211</v>
      </c>
      <c r="C901">
        <f>+VLOOKUP(Sites_per_tag[[#This Row],[Field_office]],Parameter!$A$3:$B$11,2,0)</f>
        <v>6</v>
      </c>
      <c r="E901" t="s">
        <v>5646</v>
      </c>
      <c r="F901" t="s">
        <v>5647</v>
      </c>
      <c r="H901" t="str">
        <f ca="1">PROPER(Sites_per_tag[[#This Row],[Adm2Name]])</f>
        <v>Beloha</v>
      </c>
      <c r="I901" t="s">
        <v>5685</v>
      </c>
      <c r="K901" t="s">
        <v>3032</v>
      </c>
      <c r="L901" t="s">
        <v>6044</v>
      </c>
      <c r="Q901" t="s">
        <v>2271</v>
      </c>
      <c r="R901">
        <v>609030010</v>
      </c>
      <c r="T901" t="s">
        <v>7</v>
      </c>
      <c r="U901" s="3" t="str">
        <f>+VLOOKUP(Sites_per_tag[[#This Row],[Activity_tag]],Parameter!$A$24:$B$32,2,0)</f>
        <v>SMP</v>
      </c>
      <c r="W901">
        <v>44.597603999999997</v>
      </c>
      <c r="X901">
        <v>-25.147359000000002</v>
      </c>
    </row>
    <row r="902" spans="1:24" x14ac:dyDescent="0.35">
      <c r="A902" s="3" t="str">
        <f t="shared" si="14"/>
        <v>609030015SMP</v>
      </c>
      <c r="B902" t="s">
        <v>6211</v>
      </c>
      <c r="C902">
        <f>+VLOOKUP(Sites_per_tag[[#This Row],[Field_office]],Parameter!$A$3:$B$11,2,0)</f>
        <v>6</v>
      </c>
      <c r="E902" t="s">
        <v>5646</v>
      </c>
      <c r="F902" t="s">
        <v>5647</v>
      </c>
      <c r="H902" t="str">
        <f ca="1">PROPER(Sites_per_tag[[#This Row],[Adm2Name]])</f>
        <v>Beloha</v>
      </c>
      <c r="I902" t="s">
        <v>5685</v>
      </c>
      <c r="K902" t="s">
        <v>3032</v>
      </c>
      <c r="L902" t="s">
        <v>6044</v>
      </c>
      <c r="Q902" t="s">
        <v>1338</v>
      </c>
      <c r="R902">
        <v>609030015</v>
      </c>
      <c r="T902" t="s">
        <v>7</v>
      </c>
      <c r="U902" s="3" t="str">
        <f>+VLOOKUP(Sites_per_tag[[#This Row],[Activity_tag]],Parameter!$A$24:$B$32,2,0)</f>
        <v>SMP</v>
      </c>
      <c r="W902">
        <v>44.634855999999999</v>
      </c>
      <c r="X902">
        <v>-25.188908000000001</v>
      </c>
    </row>
    <row r="903" spans="1:24" x14ac:dyDescent="0.35">
      <c r="A903" s="3" t="str">
        <f t="shared" si="14"/>
        <v>609030016SMP</v>
      </c>
      <c r="B903" t="s">
        <v>6211</v>
      </c>
      <c r="C903">
        <f>+VLOOKUP(Sites_per_tag[[#This Row],[Field_office]],Parameter!$A$3:$B$11,2,0)</f>
        <v>6</v>
      </c>
      <c r="E903" t="s">
        <v>5646</v>
      </c>
      <c r="F903" t="s">
        <v>5647</v>
      </c>
      <c r="H903" t="str">
        <f ca="1">PROPER(Sites_per_tag[[#This Row],[Adm2Name]])</f>
        <v>Beloha</v>
      </c>
      <c r="I903" t="s">
        <v>5685</v>
      </c>
      <c r="K903" t="s">
        <v>3032</v>
      </c>
      <c r="L903" t="s">
        <v>6044</v>
      </c>
      <c r="Q903" t="s">
        <v>2248</v>
      </c>
      <c r="R903">
        <v>609030016</v>
      </c>
      <c r="T903" t="s">
        <v>7</v>
      </c>
      <c r="U903" s="3" t="str">
        <f>+VLOOKUP(Sites_per_tag[[#This Row],[Activity_tag]],Parameter!$A$24:$B$32,2,0)</f>
        <v>SMP</v>
      </c>
      <c r="W903">
        <v>44.713391999999999</v>
      </c>
      <c r="X903">
        <v>-25.039963</v>
      </c>
    </row>
    <row r="904" spans="1:24" x14ac:dyDescent="0.35">
      <c r="A904" s="3" t="str">
        <f t="shared" si="14"/>
        <v>609030020SMP</v>
      </c>
      <c r="B904" t="s">
        <v>6211</v>
      </c>
      <c r="C904">
        <f>+VLOOKUP(Sites_per_tag[[#This Row],[Field_office]],Parameter!$A$3:$B$11,2,0)</f>
        <v>6</v>
      </c>
      <c r="E904" t="s">
        <v>5646</v>
      </c>
      <c r="F904" t="s">
        <v>5647</v>
      </c>
      <c r="H904" t="str">
        <f ca="1">PROPER(Sites_per_tag[[#This Row],[Adm2Name]])</f>
        <v>Beloha</v>
      </c>
      <c r="I904" t="s">
        <v>5685</v>
      </c>
      <c r="K904" t="s">
        <v>3032</v>
      </c>
      <c r="L904" t="s">
        <v>6044</v>
      </c>
      <c r="Q904" t="s">
        <v>2265</v>
      </c>
      <c r="R904">
        <v>609030020</v>
      </c>
      <c r="T904" t="s">
        <v>7</v>
      </c>
      <c r="U904" s="3" t="str">
        <f>+VLOOKUP(Sites_per_tag[[#This Row],[Activity_tag]],Parameter!$A$24:$B$32,2,0)</f>
        <v>SMP</v>
      </c>
      <c r="W904">
        <v>44.726199999999999</v>
      </c>
      <c r="X904">
        <v>-25.250119999999999</v>
      </c>
    </row>
    <row r="905" spans="1:24" x14ac:dyDescent="0.35">
      <c r="A905" s="3" t="str">
        <f t="shared" si="14"/>
        <v>609030028SMP</v>
      </c>
      <c r="B905" t="s">
        <v>6211</v>
      </c>
      <c r="C905">
        <f>+VLOOKUP(Sites_per_tag[[#This Row],[Field_office]],Parameter!$A$3:$B$11,2,0)</f>
        <v>6</v>
      </c>
      <c r="E905" t="s">
        <v>5646</v>
      </c>
      <c r="F905" t="s">
        <v>5647</v>
      </c>
      <c r="H905" t="str">
        <f ca="1">PROPER(Sites_per_tag[[#This Row],[Adm2Name]])</f>
        <v>Beloha</v>
      </c>
      <c r="I905" t="s">
        <v>5685</v>
      </c>
      <c r="K905" t="s">
        <v>3032</v>
      </c>
      <c r="L905" t="s">
        <v>6044</v>
      </c>
      <c r="Q905" t="s">
        <v>2268</v>
      </c>
      <c r="R905">
        <v>609030028</v>
      </c>
      <c r="T905" t="s">
        <v>7</v>
      </c>
      <c r="U905" s="3" t="str">
        <f>+VLOOKUP(Sites_per_tag[[#This Row],[Activity_tag]],Parameter!$A$24:$B$32,2,0)</f>
        <v>SMP</v>
      </c>
      <c r="W905">
        <v>44.726199999999999</v>
      </c>
      <c r="X905">
        <v>-25.250119999999999</v>
      </c>
    </row>
    <row r="906" spans="1:24" x14ac:dyDescent="0.35">
      <c r="A906" s="3" t="str">
        <f t="shared" si="14"/>
        <v>609040003SMP</v>
      </c>
      <c r="B906" t="s">
        <v>6211</v>
      </c>
      <c r="C906">
        <f>+VLOOKUP(Sites_per_tag[[#This Row],[Field_office]],Parameter!$A$3:$B$11,2,0)</f>
        <v>6</v>
      </c>
      <c r="E906" t="s">
        <v>5646</v>
      </c>
      <c r="F906" t="s">
        <v>5647</v>
      </c>
      <c r="H906" t="str">
        <f ca="1">PROPER(Sites_per_tag[[#This Row],[Adm2Name]])</f>
        <v>Beloha</v>
      </c>
      <c r="I906" t="s">
        <v>5685</v>
      </c>
      <c r="K906" t="s">
        <v>6083</v>
      </c>
      <c r="L906" t="s">
        <v>6139</v>
      </c>
      <c r="Q906" t="s">
        <v>1212</v>
      </c>
      <c r="R906">
        <v>609040003</v>
      </c>
      <c r="T906" t="s">
        <v>7</v>
      </c>
      <c r="U906" s="3" t="str">
        <f>+VLOOKUP(Sites_per_tag[[#This Row],[Activity_tag]],Parameter!$A$24:$B$32,2,0)</f>
        <v>SMP</v>
      </c>
      <c r="W906">
        <v>45.112712999999999</v>
      </c>
      <c r="X906">
        <v>-24.906548000000001</v>
      </c>
    </row>
    <row r="907" spans="1:24" x14ac:dyDescent="0.35">
      <c r="A907" s="3" t="str">
        <f t="shared" si="14"/>
        <v>609040005SMP</v>
      </c>
      <c r="B907" t="s">
        <v>6211</v>
      </c>
      <c r="C907">
        <f>+VLOOKUP(Sites_per_tag[[#This Row],[Field_office]],Parameter!$A$3:$B$11,2,0)</f>
        <v>6</v>
      </c>
      <c r="E907" t="s">
        <v>5646</v>
      </c>
      <c r="F907" t="s">
        <v>5647</v>
      </c>
      <c r="H907" t="str">
        <f ca="1">PROPER(Sites_per_tag[[#This Row],[Adm2Name]])</f>
        <v>Beloha</v>
      </c>
      <c r="I907" t="s">
        <v>5685</v>
      </c>
      <c r="K907" t="s">
        <v>6083</v>
      </c>
      <c r="L907" t="s">
        <v>6139</v>
      </c>
      <c r="Q907" t="s">
        <v>1581</v>
      </c>
      <c r="R907">
        <v>609040005</v>
      </c>
      <c r="T907" t="s">
        <v>7</v>
      </c>
      <c r="U907" s="3" t="str">
        <f>+VLOOKUP(Sites_per_tag[[#This Row],[Activity_tag]],Parameter!$A$24:$B$32,2,0)</f>
        <v>SMP</v>
      </c>
      <c r="W907">
        <v>45.213262</v>
      </c>
      <c r="X907">
        <v>-24.926545999999998</v>
      </c>
    </row>
    <row r="908" spans="1:24" x14ac:dyDescent="0.35">
      <c r="A908" s="3" t="str">
        <f t="shared" si="14"/>
        <v>609040006SMP</v>
      </c>
      <c r="B908" t="s">
        <v>6211</v>
      </c>
      <c r="C908">
        <f>+VLOOKUP(Sites_per_tag[[#This Row],[Field_office]],Parameter!$A$3:$B$11,2,0)</f>
        <v>6</v>
      </c>
      <c r="E908" t="s">
        <v>5646</v>
      </c>
      <c r="F908" t="s">
        <v>5647</v>
      </c>
      <c r="H908" t="str">
        <f ca="1">PROPER(Sites_per_tag[[#This Row],[Adm2Name]])</f>
        <v>Beloha</v>
      </c>
      <c r="I908" t="s">
        <v>5685</v>
      </c>
      <c r="K908" t="s">
        <v>6083</v>
      </c>
      <c r="L908" t="s">
        <v>6139</v>
      </c>
      <c r="Q908" t="s">
        <v>1580</v>
      </c>
      <c r="R908">
        <v>609040006</v>
      </c>
      <c r="T908" t="s">
        <v>7</v>
      </c>
      <c r="U908" s="3" t="str">
        <f>+VLOOKUP(Sites_per_tag[[#This Row],[Activity_tag]],Parameter!$A$24:$B$32,2,0)</f>
        <v>SMP</v>
      </c>
      <c r="W908">
        <v>45.143062999999998</v>
      </c>
      <c r="X908">
        <v>-24.957886999999999</v>
      </c>
    </row>
    <row r="909" spans="1:24" x14ac:dyDescent="0.35">
      <c r="A909" s="3" t="str">
        <f t="shared" si="14"/>
        <v>609040007SMP</v>
      </c>
      <c r="B909" t="s">
        <v>6211</v>
      </c>
      <c r="C909">
        <f>+VLOOKUP(Sites_per_tag[[#This Row],[Field_office]],Parameter!$A$3:$B$11,2,0)</f>
        <v>6</v>
      </c>
      <c r="E909" t="s">
        <v>5646</v>
      </c>
      <c r="F909" t="s">
        <v>5647</v>
      </c>
      <c r="H909" t="str">
        <f ca="1">PROPER(Sites_per_tag[[#This Row],[Adm2Name]])</f>
        <v>Beloha</v>
      </c>
      <c r="I909" t="s">
        <v>5685</v>
      </c>
      <c r="K909" t="s">
        <v>6083</v>
      </c>
      <c r="L909" t="s">
        <v>6139</v>
      </c>
      <c r="Q909" t="s">
        <v>2222</v>
      </c>
      <c r="R909">
        <v>609040007</v>
      </c>
      <c r="T909" t="s">
        <v>7</v>
      </c>
      <c r="U909" s="3" t="str">
        <f>+VLOOKUP(Sites_per_tag[[#This Row],[Activity_tag]],Parameter!$A$24:$B$32,2,0)</f>
        <v>SMP</v>
      </c>
      <c r="W909">
        <v>45.234346000000002</v>
      </c>
      <c r="X909">
        <v>-24.859348000000001</v>
      </c>
    </row>
    <row r="910" spans="1:24" x14ac:dyDescent="0.35">
      <c r="A910" s="3" t="str">
        <f t="shared" si="14"/>
        <v>609040008SMP</v>
      </c>
      <c r="B910" t="s">
        <v>6211</v>
      </c>
      <c r="C910">
        <f>+VLOOKUP(Sites_per_tag[[#This Row],[Field_office]],Parameter!$A$3:$B$11,2,0)</f>
        <v>6</v>
      </c>
      <c r="E910" t="s">
        <v>5646</v>
      </c>
      <c r="F910" t="s">
        <v>5647</v>
      </c>
      <c r="H910" t="str">
        <f ca="1">PROPER(Sites_per_tag[[#This Row],[Adm2Name]])</f>
        <v>Beloha</v>
      </c>
      <c r="I910" t="s">
        <v>5685</v>
      </c>
      <c r="K910" t="s">
        <v>6083</v>
      </c>
      <c r="L910" t="s">
        <v>6139</v>
      </c>
      <c r="Q910" t="s">
        <v>2657</v>
      </c>
      <c r="R910">
        <v>609040008</v>
      </c>
      <c r="T910" t="s">
        <v>7</v>
      </c>
      <c r="U910" s="3" t="str">
        <f>+VLOOKUP(Sites_per_tag[[#This Row],[Activity_tag]],Parameter!$A$24:$B$32,2,0)</f>
        <v>SMP</v>
      </c>
      <c r="W910">
        <v>45.135331000000001</v>
      </c>
      <c r="X910">
        <v>-24.687519999999999</v>
      </c>
    </row>
    <row r="911" spans="1:24" x14ac:dyDescent="0.35">
      <c r="A911" s="3" t="str">
        <f t="shared" si="14"/>
        <v>609040011SMP</v>
      </c>
      <c r="B911" t="s">
        <v>6211</v>
      </c>
      <c r="C911">
        <f>+VLOOKUP(Sites_per_tag[[#This Row],[Field_office]],Parameter!$A$3:$B$11,2,0)</f>
        <v>6</v>
      </c>
      <c r="E911" t="s">
        <v>5646</v>
      </c>
      <c r="F911" t="s">
        <v>5647</v>
      </c>
      <c r="H911" t="str">
        <f ca="1">PROPER(Sites_per_tag[[#This Row],[Adm2Name]])</f>
        <v>Beloha</v>
      </c>
      <c r="I911" t="s">
        <v>5685</v>
      </c>
      <c r="K911" t="s">
        <v>266</v>
      </c>
      <c r="L911" t="s">
        <v>5698</v>
      </c>
      <c r="Q911" t="s">
        <v>4228</v>
      </c>
      <c r="R911">
        <v>609040011</v>
      </c>
      <c r="T911" t="s">
        <v>7</v>
      </c>
      <c r="U911" s="3" t="str">
        <f>+VLOOKUP(Sites_per_tag[[#This Row],[Activity_tag]],Parameter!$A$24:$B$32,2,0)</f>
        <v>SMP</v>
      </c>
      <c r="W911">
        <v>45.342891999999999</v>
      </c>
      <c r="X911">
        <v>-24.775829999999999</v>
      </c>
    </row>
    <row r="912" spans="1:24" x14ac:dyDescent="0.35">
      <c r="A912" s="3" t="str">
        <f t="shared" si="14"/>
        <v>609040012SMP</v>
      </c>
      <c r="B912" t="s">
        <v>6211</v>
      </c>
      <c r="C912">
        <f>+VLOOKUP(Sites_per_tag[[#This Row],[Field_office]],Parameter!$A$3:$B$11,2,0)</f>
        <v>6</v>
      </c>
      <c r="E912" t="s">
        <v>5646</v>
      </c>
      <c r="F912" t="s">
        <v>5647</v>
      </c>
      <c r="H912" t="str">
        <f ca="1">PROPER(Sites_per_tag[[#This Row],[Adm2Name]])</f>
        <v>Beloha</v>
      </c>
      <c r="I912" t="s">
        <v>5685</v>
      </c>
      <c r="K912" t="s">
        <v>6083</v>
      </c>
      <c r="L912" t="s">
        <v>6139</v>
      </c>
      <c r="Q912" t="s">
        <v>6229</v>
      </c>
      <c r="R912">
        <v>609040012</v>
      </c>
      <c r="T912" t="s">
        <v>7</v>
      </c>
      <c r="U912" s="3" t="str">
        <f>+VLOOKUP(Sites_per_tag[[#This Row],[Activity_tag]],Parameter!$A$24:$B$32,2,0)</f>
        <v>SMP</v>
      </c>
      <c r="W912">
        <v>45.125475000000002</v>
      </c>
      <c r="X912">
        <v>-24.632670999999998</v>
      </c>
    </row>
    <row r="913" spans="1:24" x14ac:dyDescent="0.35">
      <c r="A913" s="3" t="str">
        <f t="shared" si="14"/>
        <v>609040013SMP</v>
      </c>
      <c r="B913" t="s">
        <v>6211</v>
      </c>
      <c r="C913">
        <f>+VLOOKUP(Sites_per_tag[[#This Row],[Field_office]],Parameter!$A$3:$B$11,2,0)</f>
        <v>6</v>
      </c>
      <c r="E913" t="s">
        <v>5646</v>
      </c>
      <c r="F913" t="s">
        <v>5647</v>
      </c>
      <c r="H913" t="str">
        <f ca="1">PROPER(Sites_per_tag[[#This Row],[Adm2Name]])</f>
        <v>Beloha</v>
      </c>
      <c r="I913" t="s">
        <v>5685</v>
      </c>
      <c r="K913" t="s">
        <v>6083</v>
      </c>
      <c r="L913" t="s">
        <v>6139</v>
      </c>
      <c r="Q913" t="s">
        <v>6367</v>
      </c>
      <c r="R913">
        <v>609040013</v>
      </c>
      <c r="T913" t="s">
        <v>7</v>
      </c>
      <c r="U913" s="3" t="str">
        <f>+VLOOKUP(Sites_per_tag[[#This Row],[Activity_tag]],Parameter!$A$24:$B$32,2,0)</f>
        <v>SMP</v>
      </c>
      <c r="W913">
        <v>45.110100000000003</v>
      </c>
      <c r="X913">
        <v>-24.820976000000002</v>
      </c>
    </row>
    <row r="914" spans="1:24" x14ac:dyDescent="0.35">
      <c r="A914" s="3" t="str">
        <f t="shared" si="14"/>
        <v>609040014SMP</v>
      </c>
      <c r="B914" t="s">
        <v>6211</v>
      </c>
      <c r="C914">
        <f>+VLOOKUP(Sites_per_tag[[#This Row],[Field_office]],Parameter!$A$3:$B$11,2,0)</f>
        <v>6</v>
      </c>
      <c r="E914" t="s">
        <v>5646</v>
      </c>
      <c r="F914" t="s">
        <v>5647</v>
      </c>
      <c r="H914" t="str">
        <f ca="1">PROPER(Sites_per_tag[[#This Row],[Adm2Name]])</f>
        <v>Beloha</v>
      </c>
      <c r="I914" t="s">
        <v>5685</v>
      </c>
      <c r="K914" t="s">
        <v>266</v>
      </c>
      <c r="L914" t="s">
        <v>5698</v>
      </c>
      <c r="Q914" t="s">
        <v>6368</v>
      </c>
      <c r="R914">
        <v>609040014</v>
      </c>
      <c r="T914" t="s">
        <v>7</v>
      </c>
      <c r="U914" s="3" t="str">
        <f>+VLOOKUP(Sites_per_tag[[#This Row],[Activity_tag]],Parameter!$A$24:$B$32,2,0)</f>
        <v>SMP</v>
      </c>
      <c r="W914">
        <v>45.339393999999999</v>
      </c>
      <c r="X914">
        <v>-24.822723</v>
      </c>
    </row>
    <row r="915" spans="1:24" x14ac:dyDescent="0.35">
      <c r="A915" s="3" t="str">
        <f t="shared" si="14"/>
        <v>609040015SMP</v>
      </c>
      <c r="B915" t="s">
        <v>6211</v>
      </c>
      <c r="C915">
        <f>+VLOOKUP(Sites_per_tag[[#This Row],[Field_office]],Parameter!$A$3:$B$11,2,0)</f>
        <v>6</v>
      </c>
      <c r="E915" t="s">
        <v>5646</v>
      </c>
      <c r="F915" t="s">
        <v>5647</v>
      </c>
      <c r="H915" t="str">
        <f ca="1">PROPER(Sites_per_tag[[#This Row],[Adm2Name]])</f>
        <v>Beloha</v>
      </c>
      <c r="I915" t="s">
        <v>5685</v>
      </c>
      <c r="K915" t="s">
        <v>6083</v>
      </c>
      <c r="L915" t="s">
        <v>6139</v>
      </c>
      <c r="Q915" t="s">
        <v>829</v>
      </c>
      <c r="R915">
        <v>609040015</v>
      </c>
      <c r="T915" t="s">
        <v>7</v>
      </c>
      <c r="U915" s="3" t="str">
        <f>+VLOOKUP(Sites_per_tag[[#This Row],[Activity_tag]],Parameter!$A$24:$B$32,2,0)</f>
        <v>SMP</v>
      </c>
      <c r="W915">
        <v>45.052965</v>
      </c>
      <c r="X915">
        <v>-24.733878000000001</v>
      </c>
    </row>
    <row r="916" spans="1:24" x14ac:dyDescent="0.35">
      <c r="A916" s="3" t="str">
        <f t="shared" si="14"/>
        <v>609040016SMP</v>
      </c>
      <c r="B916" t="s">
        <v>6211</v>
      </c>
      <c r="C916">
        <f>+VLOOKUP(Sites_per_tag[[#This Row],[Field_office]],Parameter!$A$3:$B$11,2,0)</f>
        <v>6</v>
      </c>
      <c r="E916" t="s">
        <v>5646</v>
      </c>
      <c r="F916" t="s">
        <v>5647</v>
      </c>
      <c r="H916" t="str">
        <f ca="1">PROPER(Sites_per_tag[[#This Row],[Adm2Name]])</f>
        <v>Beloha</v>
      </c>
      <c r="I916" t="s">
        <v>5685</v>
      </c>
      <c r="K916" t="s">
        <v>6083</v>
      </c>
      <c r="L916" t="s">
        <v>6139</v>
      </c>
      <c r="Q916" t="s">
        <v>1255</v>
      </c>
      <c r="R916">
        <v>609040016</v>
      </c>
      <c r="T916" t="s">
        <v>7</v>
      </c>
      <c r="U916" s="3" t="str">
        <f>+VLOOKUP(Sites_per_tag[[#This Row],[Activity_tag]],Parameter!$A$24:$B$32,2,0)</f>
        <v>SMP</v>
      </c>
      <c r="W916">
        <v>45.198974999999997</v>
      </c>
      <c r="X916">
        <v>-24.874842000000001</v>
      </c>
    </row>
    <row r="917" spans="1:24" x14ac:dyDescent="0.35">
      <c r="A917" s="3" t="str">
        <f t="shared" si="14"/>
        <v>609040017SMP</v>
      </c>
      <c r="B917" t="s">
        <v>6211</v>
      </c>
      <c r="C917">
        <f>+VLOOKUP(Sites_per_tag[[#This Row],[Field_office]],Parameter!$A$3:$B$11,2,0)</f>
        <v>6</v>
      </c>
      <c r="E917" t="s">
        <v>5646</v>
      </c>
      <c r="F917" t="s">
        <v>5647</v>
      </c>
      <c r="H917" t="str">
        <f ca="1">PROPER(Sites_per_tag[[#This Row],[Adm2Name]])</f>
        <v>Beloha</v>
      </c>
      <c r="I917" t="s">
        <v>5685</v>
      </c>
      <c r="K917" t="s">
        <v>266</v>
      </c>
      <c r="L917" t="s">
        <v>5698</v>
      </c>
      <c r="Q917" t="s">
        <v>1366</v>
      </c>
      <c r="R917">
        <v>609040017</v>
      </c>
      <c r="T917" t="s">
        <v>7</v>
      </c>
      <c r="U917" s="3" t="str">
        <f>+VLOOKUP(Sites_per_tag[[#This Row],[Activity_tag]],Parameter!$A$24:$B$32,2,0)</f>
        <v>SMP</v>
      </c>
      <c r="W917">
        <v>45.356673000000001</v>
      </c>
      <c r="X917">
        <v>-24.852530000000002</v>
      </c>
    </row>
    <row r="918" spans="1:24" x14ac:dyDescent="0.35">
      <c r="A918" s="3" t="str">
        <f t="shared" si="14"/>
        <v>609040019SMP</v>
      </c>
      <c r="B918" t="s">
        <v>6211</v>
      </c>
      <c r="C918">
        <f>+VLOOKUP(Sites_per_tag[[#This Row],[Field_office]],Parameter!$A$3:$B$11,2,0)</f>
        <v>6</v>
      </c>
      <c r="E918" t="s">
        <v>5646</v>
      </c>
      <c r="F918" t="s">
        <v>5647</v>
      </c>
      <c r="H918" t="str">
        <f ca="1">PROPER(Sites_per_tag[[#This Row],[Adm2Name]])</f>
        <v>Beloha</v>
      </c>
      <c r="I918" t="s">
        <v>5685</v>
      </c>
      <c r="K918" t="s">
        <v>6083</v>
      </c>
      <c r="L918" t="s">
        <v>6139</v>
      </c>
      <c r="Q918" t="s">
        <v>1610</v>
      </c>
      <c r="R918">
        <v>609040019</v>
      </c>
      <c r="T918" t="s">
        <v>7</v>
      </c>
      <c r="U918" s="3" t="str">
        <f>+VLOOKUP(Sites_per_tag[[#This Row],[Activity_tag]],Parameter!$A$24:$B$32,2,0)</f>
        <v>SMP</v>
      </c>
      <c r="W918">
        <v>45.100265</v>
      </c>
      <c r="X918">
        <v>-24.777759</v>
      </c>
    </row>
    <row r="919" spans="1:24" x14ac:dyDescent="0.35">
      <c r="A919" s="3" t="str">
        <f t="shared" si="14"/>
        <v>609040020SMP</v>
      </c>
      <c r="B919" t="s">
        <v>6211</v>
      </c>
      <c r="C919">
        <f>+VLOOKUP(Sites_per_tag[[#This Row],[Field_office]],Parameter!$A$3:$B$11,2,0)</f>
        <v>6</v>
      </c>
      <c r="E919" t="s">
        <v>5646</v>
      </c>
      <c r="F919" t="s">
        <v>5647</v>
      </c>
      <c r="H919" t="str">
        <f ca="1">PROPER(Sites_per_tag[[#This Row],[Adm2Name]])</f>
        <v>Beloha</v>
      </c>
      <c r="I919" t="s">
        <v>5685</v>
      </c>
      <c r="K919" t="s">
        <v>6083</v>
      </c>
      <c r="L919" t="s">
        <v>6139</v>
      </c>
      <c r="Q919" t="s">
        <v>2629</v>
      </c>
      <c r="R919">
        <v>609040020</v>
      </c>
      <c r="T919" t="s">
        <v>7</v>
      </c>
      <c r="U919" s="3" t="str">
        <f>+VLOOKUP(Sites_per_tag[[#This Row],[Activity_tag]],Parameter!$A$24:$B$32,2,0)</f>
        <v>SMP</v>
      </c>
      <c r="W919">
        <v>45.069965000000003</v>
      </c>
      <c r="X919">
        <v>-24.588439000000001</v>
      </c>
    </row>
    <row r="920" spans="1:24" x14ac:dyDescent="0.35">
      <c r="A920" s="3" t="str">
        <f t="shared" si="14"/>
        <v>609040022SMP</v>
      </c>
      <c r="B920" t="s">
        <v>6211</v>
      </c>
      <c r="C920">
        <f>+VLOOKUP(Sites_per_tag[[#This Row],[Field_office]],Parameter!$A$3:$B$11,2,0)</f>
        <v>6</v>
      </c>
      <c r="E920" t="s">
        <v>5646</v>
      </c>
      <c r="F920" t="s">
        <v>5647</v>
      </c>
      <c r="H920" t="str">
        <f ca="1">PROPER(Sites_per_tag[[#This Row],[Adm2Name]])</f>
        <v>Beloha</v>
      </c>
      <c r="I920" t="s">
        <v>5685</v>
      </c>
      <c r="K920" t="s">
        <v>266</v>
      </c>
      <c r="L920" t="s">
        <v>5698</v>
      </c>
      <c r="Q920" t="s">
        <v>4227</v>
      </c>
      <c r="R920">
        <v>609040022</v>
      </c>
      <c r="T920" t="s">
        <v>7</v>
      </c>
      <c r="U920" s="3" t="str">
        <f>+VLOOKUP(Sites_per_tag[[#This Row],[Activity_tag]],Parameter!$A$24:$B$32,2,0)</f>
        <v>SMP</v>
      </c>
      <c r="W920">
        <v>45.256047000000002</v>
      </c>
      <c r="X920">
        <v>-24.802771</v>
      </c>
    </row>
    <row r="921" spans="1:24" x14ac:dyDescent="0.35">
      <c r="A921" s="3" t="str">
        <f t="shared" si="14"/>
        <v>609040024SMP</v>
      </c>
      <c r="B921" t="s">
        <v>6211</v>
      </c>
      <c r="C921">
        <f>+VLOOKUP(Sites_per_tag[[#This Row],[Field_office]],Parameter!$A$3:$B$11,2,0)</f>
        <v>6</v>
      </c>
      <c r="E921" t="s">
        <v>5646</v>
      </c>
      <c r="F921" t="s">
        <v>5647</v>
      </c>
      <c r="H921" t="str">
        <f ca="1">PROPER(Sites_per_tag[[#This Row],[Adm2Name]])</f>
        <v>Beloha</v>
      </c>
      <c r="I921" t="s">
        <v>5685</v>
      </c>
      <c r="K921" t="s">
        <v>6083</v>
      </c>
      <c r="L921" t="s">
        <v>6139</v>
      </c>
      <c r="Q921" t="s">
        <v>3045</v>
      </c>
      <c r="R921">
        <v>609040024</v>
      </c>
      <c r="T921" t="s">
        <v>7</v>
      </c>
      <c r="U921" s="3" t="str">
        <f>+VLOOKUP(Sites_per_tag[[#This Row],[Activity_tag]],Parameter!$A$24:$B$32,2,0)</f>
        <v>SMP</v>
      </c>
      <c r="W921">
        <v>45.158107000000001</v>
      </c>
      <c r="X921">
        <v>-24.909238999999999</v>
      </c>
    </row>
    <row r="922" spans="1:24" x14ac:dyDescent="0.35">
      <c r="A922" s="3" t="str">
        <f t="shared" si="14"/>
        <v>609040025SMP</v>
      </c>
      <c r="B922" t="s">
        <v>6211</v>
      </c>
      <c r="C922">
        <f>+VLOOKUP(Sites_per_tag[[#This Row],[Field_office]],Parameter!$A$3:$B$11,2,0)</f>
        <v>6</v>
      </c>
      <c r="E922" t="s">
        <v>5646</v>
      </c>
      <c r="F922" t="s">
        <v>5647</v>
      </c>
      <c r="H922" t="str">
        <f ca="1">PROPER(Sites_per_tag[[#This Row],[Adm2Name]])</f>
        <v>Beloha</v>
      </c>
      <c r="I922" t="s">
        <v>5685</v>
      </c>
      <c r="K922" t="s">
        <v>6083</v>
      </c>
      <c r="L922" t="s">
        <v>6139</v>
      </c>
      <c r="Q922" t="s">
        <v>6369</v>
      </c>
      <c r="R922">
        <v>609040025</v>
      </c>
      <c r="T922" t="s">
        <v>7</v>
      </c>
      <c r="U922" s="3" t="str">
        <f>+VLOOKUP(Sites_per_tag[[#This Row],[Activity_tag]],Parameter!$A$24:$B$32,2,0)</f>
        <v>SMP</v>
      </c>
      <c r="W922">
        <v>45.027892999999999</v>
      </c>
      <c r="X922">
        <v>-24.781555999999998</v>
      </c>
    </row>
    <row r="923" spans="1:24" x14ac:dyDescent="0.35">
      <c r="A923" s="3" t="str">
        <f t="shared" si="14"/>
        <v>609040026SMP</v>
      </c>
      <c r="B923" t="s">
        <v>6211</v>
      </c>
      <c r="C923">
        <f>+VLOOKUP(Sites_per_tag[[#This Row],[Field_office]],Parameter!$A$3:$B$11,2,0)</f>
        <v>6</v>
      </c>
      <c r="E923" t="s">
        <v>5646</v>
      </c>
      <c r="F923" t="s">
        <v>5647</v>
      </c>
      <c r="H923" t="str">
        <f ca="1">PROPER(Sites_per_tag[[#This Row],[Adm2Name]])</f>
        <v>Beloha</v>
      </c>
      <c r="I923" t="s">
        <v>5685</v>
      </c>
      <c r="K923" t="s">
        <v>6083</v>
      </c>
      <c r="L923" t="s">
        <v>6139</v>
      </c>
      <c r="Q923" t="s">
        <v>3701</v>
      </c>
      <c r="R923">
        <v>609040026</v>
      </c>
      <c r="T923" t="s">
        <v>7</v>
      </c>
      <c r="U923" s="3" t="str">
        <f>+VLOOKUP(Sites_per_tag[[#This Row],[Activity_tag]],Parameter!$A$24:$B$32,2,0)</f>
        <v>SMP</v>
      </c>
      <c r="W923">
        <v>45.065499000000003</v>
      </c>
      <c r="X923">
        <v>-24.710704</v>
      </c>
    </row>
    <row r="924" spans="1:24" x14ac:dyDescent="0.35">
      <c r="A924" s="3" t="str">
        <f t="shared" si="14"/>
        <v>609040028SMP</v>
      </c>
      <c r="B924" t="s">
        <v>6211</v>
      </c>
      <c r="C924">
        <f>+VLOOKUP(Sites_per_tag[[#This Row],[Field_office]],Parameter!$A$3:$B$11,2,0)</f>
        <v>6</v>
      </c>
      <c r="E924" t="s">
        <v>5646</v>
      </c>
      <c r="F924" t="s">
        <v>5647</v>
      </c>
      <c r="H924" t="str">
        <f ca="1">PROPER(Sites_per_tag[[#This Row],[Adm2Name]])</f>
        <v>Beloha</v>
      </c>
      <c r="I924" t="s">
        <v>5685</v>
      </c>
      <c r="K924" t="s">
        <v>6083</v>
      </c>
      <c r="L924" t="s">
        <v>6139</v>
      </c>
      <c r="Q924" t="s">
        <v>3845</v>
      </c>
      <c r="R924">
        <v>609040028</v>
      </c>
      <c r="T924" t="s">
        <v>7</v>
      </c>
      <c r="U924" s="3" t="str">
        <f>+VLOOKUP(Sites_per_tag[[#This Row],[Activity_tag]],Parameter!$A$24:$B$32,2,0)</f>
        <v>SMP</v>
      </c>
      <c r="W924">
        <v>45.133105</v>
      </c>
      <c r="X924">
        <v>-24.701454999999999</v>
      </c>
    </row>
    <row r="925" spans="1:24" x14ac:dyDescent="0.35">
      <c r="A925" s="3" t="str">
        <f t="shared" si="14"/>
        <v>609040029SMP</v>
      </c>
      <c r="B925" t="s">
        <v>6211</v>
      </c>
      <c r="C925">
        <f>+VLOOKUP(Sites_per_tag[[#This Row],[Field_office]],Parameter!$A$3:$B$11,2,0)</f>
        <v>6</v>
      </c>
      <c r="E925" t="s">
        <v>5646</v>
      </c>
      <c r="F925" t="s">
        <v>5647</v>
      </c>
      <c r="H925" t="str">
        <f ca="1">PROPER(Sites_per_tag[[#This Row],[Adm2Name]])</f>
        <v>Beloha</v>
      </c>
      <c r="I925" t="s">
        <v>5685</v>
      </c>
      <c r="K925" t="s">
        <v>6083</v>
      </c>
      <c r="L925" t="s">
        <v>6139</v>
      </c>
      <c r="Q925" t="s">
        <v>6370</v>
      </c>
      <c r="R925">
        <v>609040029</v>
      </c>
      <c r="T925" t="s">
        <v>7</v>
      </c>
      <c r="U925" s="3" t="str">
        <f>+VLOOKUP(Sites_per_tag[[#This Row],[Activity_tag]],Parameter!$A$24:$B$32,2,0)</f>
        <v>SMP</v>
      </c>
      <c r="W925">
        <v>45.114041999999998</v>
      </c>
      <c r="X925">
        <v>-24.710201999999999</v>
      </c>
    </row>
    <row r="926" spans="1:24" x14ac:dyDescent="0.35">
      <c r="A926" s="3" t="str">
        <f t="shared" si="14"/>
        <v>609040037SMP</v>
      </c>
      <c r="B926" t="s">
        <v>6211</v>
      </c>
      <c r="C926">
        <f>+VLOOKUP(Sites_per_tag[[#This Row],[Field_office]],Parameter!$A$3:$B$11,2,0)</f>
        <v>6</v>
      </c>
      <c r="E926" t="s">
        <v>5646</v>
      </c>
      <c r="F926" t="s">
        <v>5647</v>
      </c>
      <c r="H926" t="str">
        <f ca="1">PROPER(Sites_per_tag[[#This Row],[Adm2Name]])</f>
        <v>Beloha</v>
      </c>
      <c r="I926" t="s">
        <v>5685</v>
      </c>
      <c r="K926" t="s">
        <v>6083</v>
      </c>
      <c r="L926" t="s">
        <v>6139</v>
      </c>
      <c r="Q926" t="s">
        <v>6371</v>
      </c>
      <c r="R926">
        <v>609040037</v>
      </c>
      <c r="T926" t="s">
        <v>7</v>
      </c>
      <c r="U926" s="3" t="str">
        <f>+VLOOKUP(Sites_per_tag[[#This Row],[Activity_tag]],Parameter!$A$24:$B$32,2,0)</f>
        <v>SMP</v>
      </c>
      <c r="W926">
        <v>45.122031</v>
      </c>
      <c r="X926">
        <v>-24.745282</v>
      </c>
    </row>
    <row r="927" spans="1:24" x14ac:dyDescent="0.35">
      <c r="A927" s="3" t="str">
        <f t="shared" si="14"/>
        <v>609040039SMP</v>
      </c>
      <c r="B927" t="s">
        <v>6211</v>
      </c>
      <c r="C927">
        <f>+VLOOKUP(Sites_per_tag[[#This Row],[Field_office]],Parameter!$A$3:$B$11,2,0)</f>
        <v>6</v>
      </c>
      <c r="E927" t="s">
        <v>5646</v>
      </c>
      <c r="F927" t="s">
        <v>5647</v>
      </c>
      <c r="H927" t="str">
        <f ca="1">PROPER(Sites_per_tag[[#This Row],[Adm2Name]])</f>
        <v>Beloha</v>
      </c>
      <c r="I927" t="s">
        <v>5685</v>
      </c>
      <c r="K927" t="s">
        <v>6083</v>
      </c>
      <c r="L927" t="s">
        <v>6139</v>
      </c>
      <c r="Q927" t="s">
        <v>6372</v>
      </c>
      <c r="R927">
        <v>609040039</v>
      </c>
      <c r="T927" t="s">
        <v>7</v>
      </c>
      <c r="U927" s="3" t="str">
        <f>+VLOOKUP(Sites_per_tag[[#This Row],[Activity_tag]],Parameter!$A$24:$B$32,2,0)</f>
        <v>SMP</v>
      </c>
      <c r="W927">
        <v>45.163009000000002</v>
      </c>
      <c r="X927">
        <v>-24.878246000000001</v>
      </c>
    </row>
    <row r="928" spans="1:24" x14ac:dyDescent="0.35">
      <c r="A928" s="3" t="str">
        <f t="shared" si="14"/>
        <v>609040042SMP</v>
      </c>
      <c r="B928" t="s">
        <v>6211</v>
      </c>
      <c r="C928">
        <f>+VLOOKUP(Sites_per_tag[[#This Row],[Field_office]],Parameter!$A$3:$B$11,2,0)</f>
        <v>6</v>
      </c>
      <c r="E928" t="s">
        <v>5646</v>
      </c>
      <c r="F928" t="s">
        <v>5647</v>
      </c>
      <c r="H928" t="str">
        <f ca="1">PROPER(Sites_per_tag[[#This Row],[Adm2Name]])</f>
        <v>Beloha</v>
      </c>
      <c r="I928" t="s">
        <v>5685</v>
      </c>
      <c r="K928" t="s">
        <v>6083</v>
      </c>
      <c r="L928" t="s">
        <v>6139</v>
      </c>
      <c r="Q928" t="s">
        <v>2646</v>
      </c>
      <c r="R928">
        <v>609040042</v>
      </c>
      <c r="T928" t="s">
        <v>7</v>
      </c>
      <c r="U928" s="3" t="str">
        <f>+VLOOKUP(Sites_per_tag[[#This Row],[Activity_tag]],Parameter!$A$24:$B$32,2,0)</f>
        <v>SMP</v>
      </c>
      <c r="W928">
        <v>45.259473999999997</v>
      </c>
      <c r="X928">
        <v>-24.881360999999998</v>
      </c>
    </row>
    <row r="929" spans="1:24" x14ac:dyDescent="0.35">
      <c r="A929" s="3" t="str">
        <f t="shared" si="14"/>
        <v>609040047SMP</v>
      </c>
      <c r="B929" t="s">
        <v>6211</v>
      </c>
      <c r="C929">
        <f>+VLOOKUP(Sites_per_tag[[#This Row],[Field_office]],Parameter!$A$3:$B$11,2,0)</f>
        <v>6</v>
      </c>
      <c r="E929" t="s">
        <v>5646</v>
      </c>
      <c r="F929" t="s">
        <v>5647</v>
      </c>
      <c r="H929" t="str">
        <f ca="1">PROPER(Sites_per_tag[[#This Row],[Adm2Name]])</f>
        <v>Beloha</v>
      </c>
      <c r="I929" t="s">
        <v>5685</v>
      </c>
      <c r="K929" t="s">
        <v>266</v>
      </c>
      <c r="L929" t="s">
        <v>5698</v>
      </c>
      <c r="Q929" t="s">
        <v>23</v>
      </c>
      <c r="R929">
        <v>609040047</v>
      </c>
      <c r="T929" t="s">
        <v>7</v>
      </c>
      <c r="U929" s="3" t="str">
        <f>+VLOOKUP(Sites_per_tag[[#This Row],[Activity_tag]],Parameter!$A$24:$B$32,2,0)</f>
        <v>SMP</v>
      </c>
      <c r="W929">
        <v>45.330649999999999</v>
      </c>
      <c r="X929">
        <v>-24.800803999999999</v>
      </c>
    </row>
    <row r="930" spans="1:24" x14ac:dyDescent="0.35">
      <c r="A930" s="3" t="str">
        <f t="shared" si="14"/>
        <v>609050001SMP</v>
      </c>
      <c r="B930" t="s">
        <v>6211</v>
      </c>
      <c r="C930">
        <f>+VLOOKUP(Sites_per_tag[[#This Row],[Field_office]],Parameter!$A$3:$B$11,2,0)</f>
        <v>6</v>
      </c>
      <c r="E930" t="s">
        <v>5646</v>
      </c>
      <c r="F930" t="s">
        <v>5647</v>
      </c>
      <c r="H930" t="str">
        <f ca="1">PROPER(Sites_per_tag[[#This Row],[Adm2Name]])</f>
        <v>Beloha</v>
      </c>
      <c r="I930" t="s">
        <v>5685</v>
      </c>
      <c r="K930" t="s">
        <v>3702</v>
      </c>
      <c r="L930" t="s">
        <v>6140</v>
      </c>
      <c r="Q930" t="s">
        <v>1095</v>
      </c>
      <c r="R930">
        <v>609050001</v>
      </c>
      <c r="T930" t="s">
        <v>7</v>
      </c>
      <c r="U930" s="3" t="str">
        <f>+VLOOKUP(Sites_per_tag[[#This Row],[Activity_tag]],Parameter!$A$24:$B$32,2,0)</f>
        <v>SMP</v>
      </c>
      <c r="W930">
        <v>45.094000000000001</v>
      </c>
      <c r="X930">
        <v>-25.290716</v>
      </c>
    </row>
    <row r="931" spans="1:24" x14ac:dyDescent="0.35">
      <c r="A931" s="3" t="str">
        <f t="shared" si="14"/>
        <v>609050003SMP</v>
      </c>
      <c r="B931" t="s">
        <v>6211</v>
      </c>
      <c r="C931">
        <f>+VLOOKUP(Sites_per_tag[[#This Row],[Field_office]],Parameter!$A$3:$B$11,2,0)</f>
        <v>6</v>
      </c>
      <c r="E931" t="s">
        <v>5646</v>
      </c>
      <c r="F931" t="s">
        <v>5647</v>
      </c>
      <c r="H931" t="str">
        <f ca="1">PROPER(Sites_per_tag[[#This Row],[Adm2Name]])</f>
        <v>Beloha</v>
      </c>
      <c r="I931" t="s">
        <v>5685</v>
      </c>
      <c r="K931" t="s">
        <v>3702</v>
      </c>
      <c r="L931" t="s">
        <v>6140</v>
      </c>
      <c r="Q931" t="s">
        <v>2817</v>
      </c>
      <c r="R931">
        <v>609050003</v>
      </c>
      <c r="T931" t="s">
        <v>7</v>
      </c>
      <c r="U931" s="3" t="str">
        <f>+VLOOKUP(Sites_per_tag[[#This Row],[Activity_tag]],Parameter!$A$24:$B$32,2,0)</f>
        <v>SMP</v>
      </c>
      <c r="W931">
        <v>44.941740000000003</v>
      </c>
      <c r="X931">
        <v>-25.169976999999999</v>
      </c>
    </row>
    <row r="932" spans="1:24" x14ac:dyDescent="0.35">
      <c r="A932" s="3" t="str">
        <f t="shared" si="14"/>
        <v>609050005SMP</v>
      </c>
      <c r="B932" t="s">
        <v>6211</v>
      </c>
      <c r="C932">
        <f>+VLOOKUP(Sites_per_tag[[#This Row],[Field_office]],Parameter!$A$3:$B$11,2,0)</f>
        <v>6</v>
      </c>
      <c r="E932" t="s">
        <v>5646</v>
      </c>
      <c r="F932" t="s">
        <v>5647</v>
      </c>
      <c r="H932" t="str">
        <f ca="1">PROPER(Sites_per_tag[[#This Row],[Adm2Name]])</f>
        <v>Beloha</v>
      </c>
      <c r="I932" t="s">
        <v>5685</v>
      </c>
      <c r="K932" t="s">
        <v>3702</v>
      </c>
      <c r="L932" t="s">
        <v>6140</v>
      </c>
      <c r="Q932" t="s">
        <v>3696</v>
      </c>
      <c r="R932">
        <v>609050005</v>
      </c>
      <c r="T932" t="s">
        <v>7</v>
      </c>
      <c r="U932" s="3" t="str">
        <f>+VLOOKUP(Sites_per_tag[[#This Row],[Activity_tag]],Parameter!$A$24:$B$32,2,0)</f>
        <v>SMP</v>
      </c>
      <c r="W932">
        <v>45.236263999999998</v>
      </c>
      <c r="X932">
        <v>-25.361815</v>
      </c>
    </row>
    <row r="933" spans="1:24" x14ac:dyDescent="0.35">
      <c r="A933" s="3" t="str">
        <f t="shared" si="14"/>
        <v>609050007SMP</v>
      </c>
      <c r="B933" t="s">
        <v>6211</v>
      </c>
      <c r="C933">
        <f>+VLOOKUP(Sites_per_tag[[#This Row],[Field_office]],Parameter!$A$3:$B$11,2,0)</f>
        <v>6</v>
      </c>
      <c r="E933" t="s">
        <v>5646</v>
      </c>
      <c r="F933" t="s">
        <v>5647</v>
      </c>
      <c r="H933" t="str">
        <f ca="1">PROPER(Sites_per_tag[[#This Row],[Adm2Name]])</f>
        <v>Beloha</v>
      </c>
      <c r="I933" t="s">
        <v>5685</v>
      </c>
      <c r="K933" t="s">
        <v>3702</v>
      </c>
      <c r="L933" t="s">
        <v>6140</v>
      </c>
      <c r="Q933" t="s">
        <v>103</v>
      </c>
      <c r="R933">
        <v>609050007</v>
      </c>
      <c r="T933" t="s">
        <v>7</v>
      </c>
      <c r="U933" s="3" t="str">
        <f>+VLOOKUP(Sites_per_tag[[#This Row],[Activity_tag]],Parameter!$A$24:$B$32,2,0)</f>
        <v>SMP</v>
      </c>
      <c r="W933">
        <v>45.101978000000003</v>
      </c>
      <c r="X933">
        <v>-25.486000000000001</v>
      </c>
    </row>
    <row r="934" spans="1:24" x14ac:dyDescent="0.35">
      <c r="A934" s="3" t="str">
        <f t="shared" si="14"/>
        <v>609050008SMP</v>
      </c>
      <c r="B934" t="s">
        <v>6211</v>
      </c>
      <c r="C934">
        <f>+VLOOKUP(Sites_per_tag[[#This Row],[Field_office]],Parameter!$A$3:$B$11,2,0)</f>
        <v>6</v>
      </c>
      <c r="E934" t="s">
        <v>5646</v>
      </c>
      <c r="F934" t="s">
        <v>5647</v>
      </c>
      <c r="H934" t="str">
        <f ca="1">PROPER(Sites_per_tag[[#This Row],[Adm2Name]])</f>
        <v>Beloha</v>
      </c>
      <c r="I934" t="s">
        <v>5685</v>
      </c>
      <c r="K934" t="s">
        <v>3702</v>
      </c>
      <c r="L934" t="s">
        <v>6140</v>
      </c>
      <c r="Q934" t="s">
        <v>444</v>
      </c>
      <c r="R934">
        <v>609050008</v>
      </c>
      <c r="T934" t="s">
        <v>7</v>
      </c>
      <c r="U934" s="3" t="str">
        <f>+VLOOKUP(Sites_per_tag[[#This Row],[Activity_tag]],Parameter!$A$24:$B$32,2,0)</f>
        <v>SMP</v>
      </c>
      <c r="W934">
        <v>45.063234000000001</v>
      </c>
      <c r="X934">
        <v>-25.486716000000001</v>
      </c>
    </row>
    <row r="935" spans="1:24" x14ac:dyDescent="0.35">
      <c r="A935" s="3" t="str">
        <f t="shared" si="14"/>
        <v>609050009SMP</v>
      </c>
      <c r="B935" t="s">
        <v>6211</v>
      </c>
      <c r="C935">
        <f>+VLOOKUP(Sites_per_tag[[#This Row],[Field_office]],Parameter!$A$3:$B$11,2,0)</f>
        <v>6</v>
      </c>
      <c r="E935" t="s">
        <v>5646</v>
      </c>
      <c r="F935" t="s">
        <v>5647</v>
      </c>
      <c r="H935" t="str">
        <f ca="1">PROPER(Sites_per_tag[[#This Row],[Adm2Name]])</f>
        <v>Beloha</v>
      </c>
      <c r="I935" t="s">
        <v>5685</v>
      </c>
      <c r="K935" t="s">
        <v>3702</v>
      </c>
      <c r="L935" t="s">
        <v>6140</v>
      </c>
      <c r="Q935" t="s">
        <v>6224</v>
      </c>
      <c r="R935">
        <v>609050009</v>
      </c>
      <c r="T935" t="s">
        <v>7</v>
      </c>
      <c r="U935" s="3" t="str">
        <f>+VLOOKUP(Sites_per_tag[[#This Row],[Activity_tag]],Parameter!$A$24:$B$32,2,0)</f>
        <v>SMP</v>
      </c>
      <c r="W935">
        <v>44.993138999999999</v>
      </c>
      <c r="X935">
        <v>-25.172749</v>
      </c>
    </row>
    <row r="936" spans="1:24" x14ac:dyDescent="0.35">
      <c r="A936" s="3" t="str">
        <f t="shared" si="14"/>
        <v>609050010SMP</v>
      </c>
      <c r="B936" t="s">
        <v>6211</v>
      </c>
      <c r="C936">
        <f>+VLOOKUP(Sites_per_tag[[#This Row],[Field_office]],Parameter!$A$3:$B$11,2,0)</f>
        <v>6</v>
      </c>
      <c r="E936" t="s">
        <v>5646</v>
      </c>
      <c r="F936" t="s">
        <v>5647</v>
      </c>
      <c r="H936" t="str">
        <f ca="1">PROPER(Sites_per_tag[[#This Row],[Adm2Name]])</f>
        <v>Beloha</v>
      </c>
      <c r="I936" t="s">
        <v>5685</v>
      </c>
      <c r="K936" t="s">
        <v>3702</v>
      </c>
      <c r="L936" t="s">
        <v>6140</v>
      </c>
      <c r="Q936" t="s">
        <v>617</v>
      </c>
      <c r="R936">
        <v>609050010</v>
      </c>
      <c r="T936" t="s">
        <v>7</v>
      </c>
      <c r="U936" s="3" t="str">
        <f>+VLOOKUP(Sites_per_tag[[#This Row],[Activity_tag]],Parameter!$A$24:$B$32,2,0)</f>
        <v>SMP</v>
      </c>
      <c r="W936">
        <v>45.080289999999998</v>
      </c>
      <c r="X936">
        <v>-25.276931999999999</v>
      </c>
    </row>
    <row r="937" spans="1:24" x14ac:dyDescent="0.35">
      <c r="A937" s="3" t="str">
        <f t="shared" si="14"/>
        <v>609050013SMP</v>
      </c>
      <c r="B937" t="s">
        <v>6211</v>
      </c>
      <c r="C937">
        <f>+VLOOKUP(Sites_per_tag[[#This Row],[Field_office]],Parameter!$A$3:$B$11,2,0)</f>
        <v>6</v>
      </c>
      <c r="E937" t="s">
        <v>5646</v>
      </c>
      <c r="F937" t="s">
        <v>5647</v>
      </c>
      <c r="H937" t="str">
        <f ca="1">PROPER(Sites_per_tag[[#This Row],[Adm2Name]])</f>
        <v>Beloha</v>
      </c>
      <c r="I937" t="s">
        <v>5685</v>
      </c>
      <c r="K937" t="s">
        <v>3702</v>
      </c>
      <c r="L937" t="s">
        <v>6140</v>
      </c>
      <c r="Q937" t="s">
        <v>6373</v>
      </c>
      <c r="R937">
        <v>609050013</v>
      </c>
      <c r="T937" t="s">
        <v>7</v>
      </c>
      <c r="U937" s="3" t="str">
        <f>+VLOOKUP(Sites_per_tag[[#This Row],[Activity_tag]],Parameter!$A$24:$B$32,2,0)</f>
        <v>SMP</v>
      </c>
      <c r="W937">
        <v>45.013202</v>
      </c>
      <c r="X937">
        <v>-25.253003</v>
      </c>
    </row>
    <row r="938" spans="1:24" x14ac:dyDescent="0.35">
      <c r="A938" s="3" t="str">
        <f t="shared" si="14"/>
        <v>609050015SMP</v>
      </c>
      <c r="B938" t="s">
        <v>6211</v>
      </c>
      <c r="C938">
        <f>+VLOOKUP(Sites_per_tag[[#This Row],[Field_office]],Parameter!$A$3:$B$11,2,0)</f>
        <v>6</v>
      </c>
      <c r="E938" t="s">
        <v>5646</v>
      </c>
      <c r="F938" t="s">
        <v>5647</v>
      </c>
      <c r="H938" t="str">
        <f ca="1">PROPER(Sites_per_tag[[#This Row],[Adm2Name]])</f>
        <v>Beloha</v>
      </c>
      <c r="I938" t="s">
        <v>5685</v>
      </c>
      <c r="K938" t="s">
        <v>3702</v>
      </c>
      <c r="L938" t="s">
        <v>6140</v>
      </c>
      <c r="Q938" t="s">
        <v>2120</v>
      </c>
      <c r="R938">
        <v>609050015</v>
      </c>
      <c r="T938" t="s">
        <v>7</v>
      </c>
      <c r="U938" s="3" t="str">
        <f>+VLOOKUP(Sites_per_tag[[#This Row],[Activity_tag]],Parameter!$A$24:$B$32,2,0)</f>
        <v>SMP</v>
      </c>
      <c r="W938">
        <v>44.908062999999999</v>
      </c>
      <c r="X938">
        <v>-25.360060000000001</v>
      </c>
    </row>
    <row r="939" spans="1:24" x14ac:dyDescent="0.35">
      <c r="A939" s="3" t="str">
        <f t="shared" si="14"/>
        <v>609050018SMP</v>
      </c>
      <c r="B939" t="s">
        <v>6211</v>
      </c>
      <c r="C939">
        <f>+VLOOKUP(Sites_per_tag[[#This Row],[Field_office]],Parameter!$A$3:$B$11,2,0)</f>
        <v>6</v>
      </c>
      <c r="E939" t="s">
        <v>5646</v>
      </c>
      <c r="F939" t="s">
        <v>5647</v>
      </c>
      <c r="H939" t="str">
        <f ca="1">PROPER(Sites_per_tag[[#This Row],[Adm2Name]])</f>
        <v>Beloha</v>
      </c>
      <c r="I939" t="s">
        <v>5685</v>
      </c>
      <c r="K939" t="s">
        <v>3702</v>
      </c>
      <c r="L939" t="s">
        <v>6140</v>
      </c>
      <c r="Q939" t="s">
        <v>6374</v>
      </c>
      <c r="R939">
        <v>609050018</v>
      </c>
      <c r="T939" t="s">
        <v>7</v>
      </c>
      <c r="U939" s="3" t="str">
        <f>+VLOOKUP(Sites_per_tag[[#This Row],[Activity_tag]],Parameter!$A$24:$B$32,2,0)</f>
        <v>SMP</v>
      </c>
      <c r="W939">
        <v>44.990473000000001</v>
      </c>
      <c r="X939">
        <v>-25.440138000000001</v>
      </c>
    </row>
    <row r="940" spans="1:24" x14ac:dyDescent="0.35">
      <c r="A940" s="3" t="str">
        <f t="shared" si="14"/>
        <v>609050019SMP</v>
      </c>
      <c r="B940" t="s">
        <v>6211</v>
      </c>
      <c r="C940">
        <f>+VLOOKUP(Sites_per_tag[[#This Row],[Field_office]],Parameter!$A$3:$B$11,2,0)</f>
        <v>6</v>
      </c>
      <c r="E940" t="s">
        <v>5646</v>
      </c>
      <c r="F940" t="s">
        <v>5647</v>
      </c>
      <c r="H940" t="str">
        <f ca="1">PROPER(Sites_per_tag[[#This Row],[Adm2Name]])</f>
        <v>Beloha</v>
      </c>
      <c r="I940" t="s">
        <v>5685</v>
      </c>
      <c r="K940" t="s">
        <v>3702</v>
      </c>
      <c r="L940" t="s">
        <v>6140</v>
      </c>
      <c r="Q940" t="s">
        <v>6375</v>
      </c>
      <c r="R940">
        <v>609050019</v>
      </c>
      <c r="T940" t="s">
        <v>7</v>
      </c>
      <c r="U940" s="3" t="str">
        <f>+VLOOKUP(Sites_per_tag[[#This Row],[Activity_tag]],Parameter!$A$24:$B$32,2,0)</f>
        <v>SMP</v>
      </c>
      <c r="W940">
        <v>44.984948000000003</v>
      </c>
      <c r="X940">
        <v>-25.302999</v>
      </c>
    </row>
    <row r="941" spans="1:24" x14ac:dyDescent="0.35">
      <c r="A941" s="3" t="str">
        <f t="shared" si="14"/>
        <v>609050020SMP</v>
      </c>
      <c r="B941" t="s">
        <v>6211</v>
      </c>
      <c r="C941">
        <f>+VLOOKUP(Sites_per_tag[[#This Row],[Field_office]],Parameter!$A$3:$B$11,2,0)</f>
        <v>6</v>
      </c>
      <c r="E941" t="s">
        <v>5646</v>
      </c>
      <c r="F941" t="s">
        <v>5647</v>
      </c>
      <c r="H941" t="str">
        <f ca="1">PROPER(Sites_per_tag[[#This Row],[Adm2Name]])</f>
        <v>Beloha</v>
      </c>
      <c r="I941" t="s">
        <v>5685</v>
      </c>
      <c r="K941" t="s">
        <v>3702</v>
      </c>
      <c r="L941" t="s">
        <v>6140</v>
      </c>
      <c r="Q941" t="s">
        <v>6376</v>
      </c>
      <c r="R941">
        <v>609050020</v>
      </c>
      <c r="T941" t="s">
        <v>7</v>
      </c>
      <c r="U941" s="3" t="str">
        <f>+VLOOKUP(Sites_per_tag[[#This Row],[Activity_tag]],Parameter!$A$24:$B$32,2,0)</f>
        <v>SMP</v>
      </c>
      <c r="W941">
        <v>44.957661000000002</v>
      </c>
      <c r="X941">
        <v>-25.255210999999999</v>
      </c>
    </row>
    <row r="942" spans="1:24" x14ac:dyDescent="0.35">
      <c r="A942" s="3" t="str">
        <f t="shared" si="14"/>
        <v>609050022SMP</v>
      </c>
      <c r="B942" t="s">
        <v>6211</v>
      </c>
      <c r="C942">
        <f>+VLOOKUP(Sites_per_tag[[#This Row],[Field_office]],Parameter!$A$3:$B$11,2,0)</f>
        <v>6</v>
      </c>
      <c r="E942" t="s">
        <v>5646</v>
      </c>
      <c r="F942" t="s">
        <v>5647</v>
      </c>
      <c r="H942" t="str">
        <f ca="1">PROPER(Sites_per_tag[[#This Row],[Adm2Name]])</f>
        <v>Beloha</v>
      </c>
      <c r="I942" t="s">
        <v>5685</v>
      </c>
      <c r="K942" t="s">
        <v>3702</v>
      </c>
      <c r="L942" t="s">
        <v>6140</v>
      </c>
      <c r="Q942" t="s">
        <v>243</v>
      </c>
      <c r="R942">
        <v>609050022</v>
      </c>
      <c r="T942" t="s">
        <v>7</v>
      </c>
      <c r="U942" s="3" t="str">
        <f>+VLOOKUP(Sites_per_tag[[#This Row],[Activity_tag]],Parameter!$A$24:$B$32,2,0)</f>
        <v>SMP</v>
      </c>
      <c r="W942">
        <v>45.060020000000002</v>
      </c>
      <c r="X942">
        <v>-25.473120000000002</v>
      </c>
    </row>
    <row r="943" spans="1:24" x14ac:dyDescent="0.35">
      <c r="A943" s="3" t="str">
        <f t="shared" si="14"/>
        <v>609050024SMP</v>
      </c>
      <c r="B943" t="s">
        <v>6211</v>
      </c>
      <c r="C943">
        <f>+VLOOKUP(Sites_per_tag[[#This Row],[Field_office]],Parameter!$A$3:$B$11,2,0)</f>
        <v>6</v>
      </c>
      <c r="E943" t="s">
        <v>5646</v>
      </c>
      <c r="F943" t="s">
        <v>5647</v>
      </c>
      <c r="H943" t="str">
        <f ca="1">PROPER(Sites_per_tag[[#This Row],[Adm2Name]])</f>
        <v>Beloha</v>
      </c>
      <c r="I943" t="s">
        <v>5685</v>
      </c>
      <c r="K943" t="s">
        <v>3702</v>
      </c>
      <c r="L943" t="s">
        <v>6140</v>
      </c>
      <c r="Q943" t="s">
        <v>1505</v>
      </c>
      <c r="R943">
        <v>609050024</v>
      </c>
      <c r="T943" t="s">
        <v>7</v>
      </c>
      <c r="U943" s="3" t="str">
        <f>+VLOOKUP(Sites_per_tag[[#This Row],[Activity_tag]],Parameter!$A$24:$B$32,2,0)</f>
        <v>SMP</v>
      </c>
      <c r="W943">
        <v>44.840961</v>
      </c>
      <c r="X943">
        <v>-25.329135000000001</v>
      </c>
    </row>
    <row r="944" spans="1:24" x14ac:dyDescent="0.35">
      <c r="A944" s="3" t="str">
        <f t="shared" si="14"/>
        <v>609050025SMP</v>
      </c>
      <c r="B944" t="s">
        <v>6211</v>
      </c>
      <c r="C944">
        <f>+VLOOKUP(Sites_per_tag[[#This Row],[Field_office]],Parameter!$A$3:$B$11,2,0)</f>
        <v>6</v>
      </c>
      <c r="E944" t="s">
        <v>5646</v>
      </c>
      <c r="F944" t="s">
        <v>5647</v>
      </c>
      <c r="H944" t="str">
        <f ca="1">PROPER(Sites_per_tag[[#This Row],[Adm2Name]])</f>
        <v>Beloha</v>
      </c>
      <c r="I944" t="s">
        <v>5685</v>
      </c>
      <c r="K944" t="s">
        <v>3702</v>
      </c>
      <c r="L944" t="s">
        <v>6140</v>
      </c>
      <c r="Q944" t="s">
        <v>561</v>
      </c>
      <c r="R944">
        <v>609050025</v>
      </c>
      <c r="T944" t="s">
        <v>7</v>
      </c>
      <c r="U944" s="3" t="str">
        <f>+VLOOKUP(Sites_per_tag[[#This Row],[Activity_tag]],Parameter!$A$24:$B$32,2,0)</f>
        <v>SMP</v>
      </c>
      <c r="W944">
        <v>45.089748</v>
      </c>
      <c r="X944">
        <v>-25.362904</v>
      </c>
    </row>
    <row r="945" spans="1:24" x14ac:dyDescent="0.35">
      <c r="A945" s="3" t="str">
        <f t="shared" si="14"/>
        <v>609050028SMP</v>
      </c>
      <c r="B945" t="s">
        <v>6211</v>
      </c>
      <c r="C945">
        <f>+VLOOKUP(Sites_per_tag[[#This Row],[Field_office]],Parameter!$A$3:$B$11,2,0)</f>
        <v>6</v>
      </c>
      <c r="E945" t="s">
        <v>5646</v>
      </c>
      <c r="F945" t="s">
        <v>5647</v>
      </c>
      <c r="H945" t="str">
        <f ca="1">PROPER(Sites_per_tag[[#This Row],[Adm2Name]])</f>
        <v>Beloha</v>
      </c>
      <c r="I945" t="s">
        <v>5685</v>
      </c>
      <c r="K945" t="s">
        <v>3702</v>
      </c>
      <c r="L945" t="s">
        <v>6140</v>
      </c>
      <c r="Q945" t="s">
        <v>3115</v>
      </c>
      <c r="R945">
        <v>609050028</v>
      </c>
      <c r="T945" t="s">
        <v>7</v>
      </c>
      <c r="U945" s="3" t="str">
        <f>+VLOOKUP(Sites_per_tag[[#This Row],[Activity_tag]],Parameter!$A$24:$B$32,2,0)</f>
        <v>SMP</v>
      </c>
      <c r="W945">
        <v>45.088216000000003</v>
      </c>
      <c r="X945">
        <v>-25.460051</v>
      </c>
    </row>
    <row r="946" spans="1:24" x14ac:dyDescent="0.35">
      <c r="A946" s="3" t="str">
        <f t="shared" si="14"/>
        <v>609050030SMP</v>
      </c>
      <c r="B946" t="s">
        <v>6211</v>
      </c>
      <c r="C946">
        <f>+VLOOKUP(Sites_per_tag[[#This Row],[Field_office]],Parameter!$A$3:$B$11,2,0)</f>
        <v>6</v>
      </c>
      <c r="E946" t="s">
        <v>5646</v>
      </c>
      <c r="F946" t="s">
        <v>5647</v>
      </c>
      <c r="H946" t="str">
        <f ca="1">PROPER(Sites_per_tag[[#This Row],[Adm2Name]])</f>
        <v>Beloha</v>
      </c>
      <c r="I946" t="s">
        <v>5685</v>
      </c>
      <c r="K946" t="s">
        <v>3702</v>
      </c>
      <c r="L946" t="s">
        <v>6140</v>
      </c>
      <c r="Q946" t="s">
        <v>915</v>
      </c>
      <c r="R946">
        <v>609050030</v>
      </c>
      <c r="T946" t="s">
        <v>7</v>
      </c>
      <c r="U946" s="3" t="str">
        <f>+VLOOKUP(Sites_per_tag[[#This Row],[Activity_tag]],Parameter!$A$24:$B$32,2,0)</f>
        <v>SMP</v>
      </c>
      <c r="W946">
        <v>45.119717999999999</v>
      </c>
      <c r="X946">
        <v>-25.319275000000001</v>
      </c>
    </row>
    <row r="947" spans="1:24" x14ac:dyDescent="0.35">
      <c r="A947" s="3" t="str">
        <f t="shared" si="14"/>
        <v>609050033SMP</v>
      </c>
      <c r="B947" t="s">
        <v>6211</v>
      </c>
      <c r="C947">
        <f>+VLOOKUP(Sites_per_tag[[#This Row],[Field_office]],Parameter!$A$3:$B$11,2,0)</f>
        <v>6</v>
      </c>
      <c r="E947" t="s">
        <v>5646</v>
      </c>
      <c r="F947" t="s">
        <v>5647</v>
      </c>
      <c r="H947" t="str">
        <f ca="1">PROPER(Sites_per_tag[[#This Row],[Adm2Name]])</f>
        <v>Beloha</v>
      </c>
      <c r="I947" t="s">
        <v>5685</v>
      </c>
      <c r="K947" t="s">
        <v>3702</v>
      </c>
      <c r="L947" t="s">
        <v>6140</v>
      </c>
      <c r="Q947" t="s">
        <v>1567</v>
      </c>
      <c r="R947">
        <v>609050033</v>
      </c>
      <c r="T947" t="s">
        <v>7</v>
      </c>
      <c r="U947" s="3" t="str">
        <f>+VLOOKUP(Sites_per_tag[[#This Row],[Activity_tag]],Parameter!$A$24:$B$32,2,0)</f>
        <v>SMP</v>
      </c>
      <c r="W947">
        <v>45.138185</v>
      </c>
      <c r="X947">
        <v>-25.47035</v>
      </c>
    </row>
    <row r="948" spans="1:24" x14ac:dyDescent="0.35">
      <c r="A948" s="3" t="str">
        <f t="shared" si="14"/>
        <v>609050039SMP</v>
      </c>
      <c r="B948" t="s">
        <v>6211</v>
      </c>
      <c r="C948">
        <f>+VLOOKUP(Sites_per_tag[[#This Row],[Field_office]],Parameter!$A$3:$B$11,2,0)</f>
        <v>6</v>
      </c>
      <c r="E948" t="s">
        <v>5646</v>
      </c>
      <c r="F948" t="s">
        <v>5647</v>
      </c>
      <c r="H948" t="str">
        <f ca="1">PROPER(Sites_per_tag[[#This Row],[Adm2Name]])</f>
        <v>Beloha</v>
      </c>
      <c r="I948" t="s">
        <v>5685</v>
      </c>
      <c r="K948" t="s">
        <v>3702</v>
      </c>
      <c r="L948" t="s">
        <v>6140</v>
      </c>
      <c r="Q948" t="s">
        <v>3415</v>
      </c>
      <c r="R948">
        <v>609050039</v>
      </c>
      <c r="T948" t="s">
        <v>7</v>
      </c>
      <c r="U948" s="3" t="str">
        <f>+VLOOKUP(Sites_per_tag[[#This Row],[Activity_tag]],Parameter!$A$24:$B$32,2,0)</f>
        <v>SMP</v>
      </c>
      <c r="W948">
        <v>45.024914000000003</v>
      </c>
      <c r="X948">
        <v>-25.458763000000001</v>
      </c>
    </row>
    <row r="949" spans="1:24" x14ac:dyDescent="0.35">
      <c r="A949" s="3" t="str">
        <f t="shared" si="14"/>
        <v>609050043SMP</v>
      </c>
      <c r="B949" t="s">
        <v>6211</v>
      </c>
      <c r="C949">
        <f>+VLOOKUP(Sites_per_tag[[#This Row],[Field_office]],Parameter!$A$3:$B$11,2,0)</f>
        <v>6</v>
      </c>
      <c r="E949" t="s">
        <v>5646</v>
      </c>
      <c r="F949" t="s">
        <v>5647</v>
      </c>
      <c r="H949" t="str">
        <f ca="1">PROPER(Sites_per_tag[[#This Row],[Adm2Name]])</f>
        <v>Beloha</v>
      </c>
      <c r="I949" t="s">
        <v>5685</v>
      </c>
      <c r="K949" t="s">
        <v>3702</v>
      </c>
      <c r="L949" t="s">
        <v>6140</v>
      </c>
      <c r="Q949" t="s">
        <v>2264</v>
      </c>
      <c r="R949">
        <v>609050043</v>
      </c>
      <c r="T949" t="s">
        <v>7</v>
      </c>
      <c r="U949" s="3" t="str">
        <f>+VLOOKUP(Sites_per_tag[[#This Row],[Activity_tag]],Parameter!$A$24:$B$32,2,0)</f>
        <v>SMP</v>
      </c>
      <c r="W949">
        <v>44.961283999999999</v>
      </c>
      <c r="X949">
        <v>-25.207561999999999</v>
      </c>
    </row>
    <row r="950" spans="1:24" x14ac:dyDescent="0.35">
      <c r="A950" s="3" t="str">
        <f t="shared" si="14"/>
        <v>609050044SMP</v>
      </c>
      <c r="B950" t="s">
        <v>6211</v>
      </c>
      <c r="C950">
        <f>+VLOOKUP(Sites_per_tag[[#This Row],[Field_office]],Parameter!$A$3:$B$11,2,0)</f>
        <v>6</v>
      </c>
      <c r="E950" t="s">
        <v>5646</v>
      </c>
      <c r="F950" t="s">
        <v>5647</v>
      </c>
      <c r="H950" t="str">
        <f ca="1">PROPER(Sites_per_tag[[#This Row],[Adm2Name]])</f>
        <v>Beloha</v>
      </c>
      <c r="I950" t="s">
        <v>5685</v>
      </c>
      <c r="K950" t="s">
        <v>3702</v>
      </c>
      <c r="L950" t="s">
        <v>6140</v>
      </c>
      <c r="Q950" t="s">
        <v>2243</v>
      </c>
      <c r="R950">
        <v>609050044</v>
      </c>
      <c r="T950" t="s">
        <v>7</v>
      </c>
      <c r="U950" s="3" t="str">
        <f>+VLOOKUP(Sites_per_tag[[#This Row],[Activity_tag]],Parameter!$A$24:$B$32,2,0)</f>
        <v>SMP</v>
      </c>
      <c r="W950">
        <v>45.060020000000002</v>
      </c>
      <c r="X950">
        <v>-25.473120000000002</v>
      </c>
    </row>
    <row r="951" spans="1:24" x14ac:dyDescent="0.35">
      <c r="A951" s="3" t="str">
        <f t="shared" si="14"/>
        <v>609050045SMP</v>
      </c>
      <c r="B951" t="s">
        <v>6211</v>
      </c>
      <c r="C951">
        <f>+VLOOKUP(Sites_per_tag[[#This Row],[Field_office]],Parameter!$A$3:$B$11,2,0)</f>
        <v>6</v>
      </c>
      <c r="E951" t="s">
        <v>5646</v>
      </c>
      <c r="F951" t="s">
        <v>5647</v>
      </c>
      <c r="H951" t="str">
        <f ca="1">PROPER(Sites_per_tag[[#This Row],[Adm2Name]])</f>
        <v>Beloha</v>
      </c>
      <c r="I951" t="s">
        <v>5685</v>
      </c>
      <c r="K951" t="s">
        <v>3702</v>
      </c>
      <c r="L951" t="s">
        <v>6140</v>
      </c>
      <c r="Q951" t="s">
        <v>6377</v>
      </c>
      <c r="R951">
        <v>609050045</v>
      </c>
      <c r="T951" t="s">
        <v>7</v>
      </c>
      <c r="U951" s="3" t="str">
        <f>+VLOOKUP(Sites_per_tag[[#This Row],[Activity_tag]],Parameter!$A$24:$B$32,2,0)</f>
        <v>SMP</v>
      </c>
      <c r="W951">
        <v>44.939813999999998</v>
      </c>
      <c r="X951">
        <v>-25.426116</v>
      </c>
    </row>
    <row r="952" spans="1:24" x14ac:dyDescent="0.35">
      <c r="A952" s="3" t="str">
        <f t="shared" si="14"/>
        <v>609060001SMP</v>
      </c>
      <c r="B952" t="s">
        <v>6211</v>
      </c>
      <c r="C952">
        <f>+VLOOKUP(Sites_per_tag[[#This Row],[Field_office]],Parameter!$A$3:$B$11,2,0)</f>
        <v>6</v>
      </c>
      <c r="E952" t="s">
        <v>5646</v>
      </c>
      <c r="F952" t="s">
        <v>5647</v>
      </c>
      <c r="H952" t="str">
        <f ca="1">PROPER(Sites_per_tag[[#This Row],[Adm2Name]])</f>
        <v>Beloha</v>
      </c>
      <c r="I952" t="s">
        <v>5685</v>
      </c>
      <c r="K952" t="s">
        <v>1763</v>
      </c>
      <c r="L952" t="s">
        <v>5889</v>
      </c>
      <c r="Q952" t="s">
        <v>621</v>
      </c>
      <c r="R952">
        <v>609060001</v>
      </c>
      <c r="T952" t="s">
        <v>7</v>
      </c>
      <c r="U952" s="3" t="str">
        <f>+VLOOKUP(Sites_per_tag[[#This Row],[Activity_tag]],Parameter!$A$24:$B$32,2,0)</f>
        <v>SMP</v>
      </c>
      <c r="W952">
        <v>45.341994</v>
      </c>
      <c r="X952">
        <v>-24.927979000000001</v>
      </c>
    </row>
    <row r="953" spans="1:24" x14ac:dyDescent="0.35">
      <c r="A953" s="3" t="str">
        <f t="shared" si="14"/>
        <v>609060002SMP</v>
      </c>
      <c r="B953" t="s">
        <v>6211</v>
      </c>
      <c r="C953">
        <f>+VLOOKUP(Sites_per_tag[[#This Row],[Field_office]],Parameter!$A$3:$B$11,2,0)</f>
        <v>6</v>
      </c>
      <c r="E953" t="s">
        <v>5646</v>
      </c>
      <c r="F953" t="s">
        <v>5647</v>
      </c>
      <c r="H953" t="str">
        <f ca="1">PROPER(Sites_per_tag[[#This Row],[Adm2Name]])</f>
        <v>Beloha</v>
      </c>
      <c r="I953" t="s">
        <v>5685</v>
      </c>
      <c r="K953" t="s">
        <v>1763</v>
      </c>
      <c r="L953" t="s">
        <v>5889</v>
      </c>
      <c r="Q953" t="s">
        <v>2983</v>
      </c>
      <c r="R953">
        <v>609060002</v>
      </c>
      <c r="T953" t="s">
        <v>7</v>
      </c>
      <c r="U953" s="3" t="str">
        <f>+VLOOKUP(Sites_per_tag[[#This Row],[Activity_tag]],Parameter!$A$24:$B$32,2,0)</f>
        <v>SMP</v>
      </c>
      <c r="W953">
        <v>45.320653999999998</v>
      </c>
      <c r="X953">
        <v>-24.942401</v>
      </c>
    </row>
    <row r="954" spans="1:24" x14ac:dyDescent="0.35">
      <c r="A954" s="3" t="str">
        <f t="shared" si="14"/>
        <v>609060003SMP</v>
      </c>
      <c r="B954" t="s">
        <v>6211</v>
      </c>
      <c r="C954">
        <f>+VLOOKUP(Sites_per_tag[[#This Row],[Field_office]],Parameter!$A$3:$B$11,2,0)</f>
        <v>6</v>
      </c>
      <c r="E954" t="s">
        <v>5646</v>
      </c>
      <c r="F954" t="s">
        <v>5647</v>
      </c>
      <c r="H954" t="str">
        <f ca="1">PROPER(Sites_per_tag[[#This Row],[Adm2Name]])</f>
        <v>Beloha</v>
      </c>
      <c r="I954" t="s">
        <v>5685</v>
      </c>
      <c r="K954" t="s">
        <v>1763</v>
      </c>
      <c r="L954" t="s">
        <v>5889</v>
      </c>
      <c r="Q954" t="s">
        <v>5888</v>
      </c>
      <c r="R954">
        <v>609060003</v>
      </c>
      <c r="T954" t="s">
        <v>7</v>
      </c>
      <c r="U954" s="3" t="str">
        <f>+VLOOKUP(Sites_per_tag[[#This Row],[Activity_tag]],Parameter!$A$24:$B$32,2,0)</f>
        <v>SMP</v>
      </c>
      <c r="W954">
        <v>45.347996999999999</v>
      </c>
      <c r="X954">
        <v>-24.896809000000001</v>
      </c>
    </row>
    <row r="955" spans="1:24" x14ac:dyDescent="0.35">
      <c r="A955" s="3" t="str">
        <f t="shared" si="14"/>
        <v>609060004SMP</v>
      </c>
      <c r="B955" t="s">
        <v>6211</v>
      </c>
      <c r="C955">
        <f>+VLOOKUP(Sites_per_tag[[#This Row],[Field_office]],Parameter!$A$3:$B$11,2,0)</f>
        <v>6</v>
      </c>
      <c r="E955" t="s">
        <v>5646</v>
      </c>
      <c r="F955" t="s">
        <v>5647</v>
      </c>
      <c r="H955" t="str">
        <f ca="1">PROPER(Sites_per_tag[[#This Row],[Adm2Name]])</f>
        <v>Beloha</v>
      </c>
      <c r="I955" t="s">
        <v>5685</v>
      </c>
      <c r="K955" t="s">
        <v>1763</v>
      </c>
      <c r="L955" t="s">
        <v>5889</v>
      </c>
      <c r="Q955" t="s">
        <v>2982</v>
      </c>
      <c r="R955">
        <v>609060004</v>
      </c>
      <c r="T955" t="s">
        <v>7</v>
      </c>
      <c r="U955" s="3" t="str">
        <f>+VLOOKUP(Sites_per_tag[[#This Row],[Activity_tag]],Parameter!$A$24:$B$32,2,0)</f>
        <v>SMP</v>
      </c>
      <c r="W955">
        <v>45.332922000000003</v>
      </c>
      <c r="X955">
        <v>-24.941222</v>
      </c>
    </row>
    <row r="956" spans="1:24" x14ac:dyDescent="0.35">
      <c r="A956" s="3" t="str">
        <f t="shared" si="14"/>
        <v>609060005SMP</v>
      </c>
      <c r="B956" t="s">
        <v>6211</v>
      </c>
      <c r="C956">
        <f>+VLOOKUP(Sites_per_tag[[#This Row],[Field_office]],Parameter!$A$3:$B$11,2,0)</f>
        <v>6</v>
      </c>
      <c r="E956" t="s">
        <v>5646</v>
      </c>
      <c r="F956" t="s">
        <v>5647</v>
      </c>
      <c r="H956" t="str">
        <f ca="1">PROPER(Sites_per_tag[[#This Row],[Adm2Name]])</f>
        <v>Beloha</v>
      </c>
      <c r="I956" t="s">
        <v>5685</v>
      </c>
      <c r="K956" t="s">
        <v>1763</v>
      </c>
      <c r="L956" t="s">
        <v>5889</v>
      </c>
      <c r="Q956" t="s">
        <v>6378</v>
      </c>
      <c r="R956">
        <v>609060005</v>
      </c>
      <c r="T956" t="s">
        <v>7</v>
      </c>
      <c r="U956" s="3" t="str">
        <f>+VLOOKUP(Sites_per_tag[[#This Row],[Activity_tag]],Parameter!$A$24:$B$32,2,0)</f>
        <v>SMP</v>
      </c>
      <c r="W956">
        <v>45.191535999999999</v>
      </c>
      <c r="X956">
        <v>-24.7852</v>
      </c>
    </row>
    <row r="957" spans="1:24" x14ac:dyDescent="0.35">
      <c r="A957" s="3" t="str">
        <f t="shared" si="14"/>
        <v>609060006SMP</v>
      </c>
      <c r="B957" t="s">
        <v>6211</v>
      </c>
      <c r="C957">
        <f>+VLOOKUP(Sites_per_tag[[#This Row],[Field_office]],Parameter!$A$3:$B$11,2,0)</f>
        <v>6</v>
      </c>
      <c r="E957" t="s">
        <v>5646</v>
      </c>
      <c r="F957" t="s">
        <v>5647</v>
      </c>
      <c r="H957" t="str">
        <f ca="1">PROPER(Sites_per_tag[[#This Row],[Adm2Name]])</f>
        <v>Beloha</v>
      </c>
      <c r="I957" t="s">
        <v>5685</v>
      </c>
      <c r="K957" t="s">
        <v>1763</v>
      </c>
      <c r="L957" t="s">
        <v>5889</v>
      </c>
      <c r="Q957" t="s">
        <v>3462</v>
      </c>
      <c r="R957">
        <v>609060006</v>
      </c>
      <c r="T957" t="s">
        <v>7</v>
      </c>
      <c r="U957" s="3" t="str">
        <f>+VLOOKUP(Sites_per_tag[[#This Row],[Activity_tag]],Parameter!$A$24:$B$32,2,0)</f>
        <v>SMP</v>
      </c>
      <c r="W957">
        <v>45.277704999999997</v>
      </c>
      <c r="X957">
        <v>-24.849981</v>
      </c>
    </row>
    <row r="958" spans="1:24" x14ac:dyDescent="0.35">
      <c r="A958" s="3" t="str">
        <f t="shared" si="14"/>
        <v>609060007SMP</v>
      </c>
      <c r="B958" t="s">
        <v>6211</v>
      </c>
      <c r="C958">
        <f>+VLOOKUP(Sites_per_tag[[#This Row],[Field_office]],Parameter!$A$3:$B$11,2,0)</f>
        <v>6</v>
      </c>
      <c r="E958" t="s">
        <v>5646</v>
      </c>
      <c r="F958" t="s">
        <v>5647</v>
      </c>
      <c r="H958" t="str">
        <f ca="1">PROPER(Sites_per_tag[[#This Row],[Adm2Name]])</f>
        <v>Beloha</v>
      </c>
      <c r="I958" t="s">
        <v>5685</v>
      </c>
      <c r="K958" t="s">
        <v>1763</v>
      </c>
      <c r="L958" t="s">
        <v>5889</v>
      </c>
      <c r="Q958" t="s">
        <v>6379</v>
      </c>
      <c r="R958">
        <v>609060007</v>
      </c>
      <c r="T958" t="s">
        <v>7</v>
      </c>
      <c r="U958" s="3" t="str">
        <f>+VLOOKUP(Sites_per_tag[[#This Row],[Activity_tag]],Parameter!$A$24:$B$32,2,0)</f>
        <v>SMP</v>
      </c>
      <c r="W958">
        <v>45.260992999999999</v>
      </c>
      <c r="X958">
        <v>-24.829816999999998</v>
      </c>
    </row>
    <row r="959" spans="1:24" x14ac:dyDescent="0.35">
      <c r="A959" s="3" t="str">
        <f t="shared" si="14"/>
        <v>609060009SMP</v>
      </c>
      <c r="B959" t="s">
        <v>6211</v>
      </c>
      <c r="C959">
        <f>+VLOOKUP(Sites_per_tag[[#This Row],[Field_office]],Parameter!$A$3:$B$11,2,0)</f>
        <v>6</v>
      </c>
      <c r="E959" t="s">
        <v>5646</v>
      </c>
      <c r="F959" t="s">
        <v>5647</v>
      </c>
      <c r="H959" t="str">
        <f ca="1">PROPER(Sites_per_tag[[#This Row],[Adm2Name]])</f>
        <v>Beloha</v>
      </c>
      <c r="I959" t="s">
        <v>5685</v>
      </c>
      <c r="K959" t="s">
        <v>1763</v>
      </c>
      <c r="L959" t="s">
        <v>5889</v>
      </c>
      <c r="Q959" t="s">
        <v>845</v>
      </c>
      <c r="R959">
        <v>609060009</v>
      </c>
      <c r="T959" t="s">
        <v>7</v>
      </c>
      <c r="U959" s="3" t="str">
        <f>+VLOOKUP(Sites_per_tag[[#This Row],[Activity_tag]],Parameter!$A$24:$B$32,2,0)</f>
        <v>SMP</v>
      </c>
      <c r="W959">
        <v>45.202694999999999</v>
      </c>
      <c r="X959">
        <v>-24.978113</v>
      </c>
    </row>
    <row r="960" spans="1:24" x14ac:dyDescent="0.35">
      <c r="A960" s="3" t="str">
        <f t="shared" si="14"/>
        <v>609060010SMP</v>
      </c>
      <c r="B960" t="s">
        <v>6211</v>
      </c>
      <c r="C960">
        <f>+VLOOKUP(Sites_per_tag[[#This Row],[Field_office]],Parameter!$A$3:$B$11,2,0)</f>
        <v>6</v>
      </c>
      <c r="E960" t="s">
        <v>5646</v>
      </c>
      <c r="F960" t="s">
        <v>5647</v>
      </c>
      <c r="H960" t="str">
        <f ca="1">PROPER(Sites_per_tag[[#This Row],[Adm2Name]])</f>
        <v>Beloha</v>
      </c>
      <c r="I960" t="s">
        <v>5685</v>
      </c>
      <c r="K960" t="s">
        <v>1763</v>
      </c>
      <c r="L960" t="s">
        <v>5889</v>
      </c>
      <c r="Q960" t="s">
        <v>3811</v>
      </c>
      <c r="R960">
        <v>609060010</v>
      </c>
      <c r="T960" t="s">
        <v>7</v>
      </c>
      <c r="U960" s="3" t="str">
        <f>+VLOOKUP(Sites_per_tag[[#This Row],[Activity_tag]],Parameter!$A$24:$B$32,2,0)</f>
        <v>SMP</v>
      </c>
      <c r="W960">
        <v>45.164842999999998</v>
      </c>
      <c r="X960">
        <v>-24.974654999999998</v>
      </c>
    </row>
    <row r="961" spans="1:24" x14ac:dyDescent="0.35">
      <c r="A961" s="3" t="str">
        <f t="shared" si="14"/>
        <v>609060011SMP</v>
      </c>
      <c r="B961" t="s">
        <v>6211</v>
      </c>
      <c r="C961">
        <f>+VLOOKUP(Sites_per_tag[[#This Row],[Field_office]],Parameter!$A$3:$B$11,2,0)</f>
        <v>6</v>
      </c>
      <c r="E961" t="s">
        <v>5646</v>
      </c>
      <c r="F961" t="s">
        <v>5647</v>
      </c>
      <c r="H961" t="str">
        <f ca="1">PROPER(Sites_per_tag[[#This Row],[Adm2Name]])</f>
        <v>Beloha</v>
      </c>
      <c r="I961" t="s">
        <v>5685</v>
      </c>
      <c r="K961" t="s">
        <v>1763</v>
      </c>
      <c r="L961" t="s">
        <v>5889</v>
      </c>
      <c r="Q961" t="s">
        <v>1506</v>
      </c>
      <c r="R961">
        <v>609060011</v>
      </c>
      <c r="T961" t="s">
        <v>7</v>
      </c>
      <c r="U961" s="3" t="str">
        <f>+VLOOKUP(Sites_per_tag[[#This Row],[Activity_tag]],Parameter!$A$24:$B$32,2,0)</f>
        <v>SMP</v>
      </c>
      <c r="W961">
        <v>45.227682000000001</v>
      </c>
      <c r="X961">
        <v>-24.911625999999998</v>
      </c>
    </row>
    <row r="962" spans="1:24" x14ac:dyDescent="0.35">
      <c r="A962" s="3" t="str">
        <f t="shared" si="14"/>
        <v>609060015SMP</v>
      </c>
      <c r="B962" t="s">
        <v>6211</v>
      </c>
      <c r="C962">
        <f>+VLOOKUP(Sites_per_tag[[#This Row],[Field_office]],Parameter!$A$3:$B$11,2,0)</f>
        <v>6</v>
      </c>
      <c r="E962" t="s">
        <v>5646</v>
      </c>
      <c r="F962" t="s">
        <v>5647</v>
      </c>
      <c r="H962" t="str">
        <f ca="1">PROPER(Sites_per_tag[[#This Row],[Adm2Name]])</f>
        <v>Beloha</v>
      </c>
      <c r="I962" t="s">
        <v>5685</v>
      </c>
      <c r="K962" t="s">
        <v>1763</v>
      </c>
      <c r="L962" t="s">
        <v>5889</v>
      </c>
      <c r="Q962" t="s">
        <v>4232</v>
      </c>
      <c r="R962">
        <v>609060015</v>
      </c>
      <c r="T962" t="s">
        <v>7</v>
      </c>
      <c r="U962" s="3" t="str">
        <f>+VLOOKUP(Sites_per_tag[[#This Row],[Activity_tag]],Parameter!$A$24:$B$32,2,0)</f>
        <v>SMP</v>
      </c>
      <c r="W962">
        <v>45.188205000000004</v>
      </c>
      <c r="X962">
        <v>-25.009708</v>
      </c>
    </row>
    <row r="963" spans="1:24" x14ac:dyDescent="0.35">
      <c r="A963" s="3" t="str">
        <f t="shared" ref="A963:A1026" si="15">+R963&amp;U963</f>
        <v>609060016SMP</v>
      </c>
      <c r="B963" t="s">
        <v>6211</v>
      </c>
      <c r="C963">
        <f>+VLOOKUP(Sites_per_tag[[#This Row],[Field_office]],Parameter!$A$3:$B$11,2,0)</f>
        <v>6</v>
      </c>
      <c r="E963" t="s">
        <v>5646</v>
      </c>
      <c r="F963" t="s">
        <v>5647</v>
      </c>
      <c r="H963" t="str">
        <f ca="1">PROPER(Sites_per_tag[[#This Row],[Adm2Name]])</f>
        <v>Beloha</v>
      </c>
      <c r="I963" t="s">
        <v>5685</v>
      </c>
      <c r="K963" t="s">
        <v>1763</v>
      </c>
      <c r="L963" t="s">
        <v>5889</v>
      </c>
      <c r="Q963" t="s">
        <v>6232</v>
      </c>
      <c r="R963">
        <v>609060016</v>
      </c>
      <c r="T963" t="s">
        <v>7</v>
      </c>
      <c r="U963" s="3" t="str">
        <f>+VLOOKUP(Sites_per_tag[[#This Row],[Activity_tag]],Parameter!$A$24:$B$32,2,0)</f>
        <v>SMP</v>
      </c>
      <c r="W963">
        <v>45.168227999999999</v>
      </c>
      <c r="X963">
        <v>-24.754306</v>
      </c>
    </row>
    <row r="964" spans="1:24" x14ac:dyDescent="0.35">
      <c r="A964" s="3" t="str">
        <f t="shared" si="15"/>
        <v>612010002SMP</v>
      </c>
      <c r="B964" t="s">
        <v>6210</v>
      </c>
      <c r="C964">
        <f>+VLOOKUP(Sites_per_tag[[#This Row],[Field_office]],Parameter!$A$3:$B$11,2,0)</f>
        <v>10</v>
      </c>
      <c r="E964" t="s">
        <v>5650</v>
      </c>
      <c r="F964" t="s">
        <v>5654</v>
      </c>
      <c r="H964" t="str">
        <f ca="1">PROPER(Sites_per_tag[[#This Row],[Adm2Name]])</f>
        <v>Betioky Atsimo</v>
      </c>
      <c r="I964" t="s">
        <v>5688</v>
      </c>
      <c r="K964" t="s">
        <v>855</v>
      </c>
      <c r="L964" t="s">
        <v>5805</v>
      </c>
      <c r="Q964" t="s">
        <v>6380</v>
      </c>
      <c r="R964">
        <v>612010002</v>
      </c>
      <c r="T964" t="s">
        <v>7</v>
      </c>
      <c r="U964" s="3" t="str">
        <f>+VLOOKUP(Sites_per_tag[[#This Row],[Activity_tag]],Parameter!$A$24:$B$32,2,0)</f>
        <v>SMP</v>
      </c>
      <c r="W964">
        <v>44.527365000000003</v>
      </c>
      <c r="X964">
        <v>-23.378087000000001</v>
      </c>
    </row>
    <row r="965" spans="1:24" x14ac:dyDescent="0.35">
      <c r="A965" s="3" t="str">
        <f t="shared" si="15"/>
        <v>612020006SMP</v>
      </c>
      <c r="B965" t="s">
        <v>6210</v>
      </c>
      <c r="C965">
        <f>+VLOOKUP(Sites_per_tag[[#This Row],[Field_office]],Parameter!$A$3:$B$11,2,0)</f>
        <v>10</v>
      </c>
      <c r="E965" t="s">
        <v>5650</v>
      </c>
      <c r="F965" t="s">
        <v>5654</v>
      </c>
      <c r="H965" t="str">
        <f ca="1">PROPER(Sites_per_tag[[#This Row],[Adm2Name]])</f>
        <v>Betioky Atsimo</v>
      </c>
      <c r="I965" t="s">
        <v>5688</v>
      </c>
      <c r="K965" t="s">
        <v>5864</v>
      </c>
      <c r="L965" t="s">
        <v>5865</v>
      </c>
      <c r="Q965" t="s">
        <v>3690</v>
      </c>
      <c r="R965">
        <v>612020006</v>
      </c>
      <c r="T965" t="s">
        <v>7</v>
      </c>
      <c r="U965" s="3" t="str">
        <f>+VLOOKUP(Sites_per_tag[[#This Row],[Activity_tag]],Parameter!$A$24:$B$32,2,0)</f>
        <v>SMP</v>
      </c>
      <c r="W965">
        <v>44.445445999999997</v>
      </c>
      <c r="X965">
        <v>-23.593209999999999</v>
      </c>
    </row>
    <row r="966" spans="1:24" x14ac:dyDescent="0.35">
      <c r="A966" s="3" t="str">
        <f t="shared" si="15"/>
        <v>612020007SMP</v>
      </c>
      <c r="B966" t="s">
        <v>6210</v>
      </c>
      <c r="C966">
        <f>+VLOOKUP(Sites_per_tag[[#This Row],[Field_office]],Parameter!$A$3:$B$11,2,0)</f>
        <v>10</v>
      </c>
      <c r="E966" t="s">
        <v>5650</v>
      </c>
      <c r="F966" t="s">
        <v>5654</v>
      </c>
      <c r="H966" t="str">
        <f ca="1">PROPER(Sites_per_tag[[#This Row],[Adm2Name]])</f>
        <v>Betioky Atsimo</v>
      </c>
      <c r="I966" t="s">
        <v>5688</v>
      </c>
      <c r="K966" t="s">
        <v>5864</v>
      </c>
      <c r="L966" t="s">
        <v>5865</v>
      </c>
      <c r="Q966" t="s">
        <v>3709</v>
      </c>
      <c r="R966">
        <v>612020007</v>
      </c>
      <c r="T966" t="s">
        <v>7</v>
      </c>
      <c r="U966" s="3" t="str">
        <f>+VLOOKUP(Sites_per_tag[[#This Row],[Activity_tag]],Parameter!$A$24:$B$32,2,0)</f>
        <v>SMP</v>
      </c>
      <c r="W966">
        <v>44.434389000000003</v>
      </c>
      <c r="X966">
        <v>-23.567091999999999</v>
      </c>
    </row>
    <row r="967" spans="1:24" x14ac:dyDescent="0.35">
      <c r="A967" s="3" t="str">
        <f t="shared" si="15"/>
        <v>612020008SMP</v>
      </c>
      <c r="B967" t="s">
        <v>6210</v>
      </c>
      <c r="C967">
        <f>+VLOOKUP(Sites_per_tag[[#This Row],[Field_office]],Parameter!$A$3:$B$11,2,0)</f>
        <v>10</v>
      </c>
      <c r="E967" t="s">
        <v>5650</v>
      </c>
      <c r="F967" t="s">
        <v>5654</v>
      </c>
      <c r="H967" t="str">
        <f ca="1">PROPER(Sites_per_tag[[#This Row],[Adm2Name]])</f>
        <v>Betioky Atsimo</v>
      </c>
      <c r="I967" t="s">
        <v>5688</v>
      </c>
      <c r="K967" t="s">
        <v>5864</v>
      </c>
      <c r="L967" t="s">
        <v>5865</v>
      </c>
      <c r="Q967" t="s">
        <v>3803</v>
      </c>
      <c r="R967">
        <v>612020008</v>
      </c>
      <c r="T967" t="s">
        <v>7</v>
      </c>
      <c r="U967" s="3" t="str">
        <f>+VLOOKUP(Sites_per_tag[[#This Row],[Activity_tag]],Parameter!$A$24:$B$32,2,0)</f>
        <v>SMP</v>
      </c>
      <c r="W967">
        <v>44.49248</v>
      </c>
      <c r="X967">
        <v>-23.554538999999998</v>
      </c>
    </row>
    <row r="968" spans="1:24" x14ac:dyDescent="0.35">
      <c r="A968" s="3" t="str">
        <f t="shared" si="15"/>
        <v>612020012SMP</v>
      </c>
      <c r="B968" t="s">
        <v>6210</v>
      </c>
      <c r="C968">
        <f>+VLOOKUP(Sites_per_tag[[#This Row],[Field_office]],Parameter!$A$3:$B$11,2,0)</f>
        <v>10</v>
      </c>
      <c r="E968" t="s">
        <v>5650</v>
      </c>
      <c r="F968" t="s">
        <v>5654</v>
      </c>
      <c r="H968" t="str">
        <f ca="1">PROPER(Sites_per_tag[[#This Row],[Adm2Name]])</f>
        <v>Betioky Atsimo</v>
      </c>
      <c r="I968" t="s">
        <v>5688</v>
      </c>
      <c r="K968" t="s">
        <v>5864</v>
      </c>
      <c r="L968" t="s">
        <v>5865</v>
      </c>
      <c r="Q968" t="s">
        <v>1801</v>
      </c>
      <c r="R968">
        <v>612020012</v>
      </c>
      <c r="T968" t="s">
        <v>7</v>
      </c>
      <c r="U968" s="3" t="str">
        <f>+VLOOKUP(Sites_per_tag[[#This Row],[Activity_tag]],Parameter!$A$24:$B$32,2,0)</f>
        <v>SMP</v>
      </c>
      <c r="W968">
        <v>44.478560000000002</v>
      </c>
      <c r="X968">
        <v>-23.563224000000002</v>
      </c>
    </row>
    <row r="969" spans="1:24" x14ac:dyDescent="0.35">
      <c r="A969" s="3" t="str">
        <f t="shared" si="15"/>
        <v>612020015SMP</v>
      </c>
      <c r="B969" t="s">
        <v>6210</v>
      </c>
      <c r="C969">
        <f>+VLOOKUP(Sites_per_tag[[#This Row],[Field_office]],Parameter!$A$3:$B$11,2,0)</f>
        <v>10</v>
      </c>
      <c r="E969" t="s">
        <v>5650</v>
      </c>
      <c r="F969" t="s">
        <v>5654</v>
      </c>
      <c r="H969" t="str">
        <f ca="1">PROPER(Sites_per_tag[[#This Row],[Adm2Name]])</f>
        <v>Betioky Atsimo</v>
      </c>
      <c r="I969" t="s">
        <v>5688</v>
      </c>
      <c r="K969" t="s">
        <v>5864</v>
      </c>
      <c r="L969" t="s">
        <v>5865</v>
      </c>
      <c r="Q969" t="s">
        <v>6287</v>
      </c>
      <c r="R969">
        <v>612020015</v>
      </c>
      <c r="T969" t="s">
        <v>7</v>
      </c>
      <c r="U969" s="3" t="str">
        <f>+VLOOKUP(Sites_per_tag[[#This Row],[Activity_tag]],Parameter!$A$24:$B$32,2,0)</f>
        <v>SMP</v>
      </c>
      <c r="W969">
        <v>44.414507</v>
      </c>
      <c r="X969">
        <v>-23.566177</v>
      </c>
    </row>
    <row r="970" spans="1:24" x14ac:dyDescent="0.35">
      <c r="A970" s="3" t="str">
        <f t="shared" si="15"/>
        <v>612020016SMP</v>
      </c>
      <c r="B970" t="s">
        <v>6210</v>
      </c>
      <c r="C970">
        <f>+VLOOKUP(Sites_per_tag[[#This Row],[Field_office]],Parameter!$A$3:$B$11,2,0)</f>
        <v>10</v>
      </c>
      <c r="E970" t="s">
        <v>5650</v>
      </c>
      <c r="F970" t="s">
        <v>5654</v>
      </c>
      <c r="H970" t="str">
        <f ca="1">PROPER(Sites_per_tag[[#This Row],[Adm2Name]])</f>
        <v>Betioky Atsimo</v>
      </c>
      <c r="I970" t="s">
        <v>5688</v>
      </c>
      <c r="K970" t="s">
        <v>5864</v>
      </c>
      <c r="L970" t="s">
        <v>5865</v>
      </c>
      <c r="Q970" t="s">
        <v>857</v>
      </c>
      <c r="R970">
        <v>612020016</v>
      </c>
      <c r="T970" t="s">
        <v>7</v>
      </c>
      <c r="U970" s="3" t="str">
        <f>+VLOOKUP(Sites_per_tag[[#This Row],[Activity_tag]],Parameter!$A$24:$B$32,2,0)</f>
        <v>SMP</v>
      </c>
      <c r="W970">
        <v>44.483525999999998</v>
      </c>
      <c r="X970">
        <v>-23.559449999999998</v>
      </c>
    </row>
    <row r="971" spans="1:24" x14ac:dyDescent="0.35">
      <c r="A971" s="3" t="str">
        <f t="shared" si="15"/>
        <v>612030001SMP</v>
      </c>
      <c r="B971" t="s">
        <v>6210</v>
      </c>
      <c r="C971">
        <f>+VLOOKUP(Sites_per_tag[[#This Row],[Field_office]],Parameter!$A$3:$B$11,2,0)</f>
        <v>10</v>
      </c>
      <c r="E971" t="s">
        <v>5650</v>
      </c>
      <c r="F971" t="s">
        <v>5654</v>
      </c>
      <c r="H971" t="str">
        <f ca="1">PROPER(Sites_per_tag[[#This Row],[Adm2Name]])</f>
        <v>Betioky Atsimo</v>
      </c>
      <c r="I971" t="s">
        <v>5688</v>
      </c>
      <c r="K971" t="s">
        <v>1691</v>
      </c>
      <c r="L971" t="s">
        <v>5879</v>
      </c>
      <c r="Q971" t="s">
        <v>6206</v>
      </c>
      <c r="R971">
        <v>612030001</v>
      </c>
      <c r="T971" t="s">
        <v>7</v>
      </c>
      <c r="U971" s="3" t="str">
        <f>+VLOOKUP(Sites_per_tag[[#This Row],[Activity_tag]],Parameter!$A$24:$B$32,2,0)</f>
        <v>SMP</v>
      </c>
      <c r="W971">
        <v>44.352350000000001</v>
      </c>
      <c r="X971">
        <v>-23.814112000000002</v>
      </c>
    </row>
    <row r="972" spans="1:24" x14ac:dyDescent="0.35">
      <c r="A972" s="3" t="str">
        <f t="shared" si="15"/>
        <v>612030002SMP</v>
      </c>
      <c r="B972" t="s">
        <v>6210</v>
      </c>
      <c r="C972">
        <f>+VLOOKUP(Sites_per_tag[[#This Row],[Field_office]],Parameter!$A$3:$B$11,2,0)</f>
        <v>10</v>
      </c>
      <c r="E972" t="s">
        <v>5650</v>
      </c>
      <c r="F972" t="s">
        <v>5654</v>
      </c>
      <c r="H972" t="str">
        <f ca="1">PROPER(Sites_per_tag[[#This Row],[Adm2Name]])</f>
        <v>Betioky Atsimo</v>
      </c>
      <c r="I972" t="s">
        <v>5688</v>
      </c>
      <c r="K972" t="s">
        <v>1691</v>
      </c>
      <c r="L972" t="s">
        <v>5879</v>
      </c>
      <c r="Q972" t="s">
        <v>6381</v>
      </c>
      <c r="R972">
        <v>612030002</v>
      </c>
      <c r="T972" t="s">
        <v>7</v>
      </c>
      <c r="U972" s="3" t="str">
        <f>+VLOOKUP(Sites_per_tag[[#This Row],[Activity_tag]],Parameter!$A$24:$B$32,2,0)</f>
        <v>SMP</v>
      </c>
      <c r="W972">
        <v>44.313512000000003</v>
      </c>
      <c r="X972">
        <v>-23.792884999999998</v>
      </c>
    </row>
    <row r="973" spans="1:24" x14ac:dyDescent="0.35">
      <c r="A973" s="3" t="str">
        <f t="shared" si="15"/>
        <v>612030006SMP</v>
      </c>
      <c r="B973" t="s">
        <v>6210</v>
      </c>
      <c r="C973">
        <f>+VLOOKUP(Sites_per_tag[[#This Row],[Field_office]],Parameter!$A$3:$B$11,2,0)</f>
        <v>10</v>
      </c>
      <c r="E973" t="s">
        <v>5650</v>
      </c>
      <c r="F973" t="s">
        <v>5654</v>
      </c>
      <c r="H973" t="str">
        <f ca="1">PROPER(Sites_per_tag[[#This Row],[Adm2Name]])</f>
        <v>Betioky Atsimo</v>
      </c>
      <c r="I973" t="s">
        <v>5688</v>
      </c>
      <c r="K973" t="s">
        <v>1691</v>
      </c>
      <c r="L973" t="s">
        <v>5879</v>
      </c>
      <c r="Q973" t="s">
        <v>6382</v>
      </c>
      <c r="R973">
        <v>612030006</v>
      </c>
      <c r="T973" t="s">
        <v>7</v>
      </c>
      <c r="U973" s="3" t="str">
        <f>+VLOOKUP(Sites_per_tag[[#This Row],[Activity_tag]],Parameter!$A$24:$B$32,2,0)</f>
        <v>SMP</v>
      </c>
      <c r="W973">
        <v>44.303890000000003</v>
      </c>
      <c r="X973">
        <v>-23.759371000000002</v>
      </c>
    </row>
    <row r="974" spans="1:24" x14ac:dyDescent="0.35">
      <c r="A974" s="3" t="str">
        <f t="shared" si="15"/>
        <v>612030008SMP</v>
      </c>
      <c r="B974" t="s">
        <v>6210</v>
      </c>
      <c r="C974">
        <f>+VLOOKUP(Sites_per_tag[[#This Row],[Field_office]],Parameter!$A$3:$B$11,2,0)</f>
        <v>10</v>
      </c>
      <c r="E974" t="s">
        <v>5650</v>
      </c>
      <c r="F974" t="s">
        <v>5654</v>
      </c>
      <c r="H974" t="str">
        <f ca="1">PROPER(Sites_per_tag[[#This Row],[Adm2Name]])</f>
        <v>Betioky Atsimo</v>
      </c>
      <c r="I974" t="s">
        <v>5688</v>
      </c>
      <c r="K974" t="s">
        <v>1691</v>
      </c>
      <c r="L974" t="s">
        <v>5879</v>
      </c>
      <c r="Q974" t="s">
        <v>6383</v>
      </c>
      <c r="R974">
        <v>612030008</v>
      </c>
      <c r="T974" t="s">
        <v>7</v>
      </c>
      <c r="U974" s="3" t="str">
        <f>+VLOOKUP(Sites_per_tag[[#This Row],[Activity_tag]],Parameter!$A$24:$B$32,2,0)</f>
        <v>SMP</v>
      </c>
      <c r="W974">
        <v>44.368507999999999</v>
      </c>
      <c r="X974">
        <v>-23.861256000000001</v>
      </c>
    </row>
    <row r="975" spans="1:24" x14ac:dyDescent="0.35">
      <c r="A975" s="3" t="str">
        <f t="shared" si="15"/>
        <v>612030009SMP</v>
      </c>
      <c r="B975" t="s">
        <v>6210</v>
      </c>
      <c r="C975">
        <f>+VLOOKUP(Sites_per_tag[[#This Row],[Field_office]],Parameter!$A$3:$B$11,2,0)</f>
        <v>10</v>
      </c>
      <c r="E975" t="s">
        <v>5650</v>
      </c>
      <c r="F975" t="s">
        <v>5654</v>
      </c>
      <c r="H975" t="str">
        <f ca="1">PROPER(Sites_per_tag[[#This Row],[Adm2Name]])</f>
        <v>Betioky Atsimo</v>
      </c>
      <c r="I975" t="s">
        <v>5688</v>
      </c>
      <c r="K975" t="s">
        <v>1691</v>
      </c>
      <c r="L975" t="s">
        <v>5879</v>
      </c>
      <c r="Q975" t="s">
        <v>2052</v>
      </c>
      <c r="R975">
        <v>612030009</v>
      </c>
      <c r="T975" t="s">
        <v>7</v>
      </c>
      <c r="U975" s="3" t="str">
        <f>+VLOOKUP(Sites_per_tag[[#This Row],[Activity_tag]],Parameter!$A$24:$B$32,2,0)</f>
        <v>SMP</v>
      </c>
      <c r="W975">
        <v>44.406616</v>
      </c>
      <c r="X975">
        <v>-23.788806000000001</v>
      </c>
    </row>
    <row r="976" spans="1:24" x14ac:dyDescent="0.35">
      <c r="A976" s="3" t="str">
        <f t="shared" si="15"/>
        <v>612040003SMP</v>
      </c>
      <c r="B976" t="s">
        <v>6210</v>
      </c>
      <c r="C976">
        <f>+VLOOKUP(Sites_per_tag[[#This Row],[Field_office]],Parameter!$A$3:$B$11,2,0)</f>
        <v>10</v>
      </c>
      <c r="E976" t="s">
        <v>5650</v>
      </c>
      <c r="F976" t="s">
        <v>5654</v>
      </c>
      <c r="H976" t="str">
        <f ca="1">PROPER(Sites_per_tag[[#This Row],[Adm2Name]])</f>
        <v>Betioky Atsimo</v>
      </c>
      <c r="I976" t="s">
        <v>5688</v>
      </c>
      <c r="K976" t="s">
        <v>4412</v>
      </c>
      <c r="L976" t="s">
        <v>5905</v>
      </c>
      <c r="Q976" t="s">
        <v>3166</v>
      </c>
      <c r="R976">
        <v>612040003</v>
      </c>
      <c r="T976" t="s">
        <v>7</v>
      </c>
      <c r="U976" s="3" t="str">
        <f>+VLOOKUP(Sites_per_tag[[#This Row],[Activity_tag]],Parameter!$A$24:$B$32,2,0)</f>
        <v>SMP</v>
      </c>
      <c r="W976">
        <v>44.807679999999998</v>
      </c>
      <c r="X976">
        <v>-23.540505</v>
      </c>
    </row>
    <row r="977" spans="1:24" x14ac:dyDescent="0.35">
      <c r="A977" s="3" t="str">
        <f t="shared" si="15"/>
        <v>612050002SMP</v>
      </c>
      <c r="B977" t="s">
        <v>6210</v>
      </c>
      <c r="C977">
        <f>+VLOOKUP(Sites_per_tag[[#This Row],[Field_office]],Parameter!$A$3:$B$11,2,0)</f>
        <v>10</v>
      </c>
      <c r="E977" t="s">
        <v>5650</v>
      </c>
      <c r="F977" t="s">
        <v>5654</v>
      </c>
      <c r="H977" t="str">
        <f ca="1">PROPER(Sites_per_tag[[#This Row],[Adm2Name]])</f>
        <v>Betioky Atsimo</v>
      </c>
      <c r="I977" t="s">
        <v>5688</v>
      </c>
      <c r="K977" t="s">
        <v>5615</v>
      </c>
      <c r="L977" t="s">
        <v>5928</v>
      </c>
      <c r="Q977" t="s">
        <v>6384</v>
      </c>
      <c r="R977">
        <v>612050002</v>
      </c>
      <c r="T977" t="s">
        <v>7</v>
      </c>
      <c r="U977" s="3" t="str">
        <f>+VLOOKUP(Sites_per_tag[[#This Row],[Activity_tag]],Parameter!$A$24:$B$32,2,0)</f>
        <v>SMP</v>
      </c>
      <c r="W977">
        <v>44.289290000000001</v>
      </c>
      <c r="X977">
        <v>-23.739877</v>
      </c>
    </row>
    <row r="978" spans="1:24" x14ac:dyDescent="0.35">
      <c r="A978" s="3" t="str">
        <f t="shared" si="15"/>
        <v>612050013SMP</v>
      </c>
      <c r="B978" t="s">
        <v>6210</v>
      </c>
      <c r="C978">
        <f>+VLOOKUP(Sites_per_tag[[#This Row],[Field_office]],Parameter!$A$3:$B$11,2,0)</f>
        <v>10</v>
      </c>
      <c r="E978" t="s">
        <v>5650</v>
      </c>
      <c r="F978" t="s">
        <v>5654</v>
      </c>
      <c r="H978" t="str">
        <f ca="1">PROPER(Sites_per_tag[[#This Row],[Adm2Name]])</f>
        <v>Betioky Atsimo</v>
      </c>
      <c r="I978" t="s">
        <v>5688</v>
      </c>
      <c r="K978" t="s">
        <v>5615</v>
      </c>
      <c r="L978" t="s">
        <v>5928</v>
      </c>
      <c r="Q978" t="s">
        <v>1582</v>
      </c>
      <c r="R978">
        <v>612050013</v>
      </c>
      <c r="T978" t="s">
        <v>7</v>
      </c>
      <c r="U978" s="3" t="str">
        <f>+VLOOKUP(Sites_per_tag[[#This Row],[Activity_tag]],Parameter!$A$24:$B$32,2,0)</f>
        <v>SMP</v>
      </c>
      <c r="W978">
        <v>44.384788</v>
      </c>
      <c r="X978">
        <v>-23.692737999999999</v>
      </c>
    </row>
    <row r="979" spans="1:24" x14ac:dyDescent="0.35">
      <c r="A979" s="3" t="str">
        <f t="shared" si="15"/>
        <v>612050018SMP</v>
      </c>
      <c r="B979" t="s">
        <v>6210</v>
      </c>
      <c r="C979">
        <f>+VLOOKUP(Sites_per_tag[[#This Row],[Field_office]],Parameter!$A$3:$B$11,2,0)</f>
        <v>10</v>
      </c>
      <c r="E979" t="s">
        <v>5650</v>
      </c>
      <c r="F979" t="s">
        <v>5654</v>
      </c>
      <c r="H979" t="str">
        <f ca="1">PROPER(Sites_per_tag[[#This Row],[Adm2Name]])</f>
        <v>Betioky Atsimo</v>
      </c>
      <c r="I979" t="s">
        <v>5688</v>
      </c>
      <c r="K979" t="s">
        <v>5615</v>
      </c>
      <c r="L979" t="s">
        <v>5928</v>
      </c>
      <c r="Q979" t="s">
        <v>3312</v>
      </c>
      <c r="R979">
        <v>612050018</v>
      </c>
      <c r="T979" t="s">
        <v>7</v>
      </c>
      <c r="U979" s="3" t="str">
        <f>+VLOOKUP(Sites_per_tag[[#This Row],[Activity_tag]],Parameter!$A$24:$B$32,2,0)</f>
        <v>SMP</v>
      </c>
      <c r="W979">
        <v>44.389094999999998</v>
      </c>
      <c r="X979">
        <v>-23.740917</v>
      </c>
    </row>
    <row r="980" spans="1:24" x14ac:dyDescent="0.35">
      <c r="A980" s="3" t="str">
        <f t="shared" si="15"/>
        <v>612060002SMP</v>
      </c>
      <c r="B980" t="s">
        <v>6210</v>
      </c>
      <c r="C980">
        <f>+VLOOKUP(Sites_per_tag[[#This Row],[Field_office]],Parameter!$A$3:$B$11,2,0)</f>
        <v>10</v>
      </c>
      <c r="E980" t="s">
        <v>5650</v>
      </c>
      <c r="F980" t="s">
        <v>5654</v>
      </c>
      <c r="H980" t="str">
        <f ca="1">PROPER(Sites_per_tag[[#This Row],[Adm2Name]])</f>
        <v>Betioky Atsimo</v>
      </c>
      <c r="I980" t="s">
        <v>5688</v>
      </c>
      <c r="K980" t="s">
        <v>5934</v>
      </c>
      <c r="L980" t="s">
        <v>5935</v>
      </c>
      <c r="Q980" t="s">
        <v>533</v>
      </c>
      <c r="R980">
        <v>612060002</v>
      </c>
      <c r="T980" t="s">
        <v>7</v>
      </c>
      <c r="U980" s="3" t="str">
        <f>+VLOOKUP(Sites_per_tag[[#This Row],[Activity_tag]],Parameter!$A$24:$B$32,2,0)</f>
        <v>SMP</v>
      </c>
      <c r="W980">
        <v>44.417551000000003</v>
      </c>
      <c r="X980">
        <v>-23.514209999999999</v>
      </c>
    </row>
    <row r="981" spans="1:24" x14ac:dyDescent="0.35">
      <c r="A981" s="3" t="str">
        <f t="shared" si="15"/>
        <v>612060003SMP</v>
      </c>
      <c r="B981" t="s">
        <v>6210</v>
      </c>
      <c r="C981">
        <f>+VLOOKUP(Sites_per_tag[[#This Row],[Field_office]],Parameter!$A$3:$B$11,2,0)</f>
        <v>10</v>
      </c>
      <c r="E981" t="s">
        <v>5650</v>
      </c>
      <c r="F981" t="s">
        <v>5654</v>
      </c>
      <c r="H981" t="str">
        <f ca="1">PROPER(Sites_per_tag[[#This Row],[Adm2Name]])</f>
        <v>Betioky Atsimo</v>
      </c>
      <c r="I981" t="s">
        <v>5688</v>
      </c>
      <c r="K981" t="s">
        <v>5934</v>
      </c>
      <c r="L981" t="s">
        <v>5935</v>
      </c>
      <c r="Q981" t="s">
        <v>6206</v>
      </c>
      <c r="R981">
        <v>612060003</v>
      </c>
      <c r="T981" t="s">
        <v>7</v>
      </c>
      <c r="U981" s="3" t="str">
        <f>+VLOOKUP(Sites_per_tag[[#This Row],[Activity_tag]],Parameter!$A$24:$B$32,2,0)</f>
        <v>SMP</v>
      </c>
      <c r="W981">
        <v>44.498035999999999</v>
      </c>
      <c r="X981">
        <v>-23.499130999999998</v>
      </c>
    </row>
    <row r="982" spans="1:24" x14ac:dyDescent="0.35">
      <c r="A982" s="3" t="str">
        <f t="shared" si="15"/>
        <v>612060006SMP</v>
      </c>
      <c r="B982" t="s">
        <v>6210</v>
      </c>
      <c r="C982">
        <f>+VLOOKUP(Sites_per_tag[[#This Row],[Field_office]],Parameter!$A$3:$B$11,2,0)</f>
        <v>10</v>
      </c>
      <c r="E982" t="s">
        <v>5650</v>
      </c>
      <c r="F982" t="s">
        <v>5654</v>
      </c>
      <c r="H982" t="str">
        <f ca="1">PROPER(Sites_per_tag[[#This Row],[Adm2Name]])</f>
        <v>Betioky Atsimo</v>
      </c>
      <c r="I982" t="s">
        <v>5688</v>
      </c>
      <c r="K982" t="s">
        <v>5934</v>
      </c>
      <c r="L982" t="s">
        <v>5935</v>
      </c>
      <c r="Q982" t="s">
        <v>6385</v>
      </c>
      <c r="R982">
        <v>612060006</v>
      </c>
      <c r="T982" t="s">
        <v>7</v>
      </c>
      <c r="U982" s="3" t="str">
        <f>+VLOOKUP(Sites_per_tag[[#This Row],[Activity_tag]],Parameter!$A$24:$B$32,2,0)</f>
        <v>SMP</v>
      </c>
      <c r="W982">
        <v>44.504157999999997</v>
      </c>
      <c r="X982">
        <v>-23.511078000000001</v>
      </c>
    </row>
    <row r="983" spans="1:24" x14ac:dyDescent="0.35">
      <c r="A983" s="3" t="str">
        <f t="shared" si="15"/>
        <v>612060009SMP</v>
      </c>
      <c r="B983" t="s">
        <v>6210</v>
      </c>
      <c r="C983">
        <f>+VLOOKUP(Sites_per_tag[[#This Row],[Field_office]],Parameter!$A$3:$B$11,2,0)</f>
        <v>10</v>
      </c>
      <c r="E983" t="s">
        <v>5650</v>
      </c>
      <c r="F983" t="s">
        <v>5654</v>
      </c>
      <c r="H983" t="str">
        <f ca="1">PROPER(Sites_per_tag[[#This Row],[Adm2Name]])</f>
        <v>Betioky Atsimo</v>
      </c>
      <c r="I983" t="s">
        <v>5688</v>
      </c>
      <c r="K983" t="s">
        <v>5934</v>
      </c>
      <c r="L983" t="s">
        <v>5935</v>
      </c>
      <c r="Q983" t="s">
        <v>6226</v>
      </c>
      <c r="R983">
        <v>612060009</v>
      </c>
      <c r="T983" t="s">
        <v>7</v>
      </c>
      <c r="U983" s="3" t="str">
        <f>+VLOOKUP(Sites_per_tag[[#This Row],[Activity_tag]],Parameter!$A$24:$B$32,2,0)</f>
        <v>SMP</v>
      </c>
      <c r="W983">
        <v>44.487870999999998</v>
      </c>
      <c r="X983">
        <v>-23.453697999999999</v>
      </c>
    </row>
    <row r="984" spans="1:24" x14ac:dyDescent="0.35">
      <c r="A984" s="3" t="str">
        <f t="shared" si="15"/>
        <v>612060014SMP</v>
      </c>
      <c r="B984" t="s">
        <v>6210</v>
      </c>
      <c r="C984">
        <f>+VLOOKUP(Sites_per_tag[[#This Row],[Field_office]],Parameter!$A$3:$B$11,2,0)</f>
        <v>10</v>
      </c>
      <c r="E984" t="s">
        <v>5650</v>
      </c>
      <c r="F984" t="s">
        <v>5654</v>
      </c>
      <c r="H984" t="str">
        <f ca="1">PROPER(Sites_per_tag[[#This Row],[Adm2Name]])</f>
        <v>Betioky Atsimo</v>
      </c>
      <c r="I984" t="s">
        <v>5688</v>
      </c>
      <c r="K984" t="s">
        <v>5934</v>
      </c>
      <c r="L984" t="s">
        <v>5935</v>
      </c>
      <c r="Q984" t="s">
        <v>2461</v>
      </c>
      <c r="R984">
        <v>612060014</v>
      </c>
      <c r="T984" t="s">
        <v>7</v>
      </c>
      <c r="U984" s="3" t="str">
        <f>+VLOOKUP(Sites_per_tag[[#This Row],[Activity_tag]],Parameter!$A$24:$B$32,2,0)</f>
        <v>SMP</v>
      </c>
      <c r="W984">
        <v>44.400599999999997</v>
      </c>
      <c r="X984">
        <v>-23.507349999999999</v>
      </c>
    </row>
    <row r="985" spans="1:24" x14ac:dyDescent="0.35">
      <c r="A985" s="3" t="str">
        <f t="shared" si="15"/>
        <v>612060015SMP</v>
      </c>
      <c r="B985" t="s">
        <v>6210</v>
      </c>
      <c r="C985">
        <f>+VLOOKUP(Sites_per_tag[[#This Row],[Field_office]],Parameter!$A$3:$B$11,2,0)</f>
        <v>10</v>
      </c>
      <c r="E985" t="s">
        <v>5650</v>
      </c>
      <c r="F985" t="s">
        <v>5654</v>
      </c>
      <c r="H985" t="str">
        <f ca="1">PROPER(Sites_per_tag[[#This Row],[Adm2Name]])</f>
        <v>Betioky Atsimo</v>
      </c>
      <c r="I985" t="s">
        <v>5688</v>
      </c>
      <c r="K985" t="s">
        <v>5934</v>
      </c>
      <c r="L985" t="s">
        <v>5935</v>
      </c>
      <c r="Q985" t="s">
        <v>2881</v>
      </c>
      <c r="R985">
        <v>612060015</v>
      </c>
      <c r="T985" t="s">
        <v>7</v>
      </c>
      <c r="U985" s="3" t="str">
        <f>+VLOOKUP(Sites_per_tag[[#This Row],[Activity_tag]],Parameter!$A$24:$B$32,2,0)</f>
        <v>SMP</v>
      </c>
      <c r="W985">
        <v>44.532817000000001</v>
      </c>
      <c r="X985">
        <v>-23.500271000000001</v>
      </c>
    </row>
    <row r="986" spans="1:24" x14ac:dyDescent="0.35">
      <c r="A986" s="3" t="str">
        <f t="shared" si="15"/>
        <v>612060017SMP</v>
      </c>
      <c r="B986" t="s">
        <v>6210</v>
      </c>
      <c r="C986">
        <f>+VLOOKUP(Sites_per_tag[[#This Row],[Field_office]],Parameter!$A$3:$B$11,2,0)</f>
        <v>10</v>
      </c>
      <c r="E986" t="s">
        <v>5650</v>
      </c>
      <c r="F986" t="s">
        <v>5654</v>
      </c>
      <c r="H986" t="str">
        <f ca="1">PROPER(Sites_per_tag[[#This Row],[Adm2Name]])</f>
        <v>Betioky Atsimo</v>
      </c>
      <c r="I986" t="s">
        <v>5688</v>
      </c>
      <c r="K986" t="s">
        <v>5934</v>
      </c>
      <c r="L986" t="s">
        <v>5935</v>
      </c>
      <c r="Q986" t="s">
        <v>3369</v>
      </c>
      <c r="R986">
        <v>612060017</v>
      </c>
      <c r="T986" t="s">
        <v>7</v>
      </c>
      <c r="U986" s="3" t="str">
        <f>+VLOOKUP(Sites_per_tag[[#This Row],[Activity_tag]],Parameter!$A$24:$B$32,2,0)</f>
        <v>SMP</v>
      </c>
      <c r="W986">
        <v>44.581335000000003</v>
      </c>
      <c r="X986">
        <v>-23.537953999999999</v>
      </c>
    </row>
    <row r="987" spans="1:24" x14ac:dyDescent="0.35">
      <c r="A987" s="3" t="str">
        <f t="shared" si="15"/>
        <v>612060020SMP</v>
      </c>
      <c r="B987" t="s">
        <v>6210</v>
      </c>
      <c r="C987">
        <f>+VLOOKUP(Sites_per_tag[[#This Row],[Field_office]],Parameter!$A$3:$B$11,2,0)</f>
        <v>10</v>
      </c>
      <c r="E987" t="s">
        <v>5650</v>
      </c>
      <c r="F987" t="s">
        <v>5654</v>
      </c>
      <c r="H987" t="str">
        <f ca="1">PROPER(Sites_per_tag[[#This Row],[Adm2Name]])</f>
        <v>Betioky Atsimo</v>
      </c>
      <c r="I987" t="s">
        <v>5688</v>
      </c>
      <c r="K987" t="s">
        <v>5934</v>
      </c>
      <c r="L987" t="s">
        <v>5935</v>
      </c>
      <c r="Q987" t="s">
        <v>3606</v>
      </c>
      <c r="R987">
        <v>612060020</v>
      </c>
      <c r="T987" t="s">
        <v>7</v>
      </c>
      <c r="U987" s="3" t="str">
        <f>+VLOOKUP(Sites_per_tag[[#This Row],[Activity_tag]],Parameter!$A$24:$B$32,2,0)</f>
        <v>SMP</v>
      </c>
      <c r="W987">
        <v>44.481335999999999</v>
      </c>
      <c r="X987">
        <v>-23.477368999999999</v>
      </c>
    </row>
    <row r="988" spans="1:24" x14ac:dyDescent="0.35">
      <c r="A988" s="3" t="str">
        <f t="shared" si="15"/>
        <v>612070001SMP</v>
      </c>
      <c r="B988" t="s">
        <v>6210</v>
      </c>
      <c r="C988">
        <f>+VLOOKUP(Sites_per_tag[[#This Row],[Field_office]],Parameter!$A$3:$B$11,2,0)</f>
        <v>10</v>
      </c>
      <c r="E988" t="s">
        <v>5650</v>
      </c>
      <c r="F988" t="s">
        <v>5654</v>
      </c>
      <c r="H988" t="str">
        <f ca="1">PROPER(Sites_per_tag[[#This Row],[Adm2Name]])</f>
        <v>Betioky Atsimo</v>
      </c>
      <c r="I988" t="s">
        <v>5688</v>
      </c>
      <c r="K988" t="s">
        <v>2462</v>
      </c>
      <c r="L988" t="s">
        <v>5955</v>
      </c>
      <c r="Q988" t="s">
        <v>1342</v>
      </c>
      <c r="R988">
        <v>612070001</v>
      </c>
      <c r="T988" t="s">
        <v>7</v>
      </c>
      <c r="U988" s="3" t="str">
        <f>+VLOOKUP(Sites_per_tag[[#This Row],[Activity_tag]],Parameter!$A$24:$B$32,2,0)</f>
        <v>SMP</v>
      </c>
      <c r="W988">
        <v>44.665278999999998</v>
      </c>
      <c r="X988">
        <v>-23.55199</v>
      </c>
    </row>
    <row r="989" spans="1:24" x14ac:dyDescent="0.35">
      <c r="A989" s="3" t="str">
        <f t="shared" si="15"/>
        <v>612070003SMP</v>
      </c>
      <c r="B989" t="s">
        <v>6210</v>
      </c>
      <c r="C989">
        <f>+VLOOKUP(Sites_per_tag[[#This Row],[Field_office]],Parameter!$A$3:$B$11,2,0)</f>
        <v>10</v>
      </c>
      <c r="E989" t="s">
        <v>5650</v>
      </c>
      <c r="F989" t="s">
        <v>5654</v>
      </c>
      <c r="H989" t="str">
        <f ca="1">PROPER(Sites_per_tag[[#This Row],[Adm2Name]])</f>
        <v>Betioky Atsimo</v>
      </c>
      <c r="I989" t="s">
        <v>5688</v>
      </c>
      <c r="K989" t="s">
        <v>2462</v>
      </c>
      <c r="L989" t="s">
        <v>5955</v>
      </c>
      <c r="Q989" t="s">
        <v>2013</v>
      </c>
      <c r="R989">
        <v>612070003</v>
      </c>
      <c r="T989" t="s">
        <v>7</v>
      </c>
      <c r="U989" s="3" t="str">
        <f>+VLOOKUP(Sites_per_tag[[#This Row],[Activity_tag]],Parameter!$A$24:$B$32,2,0)</f>
        <v>SMP</v>
      </c>
      <c r="W989">
        <v>44.650469999999999</v>
      </c>
      <c r="X989">
        <v>-23.585999999999999</v>
      </c>
    </row>
    <row r="990" spans="1:24" x14ac:dyDescent="0.35">
      <c r="A990" s="3" t="str">
        <f t="shared" si="15"/>
        <v>612070005SMP</v>
      </c>
      <c r="B990" t="s">
        <v>6210</v>
      </c>
      <c r="C990">
        <f>+VLOOKUP(Sites_per_tag[[#This Row],[Field_office]],Parameter!$A$3:$B$11,2,0)</f>
        <v>10</v>
      </c>
      <c r="E990" t="s">
        <v>5650</v>
      </c>
      <c r="F990" t="s">
        <v>5654</v>
      </c>
      <c r="H990" t="str">
        <f ca="1">PROPER(Sites_per_tag[[#This Row],[Adm2Name]])</f>
        <v>Betioky Atsimo</v>
      </c>
      <c r="I990" t="s">
        <v>5688</v>
      </c>
      <c r="K990" t="s">
        <v>2462</v>
      </c>
      <c r="L990" t="s">
        <v>5955</v>
      </c>
      <c r="Q990" t="s">
        <v>6386</v>
      </c>
      <c r="R990">
        <v>612070005</v>
      </c>
      <c r="T990" t="s">
        <v>7</v>
      </c>
      <c r="U990" s="3" t="str">
        <f>+VLOOKUP(Sites_per_tag[[#This Row],[Activity_tag]],Parameter!$A$24:$B$32,2,0)</f>
        <v>SMP</v>
      </c>
      <c r="W990">
        <v>44.679178999999998</v>
      </c>
      <c r="X990">
        <v>-23.543970999999999</v>
      </c>
    </row>
    <row r="991" spans="1:24" x14ac:dyDescent="0.35">
      <c r="A991" s="3" t="str">
        <f t="shared" si="15"/>
        <v>612070006SMP</v>
      </c>
      <c r="B991" t="s">
        <v>6210</v>
      </c>
      <c r="C991">
        <f>+VLOOKUP(Sites_per_tag[[#This Row],[Field_office]],Parameter!$A$3:$B$11,2,0)</f>
        <v>10</v>
      </c>
      <c r="E991" t="s">
        <v>5650</v>
      </c>
      <c r="F991" t="s">
        <v>5654</v>
      </c>
      <c r="H991" t="str">
        <f ca="1">PROPER(Sites_per_tag[[#This Row],[Adm2Name]])</f>
        <v>Betioky Atsimo</v>
      </c>
      <c r="I991" t="s">
        <v>5688</v>
      </c>
      <c r="K991" t="s">
        <v>2462</v>
      </c>
      <c r="L991" t="s">
        <v>5955</v>
      </c>
      <c r="Q991" t="s">
        <v>2794</v>
      </c>
      <c r="R991">
        <v>612070006</v>
      </c>
      <c r="T991" t="s">
        <v>7</v>
      </c>
      <c r="U991" s="3" t="str">
        <f>+VLOOKUP(Sites_per_tag[[#This Row],[Activity_tag]],Parameter!$A$24:$B$32,2,0)</f>
        <v>SMP</v>
      </c>
      <c r="W991">
        <v>44.684527000000003</v>
      </c>
      <c r="X991">
        <v>-23.511196999999999</v>
      </c>
    </row>
    <row r="992" spans="1:24" x14ac:dyDescent="0.35">
      <c r="A992" s="3" t="str">
        <f t="shared" si="15"/>
        <v>612070007SMP</v>
      </c>
      <c r="B992" t="s">
        <v>6210</v>
      </c>
      <c r="C992">
        <f>+VLOOKUP(Sites_per_tag[[#This Row],[Field_office]],Parameter!$A$3:$B$11,2,0)</f>
        <v>10</v>
      </c>
      <c r="E992" t="s">
        <v>5650</v>
      </c>
      <c r="F992" t="s">
        <v>5654</v>
      </c>
      <c r="H992" t="str">
        <f ca="1">PROPER(Sites_per_tag[[#This Row],[Adm2Name]])</f>
        <v>Betioky Atsimo</v>
      </c>
      <c r="I992" t="s">
        <v>5688</v>
      </c>
      <c r="K992" t="s">
        <v>2462</v>
      </c>
      <c r="L992" t="s">
        <v>5955</v>
      </c>
      <c r="Q992" t="s">
        <v>3497</v>
      </c>
      <c r="R992">
        <v>612070007</v>
      </c>
      <c r="T992" t="s">
        <v>7</v>
      </c>
      <c r="U992" s="3" t="str">
        <f>+VLOOKUP(Sites_per_tag[[#This Row],[Activity_tag]],Parameter!$A$24:$B$32,2,0)</f>
        <v>SMP</v>
      </c>
      <c r="W992">
        <v>44.625568999999999</v>
      </c>
      <c r="X992">
        <v>-23.584551000000001</v>
      </c>
    </row>
    <row r="993" spans="1:24" x14ac:dyDescent="0.35">
      <c r="A993" s="3" t="str">
        <f t="shared" si="15"/>
        <v>612080007SMP</v>
      </c>
      <c r="B993" t="s">
        <v>6210</v>
      </c>
      <c r="C993">
        <f>+VLOOKUP(Sites_per_tag[[#This Row],[Field_office]],Parameter!$A$3:$B$11,2,0)</f>
        <v>10</v>
      </c>
      <c r="E993" t="s">
        <v>5650</v>
      </c>
      <c r="F993" t="s">
        <v>5654</v>
      </c>
      <c r="H993" t="str">
        <f ca="1">PROPER(Sites_per_tag[[#This Row],[Adm2Name]])</f>
        <v>Betioky Atsimo</v>
      </c>
      <c r="I993" t="s">
        <v>5688</v>
      </c>
      <c r="K993" t="s">
        <v>2694</v>
      </c>
      <c r="L993" t="s">
        <v>5996</v>
      </c>
      <c r="Q993" t="s">
        <v>6387</v>
      </c>
      <c r="R993">
        <v>612080007</v>
      </c>
      <c r="T993" t="s">
        <v>7</v>
      </c>
      <c r="U993" s="3" t="str">
        <f>+VLOOKUP(Sites_per_tag[[#This Row],[Activity_tag]],Parameter!$A$24:$B$32,2,0)</f>
        <v>SMP</v>
      </c>
      <c r="W993">
        <v>44.963062999999998</v>
      </c>
      <c r="X993">
        <v>-23.899798000000001</v>
      </c>
    </row>
    <row r="994" spans="1:24" x14ac:dyDescent="0.35">
      <c r="A994" s="3" t="str">
        <f t="shared" si="15"/>
        <v>612100016SMP</v>
      </c>
      <c r="B994" t="s">
        <v>6210</v>
      </c>
      <c r="C994">
        <f>+VLOOKUP(Sites_per_tag[[#This Row],[Field_office]],Parameter!$A$3:$B$11,2,0)</f>
        <v>10</v>
      </c>
      <c r="E994" t="s">
        <v>5650</v>
      </c>
      <c r="F994" t="s">
        <v>5654</v>
      </c>
      <c r="H994" t="str">
        <f ca="1">PROPER(Sites_per_tag[[#This Row],[Adm2Name]])</f>
        <v>Betioky Atsimo</v>
      </c>
      <c r="I994" t="s">
        <v>5688</v>
      </c>
      <c r="K994" t="s">
        <v>3126</v>
      </c>
      <c r="L994" t="s">
        <v>6057</v>
      </c>
      <c r="Q994" t="s">
        <v>6388</v>
      </c>
      <c r="R994">
        <v>612100016</v>
      </c>
      <c r="T994" t="s">
        <v>7</v>
      </c>
      <c r="U994" s="3" t="str">
        <f>+VLOOKUP(Sites_per_tag[[#This Row],[Activity_tag]],Parameter!$A$24:$B$32,2,0)</f>
        <v>SMP</v>
      </c>
      <c r="W994">
        <v>44.389507999999999</v>
      </c>
      <c r="X994">
        <v>-23.961006999999999</v>
      </c>
    </row>
    <row r="995" spans="1:24" x14ac:dyDescent="0.35">
      <c r="A995" s="3" t="str">
        <f t="shared" si="15"/>
        <v>612120002SMP</v>
      </c>
      <c r="B995" t="s">
        <v>6210</v>
      </c>
      <c r="C995">
        <f>+VLOOKUP(Sites_per_tag[[#This Row],[Field_office]],Parameter!$A$3:$B$11,2,0)</f>
        <v>10</v>
      </c>
      <c r="E995" t="s">
        <v>5650</v>
      </c>
      <c r="F995" t="s">
        <v>5654</v>
      </c>
      <c r="H995" t="str">
        <f ca="1">PROPER(Sites_per_tag[[#This Row],[Adm2Name]])</f>
        <v>Betioky Atsimo</v>
      </c>
      <c r="I995" t="s">
        <v>5688</v>
      </c>
      <c r="K995" t="s">
        <v>3398</v>
      </c>
      <c r="L995" t="s">
        <v>6095</v>
      </c>
      <c r="Q995" t="s">
        <v>2720</v>
      </c>
      <c r="R995">
        <v>612120002</v>
      </c>
      <c r="T995" t="s">
        <v>7</v>
      </c>
      <c r="U995" s="3" t="str">
        <f>+VLOOKUP(Sites_per_tag[[#This Row],[Activity_tag]],Parameter!$A$24:$B$32,2,0)</f>
        <v>SMP</v>
      </c>
      <c r="W995">
        <v>44.714255999999999</v>
      </c>
      <c r="X995">
        <v>-23.485976000000001</v>
      </c>
    </row>
    <row r="996" spans="1:24" x14ac:dyDescent="0.35">
      <c r="A996" s="3" t="str">
        <f t="shared" si="15"/>
        <v>612120005SMP</v>
      </c>
      <c r="B996" t="s">
        <v>6210</v>
      </c>
      <c r="C996">
        <f>+VLOOKUP(Sites_per_tag[[#This Row],[Field_office]],Parameter!$A$3:$B$11,2,0)</f>
        <v>10</v>
      </c>
      <c r="E996" t="s">
        <v>5650</v>
      </c>
      <c r="F996" t="s">
        <v>5654</v>
      </c>
      <c r="H996" t="str">
        <f ca="1">PROPER(Sites_per_tag[[#This Row],[Adm2Name]])</f>
        <v>Betioky Atsimo</v>
      </c>
      <c r="I996" t="s">
        <v>5688</v>
      </c>
      <c r="K996" t="s">
        <v>3398</v>
      </c>
      <c r="L996" t="s">
        <v>6095</v>
      </c>
      <c r="Q996" t="s">
        <v>3398</v>
      </c>
      <c r="R996">
        <v>612120005</v>
      </c>
      <c r="T996" t="s">
        <v>7</v>
      </c>
      <c r="U996" s="3" t="str">
        <f>+VLOOKUP(Sites_per_tag[[#This Row],[Activity_tag]],Parameter!$A$24:$B$32,2,0)</f>
        <v>SMP</v>
      </c>
      <c r="W996">
        <v>44.698546999999998</v>
      </c>
      <c r="X996">
        <v>-23.525956000000001</v>
      </c>
    </row>
    <row r="997" spans="1:24" x14ac:dyDescent="0.35">
      <c r="A997" s="3" t="str">
        <f t="shared" si="15"/>
        <v>612130015SMP</v>
      </c>
      <c r="B997" t="s">
        <v>6210</v>
      </c>
      <c r="C997">
        <f>+VLOOKUP(Sites_per_tag[[#This Row],[Field_office]],Parameter!$A$3:$B$11,2,0)</f>
        <v>10</v>
      </c>
      <c r="E997" t="s">
        <v>5650</v>
      </c>
      <c r="F997" t="s">
        <v>5654</v>
      </c>
      <c r="H997" t="str">
        <f ca="1">PROPER(Sites_per_tag[[#This Row],[Adm2Name]])</f>
        <v>Betioky Atsimo</v>
      </c>
      <c r="I997" t="s">
        <v>5688</v>
      </c>
      <c r="K997" t="s">
        <v>5811</v>
      </c>
      <c r="L997" t="s">
        <v>6107</v>
      </c>
      <c r="Q997" t="s">
        <v>2997</v>
      </c>
      <c r="R997">
        <v>612130015</v>
      </c>
      <c r="T997" t="s">
        <v>7</v>
      </c>
      <c r="U997" s="3" t="str">
        <f>+VLOOKUP(Sites_per_tag[[#This Row],[Activity_tag]],Parameter!$A$24:$B$32,2,0)</f>
        <v>SMP</v>
      </c>
      <c r="W997">
        <v>44.710824000000002</v>
      </c>
      <c r="X997">
        <v>-23.933187</v>
      </c>
    </row>
    <row r="998" spans="1:24" x14ac:dyDescent="0.35">
      <c r="A998" s="3" t="str">
        <f t="shared" si="15"/>
        <v>612130016SMP</v>
      </c>
      <c r="B998" t="s">
        <v>6210</v>
      </c>
      <c r="C998">
        <f>+VLOOKUP(Sites_per_tag[[#This Row],[Field_office]],Parameter!$A$3:$B$11,2,0)</f>
        <v>10</v>
      </c>
      <c r="E998" t="s">
        <v>5650</v>
      </c>
      <c r="F998" t="s">
        <v>5654</v>
      </c>
      <c r="H998" t="str">
        <f ca="1">PROPER(Sites_per_tag[[#This Row],[Adm2Name]])</f>
        <v>Betioky Atsimo</v>
      </c>
      <c r="I998" t="s">
        <v>5688</v>
      </c>
      <c r="K998" t="s">
        <v>5811</v>
      </c>
      <c r="L998" t="s">
        <v>6107</v>
      </c>
      <c r="Q998" t="s">
        <v>3490</v>
      </c>
      <c r="R998">
        <v>612130016</v>
      </c>
      <c r="T998" t="s">
        <v>7</v>
      </c>
      <c r="U998" s="3" t="str">
        <f>+VLOOKUP(Sites_per_tag[[#This Row],[Activity_tag]],Parameter!$A$24:$B$32,2,0)</f>
        <v>SMP</v>
      </c>
      <c r="W998">
        <v>44.791345999999997</v>
      </c>
      <c r="X998">
        <v>-23.873118999999999</v>
      </c>
    </row>
    <row r="999" spans="1:24" x14ac:dyDescent="0.35">
      <c r="A999" s="3" t="str">
        <f t="shared" si="15"/>
        <v>612130018SMP</v>
      </c>
      <c r="B999" t="s">
        <v>6210</v>
      </c>
      <c r="C999">
        <f>+VLOOKUP(Sites_per_tag[[#This Row],[Field_office]],Parameter!$A$3:$B$11,2,0)</f>
        <v>10</v>
      </c>
      <c r="E999" t="s">
        <v>5650</v>
      </c>
      <c r="F999" t="s">
        <v>5654</v>
      </c>
      <c r="H999" t="str">
        <f ca="1">PROPER(Sites_per_tag[[#This Row],[Adm2Name]])</f>
        <v>Betioky Atsimo</v>
      </c>
      <c r="I999" t="s">
        <v>5688</v>
      </c>
      <c r="K999" t="s">
        <v>5811</v>
      </c>
      <c r="L999" t="s">
        <v>6107</v>
      </c>
      <c r="Q999" t="s">
        <v>3937</v>
      </c>
      <c r="R999">
        <v>612130018</v>
      </c>
      <c r="T999" t="s">
        <v>7</v>
      </c>
      <c r="U999" s="3" t="str">
        <f>+VLOOKUP(Sites_per_tag[[#This Row],[Activity_tag]],Parameter!$A$24:$B$32,2,0)</f>
        <v>SMP</v>
      </c>
      <c r="W999">
        <v>44.717722000000002</v>
      </c>
      <c r="X999">
        <v>-23.915320000000001</v>
      </c>
    </row>
    <row r="1000" spans="1:24" x14ac:dyDescent="0.35">
      <c r="A1000" s="3" t="str">
        <f t="shared" si="15"/>
        <v>612140001SMP</v>
      </c>
      <c r="B1000" t="s">
        <v>6210</v>
      </c>
      <c r="C1000">
        <f>+VLOOKUP(Sites_per_tag[[#This Row],[Field_office]],Parameter!$A$3:$B$11,2,0)</f>
        <v>10</v>
      </c>
      <c r="E1000" t="s">
        <v>5650</v>
      </c>
      <c r="F1000" t="s">
        <v>5654</v>
      </c>
      <c r="H1000" t="str">
        <f ca="1">PROPER(Sites_per_tag[[#This Row],[Adm2Name]])</f>
        <v>Betioky Atsimo</v>
      </c>
      <c r="I1000" t="s">
        <v>5688</v>
      </c>
      <c r="K1000" t="s">
        <v>6111</v>
      </c>
      <c r="L1000" t="s">
        <v>6112</v>
      </c>
      <c r="Q1000" t="s">
        <v>3508</v>
      </c>
      <c r="R1000">
        <v>612140001</v>
      </c>
      <c r="T1000" t="s">
        <v>7</v>
      </c>
      <c r="U1000" s="3" t="str">
        <f>+VLOOKUP(Sites_per_tag[[#This Row],[Activity_tag]],Parameter!$A$24:$B$32,2,0)</f>
        <v>SMP</v>
      </c>
      <c r="W1000">
        <v>44.907043000000002</v>
      </c>
      <c r="X1000">
        <v>-23.882856</v>
      </c>
    </row>
    <row r="1001" spans="1:24" x14ac:dyDescent="0.35">
      <c r="A1001" s="3" t="str">
        <f t="shared" si="15"/>
        <v>612150001SMP</v>
      </c>
      <c r="B1001" t="s">
        <v>6210</v>
      </c>
      <c r="C1001">
        <f>+VLOOKUP(Sites_per_tag[[#This Row],[Field_office]],Parameter!$A$3:$B$11,2,0)</f>
        <v>10</v>
      </c>
      <c r="E1001" t="s">
        <v>5650</v>
      </c>
      <c r="F1001" t="s">
        <v>5654</v>
      </c>
      <c r="H1001" t="str">
        <f ca="1">PROPER(Sites_per_tag[[#This Row],[Adm2Name]])</f>
        <v>Betioky Atsimo</v>
      </c>
      <c r="I1001" t="s">
        <v>5688</v>
      </c>
      <c r="K1001" t="s">
        <v>3549</v>
      </c>
      <c r="L1001" t="s">
        <v>6117</v>
      </c>
      <c r="Q1001" t="s">
        <v>6389</v>
      </c>
      <c r="R1001">
        <v>612150001</v>
      </c>
      <c r="T1001" t="s">
        <v>7</v>
      </c>
      <c r="U1001" s="3" t="str">
        <f>+VLOOKUP(Sites_per_tag[[#This Row],[Activity_tag]],Parameter!$A$24:$B$32,2,0)</f>
        <v>SMP</v>
      </c>
      <c r="W1001">
        <v>44.349114</v>
      </c>
      <c r="X1001">
        <v>-23.662405</v>
      </c>
    </row>
    <row r="1002" spans="1:24" x14ac:dyDescent="0.35">
      <c r="A1002" s="3" t="str">
        <f t="shared" si="15"/>
        <v>612150004SMP</v>
      </c>
      <c r="B1002" t="s">
        <v>6210</v>
      </c>
      <c r="C1002">
        <f>+VLOOKUP(Sites_per_tag[[#This Row],[Field_office]],Parameter!$A$3:$B$11,2,0)</f>
        <v>10</v>
      </c>
      <c r="E1002" t="s">
        <v>5650</v>
      </c>
      <c r="F1002" t="s">
        <v>5654</v>
      </c>
      <c r="H1002" t="str">
        <f ca="1">PROPER(Sites_per_tag[[#This Row],[Adm2Name]])</f>
        <v>Betioky Atsimo</v>
      </c>
      <c r="I1002" t="s">
        <v>5688</v>
      </c>
      <c r="K1002" t="s">
        <v>3549</v>
      </c>
      <c r="L1002" t="s">
        <v>6117</v>
      </c>
      <c r="Q1002" t="s">
        <v>6390</v>
      </c>
      <c r="R1002">
        <v>612150004</v>
      </c>
      <c r="T1002" t="s">
        <v>7</v>
      </c>
      <c r="U1002" s="3" t="str">
        <f>+VLOOKUP(Sites_per_tag[[#This Row],[Activity_tag]],Parameter!$A$24:$B$32,2,0)</f>
        <v>SMP</v>
      </c>
      <c r="W1002">
        <v>44.291007999999998</v>
      </c>
      <c r="X1002">
        <v>-23.572410999999999</v>
      </c>
    </row>
    <row r="1003" spans="1:24" x14ac:dyDescent="0.35">
      <c r="A1003" s="3" t="str">
        <f t="shared" si="15"/>
        <v>612150005SMP</v>
      </c>
      <c r="B1003" t="s">
        <v>6210</v>
      </c>
      <c r="C1003">
        <f>+VLOOKUP(Sites_per_tag[[#This Row],[Field_office]],Parameter!$A$3:$B$11,2,0)</f>
        <v>10</v>
      </c>
      <c r="E1003" t="s">
        <v>5650</v>
      </c>
      <c r="F1003" t="s">
        <v>5654</v>
      </c>
      <c r="H1003" t="str">
        <f ca="1">PROPER(Sites_per_tag[[#This Row],[Adm2Name]])</f>
        <v>Betioky Atsimo</v>
      </c>
      <c r="I1003" t="s">
        <v>5688</v>
      </c>
      <c r="K1003" t="s">
        <v>3549</v>
      </c>
      <c r="L1003" t="s">
        <v>6117</v>
      </c>
      <c r="Q1003" t="s">
        <v>6391</v>
      </c>
      <c r="R1003">
        <v>612150005</v>
      </c>
      <c r="T1003" t="s">
        <v>7</v>
      </c>
      <c r="U1003" s="3" t="str">
        <f>+VLOOKUP(Sites_per_tag[[#This Row],[Activity_tag]],Parameter!$A$24:$B$32,2,0)</f>
        <v>SMP</v>
      </c>
      <c r="W1003">
        <v>44.263429000000002</v>
      </c>
      <c r="X1003">
        <v>-23.583696</v>
      </c>
    </row>
    <row r="1004" spans="1:24" x14ac:dyDescent="0.35">
      <c r="A1004" s="3" t="str">
        <f t="shared" si="15"/>
        <v>612150007SMP</v>
      </c>
      <c r="B1004" t="s">
        <v>6210</v>
      </c>
      <c r="C1004">
        <f>+VLOOKUP(Sites_per_tag[[#This Row],[Field_office]],Parameter!$A$3:$B$11,2,0)</f>
        <v>10</v>
      </c>
      <c r="E1004" t="s">
        <v>5650</v>
      </c>
      <c r="F1004" t="s">
        <v>5654</v>
      </c>
      <c r="H1004" t="str">
        <f ca="1">PROPER(Sites_per_tag[[#This Row],[Adm2Name]])</f>
        <v>Betioky Atsimo</v>
      </c>
      <c r="I1004" t="s">
        <v>5688</v>
      </c>
      <c r="K1004" t="s">
        <v>3549</v>
      </c>
      <c r="L1004" t="s">
        <v>6117</v>
      </c>
      <c r="Q1004" t="s">
        <v>2696</v>
      </c>
      <c r="R1004">
        <v>612150007</v>
      </c>
      <c r="T1004" t="s">
        <v>7</v>
      </c>
      <c r="U1004" s="3" t="str">
        <f>+VLOOKUP(Sites_per_tag[[#This Row],[Activity_tag]],Parameter!$A$24:$B$32,2,0)</f>
        <v>SMP</v>
      </c>
      <c r="W1004">
        <v>44.239336999999999</v>
      </c>
      <c r="X1004">
        <v>-23.577893</v>
      </c>
    </row>
    <row r="1005" spans="1:24" x14ac:dyDescent="0.35">
      <c r="A1005" s="3" t="str">
        <f t="shared" si="15"/>
        <v>612150008SMP</v>
      </c>
      <c r="B1005" t="s">
        <v>6210</v>
      </c>
      <c r="C1005">
        <f>+VLOOKUP(Sites_per_tag[[#This Row],[Field_office]],Parameter!$A$3:$B$11,2,0)</f>
        <v>10</v>
      </c>
      <c r="E1005" t="s">
        <v>5650</v>
      </c>
      <c r="F1005" t="s">
        <v>5654</v>
      </c>
      <c r="H1005" t="str">
        <f ca="1">PROPER(Sites_per_tag[[#This Row],[Adm2Name]])</f>
        <v>Betioky Atsimo</v>
      </c>
      <c r="I1005" t="s">
        <v>5688</v>
      </c>
      <c r="K1005" t="s">
        <v>3549</v>
      </c>
      <c r="L1005" t="s">
        <v>6117</v>
      </c>
      <c r="Q1005" t="s">
        <v>3314</v>
      </c>
      <c r="R1005">
        <v>612150008</v>
      </c>
      <c r="T1005" t="s">
        <v>7</v>
      </c>
      <c r="U1005" s="3" t="str">
        <f>+VLOOKUP(Sites_per_tag[[#This Row],[Activity_tag]],Parameter!$A$24:$B$32,2,0)</f>
        <v>SMP</v>
      </c>
      <c r="W1005">
        <v>44.319329000000003</v>
      </c>
      <c r="X1005">
        <v>-23.560431999999999</v>
      </c>
    </row>
    <row r="1006" spans="1:24" x14ac:dyDescent="0.35">
      <c r="A1006" s="3" t="str">
        <f t="shared" si="15"/>
        <v>612150009SMP</v>
      </c>
      <c r="B1006" t="s">
        <v>6210</v>
      </c>
      <c r="C1006">
        <f>+VLOOKUP(Sites_per_tag[[#This Row],[Field_office]],Parameter!$A$3:$B$11,2,0)</f>
        <v>10</v>
      </c>
      <c r="E1006" t="s">
        <v>5650</v>
      </c>
      <c r="F1006" t="s">
        <v>5654</v>
      </c>
      <c r="H1006" t="str">
        <f ca="1">PROPER(Sites_per_tag[[#This Row],[Adm2Name]])</f>
        <v>Betioky Atsimo</v>
      </c>
      <c r="I1006" t="s">
        <v>5688</v>
      </c>
      <c r="K1006" t="s">
        <v>3549</v>
      </c>
      <c r="L1006" t="s">
        <v>6117</v>
      </c>
      <c r="Q1006" t="s">
        <v>6392</v>
      </c>
      <c r="R1006">
        <v>612150009</v>
      </c>
      <c r="T1006" t="s">
        <v>7</v>
      </c>
      <c r="U1006" s="3" t="str">
        <f>+VLOOKUP(Sites_per_tag[[#This Row],[Activity_tag]],Parameter!$A$24:$B$32,2,0)</f>
        <v>SMP</v>
      </c>
      <c r="W1006">
        <v>44.301343000000003</v>
      </c>
      <c r="X1006">
        <v>-23.546163</v>
      </c>
    </row>
    <row r="1007" spans="1:24" x14ac:dyDescent="0.35">
      <c r="A1007" s="3" t="str">
        <f t="shared" si="15"/>
        <v>612150011SMP</v>
      </c>
      <c r="B1007" t="s">
        <v>6210</v>
      </c>
      <c r="C1007">
        <f>+VLOOKUP(Sites_per_tag[[#This Row],[Field_office]],Parameter!$A$3:$B$11,2,0)</f>
        <v>10</v>
      </c>
      <c r="E1007" t="s">
        <v>5650</v>
      </c>
      <c r="F1007" t="s">
        <v>5654</v>
      </c>
      <c r="H1007" t="str">
        <f ca="1">PROPER(Sites_per_tag[[#This Row],[Adm2Name]])</f>
        <v>Betioky Atsimo</v>
      </c>
      <c r="I1007" t="s">
        <v>5688</v>
      </c>
      <c r="K1007" t="s">
        <v>3549</v>
      </c>
      <c r="L1007" t="s">
        <v>6117</v>
      </c>
      <c r="Q1007" t="s">
        <v>2694</v>
      </c>
      <c r="R1007">
        <v>612150011</v>
      </c>
      <c r="T1007" t="s">
        <v>7</v>
      </c>
      <c r="U1007" s="3" t="str">
        <f>+VLOOKUP(Sites_per_tag[[#This Row],[Activity_tag]],Parameter!$A$24:$B$32,2,0)</f>
        <v>SMP</v>
      </c>
      <c r="W1007">
        <v>44.297584000000001</v>
      </c>
      <c r="X1007">
        <v>-23.603849</v>
      </c>
    </row>
    <row r="1008" spans="1:24" x14ac:dyDescent="0.35">
      <c r="A1008" s="3" t="str">
        <f t="shared" si="15"/>
        <v>612150013SMP</v>
      </c>
      <c r="B1008" t="s">
        <v>6210</v>
      </c>
      <c r="C1008">
        <f>+VLOOKUP(Sites_per_tag[[#This Row],[Field_office]],Parameter!$A$3:$B$11,2,0)</f>
        <v>10</v>
      </c>
      <c r="E1008" t="s">
        <v>5650</v>
      </c>
      <c r="F1008" t="s">
        <v>5654</v>
      </c>
      <c r="H1008" t="str">
        <f ca="1">PROPER(Sites_per_tag[[#This Row],[Adm2Name]])</f>
        <v>Betioky Atsimo</v>
      </c>
      <c r="I1008" t="s">
        <v>5688</v>
      </c>
      <c r="K1008" t="s">
        <v>3549</v>
      </c>
      <c r="L1008" t="s">
        <v>6117</v>
      </c>
      <c r="Q1008" t="s">
        <v>1869</v>
      </c>
      <c r="R1008">
        <v>612150013</v>
      </c>
      <c r="T1008" t="s">
        <v>7</v>
      </c>
      <c r="U1008" s="3" t="str">
        <f>+VLOOKUP(Sites_per_tag[[#This Row],[Activity_tag]],Parameter!$A$24:$B$32,2,0)</f>
        <v>SMP</v>
      </c>
      <c r="W1008">
        <v>44.277298999999999</v>
      </c>
      <c r="X1008">
        <v>-23.578983000000001</v>
      </c>
    </row>
    <row r="1009" spans="1:24" x14ac:dyDescent="0.35">
      <c r="A1009" s="3" t="str">
        <f t="shared" si="15"/>
        <v>612150016SMP</v>
      </c>
      <c r="B1009" t="s">
        <v>6210</v>
      </c>
      <c r="C1009">
        <f>+VLOOKUP(Sites_per_tag[[#This Row],[Field_office]],Parameter!$A$3:$B$11,2,0)</f>
        <v>10</v>
      </c>
      <c r="E1009" t="s">
        <v>5650</v>
      </c>
      <c r="F1009" t="s">
        <v>5654</v>
      </c>
      <c r="H1009" t="str">
        <f ca="1">PROPER(Sites_per_tag[[#This Row],[Adm2Name]])</f>
        <v>Betioky Atsimo</v>
      </c>
      <c r="I1009" t="s">
        <v>5688</v>
      </c>
      <c r="K1009" t="s">
        <v>3549</v>
      </c>
      <c r="L1009" t="s">
        <v>6117</v>
      </c>
      <c r="Q1009" t="s">
        <v>974</v>
      </c>
      <c r="R1009">
        <v>612150016</v>
      </c>
      <c r="T1009" t="s">
        <v>7</v>
      </c>
      <c r="U1009" s="3" t="str">
        <f>+VLOOKUP(Sites_per_tag[[#This Row],[Activity_tag]],Parameter!$A$24:$B$32,2,0)</f>
        <v>SMP</v>
      </c>
      <c r="W1009">
        <v>44.320298999999999</v>
      </c>
      <c r="X1009">
        <v>-23.535558000000002</v>
      </c>
    </row>
    <row r="1010" spans="1:24" x14ac:dyDescent="0.35">
      <c r="A1010" s="3" t="str">
        <f t="shared" si="15"/>
        <v>612170003SMP</v>
      </c>
      <c r="B1010" t="s">
        <v>6210</v>
      </c>
      <c r="C1010">
        <f>+VLOOKUP(Sites_per_tag[[#This Row],[Field_office]],Parameter!$A$3:$B$11,2,0)</f>
        <v>10</v>
      </c>
      <c r="E1010" t="s">
        <v>5650</v>
      </c>
      <c r="F1010" t="s">
        <v>5654</v>
      </c>
      <c r="H1010" t="str">
        <f ca="1">PROPER(Sites_per_tag[[#This Row],[Adm2Name]])</f>
        <v>Betioky Atsimo</v>
      </c>
      <c r="I1010" t="s">
        <v>5688</v>
      </c>
      <c r="K1010" t="s">
        <v>3691</v>
      </c>
      <c r="L1010" t="s">
        <v>6136</v>
      </c>
      <c r="Q1010" t="s">
        <v>581</v>
      </c>
      <c r="R1010">
        <v>612170003</v>
      </c>
      <c r="T1010" t="s">
        <v>7</v>
      </c>
      <c r="U1010" s="3" t="str">
        <f>+VLOOKUP(Sites_per_tag[[#This Row],[Activity_tag]],Parameter!$A$24:$B$32,2,0)</f>
        <v>SMP</v>
      </c>
      <c r="W1010">
        <v>44.294007999999998</v>
      </c>
      <c r="X1010">
        <v>-23.518644999999999</v>
      </c>
    </row>
    <row r="1011" spans="1:24" x14ac:dyDescent="0.35">
      <c r="A1011" s="3" t="str">
        <f t="shared" si="15"/>
        <v>612170007SMP</v>
      </c>
      <c r="B1011" t="s">
        <v>6210</v>
      </c>
      <c r="C1011">
        <f>+VLOOKUP(Sites_per_tag[[#This Row],[Field_office]],Parameter!$A$3:$B$11,2,0)</f>
        <v>10</v>
      </c>
      <c r="E1011" t="s">
        <v>5650</v>
      </c>
      <c r="F1011" t="s">
        <v>5654</v>
      </c>
      <c r="H1011" t="str">
        <f ca="1">PROPER(Sites_per_tag[[#This Row],[Adm2Name]])</f>
        <v>Betioky Atsimo</v>
      </c>
      <c r="I1011" t="s">
        <v>5688</v>
      </c>
      <c r="K1011" t="s">
        <v>3691</v>
      </c>
      <c r="L1011" t="s">
        <v>6136</v>
      </c>
      <c r="Q1011" t="s">
        <v>6393</v>
      </c>
      <c r="R1011">
        <v>612170007</v>
      </c>
      <c r="T1011" t="s">
        <v>7</v>
      </c>
      <c r="U1011" s="3" t="str">
        <f>+VLOOKUP(Sites_per_tag[[#This Row],[Activity_tag]],Parameter!$A$24:$B$32,2,0)</f>
        <v>SMP</v>
      </c>
      <c r="W1011">
        <v>44.328895000000003</v>
      </c>
      <c r="X1011">
        <v>-23.421689000000001</v>
      </c>
    </row>
    <row r="1012" spans="1:24" x14ac:dyDescent="0.35">
      <c r="A1012" s="3" t="str">
        <f t="shared" si="15"/>
        <v>612170013SMP</v>
      </c>
      <c r="B1012" t="s">
        <v>6210</v>
      </c>
      <c r="C1012">
        <f>+VLOOKUP(Sites_per_tag[[#This Row],[Field_office]],Parameter!$A$3:$B$11,2,0)</f>
        <v>10</v>
      </c>
      <c r="E1012" t="s">
        <v>5650</v>
      </c>
      <c r="F1012" t="s">
        <v>5654</v>
      </c>
      <c r="H1012" t="str">
        <f ca="1">PROPER(Sites_per_tag[[#This Row],[Adm2Name]])</f>
        <v>Betioky Atsimo</v>
      </c>
      <c r="I1012" t="s">
        <v>5688</v>
      </c>
      <c r="K1012" t="s">
        <v>3691</v>
      </c>
      <c r="L1012" t="s">
        <v>6136</v>
      </c>
      <c r="Q1012" t="s">
        <v>3691</v>
      </c>
      <c r="R1012">
        <v>612170013</v>
      </c>
      <c r="T1012" t="s">
        <v>7</v>
      </c>
      <c r="U1012" s="3" t="str">
        <f>+VLOOKUP(Sites_per_tag[[#This Row],[Activity_tag]],Parameter!$A$24:$B$32,2,0)</f>
        <v>SMP</v>
      </c>
      <c r="W1012">
        <v>44.325592999999998</v>
      </c>
      <c r="X1012">
        <v>-23.533100000000001</v>
      </c>
    </row>
    <row r="1013" spans="1:24" x14ac:dyDescent="0.35">
      <c r="A1013" s="3" t="str">
        <f t="shared" si="15"/>
        <v>612170023SMP</v>
      </c>
      <c r="B1013" t="s">
        <v>6210</v>
      </c>
      <c r="C1013">
        <f>+VLOOKUP(Sites_per_tag[[#This Row],[Field_office]],Parameter!$A$3:$B$11,2,0)</f>
        <v>10</v>
      </c>
      <c r="E1013" t="s">
        <v>5650</v>
      </c>
      <c r="F1013" t="s">
        <v>5654</v>
      </c>
      <c r="H1013" t="str">
        <f ca="1">PROPER(Sites_per_tag[[#This Row],[Adm2Name]])</f>
        <v>Betioky Atsimo</v>
      </c>
      <c r="I1013" t="s">
        <v>5688</v>
      </c>
      <c r="K1013" t="s">
        <v>3691</v>
      </c>
      <c r="L1013" t="s">
        <v>6136</v>
      </c>
      <c r="Q1013" t="s">
        <v>6270</v>
      </c>
      <c r="R1013">
        <v>612170023</v>
      </c>
      <c r="T1013" t="s">
        <v>7</v>
      </c>
      <c r="U1013" s="3" t="str">
        <f>+VLOOKUP(Sites_per_tag[[#This Row],[Activity_tag]],Parameter!$A$24:$B$32,2,0)</f>
        <v>SMP</v>
      </c>
      <c r="W1013">
        <v>44.282572999999999</v>
      </c>
      <c r="X1013">
        <v>-23.530867000000001</v>
      </c>
    </row>
    <row r="1014" spans="1:24" x14ac:dyDescent="0.35">
      <c r="A1014" s="3" t="str">
        <f t="shared" si="15"/>
        <v>612190005SMP</v>
      </c>
      <c r="B1014" t="s">
        <v>6210</v>
      </c>
      <c r="C1014">
        <f>+VLOOKUP(Sites_per_tag[[#This Row],[Field_office]],Parameter!$A$3:$B$11,2,0)</f>
        <v>10</v>
      </c>
      <c r="E1014" t="s">
        <v>5650</v>
      </c>
      <c r="F1014" t="s">
        <v>5654</v>
      </c>
      <c r="H1014" t="str">
        <f ca="1">PROPER(Sites_per_tag[[#This Row],[Adm2Name]])</f>
        <v>Betioky Atsimo</v>
      </c>
      <c r="I1014" t="s">
        <v>5688</v>
      </c>
      <c r="K1014" t="s">
        <v>5772</v>
      </c>
      <c r="L1014" t="s">
        <v>5835</v>
      </c>
      <c r="Q1014" t="s">
        <v>2375</v>
      </c>
      <c r="R1014">
        <v>612190005</v>
      </c>
      <c r="T1014" t="s">
        <v>7</v>
      </c>
      <c r="U1014" s="3" t="str">
        <f>+VLOOKUP(Sites_per_tag[[#This Row],[Activity_tag]],Parameter!$A$24:$B$32,2,0)</f>
        <v>SMP</v>
      </c>
      <c r="W1014">
        <v>44.386744999999998</v>
      </c>
      <c r="X1014">
        <v>-23.697794999999999</v>
      </c>
    </row>
    <row r="1015" spans="1:24" x14ac:dyDescent="0.35">
      <c r="A1015" s="3" t="str">
        <f t="shared" si="15"/>
        <v>612190006SMP</v>
      </c>
      <c r="B1015" t="s">
        <v>6210</v>
      </c>
      <c r="C1015">
        <f>+VLOOKUP(Sites_per_tag[[#This Row],[Field_office]],Parameter!$A$3:$B$11,2,0)</f>
        <v>10</v>
      </c>
      <c r="E1015" t="s">
        <v>5650</v>
      </c>
      <c r="F1015" t="s">
        <v>5654</v>
      </c>
      <c r="H1015" t="str">
        <f ca="1">PROPER(Sites_per_tag[[#This Row],[Adm2Name]])</f>
        <v>Betioky Atsimo</v>
      </c>
      <c r="I1015" t="s">
        <v>5688</v>
      </c>
      <c r="K1015" t="s">
        <v>5772</v>
      </c>
      <c r="L1015" t="s">
        <v>5835</v>
      </c>
      <c r="Q1015" t="s">
        <v>2377</v>
      </c>
      <c r="R1015">
        <v>612190006</v>
      </c>
      <c r="T1015" t="s">
        <v>7</v>
      </c>
      <c r="U1015" s="3" t="str">
        <f>+VLOOKUP(Sites_per_tag[[#This Row],[Activity_tag]],Parameter!$A$24:$B$32,2,0)</f>
        <v>SMP</v>
      </c>
      <c r="W1015">
        <v>44.384334000000003</v>
      </c>
      <c r="X1015">
        <v>-23.690456000000001</v>
      </c>
    </row>
    <row r="1016" spans="1:24" x14ac:dyDescent="0.35">
      <c r="A1016" s="3" t="str">
        <f t="shared" si="15"/>
        <v>612190012SMP</v>
      </c>
      <c r="B1016" t="s">
        <v>6210</v>
      </c>
      <c r="C1016">
        <f>+VLOOKUP(Sites_per_tag[[#This Row],[Field_office]],Parameter!$A$3:$B$11,2,0)</f>
        <v>10</v>
      </c>
      <c r="E1016" t="s">
        <v>5650</v>
      </c>
      <c r="F1016" t="s">
        <v>5654</v>
      </c>
      <c r="H1016" t="str">
        <f ca="1">PROPER(Sites_per_tag[[#This Row],[Adm2Name]])</f>
        <v>Betioky Atsimo</v>
      </c>
      <c r="I1016" t="s">
        <v>5688</v>
      </c>
      <c r="K1016" t="s">
        <v>5772</v>
      </c>
      <c r="L1016" t="s">
        <v>5835</v>
      </c>
      <c r="Q1016" t="s">
        <v>2383</v>
      </c>
      <c r="R1016">
        <v>612190012</v>
      </c>
      <c r="T1016" t="s">
        <v>7</v>
      </c>
      <c r="U1016" s="3" t="str">
        <f>+VLOOKUP(Sites_per_tag[[#This Row],[Activity_tag]],Parameter!$A$24:$B$32,2,0)</f>
        <v>SMP</v>
      </c>
      <c r="W1016">
        <v>44.385725000000001</v>
      </c>
      <c r="X1016">
        <v>-23.716183999999998</v>
      </c>
    </row>
    <row r="1017" spans="1:24" x14ac:dyDescent="0.35">
      <c r="A1017" s="3" t="str">
        <f t="shared" si="15"/>
        <v>612190022SMP</v>
      </c>
      <c r="B1017" t="s">
        <v>6210</v>
      </c>
      <c r="C1017">
        <f>+VLOOKUP(Sites_per_tag[[#This Row],[Field_office]],Parameter!$A$3:$B$11,2,0)</f>
        <v>10</v>
      </c>
      <c r="E1017" t="s">
        <v>5650</v>
      </c>
      <c r="F1017" t="s">
        <v>5654</v>
      </c>
      <c r="H1017" t="str">
        <f ca="1">PROPER(Sites_per_tag[[#This Row],[Adm2Name]])</f>
        <v>Betioky Atsimo</v>
      </c>
      <c r="I1017" t="s">
        <v>5688</v>
      </c>
      <c r="K1017" t="s">
        <v>5772</v>
      </c>
      <c r="L1017" t="s">
        <v>5835</v>
      </c>
      <c r="Q1017" t="s">
        <v>22</v>
      </c>
      <c r="R1017">
        <v>612190022</v>
      </c>
      <c r="T1017" t="s">
        <v>7</v>
      </c>
      <c r="U1017" s="3" t="str">
        <f>+VLOOKUP(Sites_per_tag[[#This Row],[Activity_tag]],Parameter!$A$24:$B$32,2,0)</f>
        <v>SMP</v>
      </c>
      <c r="W1017">
        <v>44.433871000000003</v>
      </c>
      <c r="X1017">
        <v>-23.698808</v>
      </c>
    </row>
    <row r="1018" spans="1:24" x14ac:dyDescent="0.35">
      <c r="A1018" s="3" t="str">
        <f t="shared" si="15"/>
        <v>612210001SMP</v>
      </c>
      <c r="B1018" t="s">
        <v>6210</v>
      </c>
      <c r="C1018">
        <f>+VLOOKUP(Sites_per_tag[[#This Row],[Field_office]],Parameter!$A$3:$B$11,2,0)</f>
        <v>10</v>
      </c>
      <c r="E1018" t="s">
        <v>5650</v>
      </c>
      <c r="F1018" t="s">
        <v>5654</v>
      </c>
      <c r="H1018" t="str">
        <f ca="1">PROPER(Sites_per_tag[[#This Row],[Adm2Name]])</f>
        <v>Betioky Atsimo</v>
      </c>
      <c r="I1018" t="s">
        <v>5688</v>
      </c>
      <c r="K1018" t="s">
        <v>1184</v>
      </c>
      <c r="L1018" t="s">
        <v>5834</v>
      </c>
      <c r="Q1018" t="s">
        <v>6394</v>
      </c>
      <c r="R1018">
        <v>612210001</v>
      </c>
      <c r="T1018" t="s">
        <v>7</v>
      </c>
      <c r="U1018" s="3" t="str">
        <f>+VLOOKUP(Sites_per_tag[[#This Row],[Activity_tag]],Parameter!$A$24:$B$32,2,0)</f>
        <v>SMP</v>
      </c>
      <c r="W1018">
        <v>44.098345999999999</v>
      </c>
      <c r="X1018">
        <v>-23.723755000000001</v>
      </c>
    </row>
    <row r="1019" spans="1:24" x14ac:dyDescent="0.35">
      <c r="A1019" s="3" t="str">
        <f t="shared" si="15"/>
        <v>612210002SMP</v>
      </c>
      <c r="B1019" t="s">
        <v>6210</v>
      </c>
      <c r="C1019">
        <f>+VLOOKUP(Sites_per_tag[[#This Row],[Field_office]],Parameter!$A$3:$B$11,2,0)</f>
        <v>10</v>
      </c>
      <c r="E1019" t="s">
        <v>5650</v>
      </c>
      <c r="F1019" t="s">
        <v>5654</v>
      </c>
      <c r="H1019" t="str">
        <f ca="1">PROPER(Sites_per_tag[[#This Row],[Adm2Name]])</f>
        <v>Betioky Atsimo</v>
      </c>
      <c r="I1019" t="s">
        <v>5688</v>
      </c>
      <c r="K1019" t="s">
        <v>1184</v>
      </c>
      <c r="L1019" t="s">
        <v>5834</v>
      </c>
      <c r="Q1019" t="s">
        <v>6395</v>
      </c>
      <c r="R1019">
        <v>612210002</v>
      </c>
      <c r="T1019" t="s">
        <v>7</v>
      </c>
      <c r="U1019" s="3" t="str">
        <f>+VLOOKUP(Sites_per_tag[[#This Row],[Activity_tag]],Parameter!$A$24:$B$32,2,0)</f>
        <v>SMP</v>
      </c>
      <c r="W1019">
        <v>44.137548000000002</v>
      </c>
      <c r="X1019">
        <v>-23.653338999999999</v>
      </c>
    </row>
    <row r="1020" spans="1:24" x14ac:dyDescent="0.35">
      <c r="A1020" s="3" t="str">
        <f t="shared" si="15"/>
        <v>612210003SMP</v>
      </c>
      <c r="B1020" t="s">
        <v>6210</v>
      </c>
      <c r="C1020">
        <f>+VLOOKUP(Sites_per_tag[[#This Row],[Field_office]],Parameter!$A$3:$B$11,2,0)</f>
        <v>10</v>
      </c>
      <c r="E1020" t="s">
        <v>5650</v>
      </c>
      <c r="F1020" t="s">
        <v>5654</v>
      </c>
      <c r="H1020" t="str">
        <f ca="1">PROPER(Sites_per_tag[[#This Row],[Adm2Name]])</f>
        <v>Betioky Atsimo</v>
      </c>
      <c r="I1020" t="s">
        <v>5688</v>
      </c>
      <c r="K1020" t="s">
        <v>1184</v>
      </c>
      <c r="L1020" t="s">
        <v>5834</v>
      </c>
      <c r="Q1020" t="s">
        <v>6325</v>
      </c>
      <c r="R1020">
        <v>612210003</v>
      </c>
      <c r="T1020" t="s">
        <v>7</v>
      </c>
      <c r="U1020" s="3" t="str">
        <f>+VLOOKUP(Sites_per_tag[[#This Row],[Activity_tag]],Parameter!$A$24:$B$32,2,0)</f>
        <v>SMP</v>
      </c>
      <c r="W1020">
        <v>44.180295999999998</v>
      </c>
      <c r="X1020">
        <v>-23.692184000000001</v>
      </c>
    </row>
    <row r="1021" spans="1:24" x14ac:dyDescent="0.35">
      <c r="A1021" s="3" t="str">
        <f t="shared" si="15"/>
        <v>612210004SMP</v>
      </c>
      <c r="B1021" t="s">
        <v>6210</v>
      </c>
      <c r="C1021">
        <f>+VLOOKUP(Sites_per_tag[[#This Row],[Field_office]],Parameter!$A$3:$B$11,2,0)</f>
        <v>10</v>
      </c>
      <c r="E1021" t="s">
        <v>5650</v>
      </c>
      <c r="F1021" t="s">
        <v>5654</v>
      </c>
      <c r="H1021" t="str">
        <f ca="1">PROPER(Sites_per_tag[[#This Row],[Adm2Name]])</f>
        <v>Betioky Atsimo</v>
      </c>
      <c r="I1021" t="s">
        <v>5688</v>
      </c>
      <c r="K1021" t="s">
        <v>1184</v>
      </c>
      <c r="L1021" t="s">
        <v>5834</v>
      </c>
      <c r="Q1021" t="s">
        <v>6396</v>
      </c>
      <c r="R1021">
        <v>612210004</v>
      </c>
      <c r="T1021" t="s">
        <v>7</v>
      </c>
      <c r="U1021" s="3" t="str">
        <f>+VLOOKUP(Sites_per_tag[[#This Row],[Activity_tag]],Parameter!$A$24:$B$32,2,0)</f>
        <v>SMP</v>
      </c>
      <c r="W1021">
        <v>44.093434999999999</v>
      </c>
      <c r="X1021">
        <v>-23.616637999999998</v>
      </c>
    </row>
    <row r="1022" spans="1:24" x14ac:dyDescent="0.35">
      <c r="A1022" s="3" t="str">
        <f t="shared" si="15"/>
        <v>612230005SMP</v>
      </c>
      <c r="B1022" t="s">
        <v>6210</v>
      </c>
      <c r="C1022">
        <f>+VLOOKUP(Sites_per_tag[[#This Row],[Field_office]],Parameter!$A$3:$B$11,2,0)</f>
        <v>10</v>
      </c>
      <c r="E1022" t="s">
        <v>5650</v>
      </c>
      <c r="F1022" t="s">
        <v>5654</v>
      </c>
      <c r="H1022" t="str">
        <f ca="1">PROPER(Sites_per_tag[[#This Row],[Adm2Name]])</f>
        <v>Betioky Atsimo</v>
      </c>
      <c r="I1022" t="s">
        <v>5688</v>
      </c>
      <c r="K1022" t="s">
        <v>5798</v>
      </c>
      <c r="L1022" t="s">
        <v>6041</v>
      </c>
      <c r="Q1022" t="s">
        <v>6397</v>
      </c>
      <c r="R1022">
        <v>612230005</v>
      </c>
      <c r="T1022" t="s">
        <v>7</v>
      </c>
      <c r="U1022" s="3" t="str">
        <f>+VLOOKUP(Sites_per_tag[[#This Row],[Activity_tag]],Parameter!$A$24:$B$32,2,0)</f>
        <v>SMP</v>
      </c>
      <c r="W1022">
        <v>44.095244999999998</v>
      </c>
      <c r="X1022">
        <v>-23.797329000000001</v>
      </c>
    </row>
    <row r="1023" spans="1:24" x14ac:dyDescent="0.35">
      <c r="A1023" s="3" t="str">
        <f t="shared" si="15"/>
        <v>612230009SMP</v>
      </c>
      <c r="B1023" t="s">
        <v>6210</v>
      </c>
      <c r="C1023">
        <f>+VLOOKUP(Sites_per_tag[[#This Row],[Field_office]],Parameter!$A$3:$B$11,2,0)</f>
        <v>10</v>
      </c>
      <c r="E1023" t="s">
        <v>5650</v>
      </c>
      <c r="F1023" t="s">
        <v>5654</v>
      </c>
      <c r="H1023" t="str">
        <f ca="1">PROPER(Sites_per_tag[[#This Row],[Adm2Name]])</f>
        <v>Betioky Atsimo</v>
      </c>
      <c r="I1023" t="s">
        <v>5688</v>
      </c>
      <c r="K1023" t="s">
        <v>5798</v>
      </c>
      <c r="L1023" t="s">
        <v>6041</v>
      </c>
      <c r="Q1023" t="s">
        <v>622</v>
      </c>
      <c r="R1023">
        <v>612230009</v>
      </c>
      <c r="T1023" t="s">
        <v>7</v>
      </c>
      <c r="U1023" s="3" t="str">
        <f>+VLOOKUP(Sites_per_tag[[#This Row],[Activity_tag]],Parameter!$A$24:$B$32,2,0)</f>
        <v>SMP</v>
      </c>
      <c r="W1023">
        <v>44.110565000000001</v>
      </c>
      <c r="X1023">
        <v>-23.776199999999999</v>
      </c>
    </row>
    <row r="1024" spans="1:24" x14ac:dyDescent="0.35">
      <c r="A1024" s="3" t="str">
        <f t="shared" si="15"/>
        <v>612230010SMP</v>
      </c>
      <c r="B1024" t="s">
        <v>6210</v>
      </c>
      <c r="C1024">
        <f>+VLOOKUP(Sites_per_tag[[#This Row],[Field_office]],Parameter!$A$3:$B$11,2,0)</f>
        <v>10</v>
      </c>
      <c r="E1024" t="s">
        <v>5650</v>
      </c>
      <c r="F1024" t="s">
        <v>5654</v>
      </c>
      <c r="H1024" t="str">
        <f ca="1">PROPER(Sites_per_tag[[#This Row],[Adm2Name]])</f>
        <v>Betioky Atsimo</v>
      </c>
      <c r="I1024" t="s">
        <v>5688</v>
      </c>
      <c r="K1024" t="s">
        <v>5798</v>
      </c>
      <c r="L1024" t="s">
        <v>6041</v>
      </c>
      <c r="Q1024" t="s">
        <v>6398</v>
      </c>
      <c r="R1024">
        <v>612230010</v>
      </c>
      <c r="T1024" t="s">
        <v>7</v>
      </c>
      <c r="U1024" s="3" t="str">
        <f>+VLOOKUP(Sites_per_tag[[#This Row],[Activity_tag]],Parameter!$A$24:$B$32,2,0)</f>
        <v>SMP</v>
      </c>
      <c r="W1024">
        <v>44.206828999999999</v>
      </c>
      <c r="X1024">
        <v>-23.970607999999999</v>
      </c>
    </row>
    <row r="1025" spans="1:24" x14ac:dyDescent="0.35">
      <c r="A1025" s="3" t="str">
        <f t="shared" si="15"/>
        <v>612250004SMP</v>
      </c>
      <c r="B1025" t="s">
        <v>6210</v>
      </c>
      <c r="C1025">
        <f>+VLOOKUP(Sites_per_tag[[#This Row],[Field_office]],Parameter!$A$3:$B$11,2,0)</f>
        <v>10</v>
      </c>
      <c r="E1025" t="s">
        <v>5650</v>
      </c>
      <c r="F1025" t="s">
        <v>5654</v>
      </c>
      <c r="H1025" t="str">
        <f ca="1">PROPER(Sites_per_tag[[#This Row],[Adm2Name]])</f>
        <v>Betioky Atsimo</v>
      </c>
      <c r="I1025" t="s">
        <v>5688</v>
      </c>
      <c r="K1025" t="s">
        <v>283</v>
      </c>
      <c r="L1025" t="s">
        <v>5700</v>
      </c>
      <c r="Q1025" t="s">
        <v>6399</v>
      </c>
      <c r="R1025">
        <v>612250004</v>
      </c>
      <c r="T1025" t="s">
        <v>7</v>
      </c>
      <c r="U1025" s="3" t="str">
        <f>+VLOOKUP(Sites_per_tag[[#This Row],[Activity_tag]],Parameter!$A$24:$B$32,2,0)</f>
        <v>SMP</v>
      </c>
      <c r="W1025">
        <v>44.435912000000002</v>
      </c>
      <c r="X1025">
        <v>-23.830210999999998</v>
      </c>
    </row>
    <row r="1026" spans="1:24" x14ac:dyDescent="0.35">
      <c r="A1026" s="3" t="str">
        <f t="shared" si="15"/>
        <v>612260004SMP</v>
      </c>
      <c r="B1026" t="s">
        <v>6210</v>
      </c>
      <c r="C1026">
        <f>+VLOOKUP(Sites_per_tag[[#This Row],[Field_office]],Parameter!$A$3:$B$11,2,0)</f>
        <v>10</v>
      </c>
      <c r="E1026" t="s">
        <v>5650</v>
      </c>
      <c r="F1026" t="s">
        <v>5654</v>
      </c>
      <c r="H1026" t="str">
        <f ca="1">PROPER(Sites_per_tag[[#This Row],[Adm2Name]])</f>
        <v>Betioky Atsimo</v>
      </c>
      <c r="I1026" t="s">
        <v>5688</v>
      </c>
      <c r="K1026" t="s">
        <v>2065</v>
      </c>
      <c r="L1026" t="s">
        <v>5923</v>
      </c>
      <c r="Q1026" t="s">
        <v>6222</v>
      </c>
      <c r="R1026">
        <v>612260004</v>
      </c>
      <c r="T1026" t="s">
        <v>7</v>
      </c>
      <c r="U1026" s="3" t="str">
        <f>+VLOOKUP(Sites_per_tag[[#This Row],[Activity_tag]],Parameter!$A$24:$B$32,2,0)</f>
        <v>SMP</v>
      </c>
      <c r="W1026">
        <v>44.407130000000002</v>
      </c>
      <c r="X1026">
        <v>-23.380737</v>
      </c>
    </row>
    <row r="1027" spans="1:24" x14ac:dyDescent="0.35">
      <c r="A1027" s="3" t="str">
        <f t="shared" ref="A1027:A1090" si="16">+R1027&amp;U1027</f>
        <v>612260015SMP</v>
      </c>
      <c r="B1027" t="s">
        <v>6210</v>
      </c>
      <c r="C1027">
        <f>+VLOOKUP(Sites_per_tag[[#This Row],[Field_office]],Parameter!$A$3:$B$11,2,0)</f>
        <v>10</v>
      </c>
      <c r="E1027" t="s">
        <v>5650</v>
      </c>
      <c r="F1027" t="s">
        <v>5654</v>
      </c>
      <c r="H1027" t="str">
        <f ca="1">PROPER(Sites_per_tag[[#This Row],[Adm2Name]])</f>
        <v>Betioky Atsimo</v>
      </c>
      <c r="I1027" t="s">
        <v>5688</v>
      </c>
      <c r="K1027" t="s">
        <v>2065</v>
      </c>
      <c r="L1027" t="s">
        <v>5923</v>
      </c>
      <c r="Q1027" t="s">
        <v>6400</v>
      </c>
      <c r="R1027">
        <v>612260015</v>
      </c>
      <c r="T1027" t="s">
        <v>7</v>
      </c>
      <c r="U1027" s="3" t="str">
        <f>+VLOOKUP(Sites_per_tag[[#This Row],[Activity_tag]],Parameter!$A$24:$B$32,2,0)</f>
        <v>SMP</v>
      </c>
      <c r="W1027">
        <v>44.410229999999999</v>
      </c>
      <c r="X1027">
        <v>-23.282062</v>
      </c>
    </row>
    <row r="1028" spans="1:24" x14ac:dyDescent="0.35">
      <c r="A1028" s="3" t="str">
        <f t="shared" si="16"/>
        <v>612280002SMP</v>
      </c>
      <c r="B1028" t="s">
        <v>6210</v>
      </c>
      <c r="C1028">
        <f>+VLOOKUP(Sites_per_tag[[#This Row],[Field_office]],Parameter!$A$3:$B$11,2,0)</f>
        <v>10</v>
      </c>
      <c r="E1028" t="s">
        <v>5650</v>
      </c>
      <c r="F1028" t="s">
        <v>5654</v>
      </c>
      <c r="H1028" t="str">
        <f ca="1">PROPER(Sites_per_tag[[#This Row],[Adm2Name]])</f>
        <v>Betioky Atsimo</v>
      </c>
      <c r="I1028" t="s">
        <v>5688</v>
      </c>
      <c r="K1028" t="s">
        <v>6111</v>
      </c>
      <c r="L1028" t="s">
        <v>6112</v>
      </c>
      <c r="Q1028" t="s">
        <v>3076</v>
      </c>
      <c r="R1028">
        <v>612280002</v>
      </c>
      <c r="T1028" t="s">
        <v>7</v>
      </c>
      <c r="U1028" s="3" t="str">
        <f>+VLOOKUP(Sites_per_tag[[#This Row],[Activity_tag]],Parameter!$A$24:$B$32,2,0)</f>
        <v>SMP</v>
      </c>
      <c r="W1028">
        <v>44.871239000000003</v>
      </c>
      <c r="X1028">
        <v>-23.874001</v>
      </c>
    </row>
    <row r="1029" spans="1:24" x14ac:dyDescent="0.35">
      <c r="A1029" s="3" t="str">
        <f t="shared" si="16"/>
        <v>613010013SMP</v>
      </c>
      <c r="B1029" t="s">
        <v>6211</v>
      </c>
      <c r="C1029">
        <f>+VLOOKUP(Sites_per_tag[[#This Row],[Field_office]],Parameter!$A$3:$B$11,2,0)</f>
        <v>6</v>
      </c>
      <c r="E1029" t="s">
        <v>1448</v>
      </c>
      <c r="F1029" t="s">
        <v>5651</v>
      </c>
      <c r="H1029" t="str">
        <f ca="1">PROPER(Sites_per_tag[[#This Row],[Adm2Name]])</f>
        <v>Betroka</v>
      </c>
      <c r="I1029" t="s">
        <v>5691</v>
      </c>
      <c r="K1029" t="s">
        <v>5656</v>
      </c>
      <c r="L1029" t="s">
        <v>5657</v>
      </c>
      <c r="Q1029" t="s">
        <v>2599</v>
      </c>
      <c r="R1029">
        <v>613010013</v>
      </c>
      <c r="T1029" t="s">
        <v>7</v>
      </c>
      <c r="U1029" s="3" t="str">
        <f>+VLOOKUP(Sites_per_tag[[#This Row],[Activity_tag]],Parameter!$A$24:$B$32,2,0)</f>
        <v>SMP</v>
      </c>
      <c r="W1029">
        <v>46.13353</v>
      </c>
      <c r="X1029">
        <v>-23.07122</v>
      </c>
    </row>
    <row r="1030" spans="1:24" x14ac:dyDescent="0.35">
      <c r="A1030" s="3" t="str">
        <f t="shared" si="16"/>
        <v>613100006SMP</v>
      </c>
      <c r="B1030" t="s">
        <v>6211</v>
      </c>
      <c r="C1030">
        <f>+VLOOKUP(Sites_per_tag[[#This Row],[Field_office]],Parameter!$A$3:$B$11,2,0)</f>
        <v>6</v>
      </c>
      <c r="E1030" t="s">
        <v>1448</v>
      </c>
      <c r="F1030" t="s">
        <v>5651</v>
      </c>
      <c r="H1030" t="str">
        <f ca="1">PROPER(Sites_per_tag[[#This Row],[Adm2Name]])</f>
        <v>Betroka</v>
      </c>
      <c r="I1030" t="s">
        <v>5691</v>
      </c>
      <c r="K1030" t="s">
        <v>5018</v>
      </c>
      <c r="L1030" t="s">
        <v>5967</v>
      </c>
      <c r="Q1030" t="s">
        <v>2308</v>
      </c>
      <c r="R1030">
        <v>613100006</v>
      </c>
      <c r="T1030" t="s">
        <v>7</v>
      </c>
      <c r="U1030" s="3" t="str">
        <f>+VLOOKUP(Sites_per_tag[[#This Row],[Activity_tag]],Parameter!$A$24:$B$32,2,0)</f>
        <v>SMP</v>
      </c>
      <c r="W1030">
        <v>45.99897</v>
      </c>
      <c r="X1030">
        <v>-23.559419999999999</v>
      </c>
    </row>
    <row r="1031" spans="1:24" x14ac:dyDescent="0.35">
      <c r="A1031" s="3" t="str">
        <f t="shared" si="16"/>
        <v>613100021SMP</v>
      </c>
      <c r="B1031" t="s">
        <v>6211</v>
      </c>
      <c r="C1031">
        <f>+VLOOKUP(Sites_per_tag[[#This Row],[Field_office]],Parameter!$A$3:$B$11,2,0)</f>
        <v>6</v>
      </c>
      <c r="E1031" t="s">
        <v>1448</v>
      </c>
      <c r="F1031" t="s">
        <v>5651</v>
      </c>
      <c r="H1031" t="str">
        <f ca="1">PROPER(Sites_per_tag[[#This Row],[Adm2Name]])</f>
        <v>Betroka</v>
      </c>
      <c r="I1031" t="s">
        <v>5691</v>
      </c>
      <c r="K1031" t="s">
        <v>5018</v>
      </c>
      <c r="L1031" t="s">
        <v>5967</v>
      </c>
      <c r="Q1031" t="s">
        <v>2320</v>
      </c>
      <c r="R1031">
        <v>613100021</v>
      </c>
      <c r="T1031" t="s">
        <v>7</v>
      </c>
      <c r="U1031" s="3" t="str">
        <f>+VLOOKUP(Sites_per_tag[[#This Row],[Activity_tag]],Parameter!$A$24:$B$32,2,0)</f>
        <v>SMP</v>
      </c>
      <c r="W1031">
        <v>45.99897</v>
      </c>
      <c r="X1031">
        <v>-23.559419999999999</v>
      </c>
    </row>
    <row r="1032" spans="1:24" x14ac:dyDescent="0.35">
      <c r="A1032" s="3" t="str">
        <f t="shared" si="16"/>
        <v>613100023SMP</v>
      </c>
      <c r="B1032" t="s">
        <v>6211</v>
      </c>
      <c r="C1032">
        <f>+VLOOKUP(Sites_per_tag[[#This Row],[Field_office]],Parameter!$A$3:$B$11,2,0)</f>
        <v>6</v>
      </c>
      <c r="E1032" t="s">
        <v>1448</v>
      </c>
      <c r="F1032" t="s">
        <v>5651</v>
      </c>
      <c r="H1032" t="str">
        <f ca="1">PROPER(Sites_per_tag[[#This Row],[Adm2Name]])</f>
        <v>Betroka</v>
      </c>
      <c r="I1032" t="s">
        <v>5691</v>
      </c>
      <c r="K1032" t="s">
        <v>5018</v>
      </c>
      <c r="L1032" t="s">
        <v>5967</v>
      </c>
      <c r="Q1032" t="s">
        <v>2309</v>
      </c>
      <c r="R1032">
        <v>613100023</v>
      </c>
      <c r="T1032" t="s">
        <v>7</v>
      </c>
      <c r="U1032" s="3" t="str">
        <f>+VLOOKUP(Sites_per_tag[[#This Row],[Activity_tag]],Parameter!$A$24:$B$32,2,0)</f>
        <v>SMP</v>
      </c>
      <c r="W1032">
        <v>45.99897</v>
      </c>
      <c r="X1032">
        <v>-23.559419999999999</v>
      </c>
    </row>
    <row r="1033" spans="1:24" x14ac:dyDescent="0.35">
      <c r="A1033" s="3" t="str">
        <f t="shared" si="16"/>
        <v>613200001SMP</v>
      </c>
      <c r="B1033" t="s">
        <v>6211</v>
      </c>
      <c r="C1033">
        <f>+VLOOKUP(Sites_per_tag[[#This Row],[Field_office]],Parameter!$A$3:$B$11,2,0)</f>
        <v>6</v>
      </c>
      <c r="E1033" t="s">
        <v>1448</v>
      </c>
      <c r="F1033" t="s">
        <v>5651</v>
      </c>
      <c r="H1033" t="str">
        <f ca="1">PROPER(Sites_per_tag[[#This Row],[Adm2Name]])</f>
        <v>Betroka</v>
      </c>
      <c r="I1033" t="s">
        <v>5691</v>
      </c>
      <c r="K1033" t="s">
        <v>6401</v>
      </c>
      <c r="L1033" t="s">
        <v>6092</v>
      </c>
      <c r="Q1033" t="s">
        <v>4206</v>
      </c>
      <c r="R1033">
        <v>613200001</v>
      </c>
      <c r="T1033" t="s">
        <v>7</v>
      </c>
      <c r="U1033" s="3" t="str">
        <f>+VLOOKUP(Sites_per_tag[[#This Row],[Activity_tag]],Parameter!$A$24:$B$32,2,0)</f>
        <v>SMP</v>
      </c>
      <c r="W1033">
        <v>45.443129999999996</v>
      </c>
      <c r="X1033">
        <v>-23.134830000000001</v>
      </c>
    </row>
    <row r="1034" spans="1:24" x14ac:dyDescent="0.35">
      <c r="A1034" s="3" t="str">
        <f t="shared" si="16"/>
        <v>613200002SMP</v>
      </c>
      <c r="B1034" t="s">
        <v>6211</v>
      </c>
      <c r="C1034">
        <f>+VLOOKUP(Sites_per_tag[[#This Row],[Field_office]],Parameter!$A$3:$B$11,2,0)</f>
        <v>6</v>
      </c>
      <c r="E1034" t="s">
        <v>1448</v>
      </c>
      <c r="F1034" t="s">
        <v>5651</v>
      </c>
      <c r="H1034" t="str">
        <f ca="1">PROPER(Sites_per_tag[[#This Row],[Adm2Name]])</f>
        <v>Betroka</v>
      </c>
      <c r="I1034" t="s">
        <v>5691</v>
      </c>
      <c r="K1034" t="s">
        <v>6401</v>
      </c>
      <c r="L1034" t="s">
        <v>6092</v>
      </c>
      <c r="Q1034" t="s">
        <v>2293</v>
      </c>
      <c r="R1034">
        <v>613200002</v>
      </c>
      <c r="T1034" t="s">
        <v>7</v>
      </c>
      <c r="U1034" s="3" t="str">
        <f>+VLOOKUP(Sites_per_tag[[#This Row],[Activity_tag]],Parameter!$A$24:$B$32,2,0)</f>
        <v>SMP</v>
      </c>
      <c r="W1034">
        <v>45.443129999999996</v>
      </c>
      <c r="X1034">
        <v>-23.134830000000001</v>
      </c>
    </row>
    <row r="1035" spans="1:24" x14ac:dyDescent="0.35">
      <c r="A1035" s="3" t="str">
        <f t="shared" si="16"/>
        <v>613200007SMP</v>
      </c>
      <c r="B1035" t="s">
        <v>6211</v>
      </c>
      <c r="C1035">
        <f>+VLOOKUP(Sites_per_tag[[#This Row],[Field_office]],Parameter!$A$3:$B$11,2,0)</f>
        <v>6</v>
      </c>
      <c r="E1035" t="s">
        <v>1448</v>
      </c>
      <c r="F1035" t="s">
        <v>5651</v>
      </c>
      <c r="H1035" t="str">
        <f ca="1">PROPER(Sites_per_tag[[#This Row],[Adm2Name]])</f>
        <v>Betroka</v>
      </c>
      <c r="I1035" t="s">
        <v>5691</v>
      </c>
      <c r="K1035" t="s">
        <v>6401</v>
      </c>
      <c r="L1035" t="s">
        <v>6092</v>
      </c>
      <c r="Q1035" t="s">
        <v>2305</v>
      </c>
      <c r="R1035">
        <v>613200007</v>
      </c>
      <c r="T1035" t="s">
        <v>7</v>
      </c>
      <c r="U1035" s="3" t="str">
        <f>+VLOOKUP(Sites_per_tag[[#This Row],[Activity_tag]],Parameter!$A$24:$B$32,2,0)</f>
        <v>SMP</v>
      </c>
      <c r="W1035">
        <v>45.443129999999996</v>
      </c>
      <c r="X1035">
        <v>-23.134830000000001</v>
      </c>
    </row>
    <row r="1036" spans="1:24" x14ac:dyDescent="0.35">
      <c r="A1036" s="3" t="str">
        <f t="shared" si="16"/>
        <v>613210002SMP</v>
      </c>
      <c r="B1036" t="s">
        <v>6211</v>
      </c>
      <c r="C1036">
        <f>+VLOOKUP(Sites_per_tag[[#This Row],[Field_office]],Parameter!$A$3:$B$11,2,0)</f>
        <v>6</v>
      </c>
      <c r="E1036" t="s">
        <v>1448</v>
      </c>
      <c r="F1036" t="s">
        <v>5651</v>
      </c>
      <c r="H1036" t="str">
        <f ca="1">PROPER(Sites_per_tag[[#This Row],[Adm2Name]])</f>
        <v>Betroka</v>
      </c>
      <c r="I1036" t="s">
        <v>5691</v>
      </c>
      <c r="K1036" t="s">
        <v>4513</v>
      </c>
      <c r="L1036" t="s">
        <v>5773</v>
      </c>
      <c r="Q1036" t="s">
        <v>2295</v>
      </c>
      <c r="R1036">
        <v>613210002</v>
      </c>
      <c r="T1036" t="s">
        <v>7</v>
      </c>
      <c r="U1036" s="3" t="str">
        <f>+VLOOKUP(Sites_per_tag[[#This Row],[Activity_tag]],Parameter!$A$24:$B$32,2,0)</f>
        <v>SMP</v>
      </c>
      <c r="W1036">
        <v>45.818800000000003</v>
      </c>
      <c r="X1036">
        <v>-23.234069999999999</v>
      </c>
    </row>
    <row r="1037" spans="1:24" x14ac:dyDescent="0.35">
      <c r="A1037" s="3" t="str">
        <f t="shared" si="16"/>
        <v>613210008SMP</v>
      </c>
      <c r="B1037" t="s">
        <v>6211</v>
      </c>
      <c r="C1037">
        <f>+VLOOKUP(Sites_per_tag[[#This Row],[Field_office]],Parameter!$A$3:$B$11,2,0)</f>
        <v>6</v>
      </c>
      <c r="E1037" t="s">
        <v>1448</v>
      </c>
      <c r="F1037" t="s">
        <v>5651</v>
      </c>
      <c r="H1037" t="str">
        <f ca="1">PROPER(Sites_per_tag[[#This Row],[Adm2Name]])</f>
        <v>Betroka</v>
      </c>
      <c r="I1037" t="s">
        <v>5691</v>
      </c>
      <c r="K1037" t="s">
        <v>4513</v>
      </c>
      <c r="L1037" t="s">
        <v>5773</v>
      </c>
      <c r="Q1037" t="s">
        <v>3244</v>
      </c>
      <c r="R1037">
        <v>613210008</v>
      </c>
      <c r="T1037" t="s">
        <v>7</v>
      </c>
      <c r="U1037" s="3" t="str">
        <f>+VLOOKUP(Sites_per_tag[[#This Row],[Activity_tag]],Parameter!$A$24:$B$32,2,0)</f>
        <v>SMP</v>
      </c>
      <c r="W1037">
        <v>45.818800000000003</v>
      </c>
      <c r="X1037">
        <v>-23.234069999999999</v>
      </c>
    </row>
    <row r="1038" spans="1:24" x14ac:dyDescent="0.35">
      <c r="A1038" s="3" t="str">
        <f t="shared" si="16"/>
        <v>614010004SMP</v>
      </c>
      <c r="B1038" t="s">
        <v>6211</v>
      </c>
      <c r="C1038">
        <f>+VLOOKUP(Sites_per_tag[[#This Row],[Field_office]],Parameter!$A$3:$B$11,2,0)</f>
        <v>6</v>
      </c>
      <c r="E1038" t="s">
        <v>1448</v>
      </c>
      <c r="F1038" t="s">
        <v>5651</v>
      </c>
      <c r="H1038" t="str">
        <f ca="1">PROPER(Sites_per_tag[[#This Row],[Adm2Name]])</f>
        <v>Taolagnaro</v>
      </c>
      <c r="I1038" t="s">
        <v>5723</v>
      </c>
      <c r="K1038" t="s">
        <v>5676</v>
      </c>
      <c r="L1038" t="s">
        <v>5677</v>
      </c>
      <c r="Q1038" t="s">
        <v>2006</v>
      </c>
      <c r="R1038">
        <v>614010004</v>
      </c>
      <c r="T1038" t="s">
        <v>7</v>
      </c>
      <c r="U1038" s="3" t="str">
        <f>+VLOOKUP(Sites_per_tag[[#This Row],[Activity_tag]],Parameter!$A$24:$B$32,2,0)</f>
        <v>SMP</v>
      </c>
      <c r="W1038">
        <v>46.672620000000002</v>
      </c>
      <c r="X1038">
        <v>-24.85323</v>
      </c>
    </row>
    <row r="1039" spans="1:24" x14ac:dyDescent="0.35">
      <c r="A1039" s="3" t="str">
        <f t="shared" si="16"/>
        <v>614020004SMP</v>
      </c>
      <c r="B1039" t="s">
        <v>6211</v>
      </c>
      <c r="C1039">
        <f>+VLOOKUP(Sites_per_tag[[#This Row],[Field_office]],Parameter!$A$3:$B$11,2,0)</f>
        <v>6</v>
      </c>
      <c r="E1039" t="s">
        <v>1448</v>
      </c>
      <c r="F1039" t="s">
        <v>5651</v>
      </c>
      <c r="H1039" t="str">
        <f ca="1">PROPER(Sites_per_tag[[#This Row],[Adm2Name]])</f>
        <v>Taolagnaro</v>
      </c>
      <c r="I1039" t="s">
        <v>5723</v>
      </c>
      <c r="K1039" t="s">
        <v>6124</v>
      </c>
      <c r="L1039" t="s">
        <v>6125</v>
      </c>
      <c r="Q1039" t="s">
        <v>6264</v>
      </c>
      <c r="R1039">
        <v>614020004</v>
      </c>
      <c r="T1039" t="s">
        <v>7</v>
      </c>
      <c r="U1039" s="3" t="str">
        <f>+VLOOKUP(Sites_per_tag[[#This Row],[Activity_tag]],Parameter!$A$24:$B$32,2,0)</f>
        <v>SMP</v>
      </c>
      <c r="W1039">
        <v>47.144069999999999</v>
      </c>
      <c r="X1039">
        <v>-24.38993</v>
      </c>
    </row>
    <row r="1040" spans="1:24" x14ac:dyDescent="0.35">
      <c r="A1040" s="3" t="str">
        <f t="shared" si="16"/>
        <v>614020005SMP</v>
      </c>
      <c r="B1040" t="s">
        <v>6211</v>
      </c>
      <c r="C1040">
        <f>+VLOOKUP(Sites_per_tag[[#This Row],[Field_office]],Parameter!$A$3:$B$11,2,0)</f>
        <v>6</v>
      </c>
      <c r="E1040" t="s">
        <v>1448</v>
      </c>
      <c r="F1040" t="s">
        <v>5651</v>
      </c>
      <c r="H1040" t="str">
        <f ca="1">PROPER(Sites_per_tag[[#This Row],[Adm2Name]])</f>
        <v>Taolagnaro</v>
      </c>
      <c r="I1040" t="s">
        <v>5723</v>
      </c>
      <c r="K1040" t="s">
        <v>6124</v>
      </c>
      <c r="L1040" t="s">
        <v>6125</v>
      </c>
      <c r="Q1040" t="s">
        <v>3870</v>
      </c>
      <c r="R1040">
        <v>614020005</v>
      </c>
      <c r="T1040" t="s">
        <v>7</v>
      </c>
      <c r="U1040" s="3" t="str">
        <f>+VLOOKUP(Sites_per_tag[[#This Row],[Activity_tag]],Parameter!$A$24:$B$32,2,0)</f>
        <v>SMP</v>
      </c>
      <c r="W1040">
        <v>47.144069999999999</v>
      </c>
      <c r="X1040">
        <v>-24.38993</v>
      </c>
    </row>
    <row r="1041" spans="1:24" x14ac:dyDescent="0.35">
      <c r="A1041" s="3" t="str">
        <f t="shared" si="16"/>
        <v>614020010SMP</v>
      </c>
      <c r="B1041" t="s">
        <v>6211</v>
      </c>
      <c r="C1041">
        <f>+VLOOKUP(Sites_per_tag[[#This Row],[Field_office]],Parameter!$A$3:$B$11,2,0)</f>
        <v>6</v>
      </c>
      <c r="E1041" t="s">
        <v>1448</v>
      </c>
      <c r="F1041" t="s">
        <v>5651</v>
      </c>
      <c r="H1041" t="str">
        <f ca="1">PROPER(Sites_per_tag[[#This Row],[Adm2Name]])</f>
        <v>Taolagnaro</v>
      </c>
      <c r="I1041" t="s">
        <v>5723</v>
      </c>
      <c r="K1041" t="s">
        <v>6124</v>
      </c>
      <c r="L1041" t="s">
        <v>6125</v>
      </c>
      <c r="Q1041" t="s">
        <v>3693</v>
      </c>
      <c r="R1041">
        <v>614020010</v>
      </c>
      <c r="T1041" t="s">
        <v>7</v>
      </c>
      <c r="U1041" s="3" t="str">
        <f>+VLOOKUP(Sites_per_tag[[#This Row],[Activity_tag]],Parameter!$A$24:$B$32,2,0)</f>
        <v>SMP</v>
      </c>
      <c r="W1041">
        <v>47.144069999999999</v>
      </c>
      <c r="X1041">
        <v>-24.38993</v>
      </c>
    </row>
    <row r="1042" spans="1:24" x14ac:dyDescent="0.35">
      <c r="A1042" s="3" t="str">
        <f t="shared" si="16"/>
        <v>614020014SMP</v>
      </c>
      <c r="B1042" t="s">
        <v>6211</v>
      </c>
      <c r="C1042">
        <f>+VLOOKUP(Sites_per_tag[[#This Row],[Field_office]],Parameter!$A$3:$B$11,2,0)</f>
        <v>6</v>
      </c>
      <c r="E1042" t="s">
        <v>1448</v>
      </c>
      <c r="F1042" t="s">
        <v>5651</v>
      </c>
      <c r="H1042" t="str">
        <f ca="1">PROPER(Sites_per_tag[[#This Row],[Adm2Name]])</f>
        <v>Taolagnaro</v>
      </c>
      <c r="I1042" t="s">
        <v>5723</v>
      </c>
      <c r="K1042" t="s">
        <v>5763</v>
      </c>
      <c r="L1042" t="s">
        <v>5764</v>
      </c>
      <c r="Q1042" t="s">
        <v>547</v>
      </c>
      <c r="R1042">
        <v>614020014</v>
      </c>
      <c r="T1042" t="s">
        <v>7</v>
      </c>
      <c r="U1042" s="3" t="str">
        <f>+VLOOKUP(Sites_per_tag[[#This Row],[Activity_tag]],Parameter!$A$24:$B$32,2,0)</f>
        <v>SMP</v>
      </c>
      <c r="W1042">
        <v>46.985219999999998</v>
      </c>
      <c r="X1042">
        <v>-24.410799999999998</v>
      </c>
    </row>
    <row r="1043" spans="1:24" x14ac:dyDescent="0.35">
      <c r="A1043" s="3" t="str">
        <f t="shared" si="16"/>
        <v>614020016SMP</v>
      </c>
      <c r="B1043" t="s">
        <v>6211</v>
      </c>
      <c r="C1043">
        <f>+VLOOKUP(Sites_per_tag[[#This Row],[Field_office]],Parameter!$A$3:$B$11,2,0)</f>
        <v>6</v>
      </c>
      <c r="E1043" t="s">
        <v>1448</v>
      </c>
      <c r="F1043" t="s">
        <v>5651</v>
      </c>
      <c r="H1043" t="str">
        <f ca="1">PROPER(Sites_per_tag[[#This Row],[Adm2Name]])</f>
        <v>Taolagnaro</v>
      </c>
      <c r="I1043" t="s">
        <v>5723</v>
      </c>
      <c r="K1043" t="s">
        <v>6124</v>
      </c>
      <c r="L1043" t="s">
        <v>6125</v>
      </c>
      <c r="Q1043" t="s">
        <v>98</v>
      </c>
      <c r="R1043">
        <v>614020016</v>
      </c>
      <c r="T1043" t="s">
        <v>7</v>
      </c>
      <c r="U1043" s="3" t="str">
        <f>+VLOOKUP(Sites_per_tag[[#This Row],[Activity_tag]],Parameter!$A$24:$B$32,2,0)</f>
        <v>SMP</v>
      </c>
      <c r="W1043">
        <v>47.144069999999999</v>
      </c>
      <c r="X1043">
        <v>-24.38993</v>
      </c>
    </row>
    <row r="1044" spans="1:24" x14ac:dyDescent="0.35">
      <c r="A1044" s="3" t="str">
        <f t="shared" si="16"/>
        <v>614020017SMP</v>
      </c>
      <c r="B1044" t="s">
        <v>6211</v>
      </c>
      <c r="C1044">
        <f>+VLOOKUP(Sites_per_tag[[#This Row],[Field_office]],Parameter!$A$3:$B$11,2,0)</f>
        <v>6</v>
      </c>
      <c r="E1044" t="s">
        <v>1448</v>
      </c>
      <c r="F1044" t="s">
        <v>5651</v>
      </c>
      <c r="H1044" t="str">
        <f ca="1">PROPER(Sites_per_tag[[#This Row],[Adm2Name]])</f>
        <v>Taolagnaro</v>
      </c>
      <c r="I1044" t="s">
        <v>5723</v>
      </c>
      <c r="K1044" t="s">
        <v>6124</v>
      </c>
      <c r="L1044" t="s">
        <v>6125</v>
      </c>
      <c r="Q1044" t="s">
        <v>749</v>
      </c>
      <c r="R1044">
        <v>614020017</v>
      </c>
      <c r="T1044" t="s">
        <v>7</v>
      </c>
      <c r="U1044" s="3" t="str">
        <f>+VLOOKUP(Sites_per_tag[[#This Row],[Activity_tag]],Parameter!$A$24:$B$32,2,0)</f>
        <v>SMP</v>
      </c>
      <c r="W1044">
        <v>47.144069999999999</v>
      </c>
      <c r="X1044">
        <v>-24.38993</v>
      </c>
    </row>
    <row r="1045" spans="1:24" x14ac:dyDescent="0.35">
      <c r="A1045" s="3" t="str">
        <f t="shared" si="16"/>
        <v>614020018SMP</v>
      </c>
      <c r="B1045" t="s">
        <v>6211</v>
      </c>
      <c r="C1045">
        <f>+VLOOKUP(Sites_per_tag[[#This Row],[Field_office]],Parameter!$A$3:$B$11,2,0)</f>
        <v>6</v>
      </c>
      <c r="E1045" t="s">
        <v>1448</v>
      </c>
      <c r="F1045" t="s">
        <v>5651</v>
      </c>
      <c r="H1045" t="str">
        <f ca="1">PROPER(Sites_per_tag[[#This Row],[Adm2Name]])</f>
        <v>Taolagnaro</v>
      </c>
      <c r="I1045" t="s">
        <v>5723</v>
      </c>
      <c r="K1045" t="s">
        <v>5763</v>
      </c>
      <c r="L1045" t="s">
        <v>5764</v>
      </c>
      <c r="Q1045" t="s">
        <v>1141</v>
      </c>
      <c r="R1045">
        <v>614020018</v>
      </c>
      <c r="T1045" t="s">
        <v>7</v>
      </c>
      <c r="U1045" s="3" t="str">
        <f>+VLOOKUP(Sites_per_tag[[#This Row],[Activity_tag]],Parameter!$A$24:$B$32,2,0)</f>
        <v>SMP</v>
      </c>
      <c r="W1045">
        <v>46.985219999999998</v>
      </c>
      <c r="X1045">
        <v>-24.410799999999998</v>
      </c>
    </row>
    <row r="1046" spans="1:24" x14ac:dyDescent="0.35">
      <c r="A1046" s="3" t="str">
        <f t="shared" si="16"/>
        <v>614020019SMP</v>
      </c>
      <c r="B1046" t="s">
        <v>6211</v>
      </c>
      <c r="C1046">
        <f>+VLOOKUP(Sites_per_tag[[#This Row],[Field_office]],Parameter!$A$3:$B$11,2,0)</f>
        <v>6</v>
      </c>
      <c r="E1046" t="s">
        <v>1448</v>
      </c>
      <c r="F1046" t="s">
        <v>5651</v>
      </c>
      <c r="H1046" t="str">
        <f ca="1">PROPER(Sites_per_tag[[#This Row],[Adm2Name]])</f>
        <v>Taolagnaro</v>
      </c>
      <c r="I1046" t="s">
        <v>5723</v>
      </c>
      <c r="K1046" t="s">
        <v>6124</v>
      </c>
      <c r="L1046" t="s">
        <v>6125</v>
      </c>
      <c r="Q1046" t="s">
        <v>471</v>
      </c>
      <c r="R1046">
        <v>614020019</v>
      </c>
      <c r="T1046" t="s">
        <v>7</v>
      </c>
      <c r="U1046" s="3" t="str">
        <f>+VLOOKUP(Sites_per_tag[[#This Row],[Activity_tag]],Parameter!$A$24:$B$32,2,0)</f>
        <v>SMP</v>
      </c>
      <c r="W1046">
        <v>47.144069999999999</v>
      </c>
      <c r="X1046">
        <v>-24.38993</v>
      </c>
    </row>
    <row r="1047" spans="1:24" x14ac:dyDescent="0.35">
      <c r="A1047" s="3" t="str">
        <f t="shared" si="16"/>
        <v>614020020SMP</v>
      </c>
      <c r="B1047" t="s">
        <v>6211</v>
      </c>
      <c r="C1047">
        <f>+VLOOKUP(Sites_per_tag[[#This Row],[Field_office]],Parameter!$A$3:$B$11,2,0)</f>
        <v>6</v>
      </c>
      <c r="E1047" t="s">
        <v>1448</v>
      </c>
      <c r="F1047" t="s">
        <v>5651</v>
      </c>
      <c r="H1047" t="str">
        <f ca="1">PROPER(Sites_per_tag[[#This Row],[Adm2Name]])</f>
        <v>Taolagnaro</v>
      </c>
      <c r="I1047" t="s">
        <v>5723</v>
      </c>
      <c r="K1047" t="s">
        <v>5763</v>
      </c>
      <c r="L1047" t="s">
        <v>5764</v>
      </c>
      <c r="Q1047" t="s">
        <v>2723</v>
      </c>
      <c r="R1047">
        <v>614020020</v>
      </c>
      <c r="T1047" t="s">
        <v>7</v>
      </c>
      <c r="U1047" s="3" t="str">
        <f>+VLOOKUP(Sites_per_tag[[#This Row],[Activity_tag]],Parameter!$A$24:$B$32,2,0)</f>
        <v>SMP</v>
      </c>
      <c r="W1047">
        <v>46.985219999999998</v>
      </c>
      <c r="X1047">
        <v>-24.410799999999998</v>
      </c>
    </row>
    <row r="1048" spans="1:24" x14ac:dyDescent="0.35">
      <c r="A1048" s="3" t="str">
        <f t="shared" si="16"/>
        <v>614020021SMP</v>
      </c>
      <c r="B1048" t="s">
        <v>6211</v>
      </c>
      <c r="C1048">
        <f>+VLOOKUP(Sites_per_tag[[#This Row],[Field_office]],Parameter!$A$3:$B$11,2,0)</f>
        <v>6</v>
      </c>
      <c r="E1048" t="s">
        <v>1448</v>
      </c>
      <c r="F1048" t="s">
        <v>5651</v>
      </c>
      <c r="H1048" t="str">
        <f ca="1">PROPER(Sites_per_tag[[#This Row],[Adm2Name]])</f>
        <v>Taolagnaro</v>
      </c>
      <c r="I1048" t="s">
        <v>5723</v>
      </c>
      <c r="K1048" t="s">
        <v>5763</v>
      </c>
      <c r="L1048" t="s">
        <v>5764</v>
      </c>
      <c r="Q1048" t="s">
        <v>2299</v>
      </c>
      <c r="R1048">
        <v>614020021</v>
      </c>
      <c r="T1048" t="s">
        <v>7</v>
      </c>
      <c r="U1048" s="3" t="str">
        <f>+VLOOKUP(Sites_per_tag[[#This Row],[Activity_tag]],Parameter!$A$24:$B$32,2,0)</f>
        <v>SMP</v>
      </c>
      <c r="W1048">
        <v>46.985219999999998</v>
      </c>
      <c r="X1048">
        <v>-24.410799999999998</v>
      </c>
    </row>
    <row r="1049" spans="1:24" x14ac:dyDescent="0.35">
      <c r="A1049" s="3" t="str">
        <f t="shared" si="16"/>
        <v>614020022SMP</v>
      </c>
      <c r="B1049" t="s">
        <v>6211</v>
      </c>
      <c r="C1049">
        <f>+VLOOKUP(Sites_per_tag[[#This Row],[Field_office]],Parameter!$A$3:$B$11,2,0)</f>
        <v>6</v>
      </c>
      <c r="E1049" t="s">
        <v>1448</v>
      </c>
      <c r="F1049" t="s">
        <v>5651</v>
      </c>
      <c r="H1049" t="str">
        <f ca="1">PROPER(Sites_per_tag[[#This Row],[Adm2Name]])</f>
        <v>Taolagnaro</v>
      </c>
      <c r="I1049" t="s">
        <v>5723</v>
      </c>
      <c r="K1049" t="s">
        <v>5763</v>
      </c>
      <c r="L1049" t="s">
        <v>5764</v>
      </c>
      <c r="Q1049" t="s">
        <v>2244</v>
      </c>
      <c r="R1049">
        <v>614020022</v>
      </c>
      <c r="T1049" t="s">
        <v>7</v>
      </c>
      <c r="U1049" s="3" t="str">
        <f>+VLOOKUP(Sites_per_tag[[#This Row],[Activity_tag]],Parameter!$A$24:$B$32,2,0)</f>
        <v>SMP</v>
      </c>
      <c r="W1049">
        <v>46.985219999999998</v>
      </c>
      <c r="X1049">
        <v>-24.410799999999998</v>
      </c>
    </row>
    <row r="1050" spans="1:24" x14ac:dyDescent="0.35">
      <c r="A1050" s="3" t="str">
        <f t="shared" si="16"/>
        <v>614020023SMP</v>
      </c>
      <c r="B1050" t="s">
        <v>6211</v>
      </c>
      <c r="C1050">
        <f>+VLOOKUP(Sites_per_tag[[#This Row],[Field_office]],Parameter!$A$3:$B$11,2,0)</f>
        <v>6</v>
      </c>
      <c r="E1050" t="s">
        <v>1448</v>
      </c>
      <c r="F1050" t="s">
        <v>5651</v>
      </c>
      <c r="H1050" t="str">
        <f ca="1">PROPER(Sites_per_tag[[#This Row],[Adm2Name]])</f>
        <v>Taolagnaro</v>
      </c>
      <c r="I1050" t="s">
        <v>5723</v>
      </c>
      <c r="K1050" t="s">
        <v>5763</v>
      </c>
      <c r="L1050" t="s">
        <v>5764</v>
      </c>
      <c r="Q1050" t="s">
        <v>2905</v>
      </c>
      <c r="R1050">
        <v>614020023</v>
      </c>
      <c r="T1050" t="s">
        <v>7</v>
      </c>
      <c r="U1050" s="3" t="str">
        <f>+VLOOKUP(Sites_per_tag[[#This Row],[Activity_tag]],Parameter!$A$24:$B$32,2,0)</f>
        <v>SMP</v>
      </c>
      <c r="W1050">
        <v>46.985219999999998</v>
      </c>
      <c r="X1050">
        <v>-24.410799999999998</v>
      </c>
    </row>
    <row r="1051" spans="1:24" x14ac:dyDescent="0.35">
      <c r="A1051" s="3" t="str">
        <f t="shared" si="16"/>
        <v>614020028SMP</v>
      </c>
      <c r="B1051" t="s">
        <v>6211</v>
      </c>
      <c r="C1051">
        <f>+VLOOKUP(Sites_per_tag[[#This Row],[Field_office]],Parameter!$A$3:$B$11,2,0)</f>
        <v>6</v>
      </c>
      <c r="E1051" t="s">
        <v>1448</v>
      </c>
      <c r="F1051" t="s">
        <v>5651</v>
      </c>
      <c r="H1051" t="str">
        <f ca="1">PROPER(Sites_per_tag[[#This Row],[Adm2Name]])</f>
        <v>Taolagnaro</v>
      </c>
      <c r="I1051" t="s">
        <v>5723</v>
      </c>
      <c r="K1051" t="s">
        <v>5763</v>
      </c>
      <c r="L1051" t="s">
        <v>5764</v>
      </c>
      <c r="Q1051" t="s">
        <v>2302</v>
      </c>
      <c r="R1051">
        <v>614020028</v>
      </c>
      <c r="T1051" t="s">
        <v>7</v>
      </c>
      <c r="U1051" s="3" t="str">
        <f>+VLOOKUP(Sites_per_tag[[#This Row],[Activity_tag]],Parameter!$A$24:$B$32,2,0)</f>
        <v>SMP</v>
      </c>
      <c r="W1051">
        <v>46.985219999999998</v>
      </c>
      <c r="X1051">
        <v>-24.410799999999998</v>
      </c>
    </row>
    <row r="1052" spans="1:24" x14ac:dyDescent="0.35">
      <c r="A1052" s="3" t="str">
        <f t="shared" si="16"/>
        <v>614020029SMP</v>
      </c>
      <c r="B1052" t="s">
        <v>6211</v>
      </c>
      <c r="C1052">
        <f>+VLOOKUP(Sites_per_tag[[#This Row],[Field_office]],Parameter!$A$3:$B$11,2,0)</f>
        <v>6</v>
      </c>
      <c r="E1052" t="s">
        <v>1448</v>
      </c>
      <c r="F1052" t="s">
        <v>5651</v>
      </c>
      <c r="H1052" t="str">
        <f ca="1">PROPER(Sites_per_tag[[#This Row],[Adm2Name]])</f>
        <v>Taolagnaro</v>
      </c>
      <c r="I1052" t="s">
        <v>5723</v>
      </c>
      <c r="K1052" t="s">
        <v>5763</v>
      </c>
      <c r="L1052" t="s">
        <v>5764</v>
      </c>
      <c r="Q1052" t="s">
        <v>2286</v>
      </c>
      <c r="R1052">
        <v>614020029</v>
      </c>
      <c r="T1052" t="s">
        <v>7</v>
      </c>
      <c r="U1052" s="3" t="str">
        <f>+VLOOKUP(Sites_per_tag[[#This Row],[Activity_tag]],Parameter!$A$24:$B$32,2,0)</f>
        <v>SMP</v>
      </c>
      <c r="W1052">
        <v>46.985219999999998</v>
      </c>
      <c r="X1052">
        <v>-24.410799999999998</v>
      </c>
    </row>
    <row r="1053" spans="1:24" x14ac:dyDescent="0.35">
      <c r="A1053" s="3" t="str">
        <f t="shared" si="16"/>
        <v>614030001SMP</v>
      </c>
      <c r="B1053" t="s">
        <v>6211</v>
      </c>
      <c r="C1053">
        <f>+VLOOKUP(Sites_per_tag[[#This Row],[Field_office]],Parameter!$A$3:$B$11,2,0)</f>
        <v>6</v>
      </c>
      <c r="E1053" t="s">
        <v>1448</v>
      </c>
      <c r="F1053" t="s">
        <v>5651</v>
      </c>
      <c r="H1053" t="str">
        <f ca="1">PROPER(Sites_per_tag[[#This Row],[Adm2Name]])</f>
        <v>Taolagnaro</v>
      </c>
      <c r="I1053" t="s">
        <v>5723</v>
      </c>
      <c r="K1053" t="s">
        <v>5765</v>
      </c>
      <c r="L1053" t="s">
        <v>5766</v>
      </c>
      <c r="Q1053" t="s">
        <v>143</v>
      </c>
      <c r="R1053">
        <v>614030001</v>
      </c>
      <c r="T1053" t="s">
        <v>7</v>
      </c>
      <c r="U1053" s="3" t="str">
        <f>+VLOOKUP(Sites_per_tag[[#This Row],[Activity_tag]],Parameter!$A$24:$B$32,2,0)</f>
        <v>SMP</v>
      </c>
      <c r="W1053">
        <v>46.973381000000003</v>
      </c>
      <c r="X1053">
        <v>-24.932614000000001</v>
      </c>
    </row>
    <row r="1054" spans="1:24" x14ac:dyDescent="0.35">
      <c r="A1054" s="3" t="str">
        <f t="shared" si="16"/>
        <v>614030002SMP</v>
      </c>
      <c r="B1054" t="s">
        <v>6211</v>
      </c>
      <c r="C1054">
        <f>+VLOOKUP(Sites_per_tag[[#This Row],[Field_office]],Parameter!$A$3:$B$11,2,0)</f>
        <v>6</v>
      </c>
      <c r="E1054" t="s">
        <v>1448</v>
      </c>
      <c r="F1054" t="s">
        <v>5651</v>
      </c>
      <c r="H1054" t="str">
        <f ca="1">PROPER(Sites_per_tag[[#This Row],[Adm2Name]])</f>
        <v>Taolagnaro</v>
      </c>
      <c r="I1054" t="s">
        <v>5723</v>
      </c>
      <c r="K1054" t="s">
        <v>5765</v>
      </c>
      <c r="L1054" t="s">
        <v>5766</v>
      </c>
      <c r="Q1054" t="s">
        <v>548</v>
      </c>
      <c r="R1054">
        <v>614030002</v>
      </c>
      <c r="T1054" t="s">
        <v>7</v>
      </c>
      <c r="U1054" s="3" t="str">
        <f>+VLOOKUP(Sites_per_tag[[#This Row],[Activity_tag]],Parameter!$A$24:$B$32,2,0)</f>
        <v>SMP</v>
      </c>
      <c r="W1054">
        <v>46.979669000000001</v>
      </c>
      <c r="X1054">
        <v>-24.980094999999999</v>
      </c>
    </row>
    <row r="1055" spans="1:24" x14ac:dyDescent="0.35">
      <c r="A1055" s="3" t="str">
        <f t="shared" si="16"/>
        <v>614030003SMP</v>
      </c>
      <c r="B1055" t="s">
        <v>6211</v>
      </c>
      <c r="C1055">
        <f>+VLOOKUP(Sites_per_tag[[#This Row],[Field_office]],Parameter!$A$3:$B$11,2,0)</f>
        <v>6</v>
      </c>
      <c r="E1055" t="s">
        <v>1448</v>
      </c>
      <c r="F1055" t="s">
        <v>5651</v>
      </c>
      <c r="H1055" t="str">
        <f ca="1">PROPER(Sites_per_tag[[#This Row],[Adm2Name]])</f>
        <v>Taolagnaro</v>
      </c>
      <c r="I1055" t="s">
        <v>5723</v>
      </c>
      <c r="K1055" t="s">
        <v>5765</v>
      </c>
      <c r="L1055" t="s">
        <v>5766</v>
      </c>
      <c r="Q1055" t="s">
        <v>2361</v>
      </c>
      <c r="R1055">
        <v>614030003</v>
      </c>
      <c r="T1055" t="s">
        <v>7</v>
      </c>
      <c r="U1055" s="3" t="str">
        <f>+VLOOKUP(Sites_per_tag[[#This Row],[Activity_tag]],Parameter!$A$24:$B$32,2,0)</f>
        <v>SMP</v>
      </c>
      <c r="W1055">
        <v>46.970550000000003</v>
      </c>
      <c r="X1055">
        <v>-24.92672</v>
      </c>
    </row>
    <row r="1056" spans="1:24" x14ac:dyDescent="0.35">
      <c r="A1056" s="3" t="str">
        <f t="shared" si="16"/>
        <v>614030004SMP</v>
      </c>
      <c r="B1056" t="s">
        <v>6211</v>
      </c>
      <c r="C1056">
        <f>+VLOOKUP(Sites_per_tag[[#This Row],[Field_office]],Parameter!$A$3:$B$11,2,0)</f>
        <v>6</v>
      </c>
      <c r="E1056" t="s">
        <v>1448</v>
      </c>
      <c r="F1056" t="s">
        <v>5651</v>
      </c>
      <c r="H1056" t="str">
        <f ca="1">PROPER(Sites_per_tag[[#This Row],[Adm2Name]])</f>
        <v>Taolagnaro</v>
      </c>
      <c r="I1056" t="s">
        <v>5723</v>
      </c>
      <c r="K1056" t="s">
        <v>5765</v>
      </c>
      <c r="L1056" t="s">
        <v>5766</v>
      </c>
      <c r="Q1056" t="s">
        <v>2902</v>
      </c>
      <c r="R1056">
        <v>614030004</v>
      </c>
      <c r="T1056" t="s">
        <v>7</v>
      </c>
      <c r="U1056" s="3" t="str">
        <f>+VLOOKUP(Sites_per_tag[[#This Row],[Activity_tag]],Parameter!$A$24:$B$32,2,0)</f>
        <v>SMP</v>
      </c>
      <c r="W1056">
        <v>46.988028</v>
      </c>
      <c r="X1056">
        <v>-24.936895</v>
      </c>
    </row>
    <row r="1057" spans="1:24" x14ac:dyDescent="0.35">
      <c r="A1057" s="3" t="str">
        <f t="shared" si="16"/>
        <v>614030010SMP</v>
      </c>
      <c r="B1057" t="s">
        <v>6211</v>
      </c>
      <c r="C1057">
        <f>+VLOOKUP(Sites_per_tag[[#This Row],[Field_office]],Parameter!$A$3:$B$11,2,0)</f>
        <v>6</v>
      </c>
      <c r="E1057" t="s">
        <v>1448</v>
      </c>
      <c r="F1057" t="s">
        <v>5651</v>
      </c>
      <c r="H1057" t="str">
        <f ca="1">PROPER(Sites_per_tag[[#This Row],[Adm2Name]])</f>
        <v>Taolagnaro</v>
      </c>
      <c r="I1057" t="s">
        <v>5723</v>
      </c>
      <c r="K1057" t="s">
        <v>5765</v>
      </c>
      <c r="L1057" t="s">
        <v>5766</v>
      </c>
      <c r="Q1057" t="s">
        <v>1081</v>
      </c>
      <c r="R1057">
        <v>614030010</v>
      </c>
      <c r="T1057" t="s">
        <v>7</v>
      </c>
      <c r="U1057" s="3" t="str">
        <f>+VLOOKUP(Sites_per_tag[[#This Row],[Activity_tag]],Parameter!$A$24:$B$32,2,0)</f>
        <v>SMP</v>
      </c>
      <c r="W1057">
        <v>46.970550000000003</v>
      </c>
      <c r="X1057">
        <v>-24.92672</v>
      </c>
    </row>
    <row r="1058" spans="1:24" x14ac:dyDescent="0.35">
      <c r="A1058" s="3" t="str">
        <f t="shared" si="16"/>
        <v>614030014SMP</v>
      </c>
      <c r="B1058" t="s">
        <v>6211</v>
      </c>
      <c r="C1058">
        <f>+VLOOKUP(Sites_per_tag[[#This Row],[Field_office]],Parameter!$A$3:$B$11,2,0)</f>
        <v>6</v>
      </c>
      <c r="E1058" t="s">
        <v>1448</v>
      </c>
      <c r="F1058" t="s">
        <v>5651</v>
      </c>
      <c r="H1058" t="str">
        <f ca="1">PROPER(Sites_per_tag[[#This Row],[Adm2Name]])</f>
        <v>Taolagnaro</v>
      </c>
      <c r="I1058" t="s">
        <v>5723</v>
      </c>
      <c r="K1058" t="s">
        <v>5765</v>
      </c>
      <c r="L1058" t="s">
        <v>5766</v>
      </c>
      <c r="Q1058" t="s">
        <v>637</v>
      </c>
      <c r="R1058">
        <v>614030014</v>
      </c>
      <c r="T1058" t="s">
        <v>7</v>
      </c>
      <c r="U1058" s="3" t="str">
        <f>+VLOOKUP(Sites_per_tag[[#This Row],[Activity_tag]],Parameter!$A$24:$B$32,2,0)</f>
        <v>SMP</v>
      </c>
      <c r="W1058">
        <v>46.970550000000003</v>
      </c>
      <c r="X1058">
        <v>-24.92672</v>
      </c>
    </row>
    <row r="1059" spans="1:24" x14ac:dyDescent="0.35">
      <c r="A1059" s="3" t="str">
        <f t="shared" si="16"/>
        <v>614050001SMP</v>
      </c>
      <c r="B1059" t="s">
        <v>6211</v>
      </c>
      <c r="C1059">
        <f>+VLOOKUP(Sites_per_tag[[#This Row],[Field_office]],Parameter!$A$3:$B$11,2,0)</f>
        <v>6</v>
      </c>
      <c r="E1059" t="s">
        <v>1448</v>
      </c>
      <c r="F1059" t="s">
        <v>5651</v>
      </c>
      <c r="H1059" t="str">
        <f ca="1">PROPER(Sites_per_tag[[#This Row],[Adm2Name]])</f>
        <v>Taolagnaro</v>
      </c>
      <c r="I1059" t="s">
        <v>5723</v>
      </c>
      <c r="K1059" t="s">
        <v>5777</v>
      </c>
      <c r="L1059" t="s">
        <v>5778</v>
      </c>
      <c r="Q1059" t="s">
        <v>180</v>
      </c>
      <c r="R1059">
        <v>614050001</v>
      </c>
      <c r="T1059" t="s">
        <v>7</v>
      </c>
      <c r="U1059" s="3" t="str">
        <f>+VLOOKUP(Sites_per_tag[[#This Row],[Activity_tag]],Parameter!$A$24:$B$32,2,0)</f>
        <v>SMP</v>
      </c>
      <c r="W1059">
        <v>46.672224</v>
      </c>
      <c r="X1059">
        <v>-25.173404999999999</v>
      </c>
    </row>
    <row r="1060" spans="1:24" x14ac:dyDescent="0.35">
      <c r="A1060" s="3" t="str">
        <f t="shared" si="16"/>
        <v>614050002SMP</v>
      </c>
      <c r="B1060" t="s">
        <v>6211</v>
      </c>
      <c r="C1060">
        <f>+VLOOKUP(Sites_per_tag[[#This Row],[Field_office]],Parameter!$A$3:$B$11,2,0)</f>
        <v>6</v>
      </c>
      <c r="E1060" t="s">
        <v>1448</v>
      </c>
      <c r="F1060" t="s">
        <v>5651</v>
      </c>
      <c r="H1060" t="str">
        <f ca="1">PROPER(Sites_per_tag[[#This Row],[Adm2Name]])</f>
        <v>Taolagnaro</v>
      </c>
      <c r="I1060" t="s">
        <v>5723</v>
      </c>
      <c r="K1060" t="s">
        <v>5777</v>
      </c>
      <c r="L1060" t="s">
        <v>5778</v>
      </c>
      <c r="Q1060" t="s">
        <v>643</v>
      </c>
      <c r="R1060">
        <v>614050002</v>
      </c>
      <c r="T1060" t="s">
        <v>7</v>
      </c>
      <c r="U1060" s="3" t="str">
        <f>+VLOOKUP(Sites_per_tag[[#This Row],[Activity_tag]],Parameter!$A$24:$B$32,2,0)</f>
        <v>SMP</v>
      </c>
      <c r="W1060">
        <v>46.694996000000003</v>
      </c>
      <c r="X1060">
        <v>-25.169847000000001</v>
      </c>
    </row>
    <row r="1061" spans="1:24" x14ac:dyDescent="0.35">
      <c r="A1061" s="3" t="str">
        <f t="shared" si="16"/>
        <v>614050004SMP</v>
      </c>
      <c r="B1061" t="s">
        <v>6211</v>
      </c>
      <c r="C1061">
        <f>+VLOOKUP(Sites_per_tag[[#This Row],[Field_office]],Parameter!$A$3:$B$11,2,0)</f>
        <v>6</v>
      </c>
      <c r="E1061" t="s">
        <v>1448</v>
      </c>
      <c r="F1061" t="s">
        <v>5651</v>
      </c>
      <c r="H1061" t="str">
        <f ca="1">PROPER(Sites_per_tag[[#This Row],[Adm2Name]])</f>
        <v>Taolagnaro</v>
      </c>
      <c r="I1061" t="s">
        <v>5723</v>
      </c>
      <c r="K1061" t="s">
        <v>5777</v>
      </c>
      <c r="L1061" t="s">
        <v>5778</v>
      </c>
      <c r="Q1061" t="s">
        <v>2959</v>
      </c>
      <c r="R1061">
        <v>614050004</v>
      </c>
      <c r="T1061" t="s">
        <v>7</v>
      </c>
      <c r="U1061" s="3" t="str">
        <f>+VLOOKUP(Sites_per_tag[[#This Row],[Activity_tag]],Parameter!$A$24:$B$32,2,0)</f>
        <v>SMP</v>
      </c>
      <c r="W1061">
        <v>46.706538000000002</v>
      </c>
      <c r="X1061">
        <v>-25.161287999999999</v>
      </c>
    </row>
    <row r="1062" spans="1:24" x14ac:dyDescent="0.35">
      <c r="A1062" s="3" t="str">
        <f t="shared" si="16"/>
        <v>614050008SMP</v>
      </c>
      <c r="B1062" t="s">
        <v>6211</v>
      </c>
      <c r="C1062">
        <f>+VLOOKUP(Sites_per_tag[[#This Row],[Field_office]],Parameter!$A$3:$B$11,2,0)</f>
        <v>6</v>
      </c>
      <c r="E1062" t="s">
        <v>1448</v>
      </c>
      <c r="F1062" t="s">
        <v>5651</v>
      </c>
      <c r="H1062" t="str">
        <f ca="1">PROPER(Sites_per_tag[[#This Row],[Adm2Name]])</f>
        <v>Taolagnaro</v>
      </c>
      <c r="I1062" t="s">
        <v>5723</v>
      </c>
      <c r="K1062" t="s">
        <v>5777</v>
      </c>
      <c r="L1062" t="s">
        <v>5778</v>
      </c>
      <c r="Q1062" t="s">
        <v>644</v>
      </c>
      <c r="R1062">
        <v>614050008</v>
      </c>
      <c r="T1062" t="s">
        <v>7</v>
      </c>
      <c r="U1062" s="3" t="str">
        <f>+VLOOKUP(Sites_per_tag[[#This Row],[Activity_tag]],Parameter!$A$24:$B$32,2,0)</f>
        <v>SMP</v>
      </c>
      <c r="W1062">
        <v>46.700733999999997</v>
      </c>
      <c r="X1062">
        <v>-25.174122000000001</v>
      </c>
    </row>
    <row r="1063" spans="1:24" x14ac:dyDescent="0.35">
      <c r="A1063" s="3" t="str">
        <f t="shared" si="16"/>
        <v>614050009SMP</v>
      </c>
      <c r="B1063" t="s">
        <v>6211</v>
      </c>
      <c r="C1063">
        <f>+VLOOKUP(Sites_per_tag[[#This Row],[Field_office]],Parameter!$A$3:$B$11,2,0)</f>
        <v>6</v>
      </c>
      <c r="E1063" t="s">
        <v>1448</v>
      </c>
      <c r="F1063" t="s">
        <v>5651</v>
      </c>
      <c r="H1063" t="str">
        <f ca="1">PROPER(Sites_per_tag[[#This Row],[Adm2Name]])</f>
        <v>Taolagnaro</v>
      </c>
      <c r="I1063" t="s">
        <v>5723</v>
      </c>
      <c r="K1063" t="s">
        <v>5777</v>
      </c>
      <c r="L1063" t="s">
        <v>5778</v>
      </c>
      <c r="Q1063" t="s">
        <v>1430</v>
      </c>
      <c r="R1063">
        <v>614050009</v>
      </c>
      <c r="T1063" t="s">
        <v>7</v>
      </c>
      <c r="U1063" s="3" t="str">
        <f>+VLOOKUP(Sites_per_tag[[#This Row],[Activity_tag]],Parameter!$A$24:$B$32,2,0)</f>
        <v>SMP</v>
      </c>
      <c r="W1063">
        <v>46.752279999999999</v>
      </c>
      <c r="X1063">
        <v>-25.1358</v>
      </c>
    </row>
    <row r="1064" spans="1:24" x14ac:dyDescent="0.35">
      <c r="A1064" s="3" t="str">
        <f t="shared" si="16"/>
        <v>614050010SMP</v>
      </c>
      <c r="B1064" t="s">
        <v>6211</v>
      </c>
      <c r="C1064">
        <f>+VLOOKUP(Sites_per_tag[[#This Row],[Field_office]],Parameter!$A$3:$B$11,2,0)</f>
        <v>6</v>
      </c>
      <c r="E1064" t="s">
        <v>1448</v>
      </c>
      <c r="F1064" t="s">
        <v>5651</v>
      </c>
      <c r="H1064" t="str">
        <f ca="1">PROPER(Sites_per_tag[[#This Row],[Adm2Name]])</f>
        <v>Taolagnaro</v>
      </c>
      <c r="I1064" t="s">
        <v>5723</v>
      </c>
      <c r="K1064" t="s">
        <v>5777</v>
      </c>
      <c r="L1064" t="s">
        <v>5778</v>
      </c>
      <c r="Q1064" t="s">
        <v>949</v>
      </c>
      <c r="R1064">
        <v>614050010</v>
      </c>
      <c r="T1064" t="s">
        <v>7</v>
      </c>
      <c r="U1064" s="3" t="str">
        <f>+VLOOKUP(Sites_per_tag[[#This Row],[Activity_tag]],Parameter!$A$24:$B$32,2,0)</f>
        <v>SMP</v>
      </c>
      <c r="W1064">
        <v>46.752279999999999</v>
      </c>
      <c r="X1064">
        <v>-25.1358</v>
      </c>
    </row>
    <row r="1065" spans="1:24" x14ac:dyDescent="0.35">
      <c r="A1065" s="3" t="str">
        <f t="shared" si="16"/>
        <v>614050011SMP</v>
      </c>
      <c r="B1065" t="s">
        <v>6211</v>
      </c>
      <c r="C1065">
        <f>+VLOOKUP(Sites_per_tag[[#This Row],[Field_office]],Parameter!$A$3:$B$11,2,0)</f>
        <v>6</v>
      </c>
      <c r="E1065" t="s">
        <v>1448</v>
      </c>
      <c r="F1065" t="s">
        <v>5651</v>
      </c>
      <c r="H1065" t="str">
        <f ca="1">PROPER(Sites_per_tag[[#This Row],[Adm2Name]])</f>
        <v>Taolagnaro</v>
      </c>
      <c r="I1065" t="s">
        <v>5723</v>
      </c>
      <c r="K1065" t="s">
        <v>5777</v>
      </c>
      <c r="L1065" t="s">
        <v>5778</v>
      </c>
      <c r="Q1065" t="s">
        <v>973</v>
      </c>
      <c r="R1065">
        <v>614050011</v>
      </c>
      <c r="T1065" t="s">
        <v>7</v>
      </c>
      <c r="U1065" s="3" t="str">
        <f>+VLOOKUP(Sites_per_tag[[#This Row],[Activity_tag]],Parameter!$A$24:$B$32,2,0)</f>
        <v>SMP</v>
      </c>
      <c r="W1065">
        <v>46.752279999999999</v>
      </c>
      <c r="X1065">
        <v>-25.1358</v>
      </c>
    </row>
    <row r="1066" spans="1:24" x14ac:dyDescent="0.35">
      <c r="A1066" s="3" t="str">
        <f t="shared" si="16"/>
        <v>614050012SMP</v>
      </c>
      <c r="B1066" t="s">
        <v>6211</v>
      </c>
      <c r="C1066">
        <f>+VLOOKUP(Sites_per_tag[[#This Row],[Field_office]],Parameter!$A$3:$B$11,2,0)</f>
        <v>6</v>
      </c>
      <c r="E1066" t="s">
        <v>1448</v>
      </c>
      <c r="F1066" t="s">
        <v>5651</v>
      </c>
      <c r="H1066" t="str">
        <f ca="1">PROPER(Sites_per_tag[[#This Row],[Adm2Name]])</f>
        <v>Taolagnaro</v>
      </c>
      <c r="I1066" t="s">
        <v>5723</v>
      </c>
      <c r="K1066" t="s">
        <v>5777</v>
      </c>
      <c r="L1066" t="s">
        <v>5778</v>
      </c>
      <c r="Q1066" t="s">
        <v>3253</v>
      </c>
      <c r="R1066">
        <v>614050012</v>
      </c>
      <c r="T1066" t="s">
        <v>7</v>
      </c>
      <c r="U1066" s="3" t="str">
        <f>+VLOOKUP(Sites_per_tag[[#This Row],[Activity_tag]],Parameter!$A$24:$B$32,2,0)</f>
        <v>SMP</v>
      </c>
      <c r="W1066">
        <v>46.685495000000003</v>
      </c>
      <c r="X1066">
        <v>-25.174129000000001</v>
      </c>
    </row>
    <row r="1067" spans="1:24" x14ac:dyDescent="0.35">
      <c r="A1067" s="3" t="str">
        <f t="shared" si="16"/>
        <v>614060001SMP</v>
      </c>
      <c r="B1067" t="s">
        <v>6211</v>
      </c>
      <c r="C1067">
        <f>+VLOOKUP(Sites_per_tag[[#This Row],[Field_office]],Parameter!$A$3:$B$11,2,0)</f>
        <v>6</v>
      </c>
      <c r="E1067" t="s">
        <v>1448</v>
      </c>
      <c r="F1067" t="s">
        <v>5651</v>
      </c>
      <c r="H1067" t="str">
        <f ca="1">PROPER(Sites_per_tag[[#This Row],[Adm2Name]])</f>
        <v>Taolagnaro</v>
      </c>
      <c r="I1067" t="s">
        <v>5723</v>
      </c>
      <c r="K1067" t="s">
        <v>5800</v>
      </c>
      <c r="L1067" t="s">
        <v>5801</v>
      </c>
      <c r="Q1067" t="s">
        <v>6206</v>
      </c>
      <c r="R1067">
        <v>614060001</v>
      </c>
      <c r="T1067" t="s">
        <v>7</v>
      </c>
      <c r="U1067" s="3" t="str">
        <f>+VLOOKUP(Sites_per_tag[[#This Row],[Activity_tag]],Parameter!$A$24:$B$32,2,0)</f>
        <v>SMP</v>
      </c>
      <c r="W1067">
        <v>46.566119999999998</v>
      </c>
      <c r="X1067">
        <v>-25.139579999999999</v>
      </c>
    </row>
    <row r="1068" spans="1:24" x14ac:dyDescent="0.35">
      <c r="A1068" s="3" t="str">
        <f t="shared" si="16"/>
        <v>614060003SMP</v>
      </c>
      <c r="B1068" t="s">
        <v>6211</v>
      </c>
      <c r="C1068">
        <f>+VLOOKUP(Sites_per_tag[[#This Row],[Field_office]],Parameter!$A$3:$B$11,2,0)</f>
        <v>6</v>
      </c>
      <c r="E1068" t="s">
        <v>1448</v>
      </c>
      <c r="F1068" t="s">
        <v>5651</v>
      </c>
      <c r="H1068" t="str">
        <f ca="1">PROPER(Sites_per_tag[[#This Row],[Adm2Name]])</f>
        <v>Taolagnaro</v>
      </c>
      <c r="I1068" t="s">
        <v>5723</v>
      </c>
      <c r="K1068" t="s">
        <v>5800</v>
      </c>
      <c r="L1068" t="s">
        <v>5801</v>
      </c>
      <c r="Q1068" t="s">
        <v>4206</v>
      </c>
      <c r="R1068">
        <v>614060003</v>
      </c>
      <c r="T1068" t="s">
        <v>7</v>
      </c>
      <c r="U1068" s="3" t="str">
        <f>+VLOOKUP(Sites_per_tag[[#This Row],[Activity_tag]],Parameter!$A$24:$B$32,2,0)</f>
        <v>SMP</v>
      </c>
      <c r="W1068">
        <v>46.566119999999998</v>
      </c>
      <c r="X1068">
        <v>-25.139579999999999</v>
      </c>
    </row>
    <row r="1069" spans="1:24" x14ac:dyDescent="0.35">
      <c r="A1069" s="3" t="str">
        <f t="shared" si="16"/>
        <v>614060004SMP</v>
      </c>
      <c r="B1069" t="s">
        <v>6211</v>
      </c>
      <c r="C1069">
        <f>+VLOOKUP(Sites_per_tag[[#This Row],[Field_office]],Parameter!$A$3:$B$11,2,0)</f>
        <v>6</v>
      </c>
      <c r="E1069" t="s">
        <v>1448</v>
      </c>
      <c r="F1069" t="s">
        <v>5651</v>
      </c>
      <c r="H1069" t="str">
        <f ca="1">PROPER(Sites_per_tag[[#This Row],[Adm2Name]])</f>
        <v>Taolagnaro</v>
      </c>
      <c r="I1069" t="s">
        <v>5723</v>
      </c>
      <c r="K1069" t="s">
        <v>5800</v>
      </c>
      <c r="L1069" t="s">
        <v>5801</v>
      </c>
      <c r="Q1069" t="s">
        <v>823</v>
      </c>
      <c r="R1069">
        <v>614060004</v>
      </c>
      <c r="T1069" t="s">
        <v>7</v>
      </c>
      <c r="U1069" s="3" t="str">
        <f>+VLOOKUP(Sites_per_tag[[#This Row],[Activity_tag]],Parameter!$A$24:$B$32,2,0)</f>
        <v>SMP</v>
      </c>
      <c r="W1069">
        <v>46.524690999999997</v>
      </c>
      <c r="X1069">
        <v>-25.124811000000001</v>
      </c>
    </row>
    <row r="1070" spans="1:24" x14ac:dyDescent="0.35">
      <c r="A1070" s="3" t="str">
        <f t="shared" si="16"/>
        <v>614060005SMP</v>
      </c>
      <c r="B1070" t="s">
        <v>6211</v>
      </c>
      <c r="C1070">
        <f>+VLOOKUP(Sites_per_tag[[#This Row],[Field_office]],Parameter!$A$3:$B$11,2,0)</f>
        <v>6</v>
      </c>
      <c r="E1070" t="s">
        <v>1448</v>
      </c>
      <c r="F1070" t="s">
        <v>5651</v>
      </c>
      <c r="H1070" t="str">
        <f ca="1">PROPER(Sites_per_tag[[#This Row],[Adm2Name]])</f>
        <v>Taolagnaro</v>
      </c>
      <c r="I1070" t="s">
        <v>5723</v>
      </c>
      <c r="K1070" t="s">
        <v>5800</v>
      </c>
      <c r="L1070" t="s">
        <v>5801</v>
      </c>
      <c r="Q1070" t="s">
        <v>1181</v>
      </c>
      <c r="R1070">
        <v>614060005</v>
      </c>
      <c r="T1070" t="s">
        <v>7</v>
      </c>
      <c r="U1070" s="3" t="str">
        <f>+VLOOKUP(Sites_per_tag[[#This Row],[Activity_tag]],Parameter!$A$24:$B$32,2,0)</f>
        <v>SMP</v>
      </c>
      <c r="W1070">
        <v>46.566119999999998</v>
      </c>
      <c r="X1070">
        <v>-25.139579999999999</v>
      </c>
    </row>
    <row r="1071" spans="1:24" x14ac:dyDescent="0.35">
      <c r="A1071" s="3" t="str">
        <f t="shared" si="16"/>
        <v>614060006SMP</v>
      </c>
      <c r="B1071" t="s">
        <v>6211</v>
      </c>
      <c r="C1071">
        <f>+VLOOKUP(Sites_per_tag[[#This Row],[Field_office]],Parameter!$A$3:$B$11,2,0)</f>
        <v>6</v>
      </c>
      <c r="E1071" t="s">
        <v>1448</v>
      </c>
      <c r="F1071" t="s">
        <v>5651</v>
      </c>
      <c r="H1071" t="str">
        <f ca="1">PROPER(Sites_per_tag[[#This Row],[Adm2Name]])</f>
        <v>Taolagnaro</v>
      </c>
      <c r="I1071" t="s">
        <v>5723</v>
      </c>
      <c r="K1071" t="s">
        <v>5800</v>
      </c>
      <c r="L1071" t="s">
        <v>5801</v>
      </c>
      <c r="Q1071" t="s">
        <v>1893</v>
      </c>
      <c r="R1071">
        <v>614060006</v>
      </c>
      <c r="T1071" t="s">
        <v>7</v>
      </c>
      <c r="U1071" s="3" t="str">
        <f>+VLOOKUP(Sites_per_tag[[#This Row],[Activity_tag]],Parameter!$A$24:$B$32,2,0)</f>
        <v>SMP</v>
      </c>
      <c r="W1071">
        <v>46.566119999999998</v>
      </c>
      <c r="X1071">
        <v>-25.139579999999999</v>
      </c>
    </row>
    <row r="1072" spans="1:24" x14ac:dyDescent="0.35">
      <c r="A1072" s="3" t="str">
        <f t="shared" si="16"/>
        <v>614060008SMP</v>
      </c>
      <c r="B1072" t="s">
        <v>6211</v>
      </c>
      <c r="C1072">
        <f>+VLOOKUP(Sites_per_tag[[#This Row],[Field_office]],Parameter!$A$3:$B$11,2,0)</f>
        <v>6</v>
      </c>
      <c r="E1072" t="s">
        <v>1448</v>
      </c>
      <c r="F1072" t="s">
        <v>5651</v>
      </c>
      <c r="H1072" t="str">
        <f ca="1">PROPER(Sites_per_tag[[#This Row],[Adm2Name]])</f>
        <v>Taolagnaro</v>
      </c>
      <c r="I1072" t="s">
        <v>5723</v>
      </c>
      <c r="K1072" t="s">
        <v>5800</v>
      </c>
      <c r="L1072" t="s">
        <v>5801</v>
      </c>
      <c r="Q1072" t="s">
        <v>765</v>
      </c>
      <c r="R1072">
        <v>614060008</v>
      </c>
      <c r="T1072" t="s">
        <v>7</v>
      </c>
      <c r="U1072" s="3" t="str">
        <f>+VLOOKUP(Sites_per_tag[[#This Row],[Activity_tag]],Parameter!$A$24:$B$32,2,0)</f>
        <v>SMP</v>
      </c>
      <c r="W1072">
        <v>46.566119999999998</v>
      </c>
      <c r="X1072">
        <v>-25.139579999999999</v>
      </c>
    </row>
    <row r="1073" spans="1:24" x14ac:dyDescent="0.35">
      <c r="A1073" s="3" t="str">
        <f t="shared" si="16"/>
        <v>614060009SMP</v>
      </c>
      <c r="B1073" t="s">
        <v>6211</v>
      </c>
      <c r="C1073">
        <f>+VLOOKUP(Sites_per_tag[[#This Row],[Field_office]],Parameter!$A$3:$B$11,2,0)</f>
        <v>6</v>
      </c>
      <c r="E1073" t="s">
        <v>1448</v>
      </c>
      <c r="F1073" t="s">
        <v>5651</v>
      </c>
      <c r="H1073" t="str">
        <f ca="1">PROPER(Sites_per_tag[[#This Row],[Adm2Name]])</f>
        <v>Taolagnaro</v>
      </c>
      <c r="I1073" t="s">
        <v>5723</v>
      </c>
      <c r="K1073" t="s">
        <v>5800</v>
      </c>
      <c r="L1073" t="s">
        <v>5801</v>
      </c>
      <c r="Q1073" t="s">
        <v>2304</v>
      </c>
      <c r="R1073">
        <v>614060009</v>
      </c>
      <c r="T1073" t="s">
        <v>7</v>
      </c>
      <c r="U1073" s="3" t="str">
        <f>+VLOOKUP(Sites_per_tag[[#This Row],[Activity_tag]],Parameter!$A$24:$B$32,2,0)</f>
        <v>SMP</v>
      </c>
      <c r="W1073">
        <v>46.566119999999998</v>
      </c>
      <c r="X1073">
        <v>-25.139579999999999</v>
      </c>
    </row>
    <row r="1074" spans="1:24" x14ac:dyDescent="0.35">
      <c r="A1074" s="3" t="str">
        <f t="shared" si="16"/>
        <v>614060010SMP</v>
      </c>
      <c r="B1074" t="s">
        <v>6211</v>
      </c>
      <c r="C1074">
        <f>+VLOOKUP(Sites_per_tag[[#This Row],[Field_office]],Parameter!$A$3:$B$11,2,0)</f>
        <v>6</v>
      </c>
      <c r="E1074" t="s">
        <v>1448</v>
      </c>
      <c r="F1074" t="s">
        <v>5651</v>
      </c>
      <c r="H1074" t="str">
        <f ca="1">PROPER(Sites_per_tag[[#This Row],[Adm2Name]])</f>
        <v>Taolagnaro</v>
      </c>
      <c r="I1074" t="s">
        <v>5723</v>
      </c>
      <c r="K1074" t="s">
        <v>5800</v>
      </c>
      <c r="L1074" t="s">
        <v>5801</v>
      </c>
      <c r="Q1074" t="s">
        <v>1329</v>
      </c>
      <c r="R1074">
        <v>614060010</v>
      </c>
      <c r="T1074" t="s">
        <v>7</v>
      </c>
      <c r="U1074" s="3" t="str">
        <f>+VLOOKUP(Sites_per_tag[[#This Row],[Activity_tag]],Parameter!$A$24:$B$32,2,0)</f>
        <v>SMP</v>
      </c>
      <c r="W1074">
        <v>46.566119999999998</v>
      </c>
      <c r="X1074">
        <v>-25.139579999999999</v>
      </c>
    </row>
    <row r="1075" spans="1:24" x14ac:dyDescent="0.35">
      <c r="A1075" s="3" t="str">
        <f t="shared" si="16"/>
        <v>614060011SMP</v>
      </c>
      <c r="B1075" t="s">
        <v>6211</v>
      </c>
      <c r="C1075">
        <f>+VLOOKUP(Sites_per_tag[[#This Row],[Field_office]],Parameter!$A$3:$B$11,2,0)</f>
        <v>6</v>
      </c>
      <c r="E1075" t="s">
        <v>1448</v>
      </c>
      <c r="F1075" t="s">
        <v>5651</v>
      </c>
      <c r="H1075" t="str">
        <f ca="1">PROPER(Sites_per_tag[[#This Row],[Adm2Name]])</f>
        <v>Taolagnaro</v>
      </c>
      <c r="I1075" t="s">
        <v>5723</v>
      </c>
      <c r="K1075" t="s">
        <v>5800</v>
      </c>
      <c r="L1075" t="s">
        <v>5801</v>
      </c>
      <c r="Q1075" t="s">
        <v>2360</v>
      </c>
      <c r="R1075">
        <v>614060011</v>
      </c>
      <c r="T1075" t="s">
        <v>7</v>
      </c>
      <c r="U1075" s="3" t="str">
        <f>+VLOOKUP(Sites_per_tag[[#This Row],[Activity_tag]],Parameter!$A$24:$B$32,2,0)</f>
        <v>SMP</v>
      </c>
      <c r="W1075">
        <v>46.566119999999998</v>
      </c>
      <c r="X1075">
        <v>-25.139579999999999</v>
      </c>
    </row>
    <row r="1076" spans="1:24" x14ac:dyDescent="0.35">
      <c r="A1076" s="3" t="str">
        <f t="shared" si="16"/>
        <v>614060013SMP</v>
      </c>
      <c r="B1076" t="s">
        <v>6211</v>
      </c>
      <c r="C1076">
        <f>+VLOOKUP(Sites_per_tag[[#This Row],[Field_office]],Parameter!$A$3:$B$11,2,0)</f>
        <v>6</v>
      </c>
      <c r="E1076" t="s">
        <v>1448</v>
      </c>
      <c r="F1076" t="s">
        <v>5651</v>
      </c>
      <c r="H1076" t="str">
        <f ca="1">PROPER(Sites_per_tag[[#This Row],[Adm2Name]])</f>
        <v>Taolagnaro</v>
      </c>
      <c r="I1076" t="s">
        <v>5723</v>
      </c>
      <c r="K1076" t="s">
        <v>5800</v>
      </c>
      <c r="L1076" t="s">
        <v>5801</v>
      </c>
      <c r="Q1076" t="s">
        <v>2303</v>
      </c>
      <c r="R1076">
        <v>614060013</v>
      </c>
      <c r="T1076" t="s">
        <v>7</v>
      </c>
      <c r="U1076" s="3" t="str">
        <f>+VLOOKUP(Sites_per_tag[[#This Row],[Activity_tag]],Parameter!$A$24:$B$32,2,0)</f>
        <v>SMP</v>
      </c>
      <c r="W1076">
        <v>46.566119999999998</v>
      </c>
      <c r="X1076">
        <v>-25.139579999999999</v>
      </c>
    </row>
    <row r="1077" spans="1:24" x14ac:dyDescent="0.35">
      <c r="A1077" s="3" t="str">
        <f t="shared" si="16"/>
        <v>614070001SMP</v>
      </c>
      <c r="B1077" t="s">
        <v>6211</v>
      </c>
      <c r="C1077">
        <f>+VLOOKUP(Sites_per_tag[[#This Row],[Field_office]],Parameter!$A$3:$B$11,2,0)</f>
        <v>6</v>
      </c>
      <c r="E1077" t="s">
        <v>1448</v>
      </c>
      <c r="F1077" t="s">
        <v>5651</v>
      </c>
      <c r="H1077" t="str">
        <f ca="1">PROPER(Sites_per_tag[[#This Row],[Adm2Name]])</f>
        <v>Taolagnaro</v>
      </c>
      <c r="I1077" t="s">
        <v>5723</v>
      </c>
      <c r="K1077" t="s">
        <v>4454</v>
      </c>
      <c r="L1077" t="s">
        <v>5820</v>
      </c>
      <c r="Q1077" t="s">
        <v>951</v>
      </c>
      <c r="R1077">
        <v>614070001</v>
      </c>
      <c r="T1077" t="s">
        <v>7</v>
      </c>
      <c r="U1077" s="3" t="str">
        <f>+VLOOKUP(Sites_per_tag[[#This Row],[Activity_tag]],Parameter!$A$24:$B$32,2,0)</f>
        <v>SMP</v>
      </c>
      <c r="W1077">
        <v>46.781703</v>
      </c>
      <c r="X1077">
        <v>-25.053439000000001</v>
      </c>
    </row>
    <row r="1078" spans="1:24" x14ac:dyDescent="0.35">
      <c r="A1078" s="3" t="str">
        <f t="shared" si="16"/>
        <v>614070002SMP</v>
      </c>
      <c r="B1078" t="s">
        <v>6211</v>
      </c>
      <c r="C1078">
        <f>+VLOOKUP(Sites_per_tag[[#This Row],[Field_office]],Parameter!$A$3:$B$11,2,0)</f>
        <v>6</v>
      </c>
      <c r="E1078" t="s">
        <v>1448</v>
      </c>
      <c r="F1078" t="s">
        <v>5651</v>
      </c>
      <c r="H1078" t="str">
        <f ca="1">PROPER(Sites_per_tag[[#This Row],[Adm2Name]])</f>
        <v>Taolagnaro</v>
      </c>
      <c r="I1078" t="s">
        <v>5723</v>
      </c>
      <c r="K1078" t="s">
        <v>4454</v>
      </c>
      <c r="L1078" t="s">
        <v>5820</v>
      </c>
      <c r="Q1078" t="s">
        <v>1119</v>
      </c>
      <c r="R1078">
        <v>614070002</v>
      </c>
      <c r="T1078" t="s">
        <v>7</v>
      </c>
      <c r="U1078" s="3" t="str">
        <f>+VLOOKUP(Sites_per_tag[[#This Row],[Activity_tag]],Parameter!$A$24:$B$32,2,0)</f>
        <v>SMP</v>
      </c>
      <c r="W1078">
        <v>46.752904999999998</v>
      </c>
      <c r="X1078">
        <v>-25.035294</v>
      </c>
    </row>
    <row r="1079" spans="1:24" x14ac:dyDescent="0.35">
      <c r="A1079" s="3" t="str">
        <f t="shared" si="16"/>
        <v>614070003SMP</v>
      </c>
      <c r="B1079" t="s">
        <v>6211</v>
      </c>
      <c r="C1079">
        <f>+VLOOKUP(Sites_per_tag[[#This Row],[Field_office]],Parameter!$A$3:$B$11,2,0)</f>
        <v>6</v>
      </c>
      <c r="E1079" t="s">
        <v>1448</v>
      </c>
      <c r="F1079" t="s">
        <v>5651</v>
      </c>
      <c r="H1079" t="str">
        <f ca="1">PROPER(Sites_per_tag[[#This Row],[Adm2Name]])</f>
        <v>Taolagnaro</v>
      </c>
      <c r="I1079" t="s">
        <v>5723</v>
      </c>
      <c r="K1079" t="s">
        <v>4454</v>
      </c>
      <c r="L1079" t="s">
        <v>5820</v>
      </c>
      <c r="Q1079" t="s">
        <v>1749</v>
      </c>
      <c r="R1079">
        <v>614070003</v>
      </c>
      <c r="T1079" t="s">
        <v>7</v>
      </c>
      <c r="U1079" s="3" t="str">
        <f>+VLOOKUP(Sites_per_tag[[#This Row],[Activity_tag]],Parameter!$A$24:$B$32,2,0)</f>
        <v>SMP</v>
      </c>
      <c r="W1079">
        <v>46.775472999999998</v>
      </c>
      <c r="X1079">
        <v>-25.033491000000001</v>
      </c>
    </row>
    <row r="1080" spans="1:24" x14ac:dyDescent="0.35">
      <c r="A1080" s="3" t="str">
        <f t="shared" si="16"/>
        <v>614070004SMP</v>
      </c>
      <c r="B1080" t="s">
        <v>6211</v>
      </c>
      <c r="C1080">
        <f>+VLOOKUP(Sites_per_tag[[#This Row],[Field_office]],Parameter!$A$3:$B$11,2,0)</f>
        <v>6</v>
      </c>
      <c r="E1080" t="s">
        <v>1448</v>
      </c>
      <c r="F1080" t="s">
        <v>5651</v>
      </c>
      <c r="H1080" t="str">
        <f ca="1">PROPER(Sites_per_tag[[#This Row],[Adm2Name]])</f>
        <v>Taolagnaro</v>
      </c>
      <c r="I1080" t="s">
        <v>5723</v>
      </c>
      <c r="K1080" t="s">
        <v>4454</v>
      </c>
      <c r="L1080" t="s">
        <v>5820</v>
      </c>
      <c r="Q1080" t="s">
        <v>2238</v>
      </c>
      <c r="R1080">
        <v>614070004</v>
      </c>
      <c r="T1080" t="s">
        <v>7</v>
      </c>
      <c r="U1080" s="3" t="str">
        <f>+VLOOKUP(Sites_per_tag[[#This Row],[Activity_tag]],Parameter!$A$24:$B$32,2,0)</f>
        <v>SMP</v>
      </c>
      <c r="W1080">
        <v>46.760824999999997</v>
      </c>
      <c r="X1080">
        <v>-25.044025000000001</v>
      </c>
    </row>
    <row r="1081" spans="1:24" x14ac:dyDescent="0.35">
      <c r="A1081" s="3" t="str">
        <f t="shared" si="16"/>
        <v>614070005SMP</v>
      </c>
      <c r="B1081" t="s">
        <v>6211</v>
      </c>
      <c r="C1081">
        <f>+VLOOKUP(Sites_per_tag[[#This Row],[Field_office]],Parameter!$A$3:$B$11,2,0)</f>
        <v>6</v>
      </c>
      <c r="E1081" t="s">
        <v>1448</v>
      </c>
      <c r="F1081" t="s">
        <v>5651</v>
      </c>
      <c r="H1081" t="str">
        <f ca="1">PROPER(Sites_per_tag[[#This Row],[Adm2Name]])</f>
        <v>Taolagnaro</v>
      </c>
      <c r="I1081" t="s">
        <v>5723</v>
      </c>
      <c r="K1081" t="s">
        <v>4454</v>
      </c>
      <c r="L1081" t="s">
        <v>5820</v>
      </c>
      <c r="Q1081" t="s">
        <v>2916</v>
      </c>
      <c r="R1081">
        <v>614070005</v>
      </c>
      <c r="T1081" t="s">
        <v>7</v>
      </c>
      <c r="U1081" s="3" t="str">
        <f>+VLOOKUP(Sites_per_tag[[#This Row],[Activity_tag]],Parameter!$A$24:$B$32,2,0)</f>
        <v>SMP</v>
      </c>
      <c r="W1081">
        <v>46.769449999999999</v>
      </c>
      <c r="X1081">
        <v>-25.028030000000001</v>
      </c>
    </row>
    <row r="1082" spans="1:24" x14ac:dyDescent="0.35">
      <c r="A1082" s="3" t="str">
        <f t="shared" si="16"/>
        <v>614070006SMP</v>
      </c>
      <c r="B1082" t="s">
        <v>6211</v>
      </c>
      <c r="C1082">
        <f>+VLOOKUP(Sites_per_tag[[#This Row],[Field_office]],Parameter!$A$3:$B$11,2,0)</f>
        <v>6</v>
      </c>
      <c r="E1082" t="s">
        <v>1448</v>
      </c>
      <c r="F1082" t="s">
        <v>5651</v>
      </c>
      <c r="H1082" t="str">
        <f ca="1">PROPER(Sites_per_tag[[#This Row],[Adm2Name]])</f>
        <v>Taolagnaro</v>
      </c>
      <c r="I1082" t="s">
        <v>5723</v>
      </c>
      <c r="K1082" t="s">
        <v>4454</v>
      </c>
      <c r="L1082" t="s">
        <v>5820</v>
      </c>
      <c r="Q1082" t="s">
        <v>6352</v>
      </c>
      <c r="R1082">
        <v>614070006</v>
      </c>
      <c r="T1082" t="s">
        <v>7</v>
      </c>
      <c r="U1082" s="3" t="str">
        <f>+VLOOKUP(Sites_per_tag[[#This Row],[Activity_tag]],Parameter!$A$24:$B$32,2,0)</f>
        <v>SMP</v>
      </c>
      <c r="W1082">
        <v>46.727899000000001</v>
      </c>
      <c r="X1082">
        <v>-25.036517</v>
      </c>
    </row>
    <row r="1083" spans="1:24" x14ac:dyDescent="0.35">
      <c r="A1083" s="3" t="str">
        <f t="shared" si="16"/>
        <v>614070007SMP</v>
      </c>
      <c r="B1083" t="s">
        <v>6211</v>
      </c>
      <c r="C1083">
        <f>+VLOOKUP(Sites_per_tag[[#This Row],[Field_office]],Parameter!$A$3:$B$11,2,0)</f>
        <v>6</v>
      </c>
      <c r="E1083" t="s">
        <v>1448</v>
      </c>
      <c r="F1083" t="s">
        <v>5651</v>
      </c>
      <c r="H1083" t="str">
        <f ca="1">PROPER(Sites_per_tag[[#This Row],[Adm2Name]])</f>
        <v>Taolagnaro</v>
      </c>
      <c r="I1083" t="s">
        <v>5723</v>
      </c>
      <c r="K1083" t="s">
        <v>4454</v>
      </c>
      <c r="L1083" t="s">
        <v>5820</v>
      </c>
      <c r="Q1083" t="s">
        <v>3653</v>
      </c>
      <c r="R1083">
        <v>614070007</v>
      </c>
      <c r="T1083" t="s">
        <v>7</v>
      </c>
      <c r="U1083" s="3" t="str">
        <f>+VLOOKUP(Sites_per_tag[[#This Row],[Activity_tag]],Parameter!$A$24:$B$32,2,0)</f>
        <v>SMP</v>
      </c>
      <c r="W1083">
        <v>46.769449999999999</v>
      </c>
      <c r="X1083">
        <v>-25.028030000000001</v>
      </c>
    </row>
    <row r="1084" spans="1:24" x14ac:dyDescent="0.35">
      <c r="A1084" s="3" t="str">
        <f t="shared" si="16"/>
        <v>614070011SMP</v>
      </c>
      <c r="B1084" t="s">
        <v>6211</v>
      </c>
      <c r="C1084">
        <f>+VLOOKUP(Sites_per_tag[[#This Row],[Field_office]],Parameter!$A$3:$B$11,2,0)</f>
        <v>6</v>
      </c>
      <c r="E1084" t="s">
        <v>1448</v>
      </c>
      <c r="F1084" t="s">
        <v>5651</v>
      </c>
      <c r="H1084" t="str">
        <f ca="1">PROPER(Sites_per_tag[[#This Row],[Adm2Name]])</f>
        <v>Taolagnaro</v>
      </c>
      <c r="I1084" t="s">
        <v>5723</v>
      </c>
      <c r="K1084" t="s">
        <v>4454</v>
      </c>
      <c r="L1084" t="s">
        <v>5820</v>
      </c>
      <c r="Q1084" t="s">
        <v>3755</v>
      </c>
      <c r="R1084">
        <v>614070011</v>
      </c>
      <c r="T1084" t="s">
        <v>7</v>
      </c>
      <c r="U1084" s="3" t="str">
        <f>+VLOOKUP(Sites_per_tag[[#This Row],[Activity_tag]],Parameter!$A$24:$B$32,2,0)</f>
        <v>SMP</v>
      </c>
      <c r="W1084">
        <v>46.725729999999999</v>
      </c>
      <c r="X1084">
        <v>-25.034838000000001</v>
      </c>
    </row>
    <row r="1085" spans="1:24" x14ac:dyDescent="0.35">
      <c r="A1085" s="3" t="str">
        <f t="shared" si="16"/>
        <v>614070012SMP</v>
      </c>
      <c r="B1085" t="s">
        <v>6211</v>
      </c>
      <c r="C1085">
        <f>+VLOOKUP(Sites_per_tag[[#This Row],[Field_office]],Parameter!$A$3:$B$11,2,0)</f>
        <v>6</v>
      </c>
      <c r="E1085" t="s">
        <v>1448</v>
      </c>
      <c r="F1085" t="s">
        <v>5651</v>
      </c>
      <c r="H1085" t="str">
        <f ca="1">PROPER(Sites_per_tag[[#This Row],[Adm2Name]])</f>
        <v>Taolagnaro</v>
      </c>
      <c r="I1085" t="s">
        <v>5723</v>
      </c>
      <c r="K1085" t="s">
        <v>4454</v>
      </c>
      <c r="L1085" t="s">
        <v>5820</v>
      </c>
      <c r="Q1085" t="s">
        <v>641</v>
      </c>
      <c r="R1085">
        <v>614070012</v>
      </c>
      <c r="T1085" t="s">
        <v>7</v>
      </c>
      <c r="U1085" s="3" t="str">
        <f>+VLOOKUP(Sites_per_tag[[#This Row],[Activity_tag]],Parameter!$A$24:$B$32,2,0)</f>
        <v>SMP</v>
      </c>
      <c r="W1085">
        <v>46.769449999999999</v>
      </c>
      <c r="X1085">
        <v>-25.028030000000001</v>
      </c>
    </row>
    <row r="1086" spans="1:24" x14ac:dyDescent="0.35">
      <c r="A1086" s="3" t="str">
        <f t="shared" si="16"/>
        <v>614070013SMP</v>
      </c>
      <c r="B1086" t="s">
        <v>6211</v>
      </c>
      <c r="C1086">
        <f>+VLOOKUP(Sites_per_tag[[#This Row],[Field_office]],Parameter!$A$3:$B$11,2,0)</f>
        <v>6</v>
      </c>
      <c r="E1086" t="s">
        <v>1448</v>
      </c>
      <c r="F1086" t="s">
        <v>5651</v>
      </c>
      <c r="H1086" t="str">
        <f ca="1">PROPER(Sites_per_tag[[#This Row],[Adm2Name]])</f>
        <v>Taolagnaro</v>
      </c>
      <c r="I1086" t="s">
        <v>5723</v>
      </c>
      <c r="K1086" t="s">
        <v>4454</v>
      </c>
      <c r="L1086" t="s">
        <v>5820</v>
      </c>
      <c r="Q1086" t="s">
        <v>782</v>
      </c>
      <c r="R1086">
        <v>614070013</v>
      </c>
      <c r="T1086" t="s">
        <v>7</v>
      </c>
      <c r="U1086" s="3" t="str">
        <f>+VLOOKUP(Sites_per_tag[[#This Row],[Activity_tag]],Parameter!$A$24:$B$32,2,0)</f>
        <v>SMP</v>
      </c>
      <c r="W1086">
        <v>46.769449999999999</v>
      </c>
      <c r="X1086">
        <v>-25.028030000000001</v>
      </c>
    </row>
    <row r="1087" spans="1:24" x14ac:dyDescent="0.35">
      <c r="A1087" s="3" t="str">
        <f t="shared" si="16"/>
        <v>614120003SMP</v>
      </c>
      <c r="B1087" t="s">
        <v>6211</v>
      </c>
      <c r="C1087">
        <f>+VLOOKUP(Sites_per_tag[[#This Row],[Field_office]],Parameter!$A$3:$B$11,2,0)</f>
        <v>6</v>
      </c>
      <c r="E1087" t="s">
        <v>1448</v>
      </c>
      <c r="F1087" t="s">
        <v>5651</v>
      </c>
      <c r="H1087" t="str">
        <f ca="1">PROPER(Sites_per_tag[[#This Row],[Adm2Name]])</f>
        <v>Taolagnaro</v>
      </c>
      <c r="I1087" t="s">
        <v>5723</v>
      </c>
      <c r="K1087" t="s">
        <v>5963</v>
      </c>
      <c r="L1087" t="s">
        <v>5964</v>
      </c>
      <c r="Q1087" t="s">
        <v>2521</v>
      </c>
      <c r="R1087">
        <v>614120003</v>
      </c>
      <c r="T1087" t="s">
        <v>7</v>
      </c>
      <c r="U1087" s="3" t="str">
        <f>+VLOOKUP(Sites_per_tag[[#This Row],[Activity_tag]],Parameter!$A$24:$B$32,2,0)</f>
        <v>SMP</v>
      </c>
      <c r="W1087">
        <v>47.236730000000001</v>
      </c>
      <c r="X1087">
        <v>-24.592949999999998</v>
      </c>
    </row>
    <row r="1088" spans="1:24" x14ac:dyDescent="0.35">
      <c r="A1088" s="3" t="str">
        <f t="shared" si="16"/>
        <v>614140006SMP</v>
      </c>
      <c r="B1088" t="s">
        <v>6211</v>
      </c>
      <c r="C1088">
        <f>+VLOOKUP(Sites_per_tag[[#This Row],[Field_office]],Parameter!$A$3:$B$11,2,0)</f>
        <v>6</v>
      </c>
      <c r="E1088" t="s">
        <v>1448</v>
      </c>
      <c r="F1088" t="s">
        <v>5651</v>
      </c>
      <c r="H1088" t="str">
        <f ca="1">PROPER(Sites_per_tag[[#This Row],[Adm2Name]])</f>
        <v>Taolagnaro</v>
      </c>
      <c r="I1088" t="s">
        <v>5723</v>
      </c>
      <c r="K1088" t="s">
        <v>5979</v>
      </c>
      <c r="L1088" t="s">
        <v>5980</v>
      </c>
      <c r="Q1088" t="s">
        <v>2601</v>
      </c>
      <c r="R1088">
        <v>614140006</v>
      </c>
      <c r="T1088" t="s">
        <v>7</v>
      </c>
      <c r="U1088" s="3" t="str">
        <f>+VLOOKUP(Sites_per_tag[[#This Row],[Activity_tag]],Parameter!$A$24:$B$32,2,0)</f>
        <v>SMP</v>
      </c>
      <c r="W1088">
        <v>46.879420000000003</v>
      </c>
      <c r="X1088">
        <v>-24.829599999999999</v>
      </c>
    </row>
    <row r="1089" spans="1:24" x14ac:dyDescent="0.35">
      <c r="A1089" s="3" t="str">
        <f t="shared" si="16"/>
        <v>614150004SMP</v>
      </c>
      <c r="B1089" t="s">
        <v>6211</v>
      </c>
      <c r="C1089">
        <f>+VLOOKUP(Sites_per_tag[[#This Row],[Field_office]],Parameter!$A$3:$B$11,2,0)</f>
        <v>6</v>
      </c>
      <c r="E1089" t="s">
        <v>1448</v>
      </c>
      <c r="F1089" t="s">
        <v>5651</v>
      </c>
      <c r="H1089" t="str">
        <f ca="1">PROPER(Sites_per_tag[[#This Row],[Adm2Name]])</f>
        <v>Taolagnaro</v>
      </c>
      <c r="I1089" t="s">
        <v>5723</v>
      </c>
      <c r="K1089" t="s">
        <v>2760</v>
      </c>
      <c r="L1089" t="s">
        <v>6006</v>
      </c>
      <c r="Q1089" t="s">
        <v>805</v>
      </c>
      <c r="R1089">
        <v>614150004</v>
      </c>
      <c r="T1089" t="s">
        <v>7</v>
      </c>
      <c r="U1089" s="3" t="str">
        <f>+VLOOKUP(Sites_per_tag[[#This Row],[Activity_tag]],Parameter!$A$24:$B$32,2,0)</f>
        <v>SMP</v>
      </c>
      <c r="W1089">
        <v>47.084180000000003</v>
      </c>
      <c r="X1089">
        <v>-24.67923</v>
      </c>
    </row>
    <row r="1090" spans="1:24" x14ac:dyDescent="0.35">
      <c r="A1090" s="3" t="str">
        <f t="shared" si="16"/>
        <v>614150005SMP</v>
      </c>
      <c r="B1090" t="s">
        <v>6211</v>
      </c>
      <c r="C1090">
        <f>+VLOOKUP(Sites_per_tag[[#This Row],[Field_office]],Parameter!$A$3:$B$11,2,0)</f>
        <v>6</v>
      </c>
      <c r="E1090" t="s">
        <v>1448</v>
      </c>
      <c r="F1090" t="s">
        <v>5651</v>
      </c>
      <c r="H1090" t="str">
        <f ca="1">PROPER(Sites_per_tag[[#This Row],[Adm2Name]])</f>
        <v>Taolagnaro</v>
      </c>
      <c r="I1090" t="s">
        <v>5723</v>
      </c>
      <c r="K1090" t="s">
        <v>2760</v>
      </c>
      <c r="L1090" t="s">
        <v>6006</v>
      </c>
      <c r="Q1090" t="s">
        <v>987</v>
      </c>
      <c r="R1090">
        <v>614150005</v>
      </c>
      <c r="T1090" t="s">
        <v>7</v>
      </c>
      <c r="U1090" s="3" t="str">
        <f>+VLOOKUP(Sites_per_tag[[#This Row],[Activity_tag]],Parameter!$A$24:$B$32,2,0)</f>
        <v>SMP</v>
      </c>
      <c r="W1090">
        <v>47.084180000000003</v>
      </c>
      <c r="X1090">
        <v>-24.67923</v>
      </c>
    </row>
    <row r="1091" spans="1:24" x14ac:dyDescent="0.35">
      <c r="A1091" s="3" t="str">
        <f t="shared" ref="A1091:A1154" si="17">+R1091&amp;U1091</f>
        <v>614150009SMP</v>
      </c>
      <c r="B1091" t="s">
        <v>6211</v>
      </c>
      <c r="C1091">
        <f>+VLOOKUP(Sites_per_tag[[#This Row],[Field_office]],Parameter!$A$3:$B$11,2,0)</f>
        <v>6</v>
      </c>
      <c r="E1091" t="s">
        <v>1448</v>
      </c>
      <c r="F1091" t="s">
        <v>5651</v>
      </c>
      <c r="H1091" t="str">
        <f ca="1">PROPER(Sites_per_tag[[#This Row],[Adm2Name]])</f>
        <v>Taolagnaro</v>
      </c>
      <c r="I1091" t="s">
        <v>5723</v>
      </c>
      <c r="K1091" t="s">
        <v>2760</v>
      </c>
      <c r="L1091" t="s">
        <v>6006</v>
      </c>
      <c r="Q1091" t="s">
        <v>2351</v>
      </c>
      <c r="R1091">
        <v>614150009</v>
      </c>
      <c r="T1091" t="s">
        <v>7</v>
      </c>
      <c r="U1091" s="3" t="str">
        <f>+VLOOKUP(Sites_per_tag[[#This Row],[Activity_tag]],Parameter!$A$24:$B$32,2,0)</f>
        <v>SMP</v>
      </c>
      <c r="W1091">
        <v>47.084180000000003</v>
      </c>
      <c r="X1091">
        <v>-24.67923</v>
      </c>
    </row>
    <row r="1092" spans="1:24" x14ac:dyDescent="0.35">
      <c r="A1092" s="3" t="str">
        <f t="shared" si="17"/>
        <v>614150010SMP</v>
      </c>
      <c r="B1092" t="s">
        <v>6211</v>
      </c>
      <c r="C1092">
        <f>+VLOOKUP(Sites_per_tag[[#This Row],[Field_office]],Parameter!$A$3:$B$11,2,0)</f>
        <v>6</v>
      </c>
      <c r="E1092" t="s">
        <v>1448</v>
      </c>
      <c r="F1092" t="s">
        <v>5651</v>
      </c>
      <c r="H1092" t="str">
        <f ca="1">PROPER(Sites_per_tag[[#This Row],[Adm2Name]])</f>
        <v>Taolagnaro</v>
      </c>
      <c r="I1092" t="s">
        <v>5723</v>
      </c>
      <c r="K1092" t="s">
        <v>5963</v>
      </c>
      <c r="L1092" t="s">
        <v>5964</v>
      </c>
      <c r="Q1092" t="s">
        <v>2413</v>
      </c>
      <c r="R1092">
        <v>614150010</v>
      </c>
      <c r="T1092" t="s">
        <v>7</v>
      </c>
      <c r="U1092" s="3" t="str">
        <f>+VLOOKUP(Sites_per_tag[[#This Row],[Activity_tag]],Parameter!$A$24:$B$32,2,0)</f>
        <v>SMP</v>
      </c>
      <c r="W1092">
        <v>47.236730000000001</v>
      </c>
      <c r="X1092">
        <v>-24.592949999999998</v>
      </c>
    </row>
    <row r="1093" spans="1:24" x14ac:dyDescent="0.35">
      <c r="A1093" s="3" t="str">
        <f t="shared" si="17"/>
        <v>614150011SMP</v>
      </c>
      <c r="B1093" t="s">
        <v>6211</v>
      </c>
      <c r="C1093">
        <f>+VLOOKUP(Sites_per_tag[[#This Row],[Field_office]],Parameter!$A$3:$B$11,2,0)</f>
        <v>6</v>
      </c>
      <c r="E1093" t="s">
        <v>1448</v>
      </c>
      <c r="F1093" t="s">
        <v>5651</v>
      </c>
      <c r="H1093" t="str">
        <f ca="1">PROPER(Sites_per_tag[[#This Row],[Adm2Name]])</f>
        <v>Taolagnaro</v>
      </c>
      <c r="I1093" t="s">
        <v>5723</v>
      </c>
      <c r="K1093" t="s">
        <v>2760</v>
      </c>
      <c r="L1093" t="s">
        <v>6006</v>
      </c>
      <c r="Q1093" t="s">
        <v>2449</v>
      </c>
      <c r="R1093">
        <v>614150011</v>
      </c>
      <c r="T1093" t="s">
        <v>7</v>
      </c>
      <c r="U1093" s="3" t="str">
        <f>+VLOOKUP(Sites_per_tag[[#This Row],[Activity_tag]],Parameter!$A$24:$B$32,2,0)</f>
        <v>SMP</v>
      </c>
      <c r="W1093">
        <v>47.084180000000003</v>
      </c>
      <c r="X1093">
        <v>-24.67923</v>
      </c>
    </row>
    <row r="1094" spans="1:24" x14ac:dyDescent="0.35">
      <c r="A1094" s="3" t="str">
        <f t="shared" si="17"/>
        <v>614150013SMP</v>
      </c>
      <c r="B1094" t="s">
        <v>6211</v>
      </c>
      <c r="C1094">
        <f>+VLOOKUP(Sites_per_tag[[#This Row],[Field_office]],Parameter!$A$3:$B$11,2,0)</f>
        <v>6</v>
      </c>
      <c r="E1094" t="s">
        <v>1448</v>
      </c>
      <c r="F1094" t="s">
        <v>5651</v>
      </c>
      <c r="H1094" t="str">
        <f ca="1">PROPER(Sites_per_tag[[#This Row],[Adm2Name]])</f>
        <v>Taolagnaro</v>
      </c>
      <c r="I1094" t="s">
        <v>5723</v>
      </c>
      <c r="K1094" t="s">
        <v>2760</v>
      </c>
      <c r="L1094" t="s">
        <v>6006</v>
      </c>
      <c r="Q1094" t="s">
        <v>6402</v>
      </c>
      <c r="R1094">
        <v>614150013</v>
      </c>
      <c r="T1094" t="s">
        <v>7</v>
      </c>
      <c r="U1094" s="3" t="str">
        <f>+VLOOKUP(Sites_per_tag[[#This Row],[Activity_tag]],Parameter!$A$24:$B$32,2,0)</f>
        <v>SMP</v>
      </c>
      <c r="W1094">
        <v>47.084180000000003</v>
      </c>
      <c r="X1094">
        <v>-24.67923</v>
      </c>
    </row>
    <row r="1095" spans="1:24" x14ac:dyDescent="0.35">
      <c r="A1095" s="3" t="str">
        <f t="shared" si="17"/>
        <v>614150016SMP</v>
      </c>
      <c r="B1095" t="s">
        <v>6211</v>
      </c>
      <c r="C1095">
        <f>+VLOOKUP(Sites_per_tag[[#This Row],[Field_office]],Parameter!$A$3:$B$11,2,0)</f>
        <v>6</v>
      </c>
      <c r="E1095" t="s">
        <v>1448</v>
      </c>
      <c r="F1095" t="s">
        <v>5651</v>
      </c>
      <c r="H1095" t="str">
        <f ca="1">PROPER(Sites_per_tag[[#This Row],[Adm2Name]])</f>
        <v>Taolagnaro</v>
      </c>
      <c r="I1095" t="s">
        <v>5723</v>
      </c>
      <c r="K1095" t="s">
        <v>2760</v>
      </c>
      <c r="L1095" t="s">
        <v>6006</v>
      </c>
      <c r="Q1095" t="s">
        <v>3714</v>
      </c>
      <c r="R1095">
        <v>614150016</v>
      </c>
      <c r="T1095" t="s">
        <v>7</v>
      </c>
      <c r="U1095" s="3" t="str">
        <f>+VLOOKUP(Sites_per_tag[[#This Row],[Activity_tag]],Parameter!$A$24:$B$32,2,0)</f>
        <v>SMP</v>
      </c>
      <c r="W1095">
        <v>47.084180000000003</v>
      </c>
      <c r="X1095">
        <v>-24.67923</v>
      </c>
    </row>
    <row r="1096" spans="1:24" x14ac:dyDescent="0.35">
      <c r="A1096" s="3" t="str">
        <f t="shared" si="17"/>
        <v>614150018SMP</v>
      </c>
      <c r="B1096" t="s">
        <v>6211</v>
      </c>
      <c r="C1096">
        <f>+VLOOKUP(Sites_per_tag[[#This Row],[Field_office]],Parameter!$A$3:$B$11,2,0)</f>
        <v>6</v>
      </c>
      <c r="E1096" t="s">
        <v>1448</v>
      </c>
      <c r="F1096" t="s">
        <v>5651</v>
      </c>
      <c r="H1096" t="str">
        <f ca="1">PROPER(Sites_per_tag[[#This Row],[Adm2Name]])</f>
        <v>Taolagnaro</v>
      </c>
      <c r="I1096" t="s">
        <v>5723</v>
      </c>
      <c r="K1096" t="s">
        <v>2760</v>
      </c>
      <c r="L1096" t="s">
        <v>6006</v>
      </c>
      <c r="Q1096" t="s">
        <v>3764</v>
      </c>
      <c r="R1096">
        <v>614150018</v>
      </c>
      <c r="T1096" t="s">
        <v>7</v>
      </c>
      <c r="U1096" s="3" t="str">
        <f>+VLOOKUP(Sites_per_tag[[#This Row],[Activity_tag]],Parameter!$A$24:$B$32,2,0)</f>
        <v>SMP</v>
      </c>
      <c r="W1096">
        <v>47.084180000000003</v>
      </c>
      <c r="X1096">
        <v>-24.67923</v>
      </c>
    </row>
    <row r="1097" spans="1:24" x14ac:dyDescent="0.35">
      <c r="A1097" s="3" t="str">
        <f t="shared" si="17"/>
        <v>614150022SMP</v>
      </c>
      <c r="B1097" t="s">
        <v>6211</v>
      </c>
      <c r="C1097">
        <f>+VLOOKUP(Sites_per_tag[[#This Row],[Field_office]],Parameter!$A$3:$B$11,2,0)</f>
        <v>6</v>
      </c>
      <c r="E1097" t="s">
        <v>1448</v>
      </c>
      <c r="F1097" t="s">
        <v>5651</v>
      </c>
      <c r="H1097" t="str">
        <f ca="1">PROPER(Sites_per_tag[[#This Row],[Adm2Name]])</f>
        <v>Taolagnaro</v>
      </c>
      <c r="I1097" t="s">
        <v>5723</v>
      </c>
      <c r="K1097" t="s">
        <v>2760</v>
      </c>
      <c r="L1097" t="s">
        <v>6006</v>
      </c>
      <c r="Q1097" t="s">
        <v>1683</v>
      </c>
      <c r="R1097">
        <v>614150022</v>
      </c>
      <c r="T1097" t="s">
        <v>7</v>
      </c>
      <c r="U1097" s="3" t="str">
        <f>+VLOOKUP(Sites_per_tag[[#This Row],[Activity_tag]],Parameter!$A$24:$B$32,2,0)</f>
        <v>SMP</v>
      </c>
      <c r="W1097">
        <v>47.084180000000003</v>
      </c>
      <c r="X1097">
        <v>-24.67923</v>
      </c>
    </row>
    <row r="1098" spans="1:24" x14ac:dyDescent="0.35">
      <c r="A1098" s="3" t="str">
        <f t="shared" si="17"/>
        <v>614150025SMP</v>
      </c>
      <c r="B1098" t="s">
        <v>6211</v>
      </c>
      <c r="C1098">
        <f>+VLOOKUP(Sites_per_tag[[#This Row],[Field_office]],Parameter!$A$3:$B$11,2,0)</f>
        <v>6</v>
      </c>
      <c r="E1098" t="s">
        <v>1448</v>
      </c>
      <c r="F1098" t="s">
        <v>5651</v>
      </c>
      <c r="H1098" t="str">
        <f ca="1">PROPER(Sites_per_tag[[#This Row],[Adm2Name]])</f>
        <v>Taolagnaro</v>
      </c>
      <c r="I1098" t="s">
        <v>5723</v>
      </c>
      <c r="K1098" t="s">
        <v>2760</v>
      </c>
      <c r="L1098" t="s">
        <v>6006</v>
      </c>
      <c r="Q1098" t="s">
        <v>2847</v>
      </c>
      <c r="R1098">
        <v>614150025</v>
      </c>
      <c r="T1098" t="s">
        <v>7</v>
      </c>
      <c r="U1098" s="3" t="str">
        <f>+VLOOKUP(Sites_per_tag[[#This Row],[Activity_tag]],Parameter!$A$24:$B$32,2,0)</f>
        <v>SMP</v>
      </c>
      <c r="W1098">
        <v>47.084180000000003</v>
      </c>
      <c r="X1098">
        <v>-24.67923</v>
      </c>
    </row>
    <row r="1099" spans="1:24" x14ac:dyDescent="0.35">
      <c r="A1099" s="3" t="str">
        <f t="shared" si="17"/>
        <v>614150028SMP</v>
      </c>
      <c r="B1099" t="s">
        <v>6211</v>
      </c>
      <c r="C1099">
        <f>+VLOOKUP(Sites_per_tag[[#This Row],[Field_office]],Parameter!$A$3:$B$11,2,0)</f>
        <v>6</v>
      </c>
      <c r="E1099" t="s">
        <v>1448</v>
      </c>
      <c r="F1099" t="s">
        <v>5651</v>
      </c>
      <c r="H1099" t="str">
        <f ca="1">PROPER(Sites_per_tag[[#This Row],[Adm2Name]])</f>
        <v>Taolagnaro</v>
      </c>
      <c r="I1099" t="s">
        <v>5723</v>
      </c>
      <c r="K1099" t="s">
        <v>2760</v>
      </c>
      <c r="L1099" t="s">
        <v>6006</v>
      </c>
      <c r="Q1099" t="s">
        <v>1456</v>
      </c>
      <c r="R1099">
        <v>614150028</v>
      </c>
      <c r="T1099" t="s">
        <v>7</v>
      </c>
      <c r="U1099" s="3" t="str">
        <f>+VLOOKUP(Sites_per_tag[[#This Row],[Activity_tag]],Parameter!$A$24:$B$32,2,0)</f>
        <v>SMP</v>
      </c>
      <c r="W1099">
        <v>47.084180000000003</v>
      </c>
      <c r="X1099">
        <v>-24.67923</v>
      </c>
    </row>
    <row r="1100" spans="1:24" x14ac:dyDescent="0.35">
      <c r="A1100" s="3" t="str">
        <f t="shared" si="17"/>
        <v>614160009SMP</v>
      </c>
      <c r="B1100" t="s">
        <v>6211</v>
      </c>
      <c r="C1100">
        <f>+VLOOKUP(Sites_per_tag[[#This Row],[Field_office]],Parameter!$A$3:$B$11,2,0)</f>
        <v>6</v>
      </c>
      <c r="E1100" t="s">
        <v>1448</v>
      </c>
      <c r="F1100" t="s">
        <v>5651</v>
      </c>
      <c r="H1100" t="str">
        <f ca="1">PROPER(Sites_per_tag[[#This Row],[Adm2Name]])</f>
        <v>Taolagnaro</v>
      </c>
      <c r="I1100" t="s">
        <v>5723</v>
      </c>
      <c r="K1100" t="s">
        <v>6017</v>
      </c>
      <c r="L1100" t="s">
        <v>6018</v>
      </c>
      <c r="Q1100" t="s">
        <v>3288</v>
      </c>
      <c r="R1100">
        <v>614160009</v>
      </c>
      <c r="T1100" t="s">
        <v>7</v>
      </c>
      <c r="U1100" s="3" t="str">
        <f>+VLOOKUP(Sites_per_tag[[#This Row],[Activity_tag]],Parameter!$A$24:$B$32,2,0)</f>
        <v>SMP</v>
      </c>
      <c r="W1100">
        <v>46.856513</v>
      </c>
      <c r="X1100">
        <v>-24.998273999999999</v>
      </c>
    </row>
    <row r="1101" spans="1:24" x14ac:dyDescent="0.35">
      <c r="A1101" s="3" t="str">
        <f t="shared" si="17"/>
        <v>614160014SMP</v>
      </c>
      <c r="B1101" t="s">
        <v>6211</v>
      </c>
      <c r="C1101">
        <f>+VLOOKUP(Sites_per_tag[[#This Row],[Field_office]],Parameter!$A$3:$B$11,2,0)</f>
        <v>6</v>
      </c>
      <c r="E1101" t="s">
        <v>1448</v>
      </c>
      <c r="F1101" t="s">
        <v>5651</v>
      </c>
      <c r="H1101" t="str">
        <f ca="1">PROPER(Sites_per_tag[[#This Row],[Adm2Name]])</f>
        <v>Taolagnaro</v>
      </c>
      <c r="I1101" t="s">
        <v>5723</v>
      </c>
      <c r="K1101" t="s">
        <v>6017</v>
      </c>
      <c r="L1101" t="s">
        <v>6018</v>
      </c>
      <c r="Q1101" t="s">
        <v>2406</v>
      </c>
      <c r="R1101">
        <v>614160014</v>
      </c>
      <c r="T1101" t="s">
        <v>7</v>
      </c>
      <c r="U1101" s="3" t="str">
        <f>+VLOOKUP(Sites_per_tag[[#This Row],[Activity_tag]],Parameter!$A$24:$B$32,2,0)</f>
        <v>SMP</v>
      </c>
      <c r="W1101">
        <v>46.866945000000001</v>
      </c>
      <c r="X1101">
        <v>-24.986132999999999</v>
      </c>
    </row>
    <row r="1102" spans="1:24" x14ac:dyDescent="0.35">
      <c r="A1102" s="3" t="str">
        <f t="shared" si="17"/>
        <v>614170014SMP</v>
      </c>
      <c r="B1102" t="s">
        <v>6211</v>
      </c>
      <c r="C1102">
        <f>+VLOOKUP(Sites_per_tag[[#This Row],[Field_office]],Parameter!$A$3:$B$11,2,0)</f>
        <v>6</v>
      </c>
      <c r="E1102" t="s">
        <v>1448</v>
      </c>
      <c r="F1102" t="s">
        <v>5651</v>
      </c>
      <c r="H1102" t="str">
        <f ca="1">PROPER(Sites_per_tag[[#This Row],[Adm2Name]])</f>
        <v>Taolagnaro</v>
      </c>
      <c r="I1102" t="s">
        <v>5723</v>
      </c>
      <c r="K1102" t="s">
        <v>6025</v>
      </c>
      <c r="L1102" t="s">
        <v>6026</v>
      </c>
      <c r="Q1102" t="s">
        <v>6403</v>
      </c>
      <c r="R1102">
        <v>614170014</v>
      </c>
      <c r="T1102" t="s">
        <v>7</v>
      </c>
      <c r="U1102" s="3" t="str">
        <f>+VLOOKUP(Sites_per_tag[[#This Row],[Activity_tag]],Parameter!$A$24:$B$32,2,0)</f>
        <v>SMP</v>
      </c>
      <c r="W1102">
        <v>47.210079999999998</v>
      </c>
      <c r="X1102">
        <v>-24.517299999999999</v>
      </c>
    </row>
    <row r="1103" spans="1:24" x14ac:dyDescent="0.35">
      <c r="A1103" s="3" t="str">
        <f t="shared" si="17"/>
        <v>614180002SMP</v>
      </c>
      <c r="B1103" t="s">
        <v>6211</v>
      </c>
      <c r="C1103">
        <f>+VLOOKUP(Sites_per_tag[[#This Row],[Field_office]],Parameter!$A$3:$B$11,2,0)</f>
        <v>6</v>
      </c>
      <c r="E1103" t="s">
        <v>1448</v>
      </c>
      <c r="F1103" t="s">
        <v>5651</v>
      </c>
      <c r="H1103" t="str">
        <f ca="1">PROPER(Sites_per_tag[[#This Row],[Adm2Name]])</f>
        <v>Taolagnaro</v>
      </c>
      <c r="I1103" t="s">
        <v>5723</v>
      </c>
      <c r="K1103" t="s">
        <v>2881</v>
      </c>
      <c r="L1103" t="s">
        <v>6028</v>
      </c>
      <c r="Q1103" t="s">
        <v>2882</v>
      </c>
      <c r="R1103">
        <v>614180002</v>
      </c>
      <c r="T1103" t="s">
        <v>7</v>
      </c>
      <c r="U1103" s="3" t="str">
        <f>+VLOOKUP(Sites_per_tag[[#This Row],[Activity_tag]],Parameter!$A$24:$B$32,2,0)</f>
        <v>SMP</v>
      </c>
      <c r="W1103">
        <v>46.822830000000003</v>
      </c>
      <c r="X1103">
        <v>-24.908249999999999</v>
      </c>
    </row>
    <row r="1104" spans="1:24" x14ac:dyDescent="0.35">
      <c r="A1104" s="3" t="str">
        <f t="shared" si="17"/>
        <v>614190003SMP</v>
      </c>
      <c r="B1104" t="s">
        <v>6211</v>
      </c>
      <c r="C1104">
        <f>+VLOOKUP(Sites_per_tag[[#This Row],[Field_office]],Parameter!$A$3:$B$11,2,0)</f>
        <v>6</v>
      </c>
      <c r="E1104" t="s">
        <v>1448</v>
      </c>
      <c r="F1104" t="s">
        <v>5651</v>
      </c>
      <c r="H1104" t="str">
        <f ca="1">PROPER(Sites_per_tag[[#This Row],[Adm2Name]])</f>
        <v>Taolagnaro</v>
      </c>
      <c r="I1104" t="s">
        <v>5723</v>
      </c>
      <c r="K1104" t="s">
        <v>6029</v>
      </c>
      <c r="L1104" t="s">
        <v>6030</v>
      </c>
      <c r="Q1104" t="s">
        <v>2615</v>
      </c>
      <c r="R1104">
        <v>614190003</v>
      </c>
      <c r="T1104" t="s">
        <v>7</v>
      </c>
      <c r="U1104" s="3" t="str">
        <f>+VLOOKUP(Sites_per_tag[[#This Row],[Activity_tag]],Parameter!$A$24:$B$32,2,0)</f>
        <v>SMP</v>
      </c>
      <c r="W1104">
        <v>47.022399999999998</v>
      </c>
      <c r="X1104">
        <v>-24.903320000000001</v>
      </c>
    </row>
    <row r="1105" spans="1:24" x14ac:dyDescent="0.35">
      <c r="A1105" s="3" t="str">
        <f t="shared" si="17"/>
        <v>614190004SMP</v>
      </c>
      <c r="B1105" t="s">
        <v>6211</v>
      </c>
      <c r="C1105">
        <f>+VLOOKUP(Sites_per_tag[[#This Row],[Field_office]],Parameter!$A$3:$B$11,2,0)</f>
        <v>6</v>
      </c>
      <c r="E1105" t="s">
        <v>1448</v>
      </c>
      <c r="F1105" t="s">
        <v>5651</v>
      </c>
      <c r="H1105" t="str">
        <f ca="1">PROPER(Sites_per_tag[[#This Row],[Adm2Name]])</f>
        <v>Taolagnaro</v>
      </c>
      <c r="I1105" t="s">
        <v>5723</v>
      </c>
      <c r="K1105" t="s">
        <v>6029</v>
      </c>
      <c r="L1105" t="s">
        <v>6030</v>
      </c>
      <c r="Q1105" t="s">
        <v>2891</v>
      </c>
      <c r="R1105">
        <v>614190004</v>
      </c>
      <c r="T1105" t="s">
        <v>7</v>
      </c>
      <c r="U1105" s="3" t="str">
        <f>+VLOOKUP(Sites_per_tag[[#This Row],[Activity_tag]],Parameter!$A$24:$B$32,2,0)</f>
        <v>SMP</v>
      </c>
      <c r="W1105">
        <v>47.022399999999998</v>
      </c>
      <c r="X1105">
        <v>-24.903320000000001</v>
      </c>
    </row>
    <row r="1106" spans="1:24" x14ac:dyDescent="0.35">
      <c r="A1106" s="3" t="str">
        <f t="shared" si="17"/>
        <v>614190005SMP</v>
      </c>
      <c r="B1106" t="s">
        <v>6211</v>
      </c>
      <c r="C1106">
        <f>+VLOOKUP(Sites_per_tag[[#This Row],[Field_office]],Parameter!$A$3:$B$11,2,0)</f>
        <v>6</v>
      </c>
      <c r="E1106" t="s">
        <v>1448</v>
      </c>
      <c r="F1106" t="s">
        <v>5651</v>
      </c>
      <c r="H1106" t="str">
        <f ca="1">PROPER(Sites_per_tag[[#This Row],[Adm2Name]])</f>
        <v>Taolagnaro</v>
      </c>
      <c r="I1106" t="s">
        <v>5723</v>
      </c>
      <c r="K1106" t="s">
        <v>6029</v>
      </c>
      <c r="L1106" t="s">
        <v>6030</v>
      </c>
      <c r="Q1106" t="s">
        <v>3614</v>
      </c>
      <c r="R1106">
        <v>614190005</v>
      </c>
      <c r="T1106" t="s">
        <v>7</v>
      </c>
      <c r="U1106" s="3" t="str">
        <f>+VLOOKUP(Sites_per_tag[[#This Row],[Activity_tag]],Parameter!$A$24:$B$32,2,0)</f>
        <v>SMP</v>
      </c>
      <c r="W1106">
        <v>47.022399999999998</v>
      </c>
      <c r="X1106">
        <v>-24.903320000000001</v>
      </c>
    </row>
    <row r="1107" spans="1:24" x14ac:dyDescent="0.35">
      <c r="A1107" s="3" t="str">
        <f t="shared" si="17"/>
        <v>614190007SMP</v>
      </c>
      <c r="B1107" t="s">
        <v>6211</v>
      </c>
      <c r="C1107">
        <f>+VLOOKUP(Sites_per_tag[[#This Row],[Field_office]],Parameter!$A$3:$B$11,2,0)</f>
        <v>6</v>
      </c>
      <c r="E1107" t="s">
        <v>1448</v>
      </c>
      <c r="F1107" t="s">
        <v>5651</v>
      </c>
      <c r="H1107" t="str">
        <f ca="1">PROPER(Sites_per_tag[[#This Row],[Adm2Name]])</f>
        <v>Taolagnaro</v>
      </c>
      <c r="I1107" t="s">
        <v>5723</v>
      </c>
      <c r="K1107" t="s">
        <v>6029</v>
      </c>
      <c r="L1107" t="s">
        <v>6030</v>
      </c>
      <c r="Q1107" t="s">
        <v>2359</v>
      </c>
      <c r="R1107">
        <v>614190007</v>
      </c>
      <c r="T1107" t="s">
        <v>7</v>
      </c>
      <c r="U1107" s="3" t="str">
        <f>+VLOOKUP(Sites_per_tag[[#This Row],[Activity_tag]],Parameter!$A$24:$B$32,2,0)</f>
        <v>SMP</v>
      </c>
      <c r="W1107">
        <v>47.022399999999998</v>
      </c>
      <c r="X1107">
        <v>-24.903320000000001</v>
      </c>
    </row>
    <row r="1108" spans="1:24" x14ac:dyDescent="0.35">
      <c r="A1108" s="3" t="str">
        <f t="shared" si="17"/>
        <v>614210002SMP</v>
      </c>
      <c r="B1108" t="s">
        <v>6211</v>
      </c>
      <c r="C1108">
        <f>+VLOOKUP(Sites_per_tag[[#This Row],[Field_office]],Parameter!$A$3:$B$11,2,0)</f>
        <v>6</v>
      </c>
      <c r="E1108" t="s">
        <v>1448</v>
      </c>
      <c r="F1108" t="s">
        <v>5651</v>
      </c>
      <c r="H1108" t="str">
        <f ca="1">PROPER(Sites_per_tag[[#This Row],[Adm2Name]])</f>
        <v>Taolagnaro</v>
      </c>
      <c r="I1108" t="s">
        <v>5723</v>
      </c>
      <c r="K1108" t="s">
        <v>6087</v>
      </c>
      <c r="L1108" t="s">
        <v>6088</v>
      </c>
      <c r="Q1108" t="s">
        <v>168</v>
      </c>
      <c r="R1108">
        <v>614210002</v>
      </c>
      <c r="T1108" t="s">
        <v>7</v>
      </c>
      <c r="U1108" s="3" t="str">
        <f>+VLOOKUP(Sites_per_tag[[#This Row],[Activity_tag]],Parameter!$A$24:$B$32,2,0)</f>
        <v>SMP</v>
      </c>
      <c r="W1108">
        <v>46.670493</v>
      </c>
      <c r="X1108">
        <v>-25.101759000000001</v>
      </c>
    </row>
    <row r="1109" spans="1:24" x14ac:dyDescent="0.35">
      <c r="A1109" s="3" t="str">
        <f t="shared" si="17"/>
        <v>614210003SMP</v>
      </c>
      <c r="B1109" t="s">
        <v>6211</v>
      </c>
      <c r="C1109">
        <f>+VLOOKUP(Sites_per_tag[[#This Row],[Field_office]],Parameter!$A$3:$B$11,2,0)</f>
        <v>6</v>
      </c>
      <c r="E1109" t="s">
        <v>1448</v>
      </c>
      <c r="F1109" t="s">
        <v>5651</v>
      </c>
      <c r="H1109" t="str">
        <f ca="1">PROPER(Sites_per_tag[[#This Row],[Adm2Name]])</f>
        <v>Taolagnaro</v>
      </c>
      <c r="I1109" t="s">
        <v>5723</v>
      </c>
      <c r="K1109" t="s">
        <v>6087</v>
      </c>
      <c r="L1109" t="s">
        <v>6088</v>
      </c>
      <c r="Q1109" t="s">
        <v>922</v>
      </c>
      <c r="R1109">
        <v>614210003</v>
      </c>
      <c r="T1109" t="s">
        <v>7</v>
      </c>
      <c r="U1109" s="3" t="str">
        <f>+VLOOKUP(Sites_per_tag[[#This Row],[Activity_tag]],Parameter!$A$24:$B$32,2,0)</f>
        <v>SMP</v>
      </c>
      <c r="W1109">
        <v>46.596294</v>
      </c>
      <c r="X1109">
        <v>-25.047934000000001</v>
      </c>
    </row>
    <row r="1110" spans="1:24" x14ac:dyDescent="0.35">
      <c r="A1110" s="3" t="str">
        <f t="shared" si="17"/>
        <v>614210004SMP</v>
      </c>
      <c r="B1110" t="s">
        <v>6211</v>
      </c>
      <c r="C1110">
        <f>+VLOOKUP(Sites_per_tag[[#This Row],[Field_office]],Parameter!$A$3:$B$11,2,0)</f>
        <v>6</v>
      </c>
      <c r="E1110" t="s">
        <v>1448</v>
      </c>
      <c r="F1110" t="s">
        <v>5651</v>
      </c>
      <c r="H1110" t="str">
        <f ca="1">PROPER(Sites_per_tag[[#This Row],[Adm2Name]])</f>
        <v>Taolagnaro</v>
      </c>
      <c r="I1110" t="s">
        <v>5723</v>
      </c>
      <c r="K1110" t="s">
        <v>6087</v>
      </c>
      <c r="L1110" t="s">
        <v>6088</v>
      </c>
      <c r="Q1110" t="s">
        <v>1178</v>
      </c>
      <c r="R1110">
        <v>614210004</v>
      </c>
      <c r="T1110" t="s">
        <v>7</v>
      </c>
      <c r="U1110" s="3" t="str">
        <f>+VLOOKUP(Sites_per_tag[[#This Row],[Activity_tag]],Parameter!$A$24:$B$32,2,0)</f>
        <v>SMP</v>
      </c>
      <c r="W1110">
        <v>46.651766000000002</v>
      </c>
      <c r="X1110">
        <v>-25.017313999999999</v>
      </c>
    </row>
    <row r="1111" spans="1:24" x14ac:dyDescent="0.35">
      <c r="A1111" s="3" t="str">
        <f t="shared" si="17"/>
        <v>614210005SMP</v>
      </c>
      <c r="B1111" t="s">
        <v>6211</v>
      </c>
      <c r="C1111">
        <f>+VLOOKUP(Sites_per_tag[[#This Row],[Field_office]],Parameter!$A$3:$B$11,2,0)</f>
        <v>6</v>
      </c>
      <c r="E1111" t="s">
        <v>1448</v>
      </c>
      <c r="F1111" t="s">
        <v>5651</v>
      </c>
      <c r="H1111" t="str">
        <f ca="1">PROPER(Sites_per_tag[[#This Row],[Adm2Name]])</f>
        <v>Taolagnaro</v>
      </c>
      <c r="I1111" t="s">
        <v>5723</v>
      </c>
      <c r="K1111" t="s">
        <v>6087</v>
      </c>
      <c r="L1111" t="s">
        <v>6088</v>
      </c>
      <c r="Q1111" t="s">
        <v>1179</v>
      </c>
      <c r="R1111">
        <v>614210005</v>
      </c>
      <c r="T1111" t="s">
        <v>7</v>
      </c>
      <c r="U1111" s="3" t="str">
        <f>+VLOOKUP(Sites_per_tag[[#This Row],[Activity_tag]],Parameter!$A$24:$B$32,2,0)</f>
        <v>SMP</v>
      </c>
      <c r="W1111">
        <v>46.66957</v>
      </c>
      <c r="X1111">
        <v>-24.9664</v>
      </c>
    </row>
    <row r="1112" spans="1:24" x14ac:dyDescent="0.35">
      <c r="A1112" s="3" t="str">
        <f t="shared" si="17"/>
        <v>614210006SMP</v>
      </c>
      <c r="B1112" t="s">
        <v>6210</v>
      </c>
      <c r="C1112">
        <f>+VLOOKUP(Sites_per_tag[[#This Row],[Field_office]],Parameter!$A$3:$B$11,2,0)</f>
        <v>10</v>
      </c>
      <c r="E1112" t="s">
        <v>5650</v>
      </c>
      <c r="F1112" t="s">
        <v>5654</v>
      </c>
      <c r="H1112" t="str">
        <f ca="1">PROPER(Sites_per_tag[[#This Row],[Adm2Name]])</f>
        <v>Betioky Atsimo</v>
      </c>
      <c r="I1112" t="s">
        <v>5688</v>
      </c>
      <c r="K1112" t="s">
        <v>1367</v>
      </c>
      <c r="L1112" t="s">
        <v>5843</v>
      </c>
      <c r="Q1112" t="s">
        <v>6404</v>
      </c>
      <c r="R1112">
        <v>614210006</v>
      </c>
      <c r="T1112" t="s">
        <v>7</v>
      </c>
      <c r="U1112" s="3" t="str">
        <f>+VLOOKUP(Sites_per_tag[[#This Row],[Activity_tag]],Parameter!$A$24:$B$32,2,0)</f>
        <v>SMP</v>
      </c>
      <c r="W1112">
        <v>44.666328999999998</v>
      </c>
      <c r="X1112">
        <v>-23.302636</v>
      </c>
    </row>
    <row r="1113" spans="1:24" x14ac:dyDescent="0.35">
      <c r="A1113" s="3" t="str">
        <f t="shared" si="17"/>
        <v>614210009SMP</v>
      </c>
      <c r="B1113" t="s">
        <v>6210</v>
      </c>
      <c r="C1113">
        <f>+VLOOKUP(Sites_per_tag[[#This Row],[Field_office]],Parameter!$A$3:$B$11,2,0)</f>
        <v>10</v>
      </c>
      <c r="E1113" t="s">
        <v>5650</v>
      </c>
      <c r="F1113" t="s">
        <v>5654</v>
      </c>
      <c r="H1113" t="str">
        <f ca="1">PROPER(Sites_per_tag[[#This Row],[Adm2Name]])</f>
        <v>Betioky Atsimo</v>
      </c>
      <c r="I1113" t="s">
        <v>5688</v>
      </c>
      <c r="K1113" t="s">
        <v>1367</v>
      </c>
      <c r="L1113" t="s">
        <v>5843</v>
      </c>
      <c r="Q1113" t="s">
        <v>3109</v>
      </c>
      <c r="R1113">
        <v>614210009</v>
      </c>
      <c r="T1113" t="s">
        <v>7</v>
      </c>
      <c r="U1113" s="3" t="str">
        <f>+VLOOKUP(Sites_per_tag[[#This Row],[Activity_tag]],Parameter!$A$24:$B$32,2,0)</f>
        <v>SMP</v>
      </c>
      <c r="W1113">
        <v>44.673501000000002</v>
      </c>
      <c r="X1113">
        <v>-23.312667999999999</v>
      </c>
    </row>
    <row r="1114" spans="1:24" x14ac:dyDescent="0.35">
      <c r="A1114" s="3" t="str">
        <f t="shared" si="17"/>
        <v>614210010SMP</v>
      </c>
      <c r="B1114" t="s">
        <v>6211</v>
      </c>
      <c r="C1114">
        <f>+VLOOKUP(Sites_per_tag[[#This Row],[Field_office]],Parameter!$A$3:$B$11,2,0)</f>
        <v>6</v>
      </c>
      <c r="E1114" t="s">
        <v>1448</v>
      </c>
      <c r="F1114" t="s">
        <v>5651</v>
      </c>
      <c r="H1114" t="str">
        <f ca="1">PROPER(Sites_per_tag[[#This Row],[Adm2Name]])</f>
        <v>Taolagnaro</v>
      </c>
      <c r="I1114" t="s">
        <v>5723</v>
      </c>
      <c r="K1114" t="s">
        <v>6087</v>
      </c>
      <c r="L1114" t="s">
        <v>6088</v>
      </c>
      <c r="Q1114" t="s">
        <v>2350</v>
      </c>
      <c r="R1114">
        <v>614210010</v>
      </c>
      <c r="T1114" t="s">
        <v>7</v>
      </c>
      <c r="U1114" s="3" t="str">
        <f>+VLOOKUP(Sites_per_tag[[#This Row],[Activity_tag]],Parameter!$A$24:$B$32,2,0)</f>
        <v>SMP</v>
      </c>
      <c r="W1114">
        <v>46.66957</v>
      </c>
      <c r="X1114">
        <v>-24.9664</v>
      </c>
    </row>
    <row r="1115" spans="1:24" x14ac:dyDescent="0.35">
      <c r="A1115" s="3" t="str">
        <f t="shared" si="17"/>
        <v>614210011SMP</v>
      </c>
      <c r="B1115" t="s">
        <v>6211</v>
      </c>
      <c r="C1115">
        <f>+VLOOKUP(Sites_per_tag[[#This Row],[Field_office]],Parameter!$A$3:$B$11,2,0)</f>
        <v>6</v>
      </c>
      <c r="E1115" t="s">
        <v>1448</v>
      </c>
      <c r="F1115" t="s">
        <v>5651</v>
      </c>
      <c r="H1115" t="str">
        <f ca="1">PROPER(Sites_per_tag[[#This Row],[Adm2Name]])</f>
        <v>Taolagnaro</v>
      </c>
      <c r="I1115" t="s">
        <v>5723</v>
      </c>
      <c r="K1115" t="s">
        <v>6087</v>
      </c>
      <c r="L1115" t="s">
        <v>6088</v>
      </c>
      <c r="Q1115" t="s">
        <v>3321</v>
      </c>
      <c r="R1115">
        <v>614210011</v>
      </c>
      <c r="T1115" t="s">
        <v>7</v>
      </c>
      <c r="U1115" s="3" t="str">
        <f>+VLOOKUP(Sites_per_tag[[#This Row],[Activity_tag]],Parameter!$A$24:$B$32,2,0)</f>
        <v>SMP</v>
      </c>
      <c r="W1115">
        <v>46.687933000000001</v>
      </c>
      <c r="X1115">
        <v>-25.053284999999999</v>
      </c>
    </row>
    <row r="1116" spans="1:24" x14ac:dyDescent="0.35">
      <c r="A1116" s="3" t="str">
        <f t="shared" si="17"/>
        <v>614210012SMP</v>
      </c>
      <c r="B1116" t="s">
        <v>6211</v>
      </c>
      <c r="C1116">
        <f>+VLOOKUP(Sites_per_tag[[#This Row],[Field_office]],Parameter!$A$3:$B$11,2,0)</f>
        <v>6</v>
      </c>
      <c r="E1116" t="s">
        <v>1448</v>
      </c>
      <c r="F1116" t="s">
        <v>5651</v>
      </c>
      <c r="H1116" t="str">
        <f ca="1">PROPER(Sites_per_tag[[#This Row],[Adm2Name]])</f>
        <v>Taolagnaro</v>
      </c>
      <c r="I1116" t="s">
        <v>5723</v>
      </c>
      <c r="K1116" t="s">
        <v>5777</v>
      </c>
      <c r="L1116" t="s">
        <v>5778</v>
      </c>
      <c r="Q1116" t="s">
        <v>3108</v>
      </c>
      <c r="R1116">
        <v>614210012</v>
      </c>
      <c r="T1116" t="s">
        <v>7</v>
      </c>
      <c r="U1116" s="3" t="str">
        <f>+VLOOKUP(Sites_per_tag[[#This Row],[Activity_tag]],Parameter!$A$24:$B$32,2,0)</f>
        <v>SMP</v>
      </c>
      <c r="W1116">
        <v>46.752279999999999</v>
      </c>
      <c r="X1116">
        <v>-25.1358</v>
      </c>
    </row>
    <row r="1117" spans="1:24" x14ac:dyDescent="0.35">
      <c r="A1117" s="3" t="str">
        <f t="shared" si="17"/>
        <v>614210014SMP</v>
      </c>
      <c r="B1117" t="s">
        <v>6211</v>
      </c>
      <c r="C1117">
        <f>+VLOOKUP(Sites_per_tag[[#This Row],[Field_office]],Parameter!$A$3:$B$11,2,0)</f>
        <v>6</v>
      </c>
      <c r="E1117" t="s">
        <v>1448</v>
      </c>
      <c r="F1117" t="s">
        <v>5651</v>
      </c>
      <c r="H1117" t="str">
        <f ca="1">PROPER(Sites_per_tag[[#This Row],[Adm2Name]])</f>
        <v>Taolagnaro</v>
      </c>
      <c r="I1117" t="s">
        <v>5723</v>
      </c>
      <c r="K1117" t="s">
        <v>6087</v>
      </c>
      <c r="L1117" t="s">
        <v>6088</v>
      </c>
      <c r="Q1117" t="s">
        <v>564</v>
      </c>
      <c r="R1117">
        <v>614210014</v>
      </c>
      <c r="T1117" t="s">
        <v>7</v>
      </c>
      <c r="U1117" s="3" t="str">
        <f>+VLOOKUP(Sites_per_tag[[#This Row],[Activity_tag]],Parameter!$A$24:$B$32,2,0)</f>
        <v>SMP</v>
      </c>
      <c r="W1117">
        <v>46.66957</v>
      </c>
      <c r="X1117">
        <v>-24.9664</v>
      </c>
    </row>
    <row r="1118" spans="1:24" x14ac:dyDescent="0.35">
      <c r="A1118" s="3" t="str">
        <f t="shared" si="17"/>
        <v>614210015SMP</v>
      </c>
      <c r="B1118" t="s">
        <v>6211</v>
      </c>
      <c r="C1118">
        <f>+VLOOKUP(Sites_per_tag[[#This Row],[Field_office]],Parameter!$A$3:$B$11,2,0)</f>
        <v>6</v>
      </c>
      <c r="E1118" t="s">
        <v>1448</v>
      </c>
      <c r="F1118" t="s">
        <v>5651</v>
      </c>
      <c r="H1118" t="str">
        <f ca="1">PROPER(Sites_per_tag[[#This Row],[Adm2Name]])</f>
        <v>Taolagnaro</v>
      </c>
      <c r="I1118" t="s">
        <v>5723</v>
      </c>
      <c r="K1118" t="s">
        <v>6087</v>
      </c>
      <c r="L1118" t="s">
        <v>6088</v>
      </c>
      <c r="Q1118" t="s">
        <v>3042</v>
      </c>
      <c r="R1118">
        <v>614210015</v>
      </c>
      <c r="T1118" t="s">
        <v>7</v>
      </c>
      <c r="U1118" s="3" t="str">
        <f>+VLOOKUP(Sites_per_tag[[#This Row],[Activity_tag]],Parameter!$A$24:$B$32,2,0)</f>
        <v>SMP</v>
      </c>
      <c r="W1118">
        <v>46.66957</v>
      </c>
      <c r="X1118">
        <v>-24.9664</v>
      </c>
    </row>
    <row r="1119" spans="1:24" x14ac:dyDescent="0.35">
      <c r="A1119" s="3" t="str">
        <f t="shared" si="17"/>
        <v>614210019SMP</v>
      </c>
      <c r="B1119" t="s">
        <v>6211</v>
      </c>
      <c r="C1119">
        <f>+VLOOKUP(Sites_per_tag[[#This Row],[Field_office]],Parameter!$A$3:$B$11,2,0)</f>
        <v>6</v>
      </c>
      <c r="E1119" t="s">
        <v>1448</v>
      </c>
      <c r="F1119" t="s">
        <v>5651</v>
      </c>
      <c r="H1119" t="str">
        <f ca="1">PROPER(Sites_per_tag[[#This Row],[Adm2Name]])</f>
        <v>Taolagnaro</v>
      </c>
      <c r="I1119" t="s">
        <v>5723</v>
      </c>
      <c r="K1119" t="s">
        <v>6087</v>
      </c>
      <c r="L1119" t="s">
        <v>6088</v>
      </c>
      <c r="Q1119" t="s">
        <v>1067</v>
      </c>
      <c r="R1119">
        <v>614210019</v>
      </c>
      <c r="T1119" t="s">
        <v>7</v>
      </c>
      <c r="U1119" s="3" t="str">
        <f>+VLOOKUP(Sites_per_tag[[#This Row],[Activity_tag]],Parameter!$A$24:$B$32,2,0)</f>
        <v>SMP</v>
      </c>
      <c r="W1119">
        <v>46.651322999999998</v>
      </c>
      <c r="X1119">
        <v>-25.020434999999999</v>
      </c>
    </row>
    <row r="1120" spans="1:24" x14ac:dyDescent="0.35">
      <c r="A1120" s="3" t="str">
        <f t="shared" si="17"/>
        <v>614210020SMP</v>
      </c>
      <c r="B1120" t="s">
        <v>6211</v>
      </c>
      <c r="C1120">
        <f>+VLOOKUP(Sites_per_tag[[#This Row],[Field_office]],Parameter!$A$3:$B$11,2,0)</f>
        <v>6</v>
      </c>
      <c r="E1120" t="s">
        <v>1448</v>
      </c>
      <c r="F1120" t="s">
        <v>5651</v>
      </c>
      <c r="H1120" t="str">
        <f ca="1">PROPER(Sites_per_tag[[#This Row],[Adm2Name]])</f>
        <v>Taolagnaro</v>
      </c>
      <c r="I1120" t="s">
        <v>5723</v>
      </c>
      <c r="K1120" t="s">
        <v>6087</v>
      </c>
      <c r="L1120" t="s">
        <v>6088</v>
      </c>
      <c r="Q1120" t="s">
        <v>1717</v>
      </c>
      <c r="R1120">
        <v>614210020</v>
      </c>
      <c r="T1120" t="s">
        <v>7</v>
      </c>
      <c r="U1120" s="3" t="str">
        <f>+VLOOKUP(Sites_per_tag[[#This Row],[Activity_tag]],Parameter!$A$24:$B$32,2,0)</f>
        <v>SMP</v>
      </c>
      <c r="W1120">
        <v>46.66957</v>
      </c>
      <c r="X1120">
        <v>-24.9664</v>
      </c>
    </row>
    <row r="1121" spans="1:24" x14ac:dyDescent="0.35">
      <c r="A1121" s="3" t="str">
        <f t="shared" si="17"/>
        <v>614210021SMP</v>
      </c>
      <c r="B1121" t="s">
        <v>6211</v>
      </c>
      <c r="C1121">
        <f>+VLOOKUP(Sites_per_tag[[#This Row],[Field_office]],Parameter!$A$3:$B$11,2,0)</f>
        <v>6</v>
      </c>
      <c r="E1121" t="s">
        <v>1448</v>
      </c>
      <c r="F1121" t="s">
        <v>5651</v>
      </c>
      <c r="H1121" t="str">
        <f ca="1">PROPER(Sites_per_tag[[#This Row],[Adm2Name]])</f>
        <v>Taolagnaro</v>
      </c>
      <c r="I1121" t="s">
        <v>5723</v>
      </c>
      <c r="K1121" t="s">
        <v>6087</v>
      </c>
      <c r="L1121" t="s">
        <v>6088</v>
      </c>
      <c r="Q1121" t="s">
        <v>2282</v>
      </c>
      <c r="R1121">
        <v>614210021</v>
      </c>
      <c r="T1121" t="s">
        <v>7</v>
      </c>
      <c r="U1121" s="3" t="str">
        <f>+VLOOKUP(Sites_per_tag[[#This Row],[Activity_tag]],Parameter!$A$24:$B$32,2,0)</f>
        <v>SMP</v>
      </c>
      <c r="W1121">
        <v>46.66957</v>
      </c>
      <c r="X1121">
        <v>-24.9664</v>
      </c>
    </row>
    <row r="1122" spans="1:24" x14ac:dyDescent="0.35">
      <c r="A1122" s="3" t="str">
        <f t="shared" si="17"/>
        <v>614220002SMP</v>
      </c>
      <c r="B1122" t="s">
        <v>6211</v>
      </c>
      <c r="C1122">
        <f>+VLOOKUP(Sites_per_tag[[#This Row],[Field_office]],Parameter!$A$3:$B$11,2,0)</f>
        <v>6</v>
      </c>
      <c r="E1122" t="s">
        <v>1448</v>
      </c>
      <c r="F1122" t="s">
        <v>5651</v>
      </c>
      <c r="H1122" t="str">
        <f ca="1">PROPER(Sites_per_tag[[#This Row],[Adm2Name]])</f>
        <v>Taolagnaro</v>
      </c>
      <c r="I1122" t="s">
        <v>5723</v>
      </c>
      <c r="K1122" t="s">
        <v>3421</v>
      </c>
      <c r="L1122" t="s">
        <v>6098</v>
      </c>
      <c r="Q1122" t="s">
        <v>339</v>
      </c>
      <c r="R1122">
        <v>614220002</v>
      </c>
      <c r="T1122" t="s">
        <v>7</v>
      </c>
      <c r="U1122" s="3" t="str">
        <f>+VLOOKUP(Sites_per_tag[[#This Row],[Activity_tag]],Parameter!$A$24:$B$32,2,0)</f>
        <v>SMP</v>
      </c>
      <c r="W1122">
        <v>46.789000000000001</v>
      </c>
      <c r="X1122">
        <v>-25.068020000000001</v>
      </c>
    </row>
    <row r="1123" spans="1:24" x14ac:dyDescent="0.35">
      <c r="A1123" s="3" t="str">
        <f t="shared" si="17"/>
        <v>614220003SMP</v>
      </c>
      <c r="B1123" t="s">
        <v>6211</v>
      </c>
      <c r="C1123">
        <f>+VLOOKUP(Sites_per_tag[[#This Row],[Field_office]],Parameter!$A$3:$B$11,2,0)</f>
        <v>6</v>
      </c>
      <c r="E1123" t="s">
        <v>1448</v>
      </c>
      <c r="F1123" t="s">
        <v>5651</v>
      </c>
      <c r="H1123" t="str">
        <f ca="1">PROPER(Sites_per_tag[[#This Row],[Adm2Name]])</f>
        <v>Taolagnaro</v>
      </c>
      <c r="I1123" t="s">
        <v>5723</v>
      </c>
      <c r="K1123" t="s">
        <v>3421</v>
      </c>
      <c r="L1123" t="s">
        <v>6098</v>
      </c>
      <c r="Q1123" t="s">
        <v>987</v>
      </c>
      <c r="R1123">
        <v>614220003</v>
      </c>
      <c r="T1123" t="s">
        <v>7</v>
      </c>
      <c r="U1123" s="3" t="str">
        <f>+VLOOKUP(Sites_per_tag[[#This Row],[Activity_tag]],Parameter!$A$24:$B$32,2,0)</f>
        <v>SMP</v>
      </c>
      <c r="W1123">
        <v>46.789000000000001</v>
      </c>
      <c r="X1123">
        <v>-25.068020000000001</v>
      </c>
    </row>
    <row r="1124" spans="1:24" x14ac:dyDescent="0.35">
      <c r="A1124" s="3" t="str">
        <f t="shared" si="17"/>
        <v>614220005SMP</v>
      </c>
      <c r="B1124" t="s">
        <v>6211</v>
      </c>
      <c r="C1124">
        <f>+VLOOKUP(Sites_per_tag[[#This Row],[Field_office]],Parameter!$A$3:$B$11,2,0)</f>
        <v>6</v>
      </c>
      <c r="E1124" t="s">
        <v>1448</v>
      </c>
      <c r="F1124" t="s">
        <v>5651</v>
      </c>
      <c r="H1124" t="str">
        <f ca="1">PROPER(Sites_per_tag[[#This Row],[Adm2Name]])</f>
        <v>Taolagnaro</v>
      </c>
      <c r="I1124" t="s">
        <v>5723</v>
      </c>
      <c r="K1124" t="s">
        <v>3421</v>
      </c>
      <c r="L1124" t="s">
        <v>6098</v>
      </c>
      <c r="Q1124" t="s">
        <v>2607</v>
      </c>
      <c r="R1124">
        <v>614220005</v>
      </c>
      <c r="T1124" t="s">
        <v>7</v>
      </c>
      <c r="U1124" s="3" t="str">
        <f>+VLOOKUP(Sites_per_tag[[#This Row],[Activity_tag]],Parameter!$A$24:$B$32,2,0)</f>
        <v>SMP</v>
      </c>
      <c r="W1124">
        <v>46.789000000000001</v>
      </c>
      <c r="X1124">
        <v>-25.068020000000001</v>
      </c>
    </row>
    <row r="1125" spans="1:24" x14ac:dyDescent="0.35">
      <c r="A1125" s="3" t="str">
        <f t="shared" si="17"/>
        <v>614230002SMP</v>
      </c>
      <c r="B1125" t="s">
        <v>6211</v>
      </c>
      <c r="C1125">
        <f>+VLOOKUP(Sites_per_tag[[#This Row],[Field_office]],Parameter!$A$3:$B$11,2,0)</f>
        <v>6</v>
      </c>
      <c r="E1125" t="s">
        <v>1448</v>
      </c>
      <c r="F1125" t="s">
        <v>5651</v>
      </c>
      <c r="H1125" t="str">
        <f ca="1">PROPER(Sites_per_tag[[#This Row],[Adm2Name]])</f>
        <v>Taolagnaro</v>
      </c>
      <c r="I1125" t="s">
        <v>5723</v>
      </c>
      <c r="K1125" t="s">
        <v>6109</v>
      </c>
      <c r="L1125" t="s">
        <v>6110</v>
      </c>
      <c r="Q1125" t="s">
        <v>549</v>
      </c>
      <c r="R1125">
        <v>614230002</v>
      </c>
      <c r="T1125" t="s">
        <v>7</v>
      </c>
      <c r="U1125" s="3" t="str">
        <f>+VLOOKUP(Sites_per_tag[[#This Row],[Activity_tag]],Parameter!$A$24:$B$32,2,0)</f>
        <v>SMP</v>
      </c>
      <c r="W1125">
        <v>46.889519999999997</v>
      </c>
      <c r="X1125">
        <v>-25.026050000000001</v>
      </c>
    </row>
    <row r="1126" spans="1:24" x14ac:dyDescent="0.35">
      <c r="A1126" s="3" t="str">
        <f t="shared" si="17"/>
        <v>614230004SMP</v>
      </c>
      <c r="B1126" t="s">
        <v>6211</v>
      </c>
      <c r="C1126">
        <f>+VLOOKUP(Sites_per_tag[[#This Row],[Field_office]],Parameter!$A$3:$B$11,2,0)</f>
        <v>6</v>
      </c>
      <c r="E1126" t="s">
        <v>1448</v>
      </c>
      <c r="F1126" t="s">
        <v>5651</v>
      </c>
      <c r="H1126" t="str">
        <f ca="1">PROPER(Sites_per_tag[[#This Row],[Adm2Name]])</f>
        <v>Taolagnaro</v>
      </c>
      <c r="I1126" t="s">
        <v>5723</v>
      </c>
      <c r="K1126" t="s">
        <v>6109</v>
      </c>
      <c r="L1126" t="s">
        <v>6110</v>
      </c>
      <c r="Q1126" t="s">
        <v>804</v>
      </c>
      <c r="R1126">
        <v>614230004</v>
      </c>
      <c r="T1126" t="s">
        <v>7</v>
      </c>
      <c r="U1126" s="3" t="str">
        <f>+VLOOKUP(Sites_per_tag[[#This Row],[Activity_tag]],Parameter!$A$24:$B$32,2,0)</f>
        <v>SMP</v>
      </c>
      <c r="W1126">
        <v>46.888632000000001</v>
      </c>
      <c r="X1126">
        <v>-25.021944000000001</v>
      </c>
    </row>
    <row r="1127" spans="1:24" x14ac:dyDescent="0.35">
      <c r="A1127" s="3" t="str">
        <f t="shared" si="17"/>
        <v>614230005SMP</v>
      </c>
      <c r="B1127" t="s">
        <v>6211</v>
      </c>
      <c r="C1127">
        <f>+VLOOKUP(Sites_per_tag[[#This Row],[Field_office]],Parameter!$A$3:$B$11,2,0)</f>
        <v>6</v>
      </c>
      <c r="E1127" t="s">
        <v>1448</v>
      </c>
      <c r="F1127" t="s">
        <v>5651</v>
      </c>
      <c r="H1127" t="str">
        <f ca="1">PROPER(Sites_per_tag[[#This Row],[Adm2Name]])</f>
        <v>Taolagnaro</v>
      </c>
      <c r="I1127" t="s">
        <v>5723</v>
      </c>
      <c r="K1127" t="s">
        <v>6109</v>
      </c>
      <c r="L1127" t="s">
        <v>6110</v>
      </c>
      <c r="Q1127" t="s">
        <v>820</v>
      </c>
      <c r="R1127">
        <v>614230005</v>
      </c>
      <c r="T1127" t="s">
        <v>7</v>
      </c>
      <c r="U1127" s="3" t="str">
        <f>+VLOOKUP(Sites_per_tag[[#This Row],[Activity_tag]],Parameter!$A$24:$B$32,2,0)</f>
        <v>SMP</v>
      </c>
      <c r="W1127">
        <v>46.934945999999997</v>
      </c>
      <c r="X1127">
        <v>-25.012412000000001</v>
      </c>
    </row>
    <row r="1128" spans="1:24" x14ac:dyDescent="0.35">
      <c r="A1128" s="3" t="str">
        <f t="shared" si="17"/>
        <v>614230006SMP</v>
      </c>
      <c r="B1128" t="s">
        <v>6211</v>
      </c>
      <c r="C1128">
        <f>+VLOOKUP(Sites_per_tag[[#This Row],[Field_office]],Parameter!$A$3:$B$11,2,0)</f>
        <v>6</v>
      </c>
      <c r="E1128" t="s">
        <v>1448</v>
      </c>
      <c r="F1128" t="s">
        <v>5651</v>
      </c>
      <c r="H1128" t="str">
        <f ca="1">PROPER(Sites_per_tag[[#This Row],[Adm2Name]])</f>
        <v>Taolagnaro</v>
      </c>
      <c r="I1128" t="s">
        <v>5723</v>
      </c>
      <c r="K1128" t="s">
        <v>6109</v>
      </c>
      <c r="L1128" t="s">
        <v>6110</v>
      </c>
      <c r="Q1128" t="s">
        <v>2666</v>
      </c>
      <c r="R1128">
        <v>614230006</v>
      </c>
      <c r="T1128" t="s">
        <v>7</v>
      </c>
      <c r="U1128" s="3" t="str">
        <f>+VLOOKUP(Sites_per_tag[[#This Row],[Activity_tag]],Parameter!$A$24:$B$32,2,0)</f>
        <v>SMP</v>
      </c>
      <c r="W1128">
        <v>46.889519999999997</v>
      </c>
      <c r="X1128">
        <v>-25.026050000000001</v>
      </c>
    </row>
    <row r="1129" spans="1:24" x14ac:dyDescent="0.35">
      <c r="A1129" s="3" t="str">
        <f t="shared" si="17"/>
        <v>614230008SMP</v>
      </c>
      <c r="B1129" t="s">
        <v>6211</v>
      </c>
      <c r="C1129">
        <f>+VLOOKUP(Sites_per_tag[[#This Row],[Field_office]],Parameter!$A$3:$B$11,2,0)</f>
        <v>6</v>
      </c>
      <c r="E1129" t="s">
        <v>1448</v>
      </c>
      <c r="F1129" t="s">
        <v>5651</v>
      </c>
      <c r="H1129" t="str">
        <f ca="1">PROPER(Sites_per_tag[[#This Row],[Adm2Name]])</f>
        <v>Taolagnaro</v>
      </c>
      <c r="I1129" t="s">
        <v>5723</v>
      </c>
      <c r="K1129" t="s">
        <v>6109</v>
      </c>
      <c r="L1129" t="s">
        <v>6110</v>
      </c>
      <c r="Q1129" t="s">
        <v>3502</v>
      </c>
      <c r="R1129">
        <v>614230008</v>
      </c>
      <c r="T1129" t="s">
        <v>7</v>
      </c>
      <c r="U1129" s="3" t="str">
        <f>+VLOOKUP(Sites_per_tag[[#This Row],[Activity_tag]],Parameter!$A$24:$B$32,2,0)</f>
        <v>SMP</v>
      </c>
      <c r="W1129">
        <v>46.889519999999997</v>
      </c>
      <c r="X1129">
        <v>-25.026050000000001</v>
      </c>
    </row>
    <row r="1130" spans="1:24" x14ac:dyDescent="0.35">
      <c r="A1130" s="3" t="str">
        <f t="shared" si="17"/>
        <v>614240002SMP</v>
      </c>
      <c r="B1130" t="s">
        <v>6211</v>
      </c>
      <c r="C1130">
        <f>+VLOOKUP(Sites_per_tag[[#This Row],[Field_office]],Parameter!$A$3:$B$11,2,0)</f>
        <v>6</v>
      </c>
      <c r="E1130" t="s">
        <v>1448</v>
      </c>
      <c r="F1130" t="s">
        <v>5651</v>
      </c>
      <c r="H1130" t="str">
        <f ca="1">PROPER(Sites_per_tag[[#This Row],[Adm2Name]])</f>
        <v>Taolagnaro</v>
      </c>
      <c r="I1130" t="s">
        <v>5723</v>
      </c>
      <c r="K1130" t="s">
        <v>6130</v>
      </c>
      <c r="L1130" t="s">
        <v>6131</v>
      </c>
      <c r="Q1130" t="s">
        <v>2704</v>
      </c>
      <c r="R1130">
        <v>614240002</v>
      </c>
      <c r="T1130" t="s">
        <v>7</v>
      </c>
      <c r="U1130" s="3" t="str">
        <f>+VLOOKUP(Sites_per_tag[[#This Row],[Activity_tag]],Parameter!$A$24:$B$32,2,0)</f>
        <v>SMP</v>
      </c>
      <c r="W1130">
        <v>46.972450000000002</v>
      </c>
      <c r="X1130">
        <v>-25.02328</v>
      </c>
    </row>
    <row r="1131" spans="1:24" x14ac:dyDescent="0.35">
      <c r="A1131" s="3" t="str">
        <f t="shared" si="17"/>
        <v>614240003SMP</v>
      </c>
      <c r="B1131" t="s">
        <v>6211</v>
      </c>
      <c r="C1131">
        <f>+VLOOKUP(Sites_per_tag[[#This Row],[Field_office]],Parameter!$A$3:$B$11,2,0)</f>
        <v>6</v>
      </c>
      <c r="E1131" t="s">
        <v>1448</v>
      </c>
      <c r="F1131" t="s">
        <v>5651</v>
      </c>
      <c r="H1131" t="str">
        <f ca="1">PROPER(Sites_per_tag[[#This Row],[Adm2Name]])</f>
        <v>Taolagnaro</v>
      </c>
      <c r="I1131" t="s">
        <v>5723</v>
      </c>
      <c r="K1131" t="s">
        <v>6130</v>
      </c>
      <c r="L1131" t="s">
        <v>6131</v>
      </c>
      <c r="Q1131" t="s">
        <v>306</v>
      </c>
      <c r="R1131">
        <v>614240003</v>
      </c>
      <c r="T1131" t="s">
        <v>7</v>
      </c>
      <c r="U1131" s="3" t="str">
        <f>+VLOOKUP(Sites_per_tag[[#This Row],[Activity_tag]],Parameter!$A$24:$B$32,2,0)</f>
        <v>SMP</v>
      </c>
      <c r="W1131">
        <v>46.972450000000002</v>
      </c>
      <c r="X1131">
        <v>-25.02328</v>
      </c>
    </row>
    <row r="1132" spans="1:24" x14ac:dyDescent="0.35">
      <c r="A1132" s="3" t="str">
        <f t="shared" si="17"/>
        <v>614240004SMP</v>
      </c>
      <c r="B1132" t="s">
        <v>6211</v>
      </c>
      <c r="C1132">
        <f>+VLOOKUP(Sites_per_tag[[#This Row],[Field_office]],Parameter!$A$3:$B$11,2,0)</f>
        <v>6</v>
      </c>
      <c r="E1132" t="s">
        <v>1448</v>
      </c>
      <c r="F1132" t="s">
        <v>5651</v>
      </c>
      <c r="H1132" t="str">
        <f ca="1">PROPER(Sites_per_tag[[#This Row],[Adm2Name]])</f>
        <v>Taolagnaro</v>
      </c>
      <c r="I1132" t="s">
        <v>5723</v>
      </c>
      <c r="K1132" t="s">
        <v>6130</v>
      </c>
      <c r="L1132" t="s">
        <v>6131</v>
      </c>
      <c r="Q1132" t="s">
        <v>6405</v>
      </c>
      <c r="R1132">
        <v>614240004</v>
      </c>
      <c r="T1132" t="s">
        <v>7</v>
      </c>
      <c r="U1132" s="3" t="str">
        <f>+VLOOKUP(Sites_per_tag[[#This Row],[Activity_tag]],Parameter!$A$24:$B$32,2,0)</f>
        <v>SMP</v>
      </c>
      <c r="W1132">
        <v>46.972450000000002</v>
      </c>
      <c r="X1132">
        <v>-25.02328</v>
      </c>
    </row>
    <row r="1133" spans="1:24" x14ac:dyDescent="0.35">
      <c r="A1133" s="3" t="str">
        <f t="shared" si="17"/>
        <v>614240005SMP</v>
      </c>
      <c r="B1133" t="s">
        <v>6211</v>
      </c>
      <c r="C1133">
        <f>+VLOOKUP(Sites_per_tag[[#This Row],[Field_office]],Parameter!$A$3:$B$11,2,0)</f>
        <v>6</v>
      </c>
      <c r="E1133" t="s">
        <v>1448</v>
      </c>
      <c r="F1133" t="s">
        <v>5651</v>
      </c>
      <c r="H1133" t="str">
        <f ca="1">PROPER(Sites_per_tag[[#This Row],[Adm2Name]])</f>
        <v>Taolagnaro</v>
      </c>
      <c r="I1133" t="s">
        <v>5723</v>
      </c>
      <c r="K1133" t="s">
        <v>6130</v>
      </c>
      <c r="L1133" t="s">
        <v>6131</v>
      </c>
      <c r="Q1133" t="s">
        <v>492</v>
      </c>
      <c r="R1133">
        <v>614240005</v>
      </c>
      <c r="T1133" t="s">
        <v>7</v>
      </c>
      <c r="U1133" s="3" t="str">
        <f>+VLOOKUP(Sites_per_tag[[#This Row],[Activity_tag]],Parameter!$A$24:$B$32,2,0)</f>
        <v>SMP</v>
      </c>
      <c r="W1133">
        <v>46.972450000000002</v>
      </c>
      <c r="X1133">
        <v>-25.02328</v>
      </c>
    </row>
    <row r="1134" spans="1:24" x14ac:dyDescent="0.35">
      <c r="A1134" s="3" t="str">
        <f t="shared" si="17"/>
        <v>614240008SMP</v>
      </c>
      <c r="B1134" t="s">
        <v>6211</v>
      </c>
      <c r="C1134">
        <f>+VLOOKUP(Sites_per_tag[[#This Row],[Field_office]],Parameter!$A$3:$B$11,2,0)</f>
        <v>6</v>
      </c>
      <c r="E1134" t="s">
        <v>1448</v>
      </c>
      <c r="F1134" t="s">
        <v>5651</v>
      </c>
      <c r="H1134" t="str">
        <f ca="1">PROPER(Sites_per_tag[[#This Row],[Adm2Name]])</f>
        <v>Taolagnaro</v>
      </c>
      <c r="I1134" t="s">
        <v>5723</v>
      </c>
      <c r="K1134" t="s">
        <v>6130</v>
      </c>
      <c r="L1134" t="s">
        <v>6131</v>
      </c>
      <c r="Q1134" t="s">
        <v>795</v>
      </c>
      <c r="R1134">
        <v>614240008</v>
      </c>
      <c r="T1134" t="s">
        <v>7</v>
      </c>
      <c r="U1134" s="3" t="str">
        <f>+VLOOKUP(Sites_per_tag[[#This Row],[Activity_tag]],Parameter!$A$24:$B$32,2,0)</f>
        <v>SMP</v>
      </c>
      <c r="W1134">
        <v>46.972450000000002</v>
      </c>
      <c r="X1134">
        <v>-25.02328</v>
      </c>
    </row>
    <row r="1135" spans="1:24" x14ac:dyDescent="0.35">
      <c r="A1135" s="3" t="str">
        <f t="shared" si="17"/>
        <v>614240011SMP</v>
      </c>
      <c r="B1135" t="s">
        <v>6211</v>
      </c>
      <c r="C1135">
        <f>+VLOOKUP(Sites_per_tag[[#This Row],[Field_office]],Parameter!$A$3:$B$11,2,0)</f>
        <v>6</v>
      </c>
      <c r="E1135" t="s">
        <v>1448</v>
      </c>
      <c r="F1135" t="s">
        <v>5651</v>
      </c>
      <c r="H1135" t="str">
        <f ca="1">PROPER(Sites_per_tag[[#This Row],[Adm2Name]])</f>
        <v>Taolagnaro</v>
      </c>
      <c r="I1135" t="s">
        <v>5723</v>
      </c>
      <c r="K1135" t="s">
        <v>6130</v>
      </c>
      <c r="L1135" t="s">
        <v>6131</v>
      </c>
      <c r="Q1135" t="s">
        <v>2231</v>
      </c>
      <c r="R1135">
        <v>614240011</v>
      </c>
      <c r="T1135" t="s">
        <v>7</v>
      </c>
      <c r="U1135" s="3" t="str">
        <f>+VLOOKUP(Sites_per_tag[[#This Row],[Activity_tag]],Parameter!$A$24:$B$32,2,0)</f>
        <v>SMP</v>
      </c>
      <c r="W1135">
        <v>46.972450000000002</v>
      </c>
      <c r="X1135">
        <v>-25.02328</v>
      </c>
    </row>
    <row r="1136" spans="1:24" x14ac:dyDescent="0.35">
      <c r="A1136" s="3" t="str">
        <f t="shared" si="17"/>
        <v>614240013SMP</v>
      </c>
      <c r="B1136" t="s">
        <v>6211</v>
      </c>
      <c r="C1136">
        <f>+VLOOKUP(Sites_per_tag[[#This Row],[Field_office]],Parameter!$A$3:$B$11,2,0)</f>
        <v>6</v>
      </c>
      <c r="E1136" t="s">
        <v>1448</v>
      </c>
      <c r="F1136" t="s">
        <v>5651</v>
      </c>
      <c r="H1136" t="str">
        <f ca="1">PROPER(Sites_per_tag[[#This Row],[Adm2Name]])</f>
        <v>Taolagnaro</v>
      </c>
      <c r="I1136" t="s">
        <v>5723</v>
      </c>
      <c r="K1136" t="s">
        <v>6130</v>
      </c>
      <c r="L1136" t="s">
        <v>6131</v>
      </c>
      <c r="Q1136" t="s">
        <v>6352</v>
      </c>
      <c r="R1136">
        <v>614240013</v>
      </c>
      <c r="T1136" t="s">
        <v>7</v>
      </c>
      <c r="U1136" s="3" t="str">
        <f>+VLOOKUP(Sites_per_tag[[#This Row],[Activity_tag]],Parameter!$A$24:$B$32,2,0)</f>
        <v>SMP</v>
      </c>
      <c r="W1136">
        <v>46.972450000000002</v>
      </c>
      <c r="X1136">
        <v>-25.02328</v>
      </c>
    </row>
    <row r="1137" spans="1:24" x14ac:dyDescent="0.35">
      <c r="A1137" s="3" t="str">
        <f t="shared" si="17"/>
        <v>614240020SMP</v>
      </c>
      <c r="B1137" t="s">
        <v>6211</v>
      </c>
      <c r="C1137">
        <f>+VLOOKUP(Sites_per_tag[[#This Row],[Field_office]],Parameter!$A$3:$B$11,2,0)</f>
        <v>6</v>
      </c>
      <c r="E1137" t="s">
        <v>1448</v>
      </c>
      <c r="F1137" t="s">
        <v>5651</v>
      </c>
      <c r="H1137" t="str">
        <f ca="1">PROPER(Sites_per_tag[[#This Row],[Adm2Name]])</f>
        <v>Taolagnaro</v>
      </c>
      <c r="I1137" t="s">
        <v>5723</v>
      </c>
      <c r="K1137" t="s">
        <v>6130</v>
      </c>
      <c r="L1137" t="s">
        <v>6131</v>
      </c>
      <c r="Q1137" t="s">
        <v>305</v>
      </c>
      <c r="R1137">
        <v>614240020</v>
      </c>
      <c r="T1137" t="s">
        <v>7</v>
      </c>
      <c r="U1137" s="3" t="str">
        <f>+VLOOKUP(Sites_per_tag[[#This Row],[Activity_tag]],Parameter!$A$24:$B$32,2,0)</f>
        <v>SMP</v>
      </c>
      <c r="W1137">
        <v>46.972450000000002</v>
      </c>
      <c r="X1137">
        <v>-25.02328</v>
      </c>
    </row>
    <row r="1138" spans="1:24" x14ac:dyDescent="0.35">
      <c r="A1138" s="3" t="str">
        <f t="shared" si="17"/>
        <v>614250001SMP</v>
      </c>
      <c r="B1138" t="s">
        <v>6211</v>
      </c>
      <c r="C1138">
        <f>+VLOOKUP(Sites_per_tag[[#This Row],[Field_office]],Parameter!$A$3:$B$11,2,0)</f>
        <v>6</v>
      </c>
      <c r="E1138" t="s">
        <v>1448</v>
      </c>
      <c r="F1138" t="s">
        <v>5651</v>
      </c>
      <c r="H1138" t="str">
        <f ca="1">PROPER(Sites_per_tag[[#This Row],[Adm2Name]])</f>
        <v>Taolagnaro</v>
      </c>
      <c r="I1138" t="s">
        <v>5723</v>
      </c>
      <c r="K1138" t="s">
        <v>5826</v>
      </c>
      <c r="L1138" t="s">
        <v>5827</v>
      </c>
      <c r="Q1138" t="s">
        <v>3804</v>
      </c>
      <c r="R1138">
        <v>614250001</v>
      </c>
      <c r="T1138" t="s">
        <v>7</v>
      </c>
      <c r="U1138" s="3" t="str">
        <f>+VLOOKUP(Sites_per_tag[[#This Row],[Activity_tag]],Parameter!$A$24:$B$32,2,0)</f>
        <v>SMP</v>
      </c>
      <c r="W1138">
        <v>46.624699999999997</v>
      </c>
      <c r="X1138">
        <v>-25.126519999999999</v>
      </c>
    </row>
    <row r="1139" spans="1:24" x14ac:dyDescent="0.35">
      <c r="A1139" s="3" t="str">
        <f t="shared" si="17"/>
        <v>614250002SMP</v>
      </c>
      <c r="B1139" t="s">
        <v>6211</v>
      </c>
      <c r="C1139">
        <f>+VLOOKUP(Sites_per_tag[[#This Row],[Field_office]],Parameter!$A$3:$B$11,2,0)</f>
        <v>6</v>
      </c>
      <c r="E1139" t="s">
        <v>1448</v>
      </c>
      <c r="F1139" t="s">
        <v>5651</v>
      </c>
      <c r="H1139" t="str">
        <f ca="1">PROPER(Sites_per_tag[[#This Row],[Adm2Name]])</f>
        <v>Taolagnaro</v>
      </c>
      <c r="I1139" t="s">
        <v>5723</v>
      </c>
      <c r="K1139" t="s">
        <v>5826</v>
      </c>
      <c r="L1139" t="s">
        <v>5827</v>
      </c>
      <c r="Q1139" t="s">
        <v>1142</v>
      </c>
      <c r="R1139">
        <v>614250002</v>
      </c>
      <c r="T1139" t="s">
        <v>7</v>
      </c>
      <c r="U1139" s="3" t="str">
        <f>+VLOOKUP(Sites_per_tag[[#This Row],[Activity_tag]],Parameter!$A$24:$B$32,2,0)</f>
        <v>SMP</v>
      </c>
      <c r="W1139">
        <v>46.624699999999997</v>
      </c>
      <c r="X1139">
        <v>-25.126519999999999</v>
      </c>
    </row>
    <row r="1140" spans="1:24" x14ac:dyDescent="0.35">
      <c r="A1140" s="3" t="str">
        <f t="shared" si="17"/>
        <v>614250003SMP</v>
      </c>
      <c r="B1140" t="s">
        <v>6211</v>
      </c>
      <c r="C1140">
        <f>+VLOOKUP(Sites_per_tag[[#This Row],[Field_office]],Parameter!$A$3:$B$11,2,0)</f>
        <v>6</v>
      </c>
      <c r="E1140" t="s">
        <v>1448</v>
      </c>
      <c r="F1140" t="s">
        <v>5651</v>
      </c>
      <c r="H1140" t="str">
        <f ca="1">PROPER(Sites_per_tag[[#This Row],[Adm2Name]])</f>
        <v>Taolagnaro</v>
      </c>
      <c r="I1140" t="s">
        <v>5723</v>
      </c>
      <c r="K1140" t="s">
        <v>5826</v>
      </c>
      <c r="L1140" t="s">
        <v>5827</v>
      </c>
      <c r="Q1140" t="s">
        <v>2000</v>
      </c>
      <c r="R1140">
        <v>614250003</v>
      </c>
      <c r="T1140" t="s">
        <v>7</v>
      </c>
      <c r="U1140" s="3" t="str">
        <f>+VLOOKUP(Sites_per_tag[[#This Row],[Activity_tag]],Parameter!$A$24:$B$32,2,0)</f>
        <v>SMP</v>
      </c>
      <c r="W1140">
        <v>46.596294</v>
      </c>
      <c r="X1140">
        <v>-25.047934000000001</v>
      </c>
    </row>
    <row r="1141" spans="1:24" x14ac:dyDescent="0.35">
      <c r="A1141" s="3" t="str">
        <f t="shared" si="17"/>
        <v>614250006SMP</v>
      </c>
      <c r="B1141" t="s">
        <v>6211</v>
      </c>
      <c r="C1141">
        <f>+VLOOKUP(Sites_per_tag[[#This Row],[Field_office]],Parameter!$A$3:$B$11,2,0)</f>
        <v>6</v>
      </c>
      <c r="E1141" t="s">
        <v>1448</v>
      </c>
      <c r="F1141" t="s">
        <v>5651</v>
      </c>
      <c r="H1141" t="str">
        <f ca="1">PROPER(Sites_per_tag[[#This Row],[Adm2Name]])</f>
        <v>Taolagnaro</v>
      </c>
      <c r="I1141" t="s">
        <v>5723</v>
      </c>
      <c r="K1141" t="s">
        <v>5826</v>
      </c>
      <c r="L1141" t="s">
        <v>5827</v>
      </c>
      <c r="Q1141" t="s">
        <v>937</v>
      </c>
      <c r="R1141">
        <v>614250006</v>
      </c>
      <c r="T1141" t="s">
        <v>7</v>
      </c>
      <c r="U1141" s="3" t="str">
        <f>+VLOOKUP(Sites_per_tag[[#This Row],[Activity_tag]],Parameter!$A$24:$B$32,2,0)</f>
        <v>SMP</v>
      </c>
      <c r="W1141">
        <v>46.624699999999997</v>
      </c>
      <c r="X1141">
        <v>-25.126519999999999</v>
      </c>
    </row>
    <row r="1142" spans="1:24" x14ac:dyDescent="0.35">
      <c r="A1142" s="3" t="str">
        <f t="shared" si="17"/>
        <v>614250007SMP</v>
      </c>
      <c r="B1142" t="s">
        <v>6211</v>
      </c>
      <c r="C1142">
        <f>+VLOOKUP(Sites_per_tag[[#This Row],[Field_office]],Parameter!$A$3:$B$11,2,0)</f>
        <v>6</v>
      </c>
      <c r="E1142" t="s">
        <v>1448</v>
      </c>
      <c r="F1142" t="s">
        <v>5651</v>
      </c>
      <c r="H1142" t="str">
        <f ca="1">PROPER(Sites_per_tag[[#This Row],[Adm2Name]])</f>
        <v>Taolagnaro</v>
      </c>
      <c r="I1142" t="s">
        <v>5723</v>
      </c>
      <c r="K1142" t="s">
        <v>5826</v>
      </c>
      <c r="L1142" t="s">
        <v>5827</v>
      </c>
      <c r="Q1142" t="s">
        <v>2186</v>
      </c>
      <c r="R1142">
        <v>614250007</v>
      </c>
      <c r="T1142" t="s">
        <v>7</v>
      </c>
      <c r="U1142" s="3" t="str">
        <f>+VLOOKUP(Sites_per_tag[[#This Row],[Activity_tag]],Parameter!$A$24:$B$32,2,0)</f>
        <v>SMP</v>
      </c>
      <c r="W1142">
        <v>46.597324999999998</v>
      </c>
      <c r="X1142">
        <v>-25.006432</v>
      </c>
    </row>
    <row r="1143" spans="1:24" x14ac:dyDescent="0.35">
      <c r="A1143" s="3" t="str">
        <f t="shared" si="17"/>
        <v>614270001SMP</v>
      </c>
      <c r="B1143" t="s">
        <v>6211</v>
      </c>
      <c r="C1143">
        <f>+VLOOKUP(Sites_per_tag[[#This Row],[Field_office]],Parameter!$A$3:$B$11,2,0)</f>
        <v>6</v>
      </c>
      <c r="E1143" t="s">
        <v>1448</v>
      </c>
      <c r="F1143" t="s">
        <v>5651</v>
      </c>
      <c r="H1143" t="str">
        <f ca="1">PROPER(Sites_per_tag[[#This Row],[Adm2Name]])</f>
        <v>Taolagnaro</v>
      </c>
      <c r="I1143" t="s">
        <v>5723</v>
      </c>
      <c r="K1143" t="s">
        <v>6113</v>
      </c>
      <c r="L1143" t="s">
        <v>6114</v>
      </c>
      <c r="Q1143" t="s">
        <v>943</v>
      </c>
      <c r="R1143">
        <v>614270001</v>
      </c>
      <c r="T1143" t="s">
        <v>7</v>
      </c>
      <c r="U1143" s="3" t="str">
        <f>+VLOOKUP(Sites_per_tag[[#This Row],[Activity_tag]],Parameter!$A$24:$B$32,2,0)</f>
        <v>SMP</v>
      </c>
      <c r="W1143">
        <v>47.218200000000003</v>
      </c>
      <c r="X1143">
        <v>-24.15042</v>
      </c>
    </row>
    <row r="1144" spans="1:24" x14ac:dyDescent="0.35">
      <c r="A1144" s="3" t="str">
        <f t="shared" si="17"/>
        <v>614270003SMP</v>
      </c>
      <c r="B1144" t="s">
        <v>6211</v>
      </c>
      <c r="C1144">
        <f>+VLOOKUP(Sites_per_tag[[#This Row],[Field_office]],Parameter!$A$3:$B$11,2,0)</f>
        <v>6</v>
      </c>
      <c r="E1144" t="s">
        <v>1448</v>
      </c>
      <c r="F1144" t="s">
        <v>5651</v>
      </c>
      <c r="H1144" t="str">
        <f ca="1">PROPER(Sites_per_tag[[#This Row],[Adm2Name]])</f>
        <v>Taolagnaro</v>
      </c>
      <c r="I1144" t="s">
        <v>5723</v>
      </c>
      <c r="K1144" t="s">
        <v>6113</v>
      </c>
      <c r="L1144" t="s">
        <v>6114</v>
      </c>
      <c r="Q1144" t="s">
        <v>3520</v>
      </c>
      <c r="R1144">
        <v>614270003</v>
      </c>
      <c r="T1144" t="s">
        <v>7</v>
      </c>
      <c r="U1144" s="3" t="str">
        <f>+VLOOKUP(Sites_per_tag[[#This Row],[Activity_tag]],Parameter!$A$24:$B$32,2,0)</f>
        <v>SMP</v>
      </c>
      <c r="W1144">
        <v>47.218200000000003</v>
      </c>
      <c r="X1144">
        <v>-24.15042</v>
      </c>
    </row>
    <row r="1145" spans="1:24" x14ac:dyDescent="0.35">
      <c r="A1145" s="3" t="str">
        <f t="shared" si="17"/>
        <v>614270009SMP</v>
      </c>
      <c r="B1145" t="s">
        <v>6211</v>
      </c>
      <c r="C1145">
        <f>+VLOOKUP(Sites_per_tag[[#This Row],[Field_office]],Parameter!$A$3:$B$11,2,0)</f>
        <v>6</v>
      </c>
      <c r="E1145" t="s">
        <v>1448</v>
      </c>
      <c r="F1145" t="s">
        <v>5651</v>
      </c>
      <c r="H1145" t="str">
        <f ca="1">PROPER(Sites_per_tag[[#This Row],[Adm2Name]])</f>
        <v>Betroka</v>
      </c>
      <c r="I1145" t="s">
        <v>5691</v>
      </c>
      <c r="K1145" t="s">
        <v>4513</v>
      </c>
      <c r="L1145" t="s">
        <v>5773</v>
      </c>
      <c r="Q1145" t="s">
        <v>2185</v>
      </c>
      <c r="R1145">
        <v>614270009</v>
      </c>
      <c r="T1145" t="s">
        <v>7</v>
      </c>
      <c r="U1145" s="3" t="str">
        <f>+VLOOKUP(Sites_per_tag[[#This Row],[Activity_tag]],Parameter!$A$24:$B$32,2,0)</f>
        <v>SMP</v>
      </c>
      <c r="W1145">
        <v>45.818800000000003</v>
      </c>
      <c r="X1145">
        <v>-23.234069999999999</v>
      </c>
    </row>
    <row r="1146" spans="1:24" x14ac:dyDescent="0.35">
      <c r="A1146" s="3" t="str">
        <f t="shared" si="17"/>
        <v>614290001SMP</v>
      </c>
      <c r="B1146" t="s">
        <v>6211</v>
      </c>
      <c r="C1146">
        <f>+VLOOKUP(Sites_per_tag[[#This Row],[Field_office]],Parameter!$A$3:$B$11,2,0)</f>
        <v>6</v>
      </c>
      <c r="E1146" t="s">
        <v>1448</v>
      </c>
      <c r="F1146" t="s">
        <v>5651</v>
      </c>
      <c r="H1146" t="str">
        <f ca="1">PROPER(Sites_per_tag[[#This Row],[Adm2Name]])</f>
        <v>Taolagnaro</v>
      </c>
      <c r="I1146" t="s">
        <v>5723</v>
      </c>
      <c r="K1146" t="s">
        <v>6124</v>
      </c>
      <c r="L1146" t="s">
        <v>6125</v>
      </c>
      <c r="Q1146" t="s">
        <v>950</v>
      </c>
      <c r="R1146">
        <v>614290001</v>
      </c>
      <c r="T1146" t="s">
        <v>7</v>
      </c>
      <c r="U1146" s="3" t="str">
        <f>+VLOOKUP(Sites_per_tag[[#This Row],[Activity_tag]],Parameter!$A$24:$B$32,2,0)</f>
        <v>SMP</v>
      </c>
      <c r="W1146">
        <v>47.144069999999999</v>
      </c>
      <c r="X1146">
        <v>-24.38993</v>
      </c>
    </row>
    <row r="1147" spans="1:24" x14ac:dyDescent="0.35">
      <c r="A1147" s="3" t="str">
        <f t="shared" si="17"/>
        <v>614290002SMP</v>
      </c>
      <c r="B1147" t="s">
        <v>6211</v>
      </c>
      <c r="C1147">
        <f>+VLOOKUP(Sites_per_tag[[#This Row],[Field_office]],Parameter!$A$3:$B$11,2,0)</f>
        <v>6</v>
      </c>
      <c r="E1147" t="s">
        <v>1448</v>
      </c>
      <c r="F1147" t="s">
        <v>5651</v>
      </c>
      <c r="H1147" t="str">
        <f ca="1">PROPER(Sites_per_tag[[#This Row],[Adm2Name]])</f>
        <v>Taolagnaro</v>
      </c>
      <c r="I1147" t="s">
        <v>5723</v>
      </c>
      <c r="K1147" t="s">
        <v>6124</v>
      </c>
      <c r="L1147" t="s">
        <v>6125</v>
      </c>
      <c r="Q1147" t="s">
        <v>2276</v>
      </c>
      <c r="R1147">
        <v>614290002</v>
      </c>
      <c r="T1147" t="s">
        <v>7</v>
      </c>
      <c r="U1147" s="3" t="str">
        <f>+VLOOKUP(Sites_per_tag[[#This Row],[Activity_tag]],Parameter!$A$24:$B$32,2,0)</f>
        <v>SMP</v>
      </c>
      <c r="W1147">
        <v>47.144069999999999</v>
      </c>
      <c r="X1147">
        <v>-24.38993</v>
      </c>
    </row>
    <row r="1148" spans="1:24" x14ac:dyDescent="0.35">
      <c r="A1148" s="3" t="str">
        <f t="shared" si="17"/>
        <v>618010005SMP</v>
      </c>
      <c r="B1148" t="s">
        <v>6210</v>
      </c>
      <c r="C1148">
        <f>+VLOOKUP(Sites_per_tag[[#This Row],[Field_office]],Parameter!$A$3:$B$11,2,0)</f>
        <v>10</v>
      </c>
      <c r="E1148" t="s">
        <v>5650</v>
      </c>
      <c r="F1148" t="s">
        <v>5654</v>
      </c>
      <c r="H1148" t="str">
        <f ca="1">PROPER(Sites_per_tag[[#This Row],[Adm2Name]])</f>
        <v>Morombe</v>
      </c>
      <c r="I1148" t="s">
        <v>5716</v>
      </c>
      <c r="K1148" t="s">
        <v>5648</v>
      </c>
      <c r="L1148" t="s">
        <v>5649</v>
      </c>
      <c r="Q1148" t="s">
        <v>2371</v>
      </c>
      <c r="R1148">
        <v>618010005</v>
      </c>
      <c r="T1148" t="s">
        <v>7</v>
      </c>
      <c r="U1148" s="3" t="str">
        <f>+VLOOKUP(Sites_per_tag[[#This Row],[Activity_tag]],Parameter!$A$24:$B$32,2,0)</f>
        <v>SMP</v>
      </c>
      <c r="W1148">
        <v>43.691087000000003</v>
      </c>
      <c r="X1148">
        <v>-21.633261999999998</v>
      </c>
    </row>
    <row r="1149" spans="1:24" x14ac:dyDescent="0.35">
      <c r="A1149" s="3" t="str">
        <f t="shared" si="17"/>
        <v>618010006SMP</v>
      </c>
      <c r="B1149" t="s">
        <v>6210</v>
      </c>
      <c r="C1149">
        <f>+VLOOKUP(Sites_per_tag[[#This Row],[Field_office]],Parameter!$A$3:$B$11,2,0)</f>
        <v>10</v>
      </c>
      <c r="E1149" t="s">
        <v>5650</v>
      </c>
      <c r="F1149" t="s">
        <v>5654</v>
      </c>
      <c r="H1149" t="str">
        <f ca="1">PROPER(Sites_per_tag[[#This Row],[Adm2Name]])</f>
        <v>Morombe</v>
      </c>
      <c r="I1149" t="s">
        <v>5716</v>
      </c>
      <c r="K1149" t="s">
        <v>6406</v>
      </c>
      <c r="L1149" t="s">
        <v>6127</v>
      </c>
      <c r="Q1149" t="s">
        <v>3607</v>
      </c>
      <c r="R1149">
        <v>618010006</v>
      </c>
      <c r="T1149" t="s">
        <v>7</v>
      </c>
      <c r="U1149" s="3" t="str">
        <f>+VLOOKUP(Sites_per_tag[[#This Row],[Activity_tag]],Parameter!$A$24:$B$32,2,0)</f>
        <v>SMP</v>
      </c>
      <c r="W1149">
        <v>43.715325</v>
      </c>
      <c r="X1149">
        <v>-21.668392000000001</v>
      </c>
    </row>
    <row r="1150" spans="1:24" x14ac:dyDescent="0.35">
      <c r="A1150" s="3" t="str">
        <f t="shared" si="17"/>
        <v>618010007SMP</v>
      </c>
      <c r="B1150" t="s">
        <v>6210</v>
      </c>
      <c r="C1150">
        <f>+VLOOKUP(Sites_per_tag[[#This Row],[Field_office]],Parameter!$A$3:$B$11,2,0)</f>
        <v>10</v>
      </c>
      <c r="E1150" t="s">
        <v>5650</v>
      </c>
      <c r="F1150" t="s">
        <v>5654</v>
      </c>
      <c r="H1150" t="str">
        <f ca="1">PROPER(Sites_per_tag[[#This Row],[Adm2Name]])</f>
        <v>Morombe</v>
      </c>
      <c r="I1150" t="s">
        <v>5716</v>
      </c>
      <c r="K1150" t="s">
        <v>6406</v>
      </c>
      <c r="L1150" t="s">
        <v>6127</v>
      </c>
      <c r="Q1150" t="s">
        <v>1288</v>
      </c>
      <c r="R1150">
        <v>618010007</v>
      </c>
      <c r="T1150" t="s">
        <v>7</v>
      </c>
      <c r="U1150" s="3" t="str">
        <f>+VLOOKUP(Sites_per_tag[[#This Row],[Activity_tag]],Parameter!$A$24:$B$32,2,0)</f>
        <v>SMP</v>
      </c>
      <c r="W1150">
        <v>43.731515000000002</v>
      </c>
      <c r="X1150">
        <v>-21.665386000000002</v>
      </c>
    </row>
    <row r="1151" spans="1:24" x14ac:dyDescent="0.35">
      <c r="A1151" s="3" t="str">
        <f t="shared" si="17"/>
        <v>618010014SMP</v>
      </c>
      <c r="B1151" t="s">
        <v>6210</v>
      </c>
      <c r="C1151">
        <f>+VLOOKUP(Sites_per_tag[[#This Row],[Field_office]],Parameter!$A$3:$B$11,2,0)</f>
        <v>10</v>
      </c>
      <c r="E1151" t="s">
        <v>5650</v>
      </c>
      <c r="F1151" t="s">
        <v>5654</v>
      </c>
      <c r="H1151" t="str">
        <f ca="1">PROPER(Sites_per_tag[[#This Row],[Adm2Name]])</f>
        <v>Morombe</v>
      </c>
      <c r="I1151" t="s">
        <v>5716</v>
      </c>
      <c r="K1151" t="s">
        <v>5648</v>
      </c>
      <c r="L1151" t="s">
        <v>5649</v>
      </c>
      <c r="Q1151" t="s">
        <v>2380</v>
      </c>
      <c r="R1151">
        <v>618010014</v>
      </c>
      <c r="T1151" t="s">
        <v>7</v>
      </c>
      <c r="U1151" s="3" t="str">
        <f>+VLOOKUP(Sites_per_tag[[#This Row],[Activity_tag]],Parameter!$A$24:$B$32,2,0)</f>
        <v>SMP</v>
      </c>
      <c r="W1151">
        <v>43.616371000000001</v>
      </c>
      <c r="X1151">
        <v>-21.620321000000001</v>
      </c>
    </row>
    <row r="1152" spans="1:24" x14ac:dyDescent="0.35">
      <c r="A1152" s="3" t="str">
        <f t="shared" si="17"/>
        <v>618010019SMP</v>
      </c>
      <c r="B1152" t="s">
        <v>6210</v>
      </c>
      <c r="C1152">
        <f>+VLOOKUP(Sites_per_tag[[#This Row],[Field_office]],Parameter!$A$3:$B$11,2,0)</f>
        <v>10</v>
      </c>
      <c r="E1152" t="s">
        <v>5650</v>
      </c>
      <c r="F1152" t="s">
        <v>5654</v>
      </c>
      <c r="H1152" t="str">
        <f ca="1">PROPER(Sites_per_tag[[#This Row],[Adm2Name]])</f>
        <v>Morombe</v>
      </c>
      <c r="I1152" t="s">
        <v>5716</v>
      </c>
      <c r="K1152" t="s">
        <v>6406</v>
      </c>
      <c r="L1152" t="s">
        <v>6127</v>
      </c>
      <c r="Q1152" t="s">
        <v>2384</v>
      </c>
      <c r="R1152">
        <v>618010019</v>
      </c>
      <c r="T1152" t="s">
        <v>7</v>
      </c>
      <c r="U1152" s="3" t="str">
        <f>+VLOOKUP(Sites_per_tag[[#This Row],[Activity_tag]],Parameter!$A$24:$B$32,2,0)</f>
        <v>SMP</v>
      </c>
      <c r="W1152">
        <v>43.746661000000003</v>
      </c>
      <c r="X1152">
        <v>-21.704825</v>
      </c>
    </row>
    <row r="1153" spans="1:24" x14ac:dyDescent="0.35">
      <c r="A1153" s="3" t="str">
        <f t="shared" si="17"/>
        <v>618010020SMP</v>
      </c>
      <c r="B1153" t="s">
        <v>6210</v>
      </c>
      <c r="C1153">
        <f>+VLOOKUP(Sites_per_tag[[#This Row],[Field_office]],Parameter!$A$3:$B$11,2,0)</f>
        <v>10</v>
      </c>
      <c r="E1153" t="s">
        <v>5650</v>
      </c>
      <c r="F1153" t="s">
        <v>5654</v>
      </c>
      <c r="H1153" t="str">
        <f ca="1">PROPER(Sites_per_tag[[#This Row],[Adm2Name]])</f>
        <v>Morombe</v>
      </c>
      <c r="I1153" t="s">
        <v>5716</v>
      </c>
      <c r="K1153" t="s">
        <v>6406</v>
      </c>
      <c r="L1153" t="s">
        <v>6127</v>
      </c>
      <c r="Q1153" t="s">
        <v>2372</v>
      </c>
      <c r="R1153">
        <v>618010020</v>
      </c>
      <c r="T1153" t="s">
        <v>7</v>
      </c>
      <c r="U1153" s="3" t="str">
        <f>+VLOOKUP(Sites_per_tag[[#This Row],[Activity_tag]],Parameter!$A$24:$B$32,2,0)</f>
        <v>SMP</v>
      </c>
      <c r="W1153">
        <v>43.754714</v>
      </c>
      <c r="X1153">
        <v>-21.721074999999999</v>
      </c>
    </row>
    <row r="1154" spans="1:24" x14ac:dyDescent="0.35">
      <c r="A1154" s="3" t="str">
        <f t="shared" si="17"/>
        <v>618010025SMP</v>
      </c>
      <c r="B1154" t="s">
        <v>6210</v>
      </c>
      <c r="C1154">
        <f>+VLOOKUP(Sites_per_tag[[#This Row],[Field_office]],Parameter!$A$3:$B$11,2,0)</f>
        <v>10</v>
      </c>
      <c r="E1154" t="s">
        <v>5650</v>
      </c>
      <c r="F1154" t="s">
        <v>5654</v>
      </c>
      <c r="H1154" t="str">
        <f ca="1">PROPER(Sites_per_tag[[#This Row],[Adm2Name]])</f>
        <v>Morombe</v>
      </c>
      <c r="I1154" t="s">
        <v>5716</v>
      </c>
      <c r="K1154" t="s">
        <v>5648</v>
      </c>
      <c r="L1154" t="s">
        <v>5649</v>
      </c>
      <c r="Q1154" t="s">
        <v>1807</v>
      </c>
      <c r="R1154">
        <v>618010025</v>
      </c>
      <c r="T1154" t="s">
        <v>7</v>
      </c>
      <c r="U1154" s="3" t="str">
        <f>+VLOOKUP(Sites_per_tag[[#This Row],[Activity_tag]],Parameter!$A$24:$B$32,2,0)</f>
        <v>SMP</v>
      </c>
      <c r="W1154">
        <v>43.632779999999997</v>
      </c>
      <c r="X1154">
        <v>-21.541630000000001</v>
      </c>
    </row>
    <row r="1155" spans="1:24" x14ac:dyDescent="0.35">
      <c r="A1155" s="3" t="str">
        <f t="shared" ref="A1155:A1218" si="18">+R1155&amp;U1155</f>
        <v>618020007SMP</v>
      </c>
      <c r="B1155" t="s">
        <v>6210</v>
      </c>
      <c r="C1155">
        <f>+VLOOKUP(Sites_per_tag[[#This Row],[Field_office]],Parameter!$A$3:$B$11,2,0)</f>
        <v>10</v>
      </c>
      <c r="E1155" t="s">
        <v>5650</v>
      </c>
      <c r="F1155" t="s">
        <v>5654</v>
      </c>
      <c r="H1155" t="str">
        <f ca="1">PROPER(Sites_per_tag[[#This Row],[Adm2Name]])</f>
        <v>Morombe</v>
      </c>
      <c r="I1155" t="s">
        <v>5716</v>
      </c>
      <c r="K1155" t="s">
        <v>5854</v>
      </c>
      <c r="L1155" t="s">
        <v>5855</v>
      </c>
      <c r="Q1155" t="s">
        <v>1507</v>
      </c>
      <c r="R1155">
        <v>618020007</v>
      </c>
      <c r="T1155" t="s">
        <v>7</v>
      </c>
      <c r="U1155" s="3" t="str">
        <f>+VLOOKUP(Sites_per_tag[[#This Row],[Activity_tag]],Parameter!$A$24:$B$32,2,0)</f>
        <v>SMP</v>
      </c>
      <c r="W1155">
        <v>43.772818999999998</v>
      </c>
      <c r="X1155">
        <v>-22.245718</v>
      </c>
    </row>
    <row r="1156" spans="1:24" x14ac:dyDescent="0.35">
      <c r="A1156" s="3" t="str">
        <f t="shared" si="18"/>
        <v>618020009SMP</v>
      </c>
      <c r="B1156" t="s">
        <v>6210</v>
      </c>
      <c r="C1156">
        <f>+VLOOKUP(Sites_per_tag[[#This Row],[Field_office]],Parameter!$A$3:$B$11,2,0)</f>
        <v>10</v>
      </c>
      <c r="E1156" t="s">
        <v>5650</v>
      </c>
      <c r="F1156" t="s">
        <v>5654</v>
      </c>
      <c r="H1156" t="str">
        <f ca="1">PROPER(Sites_per_tag[[#This Row],[Adm2Name]])</f>
        <v>Morombe</v>
      </c>
      <c r="I1156" t="s">
        <v>5716</v>
      </c>
      <c r="K1156" t="s">
        <v>5854</v>
      </c>
      <c r="L1156" t="s">
        <v>5855</v>
      </c>
      <c r="Q1156" t="s">
        <v>2923</v>
      </c>
      <c r="R1156">
        <v>618020009</v>
      </c>
      <c r="T1156" t="s">
        <v>7</v>
      </c>
      <c r="U1156" s="3" t="str">
        <f>+VLOOKUP(Sites_per_tag[[#This Row],[Activity_tag]],Parameter!$A$24:$B$32,2,0)</f>
        <v>SMP</v>
      </c>
      <c r="W1156">
        <v>43.815499000000003</v>
      </c>
      <c r="X1156">
        <v>-22.230478000000002</v>
      </c>
    </row>
    <row r="1157" spans="1:24" x14ac:dyDescent="0.35">
      <c r="A1157" s="3" t="str">
        <f t="shared" si="18"/>
        <v>618020010SMP</v>
      </c>
      <c r="B1157" t="s">
        <v>6210</v>
      </c>
      <c r="C1157">
        <f>+VLOOKUP(Sites_per_tag[[#This Row],[Field_office]],Parameter!$A$3:$B$11,2,0)</f>
        <v>10</v>
      </c>
      <c r="E1157" t="s">
        <v>5650</v>
      </c>
      <c r="F1157" t="s">
        <v>5654</v>
      </c>
      <c r="H1157" t="str">
        <f ca="1">PROPER(Sites_per_tag[[#This Row],[Adm2Name]])</f>
        <v>Morombe</v>
      </c>
      <c r="I1157" t="s">
        <v>5716</v>
      </c>
      <c r="K1157" t="s">
        <v>5854</v>
      </c>
      <c r="L1157" t="s">
        <v>5855</v>
      </c>
      <c r="Q1157" t="s">
        <v>3180</v>
      </c>
      <c r="R1157">
        <v>618020010</v>
      </c>
      <c r="T1157" t="s">
        <v>7</v>
      </c>
      <c r="U1157" s="3" t="str">
        <f>+VLOOKUP(Sites_per_tag[[#This Row],[Activity_tag]],Parameter!$A$24:$B$32,2,0)</f>
        <v>SMP</v>
      </c>
      <c r="W1157">
        <v>43.752557000000003</v>
      </c>
      <c r="X1157">
        <v>-22.297539</v>
      </c>
    </row>
    <row r="1158" spans="1:24" x14ac:dyDescent="0.35">
      <c r="A1158" s="3" t="str">
        <f t="shared" si="18"/>
        <v>618040006SMP</v>
      </c>
      <c r="B1158" t="s">
        <v>6210</v>
      </c>
      <c r="C1158">
        <f>+VLOOKUP(Sites_per_tag[[#This Row],[Field_office]],Parameter!$A$3:$B$11,2,0)</f>
        <v>10</v>
      </c>
      <c r="E1158" t="s">
        <v>5650</v>
      </c>
      <c r="F1158" t="s">
        <v>5654</v>
      </c>
      <c r="H1158" t="str">
        <f ca="1">PROPER(Sites_per_tag[[#This Row],[Adm2Name]])</f>
        <v>Morombe</v>
      </c>
      <c r="I1158" t="s">
        <v>5716</v>
      </c>
      <c r="K1158" t="s">
        <v>5875</v>
      </c>
      <c r="L1158" t="s">
        <v>5876</v>
      </c>
      <c r="Q1158" t="s">
        <v>2374</v>
      </c>
      <c r="R1158">
        <v>618040006</v>
      </c>
      <c r="T1158" t="s">
        <v>7</v>
      </c>
      <c r="U1158" s="3" t="str">
        <f>+VLOOKUP(Sites_per_tag[[#This Row],[Activity_tag]],Parameter!$A$24:$B$32,2,0)</f>
        <v>SMP</v>
      </c>
      <c r="W1158">
        <v>43.724342</v>
      </c>
      <c r="X1158">
        <v>-22.186903000000001</v>
      </c>
    </row>
    <row r="1159" spans="1:24" x14ac:dyDescent="0.35">
      <c r="A1159" s="3" t="str">
        <f t="shared" si="18"/>
        <v>618040007SMP</v>
      </c>
      <c r="B1159" t="s">
        <v>6210</v>
      </c>
      <c r="C1159">
        <f>+VLOOKUP(Sites_per_tag[[#This Row],[Field_office]],Parameter!$A$3:$B$11,2,0)</f>
        <v>10</v>
      </c>
      <c r="E1159" t="s">
        <v>5650</v>
      </c>
      <c r="F1159" t="s">
        <v>5654</v>
      </c>
      <c r="H1159" t="str">
        <f ca="1">PROPER(Sites_per_tag[[#This Row],[Adm2Name]])</f>
        <v>Morombe</v>
      </c>
      <c r="I1159" t="s">
        <v>5716</v>
      </c>
      <c r="K1159" t="s">
        <v>5875</v>
      </c>
      <c r="L1159" t="s">
        <v>5876</v>
      </c>
      <c r="Q1159" t="s">
        <v>1953</v>
      </c>
      <c r="R1159">
        <v>618040007</v>
      </c>
      <c r="T1159" t="s">
        <v>7</v>
      </c>
      <c r="U1159" s="3" t="str">
        <f>+VLOOKUP(Sites_per_tag[[#This Row],[Activity_tag]],Parameter!$A$24:$B$32,2,0)</f>
        <v>SMP</v>
      </c>
      <c r="W1159">
        <v>43.724313000000002</v>
      </c>
      <c r="X1159">
        <v>-22.186900000000001</v>
      </c>
    </row>
    <row r="1160" spans="1:24" x14ac:dyDescent="0.35">
      <c r="A1160" s="3" t="str">
        <f t="shared" si="18"/>
        <v>618040010SMP</v>
      </c>
      <c r="B1160" t="s">
        <v>6210</v>
      </c>
      <c r="C1160">
        <f>+VLOOKUP(Sites_per_tag[[#This Row],[Field_office]],Parameter!$A$3:$B$11,2,0)</f>
        <v>10</v>
      </c>
      <c r="E1160" t="s">
        <v>5650</v>
      </c>
      <c r="F1160" t="s">
        <v>5654</v>
      </c>
      <c r="H1160" t="str">
        <f ca="1">PROPER(Sites_per_tag[[#This Row],[Adm2Name]])</f>
        <v>Morombe</v>
      </c>
      <c r="I1160" t="s">
        <v>5716</v>
      </c>
      <c r="K1160" t="s">
        <v>5875</v>
      </c>
      <c r="L1160" t="s">
        <v>5876</v>
      </c>
      <c r="Q1160" t="s">
        <v>2877</v>
      </c>
      <c r="R1160">
        <v>618040010</v>
      </c>
      <c r="T1160" t="s">
        <v>7</v>
      </c>
      <c r="U1160" s="3" t="str">
        <f>+VLOOKUP(Sites_per_tag[[#This Row],[Activity_tag]],Parameter!$A$24:$B$32,2,0)</f>
        <v>SMP</v>
      </c>
      <c r="W1160">
        <v>43.698149999999998</v>
      </c>
      <c r="X1160">
        <v>-22.26623</v>
      </c>
    </row>
    <row r="1161" spans="1:24" x14ac:dyDescent="0.35">
      <c r="A1161" s="3" t="str">
        <f t="shared" si="18"/>
        <v>618050006SMP</v>
      </c>
      <c r="B1161" t="s">
        <v>6210</v>
      </c>
      <c r="C1161">
        <f>+VLOOKUP(Sites_per_tag[[#This Row],[Field_office]],Parameter!$A$3:$B$11,2,0)</f>
        <v>10</v>
      </c>
      <c r="E1161" t="s">
        <v>5650</v>
      </c>
      <c r="F1161" t="s">
        <v>5654</v>
      </c>
      <c r="H1161" t="str">
        <f ca="1">PROPER(Sites_per_tag[[#This Row],[Adm2Name]])</f>
        <v>Morombe</v>
      </c>
      <c r="I1161" t="s">
        <v>5716</v>
      </c>
      <c r="K1161" t="s">
        <v>5883</v>
      </c>
      <c r="L1161" t="s">
        <v>5884</v>
      </c>
      <c r="Q1161" t="s">
        <v>3463</v>
      </c>
      <c r="R1161">
        <v>618050006</v>
      </c>
      <c r="T1161" t="s">
        <v>7</v>
      </c>
      <c r="U1161" s="3" t="str">
        <f>+VLOOKUP(Sites_per_tag[[#This Row],[Activity_tag]],Parameter!$A$24:$B$32,2,0)</f>
        <v>SMP</v>
      </c>
      <c r="W1161">
        <v>43.820397999999997</v>
      </c>
      <c r="X1161">
        <v>-22.132746999999998</v>
      </c>
    </row>
    <row r="1162" spans="1:24" x14ac:dyDescent="0.35">
      <c r="A1162" s="3" t="str">
        <f t="shared" si="18"/>
        <v>618060002SMP</v>
      </c>
      <c r="B1162" t="s">
        <v>6210</v>
      </c>
      <c r="C1162">
        <f>+VLOOKUP(Sites_per_tag[[#This Row],[Field_office]],Parameter!$A$3:$B$11,2,0)</f>
        <v>10</v>
      </c>
      <c r="E1162" t="s">
        <v>5650</v>
      </c>
      <c r="F1162" t="s">
        <v>5654</v>
      </c>
      <c r="H1162" t="str">
        <f ca="1">PROPER(Sites_per_tag[[#This Row],[Adm2Name]])</f>
        <v>Morombe</v>
      </c>
      <c r="I1162" t="s">
        <v>5716</v>
      </c>
      <c r="K1162" t="s">
        <v>5632</v>
      </c>
      <c r="L1162" t="s">
        <v>6077</v>
      </c>
      <c r="Q1162" t="s">
        <v>6407</v>
      </c>
      <c r="R1162">
        <v>618060002</v>
      </c>
      <c r="T1162" t="s">
        <v>7</v>
      </c>
      <c r="U1162" s="3" t="str">
        <f>+VLOOKUP(Sites_per_tag[[#This Row],[Activity_tag]],Parameter!$A$24:$B$32,2,0)</f>
        <v>SMP</v>
      </c>
      <c r="W1162">
        <v>43.531404999999999</v>
      </c>
      <c r="X1162">
        <v>-21.672967</v>
      </c>
    </row>
    <row r="1163" spans="1:24" x14ac:dyDescent="0.35">
      <c r="A1163" s="3" t="str">
        <f t="shared" si="18"/>
        <v>618060003SMP</v>
      </c>
      <c r="B1163" t="s">
        <v>6210</v>
      </c>
      <c r="C1163">
        <f>+VLOOKUP(Sites_per_tag[[#This Row],[Field_office]],Parameter!$A$3:$B$11,2,0)</f>
        <v>10</v>
      </c>
      <c r="E1163" t="s">
        <v>5650</v>
      </c>
      <c r="F1163" t="s">
        <v>5654</v>
      </c>
      <c r="H1163" t="str">
        <f ca="1">PROPER(Sites_per_tag[[#This Row],[Adm2Name]])</f>
        <v>Morombe</v>
      </c>
      <c r="I1163" t="s">
        <v>5716</v>
      </c>
      <c r="K1163" t="s">
        <v>5632</v>
      </c>
      <c r="L1163" t="s">
        <v>6077</v>
      </c>
      <c r="Q1163" t="s">
        <v>2827</v>
      </c>
      <c r="R1163">
        <v>618060003</v>
      </c>
      <c r="T1163" t="s">
        <v>7</v>
      </c>
      <c r="U1163" s="3" t="str">
        <f>+VLOOKUP(Sites_per_tag[[#This Row],[Activity_tag]],Parameter!$A$24:$B$32,2,0)</f>
        <v>SMP</v>
      </c>
      <c r="W1163">
        <v>43.463619999999999</v>
      </c>
      <c r="X1163">
        <v>-21.804455000000001</v>
      </c>
    </row>
    <row r="1164" spans="1:24" x14ac:dyDescent="0.35">
      <c r="A1164" s="3" t="str">
        <f t="shared" si="18"/>
        <v>618060004SMP</v>
      </c>
      <c r="B1164" t="s">
        <v>6210</v>
      </c>
      <c r="C1164">
        <f>+VLOOKUP(Sites_per_tag[[#This Row],[Field_office]],Parameter!$A$3:$B$11,2,0)</f>
        <v>10</v>
      </c>
      <c r="E1164" t="s">
        <v>5650</v>
      </c>
      <c r="F1164" t="s">
        <v>5654</v>
      </c>
      <c r="H1164" t="str">
        <f ca="1">PROPER(Sites_per_tag[[#This Row],[Adm2Name]])</f>
        <v>Morombe</v>
      </c>
      <c r="I1164" t="s">
        <v>5716</v>
      </c>
      <c r="K1164" t="s">
        <v>5632</v>
      </c>
      <c r="L1164" t="s">
        <v>6077</v>
      </c>
      <c r="Q1164" t="s">
        <v>2382</v>
      </c>
      <c r="R1164">
        <v>618060004</v>
      </c>
      <c r="T1164" t="s">
        <v>7</v>
      </c>
      <c r="U1164" s="3" t="str">
        <f>+VLOOKUP(Sites_per_tag[[#This Row],[Activity_tag]],Parameter!$A$24:$B$32,2,0)</f>
        <v>SMP</v>
      </c>
      <c r="W1164">
        <v>43.518206999999997</v>
      </c>
      <c r="X1164">
        <v>-21.681664999999999</v>
      </c>
    </row>
    <row r="1165" spans="1:24" x14ac:dyDescent="0.35">
      <c r="A1165" s="3" t="str">
        <f t="shared" si="18"/>
        <v>618080011SMP</v>
      </c>
      <c r="B1165" t="s">
        <v>6210</v>
      </c>
      <c r="C1165">
        <f>+VLOOKUP(Sites_per_tag[[#This Row],[Field_office]],Parameter!$A$3:$B$11,2,0)</f>
        <v>10</v>
      </c>
      <c r="E1165" t="s">
        <v>5650</v>
      </c>
      <c r="F1165" t="s">
        <v>5654</v>
      </c>
      <c r="H1165" t="str">
        <f ca="1">PROPER(Sites_per_tag[[#This Row],[Adm2Name]])</f>
        <v>Morombe</v>
      </c>
      <c r="I1165" t="s">
        <v>5716</v>
      </c>
      <c r="K1165" t="s">
        <v>6408</v>
      </c>
      <c r="L1165" t="s">
        <v>5830</v>
      </c>
      <c r="Q1165" t="s">
        <v>589</v>
      </c>
      <c r="R1165">
        <v>618080011</v>
      </c>
      <c r="T1165" t="s">
        <v>7</v>
      </c>
      <c r="U1165" s="3" t="str">
        <f>+VLOOKUP(Sites_per_tag[[#This Row],[Activity_tag]],Parameter!$A$24:$B$32,2,0)</f>
        <v>SMP</v>
      </c>
      <c r="W1165">
        <v>43.884520000000002</v>
      </c>
      <c r="X1165">
        <v>-21.88</v>
      </c>
    </row>
    <row r="1166" spans="1:24" x14ac:dyDescent="0.35">
      <c r="A1166" s="3" t="str">
        <f t="shared" si="18"/>
        <v>618080015SMP</v>
      </c>
      <c r="B1166" t="s">
        <v>6210</v>
      </c>
      <c r="C1166">
        <f>+VLOOKUP(Sites_per_tag[[#This Row],[Field_office]],Parameter!$A$3:$B$11,2,0)</f>
        <v>10</v>
      </c>
      <c r="E1166" t="s">
        <v>5650</v>
      </c>
      <c r="F1166" t="s">
        <v>5654</v>
      </c>
      <c r="H1166" t="str">
        <f ca="1">PROPER(Sites_per_tag[[#This Row],[Adm2Name]])</f>
        <v>Morombe</v>
      </c>
      <c r="I1166" t="s">
        <v>5716</v>
      </c>
      <c r="K1166" t="s">
        <v>6408</v>
      </c>
      <c r="L1166" t="s">
        <v>5830</v>
      </c>
      <c r="Q1166" t="s">
        <v>822</v>
      </c>
      <c r="R1166">
        <v>618080015</v>
      </c>
      <c r="T1166" t="s">
        <v>7</v>
      </c>
      <c r="U1166" s="3" t="str">
        <f>+VLOOKUP(Sites_per_tag[[#This Row],[Activity_tag]],Parameter!$A$24:$B$32,2,0)</f>
        <v>SMP</v>
      </c>
      <c r="W1166">
        <v>43.895359999999997</v>
      </c>
      <c r="X1166">
        <v>-21.973825000000001</v>
      </c>
    </row>
    <row r="1167" spans="1:24" x14ac:dyDescent="0.35">
      <c r="A1167" s="3" t="str">
        <f t="shared" si="18"/>
        <v>618090003SMP</v>
      </c>
      <c r="B1167" t="s">
        <v>6210</v>
      </c>
      <c r="C1167">
        <f>+VLOOKUP(Sites_per_tag[[#This Row],[Field_office]],Parameter!$A$3:$B$11,2,0)</f>
        <v>10</v>
      </c>
      <c r="E1167" t="s">
        <v>5650</v>
      </c>
      <c r="F1167" t="s">
        <v>5654</v>
      </c>
      <c r="H1167" t="str">
        <f ca="1">PROPER(Sites_per_tag[[#This Row],[Adm2Name]])</f>
        <v>Morombe</v>
      </c>
      <c r="I1167" t="s">
        <v>5716</v>
      </c>
      <c r="K1167" t="s">
        <v>5881</v>
      </c>
      <c r="L1167" t="s">
        <v>5882</v>
      </c>
      <c r="Q1167" t="s">
        <v>1737</v>
      </c>
      <c r="R1167">
        <v>618090003</v>
      </c>
      <c r="T1167" t="s">
        <v>7</v>
      </c>
      <c r="U1167" s="3" t="str">
        <f>+VLOOKUP(Sites_per_tag[[#This Row],[Activity_tag]],Parameter!$A$24:$B$32,2,0)</f>
        <v>SMP</v>
      </c>
      <c r="W1167">
        <v>43.304934000000003</v>
      </c>
      <c r="X1167">
        <v>-22.147459000000001</v>
      </c>
    </row>
    <row r="1168" spans="1:24" x14ac:dyDescent="0.35">
      <c r="A1168" s="3" t="str">
        <f t="shared" si="18"/>
        <v>618090009SMP</v>
      </c>
      <c r="B1168" t="s">
        <v>6210</v>
      </c>
      <c r="C1168">
        <f>+VLOOKUP(Sites_per_tag[[#This Row],[Field_office]],Parameter!$A$3:$B$11,2,0)</f>
        <v>10</v>
      </c>
      <c r="E1168" t="s">
        <v>5650</v>
      </c>
      <c r="F1168" t="s">
        <v>5654</v>
      </c>
      <c r="H1168" t="str">
        <f ca="1">PROPER(Sites_per_tag[[#This Row],[Adm2Name]])</f>
        <v>Morombe</v>
      </c>
      <c r="I1168" t="s">
        <v>5716</v>
      </c>
      <c r="K1168" t="s">
        <v>5881</v>
      </c>
      <c r="L1168" t="s">
        <v>5882</v>
      </c>
      <c r="Q1168" t="s">
        <v>2366</v>
      </c>
      <c r="R1168">
        <v>618090009</v>
      </c>
      <c r="T1168" t="s">
        <v>7</v>
      </c>
      <c r="U1168" s="3" t="str">
        <f>+VLOOKUP(Sites_per_tag[[#This Row],[Activity_tag]],Parameter!$A$24:$B$32,2,0)</f>
        <v>SMP</v>
      </c>
      <c r="W1168">
        <v>43.280172999999998</v>
      </c>
      <c r="X1168">
        <v>-22.073723999999999</v>
      </c>
    </row>
    <row r="1169" spans="1:24" x14ac:dyDescent="0.35">
      <c r="A1169" s="3" t="str">
        <f t="shared" si="18"/>
        <v>618090014SMP</v>
      </c>
      <c r="B1169" t="s">
        <v>6210</v>
      </c>
      <c r="C1169">
        <f>+VLOOKUP(Sites_per_tag[[#This Row],[Field_office]],Parameter!$A$3:$B$11,2,0)</f>
        <v>10</v>
      </c>
      <c r="E1169" t="s">
        <v>5650</v>
      </c>
      <c r="F1169" t="s">
        <v>5654</v>
      </c>
      <c r="H1169" t="str">
        <f ca="1">PROPER(Sites_per_tag[[#This Row],[Adm2Name]])</f>
        <v>Morombe</v>
      </c>
      <c r="I1169" t="s">
        <v>5716</v>
      </c>
      <c r="K1169" t="s">
        <v>5881</v>
      </c>
      <c r="L1169" t="s">
        <v>5882</v>
      </c>
      <c r="Q1169" t="s">
        <v>1383</v>
      </c>
      <c r="R1169">
        <v>618090014</v>
      </c>
      <c r="T1169" t="s">
        <v>7</v>
      </c>
      <c r="U1169" s="3" t="str">
        <f>+VLOOKUP(Sites_per_tag[[#This Row],[Activity_tag]],Parameter!$A$24:$B$32,2,0)</f>
        <v>SMP</v>
      </c>
      <c r="W1169">
        <v>43.316322</v>
      </c>
      <c r="X1169">
        <v>-22.209474</v>
      </c>
    </row>
    <row r="1170" spans="1:24" x14ac:dyDescent="0.35">
      <c r="A1170" s="3" t="str">
        <f t="shared" si="18"/>
        <v>618090018SMP</v>
      </c>
      <c r="B1170" t="s">
        <v>6210</v>
      </c>
      <c r="C1170">
        <f>+VLOOKUP(Sites_per_tag[[#This Row],[Field_office]],Parameter!$A$3:$B$11,2,0)</f>
        <v>10</v>
      </c>
      <c r="E1170" t="s">
        <v>5650</v>
      </c>
      <c r="F1170" t="s">
        <v>5654</v>
      </c>
      <c r="H1170" t="str">
        <f ca="1">PROPER(Sites_per_tag[[#This Row],[Adm2Name]])</f>
        <v>Morombe</v>
      </c>
      <c r="I1170" t="s">
        <v>5716</v>
      </c>
      <c r="K1170" t="s">
        <v>5881</v>
      </c>
      <c r="L1170" t="s">
        <v>5882</v>
      </c>
      <c r="Q1170" t="s">
        <v>2373</v>
      </c>
      <c r="R1170">
        <v>618090018</v>
      </c>
      <c r="T1170" t="s">
        <v>7</v>
      </c>
      <c r="U1170" s="3" t="str">
        <f>+VLOOKUP(Sites_per_tag[[#This Row],[Activity_tag]],Parameter!$A$24:$B$32,2,0)</f>
        <v>SMP</v>
      </c>
      <c r="W1170">
        <v>43.282055</v>
      </c>
      <c r="X1170">
        <v>-22.113541999999999</v>
      </c>
    </row>
    <row r="1171" spans="1:24" x14ac:dyDescent="0.35">
      <c r="A1171" s="3" t="str">
        <f t="shared" si="18"/>
        <v>618100033SMP</v>
      </c>
      <c r="B1171" t="s">
        <v>6210</v>
      </c>
      <c r="C1171">
        <f>+VLOOKUP(Sites_per_tag[[#This Row],[Field_office]],Parameter!$A$3:$B$11,2,0)</f>
        <v>10</v>
      </c>
      <c r="E1171" t="s">
        <v>5650</v>
      </c>
      <c r="F1171" t="s">
        <v>5654</v>
      </c>
      <c r="H1171" t="str">
        <f ca="1">PROPER(Sites_per_tag[[#This Row],[Adm2Name]])</f>
        <v>Morombe</v>
      </c>
      <c r="I1171" t="s">
        <v>5716</v>
      </c>
      <c r="K1171" t="s">
        <v>6406</v>
      </c>
      <c r="L1171" t="s">
        <v>6127</v>
      </c>
      <c r="Q1171" t="s">
        <v>1283</v>
      </c>
      <c r="R1171">
        <v>618100033</v>
      </c>
      <c r="T1171" t="s">
        <v>7</v>
      </c>
      <c r="U1171" s="3" t="str">
        <f>+VLOOKUP(Sites_per_tag[[#This Row],[Activity_tag]],Parameter!$A$24:$B$32,2,0)</f>
        <v>SMP</v>
      </c>
      <c r="W1171">
        <v>43.738320000000002</v>
      </c>
      <c r="X1171">
        <v>-21.689900000000002</v>
      </c>
    </row>
    <row r="1172" spans="1:24" x14ac:dyDescent="0.35">
      <c r="A1172" s="3" t="str">
        <f t="shared" si="18"/>
        <v>618101115SMP</v>
      </c>
      <c r="B1172" t="s">
        <v>6210</v>
      </c>
      <c r="C1172">
        <f>+VLOOKUP(Sites_per_tag[[#This Row],[Field_office]],Parameter!$A$3:$B$11,2,0)</f>
        <v>10</v>
      </c>
      <c r="E1172" t="s">
        <v>5650</v>
      </c>
      <c r="F1172" t="s">
        <v>5654</v>
      </c>
      <c r="H1172" t="str">
        <f ca="1">PROPER(Sites_per_tag[[#This Row],[Adm2Name]])</f>
        <v>Morombe</v>
      </c>
      <c r="I1172" t="s">
        <v>5716</v>
      </c>
      <c r="K1172" t="s">
        <v>6406</v>
      </c>
      <c r="L1172" t="s">
        <v>6127</v>
      </c>
      <c r="Q1172" t="s">
        <v>2381</v>
      </c>
      <c r="R1172">
        <v>618101115</v>
      </c>
      <c r="T1172" t="s">
        <v>7</v>
      </c>
      <c r="U1172" s="3" t="str">
        <f>+VLOOKUP(Sites_per_tag[[#This Row],[Activity_tag]],Parameter!$A$24:$B$32,2,0)</f>
        <v>SMP</v>
      </c>
      <c r="W1172">
        <v>43.738320000000002</v>
      </c>
      <c r="X1172">
        <v>-21.689900000000002</v>
      </c>
    </row>
    <row r="1173" spans="1:24" x14ac:dyDescent="0.35">
      <c r="A1173" s="3" t="str">
        <f t="shared" si="18"/>
        <v>620010008SMP</v>
      </c>
      <c r="B1173" t="s">
        <v>6210</v>
      </c>
      <c r="C1173">
        <f>+VLOOKUP(Sites_per_tag[[#This Row],[Field_office]],Parameter!$A$3:$B$11,2,0)</f>
        <v>10</v>
      </c>
      <c r="E1173" t="s">
        <v>5650</v>
      </c>
      <c r="F1173" t="s">
        <v>5654</v>
      </c>
      <c r="H1173" t="str">
        <f ca="1">PROPER(Sites_per_tag[[#This Row],[Adm2Name]])</f>
        <v>Sakaraha</v>
      </c>
      <c r="I1173" t="s">
        <v>5720</v>
      </c>
      <c r="K1173" t="s">
        <v>5706</v>
      </c>
      <c r="L1173" t="s">
        <v>5707</v>
      </c>
      <c r="Q1173" t="s">
        <v>2186</v>
      </c>
      <c r="R1173">
        <v>620010008</v>
      </c>
      <c r="T1173" t="s">
        <v>7</v>
      </c>
      <c r="U1173" s="3" t="str">
        <f>+VLOOKUP(Sites_per_tag[[#This Row],[Activity_tag]],Parameter!$A$24:$B$32,2,0)</f>
        <v>SMP</v>
      </c>
      <c r="W1173">
        <v>44.781094000000003</v>
      </c>
      <c r="X1173">
        <v>-22.726671</v>
      </c>
    </row>
    <row r="1174" spans="1:24" x14ac:dyDescent="0.35">
      <c r="A1174" s="3" t="str">
        <f t="shared" si="18"/>
        <v>620100008SMP</v>
      </c>
      <c r="B1174" t="s">
        <v>6210</v>
      </c>
      <c r="C1174">
        <f>+VLOOKUP(Sites_per_tag[[#This Row],[Field_office]],Parameter!$A$3:$B$11,2,0)</f>
        <v>10</v>
      </c>
      <c r="E1174" t="s">
        <v>5650</v>
      </c>
      <c r="F1174" t="s">
        <v>5654</v>
      </c>
      <c r="H1174" t="str">
        <f ca="1">PROPER(Sites_per_tag[[#This Row],[Adm2Name]])</f>
        <v>Sakaraha</v>
      </c>
      <c r="I1174" t="s">
        <v>5720</v>
      </c>
      <c r="K1174" t="s">
        <v>5633</v>
      </c>
      <c r="L1174" t="s">
        <v>6094</v>
      </c>
      <c r="Q1174" t="s">
        <v>846</v>
      </c>
      <c r="R1174">
        <v>620100008</v>
      </c>
      <c r="T1174" t="s">
        <v>7</v>
      </c>
      <c r="U1174" s="3" t="str">
        <f>+VLOOKUP(Sites_per_tag[[#This Row],[Activity_tag]],Parameter!$A$24:$B$32,2,0)</f>
        <v>SMP</v>
      </c>
      <c r="W1174">
        <v>44.523766999999999</v>
      </c>
      <c r="X1174">
        <v>-22.915475000000001</v>
      </c>
    </row>
    <row r="1175" spans="1:24" x14ac:dyDescent="0.35">
      <c r="A1175" s="3" t="str">
        <f t="shared" si="18"/>
        <v>620130003SMP</v>
      </c>
      <c r="B1175" t="s">
        <v>6210</v>
      </c>
      <c r="C1175">
        <f>+VLOOKUP(Sites_per_tag[[#This Row],[Field_office]],Parameter!$A$3:$B$11,2,0)</f>
        <v>10</v>
      </c>
      <c r="E1175" t="s">
        <v>5650</v>
      </c>
      <c r="F1175" t="s">
        <v>5654</v>
      </c>
      <c r="H1175" t="str">
        <f ca="1">PROPER(Sites_per_tag[[#This Row],[Adm2Name]])</f>
        <v>Sakaraha</v>
      </c>
      <c r="I1175" t="s">
        <v>5720</v>
      </c>
      <c r="K1175" t="s">
        <v>5789</v>
      </c>
      <c r="L1175" t="s">
        <v>5790</v>
      </c>
      <c r="Q1175" t="s">
        <v>161</v>
      </c>
      <c r="R1175">
        <v>620130003</v>
      </c>
      <c r="T1175" t="s">
        <v>7</v>
      </c>
      <c r="U1175" s="3" t="str">
        <f>+VLOOKUP(Sites_per_tag[[#This Row],[Activity_tag]],Parameter!$A$24:$B$32,2,0)</f>
        <v>SMP</v>
      </c>
      <c r="W1175">
        <v>44.318725999999998</v>
      </c>
      <c r="X1175">
        <v>-22.982099999999999</v>
      </c>
    </row>
    <row r="1176" spans="1:24" x14ac:dyDescent="0.35">
      <c r="A1176" s="3" t="str">
        <f t="shared" si="18"/>
        <v>620130004SMP</v>
      </c>
      <c r="B1176" t="s">
        <v>6210</v>
      </c>
      <c r="C1176">
        <f>+VLOOKUP(Sites_per_tag[[#This Row],[Field_office]],Parameter!$A$3:$B$11,2,0)</f>
        <v>10</v>
      </c>
      <c r="E1176" t="s">
        <v>5650</v>
      </c>
      <c r="F1176" t="s">
        <v>5654</v>
      </c>
      <c r="H1176" t="str">
        <f ca="1">PROPER(Sites_per_tag[[#This Row],[Adm2Name]])</f>
        <v>Sakaraha</v>
      </c>
      <c r="I1176" t="s">
        <v>5720</v>
      </c>
      <c r="K1176" t="s">
        <v>5789</v>
      </c>
      <c r="L1176" t="s">
        <v>5790</v>
      </c>
      <c r="Q1176" t="s">
        <v>919</v>
      </c>
      <c r="R1176">
        <v>620130004</v>
      </c>
      <c r="T1176" t="s">
        <v>7</v>
      </c>
      <c r="U1176" s="3" t="str">
        <f>+VLOOKUP(Sites_per_tag[[#This Row],[Activity_tag]],Parameter!$A$24:$B$32,2,0)</f>
        <v>SMP</v>
      </c>
      <c r="W1176">
        <v>44.270395000000001</v>
      </c>
      <c r="X1176">
        <v>-23.030045999999999</v>
      </c>
    </row>
    <row r="1177" spans="1:24" x14ac:dyDescent="0.35">
      <c r="A1177" s="3" t="str">
        <f t="shared" si="18"/>
        <v>620130012SMP</v>
      </c>
      <c r="B1177" t="s">
        <v>6210</v>
      </c>
      <c r="C1177">
        <f>+VLOOKUP(Sites_per_tag[[#This Row],[Field_office]],Parameter!$A$3:$B$11,2,0)</f>
        <v>10</v>
      </c>
      <c r="E1177" t="s">
        <v>5650</v>
      </c>
      <c r="F1177" t="s">
        <v>5654</v>
      </c>
      <c r="H1177" t="str">
        <f ca="1">PROPER(Sites_per_tag[[#This Row],[Adm2Name]])</f>
        <v>Sakaraha</v>
      </c>
      <c r="I1177" t="s">
        <v>5720</v>
      </c>
      <c r="K1177" t="s">
        <v>5789</v>
      </c>
      <c r="L1177" t="s">
        <v>5790</v>
      </c>
      <c r="Q1177" t="s">
        <v>3875</v>
      </c>
      <c r="R1177">
        <v>620130012</v>
      </c>
      <c r="T1177" t="s">
        <v>7</v>
      </c>
      <c r="U1177" s="3" t="str">
        <f>+VLOOKUP(Sites_per_tag[[#This Row],[Activity_tag]],Parameter!$A$24:$B$32,2,0)</f>
        <v>SMP</v>
      </c>
      <c r="W1177">
        <v>44.277552999999997</v>
      </c>
      <c r="X1177">
        <v>-23.036604000000001</v>
      </c>
    </row>
    <row r="1178" spans="1:24" x14ac:dyDescent="0.35">
      <c r="A1178" s="3" t="str">
        <f t="shared" si="18"/>
        <v>620130014SMP</v>
      </c>
      <c r="B1178" t="s">
        <v>6210</v>
      </c>
      <c r="C1178">
        <f>+VLOOKUP(Sites_per_tag[[#This Row],[Field_office]],Parameter!$A$3:$B$11,2,0)</f>
        <v>10</v>
      </c>
      <c r="E1178" t="s">
        <v>5650</v>
      </c>
      <c r="F1178" t="s">
        <v>5654</v>
      </c>
      <c r="H1178" t="str">
        <f ca="1">PROPER(Sites_per_tag[[#This Row],[Adm2Name]])</f>
        <v>Sakaraha</v>
      </c>
      <c r="I1178" t="s">
        <v>5720</v>
      </c>
      <c r="K1178" t="s">
        <v>5789</v>
      </c>
      <c r="L1178" t="s">
        <v>5790</v>
      </c>
      <c r="Q1178" t="s">
        <v>1559</v>
      </c>
      <c r="R1178">
        <v>620130014</v>
      </c>
      <c r="T1178" t="s">
        <v>7</v>
      </c>
      <c r="U1178" s="3" t="str">
        <f>+VLOOKUP(Sites_per_tag[[#This Row],[Activity_tag]],Parameter!$A$24:$B$32,2,0)</f>
        <v>SMP</v>
      </c>
      <c r="W1178">
        <v>44.240295000000003</v>
      </c>
      <c r="X1178">
        <v>-23.073015999999999</v>
      </c>
    </row>
    <row r="1179" spans="1:24" x14ac:dyDescent="0.35">
      <c r="A1179" s="3" t="str">
        <f t="shared" si="18"/>
        <v>621010004SMP</v>
      </c>
      <c r="B1179" t="s">
        <v>6211</v>
      </c>
      <c r="C1179">
        <f>+VLOOKUP(Sites_per_tag[[#This Row],[Field_office]],Parameter!$A$3:$B$11,2,0)</f>
        <v>6</v>
      </c>
      <c r="E1179" t="s">
        <v>5646</v>
      </c>
      <c r="F1179" t="s">
        <v>5647</v>
      </c>
      <c r="H1179" t="str">
        <f ca="1">PROPER(Sites_per_tag[[#This Row],[Adm2Name]])</f>
        <v>Tsihombe</v>
      </c>
      <c r="I1179" t="s">
        <v>5731</v>
      </c>
      <c r="K1179" t="s">
        <v>1522</v>
      </c>
      <c r="L1179" t="s">
        <v>5860</v>
      </c>
      <c r="Q1179" t="s">
        <v>392</v>
      </c>
      <c r="R1179">
        <v>621010004</v>
      </c>
      <c r="T1179" t="s">
        <v>7</v>
      </c>
      <c r="U1179" s="3" t="str">
        <f>+VLOOKUP(Sites_per_tag[[#This Row],[Activity_tag]],Parameter!$A$24:$B$32,2,0)</f>
        <v>SMP</v>
      </c>
      <c r="W1179">
        <v>45.700735000000002</v>
      </c>
      <c r="X1179">
        <v>-25.432894999999998</v>
      </c>
    </row>
    <row r="1180" spans="1:24" x14ac:dyDescent="0.35">
      <c r="A1180" s="3" t="str">
        <f t="shared" si="18"/>
        <v>621010007SMP</v>
      </c>
      <c r="B1180" t="s">
        <v>6211</v>
      </c>
      <c r="C1180">
        <f>+VLOOKUP(Sites_per_tag[[#This Row],[Field_office]],Parameter!$A$3:$B$11,2,0)</f>
        <v>6</v>
      </c>
      <c r="E1180" t="s">
        <v>5646</v>
      </c>
      <c r="F1180" t="s">
        <v>5647</v>
      </c>
      <c r="H1180" t="str">
        <f ca="1">PROPER(Sites_per_tag[[#This Row],[Adm2Name]])</f>
        <v>Tsihombe</v>
      </c>
      <c r="I1180" t="s">
        <v>5731</v>
      </c>
      <c r="K1180" t="s">
        <v>1522</v>
      </c>
      <c r="L1180" t="s">
        <v>5860</v>
      </c>
      <c r="Q1180" t="s">
        <v>6409</v>
      </c>
      <c r="R1180">
        <v>621010007</v>
      </c>
      <c r="T1180" t="s">
        <v>7</v>
      </c>
      <c r="U1180" s="3" t="str">
        <f>+VLOOKUP(Sites_per_tag[[#This Row],[Activity_tag]],Parameter!$A$24:$B$32,2,0)</f>
        <v>SMP</v>
      </c>
      <c r="W1180">
        <v>45.731237</v>
      </c>
      <c r="X1180">
        <v>-25.368501999999999</v>
      </c>
    </row>
    <row r="1181" spans="1:24" x14ac:dyDescent="0.35">
      <c r="A1181" s="3" t="str">
        <f t="shared" si="18"/>
        <v>621010009SMP</v>
      </c>
      <c r="B1181" t="s">
        <v>6211</v>
      </c>
      <c r="C1181">
        <f>+VLOOKUP(Sites_per_tag[[#This Row],[Field_office]],Parameter!$A$3:$B$11,2,0)</f>
        <v>6</v>
      </c>
      <c r="E1181" t="s">
        <v>5646</v>
      </c>
      <c r="F1181" t="s">
        <v>5647</v>
      </c>
      <c r="H1181" t="str">
        <f ca="1">PROPER(Sites_per_tag[[#This Row],[Adm2Name]])</f>
        <v>Tsihombe</v>
      </c>
      <c r="I1181" t="s">
        <v>5731</v>
      </c>
      <c r="K1181" t="s">
        <v>1522</v>
      </c>
      <c r="L1181" t="s">
        <v>5860</v>
      </c>
      <c r="Q1181" t="s">
        <v>1047</v>
      </c>
      <c r="R1181">
        <v>621010009</v>
      </c>
      <c r="T1181" t="s">
        <v>7</v>
      </c>
      <c r="U1181" s="3" t="str">
        <f>+VLOOKUP(Sites_per_tag[[#This Row],[Activity_tag]],Parameter!$A$24:$B$32,2,0)</f>
        <v>SMP</v>
      </c>
      <c r="W1181">
        <v>45.783628</v>
      </c>
      <c r="X1181">
        <v>-25.32141</v>
      </c>
    </row>
    <row r="1182" spans="1:24" x14ac:dyDescent="0.35">
      <c r="A1182" s="3" t="str">
        <f t="shared" si="18"/>
        <v>621010010SMP</v>
      </c>
      <c r="B1182" t="s">
        <v>6211</v>
      </c>
      <c r="C1182">
        <f>+VLOOKUP(Sites_per_tag[[#This Row],[Field_office]],Parameter!$A$3:$B$11,2,0)</f>
        <v>6</v>
      </c>
      <c r="E1182" t="s">
        <v>5646</v>
      </c>
      <c r="F1182" t="s">
        <v>5647</v>
      </c>
      <c r="H1182" t="str">
        <f ca="1">PROPER(Sites_per_tag[[#This Row],[Adm2Name]])</f>
        <v>Tsihombe</v>
      </c>
      <c r="I1182" t="s">
        <v>5731</v>
      </c>
      <c r="K1182" t="s">
        <v>1522</v>
      </c>
      <c r="L1182" t="s">
        <v>5860</v>
      </c>
      <c r="Q1182" t="s">
        <v>6410</v>
      </c>
      <c r="R1182">
        <v>621010010</v>
      </c>
      <c r="T1182" t="s">
        <v>7</v>
      </c>
      <c r="U1182" s="3" t="str">
        <f>+VLOOKUP(Sites_per_tag[[#This Row],[Activity_tag]],Parameter!$A$24:$B$32,2,0)</f>
        <v>SMP</v>
      </c>
      <c r="W1182">
        <v>45.758279000000002</v>
      </c>
      <c r="X1182">
        <v>-25.349734999999999</v>
      </c>
    </row>
    <row r="1183" spans="1:24" x14ac:dyDescent="0.35">
      <c r="A1183" s="3" t="str">
        <f t="shared" si="18"/>
        <v>621010011SMP</v>
      </c>
      <c r="B1183" t="s">
        <v>6211</v>
      </c>
      <c r="C1183">
        <f>+VLOOKUP(Sites_per_tag[[#This Row],[Field_office]],Parameter!$A$3:$B$11,2,0)</f>
        <v>6</v>
      </c>
      <c r="E1183" t="s">
        <v>5646</v>
      </c>
      <c r="F1183" t="s">
        <v>5647</v>
      </c>
      <c r="H1183" t="str">
        <f ca="1">PROPER(Sites_per_tag[[#This Row],[Adm2Name]])</f>
        <v>Tsihombe</v>
      </c>
      <c r="I1183" t="s">
        <v>5731</v>
      </c>
      <c r="K1183" t="s">
        <v>1522</v>
      </c>
      <c r="L1183" t="s">
        <v>5860</v>
      </c>
      <c r="Q1183" t="s">
        <v>1524</v>
      </c>
      <c r="R1183">
        <v>621010011</v>
      </c>
      <c r="T1183" t="s">
        <v>7</v>
      </c>
      <c r="U1183" s="3" t="str">
        <f>+VLOOKUP(Sites_per_tag[[#This Row],[Activity_tag]],Parameter!$A$24:$B$32,2,0)</f>
        <v>SMP</v>
      </c>
      <c r="W1183">
        <v>45.755307000000002</v>
      </c>
      <c r="X1183">
        <v>-25.394960000000001</v>
      </c>
    </row>
    <row r="1184" spans="1:24" x14ac:dyDescent="0.35">
      <c r="A1184" s="3" t="str">
        <f t="shared" si="18"/>
        <v>621010013SMP</v>
      </c>
      <c r="B1184" t="s">
        <v>6211</v>
      </c>
      <c r="C1184">
        <f>+VLOOKUP(Sites_per_tag[[#This Row],[Field_office]],Parameter!$A$3:$B$11,2,0)</f>
        <v>6</v>
      </c>
      <c r="E1184" t="s">
        <v>5646</v>
      </c>
      <c r="F1184" t="s">
        <v>5647</v>
      </c>
      <c r="H1184" t="str">
        <f ca="1">PROPER(Sites_per_tag[[#This Row],[Adm2Name]])</f>
        <v>Tsihombe</v>
      </c>
      <c r="I1184" t="s">
        <v>5731</v>
      </c>
      <c r="K1184" t="s">
        <v>1522</v>
      </c>
      <c r="L1184" t="s">
        <v>5860</v>
      </c>
      <c r="Q1184" t="s">
        <v>2234</v>
      </c>
      <c r="R1184">
        <v>621010013</v>
      </c>
      <c r="T1184" t="s">
        <v>7</v>
      </c>
      <c r="U1184" s="3" t="str">
        <f>+VLOOKUP(Sites_per_tag[[#This Row],[Activity_tag]],Parameter!$A$24:$B$32,2,0)</f>
        <v>SMP</v>
      </c>
      <c r="W1184">
        <v>45.770746000000003</v>
      </c>
      <c r="X1184">
        <v>-25.378353000000001</v>
      </c>
    </row>
    <row r="1185" spans="1:24" x14ac:dyDescent="0.35">
      <c r="A1185" s="3" t="str">
        <f t="shared" si="18"/>
        <v>621010016SMP</v>
      </c>
      <c r="B1185" t="s">
        <v>6211</v>
      </c>
      <c r="C1185">
        <f>+VLOOKUP(Sites_per_tag[[#This Row],[Field_office]],Parameter!$A$3:$B$11,2,0)</f>
        <v>6</v>
      </c>
      <c r="E1185" t="s">
        <v>5646</v>
      </c>
      <c r="F1185" t="s">
        <v>5647</v>
      </c>
      <c r="H1185" t="str">
        <f ca="1">PROPER(Sites_per_tag[[#This Row],[Adm2Name]])</f>
        <v>Tsihombe</v>
      </c>
      <c r="I1185" t="s">
        <v>5731</v>
      </c>
      <c r="K1185" t="s">
        <v>1522</v>
      </c>
      <c r="L1185" t="s">
        <v>5860</v>
      </c>
      <c r="Q1185" t="s">
        <v>2951</v>
      </c>
      <c r="R1185">
        <v>621010016</v>
      </c>
      <c r="T1185" t="s">
        <v>7</v>
      </c>
      <c r="U1185" s="3" t="str">
        <f>+VLOOKUP(Sites_per_tag[[#This Row],[Activity_tag]],Parameter!$A$24:$B$32,2,0)</f>
        <v>SMP</v>
      </c>
      <c r="W1185">
        <v>45.751925</v>
      </c>
      <c r="X1185">
        <v>-25.428124</v>
      </c>
    </row>
    <row r="1186" spans="1:24" x14ac:dyDescent="0.35">
      <c r="A1186" s="3" t="str">
        <f t="shared" si="18"/>
        <v>621010017SMP</v>
      </c>
      <c r="B1186" t="s">
        <v>6211</v>
      </c>
      <c r="C1186">
        <f>+VLOOKUP(Sites_per_tag[[#This Row],[Field_office]],Parameter!$A$3:$B$11,2,0)</f>
        <v>6</v>
      </c>
      <c r="E1186" t="s">
        <v>5646</v>
      </c>
      <c r="F1186" t="s">
        <v>5647</v>
      </c>
      <c r="H1186" t="str">
        <f ca="1">PROPER(Sites_per_tag[[#This Row],[Adm2Name]])</f>
        <v>Tsihombe</v>
      </c>
      <c r="I1186" t="s">
        <v>5731</v>
      </c>
      <c r="K1186" t="s">
        <v>1522</v>
      </c>
      <c r="L1186" t="s">
        <v>5860</v>
      </c>
      <c r="Q1186" t="s">
        <v>6411</v>
      </c>
      <c r="R1186">
        <v>621010017</v>
      </c>
      <c r="T1186" t="s">
        <v>7</v>
      </c>
      <c r="U1186" s="3" t="str">
        <f>+VLOOKUP(Sites_per_tag[[#This Row],[Activity_tag]],Parameter!$A$24:$B$32,2,0)</f>
        <v>SMP</v>
      </c>
      <c r="W1186">
        <v>45.711737999999997</v>
      </c>
      <c r="X1186">
        <v>-25.444645000000001</v>
      </c>
    </row>
    <row r="1187" spans="1:24" x14ac:dyDescent="0.35">
      <c r="A1187" s="3" t="str">
        <f t="shared" si="18"/>
        <v>621010018SMP</v>
      </c>
      <c r="B1187" t="s">
        <v>6211</v>
      </c>
      <c r="C1187">
        <f>+VLOOKUP(Sites_per_tag[[#This Row],[Field_office]],Parameter!$A$3:$B$11,2,0)</f>
        <v>6</v>
      </c>
      <c r="E1187" t="s">
        <v>5646</v>
      </c>
      <c r="F1187" t="s">
        <v>5647</v>
      </c>
      <c r="H1187" t="str">
        <f ca="1">PROPER(Sites_per_tag[[#This Row],[Adm2Name]])</f>
        <v>Tsihombe</v>
      </c>
      <c r="I1187" t="s">
        <v>5731</v>
      </c>
      <c r="K1187" t="s">
        <v>1522</v>
      </c>
      <c r="L1187" t="s">
        <v>5860</v>
      </c>
      <c r="Q1187" t="s">
        <v>177</v>
      </c>
      <c r="R1187">
        <v>621010018</v>
      </c>
      <c r="T1187" t="s">
        <v>7</v>
      </c>
      <c r="U1187" s="3" t="str">
        <f>+VLOOKUP(Sites_per_tag[[#This Row],[Activity_tag]],Parameter!$A$24:$B$32,2,0)</f>
        <v>SMP</v>
      </c>
      <c r="W1187">
        <v>45.752673000000001</v>
      </c>
      <c r="X1187">
        <v>-25.407368999999999</v>
      </c>
    </row>
    <row r="1188" spans="1:24" x14ac:dyDescent="0.35">
      <c r="A1188" s="3" t="str">
        <f t="shared" si="18"/>
        <v>621010022SMP</v>
      </c>
      <c r="B1188" t="s">
        <v>6211</v>
      </c>
      <c r="C1188">
        <f>+VLOOKUP(Sites_per_tag[[#This Row],[Field_office]],Parameter!$A$3:$B$11,2,0)</f>
        <v>6</v>
      </c>
      <c r="E1188" t="s">
        <v>5646</v>
      </c>
      <c r="F1188" t="s">
        <v>5647</v>
      </c>
      <c r="H1188" t="str">
        <f ca="1">PROPER(Sites_per_tag[[#This Row],[Adm2Name]])</f>
        <v>Tsihombe</v>
      </c>
      <c r="I1188" t="s">
        <v>5731</v>
      </c>
      <c r="K1188" t="s">
        <v>1522</v>
      </c>
      <c r="L1188" t="s">
        <v>5860</v>
      </c>
      <c r="Q1188" t="s">
        <v>595</v>
      </c>
      <c r="R1188">
        <v>621010022</v>
      </c>
      <c r="T1188" t="s">
        <v>7</v>
      </c>
      <c r="U1188" s="3" t="str">
        <f>+VLOOKUP(Sites_per_tag[[#This Row],[Activity_tag]],Parameter!$A$24:$B$32,2,0)</f>
        <v>SMP</v>
      </c>
      <c r="W1188">
        <v>45.724668000000001</v>
      </c>
      <c r="X1188">
        <v>-25.382639000000001</v>
      </c>
    </row>
    <row r="1189" spans="1:24" x14ac:dyDescent="0.35">
      <c r="A1189" s="3" t="str">
        <f t="shared" si="18"/>
        <v>621030001SMP</v>
      </c>
      <c r="B1189" t="s">
        <v>6211</v>
      </c>
      <c r="C1189">
        <f>+VLOOKUP(Sites_per_tag[[#This Row],[Field_office]],Parameter!$A$3:$B$11,2,0)</f>
        <v>6</v>
      </c>
      <c r="E1189" t="s">
        <v>5646</v>
      </c>
      <c r="F1189" t="s">
        <v>5647</v>
      </c>
      <c r="H1189" t="str">
        <f ca="1">PROPER(Sites_per_tag[[#This Row],[Adm2Name]])</f>
        <v>Tsihombe</v>
      </c>
      <c r="I1189" t="s">
        <v>5731</v>
      </c>
      <c r="K1189" t="s">
        <v>2592</v>
      </c>
      <c r="L1189" t="s">
        <v>5975</v>
      </c>
      <c r="Q1189" t="s">
        <v>179</v>
      </c>
      <c r="R1189">
        <v>621030001</v>
      </c>
      <c r="T1189" t="s">
        <v>7</v>
      </c>
      <c r="U1189" s="3" t="str">
        <f>+VLOOKUP(Sites_per_tag[[#This Row],[Activity_tag]],Parameter!$A$24:$B$32,2,0)</f>
        <v>SMP</v>
      </c>
      <c r="W1189">
        <v>45.749732999999999</v>
      </c>
      <c r="X1189">
        <v>-25.332249000000001</v>
      </c>
    </row>
    <row r="1190" spans="1:24" x14ac:dyDescent="0.35">
      <c r="A1190" s="3" t="str">
        <f t="shared" si="18"/>
        <v>621030006SMP</v>
      </c>
      <c r="B1190" t="s">
        <v>6211</v>
      </c>
      <c r="C1190">
        <f>+VLOOKUP(Sites_per_tag[[#This Row],[Field_office]],Parameter!$A$3:$B$11,2,0)</f>
        <v>6</v>
      </c>
      <c r="E1190" t="s">
        <v>5646</v>
      </c>
      <c r="F1190" t="s">
        <v>5647</v>
      </c>
      <c r="H1190" t="str">
        <f ca="1">PROPER(Sites_per_tag[[#This Row],[Adm2Name]])</f>
        <v>Tsihombe</v>
      </c>
      <c r="I1190" t="s">
        <v>5731</v>
      </c>
      <c r="K1190" t="s">
        <v>2592</v>
      </c>
      <c r="L1190" t="s">
        <v>5975</v>
      </c>
      <c r="Q1190" t="s">
        <v>918</v>
      </c>
      <c r="R1190">
        <v>621030006</v>
      </c>
      <c r="T1190" t="s">
        <v>7</v>
      </c>
      <c r="U1190" s="3" t="str">
        <f>+VLOOKUP(Sites_per_tag[[#This Row],[Activity_tag]],Parameter!$A$24:$B$32,2,0)</f>
        <v>SMP</v>
      </c>
      <c r="W1190">
        <v>45.711284999999997</v>
      </c>
      <c r="X1190">
        <v>-25.301828</v>
      </c>
    </row>
    <row r="1191" spans="1:24" x14ac:dyDescent="0.35">
      <c r="A1191" s="3" t="str">
        <f t="shared" si="18"/>
        <v>621030007SMP</v>
      </c>
      <c r="B1191" t="s">
        <v>6211</v>
      </c>
      <c r="C1191">
        <f>+VLOOKUP(Sites_per_tag[[#This Row],[Field_office]],Parameter!$A$3:$B$11,2,0)</f>
        <v>6</v>
      </c>
      <c r="E1191" t="s">
        <v>5646</v>
      </c>
      <c r="F1191" t="s">
        <v>5647</v>
      </c>
      <c r="H1191" t="str">
        <f ca="1">PROPER(Sites_per_tag[[#This Row],[Adm2Name]])</f>
        <v>Tsihombe</v>
      </c>
      <c r="I1191" t="s">
        <v>5731</v>
      </c>
      <c r="K1191" t="s">
        <v>2592</v>
      </c>
      <c r="L1191" t="s">
        <v>5975</v>
      </c>
      <c r="Q1191" t="s">
        <v>1260</v>
      </c>
      <c r="R1191">
        <v>621030007</v>
      </c>
      <c r="T1191" t="s">
        <v>7</v>
      </c>
      <c r="U1191" s="3" t="str">
        <f>+VLOOKUP(Sites_per_tag[[#This Row],[Activity_tag]],Parameter!$A$24:$B$32,2,0)</f>
        <v>SMP</v>
      </c>
      <c r="W1191">
        <v>45.681027</v>
      </c>
      <c r="X1191">
        <v>-25.222090000000001</v>
      </c>
    </row>
    <row r="1192" spans="1:24" x14ac:dyDescent="0.35">
      <c r="A1192" s="3" t="str">
        <f t="shared" si="18"/>
        <v>621030008SMP</v>
      </c>
      <c r="B1192" t="s">
        <v>6211</v>
      </c>
      <c r="C1192">
        <f>+VLOOKUP(Sites_per_tag[[#This Row],[Field_office]],Parameter!$A$3:$B$11,2,0)</f>
        <v>6</v>
      </c>
      <c r="E1192" t="s">
        <v>5646</v>
      </c>
      <c r="F1192" t="s">
        <v>5647</v>
      </c>
      <c r="H1192" t="str">
        <f ca="1">PROPER(Sites_per_tag[[#This Row],[Adm2Name]])</f>
        <v>Tsihombe</v>
      </c>
      <c r="I1192" t="s">
        <v>5731</v>
      </c>
      <c r="K1192" t="s">
        <v>2592</v>
      </c>
      <c r="L1192" t="s">
        <v>5975</v>
      </c>
      <c r="Q1192" t="s">
        <v>6249</v>
      </c>
      <c r="R1192">
        <v>621030008</v>
      </c>
      <c r="T1192" t="s">
        <v>7</v>
      </c>
      <c r="U1192" s="3" t="str">
        <f>+VLOOKUP(Sites_per_tag[[#This Row],[Activity_tag]],Parameter!$A$24:$B$32,2,0)</f>
        <v>SMP</v>
      </c>
      <c r="W1192">
        <v>45.786628</v>
      </c>
      <c r="X1192">
        <v>-25.306816999999999</v>
      </c>
    </row>
    <row r="1193" spans="1:24" x14ac:dyDescent="0.35">
      <c r="A1193" s="3" t="str">
        <f t="shared" si="18"/>
        <v>621030009SMP</v>
      </c>
      <c r="B1193" t="s">
        <v>6211</v>
      </c>
      <c r="C1193">
        <f>+VLOOKUP(Sites_per_tag[[#This Row],[Field_office]],Parameter!$A$3:$B$11,2,0)</f>
        <v>6</v>
      </c>
      <c r="E1193" t="s">
        <v>5646</v>
      </c>
      <c r="F1193" t="s">
        <v>5647</v>
      </c>
      <c r="H1193" t="str">
        <f ca="1">PROPER(Sites_per_tag[[#This Row],[Adm2Name]])</f>
        <v>Tsihombe</v>
      </c>
      <c r="I1193" t="s">
        <v>5731</v>
      </c>
      <c r="K1193" t="s">
        <v>2592</v>
      </c>
      <c r="L1193" t="s">
        <v>5975</v>
      </c>
      <c r="Q1193" t="s">
        <v>1419</v>
      </c>
      <c r="R1193">
        <v>621030009</v>
      </c>
      <c r="T1193" t="s">
        <v>7</v>
      </c>
      <c r="U1193" s="3" t="str">
        <f>+VLOOKUP(Sites_per_tag[[#This Row],[Activity_tag]],Parameter!$A$24:$B$32,2,0)</f>
        <v>SMP</v>
      </c>
      <c r="W1193">
        <v>45.698315000000001</v>
      </c>
      <c r="X1193">
        <v>-25.342672</v>
      </c>
    </row>
    <row r="1194" spans="1:24" x14ac:dyDescent="0.35">
      <c r="A1194" s="3" t="str">
        <f t="shared" si="18"/>
        <v>621030012SMP</v>
      </c>
      <c r="B1194" t="s">
        <v>6211</v>
      </c>
      <c r="C1194">
        <f>+VLOOKUP(Sites_per_tag[[#This Row],[Field_office]],Parameter!$A$3:$B$11,2,0)</f>
        <v>6</v>
      </c>
      <c r="E1194" t="s">
        <v>5646</v>
      </c>
      <c r="F1194" t="s">
        <v>5647</v>
      </c>
      <c r="H1194" t="str">
        <f ca="1">PROPER(Sites_per_tag[[#This Row],[Adm2Name]])</f>
        <v>Tsihombe</v>
      </c>
      <c r="I1194" t="s">
        <v>5731</v>
      </c>
      <c r="K1194" t="s">
        <v>2592</v>
      </c>
      <c r="L1194" t="s">
        <v>5975</v>
      </c>
      <c r="Q1194" t="s">
        <v>4237</v>
      </c>
      <c r="R1194">
        <v>621030012</v>
      </c>
      <c r="T1194" t="s">
        <v>7</v>
      </c>
      <c r="U1194" s="3" t="str">
        <f>+VLOOKUP(Sites_per_tag[[#This Row],[Activity_tag]],Parameter!$A$24:$B$32,2,0)</f>
        <v>SMP</v>
      </c>
      <c r="W1194">
        <v>45.734597999999998</v>
      </c>
      <c r="X1194">
        <v>-25.301010999999999</v>
      </c>
    </row>
    <row r="1195" spans="1:24" x14ac:dyDescent="0.35">
      <c r="A1195" s="3" t="str">
        <f t="shared" si="18"/>
        <v>621030013SMP</v>
      </c>
      <c r="B1195" t="s">
        <v>6211</v>
      </c>
      <c r="C1195">
        <f>+VLOOKUP(Sites_per_tag[[#This Row],[Field_office]],Parameter!$A$3:$B$11,2,0)</f>
        <v>6</v>
      </c>
      <c r="E1195" t="s">
        <v>5646</v>
      </c>
      <c r="F1195" t="s">
        <v>5647</v>
      </c>
      <c r="H1195" t="str">
        <f ca="1">PROPER(Sites_per_tag[[#This Row],[Adm2Name]])</f>
        <v>Tsihombe</v>
      </c>
      <c r="I1195" t="s">
        <v>5731</v>
      </c>
      <c r="K1195" t="s">
        <v>2592</v>
      </c>
      <c r="L1195" t="s">
        <v>5975</v>
      </c>
      <c r="Q1195" t="s">
        <v>2602</v>
      </c>
      <c r="R1195">
        <v>621030013</v>
      </c>
      <c r="T1195" t="s">
        <v>7</v>
      </c>
      <c r="U1195" s="3" t="str">
        <f>+VLOOKUP(Sites_per_tag[[#This Row],[Activity_tag]],Parameter!$A$24:$B$32,2,0)</f>
        <v>SMP</v>
      </c>
      <c r="W1195">
        <v>45.791887000000003</v>
      </c>
      <c r="X1195">
        <v>-25.32743</v>
      </c>
    </row>
    <row r="1196" spans="1:24" x14ac:dyDescent="0.35">
      <c r="A1196" s="3" t="str">
        <f t="shared" si="18"/>
        <v>621030014SMP</v>
      </c>
      <c r="B1196" t="s">
        <v>6211</v>
      </c>
      <c r="C1196">
        <f>+VLOOKUP(Sites_per_tag[[#This Row],[Field_office]],Parameter!$A$3:$B$11,2,0)</f>
        <v>6</v>
      </c>
      <c r="E1196" t="s">
        <v>5646</v>
      </c>
      <c r="F1196" t="s">
        <v>5647</v>
      </c>
      <c r="H1196" t="str">
        <f ca="1">PROPER(Sites_per_tag[[#This Row],[Adm2Name]])</f>
        <v>Tsihombe</v>
      </c>
      <c r="I1196" t="s">
        <v>5731</v>
      </c>
      <c r="K1196" t="s">
        <v>2592</v>
      </c>
      <c r="L1196" t="s">
        <v>5975</v>
      </c>
      <c r="Q1196" t="s">
        <v>2824</v>
      </c>
      <c r="R1196">
        <v>621030014</v>
      </c>
      <c r="T1196" t="s">
        <v>7</v>
      </c>
      <c r="U1196" s="3" t="str">
        <f>+VLOOKUP(Sites_per_tag[[#This Row],[Activity_tag]],Parameter!$A$24:$B$32,2,0)</f>
        <v>SMP</v>
      </c>
      <c r="W1196">
        <v>45.756545000000003</v>
      </c>
      <c r="X1196">
        <v>-25.309339000000001</v>
      </c>
    </row>
    <row r="1197" spans="1:24" x14ac:dyDescent="0.35">
      <c r="A1197" s="3" t="str">
        <f t="shared" si="18"/>
        <v>621030016SMP</v>
      </c>
      <c r="B1197" t="s">
        <v>6211</v>
      </c>
      <c r="C1197">
        <f>+VLOOKUP(Sites_per_tag[[#This Row],[Field_office]],Parameter!$A$3:$B$11,2,0)</f>
        <v>6</v>
      </c>
      <c r="E1197" t="s">
        <v>5646</v>
      </c>
      <c r="F1197" t="s">
        <v>5647</v>
      </c>
      <c r="H1197" t="str">
        <f ca="1">PROPER(Sites_per_tag[[#This Row],[Adm2Name]])</f>
        <v>Tsihombe</v>
      </c>
      <c r="I1197" t="s">
        <v>5731</v>
      </c>
      <c r="K1197" t="s">
        <v>2592</v>
      </c>
      <c r="L1197" t="s">
        <v>5975</v>
      </c>
      <c r="Q1197" t="s">
        <v>3684</v>
      </c>
      <c r="R1197">
        <v>621030016</v>
      </c>
      <c r="T1197" t="s">
        <v>7</v>
      </c>
      <c r="U1197" s="3" t="str">
        <f>+VLOOKUP(Sites_per_tag[[#This Row],[Activity_tag]],Parameter!$A$24:$B$32,2,0)</f>
        <v>SMP</v>
      </c>
      <c r="W1197">
        <v>45.600253000000002</v>
      </c>
      <c r="X1197">
        <v>-25.236650999999998</v>
      </c>
    </row>
    <row r="1198" spans="1:24" x14ac:dyDescent="0.35">
      <c r="A1198" s="3" t="str">
        <f t="shared" si="18"/>
        <v>621030017SMP</v>
      </c>
      <c r="B1198" t="s">
        <v>6211</v>
      </c>
      <c r="C1198">
        <f>+VLOOKUP(Sites_per_tag[[#This Row],[Field_office]],Parameter!$A$3:$B$11,2,0)</f>
        <v>6</v>
      </c>
      <c r="E1198" t="s">
        <v>5646</v>
      </c>
      <c r="F1198" t="s">
        <v>5647</v>
      </c>
      <c r="H1198" t="str">
        <f ca="1">PROPER(Sites_per_tag[[#This Row],[Adm2Name]])</f>
        <v>Tsihombe</v>
      </c>
      <c r="I1198" t="s">
        <v>5731</v>
      </c>
      <c r="K1198" t="s">
        <v>2592</v>
      </c>
      <c r="L1198" t="s">
        <v>5975</v>
      </c>
      <c r="Q1198" t="s">
        <v>3749</v>
      </c>
      <c r="R1198">
        <v>621030017</v>
      </c>
      <c r="T1198" t="s">
        <v>7</v>
      </c>
      <c r="U1198" s="3" t="str">
        <f>+VLOOKUP(Sites_per_tag[[#This Row],[Activity_tag]],Parameter!$A$24:$B$32,2,0)</f>
        <v>SMP</v>
      </c>
      <c r="W1198">
        <v>45.640937000000001</v>
      </c>
      <c r="X1198">
        <v>-25.309623999999999</v>
      </c>
    </row>
    <row r="1199" spans="1:24" x14ac:dyDescent="0.35">
      <c r="A1199" s="3" t="str">
        <f t="shared" si="18"/>
        <v>621030020SMP</v>
      </c>
      <c r="B1199" t="s">
        <v>6211</v>
      </c>
      <c r="C1199">
        <f>+VLOOKUP(Sites_per_tag[[#This Row],[Field_office]],Parameter!$A$3:$B$11,2,0)</f>
        <v>6</v>
      </c>
      <c r="E1199" t="s">
        <v>5646</v>
      </c>
      <c r="F1199" t="s">
        <v>5647</v>
      </c>
      <c r="H1199" t="str">
        <f ca="1">PROPER(Sites_per_tag[[#This Row],[Adm2Name]])</f>
        <v>Tsihombe</v>
      </c>
      <c r="I1199" t="s">
        <v>5731</v>
      </c>
      <c r="K1199" t="s">
        <v>2592</v>
      </c>
      <c r="L1199" t="s">
        <v>5975</v>
      </c>
      <c r="Q1199" t="s">
        <v>3461</v>
      </c>
      <c r="R1199">
        <v>621030020</v>
      </c>
      <c r="T1199" t="s">
        <v>7</v>
      </c>
      <c r="U1199" s="3" t="str">
        <f>+VLOOKUP(Sites_per_tag[[#This Row],[Activity_tag]],Parameter!$A$24:$B$32,2,0)</f>
        <v>SMP</v>
      </c>
      <c r="W1199">
        <v>45.731937000000002</v>
      </c>
      <c r="X1199">
        <v>-25.270489999999999</v>
      </c>
    </row>
    <row r="1200" spans="1:24" x14ac:dyDescent="0.35">
      <c r="A1200" s="3" t="str">
        <f t="shared" si="18"/>
        <v>621030021SMP</v>
      </c>
      <c r="B1200" t="s">
        <v>6211</v>
      </c>
      <c r="C1200">
        <f>+VLOOKUP(Sites_per_tag[[#This Row],[Field_office]],Parameter!$A$3:$B$11,2,0)</f>
        <v>6</v>
      </c>
      <c r="E1200" t="s">
        <v>5646</v>
      </c>
      <c r="F1200" t="s">
        <v>5647</v>
      </c>
      <c r="H1200" t="str">
        <f ca="1">PROPER(Sites_per_tag[[#This Row],[Adm2Name]])</f>
        <v>Tsihombe</v>
      </c>
      <c r="I1200" t="s">
        <v>5731</v>
      </c>
      <c r="K1200" t="s">
        <v>2592</v>
      </c>
      <c r="L1200" t="s">
        <v>5975</v>
      </c>
      <c r="Q1200" t="s">
        <v>1956</v>
      </c>
      <c r="R1200">
        <v>621030021</v>
      </c>
      <c r="T1200" t="s">
        <v>7</v>
      </c>
      <c r="U1200" s="3" t="str">
        <f>+VLOOKUP(Sites_per_tag[[#This Row],[Activity_tag]],Parameter!$A$24:$B$32,2,0)</f>
        <v>SMP</v>
      </c>
      <c r="W1200">
        <v>45.677033000000002</v>
      </c>
      <c r="X1200">
        <v>-25.200538999999999</v>
      </c>
    </row>
    <row r="1201" spans="1:24" x14ac:dyDescent="0.35">
      <c r="A1201" s="3" t="str">
        <f t="shared" si="18"/>
        <v>621030022SMP</v>
      </c>
      <c r="B1201" t="s">
        <v>6211</v>
      </c>
      <c r="C1201">
        <f>+VLOOKUP(Sites_per_tag[[#This Row],[Field_office]],Parameter!$A$3:$B$11,2,0)</f>
        <v>6</v>
      </c>
      <c r="E1201" t="s">
        <v>5646</v>
      </c>
      <c r="F1201" t="s">
        <v>5647</v>
      </c>
      <c r="H1201" t="str">
        <f ca="1">PROPER(Sites_per_tag[[#This Row],[Adm2Name]])</f>
        <v>Tsihombe</v>
      </c>
      <c r="I1201" t="s">
        <v>5731</v>
      </c>
      <c r="K1201" t="s">
        <v>2592</v>
      </c>
      <c r="L1201" t="s">
        <v>5975</v>
      </c>
      <c r="Q1201" t="s">
        <v>612</v>
      </c>
      <c r="R1201">
        <v>621030022</v>
      </c>
      <c r="T1201" t="s">
        <v>7</v>
      </c>
      <c r="U1201" s="3" t="str">
        <f>+VLOOKUP(Sites_per_tag[[#This Row],[Activity_tag]],Parameter!$A$24:$B$32,2,0)</f>
        <v>SMP</v>
      </c>
      <c r="W1201">
        <v>45.700369000000002</v>
      </c>
      <c r="X1201">
        <v>-25.305033000000002</v>
      </c>
    </row>
    <row r="1202" spans="1:24" x14ac:dyDescent="0.35">
      <c r="A1202" s="3" t="str">
        <f t="shared" si="18"/>
        <v>621030025SMP</v>
      </c>
      <c r="B1202" t="s">
        <v>6211</v>
      </c>
      <c r="C1202">
        <f>+VLOOKUP(Sites_per_tag[[#This Row],[Field_office]],Parameter!$A$3:$B$11,2,0)</f>
        <v>6</v>
      </c>
      <c r="E1202" t="s">
        <v>5646</v>
      </c>
      <c r="F1202" t="s">
        <v>5647</v>
      </c>
      <c r="H1202" t="str">
        <f ca="1">PROPER(Sites_per_tag[[#This Row],[Adm2Name]])</f>
        <v>Tsihombe</v>
      </c>
      <c r="I1202" t="s">
        <v>5731</v>
      </c>
      <c r="K1202" t="s">
        <v>2592</v>
      </c>
      <c r="L1202" t="s">
        <v>5975</v>
      </c>
      <c r="Q1202" t="s">
        <v>1585</v>
      </c>
      <c r="R1202">
        <v>621030025</v>
      </c>
      <c r="T1202" t="s">
        <v>7</v>
      </c>
      <c r="U1202" s="3" t="str">
        <f>+VLOOKUP(Sites_per_tag[[#This Row],[Activity_tag]],Parameter!$A$24:$B$32,2,0)</f>
        <v>SMP</v>
      </c>
      <c r="W1202">
        <v>45.592725000000002</v>
      </c>
      <c r="X1202">
        <v>-25.307262000000001</v>
      </c>
    </row>
    <row r="1203" spans="1:24" x14ac:dyDescent="0.35">
      <c r="A1203" s="3" t="str">
        <f t="shared" si="18"/>
        <v>621030027SMP</v>
      </c>
      <c r="B1203" t="s">
        <v>6211</v>
      </c>
      <c r="C1203">
        <f>+VLOOKUP(Sites_per_tag[[#This Row],[Field_office]],Parameter!$A$3:$B$11,2,0)</f>
        <v>6</v>
      </c>
      <c r="E1203" t="s">
        <v>5646</v>
      </c>
      <c r="F1203" t="s">
        <v>5647</v>
      </c>
      <c r="H1203" t="str">
        <f ca="1">PROPER(Sites_per_tag[[#This Row],[Adm2Name]])</f>
        <v>Tsihombe</v>
      </c>
      <c r="I1203" t="s">
        <v>5731</v>
      </c>
      <c r="K1203" t="s">
        <v>2592</v>
      </c>
      <c r="L1203" t="s">
        <v>5975</v>
      </c>
      <c r="Q1203" t="s">
        <v>2995</v>
      </c>
      <c r="R1203">
        <v>621030027</v>
      </c>
      <c r="T1203" t="s">
        <v>7</v>
      </c>
      <c r="U1203" s="3" t="str">
        <f>+VLOOKUP(Sites_per_tag[[#This Row],[Activity_tag]],Parameter!$A$24:$B$32,2,0)</f>
        <v>SMP</v>
      </c>
      <c r="W1203">
        <v>45.812629000000001</v>
      </c>
      <c r="X1203">
        <v>-25.274232000000001</v>
      </c>
    </row>
    <row r="1204" spans="1:24" x14ac:dyDescent="0.35">
      <c r="A1204" s="3" t="str">
        <f t="shared" si="18"/>
        <v>621040003SMP</v>
      </c>
      <c r="B1204" t="s">
        <v>6211</v>
      </c>
      <c r="C1204">
        <f>+VLOOKUP(Sites_per_tag[[#This Row],[Field_office]],Parameter!$A$3:$B$11,2,0)</f>
        <v>6</v>
      </c>
      <c r="E1204" t="s">
        <v>5646</v>
      </c>
      <c r="F1204" t="s">
        <v>5647</v>
      </c>
      <c r="H1204" t="str">
        <f ca="1">PROPER(Sites_per_tag[[#This Row],[Adm2Name]])</f>
        <v>Tsihombe</v>
      </c>
      <c r="I1204" t="s">
        <v>5731</v>
      </c>
      <c r="K1204" t="s">
        <v>3101</v>
      </c>
      <c r="L1204" t="s">
        <v>6053</v>
      </c>
      <c r="Q1204" t="s">
        <v>6412</v>
      </c>
      <c r="R1204">
        <v>621040003</v>
      </c>
      <c r="T1204" t="s">
        <v>7</v>
      </c>
      <c r="U1204" s="3" t="str">
        <f>+VLOOKUP(Sites_per_tag[[#This Row],[Activity_tag]],Parameter!$A$24:$B$32,2,0)</f>
        <v>SMP</v>
      </c>
      <c r="W1204">
        <v>45.242105000000002</v>
      </c>
      <c r="X1204">
        <v>-25.488454999999998</v>
      </c>
    </row>
    <row r="1205" spans="1:24" x14ac:dyDescent="0.35">
      <c r="A1205" s="3" t="str">
        <f t="shared" si="18"/>
        <v>621040007SMP</v>
      </c>
      <c r="B1205" t="s">
        <v>6211</v>
      </c>
      <c r="C1205">
        <f>+VLOOKUP(Sites_per_tag[[#This Row],[Field_office]],Parameter!$A$3:$B$11,2,0)</f>
        <v>6</v>
      </c>
      <c r="E1205" t="s">
        <v>5646</v>
      </c>
      <c r="F1205" t="s">
        <v>5647</v>
      </c>
      <c r="H1205" t="str">
        <f ca="1">PROPER(Sites_per_tag[[#This Row],[Adm2Name]])</f>
        <v>Tsihombe</v>
      </c>
      <c r="I1205" t="s">
        <v>5731</v>
      </c>
      <c r="K1205" t="s">
        <v>3101</v>
      </c>
      <c r="L1205" t="s">
        <v>6053</v>
      </c>
      <c r="Q1205" t="s">
        <v>913</v>
      </c>
      <c r="R1205">
        <v>621040007</v>
      </c>
      <c r="T1205" t="s">
        <v>7</v>
      </c>
      <c r="U1205" s="3" t="str">
        <f>+VLOOKUP(Sites_per_tag[[#This Row],[Activity_tag]],Parameter!$A$24:$B$32,2,0)</f>
        <v>SMP</v>
      </c>
      <c r="W1205">
        <v>45.314213000000002</v>
      </c>
      <c r="X1205">
        <v>-25.573347999999999</v>
      </c>
    </row>
    <row r="1206" spans="1:24" x14ac:dyDescent="0.35">
      <c r="A1206" s="3" t="str">
        <f t="shared" si="18"/>
        <v>621040008SMP</v>
      </c>
      <c r="B1206" t="s">
        <v>6211</v>
      </c>
      <c r="C1206">
        <f>+VLOOKUP(Sites_per_tag[[#This Row],[Field_office]],Parameter!$A$3:$B$11,2,0)</f>
        <v>6</v>
      </c>
      <c r="E1206" t="s">
        <v>5646</v>
      </c>
      <c r="F1206" t="s">
        <v>5647</v>
      </c>
      <c r="H1206" t="str">
        <f ca="1">PROPER(Sites_per_tag[[#This Row],[Adm2Name]])</f>
        <v>Tsihombe</v>
      </c>
      <c r="I1206" t="s">
        <v>5731</v>
      </c>
      <c r="K1206" t="s">
        <v>3101</v>
      </c>
      <c r="L1206" t="s">
        <v>6053</v>
      </c>
      <c r="Q1206" t="s">
        <v>1018</v>
      </c>
      <c r="R1206">
        <v>621040008</v>
      </c>
      <c r="T1206" t="s">
        <v>7</v>
      </c>
      <c r="U1206" s="3" t="str">
        <f>+VLOOKUP(Sites_per_tag[[#This Row],[Activity_tag]],Parameter!$A$24:$B$32,2,0)</f>
        <v>SMP</v>
      </c>
      <c r="W1206">
        <v>45.182862999999998</v>
      </c>
      <c r="X1206">
        <v>-25.511030000000002</v>
      </c>
    </row>
    <row r="1207" spans="1:24" x14ac:dyDescent="0.35">
      <c r="A1207" s="3" t="str">
        <f t="shared" si="18"/>
        <v>621040010SMP</v>
      </c>
      <c r="B1207" t="s">
        <v>6211</v>
      </c>
      <c r="C1207">
        <f>+VLOOKUP(Sites_per_tag[[#This Row],[Field_office]],Parameter!$A$3:$B$11,2,0)</f>
        <v>6</v>
      </c>
      <c r="E1207" t="s">
        <v>5646</v>
      </c>
      <c r="F1207" t="s">
        <v>5647</v>
      </c>
      <c r="H1207" t="str">
        <f ca="1">PROPER(Sites_per_tag[[#This Row],[Adm2Name]])</f>
        <v>Tsihombe</v>
      </c>
      <c r="I1207" t="s">
        <v>5731</v>
      </c>
      <c r="K1207" t="s">
        <v>3101</v>
      </c>
      <c r="L1207" t="s">
        <v>6053</v>
      </c>
      <c r="Q1207" t="s">
        <v>1361</v>
      </c>
      <c r="R1207">
        <v>621040010</v>
      </c>
      <c r="T1207" t="s">
        <v>7</v>
      </c>
      <c r="U1207" s="3" t="str">
        <f>+VLOOKUP(Sites_per_tag[[#This Row],[Activity_tag]],Parameter!$A$24:$B$32,2,0)</f>
        <v>SMP</v>
      </c>
      <c r="W1207">
        <v>45.261021999999997</v>
      </c>
      <c r="X1207">
        <v>-25.371158000000001</v>
      </c>
    </row>
    <row r="1208" spans="1:24" x14ac:dyDescent="0.35">
      <c r="A1208" s="3" t="str">
        <f t="shared" si="18"/>
        <v>621040014SMP</v>
      </c>
      <c r="B1208" t="s">
        <v>6211</v>
      </c>
      <c r="C1208">
        <f>+VLOOKUP(Sites_per_tag[[#This Row],[Field_office]],Parameter!$A$3:$B$11,2,0)</f>
        <v>6</v>
      </c>
      <c r="E1208" t="s">
        <v>5646</v>
      </c>
      <c r="F1208" t="s">
        <v>5647</v>
      </c>
      <c r="H1208" t="str">
        <f ca="1">PROPER(Sites_per_tag[[#This Row],[Adm2Name]])</f>
        <v>Tsihombe</v>
      </c>
      <c r="I1208" t="s">
        <v>5731</v>
      </c>
      <c r="K1208" t="s">
        <v>3101</v>
      </c>
      <c r="L1208" t="s">
        <v>6053</v>
      </c>
      <c r="Q1208" t="s">
        <v>2094</v>
      </c>
      <c r="R1208">
        <v>621040014</v>
      </c>
      <c r="T1208" t="s">
        <v>7</v>
      </c>
      <c r="U1208" s="3" t="str">
        <f>+VLOOKUP(Sites_per_tag[[#This Row],[Activity_tag]],Parameter!$A$24:$B$32,2,0)</f>
        <v>SMP</v>
      </c>
      <c r="W1208">
        <v>45.176543000000002</v>
      </c>
      <c r="X1208">
        <v>-25.543718999999999</v>
      </c>
    </row>
    <row r="1209" spans="1:24" x14ac:dyDescent="0.35">
      <c r="A1209" s="3" t="str">
        <f t="shared" si="18"/>
        <v>621040016SMP</v>
      </c>
      <c r="B1209" t="s">
        <v>6211</v>
      </c>
      <c r="C1209">
        <f>+VLOOKUP(Sites_per_tag[[#This Row],[Field_office]],Parameter!$A$3:$B$11,2,0)</f>
        <v>6</v>
      </c>
      <c r="E1209" t="s">
        <v>5646</v>
      </c>
      <c r="F1209" t="s">
        <v>5647</v>
      </c>
      <c r="H1209" t="str">
        <f ca="1">PROPER(Sites_per_tag[[#This Row],[Adm2Name]])</f>
        <v>Tsihombe</v>
      </c>
      <c r="I1209" t="s">
        <v>5731</v>
      </c>
      <c r="K1209" t="s">
        <v>3101</v>
      </c>
      <c r="L1209" t="s">
        <v>6053</v>
      </c>
      <c r="Q1209" t="s">
        <v>6325</v>
      </c>
      <c r="R1209">
        <v>621040016</v>
      </c>
      <c r="T1209" t="s">
        <v>7</v>
      </c>
      <c r="U1209" s="3" t="str">
        <f>+VLOOKUP(Sites_per_tag[[#This Row],[Activity_tag]],Parameter!$A$24:$B$32,2,0)</f>
        <v>SMP</v>
      </c>
      <c r="W1209">
        <v>45.233122000000002</v>
      </c>
      <c r="X1209">
        <v>-25.560154000000001</v>
      </c>
    </row>
    <row r="1210" spans="1:24" x14ac:dyDescent="0.35">
      <c r="A1210" s="3" t="str">
        <f t="shared" si="18"/>
        <v>621040017SMP</v>
      </c>
      <c r="B1210" t="s">
        <v>6211</v>
      </c>
      <c r="C1210">
        <f>+VLOOKUP(Sites_per_tag[[#This Row],[Field_office]],Parameter!$A$3:$B$11,2,0)</f>
        <v>6</v>
      </c>
      <c r="E1210" t="s">
        <v>5646</v>
      </c>
      <c r="F1210" t="s">
        <v>5647</v>
      </c>
      <c r="H1210" t="str">
        <f ca="1">PROPER(Sites_per_tag[[#This Row],[Adm2Name]])</f>
        <v>Tsihombe</v>
      </c>
      <c r="I1210" t="s">
        <v>5731</v>
      </c>
      <c r="K1210" t="s">
        <v>3101</v>
      </c>
      <c r="L1210" t="s">
        <v>6053</v>
      </c>
      <c r="Q1210" t="s">
        <v>1648</v>
      </c>
      <c r="R1210">
        <v>621040017</v>
      </c>
      <c r="T1210" t="s">
        <v>7</v>
      </c>
      <c r="U1210" s="3" t="str">
        <f>+VLOOKUP(Sites_per_tag[[#This Row],[Activity_tag]],Parameter!$A$24:$B$32,2,0)</f>
        <v>SMP</v>
      </c>
      <c r="W1210">
        <v>45.195112999999999</v>
      </c>
      <c r="X1210">
        <v>-25.483419000000001</v>
      </c>
    </row>
    <row r="1211" spans="1:24" x14ac:dyDescent="0.35">
      <c r="A1211" s="3" t="str">
        <f t="shared" si="18"/>
        <v>621040018SMP</v>
      </c>
      <c r="B1211" t="s">
        <v>6211</v>
      </c>
      <c r="C1211">
        <f>+VLOOKUP(Sites_per_tag[[#This Row],[Field_office]],Parameter!$A$3:$B$11,2,0)</f>
        <v>6</v>
      </c>
      <c r="E1211" t="s">
        <v>5646</v>
      </c>
      <c r="F1211" t="s">
        <v>5647</v>
      </c>
      <c r="H1211" t="str">
        <f ca="1">PROPER(Sites_per_tag[[#This Row],[Adm2Name]])</f>
        <v>Tsihombe</v>
      </c>
      <c r="I1211" t="s">
        <v>5731</v>
      </c>
      <c r="K1211" t="s">
        <v>3101</v>
      </c>
      <c r="L1211" t="s">
        <v>6053</v>
      </c>
      <c r="Q1211" t="s">
        <v>2172</v>
      </c>
      <c r="R1211">
        <v>621040018</v>
      </c>
      <c r="T1211" t="s">
        <v>7</v>
      </c>
      <c r="U1211" s="3" t="str">
        <f>+VLOOKUP(Sites_per_tag[[#This Row],[Activity_tag]],Parameter!$A$24:$B$32,2,0)</f>
        <v>SMP</v>
      </c>
      <c r="W1211">
        <v>45.300949000000003</v>
      </c>
      <c r="X1211">
        <v>-25.487041000000001</v>
      </c>
    </row>
    <row r="1212" spans="1:24" x14ac:dyDescent="0.35">
      <c r="A1212" s="3" t="str">
        <f t="shared" si="18"/>
        <v>621040020SMP</v>
      </c>
      <c r="B1212" t="s">
        <v>6211</v>
      </c>
      <c r="C1212">
        <f>+VLOOKUP(Sites_per_tag[[#This Row],[Field_office]],Parameter!$A$3:$B$11,2,0)</f>
        <v>6</v>
      </c>
      <c r="E1212" t="s">
        <v>5646</v>
      </c>
      <c r="F1212" t="s">
        <v>5647</v>
      </c>
      <c r="H1212" t="str">
        <f ca="1">PROPER(Sites_per_tag[[#This Row],[Adm2Name]])</f>
        <v>Tsihombe</v>
      </c>
      <c r="I1212" t="s">
        <v>5731</v>
      </c>
      <c r="K1212" t="s">
        <v>3101</v>
      </c>
      <c r="L1212" t="s">
        <v>6053</v>
      </c>
      <c r="Q1212" t="s">
        <v>2643</v>
      </c>
      <c r="R1212">
        <v>621040020</v>
      </c>
      <c r="T1212" t="s">
        <v>7</v>
      </c>
      <c r="U1212" s="3" t="str">
        <f>+VLOOKUP(Sites_per_tag[[#This Row],[Activity_tag]],Parameter!$A$24:$B$32,2,0)</f>
        <v>SMP</v>
      </c>
      <c r="W1212">
        <v>45.284699000000003</v>
      </c>
      <c r="X1212">
        <v>-25.565145000000001</v>
      </c>
    </row>
    <row r="1213" spans="1:24" x14ac:dyDescent="0.35">
      <c r="A1213" s="3" t="str">
        <f t="shared" si="18"/>
        <v>621040022SMP</v>
      </c>
      <c r="B1213" t="s">
        <v>6211</v>
      </c>
      <c r="C1213">
        <f>+VLOOKUP(Sites_per_tag[[#This Row],[Field_office]],Parameter!$A$3:$B$11,2,0)</f>
        <v>6</v>
      </c>
      <c r="E1213" t="s">
        <v>5646</v>
      </c>
      <c r="F1213" t="s">
        <v>5647</v>
      </c>
      <c r="H1213" t="str">
        <f ca="1">PROPER(Sites_per_tag[[#This Row],[Adm2Name]])</f>
        <v>Tsihombe</v>
      </c>
      <c r="I1213" t="s">
        <v>5731</v>
      </c>
      <c r="K1213" t="s">
        <v>3101</v>
      </c>
      <c r="L1213" t="s">
        <v>6053</v>
      </c>
      <c r="Q1213" t="s">
        <v>6413</v>
      </c>
      <c r="R1213">
        <v>621040022</v>
      </c>
      <c r="T1213" t="s">
        <v>7</v>
      </c>
      <c r="U1213" s="3" t="str">
        <f>+VLOOKUP(Sites_per_tag[[#This Row],[Activity_tag]],Parameter!$A$24:$B$32,2,0)</f>
        <v>SMP</v>
      </c>
      <c r="W1213">
        <v>45.275626000000003</v>
      </c>
      <c r="X1213">
        <v>-25.526444999999999</v>
      </c>
    </row>
    <row r="1214" spans="1:24" x14ac:dyDescent="0.35">
      <c r="A1214" s="3" t="str">
        <f t="shared" si="18"/>
        <v>621040025SMP</v>
      </c>
      <c r="B1214" t="s">
        <v>6211</v>
      </c>
      <c r="C1214">
        <f>+VLOOKUP(Sites_per_tag[[#This Row],[Field_office]],Parameter!$A$3:$B$11,2,0)</f>
        <v>6</v>
      </c>
      <c r="E1214" t="s">
        <v>5646</v>
      </c>
      <c r="F1214" t="s">
        <v>5647</v>
      </c>
      <c r="H1214" t="str">
        <f ca="1">PROPER(Sites_per_tag[[#This Row],[Adm2Name]])</f>
        <v>Tsihombe</v>
      </c>
      <c r="I1214" t="s">
        <v>5731</v>
      </c>
      <c r="K1214" t="s">
        <v>3101</v>
      </c>
      <c r="L1214" t="s">
        <v>6053</v>
      </c>
      <c r="Q1214" t="s">
        <v>6352</v>
      </c>
      <c r="R1214">
        <v>621040025</v>
      </c>
      <c r="T1214" t="s">
        <v>7</v>
      </c>
      <c r="U1214" s="3" t="str">
        <f>+VLOOKUP(Sites_per_tag[[#This Row],[Activity_tag]],Parameter!$A$24:$B$32,2,0)</f>
        <v>SMP</v>
      </c>
      <c r="W1214">
        <v>45.326718999999997</v>
      </c>
      <c r="X1214">
        <v>-25.563234000000001</v>
      </c>
    </row>
    <row r="1215" spans="1:24" x14ac:dyDescent="0.35">
      <c r="A1215" s="3" t="str">
        <f t="shared" si="18"/>
        <v>621040031SMP</v>
      </c>
      <c r="B1215" t="s">
        <v>6211</v>
      </c>
      <c r="C1215">
        <f>+VLOOKUP(Sites_per_tag[[#This Row],[Field_office]],Parameter!$A$3:$B$11,2,0)</f>
        <v>6</v>
      </c>
      <c r="E1215" t="s">
        <v>5646</v>
      </c>
      <c r="F1215" t="s">
        <v>5647</v>
      </c>
      <c r="H1215" t="str">
        <f ca="1">PROPER(Sites_per_tag[[#This Row],[Adm2Name]])</f>
        <v>Tsihombe</v>
      </c>
      <c r="I1215" t="s">
        <v>5731</v>
      </c>
      <c r="K1215" t="s">
        <v>3101</v>
      </c>
      <c r="L1215" t="s">
        <v>6053</v>
      </c>
      <c r="Q1215" t="s">
        <v>3028</v>
      </c>
      <c r="R1215">
        <v>621040031</v>
      </c>
      <c r="T1215" t="s">
        <v>7</v>
      </c>
      <c r="U1215" s="3" t="str">
        <f>+VLOOKUP(Sites_per_tag[[#This Row],[Activity_tag]],Parameter!$A$24:$B$32,2,0)</f>
        <v>SMP</v>
      </c>
      <c r="W1215">
        <v>45.292071999999997</v>
      </c>
      <c r="X1215">
        <v>-25.498384999999999</v>
      </c>
    </row>
    <row r="1216" spans="1:24" x14ac:dyDescent="0.35">
      <c r="A1216" s="3" t="str">
        <f t="shared" si="18"/>
        <v>621040038SMP</v>
      </c>
      <c r="B1216" t="s">
        <v>6211</v>
      </c>
      <c r="C1216">
        <f>+VLOOKUP(Sites_per_tag[[#This Row],[Field_office]],Parameter!$A$3:$B$11,2,0)</f>
        <v>6</v>
      </c>
      <c r="E1216" t="s">
        <v>5646</v>
      </c>
      <c r="F1216" t="s">
        <v>5647</v>
      </c>
      <c r="H1216" t="str">
        <f ca="1">PROPER(Sites_per_tag[[#This Row],[Adm2Name]])</f>
        <v>Tsihombe</v>
      </c>
      <c r="I1216" t="s">
        <v>5731</v>
      </c>
      <c r="K1216" t="s">
        <v>3101</v>
      </c>
      <c r="L1216" t="s">
        <v>6053</v>
      </c>
      <c r="Q1216" t="s">
        <v>817</v>
      </c>
      <c r="R1216">
        <v>621040038</v>
      </c>
      <c r="T1216" t="s">
        <v>7</v>
      </c>
      <c r="U1216" s="3" t="str">
        <f>+VLOOKUP(Sites_per_tag[[#This Row],[Activity_tag]],Parameter!$A$24:$B$32,2,0)</f>
        <v>SMP</v>
      </c>
      <c r="W1216">
        <v>45.215468999999999</v>
      </c>
      <c r="X1216">
        <v>-25.516878999999999</v>
      </c>
    </row>
    <row r="1217" spans="1:24" x14ac:dyDescent="0.35">
      <c r="A1217" s="3" t="str">
        <f t="shared" si="18"/>
        <v>621050001SMP</v>
      </c>
      <c r="B1217" t="s">
        <v>6211</v>
      </c>
      <c r="C1217">
        <f>+VLOOKUP(Sites_per_tag[[#This Row],[Field_office]],Parameter!$A$3:$B$11,2,0)</f>
        <v>6</v>
      </c>
      <c r="E1217" t="s">
        <v>5646</v>
      </c>
      <c r="F1217" t="s">
        <v>5647</v>
      </c>
      <c r="H1217" t="str">
        <f ca="1">PROPER(Sites_per_tag[[#This Row],[Adm2Name]])</f>
        <v>Tsihombe</v>
      </c>
      <c r="I1217" t="s">
        <v>5731</v>
      </c>
      <c r="K1217" t="s">
        <v>5610</v>
      </c>
      <c r="L1217" t="s">
        <v>6147</v>
      </c>
      <c r="Q1217" t="s">
        <v>15</v>
      </c>
      <c r="R1217">
        <v>621050001</v>
      </c>
      <c r="T1217" t="s">
        <v>7</v>
      </c>
      <c r="U1217" s="3" t="str">
        <f>+VLOOKUP(Sites_per_tag[[#This Row],[Activity_tag]],Parameter!$A$24:$B$32,2,0)</f>
        <v>SMP</v>
      </c>
      <c r="W1217">
        <v>45.368974999999999</v>
      </c>
      <c r="X1217">
        <v>-25.287686000000001</v>
      </c>
    </row>
    <row r="1218" spans="1:24" x14ac:dyDescent="0.35">
      <c r="A1218" s="3" t="str">
        <f t="shared" si="18"/>
        <v>621050002SMP</v>
      </c>
      <c r="B1218" t="s">
        <v>6211</v>
      </c>
      <c r="C1218">
        <f>+VLOOKUP(Sites_per_tag[[#This Row],[Field_office]],Parameter!$A$3:$B$11,2,0)</f>
        <v>6</v>
      </c>
      <c r="E1218" t="s">
        <v>5646</v>
      </c>
      <c r="F1218" t="s">
        <v>5647</v>
      </c>
      <c r="H1218" t="str">
        <f ca="1">PROPER(Sites_per_tag[[#This Row],[Adm2Name]])</f>
        <v>Tsihombe</v>
      </c>
      <c r="I1218" t="s">
        <v>5731</v>
      </c>
      <c r="K1218" t="s">
        <v>5610</v>
      </c>
      <c r="L1218" t="s">
        <v>6147</v>
      </c>
      <c r="Q1218" t="s">
        <v>136</v>
      </c>
      <c r="R1218">
        <v>621050002</v>
      </c>
      <c r="T1218" t="s">
        <v>7</v>
      </c>
      <c r="U1218" s="3" t="str">
        <f>+VLOOKUP(Sites_per_tag[[#This Row],[Activity_tag]],Parameter!$A$24:$B$32,2,0)</f>
        <v>SMP</v>
      </c>
      <c r="W1218">
        <v>45.447878000000003</v>
      </c>
      <c r="X1218">
        <v>-25.346124</v>
      </c>
    </row>
    <row r="1219" spans="1:24" x14ac:dyDescent="0.35">
      <c r="A1219" s="3" t="str">
        <f t="shared" ref="A1219:A1282" si="19">+R1219&amp;U1219</f>
        <v>621050004SMP</v>
      </c>
      <c r="B1219" t="s">
        <v>6210</v>
      </c>
      <c r="C1219">
        <f>+VLOOKUP(Sites_per_tag[[#This Row],[Field_office]],Parameter!$A$3:$B$11,2,0)</f>
        <v>10</v>
      </c>
      <c r="E1219" t="s">
        <v>5650</v>
      </c>
      <c r="F1219" t="s">
        <v>5654</v>
      </c>
      <c r="H1219" t="str">
        <f ca="1">PROPER(Sites_per_tag[[#This Row],[Adm2Name]])</f>
        <v>Betioky Atsimo</v>
      </c>
      <c r="I1219" t="s">
        <v>5688</v>
      </c>
      <c r="K1219" t="s">
        <v>1367</v>
      </c>
      <c r="L1219" t="s">
        <v>5843</v>
      </c>
      <c r="Q1219" t="s">
        <v>242</v>
      </c>
      <c r="R1219">
        <v>621050004</v>
      </c>
      <c r="T1219" t="s">
        <v>7</v>
      </c>
      <c r="U1219" s="3" t="str">
        <f>+VLOOKUP(Sites_per_tag[[#This Row],[Activity_tag]],Parameter!$A$24:$B$32,2,0)</f>
        <v>SMP</v>
      </c>
      <c r="W1219">
        <v>44.627986999999997</v>
      </c>
      <c r="X1219">
        <v>-23.241226000000001</v>
      </c>
    </row>
    <row r="1220" spans="1:24" x14ac:dyDescent="0.35">
      <c r="A1220" s="3" t="str">
        <f t="shared" si="19"/>
        <v>621050007SMP</v>
      </c>
      <c r="B1220" t="s">
        <v>6211</v>
      </c>
      <c r="C1220">
        <f>+VLOOKUP(Sites_per_tag[[#This Row],[Field_office]],Parameter!$A$3:$B$11,2,0)</f>
        <v>6</v>
      </c>
      <c r="E1220" t="s">
        <v>5646</v>
      </c>
      <c r="F1220" t="s">
        <v>5647</v>
      </c>
      <c r="H1220" t="str">
        <f ca="1">PROPER(Sites_per_tag[[#This Row],[Adm2Name]])</f>
        <v>Tsihombe</v>
      </c>
      <c r="I1220" t="s">
        <v>5731</v>
      </c>
      <c r="K1220" t="s">
        <v>5610</v>
      </c>
      <c r="L1220" t="s">
        <v>6147</v>
      </c>
      <c r="Q1220" t="s">
        <v>475</v>
      </c>
      <c r="R1220">
        <v>621050007</v>
      </c>
      <c r="T1220" t="s">
        <v>7</v>
      </c>
      <c r="U1220" s="3" t="str">
        <f>+VLOOKUP(Sites_per_tag[[#This Row],[Activity_tag]],Parameter!$A$24:$B$32,2,0)</f>
        <v>SMP</v>
      </c>
      <c r="W1220">
        <v>45.277109000000003</v>
      </c>
      <c r="X1220">
        <v>-25.372207</v>
      </c>
    </row>
    <row r="1221" spans="1:24" x14ac:dyDescent="0.35">
      <c r="A1221" s="3" t="str">
        <f t="shared" si="19"/>
        <v>621050009SMP</v>
      </c>
      <c r="B1221" t="s">
        <v>6211</v>
      </c>
      <c r="C1221">
        <f>+VLOOKUP(Sites_per_tag[[#This Row],[Field_office]],Parameter!$A$3:$B$11,2,0)</f>
        <v>6</v>
      </c>
      <c r="E1221" t="s">
        <v>5646</v>
      </c>
      <c r="F1221" t="s">
        <v>5647</v>
      </c>
      <c r="H1221" t="str">
        <f ca="1">PROPER(Sites_per_tag[[#This Row],[Adm2Name]])</f>
        <v>Tsihombe</v>
      </c>
      <c r="I1221" t="s">
        <v>5731</v>
      </c>
      <c r="K1221" t="s">
        <v>5610</v>
      </c>
      <c r="L1221" t="s">
        <v>6147</v>
      </c>
      <c r="Q1221" t="s">
        <v>6360</v>
      </c>
      <c r="R1221">
        <v>621050009</v>
      </c>
      <c r="T1221" t="s">
        <v>7</v>
      </c>
      <c r="U1221" s="3" t="str">
        <f>+VLOOKUP(Sites_per_tag[[#This Row],[Activity_tag]],Parameter!$A$24:$B$32,2,0)</f>
        <v>SMP</v>
      </c>
      <c r="W1221">
        <v>45.451847000000001</v>
      </c>
      <c r="X1221">
        <v>-25.290811000000001</v>
      </c>
    </row>
    <row r="1222" spans="1:24" x14ac:dyDescent="0.35">
      <c r="A1222" s="3" t="str">
        <f t="shared" si="19"/>
        <v>621050010SMP</v>
      </c>
      <c r="B1222" t="s">
        <v>6210</v>
      </c>
      <c r="C1222">
        <f>+VLOOKUP(Sites_per_tag[[#This Row],[Field_office]],Parameter!$A$3:$B$11,2,0)</f>
        <v>10</v>
      </c>
      <c r="E1222" t="s">
        <v>5650</v>
      </c>
      <c r="F1222" t="s">
        <v>5654</v>
      </c>
      <c r="H1222" t="str">
        <f ca="1">PROPER(Sites_per_tag[[#This Row],[Adm2Name]])</f>
        <v>Betioky Atsimo</v>
      </c>
      <c r="I1222" t="s">
        <v>5688</v>
      </c>
      <c r="K1222" t="s">
        <v>1367</v>
      </c>
      <c r="L1222" t="s">
        <v>5843</v>
      </c>
      <c r="Q1222" t="s">
        <v>863</v>
      </c>
      <c r="R1222">
        <v>621050010</v>
      </c>
      <c r="T1222" t="s">
        <v>7</v>
      </c>
      <c r="U1222" s="3" t="str">
        <f>+VLOOKUP(Sites_per_tag[[#This Row],[Activity_tag]],Parameter!$A$24:$B$32,2,0)</f>
        <v>SMP</v>
      </c>
      <c r="W1222">
        <v>44.711260000000003</v>
      </c>
      <c r="X1222">
        <v>-23.393000000000001</v>
      </c>
    </row>
    <row r="1223" spans="1:24" x14ac:dyDescent="0.35">
      <c r="A1223" s="3" t="str">
        <f t="shared" si="19"/>
        <v>621050012SMP</v>
      </c>
      <c r="B1223" t="s">
        <v>6211</v>
      </c>
      <c r="C1223">
        <f>+VLOOKUP(Sites_per_tag[[#This Row],[Field_office]],Parameter!$A$3:$B$11,2,0)</f>
        <v>6</v>
      </c>
      <c r="E1223" t="s">
        <v>5646</v>
      </c>
      <c r="F1223" t="s">
        <v>5647</v>
      </c>
      <c r="H1223" t="str">
        <f ca="1">PROPER(Sites_per_tag[[#This Row],[Adm2Name]])</f>
        <v>Tsihombe</v>
      </c>
      <c r="I1223" t="s">
        <v>5731</v>
      </c>
      <c r="K1223" t="s">
        <v>5610</v>
      </c>
      <c r="L1223" t="s">
        <v>6147</v>
      </c>
      <c r="Q1223" t="s">
        <v>994</v>
      </c>
      <c r="R1223">
        <v>621050012</v>
      </c>
      <c r="T1223" t="s">
        <v>7</v>
      </c>
      <c r="U1223" s="3" t="str">
        <f>+VLOOKUP(Sites_per_tag[[#This Row],[Activity_tag]],Parameter!$A$24:$B$32,2,0)</f>
        <v>SMP</v>
      </c>
      <c r="W1223">
        <v>45.322239000000003</v>
      </c>
      <c r="X1223">
        <v>-25.343969000000001</v>
      </c>
    </row>
    <row r="1224" spans="1:24" x14ac:dyDescent="0.35">
      <c r="A1224" s="3" t="str">
        <f t="shared" si="19"/>
        <v>621050013SMP</v>
      </c>
      <c r="B1224" t="s">
        <v>6211</v>
      </c>
      <c r="C1224">
        <f>+VLOOKUP(Sites_per_tag[[#This Row],[Field_office]],Parameter!$A$3:$B$11,2,0)</f>
        <v>6</v>
      </c>
      <c r="E1224" t="s">
        <v>5646</v>
      </c>
      <c r="F1224" t="s">
        <v>5647</v>
      </c>
      <c r="H1224" t="str">
        <f ca="1">PROPER(Sites_per_tag[[#This Row],[Adm2Name]])</f>
        <v>Tsihombe</v>
      </c>
      <c r="I1224" t="s">
        <v>5731</v>
      </c>
      <c r="K1224" t="s">
        <v>5610</v>
      </c>
      <c r="L1224" t="s">
        <v>6147</v>
      </c>
      <c r="Q1224" t="s">
        <v>1129</v>
      </c>
      <c r="R1224">
        <v>621050013</v>
      </c>
      <c r="T1224" t="s">
        <v>7</v>
      </c>
      <c r="U1224" s="3" t="str">
        <f>+VLOOKUP(Sites_per_tag[[#This Row],[Activity_tag]],Parameter!$A$24:$B$32,2,0)</f>
        <v>SMP</v>
      </c>
      <c r="W1224">
        <v>45.512269000000003</v>
      </c>
      <c r="X1224">
        <v>-25.279084999999998</v>
      </c>
    </row>
    <row r="1225" spans="1:24" x14ac:dyDescent="0.35">
      <c r="A1225" s="3" t="str">
        <f t="shared" si="19"/>
        <v>621050014SMP</v>
      </c>
      <c r="B1225" t="s">
        <v>6211</v>
      </c>
      <c r="C1225">
        <f>+VLOOKUP(Sites_per_tag[[#This Row],[Field_office]],Parameter!$A$3:$B$11,2,0)</f>
        <v>6</v>
      </c>
      <c r="E1225" t="s">
        <v>5646</v>
      </c>
      <c r="F1225" t="s">
        <v>5647</v>
      </c>
      <c r="H1225" t="str">
        <f ca="1">PROPER(Sites_per_tag[[#This Row],[Adm2Name]])</f>
        <v>Tsihombe</v>
      </c>
      <c r="I1225" t="s">
        <v>5731</v>
      </c>
      <c r="K1225" t="s">
        <v>5610</v>
      </c>
      <c r="L1225" t="s">
        <v>6147</v>
      </c>
      <c r="Q1225" t="s">
        <v>1282</v>
      </c>
      <c r="R1225">
        <v>621050014</v>
      </c>
      <c r="T1225" t="s">
        <v>7</v>
      </c>
      <c r="U1225" s="3" t="str">
        <f>+VLOOKUP(Sites_per_tag[[#This Row],[Activity_tag]],Parameter!$A$24:$B$32,2,0)</f>
        <v>SMP</v>
      </c>
      <c r="W1225">
        <v>45.340038999999997</v>
      </c>
      <c r="X1225">
        <v>-25.331306000000001</v>
      </c>
    </row>
    <row r="1226" spans="1:24" x14ac:dyDescent="0.35">
      <c r="A1226" s="3" t="str">
        <f t="shared" si="19"/>
        <v>621050017SMP</v>
      </c>
      <c r="B1226" t="s">
        <v>6211</v>
      </c>
      <c r="C1226">
        <f>+VLOOKUP(Sites_per_tag[[#This Row],[Field_office]],Parameter!$A$3:$B$11,2,0)</f>
        <v>6</v>
      </c>
      <c r="E1226" t="s">
        <v>5646</v>
      </c>
      <c r="F1226" t="s">
        <v>5647</v>
      </c>
      <c r="H1226" t="str">
        <f ca="1">PROPER(Sites_per_tag[[#This Row],[Adm2Name]])</f>
        <v>Tsihombe</v>
      </c>
      <c r="I1226" t="s">
        <v>5731</v>
      </c>
      <c r="K1226" t="s">
        <v>5610</v>
      </c>
      <c r="L1226" t="s">
        <v>6147</v>
      </c>
      <c r="Q1226" t="s">
        <v>6414</v>
      </c>
      <c r="R1226">
        <v>621050017</v>
      </c>
      <c r="T1226" t="s">
        <v>7</v>
      </c>
      <c r="U1226" s="3" t="str">
        <f>+VLOOKUP(Sites_per_tag[[#This Row],[Activity_tag]],Parameter!$A$24:$B$32,2,0)</f>
        <v>SMP</v>
      </c>
      <c r="W1226">
        <v>45.506746999999997</v>
      </c>
      <c r="X1226">
        <v>-25.375381000000001</v>
      </c>
    </row>
    <row r="1227" spans="1:24" x14ac:dyDescent="0.35">
      <c r="A1227" s="3" t="str">
        <f t="shared" si="19"/>
        <v>621050018SMP</v>
      </c>
      <c r="B1227" t="s">
        <v>6211</v>
      </c>
      <c r="C1227">
        <f>+VLOOKUP(Sites_per_tag[[#This Row],[Field_office]],Parameter!$A$3:$B$11,2,0)</f>
        <v>6</v>
      </c>
      <c r="E1227" t="s">
        <v>5646</v>
      </c>
      <c r="F1227" t="s">
        <v>5647</v>
      </c>
      <c r="H1227" t="str">
        <f ca="1">PROPER(Sites_per_tag[[#This Row],[Adm2Name]])</f>
        <v>Tsihombe</v>
      </c>
      <c r="I1227" t="s">
        <v>5731</v>
      </c>
      <c r="K1227" t="s">
        <v>5610</v>
      </c>
      <c r="L1227" t="s">
        <v>6147</v>
      </c>
      <c r="Q1227" t="s">
        <v>1468</v>
      </c>
      <c r="R1227">
        <v>621050018</v>
      </c>
      <c r="T1227" t="s">
        <v>7</v>
      </c>
      <c r="U1227" s="3" t="str">
        <f>+VLOOKUP(Sites_per_tag[[#This Row],[Activity_tag]],Parameter!$A$24:$B$32,2,0)</f>
        <v>SMP</v>
      </c>
      <c r="W1227">
        <v>45.544077999999999</v>
      </c>
      <c r="X1227">
        <v>-25.364754999999999</v>
      </c>
    </row>
    <row r="1228" spans="1:24" x14ac:dyDescent="0.35">
      <c r="A1228" s="3" t="str">
        <f t="shared" si="19"/>
        <v>621050021SMP</v>
      </c>
      <c r="B1228" t="s">
        <v>6211</v>
      </c>
      <c r="C1228">
        <f>+VLOOKUP(Sites_per_tag[[#This Row],[Field_office]],Parameter!$A$3:$B$11,2,0)</f>
        <v>6</v>
      </c>
      <c r="E1228" t="s">
        <v>5646</v>
      </c>
      <c r="F1228" t="s">
        <v>5647</v>
      </c>
      <c r="H1228" t="str">
        <f ca="1">PROPER(Sites_per_tag[[#This Row],[Adm2Name]])</f>
        <v>Tsihombe</v>
      </c>
      <c r="I1228" t="s">
        <v>5731</v>
      </c>
      <c r="K1228" t="s">
        <v>5610</v>
      </c>
      <c r="L1228" t="s">
        <v>6147</v>
      </c>
      <c r="Q1228" t="s">
        <v>1703</v>
      </c>
      <c r="R1228">
        <v>621050021</v>
      </c>
      <c r="T1228" t="s">
        <v>7</v>
      </c>
      <c r="U1228" s="3" t="str">
        <f>+VLOOKUP(Sites_per_tag[[#This Row],[Activity_tag]],Parameter!$A$24:$B$32,2,0)</f>
        <v>SMP</v>
      </c>
      <c r="W1228">
        <v>45.420417999999998</v>
      </c>
      <c r="X1228">
        <v>-25.315024999999999</v>
      </c>
    </row>
    <row r="1229" spans="1:24" x14ac:dyDescent="0.35">
      <c r="A1229" s="3" t="str">
        <f t="shared" si="19"/>
        <v>621050023SMP</v>
      </c>
      <c r="B1229" t="s">
        <v>6211</v>
      </c>
      <c r="C1229">
        <f>+VLOOKUP(Sites_per_tag[[#This Row],[Field_office]],Parameter!$A$3:$B$11,2,0)</f>
        <v>6</v>
      </c>
      <c r="E1229" t="s">
        <v>5646</v>
      </c>
      <c r="F1229" t="s">
        <v>5647</v>
      </c>
      <c r="H1229" t="str">
        <f ca="1">PROPER(Sites_per_tag[[#This Row],[Adm2Name]])</f>
        <v>Tsihombe</v>
      </c>
      <c r="I1229" t="s">
        <v>5731</v>
      </c>
      <c r="K1229" t="s">
        <v>5610</v>
      </c>
      <c r="L1229" t="s">
        <v>6147</v>
      </c>
      <c r="Q1229" t="s">
        <v>1897</v>
      </c>
      <c r="R1229">
        <v>621050023</v>
      </c>
      <c r="T1229" t="s">
        <v>7</v>
      </c>
      <c r="U1229" s="3" t="str">
        <f>+VLOOKUP(Sites_per_tag[[#This Row],[Activity_tag]],Parameter!$A$24:$B$32,2,0)</f>
        <v>SMP</v>
      </c>
      <c r="W1229">
        <v>45.467301999999997</v>
      </c>
      <c r="X1229">
        <v>-25.246929999999999</v>
      </c>
    </row>
    <row r="1230" spans="1:24" x14ac:dyDescent="0.35">
      <c r="A1230" s="3" t="str">
        <f t="shared" si="19"/>
        <v>621050024SMP</v>
      </c>
      <c r="B1230" t="s">
        <v>6211</v>
      </c>
      <c r="C1230">
        <f>+VLOOKUP(Sites_per_tag[[#This Row],[Field_office]],Parameter!$A$3:$B$11,2,0)</f>
        <v>6</v>
      </c>
      <c r="E1230" t="s">
        <v>5646</v>
      </c>
      <c r="F1230" t="s">
        <v>5647</v>
      </c>
      <c r="H1230" t="str">
        <f ca="1">PROPER(Sites_per_tag[[#This Row],[Adm2Name]])</f>
        <v>Tsihombe</v>
      </c>
      <c r="I1230" t="s">
        <v>5731</v>
      </c>
      <c r="K1230" t="s">
        <v>5610</v>
      </c>
      <c r="L1230" t="s">
        <v>6147</v>
      </c>
      <c r="Q1230" t="s">
        <v>2003</v>
      </c>
      <c r="R1230">
        <v>621050024</v>
      </c>
      <c r="T1230" t="s">
        <v>7</v>
      </c>
      <c r="U1230" s="3" t="str">
        <f>+VLOOKUP(Sites_per_tag[[#This Row],[Activity_tag]],Parameter!$A$24:$B$32,2,0)</f>
        <v>SMP</v>
      </c>
      <c r="W1230">
        <v>45.419702000000001</v>
      </c>
      <c r="X1230">
        <v>-25.269176000000002</v>
      </c>
    </row>
    <row r="1231" spans="1:24" x14ac:dyDescent="0.35">
      <c r="A1231" s="3" t="str">
        <f t="shared" si="19"/>
        <v>621050025SMP</v>
      </c>
      <c r="B1231" t="s">
        <v>6211</v>
      </c>
      <c r="C1231">
        <f>+VLOOKUP(Sites_per_tag[[#This Row],[Field_office]],Parameter!$A$3:$B$11,2,0)</f>
        <v>6</v>
      </c>
      <c r="E1231" t="s">
        <v>5646</v>
      </c>
      <c r="F1231" t="s">
        <v>5647</v>
      </c>
      <c r="H1231" t="str">
        <f ca="1">PROPER(Sites_per_tag[[#This Row],[Adm2Name]])</f>
        <v>Tsihombe</v>
      </c>
      <c r="I1231" t="s">
        <v>5731</v>
      </c>
      <c r="K1231" t="s">
        <v>5610</v>
      </c>
      <c r="L1231" t="s">
        <v>6147</v>
      </c>
      <c r="Q1231" t="s">
        <v>2164</v>
      </c>
      <c r="R1231">
        <v>621050025</v>
      </c>
      <c r="T1231" t="s">
        <v>7</v>
      </c>
      <c r="U1231" s="3" t="str">
        <f>+VLOOKUP(Sites_per_tag[[#This Row],[Activity_tag]],Parameter!$A$24:$B$32,2,0)</f>
        <v>SMP</v>
      </c>
      <c r="W1231">
        <v>45.545102999999997</v>
      </c>
      <c r="X1231">
        <v>-25.272908999999999</v>
      </c>
    </row>
    <row r="1232" spans="1:24" x14ac:dyDescent="0.35">
      <c r="A1232" s="3" t="str">
        <f t="shared" si="19"/>
        <v>621050027SMP</v>
      </c>
      <c r="B1232" t="s">
        <v>6210</v>
      </c>
      <c r="C1232">
        <f>+VLOOKUP(Sites_per_tag[[#This Row],[Field_office]],Parameter!$A$3:$B$11,2,0)</f>
        <v>10</v>
      </c>
      <c r="E1232" t="s">
        <v>5650</v>
      </c>
      <c r="F1232" t="s">
        <v>5654</v>
      </c>
      <c r="H1232" t="str">
        <f ca="1">PROPER(Sites_per_tag[[#This Row],[Adm2Name]])</f>
        <v>Betioky Atsimo</v>
      </c>
      <c r="I1232" t="s">
        <v>5688</v>
      </c>
      <c r="K1232" t="s">
        <v>1367</v>
      </c>
      <c r="L1232" t="s">
        <v>5843</v>
      </c>
      <c r="Q1232" t="s">
        <v>2402</v>
      </c>
      <c r="R1232">
        <v>621050027</v>
      </c>
      <c r="T1232" t="s">
        <v>7</v>
      </c>
      <c r="U1232" s="3" t="str">
        <f>+VLOOKUP(Sites_per_tag[[#This Row],[Activity_tag]],Parameter!$A$24:$B$32,2,0)</f>
        <v>SMP</v>
      </c>
      <c r="W1232">
        <v>44.732135999999997</v>
      </c>
      <c r="X1232">
        <v>-23.359694999999999</v>
      </c>
    </row>
    <row r="1233" spans="1:24" x14ac:dyDescent="0.35">
      <c r="A1233" s="3" t="str">
        <f t="shared" si="19"/>
        <v>621050028SMP</v>
      </c>
      <c r="B1233" t="s">
        <v>6211</v>
      </c>
      <c r="C1233">
        <f>+VLOOKUP(Sites_per_tag[[#This Row],[Field_office]],Parameter!$A$3:$B$11,2,0)</f>
        <v>6</v>
      </c>
      <c r="E1233" t="s">
        <v>5646</v>
      </c>
      <c r="F1233" t="s">
        <v>5647</v>
      </c>
      <c r="H1233" t="str">
        <f ca="1">PROPER(Sites_per_tag[[#This Row],[Adm2Name]])</f>
        <v>Tsihombe</v>
      </c>
      <c r="I1233" t="s">
        <v>5731</v>
      </c>
      <c r="K1233" t="s">
        <v>5610</v>
      </c>
      <c r="L1233" t="s">
        <v>6147</v>
      </c>
      <c r="Q1233" t="s">
        <v>3012</v>
      </c>
      <c r="R1233">
        <v>621050028</v>
      </c>
      <c r="T1233" t="s">
        <v>7</v>
      </c>
      <c r="U1233" s="3" t="str">
        <f>+VLOOKUP(Sites_per_tag[[#This Row],[Activity_tag]],Parameter!$A$24:$B$32,2,0)</f>
        <v>SMP</v>
      </c>
      <c r="W1233">
        <v>45.587705999999997</v>
      </c>
      <c r="X1233">
        <v>-25.381091999999999</v>
      </c>
    </row>
    <row r="1234" spans="1:24" x14ac:dyDescent="0.35">
      <c r="A1234" s="3" t="str">
        <f t="shared" si="19"/>
        <v>621050029SMP</v>
      </c>
      <c r="B1234" t="s">
        <v>6211</v>
      </c>
      <c r="C1234">
        <f>+VLOOKUP(Sites_per_tag[[#This Row],[Field_office]],Parameter!$A$3:$B$11,2,0)</f>
        <v>6</v>
      </c>
      <c r="E1234" t="s">
        <v>5646</v>
      </c>
      <c r="F1234" t="s">
        <v>5647</v>
      </c>
      <c r="H1234" t="str">
        <f ca="1">PROPER(Sites_per_tag[[#This Row],[Adm2Name]])</f>
        <v>Tsihombe</v>
      </c>
      <c r="I1234" t="s">
        <v>5731</v>
      </c>
      <c r="K1234" t="s">
        <v>5610</v>
      </c>
      <c r="L1234" t="s">
        <v>6147</v>
      </c>
      <c r="Q1234" t="s">
        <v>6415</v>
      </c>
      <c r="R1234">
        <v>621050029</v>
      </c>
      <c r="T1234" t="s">
        <v>7</v>
      </c>
      <c r="U1234" s="3" t="str">
        <f>+VLOOKUP(Sites_per_tag[[#This Row],[Activity_tag]],Parameter!$A$24:$B$32,2,0)</f>
        <v>SMP</v>
      </c>
      <c r="W1234">
        <v>45.591583999999997</v>
      </c>
      <c r="X1234">
        <v>-25.344812000000001</v>
      </c>
    </row>
    <row r="1235" spans="1:24" x14ac:dyDescent="0.35">
      <c r="A1235" s="3" t="str">
        <f t="shared" si="19"/>
        <v>621050030SMP</v>
      </c>
      <c r="B1235" t="s">
        <v>6211</v>
      </c>
      <c r="C1235">
        <f>+VLOOKUP(Sites_per_tag[[#This Row],[Field_office]],Parameter!$A$3:$B$11,2,0)</f>
        <v>6</v>
      </c>
      <c r="E1235" t="s">
        <v>5646</v>
      </c>
      <c r="F1235" t="s">
        <v>5647</v>
      </c>
      <c r="H1235" t="str">
        <f ca="1">PROPER(Sites_per_tag[[#This Row],[Adm2Name]])</f>
        <v>Tsihombe</v>
      </c>
      <c r="I1235" t="s">
        <v>5731</v>
      </c>
      <c r="K1235" t="s">
        <v>5610</v>
      </c>
      <c r="L1235" t="s">
        <v>6147</v>
      </c>
      <c r="Q1235" t="s">
        <v>3081</v>
      </c>
      <c r="R1235">
        <v>621050030</v>
      </c>
      <c r="T1235" t="s">
        <v>7</v>
      </c>
      <c r="U1235" s="3" t="str">
        <f>+VLOOKUP(Sites_per_tag[[#This Row],[Activity_tag]],Parameter!$A$24:$B$32,2,0)</f>
        <v>SMP</v>
      </c>
      <c r="W1235">
        <v>45.557875000000003</v>
      </c>
      <c r="X1235">
        <v>-25.325355999999999</v>
      </c>
    </row>
    <row r="1236" spans="1:24" x14ac:dyDescent="0.35">
      <c r="A1236" s="3" t="str">
        <f t="shared" si="19"/>
        <v>621050031SMP</v>
      </c>
      <c r="B1236" t="s">
        <v>6210</v>
      </c>
      <c r="C1236">
        <f>+VLOOKUP(Sites_per_tag[[#This Row],[Field_office]],Parameter!$A$3:$B$11,2,0)</f>
        <v>10</v>
      </c>
      <c r="E1236" t="s">
        <v>5650</v>
      </c>
      <c r="F1236" t="s">
        <v>5654</v>
      </c>
      <c r="H1236" t="str">
        <f ca="1">PROPER(Sites_per_tag[[#This Row],[Adm2Name]])</f>
        <v>Betioky Atsimo</v>
      </c>
      <c r="I1236" t="s">
        <v>5688</v>
      </c>
      <c r="K1236" t="s">
        <v>1367</v>
      </c>
      <c r="L1236" t="s">
        <v>5843</v>
      </c>
      <c r="Q1236" t="s">
        <v>3269</v>
      </c>
      <c r="R1236">
        <v>621050031</v>
      </c>
      <c r="T1236" t="s">
        <v>7</v>
      </c>
      <c r="U1236" s="3" t="str">
        <f>+VLOOKUP(Sites_per_tag[[#This Row],[Activity_tag]],Parameter!$A$24:$B$32,2,0)</f>
        <v>SMP</v>
      </c>
      <c r="W1236">
        <v>44.624021999999997</v>
      </c>
      <c r="X1236">
        <v>-23.289529999999999</v>
      </c>
    </row>
    <row r="1237" spans="1:24" x14ac:dyDescent="0.35">
      <c r="A1237" s="3" t="str">
        <f t="shared" si="19"/>
        <v>621050032SMP</v>
      </c>
      <c r="B1237" t="s">
        <v>6211</v>
      </c>
      <c r="C1237">
        <f>+VLOOKUP(Sites_per_tag[[#This Row],[Field_office]],Parameter!$A$3:$B$11,2,0)</f>
        <v>6</v>
      </c>
      <c r="E1237" t="s">
        <v>5646</v>
      </c>
      <c r="F1237" t="s">
        <v>5647</v>
      </c>
      <c r="H1237" t="str">
        <f ca="1">PROPER(Sites_per_tag[[#This Row],[Adm2Name]])</f>
        <v>Tsihombe</v>
      </c>
      <c r="I1237" t="s">
        <v>5731</v>
      </c>
      <c r="K1237" t="s">
        <v>5610</v>
      </c>
      <c r="L1237" t="s">
        <v>6147</v>
      </c>
      <c r="Q1237" t="s">
        <v>6416</v>
      </c>
      <c r="R1237">
        <v>621050032</v>
      </c>
      <c r="T1237" t="s">
        <v>7</v>
      </c>
      <c r="U1237" s="3" t="str">
        <f>+VLOOKUP(Sites_per_tag[[#This Row],[Activity_tag]],Parameter!$A$24:$B$32,2,0)</f>
        <v>SMP</v>
      </c>
      <c r="W1237">
        <v>45.566926000000002</v>
      </c>
      <c r="X1237">
        <v>-25.308859999999999</v>
      </c>
    </row>
    <row r="1238" spans="1:24" x14ac:dyDescent="0.35">
      <c r="A1238" s="3" t="str">
        <f t="shared" si="19"/>
        <v>621050034SMP</v>
      </c>
      <c r="B1238" t="s">
        <v>6211</v>
      </c>
      <c r="C1238">
        <f>+VLOOKUP(Sites_per_tag[[#This Row],[Field_office]],Parameter!$A$3:$B$11,2,0)</f>
        <v>6</v>
      </c>
      <c r="E1238" t="s">
        <v>5646</v>
      </c>
      <c r="F1238" t="s">
        <v>5647</v>
      </c>
      <c r="H1238" t="str">
        <f ca="1">PROPER(Sites_per_tag[[#This Row],[Adm2Name]])</f>
        <v>Tsihombe</v>
      </c>
      <c r="I1238" t="s">
        <v>5731</v>
      </c>
      <c r="K1238" t="s">
        <v>5610</v>
      </c>
      <c r="L1238" t="s">
        <v>6147</v>
      </c>
      <c r="Q1238" t="s">
        <v>3707</v>
      </c>
      <c r="R1238">
        <v>621050034</v>
      </c>
      <c r="T1238" t="s">
        <v>7</v>
      </c>
      <c r="U1238" s="3" t="str">
        <f>+VLOOKUP(Sites_per_tag[[#This Row],[Activity_tag]],Parameter!$A$24:$B$32,2,0)</f>
        <v>SMP</v>
      </c>
      <c r="W1238">
        <v>45.490841000000003</v>
      </c>
      <c r="X1238">
        <v>-25.340475000000001</v>
      </c>
    </row>
    <row r="1239" spans="1:24" x14ac:dyDescent="0.35">
      <c r="A1239" s="3" t="str">
        <f t="shared" si="19"/>
        <v>621050036SMP</v>
      </c>
      <c r="B1239" t="s">
        <v>6211</v>
      </c>
      <c r="C1239">
        <f>+VLOOKUP(Sites_per_tag[[#This Row],[Field_office]],Parameter!$A$3:$B$11,2,0)</f>
        <v>6</v>
      </c>
      <c r="E1239" t="s">
        <v>5646</v>
      </c>
      <c r="F1239" t="s">
        <v>5647</v>
      </c>
      <c r="H1239" t="str">
        <f ca="1">PROPER(Sites_per_tag[[#This Row],[Adm2Name]])</f>
        <v>Tsihombe</v>
      </c>
      <c r="I1239" t="s">
        <v>5731</v>
      </c>
      <c r="K1239" t="s">
        <v>5610</v>
      </c>
      <c r="L1239" t="s">
        <v>6147</v>
      </c>
      <c r="Q1239" t="s">
        <v>3766</v>
      </c>
      <c r="R1239">
        <v>621050036</v>
      </c>
      <c r="T1239" t="s">
        <v>7</v>
      </c>
      <c r="U1239" s="3" t="str">
        <f>+VLOOKUP(Sites_per_tag[[#This Row],[Activity_tag]],Parameter!$A$24:$B$32,2,0)</f>
        <v>SMP</v>
      </c>
      <c r="W1239">
        <v>45.487234000000001</v>
      </c>
      <c r="X1239">
        <v>-25.314561000000001</v>
      </c>
    </row>
    <row r="1240" spans="1:24" x14ac:dyDescent="0.35">
      <c r="A1240" s="3" t="str">
        <f t="shared" si="19"/>
        <v>621050037SMP</v>
      </c>
      <c r="B1240" t="s">
        <v>6211</v>
      </c>
      <c r="C1240">
        <f>+VLOOKUP(Sites_per_tag[[#This Row],[Field_office]],Parameter!$A$3:$B$11,2,0)</f>
        <v>6</v>
      </c>
      <c r="E1240" t="s">
        <v>5646</v>
      </c>
      <c r="F1240" t="s">
        <v>5647</v>
      </c>
      <c r="H1240" t="str">
        <f ca="1">PROPER(Sites_per_tag[[#This Row],[Adm2Name]])</f>
        <v>Tsihombe</v>
      </c>
      <c r="I1240" t="s">
        <v>5731</v>
      </c>
      <c r="K1240" t="s">
        <v>5610</v>
      </c>
      <c r="L1240" t="s">
        <v>6147</v>
      </c>
      <c r="Q1240" t="s">
        <v>3765</v>
      </c>
      <c r="R1240">
        <v>621050037</v>
      </c>
      <c r="T1240" t="s">
        <v>7</v>
      </c>
      <c r="U1240" s="3" t="str">
        <f>+VLOOKUP(Sites_per_tag[[#This Row],[Activity_tag]],Parameter!$A$24:$B$32,2,0)</f>
        <v>SMP</v>
      </c>
      <c r="W1240">
        <v>45.487032999999997</v>
      </c>
      <c r="X1240">
        <v>-25.316645999999999</v>
      </c>
    </row>
    <row r="1241" spans="1:24" x14ac:dyDescent="0.35">
      <c r="A1241" s="3" t="str">
        <f t="shared" si="19"/>
        <v>621050046SMP</v>
      </c>
      <c r="B1241" t="s">
        <v>6210</v>
      </c>
      <c r="C1241">
        <f>+VLOOKUP(Sites_per_tag[[#This Row],[Field_office]],Parameter!$A$3:$B$11,2,0)</f>
        <v>10</v>
      </c>
      <c r="E1241" t="s">
        <v>5650</v>
      </c>
      <c r="F1241" t="s">
        <v>5654</v>
      </c>
      <c r="H1241" t="str">
        <f ca="1">PROPER(Sites_per_tag[[#This Row],[Adm2Name]])</f>
        <v>Betioky Atsimo</v>
      </c>
      <c r="I1241" t="s">
        <v>5688</v>
      </c>
      <c r="K1241" t="s">
        <v>1367</v>
      </c>
      <c r="L1241" t="s">
        <v>5843</v>
      </c>
      <c r="Q1241" t="s">
        <v>1371</v>
      </c>
      <c r="R1241">
        <v>621050046</v>
      </c>
      <c r="T1241" t="s">
        <v>7</v>
      </c>
      <c r="U1241" s="3" t="str">
        <f>+VLOOKUP(Sites_per_tag[[#This Row],[Activity_tag]],Parameter!$A$24:$B$32,2,0)</f>
        <v>SMP</v>
      </c>
      <c r="W1241">
        <v>44.721350999999999</v>
      </c>
      <c r="X1241">
        <v>-23.298698000000002</v>
      </c>
    </row>
    <row r="1242" spans="1:24" x14ac:dyDescent="0.35">
      <c r="A1242" s="3" t="str">
        <f t="shared" si="19"/>
        <v>621050047SMP</v>
      </c>
      <c r="B1242" t="s">
        <v>6211</v>
      </c>
      <c r="C1242">
        <f>+VLOOKUP(Sites_per_tag[[#This Row],[Field_office]],Parameter!$A$3:$B$11,2,0)</f>
        <v>6</v>
      </c>
      <c r="E1242" t="s">
        <v>5646</v>
      </c>
      <c r="F1242" t="s">
        <v>5647</v>
      </c>
      <c r="H1242" t="str">
        <f ca="1">PROPER(Sites_per_tag[[#This Row],[Adm2Name]])</f>
        <v>Tsihombe</v>
      </c>
      <c r="I1242" t="s">
        <v>5731</v>
      </c>
      <c r="K1242" t="s">
        <v>5610</v>
      </c>
      <c r="L1242" t="s">
        <v>6147</v>
      </c>
      <c r="Q1242" t="s">
        <v>1118</v>
      </c>
      <c r="R1242">
        <v>621050047</v>
      </c>
      <c r="T1242" t="s">
        <v>7</v>
      </c>
      <c r="U1242" s="3" t="str">
        <f>+VLOOKUP(Sites_per_tag[[#This Row],[Activity_tag]],Parameter!$A$24:$B$32,2,0)</f>
        <v>SMP</v>
      </c>
      <c r="W1242">
        <v>45.601286000000002</v>
      </c>
      <c r="X1242">
        <v>-25.287517000000001</v>
      </c>
    </row>
    <row r="1243" spans="1:24" x14ac:dyDescent="0.35">
      <c r="A1243" s="3" t="str">
        <f t="shared" si="19"/>
        <v>621050051SMP</v>
      </c>
      <c r="B1243" t="s">
        <v>6211</v>
      </c>
      <c r="C1243">
        <f>+VLOOKUP(Sites_per_tag[[#This Row],[Field_office]],Parameter!$A$3:$B$11,2,0)</f>
        <v>6</v>
      </c>
      <c r="E1243" t="s">
        <v>5646</v>
      </c>
      <c r="F1243" t="s">
        <v>5647</v>
      </c>
      <c r="H1243" t="str">
        <f ca="1">PROPER(Sites_per_tag[[#This Row],[Adm2Name]])</f>
        <v>Tsihombe</v>
      </c>
      <c r="I1243" t="s">
        <v>5731</v>
      </c>
      <c r="K1243" t="s">
        <v>5610</v>
      </c>
      <c r="L1243" t="s">
        <v>6147</v>
      </c>
      <c r="Q1243" t="s">
        <v>1632</v>
      </c>
      <c r="R1243">
        <v>621050051</v>
      </c>
      <c r="T1243" t="s">
        <v>7</v>
      </c>
      <c r="U1243" s="3" t="str">
        <f>+VLOOKUP(Sites_per_tag[[#This Row],[Activity_tag]],Parameter!$A$24:$B$32,2,0)</f>
        <v>SMP</v>
      </c>
      <c r="W1243">
        <v>45.449089999999998</v>
      </c>
      <c r="X1243">
        <v>-25.321663999999998</v>
      </c>
    </row>
    <row r="1244" spans="1:24" x14ac:dyDescent="0.35">
      <c r="A1244" s="3" t="str">
        <f t="shared" si="19"/>
        <v>621060005SMP</v>
      </c>
      <c r="B1244" t="s">
        <v>6211</v>
      </c>
      <c r="C1244">
        <f>+VLOOKUP(Sites_per_tag[[#This Row],[Field_office]],Parameter!$A$3:$B$11,2,0)</f>
        <v>6</v>
      </c>
      <c r="E1244" t="s">
        <v>5646</v>
      </c>
      <c r="F1244" t="s">
        <v>5647</v>
      </c>
      <c r="H1244" t="str">
        <f ca="1">PROPER(Sites_per_tag[[#This Row],[Adm2Name]])</f>
        <v>Tsihombe</v>
      </c>
      <c r="I1244" t="s">
        <v>5731</v>
      </c>
      <c r="K1244" t="s">
        <v>5815</v>
      </c>
      <c r="L1244" t="s">
        <v>5816</v>
      </c>
      <c r="Q1244" t="s">
        <v>760</v>
      </c>
      <c r="R1244">
        <v>621060005</v>
      </c>
      <c r="T1244" t="s">
        <v>7</v>
      </c>
      <c r="U1244" s="3" t="str">
        <f>+VLOOKUP(Sites_per_tag[[#This Row],[Activity_tag]],Parameter!$A$24:$B$32,2,0)</f>
        <v>SMP</v>
      </c>
      <c r="W1244">
        <v>45.675839000000003</v>
      </c>
      <c r="X1244">
        <v>-25.439715</v>
      </c>
    </row>
    <row r="1245" spans="1:24" x14ac:dyDescent="0.35">
      <c r="A1245" s="3" t="str">
        <f t="shared" si="19"/>
        <v>621060006SMP</v>
      </c>
      <c r="B1245" t="s">
        <v>6211</v>
      </c>
      <c r="C1245">
        <f>+VLOOKUP(Sites_per_tag[[#This Row],[Field_office]],Parameter!$A$3:$B$11,2,0)</f>
        <v>6</v>
      </c>
      <c r="E1245" t="s">
        <v>5646</v>
      </c>
      <c r="F1245" t="s">
        <v>5647</v>
      </c>
      <c r="H1245" t="str">
        <f ca="1">PROPER(Sites_per_tag[[#This Row],[Adm2Name]])</f>
        <v>Tsihombe</v>
      </c>
      <c r="I1245" t="s">
        <v>5731</v>
      </c>
      <c r="K1245" t="s">
        <v>5815</v>
      </c>
      <c r="L1245" t="s">
        <v>5816</v>
      </c>
      <c r="Q1245" t="s">
        <v>761</v>
      </c>
      <c r="R1245">
        <v>621060006</v>
      </c>
      <c r="T1245" t="s">
        <v>7</v>
      </c>
      <c r="U1245" s="3" t="str">
        <f>+VLOOKUP(Sites_per_tag[[#This Row],[Activity_tag]],Parameter!$A$24:$B$32,2,0)</f>
        <v>SMP</v>
      </c>
      <c r="W1245">
        <v>45.605519000000001</v>
      </c>
      <c r="X1245">
        <v>-25.498007999999999</v>
      </c>
    </row>
    <row r="1246" spans="1:24" x14ac:dyDescent="0.35">
      <c r="A1246" s="3" t="str">
        <f t="shared" si="19"/>
        <v>621060007SMP</v>
      </c>
      <c r="B1246" t="s">
        <v>6211</v>
      </c>
      <c r="C1246">
        <f>+VLOOKUP(Sites_per_tag[[#This Row],[Field_office]],Parameter!$A$3:$B$11,2,0)</f>
        <v>6</v>
      </c>
      <c r="E1246" t="s">
        <v>5646</v>
      </c>
      <c r="F1246" t="s">
        <v>5647</v>
      </c>
      <c r="H1246" t="str">
        <f ca="1">PROPER(Sites_per_tag[[#This Row],[Adm2Name]])</f>
        <v>Tsihombe</v>
      </c>
      <c r="I1246" t="s">
        <v>5731</v>
      </c>
      <c r="K1246" t="s">
        <v>5815</v>
      </c>
      <c r="L1246" t="s">
        <v>5816</v>
      </c>
      <c r="Q1246" t="s">
        <v>762</v>
      </c>
      <c r="R1246">
        <v>621060007</v>
      </c>
      <c r="T1246" t="s">
        <v>7</v>
      </c>
      <c r="U1246" s="3" t="str">
        <f>+VLOOKUP(Sites_per_tag[[#This Row],[Activity_tag]],Parameter!$A$24:$B$32,2,0)</f>
        <v>SMP</v>
      </c>
      <c r="W1246">
        <v>45.580016999999998</v>
      </c>
      <c r="X1246">
        <v>-25.518854999999999</v>
      </c>
    </row>
    <row r="1247" spans="1:24" x14ac:dyDescent="0.35">
      <c r="A1247" s="3" t="str">
        <f t="shared" si="19"/>
        <v>621060008SMP</v>
      </c>
      <c r="B1247" t="s">
        <v>6211</v>
      </c>
      <c r="C1247">
        <f>+VLOOKUP(Sites_per_tag[[#This Row],[Field_office]],Parameter!$A$3:$B$11,2,0)</f>
        <v>6</v>
      </c>
      <c r="E1247" t="s">
        <v>5646</v>
      </c>
      <c r="F1247" t="s">
        <v>5647</v>
      </c>
      <c r="H1247" t="str">
        <f ca="1">PROPER(Sites_per_tag[[#This Row],[Adm2Name]])</f>
        <v>Tsihombe</v>
      </c>
      <c r="I1247" t="s">
        <v>5731</v>
      </c>
      <c r="K1247" t="s">
        <v>5815</v>
      </c>
      <c r="L1247" t="s">
        <v>5816</v>
      </c>
      <c r="Q1247" t="s">
        <v>1046</v>
      </c>
      <c r="R1247">
        <v>621060008</v>
      </c>
      <c r="T1247" t="s">
        <v>7</v>
      </c>
      <c r="U1247" s="3" t="str">
        <f>+VLOOKUP(Sites_per_tag[[#This Row],[Activity_tag]],Parameter!$A$24:$B$32,2,0)</f>
        <v>SMP</v>
      </c>
      <c r="W1247">
        <v>45.635939999999998</v>
      </c>
      <c r="X1247">
        <v>-25.488043999999999</v>
      </c>
    </row>
    <row r="1248" spans="1:24" x14ac:dyDescent="0.35">
      <c r="A1248" s="3" t="str">
        <f t="shared" si="19"/>
        <v>621060009SMP</v>
      </c>
      <c r="B1248" t="s">
        <v>6211</v>
      </c>
      <c r="C1248">
        <f>+VLOOKUP(Sites_per_tag[[#This Row],[Field_office]],Parameter!$A$3:$B$11,2,0)</f>
        <v>6</v>
      </c>
      <c r="E1248" t="s">
        <v>5646</v>
      </c>
      <c r="F1248" t="s">
        <v>5647</v>
      </c>
      <c r="H1248" t="str">
        <f ca="1">PROPER(Sites_per_tag[[#This Row],[Adm2Name]])</f>
        <v>Tsihombe</v>
      </c>
      <c r="I1248" t="s">
        <v>5731</v>
      </c>
      <c r="K1248" t="s">
        <v>5815</v>
      </c>
      <c r="L1248" t="s">
        <v>5816</v>
      </c>
      <c r="Q1248" t="s">
        <v>1152</v>
      </c>
      <c r="R1248">
        <v>621060009</v>
      </c>
      <c r="T1248" t="s">
        <v>7</v>
      </c>
      <c r="U1248" s="3" t="str">
        <f>+VLOOKUP(Sites_per_tag[[#This Row],[Activity_tag]],Parameter!$A$24:$B$32,2,0)</f>
        <v>SMP</v>
      </c>
      <c r="W1248">
        <v>45.560034000000002</v>
      </c>
      <c r="X1248">
        <v>-25.487179999999999</v>
      </c>
    </row>
    <row r="1249" spans="1:24" x14ac:dyDescent="0.35">
      <c r="A1249" s="3" t="str">
        <f t="shared" si="19"/>
        <v>621060010SMP</v>
      </c>
      <c r="B1249" t="s">
        <v>6211</v>
      </c>
      <c r="C1249">
        <f>+VLOOKUP(Sites_per_tag[[#This Row],[Field_office]],Parameter!$A$3:$B$11,2,0)</f>
        <v>6</v>
      </c>
      <c r="E1249" t="s">
        <v>5646</v>
      </c>
      <c r="F1249" t="s">
        <v>5647</v>
      </c>
      <c r="H1249" t="str">
        <f ca="1">PROPER(Sites_per_tag[[#This Row],[Adm2Name]])</f>
        <v>Tsihombe</v>
      </c>
      <c r="I1249" t="s">
        <v>5731</v>
      </c>
      <c r="K1249" t="s">
        <v>5815</v>
      </c>
      <c r="L1249" t="s">
        <v>5816</v>
      </c>
      <c r="Q1249" t="s">
        <v>3557</v>
      </c>
      <c r="R1249">
        <v>621060010</v>
      </c>
      <c r="T1249" t="s">
        <v>7</v>
      </c>
      <c r="U1249" s="3" t="str">
        <f>+VLOOKUP(Sites_per_tag[[#This Row],[Activity_tag]],Parameter!$A$24:$B$32,2,0)</f>
        <v>SMP</v>
      </c>
      <c r="W1249">
        <v>45.597901999999998</v>
      </c>
      <c r="X1249">
        <v>-25.520147000000001</v>
      </c>
    </row>
    <row r="1250" spans="1:24" x14ac:dyDescent="0.35">
      <c r="A1250" s="3" t="str">
        <f t="shared" si="19"/>
        <v>621060011SMP</v>
      </c>
      <c r="B1250" t="s">
        <v>6211</v>
      </c>
      <c r="C1250">
        <f>+VLOOKUP(Sites_per_tag[[#This Row],[Field_office]],Parameter!$A$3:$B$11,2,0)</f>
        <v>6</v>
      </c>
      <c r="E1250" t="s">
        <v>5646</v>
      </c>
      <c r="F1250" t="s">
        <v>5647</v>
      </c>
      <c r="H1250" t="str">
        <f ca="1">PROPER(Sites_per_tag[[#This Row],[Adm2Name]])</f>
        <v>Tsihombe</v>
      </c>
      <c r="I1250" t="s">
        <v>5731</v>
      </c>
      <c r="K1250" t="s">
        <v>5815</v>
      </c>
      <c r="L1250" t="s">
        <v>5816</v>
      </c>
      <c r="Q1250" t="s">
        <v>1538</v>
      </c>
      <c r="R1250">
        <v>621060011</v>
      </c>
      <c r="T1250" t="s">
        <v>7</v>
      </c>
      <c r="U1250" s="3" t="str">
        <f>+VLOOKUP(Sites_per_tag[[#This Row],[Activity_tag]],Parameter!$A$24:$B$32,2,0)</f>
        <v>SMP</v>
      </c>
      <c r="W1250">
        <v>45.654595999999998</v>
      </c>
      <c r="X1250">
        <v>-25.452514999999998</v>
      </c>
    </row>
    <row r="1251" spans="1:24" x14ac:dyDescent="0.35">
      <c r="A1251" s="3" t="str">
        <f t="shared" si="19"/>
        <v>621060012SMP</v>
      </c>
      <c r="B1251" t="s">
        <v>6211</v>
      </c>
      <c r="C1251">
        <f>+VLOOKUP(Sites_per_tag[[#This Row],[Field_office]],Parameter!$A$3:$B$11,2,0)</f>
        <v>6</v>
      </c>
      <c r="E1251" t="s">
        <v>5646</v>
      </c>
      <c r="F1251" t="s">
        <v>5647</v>
      </c>
      <c r="H1251" t="str">
        <f ca="1">PROPER(Sites_per_tag[[#This Row],[Adm2Name]])</f>
        <v>Tsihombe</v>
      </c>
      <c r="I1251" t="s">
        <v>5731</v>
      </c>
      <c r="K1251" t="s">
        <v>5815</v>
      </c>
      <c r="L1251" t="s">
        <v>5816</v>
      </c>
      <c r="Q1251" t="s">
        <v>3832</v>
      </c>
      <c r="R1251">
        <v>621060012</v>
      </c>
      <c r="T1251" t="s">
        <v>7</v>
      </c>
      <c r="U1251" s="3" t="str">
        <f>+VLOOKUP(Sites_per_tag[[#This Row],[Activity_tag]],Parameter!$A$24:$B$32,2,0)</f>
        <v>SMP</v>
      </c>
      <c r="W1251">
        <v>45.585621000000003</v>
      </c>
      <c r="X1251">
        <v>-25.523285000000001</v>
      </c>
    </row>
    <row r="1252" spans="1:24" x14ac:dyDescent="0.35">
      <c r="A1252" s="3" t="str">
        <f t="shared" si="19"/>
        <v>621070003SMP</v>
      </c>
      <c r="B1252" t="s">
        <v>6211</v>
      </c>
      <c r="C1252">
        <f>+VLOOKUP(Sites_per_tag[[#This Row],[Field_office]],Parameter!$A$3:$B$11,2,0)</f>
        <v>6</v>
      </c>
      <c r="E1252" t="s">
        <v>5646</v>
      </c>
      <c r="F1252" t="s">
        <v>5647</v>
      </c>
      <c r="H1252" t="str">
        <f ca="1">PROPER(Sites_per_tag[[#This Row],[Adm2Name]])</f>
        <v>Tsihombe</v>
      </c>
      <c r="I1252" t="s">
        <v>5731</v>
      </c>
      <c r="K1252" t="s">
        <v>5924</v>
      </c>
      <c r="L1252" t="s">
        <v>5925</v>
      </c>
      <c r="Q1252" t="s">
        <v>6417</v>
      </c>
      <c r="R1252">
        <v>621070003</v>
      </c>
      <c r="T1252" t="s">
        <v>7</v>
      </c>
      <c r="U1252" s="3" t="str">
        <f>+VLOOKUP(Sites_per_tag[[#This Row],[Activity_tag]],Parameter!$A$24:$B$32,2,0)</f>
        <v>SMP</v>
      </c>
      <c r="W1252">
        <v>45.50703</v>
      </c>
      <c r="X1252">
        <v>-25.515028999999998</v>
      </c>
    </row>
    <row r="1253" spans="1:24" x14ac:dyDescent="0.35">
      <c r="A1253" s="3" t="str">
        <f t="shared" si="19"/>
        <v>621070004SMP</v>
      </c>
      <c r="B1253" t="s">
        <v>6211</v>
      </c>
      <c r="C1253">
        <f>+VLOOKUP(Sites_per_tag[[#This Row],[Field_office]],Parameter!$A$3:$B$11,2,0)</f>
        <v>6</v>
      </c>
      <c r="E1253" t="s">
        <v>5646</v>
      </c>
      <c r="F1253" t="s">
        <v>5647</v>
      </c>
      <c r="H1253" t="str">
        <f ca="1">PROPER(Sites_per_tag[[#This Row],[Adm2Name]])</f>
        <v>Tsihombe</v>
      </c>
      <c r="I1253" t="s">
        <v>5731</v>
      </c>
      <c r="K1253" t="s">
        <v>5924</v>
      </c>
      <c r="L1253" t="s">
        <v>5925</v>
      </c>
      <c r="Q1253" t="s">
        <v>472</v>
      </c>
      <c r="R1253">
        <v>621070004</v>
      </c>
      <c r="T1253" t="s">
        <v>7</v>
      </c>
      <c r="U1253" s="3" t="str">
        <f>+VLOOKUP(Sites_per_tag[[#This Row],[Activity_tag]],Parameter!$A$24:$B$32,2,0)</f>
        <v>SMP</v>
      </c>
      <c r="W1253">
        <v>45.397570000000002</v>
      </c>
      <c r="X1253">
        <v>-25.520977999999999</v>
      </c>
    </row>
    <row r="1254" spans="1:24" x14ac:dyDescent="0.35">
      <c r="A1254" s="3" t="str">
        <f t="shared" si="19"/>
        <v>621070006SMP</v>
      </c>
      <c r="B1254" t="s">
        <v>6211</v>
      </c>
      <c r="C1254">
        <f>+VLOOKUP(Sites_per_tag[[#This Row],[Field_office]],Parameter!$A$3:$B$11,2,0)</f>
        <v>6</v>
      </c>
      <c r="E1254" t="s">
        <v>5646</v>
      </c>
      <c r="F1254" t="s">
        <v>5647</v>
      </c>
      <c r="H1254" t="str">
        <f ca="1">PROPER(Sites_per_tag[[#This Row],[Adm2Name]])</f>
        <v>Tsihombe</v>
      </c>
      <c r="I1254" t="s">
        <v>5731</v>
      </c>
      <c r="K1254" t="s">
        <v>5924</v>
      </c>
      <c r="L1254" t="s">
        <v>5925</v>
      </c>
      <c r="Q1254" t="s">
        <v>1057</v>
      </c>
      <c r="R1254">
        <v>621070006</v>
      </c>
      <c r="T1254" t="s">
        <v>7</v>
      </c>
      <c r="U1254" s="3" t="str">
        <f>+VLOOKUP(Sites_per_tag[[#This Row],[Activity_tag]],Parameter!$A$24:$B$32,2,0)</f>
        <v>SMP</v>
      </c>
      <c r="W1254">
        <v>45.412441999999999</v>
      </c>
      <c r="X1254">
        <v>-25.535254999999999</v>
      </c>
    </row>
    <row r="1255" spans="1:24" x14ac:dyDescent="0.35">
      <c r="A1255" s="3" t="str">
        <f t="shared" si="19"/>
        <v>621070007SMP</v>
      </c>
      <c r="B1255" t="s">
        <v>6211</v>
      </c>
      <c r="C1255">
        <f>+VLOOKUP(Sites_per_tag[[#This Row],[Field_office]],Parameter!$A$3:$B$11,2,0)</f>
        <v>6</v>
      </c>
      <c r="E1255" t="s">
        <v>5646</v>
      </c>
      <c r="F1255" t="s">
        <v>5647</v>
      </c>
      <c r="H1255" t="str">
        <f ca="1">PROPER(Sites_per_tag[[#This Row],[Adm2Name]])</f>
        <v>Tsihombe</v>
      </c>
      <c r="I1255" t="s">
        <v>5731</v>
      </c>
      <c r="K1255" t="s">
        <v>5924</v>
      </c>
      <c r="L1255" t="s">
        <v>5925</v>
      </c>
      <c r="Q1255" t="s">
        <v>1451</v>
      </c>
      <c r="R1255">
        <v>621070007</v>
      </c>
      <c r="T1255" t="s">
        <v>7</v>
      </c>
      <c r="U1255" s="3" t="str">
        <f>+VLOOKUP(Sites_per_tag[[#This Row],[Activity_tag]],Parameter!$A$24:$B$32,2,0)</f>
        <v>SMP</v>
      </c>
      <c r="W1255">
        <v>45.517142999999997</v>
      </c>
      <c r="X1255">
        <v>-25.548342999999999</v>
      </c>
    </row>
    <row r="1256" spans="1:24" x14ac:dyDescent="0.35">
      <c r="A1256" s="3" t="str">
        <f t="shared" si="19"/>
        <v>621070009SMP</v>
      </c>
      <c r="B1256" t="s">
        <v>6211</v>
      </c>
      <c r="C1256">
        <f>+VLOOKUP(Sites_per_tag[[#This Row],[Field_office]],Parameter!$A$3:$B$11,2,0)</f>
        <v>6</v>
      </c>
      <c r="E1256" t="s">
        <v>5646</v>
      </c>
      <c r="F1256" t="s">
        <v>5647</v>
      </c>
      <c r="H1256" t="str">
        <f ca="1">PROPER(Sites_per_tag[[#This Row],[Adm2Name]])</f>
        <v>Tsihombe</v>
      </c>
      <c r="I1256" t="s">
        <v>5731</v>
      </c>
      <c r="K1256" t="s">
        <v>5924</v>
      </c>
      <c r="L1256" t="s">
        <v>5925</v>
      </c>
      <c r="Q1256" t="s">
        <v>1531</v>
      </c>
      <c r="R1256">
        <v>621070009</v>
      </c>
      <c r="T1256" t="s">
        <v>7</v>
      </c>
      <c r="U1256" s="3" t="str">
        <f>+VLOOKUP(Sites_per_tag[[#This Row],[Activity_tag]],Parameter!$A$24:$B$32,2,0)</f>
        <v>SMP</v>
      </c>
      <c r="W1256">
        <v>45.485019000000001</v>
      </c>
      <c r="X1256">
        <v>-25.493613</v>
      </c>
    </row>
    <row r="1257" spans="1:24" x14ac:dyDescent="0.35">
      <c r="A1257" s="3" t="str">
        <f t="shared" si="19"/>
        <v>621070011SMP</v>
      </c>
      <c r="B1257" t="s">
        <v>6211</v>
      </c>
      <c r="C1257">
        <f>+VLOOKUP(Sites_per_tag[[#This Row],[Field_office]],Parameter!$A$3:$B$11,2,0)</f>
        <v>6</v>
      </c>
      <c r="E1257" t="s">
        <v>5646</v>
      </c>
      <c r="F1257" t="s">
        <v>5647</v>
      </c>
      <c r="H1257" t="str">
        <f ca="1">PROPER(Sites_per_tag[[#This Row],[Adm2Name]])</f>
        <v>Tsihombe</v>
      </c>
      <c r="I1257" t="s">
        <v>5731</v>
      </c>
      <c r="K1257" t="s">
        <v>5924</v>
      </c>
      <c r="L1257" t="s">
        <v>5925</v>
      </c>
      <c r="Q1257" t="s">
        <v>1961</v>
      </c>
      <c r="R1257">
        <v>621070011</v>
      </c>
      <c r="T1257" t="s">
        <v>7</v>
      </c>
      <c r="U1257" s="3" t="str">
        <f>+VLOOKUP(Sites_per_tag[[#This Row],[Activity_tag]],Parameter!$A$24:$B$32,2,0)</f>
        <v>SMP</v>
      </c>
      <c r="W1257">
        <v>45.440752000000003</v>
      </c>
      <c r="X1257">
        <v>-25.537841</v>
      </c>
    </row>
    <row r="1258" spans="1:24" x14ac:dyDescent="0.35">
      <c r="A1258" s="3" t="str">
        <f t="shared" si="19"/>
        <v>621070013SMP</v>
      </c>
      <c r="B1258" t="s">
        <v>6211</v>
      </c>
      <c r="C1258">
        <f>+VLOOKUP(Sites_per_tag[[#This Row],[Field_office]],Parameter!$A$3:$B$11,2,0)</f>
        <v>6</v>
      </c>
      <c r="E1258" t="s">
        <v>5646</v>
      </c>
      <c r="F1258" t="s">
        <v>5647</v>
      </c>
      <c r="H1258" t="str">
        <f ca="1">PROPER(Sites_per_tag[[#This Row],[Adm2Name]])</f>
        <v>Tsihombe</v>
      </c>
      <c r="I1258" t="s">
        <v>5731</v>
      </c>
      <c r="K1258" t="s">
        <v>5924</v>
      </c>
      <c r="L1258" t="s">
        <v>5925</v>
      </c>
      <c r="Q1258" t="s">
        <v>2456</v>
      </c>
      <c r="R1258">
        <v>621070013</v>
      </c>
      <c r="T1258" t="s">
        <v>7</v>
      </c>
      <c r="U1258" s="3" t="str">
        <f>+VLOOKUP(Sites_per_tag[[#This Row],[Activity_tag]],Parameter!$A$24:$B$32,2,0)</f>
        <v>SMP</v>
      </c>
      <c r="W1258">
        <v>45.527847000000001</v>
      </c>
      <c r="X1258">
        <v>-25.567080000000001</v>
      </c>
    </row>
    <row r="1259" spans="1:24" x14ac:dyDescent="0.35">
      <c r="A1259" s="3" t="str">
        <f t="shared" si="19"/>
        <v>621070014SMP</v>
      </c>
      <c r="B1259" t="s">
        <v>6211</v>
      </c>
      <c r="C1259">
        <f>+VLOOKUP(Sites_per_tag[[#This Row],[Field_office]],Parameter!$A$3:$B$11,2,0)</f>
        <v>6</v>
      </c>
      <c r="E1259" t="s">
        <v>5646</v>
      </c>
      <c r="F1259" t="s">
        <v>5647</v>
      </c>
      <c r="H1259" t="str">
        <f ca="1">PROPER(Sites_per_tag[[#This Row],[Adm2Name]])</f>
        <v>Tsihombe</v>
      </c>
      <c r="I1259" t="s">
        <v>5731</v>
      </c>
      <c r="K1259" t="s">
        <v>5924</v>
      </c>
      <c r="L1259" t="s">
        <v>5925</v>
      </c>
      <c r="Q1259" t="s">
        <v>2984</v>
      </c>
      <c r="R1259">
        <v>621070014</v>
      </c>
      <c r="T1259" t="s">
        <v>7</v>
      </c>
      <c r="U1259" s="3" t="str">
        <f>+VLOOKUP(Sites_per_tag[[#This Row],[Activity_tag]],Parameter!$A$24:$B$32,2,0)</f>
        <v>SMP</v>
      </c>
      <c r="W1259">
        <v>45.557150999999998</v>
      </c>
      <c r="X1259">
        <v>-25.539159999999999</v>
      </c>
    </row>
    <row r="1260" spans="1:24" x14ac:dyDescent="0.35">
      <c r="A1260" s="3" t="str">
        <f t="shared" si="19"/>
        <v>621070017SMP</v>
      </c>
      <c r="B1260" t="s">
        <v>6211</v>
      </c>
      <c r="C1260">
        <f>+VLOOKUP(Sites_per_tag[[#This Row],[Field_office]],Parameter!$A$3:$B$11,2,0)</f>
        <v>6</v>
      </c>
      <c r="E1260" t="s">
        <v>5646</v>
      </c>
      <c r="F1260" t="s">
        <v>5647</v>
      </c>
      <c r="H1260" t="str">
        <f ca="1">PROPER(Sites_per_tag[[#This Row],[Adm2Name]])</f>
        <v>Tsihombe</v>
      </c>
      <c r="I1260" t="s">
        <v>5731</v>
      </c>
      <c r="K1260" t="s">
        <v>5924</v>
      </c>
      <c r="L1260" t="s">
        <v>5925</v>
      </c>
      <c r="Q1260" t="s">
        <v>6290</v>
      </c>
      <c r="R1260">
        <v>621070017</v>
      </c>
      <c r="T1260" t="s">
        <v>7</v>
      </c>
      <c r="U1260" s="3" t="str">
        <f>+VLOOKUP(Sites_per_tag[[#This Row],[Activity_tag]],Parameter!$A$24:$B$32,2,0)</f>
        <v>SMP</v>
      </c>
      <c r="W1260">
        <v>45.477547000000001</v>
      </c>
      <c r="X1260">
        <v>-25.532212000000001</v>
      </c>
    </row>
    <row r="1261" spans="1:24" x14ac:dyDescent="0.35">
      <c r="A1261" s="3" t="str">
        <f t="shared" si="19"/>
        <v>621070019SMP</v>
      </c>
      <c r="B1261" t="s">
        <v>6211</v>
      </c>
      <c r="C1261">
        <f>+VLOOKUP(Sites_per_tag[[#This Row],[Field_office]],Parameter!$A$3:$B$11,2,0)</f>
        <v>6</v>
      </c>
      <c r="E1261" t="s">
        <v>5646</v>
      </c>
      <c r="F1261" t="s">
        <v>5647</v>
      </c>
      <c r="H1261" t="str">
        <f ca="1">PROPER(Sites_per_tag[[#This Row],[Adm2Name]])</f>
        <v>Tsihombe</v>
      </c>
      <c r="I1261" t="s">
        <v>5731</v>
      </c>
      <c r="K1261" t="s">
        <v>5924</v>
      </c>
      <c r="L1261" t="s">
        <v>5925</v>
      </c>
      <c r="Q1261" t="s">
        <v>6262</v>
      </c>
      <c r="R1261">
        <v>621070019</v>
      </c>
      <c r="T1261" t="s">
        <v>7</v>
      </c>
      <c r="U1261" s="3" t="str">
        <f>+VLOOKUP(Sites_per_tag[[#This Row],[Activity_tag]],Parameter!$A$24:$B$32,2,0)</f>
        <v>SMP</v>
      </c>
      <c r="W1261">
        <v>45.523910999999998</v>
      </c>
      <c r="X1261">
        <v>-25.538157000000002</v>
      </c>
    </row>
    <row r="1262" spans="1:24" x14ac:dyDescent="0.35">
      <c r="A1262" s="3" t="str">
        <f t="shared" si="19"/>
        <v>621070021SMP</v>
      </c>
      <c r="B1262" t="s">
        <v>6211</v>
      </c>
      <c r="C1262">
        <f>+VLOOKUP(Sites_per_tag[[#This Row],[Field_office]],Parameter!$A$3:$B$11,2,0)</f>
        <v>6</v>
      </c>
      <c r="E1262" t="s">
        <v>5646</v>
      </c>
      <c r="F1262" t="s">
        <v>5647</v>
      </c>
      <c r="H1262" t="str">
        <f ca="1">PROPER(Sites_per_tag[[#This Row],[Adm2Name]])</f>
        <v>Tsihombe</v>
      </c>
      <c r="I1262" t="s">
        <v>5731</v>
      </c>
      <c r="K1262" t="s">
        <v>5924</v>
      </c>
      <c r="L1262" t="s">
        <v>5925</v>
      </c>
      <c r="Q1262" t="s">
        <v>2206</v>
      </c>
      <c r="R1262">
        <v>621070021</v>
      </c>
      <c r="T1262" t="s">
        <v>7</v>
      </c>
      <c r="U1262" s="3" t="str">
        <f>+VLOOKUP(Sites_per_tag[[#This Row],[Activity_tag]],Parameter!$A$24:$B$32,2,0)</f>
        <v>SMP</v>
      </c>
      <c r="W1262">
        <v>45.397792000000003</v>
      </c>
      <c r="X1262">
        <v>-25.501864999999999</v>
      </c>
    </row>
    <row r="1263" spans="1:24" x14ac:dyDescent="0.35">
      <c r="A1263" s="3" t="str">
        <f t="shared" si="19"/>
        <v>621080002SMP</v>
      </c>
      <c r="B1263" t="s">
        <v>6211</v>
      </c>
      <c r="C1263">
        <f>+VLOOKUP(Sites_per_tag[[#This Row],[Field_office]],Parameter!$A$3:$B$11,2,0)</f>
        <v>6</v>
      </c>
      <c r="E1263" t="s">
        <v>5646</v>
      </c>
      <c r="F1263" t="s">
        <v>5647</v>
      </c>
      <c r="H1263" t="str">
        <f ca="1">PROPER(Sites_per_tag[[#This Row],[Adm2Name]])</f>
        <v>Tsihombe</v>
      </c>
      <c r="I1263" t="s">
        <v>5731</v>
      </c>
      <c r="K1263" t="s">
        <v>5961</v>
      </c>
      <c r="L1263" t="s">
        <v>6082</v>
      </c>
      <c r="Q1263" t="s">
        <v>185</v>
      </c>
      <c r="R1263">
        <v>621080002</v>
      </c>
      <c r="T1263" t="s">
        <v>7</v>
      </c>
      <c r="U1263" s="3" t="str">
        <f>+VLOOKUP(Sites_per_tag[[#This Row],[Activity_tag]],Parameter!$A$24:$B$32,2,0)</f>
        <v>SMP</v>
      </c>
      <c r="W1263">
        <v>45.643492999999999</v>
      </c>
      <c r="X1263">
        <v>-25.383095999999998</v>
      </c>
    </row>
    <row r="1264" spans="1:24" x14ac:dyDescent="0.35">
      <c r="A1264" s="3" t="str">
        <f t="shared" si="19"/>
        <v>621080004SMP</v>
      </c>
      <c r="B1264" t="s">
        <v>6211</v>
      </c>
      <c r="C1264">
        <f>+VLOOKUP(Sites_per_tag[[#This Row],[Field_office]],Parameter!$A$3:$B$11,2,0)</f>
        <v>6</v>
      </c>
      <c r="E1264" t="s">
        <v>5646</v>
      </c>
      <c r="F1264" t="s">
        <v>5647</v>
      </c>
      <c r="H1264" t="str">
        <f ca="1">PROPER(Sites_per_tag[[#This Row],[Adm2Name]])</f>
        <v>Tsihombe</v>
      </c>
      <c r="I1264" t="s">
        <v>5731</v>
      </c>
      <c r="K1264" t="s">
        <v>5961</v>
      </c>
      <c r="L1264" t="s">
        <v>6082</v>
      </c>
      <c r="Q1264" t="s">
        <v>6233</v>
      </c>
      <c r="R1264">
        <v>621080004</v>
      </c>
      <c r="T1264" t="s">
        <v>7</v>
      </c>
      <c r="U1264" s="3" t="str">
        <f>+VLOOKUP(Sites_per_tag[[#This Row],[Activity_tag]],Parameter!$A$24:$B$32,2,0)</f>
        <v>SMP</v>
      </c>
      <c r="W1264">
        <v>45.608820000000001</v>
      </c>
      <c r="X1264">
        <v>-25.458006000000001</v>
      </c>
    </row>
    <row r="1265" spans="1:24" x14ac:dyDescent="0.35">
      <c r="A1265" s="3" t="str">
        <f t="shared" si="19"/>
        <v>621080005SMP</v>
      </c>
      <c r="B1265" t="s">
        <v>6211</v>
      </c>
      <c r="C1265">
        <f>+VLOOKUP(Sites_per_tag[[#This Row],[Field_office]],Parameter!$A$3:$B$11,2,0)</f>
        <v>6</v>
      </c>
      <c r="E1265" t="s">
        <v>5646</v>
      </c>
      <c r="F1265" t="s">
        <v>5647</v>
      </c>
      <c r="H1265" t="str">
        <f ca="1">PROPER(Sites_per_tag[[#This Row],[Adm2Name]])</f>
        <v>Tsihombe</v>
      </c>
      <c r="I1265" t="s">
        <v>5731</v>
      </c>
      <c r="K1265" t="s">
        <v>5892</v>
      </c>
      <c r="L1265" t="s">
        <v>5893</v>
      </c>
      <c r="Q1265" t="s">
        <v>476</v>
      </c>
      <c r="R1265">
        <v>621080005</v>
      </c>
      <c r="T1265" t="s">
        <v>7</v>
      </c>
      <c r="U1265" s="3" t="str">
        <f>+VLOOKUP(Sites_per_tag[[#This Row],[Activity_tag]],Parameter!$A$24:$B$32,2,0)</f>
        <v>SMP</v>
      </c>
      <c r="W1265">
        <v>45.300066999999999</v>
      </c>
      <c r="X1265">
        <v>-25.365504999999999</v>
      </c>
    </row>
    <row r="1266" spans="1:24" x14ac:dyDescent="0.35">
      <c r="A1266" s="3" t="str">
        <f t="shared" si="19"/>
        <v>621080008SMP</v>
      </c>
      <c r="B1266" t="s">
        <v>6211</v>
      </c>
      <c r="C1266">
        <f>+VLOOKUP(Sites_per_tag[[#This Row],[Field_office]],Parameter!$A$3:$B$11,2,0)</f>
        <v>6</v>
      </c>
      <c r="E1266" t="s">
        <v>5646</v>
      </c>
      <c r="F1266" t="s">
        <v>5647</v>
      </c>
      <c r="H1266" t="str">
        <f ca="1">PROPER(Sites_per_tag[[#This Row],[Adm2Name]])</f>
        <v>Tsihombe</v>
      </c>
      <c r="I1266" t="s">
        <v>5731</v>
      </c>
      <c r="K1266" t="s">
        <v>5961</v>
      </c>
      <c r="L1266" t="s">
        <v>6082</v>
      </c>
      <c r="Q1266" t="s">
        <v>670</v>
      </c>
      <c r="R1266">
        <v>621080008</v>
      </c>
      <c r="T1266" t="s">
        <v>7</v>
      </c>
      <c r="U1266" s="3" t="str">
        <f>+VLOOKUP(Sites_per_tag[[#This Row],[Activity_tag]],Parameter!$A$24:$B$32,2,0)</f>
        <v>SMP</v>
      </c>
      <c r="W1266">
        <v>45.485162000000003</v>
      </c>
      <c r="X1266">
        <v>-25.402854999999999</v>
      </c>
    </row>
    <row r="1267" spans="1:24" x14ac:dyDescent="0.35">
      <c r="A1267" s="3" t="str">
        <f t="shared" si="19"/>
        <v>621080011SMP</v>
      </c>
      <c r="B1267" t="s">
        <v>6211</v>
      </c>
      <c r="C1267">
        <f>+VLOOKUP(Sites_per_tag[[#This Row],[Field_office]],Parameter!$A$3:$B$11,2,0)</f>
        <v>6</v>
      </c>
      <c r="E1267" t="s">
        <v>5646</v>
      </c>
      <c r="F1267" t="s">
        <v>5647</v>
      </c>
      <c r="H1267" t="str">
        <f ca="1">PROPER(Sites_per_tag[[#This Row],[Adm2Name]])</f>
        <v>Tsihombe</v>
      </c>
      <c r="I1267" t="s">
        <v>5731</v>
      </c>
      <c r="K1267" t="s">
        <v>5961</v>
      </c>
      <c r="L1267" t="s">
        <v>6082</v>
      </c>
      <c r="Q1267" t="s">
        <v>707</v>
      </c>
      <c r="R1267">
        <v>621080011</v>
      </c>
      <c r="T1267" t="s">
        <v>7</v>
      </c>
      <c r="U1267" s="3" t="str">
        <f>+VLOOKUP(Sites_per_tag[[#This Row],[Activity_tag]],Parameter!$A$24:$B$32,2,0)</f>
        <v>SMP</v>
      </c>
      <c r="W1267">
        <v>45.469245999999998</v>
      </c>
      <c r="X1267">
        <v>-25.393142999999998</v>
      </c>
    </row>
    <row r="1268" spans="1:24" x14ac:dyDescent="0.35">
      <c r="A1268" s="3" t="str">
        <f t="shared" si="19"/>
        <v>621080014SMP</v>
      </c>
      <c r="B1268" t="s">
        <v>6211</v>
      </c>
      <c r="C1268">
        <f>+VLOOKUP(Sites_per_tag[[#This Row],[Field_office]],Parameter!$A$3:$B$11,2,0)</f>
        <v>6</v>
      </c>
      <c r="E1268" t="s">
        <v>5646</v>
      </c>
      <c r="F1268" t="s">
        <v>5647</v>
      </c>
      <c r="H1268" t="str">
        <f ca="1">PROPER(Sites_per_tag[[#This Row],[Adm2Name]])</f>
        <v>Tsihombe</v>
      </c>
      <c r="I1268" t="s">
        <v>5731</v>
      </c>
      <c r="K1268" t="s">
        <v>5961</v>
      </c>
      <c r="L1268" t="s">
        <v>6082</v>
      </c>
      <c r="Q1268" t="s">
        <v>6418</v>
      </c>
      <c r="R1268">
        <v>621080014</v>
      </c>
      <c r="T1268" t="s">
        <v>7</v>
      </c>
      <c r="U1268" s="3" t="str">
        <f>+VLOOKUP(Sites_per_tag[[#This Row],[Activity_tag]],Parameter!$A$24:$B$32,2,0)</f>
        <v>SMP</v>
      </c>
      <c r="W1268">
        <v>45.359344</v>
      </c>
      <c r="X1268">
        <v>-25.392672999999998</v>
      </c>
    </row>
    <row r="1269" spans="1:24" x14ac:dyDescent="0.35">
      <c r="A1269" s="3" t="str">
        <f t="shared" si="19"/>
        <v>621080015SMP</v>
      </c>
      <c r="B1269" t="s">
        <v>6211</v>
      </c>
      <c r="C1269">
        <f>+VLOOKUP(Sites_per_tag[[#This Row],[Field_office]],Parameter!$A$3:$B$11,2,0)</f>
        <v>6</v>
      </c>
      <c r="E1269" t="s">
        <v>5646</v>
      </c>
      <c r="F1269" t="s">
        <v>5647</v>
      </c>
      <c r="H1269" t="str">
        <f ca="1">PROPER(Sites_per_tag[[#This Row],[Adm2Name]])</f>
        <v>Tsihombe</v>
      </c>
      <c r="I1269" t="s">
        <v>5731</v>
      </c>
      <c r="K1269" t="s">
        <v>5961</v>
      </c>
      <c r="L1269" t="s">
        <v>6082</v>
      </c>
      <c r="Q1269" t="s">
        <v>6419</v>
      </c>
      <c r="R1269">
        <v>621080015</v>
      </c>
      <c r="T1269" t="s">
        <v>7</v>
      </c>
      <c r="U1269" s="3" t="str">
        <f>+VLOOKUP(Sites_per_tag[[#This Row],[Activity_tag]],Parameter!$A$24:$B$32,2,0)</f>
        <v>SMP</v>
      </c>
      <c r="W1269">
        <v>45.621918000000001</v>
      </c>
      <c r="X1269">
        <v>-25.438794000000001</v>
      </c>
    </row>
    <row r="1270" spans="1:24" x14ac:dyDescent="0.35">
      <c r="A1270" s="3" t="str">
        <f t="shared" si="19"/>
        <v>621080016SMP</v>
      </c>
      <c r="B1270" t="s">
        <v>6211</v>
      </c>
      <c r="C1270">
        <f>+VLOOKUP(Sites_per_tag[[#This Row],[Field_office]],Parameter!$A$3:$B$11,2,0)</f>
        <v>6</v>
      </c>
      <c r="E1270" t="s">
        <v>5646</v>
      </c>
      <c r="F1270" t="s">
        <v>5647</v>
      </c>
      <c r="H1270" t="str">
        <f ca="1">PROPER(Sites_per_tag[[#This Row],[Adm2Name]])</f>
        <v>Tsihombe</v>
      </c>
      <c r="I1270" t="s">
        <v>5731</v>
      </c>
      <c r="K1270" t="s">
        <v>5961</v>
      </c>
      <c r="L1270" t="s">
        <v>6082</v>
      </c>
      <c r="Q1270" t="s">
        <v>1470</v>
      </c>
      <c r="R1270">
        <v>621080016</v>
      </c>
      <c r="T1270" t="s">
        <v>7</v>
      </c>
      <c r="U1270" s="3" t="str">
        <f>+VLOOKUP(Sites_per_tag[[#This Row],[Activity_tag]],Parameter!$A$24:$B$32,2,0)</f>
        <v>SMP</v>
      </c>
      <c r="W1270">
        <v>45.405827000000002</v>
      </c>
      <c r="X1270">
        <v>-25.400314000000002</v>
      </c>
    </row>
    <row r="1271" spans="1:24" x14ac:dyDescent="0.35">
      <c r="A1271" s="3" t="str">
        <f t="shared" si="19"/>
        <v>621080017SMP</v>
      </c>
      <c r="B1271" t="s">
        <v>6211</v>
      </c>
      <c r="C1271">
        <f>+VLOOKUP(Sites_per_tag[[#This Row],[Field_office]],Parameter!$A$3:$B$11,2,0)</f>
        <v>6</v>
      </c>
      <c r="E1271" t="s">
        <v>5646</v>
      </c>
      <c r="F1271" t="s">
        <v>5647</v>
      </c>
      <c r="H1271" t="str">
        <f ca="1">PROPER(Sites_per_tag[[#This Row],[Adm2Name]])</f>
        <v>Tsihombe</v>
      </c>
      <c r="I1271" t="s">
        <v>5731</v>
      </c>
      <c r="K1271" t="s">
        <v>5961</v>
      </c>
      <c r="L1271" t="s">
        <v>6082</v>
      </c>
      <c r="Q1271" t="s">
        <v>1477</v>
      </c>
      <c r="R1271">
        <v>621080017</v>
      </c>
      <c r="T1271" t="s">
        <v>7</v>
      </c>
      <c r="U1271" s="3" t="str">
        <f>+VLOOKUP(Sites_per_tag[[#This Row],[Activity_tag]],Parameter!$A$24:$B$32,2,0)</f>
        <v>SMP</v>
      </c>
      <c r="W1271">
        <v>45.581969999999998</v>
      </c>
      <c r="X1271">
        <v>-25.44894</v>
      </c>
    </row>
    <row r="1272" spans="1:24" x14ac:dyDescent="0.35">
      <c r="A1272" s="3" t="str">
        <f t="shared" si="19"/>
        <v>621080021SMP</v>
      </c>
      <c r="B1272" t="s">
        <v>6211</v>
      </c>
      <c r="C1272">
        <f>+VLOOKUP(Sites_per_tag[[#This Row],[Field_office]],Parameter!$A$3:$B$11,2,0)</f>
        <v>6</v>
      </c>
      <c r="E1272" t="s">
        <v>5646</v>
      </c>
      <c r="F1272" t="s">
        <v>5647</v>
      </c>
      <c r="H1272" t="str">
        <f ca="1">PROPER(Sites_per_tag[[#This Row],[Adm2Name]])</f>
        <v>Tsihombe</v>
      </c>
      <c r="I1272" t="s">
        <v>5731</v>
      </c>
      <c r="K1272" t="s">
        <v>5961</v>
      </c>
      <c r="L1272" t="s">
        <v>6082</v>
      </c>
      <c r="Q1272" t="s">
        <v>1991</v>
      </c>
      <c r="R1272">
        <v>621080021</v>
      </c>
      <c r="T1272" t="s">
        <v>7</v>
      </c>
      <c r="U1272" s="3" t="str">
        <f>+VLOOKUP(Sites_per_tag[[#This Row],[Activity_tag]],Parameter!$A$24:$B$32,2,0)</f>
        <v>SMP</v>
      </c>
      <c r="W1272">
        <v>45.377972</v>
      </c>
      <c r="X1272">
        <v>-25.438081</v>
      </c>
    </row>
    <row r="1273" spans="1:24" x14ac:dyDescent="0.35">
      <c r="A1273" s="3" t="str">
        <f t="shared" si="19"/>
        <v>621080022SMP</v>
      </c>
      <c r="B1273" t="s">
        <v>6211</v>
      </c>
      <c r="C1273">
        <f>+VLOOKUP(Sites_per_tag[[#This Row],[Field_office]],Parameter!$A$3:$B$11,2,0)</f>
        <v>6</v>
      </c>
      <c r="E1273" t="s">
        <v>5646</v>
      </c>
      <c r="F1273" t="s">
        <v>5647</v>
      </c>
      <c r="H1273" t="str">
        <f ca="1">PROPER(Sites_per_tag[[#This Row],[Adm2Name]])</f>
        <v>Tsihombe</v>
      </c>
      <c r="I1273" t="s">
        <v>5731</v>
      </c>
      <c r="K1273" t="s">
        <v>5961</v>
      </c>
      <c r="L1273" t="s">
        <v>6082</v>
      </c>
      <c r="Q1273" t="s">
        <v>6420</v>
      </c>
      <c r="R1273">
        <v>621080022</v>
      </c>
      <c r="T1273" t="s">
        <v>7</v>
      </c>
      <c r="U1273" s="3" t="str">
        <f>+VLOOKUP(Sites_per_tag[[#This Row],[Activity_tag]],Parameter!$A$24:$B$32,2,0)</f>
        <v>SMP</v>
      </c>
      <c r="W1273">
        <v>45.477531999999997</v>
      </c>
      <c r="X1273">
        <v>-25.418502</v>
      </c>
    </row>
    <row r="1274" spans="1:24" x14ac:dyDescent="0.35">
      <c r="A1274" s="3" t="str">
        <f t="shared" si="19"/>
        <v>621080023SMP</v>
      </c>
      <c r="B1274" t="s">
        <v>6211</v>
      </c>
      <c r="C1274">
        <f>+VLOOKUP(Sites_per_tag[[#This Row],[Field_office]],Parameter!$A$3:$B$11,2,0)</f>
        <v>6</v>
      </c>
      <c r="E1274" t="s">
        <v>5646</v>
      </c>
      <c r="F1274" t="s">
        <v>5647</v>
      </c>
      <c r="H1274" t="str">
        <f ca="1">PROPER(Sites_per_tag[[#This Row],[Adm2Name]])</f>
        <v>Tsihombe</v>
      </c>
      <c r="I1274" t="s">
        <v>5731</v>
      </c>
      <c r="K1274" t="s">
        <v>5961</v>
      </c>
      <c r="L1274" t="s">
        <v>6082</v>
      </c>
      <c r="Q1274" t="s">
        <v>6226</v>
      </c>
      <c r="R1274">
        <v>621080023</v>
      </c>
      <c r="T1274" t="s">
        <v>7</v>
      </c>
      <c r="U1274" s="3" t="str">
        <f>+VLOOKUP(Sites_per_tag[[#This Row],[Activity_tag]],Parameter!$A$24:$B$32,2,0)</f>
        <v>SMP</v>
      </c>
      <c r="W1274">
        <v>45.329859999999996</v>
      </c>
      <c r="X1274">
        <v>-25.443584000000001</v>
      </c>
    </row>
    <row r="1275" spans="1:24" x14ac:dyDescent="0.35">
      <c r="A1275" s="3" t="str">
        <f t="shared" si="19"/>
        <v>621080025SMP</v>
      </c>
      <c r="B1275" t="s">
        <v>6211</v>
      </c>
      <c r="C1275">
        <f>+VLOOKUP(Sites_per_tag[[#This Row],[Field_office]],Parameter!$A$3:$B$11,2,0)</f>
        <v>6</v>
      </c>
      <c r="E1275" t="s">
        <v>5646</v>
      </c>
      <c r="F1275" t="s">
        <v>5647</v>
      </c>
      <c r="H1275" t="str">
        <f ca="1">PROPER(Sites_per_tag[[#This Row],[Adm2Name]])</f>
        <v>Tsihombe</v>
      </c>
      <c r="I1275" t="s">
        <v>5731</v>
      </c>
      <c r="K1275" t="s">
        <v>5892</v>
      </c>
      <c r="L1275" t="s">
        <v>5893</v>
      </c>
      <c r="Q1275" t="s">
        <v>2171</v>
      </c>
      <c r="R1275">
        <v>621080025</v>
      </c>
      <c r="T1275" t="s">
        <v>7</v>
      </c>
      <c r="U1275" s="3" t="str">
        <f>+VLOOKUP(Sites_per_tag[[#This Row],[Activity_tag]],Parameter!$A$24:$B$32,2,0)</f>
        <v>SMP</v>
      </c>
      <c r="W1275">
        <v>45.354393000000002</v>
      </c>
      <c r="X1275">
        <v>-25.147244000000001</v>
      </c>
    </row>
    <row r="1276" spans="1:24" x14ac:dyDescent="0.35">
      <c r="A1276" s="3" t="str">
        <f t="shared" si="19"/>
        <v>621080026SMP</v>
      </c>
      <c r="B1276" t="s">
        <v>6211</v>
      </c>
      <c r="C1276">
        <f>+VLOOKUP(Sites_per_tag[[#This Row],[Field_office]],Parameter!$A$3:$B$11,2,0)</f>
        <v>6</v>
      </c>
      <c r="E1276" t="s">
        <v>5646</v>
      </c>
      <c r="F1276" t="s">
        <v>5647</v>
      </c>
      <c r="H1276" t="str">
        <f ca="1">PROPER(Sites_per_tag[[#This Row],[Adm2Name]])</f>
        <v>Tsihombe</v>
      </c>
      <c r="I1276" t="s">
        <v>5731</v>
      </c>
      <c r="K1276" t="s">
        <v>5892</v>
      </c>
      <c r="L1276" t="s">
        <v>5893</v>
      </c>
      <c r="Q1276" t="s">
        <v>3005</v>
      </c>
      <c r="R1276">
        <v>621080026</v>
      </c>
      <c r="T1276" t="s">
        <v>7</v>
      </c>
      <c r="U1276" s="3" t="str">
        <f>+VLOOKUP(Sites_per_tag[[#This Row],[Activity_tag]],Parameter!$A$24:$B$32,2,0)</f>
        <v>SMP</v>
      </c>
      <c r="W1276">
        <v>45.389868999999997</v>
      </c>
      <c r="X1276">
        <v>-25.328299999999999</v>
      </c>
    </row>
    <row r="1277" spans="1:24" x14ac:dyDescent="0.35">
      <c r="A1277" s="3" t="str">
        <f t="shared" si="19"/>
        <v>621080030SMP</v>
      </c>
      <c r="B1277" t="s">
        <v>6211</v>
      </c>
      <c r="C1277">
        <f>+VLOOKUP(Sites_per_tag[[#This Row],[Field_office]],Parameter!$A$3:$B$11,2,0)</f>
        <v>6</v>
      </c>
      <c r="E1277" t="s">
        <v>5646</v>
      </c>
      <c r="F1277" t="s">
        <v>5647</v>
      </c>
      <c r="H1277" t="str">
        <f ca="1">PROPER(Sites_per_tag[[#This Row],[Adm2Name]])</f>
        <v>Tsihombe</v>
      </c>
      <c r="I1277" t="s">
        <v>5731</v>
      </c>
      <c r="K1277" t="s">
        <v>5892</v>
      </c>
      <c r="L1277" t="s">
        <v>5893</v>
      </c>
      <c r="Q1277" t="s">
        <v>3552</v>
      </c>
      <c r="R1277">
        <v>621080030</v>
      </c>
      <c r="T1277" t="s">
        <v>7</v>
      </c>
      <c r="U1277" s="3" t="str">
        <f>+VLOOKUP(Sites_per_tag[[#This Row],[Activity_tag]],Parameter!$A$24:$B$32,2,0)</f>
        <v>SMP</v>
      </c>
      <c r="W1277">
        <v>45.368602000000003</v>
      </c>
      <c r="X1277">
        <v>-25.283208999999999</v>
      </c>
    </row>
    <row r="1278" spans="1:24" x14ac:dyDescent="0.35">
      <c r="A1278" s="3" t="str">
        <f t="shared" si="19"/>
        <v>621080034SMP</v>
      </c>
      <c r="B1278" t="s">
        <v>6211</v>
      </c>
      <c r="C1278">
        <f>+VLOOKUP(Sites_per_tag[[#This Row],[Field_office]],Parameter!$A$3:$B$11,2,0)</f>
        <v>6</v>
      </c>
      <c r="E1278" t="s">
        <v>5646</v>
      </c>
      <c r="F1278" t="s">
        <v>5647</v>
      </c>
      <c r="H1278" t="str">
        <f ca="1">PROPER(Sites_per_tag[[#This Row],[Adm2Name]])</f>
        <v>Tsihombe</v>
      </c>
      <c r="I1278" t="s">
        <v>5731</v>
      </c>
      <c r="K1278" t="s">
        <v>5892</v>
      </c>
      <c r="L1278" t="s">
        <v>5893</v>
      </c>
      <c r="Q1278" t="s">
        <v>6352</v>
      </c>
      <c r="R1278">
        <v>621080034</v>
      </c>
      <c r="T1278" t="s">
        <v>7</v>
      </c>
      <c r="U1278" s="3" t="str">
        <f>+VLOOKUP(Sites_per_tag[[#This Row],[Activity_tag]],Parameter!$A$24:$B$32,2,0)</f>
        <v>SMP</v>
      </c>
      <c r="W1278">
        <v>45.700834</v>
      </c>
      <c r="X1278">
        <v>-25.390961999999998</v>
      </c>
    </row>
    <row r="1279" spans="1:24" x14ac:dyDescent="0.35">
      <c r="A1279" s="3" t="str">
        <f t="shared" si="19"/>
        <v>621080039SMP</v>
      </c>
      <c r="B1279" t="s">
        <v>6211</v>
      </c>
      <c r="C1279">
        <f>+VLOOKUP(Sites_per_tag[[#This Row],[Field_office]],Parameter!$A$3:$B$11,2,0)</f>
        <v>6</v>
      </c>
      <c r="E1279" t="s">
        <v>5646</v>
      </c>
      <c r="F1279" t="s">
        <v>5647</v>
      </c>
      <c r="H1279" t="str">
        <f ca="1">PROPER(Sites_per_tag[[#This Row],[Adm2Name]])</f>
        <v>Tsihombe</v>
      </c>
      <c r="I1279" t="s">
        <v>5731</v>
      </c>
      <c r="K1279" t="s">
        <v>5892</v>
      </c>
      <c r="L1279" t="s">
        <v>5893</v>
      </c>
      <c r="Q1279" t="s">
        <v>3443</v>
      </c>
      <c r="R1279">
        <v>621080039</v>
      </c>
      <c r="T1279" t="s">
        <v>7</v>
      </c>
      <c r="U1279" s="3" t="str">
        <f>+VLOOKUP(Sites_per_tag[[#This Row],[Activity_tag]],Parameter!$A$24:$B$32,2,0)</f>
        <v>SMP</v>
      </c>
      <c r="W1279">
        <v>45.31371</v>
      </c>
      <c r="X1279">
        <v>-25.228902000000001</v>
      </c>
    </row>
    <row r="1280" spans="1:24" x14ac:dyDescent="0.35">
      <c r="A1280" s="3" t="str">
        <f t="shared" si="19"/>
        <v>621080040SMP</v>
      </c>
      <c r="B1280" t="s">
        <v>6211</v>
      </c>
      <c r="C1280">
        <f>+VLOOKUP(Sites_per_tag[[#This Row],[Field_office]],Parameter!$A$3:$B$11,2,0)</f>
        <v>6</v>
      </c>
      <c r="E1280" t="s">
        <v>5646</v>
      </c>
      <c r="F1280" t="s">
        <v>5647</v>
      </c>
      <c r="H1280" t="str">
        <f ca="1">PROPER(Sites_per_tag[[#This Row],[Adm2Name]])</f>
        <v>Tsihombe</v>
      </c>
      <c r="I1280" t="s">
        <v>5731</v>
      </c>
      <c r="K1280" t="s">
        <v>5961</v>
      </c>
      <c r="L1280" t="s">
        <v>6082</v>
      </c>
      <c r="Q1280" t="s">
        <v>6421</v>
      </c>
      <c r="R1280">
        <v>621080040</v>
      </c>
      <c r="T1280" t="s">
        <v>7</v>
      </c>
      <c r="U1280" s="3" t="str">
        <f>+VLOOKUP(Sites_per_tag[[#This Row],[Activity_tag]],Parameter!$A$24:$B$32,2,0)</f>
        <v>SMP</v>
      </c>
      <c r="W1280">
        <v>45.445307999999997</v>
      </c>
      <c r="X1280">
        <v>-25.401261000000002</v>
      </c>
    </row>
    <row r="1281" spans="1:24" x14ac:dyDescent="0.35">
      <c r="A1281" s="3" t="str">
        <f t="shared" si="19"/>
        <v>MG23209031001001STUNT</v>
      </c>
      <c r="B1281" t="s">
        <v>6193</v>
      </c>
      <c r="C1281">
        <f>+VLOOKUP(Sites_per_tag[[#This Row],[Field_office]],Parameter!$A$3:$B$11,2,0)</f>
        <v>4</v>
      </c>
      <c r="E1281" t="s">
        <v>5678</v>
      </c>
      <c r="F1281" t="s">
        <v>5679</v>
      </c>
      <c r="H1281" t="str">
        <f ca="1">PROPER(Sites_per_tag[[#This Row],[Adm2Name]])</f>
        <v>Mananjary</v>
      </c>
      <c r="I1281" t="s">
        <v>5705</v>
      </c>
      <c r="K1281" t="s">
        <v>3729</v>
      </c>
      <c r="L1281" t="s">
        <v>6143</v>
      </c>
      <c r="N1281" t="s">
        <v>3729</v>
      </c>
      <c r="O1281" t="s">
        <v>4013</v>
      </c>
      <c r="Q1281" t="s">
        <v>3729</v>
      </c>
      <c r="R1281" t="s">
        <v>3730</v>
      </c>
      <c r="T1281" t="s">
        <v>50</v>
      </c>
      <c r="U1281" s="3" t="str">
        <f>+VLOOKUP(Sites_per_tag[[#This Row],[Activity_tag]],Parameter!$A$24:$B$32,2,0)</f>
        <v>STUNT</v>
      </c>
      <c r="V1281" t="s">
        <v>6422</v>
      </c>
      <c r="W1281">
        <v>48.299779999999998</v>
      </c>
      <c r="X1281">
        <v>-21.237480000000001</v>
      </c>
    </row>
    <row r="1282" spans="1:24" x14ac:dyDescent="0.35">
      <c r="A1282" s="3" t="str">
        <f t="shared" si="19"/>
        <v>MG23209032002001MAM</v>
      </c>
      <c r="B1282" t="s">
        <v>6211</v>
      </c>
      <c r="C1282">
        <f>+VLOOKUP(Sites_per_tag[[#This Row],[Field_office]],Parameter!$A$3:$B$11,2,0)</f>
        <v>6</v>
      </c>
      <c r="E1282" t="s">
        <v>5646</v>
      </c>
      <c r="F1282" t="s">
        <v>5647</v>
      </c>
      <c r="H1282" t="str">
        <f ca="1">PROPER(Sites_per_tag[[#This Row],[Adm2Name]])</f>
        <v>Tsihombe</v>
      </c>
      <c r="I1282" t="s">
        <v>5731</v>
      </c>
      <c r="K1282" t="s">
        <v>3101</v>
      </c>
      <c r="L1282" t="s">
        <v>6053</v>
      </c>
      <c r="N1282" t="s">
        <v>170</v>
      </c>
      <c r="O1282" t="s">
        <v>5324</v>
      </c>
      <c r="Q1282" t="s">
        <v>170</v>
      </c>
      <c r="R1282" t="s">
        <v>171</v>
      </c>
      <c r="T1282" t="s">
        <v>5</v>
      </c>
      <c r="U1282" s="3" t="str">
        <f>+VLOOKUP(Sites_per_tag[[#This Row],[Activity_tag]],Parameter!$A$24:$B$32,2,0)</f>
        <v>MAM</v>
      </c>
      <c r="W1282">
        <v>45.275900999999998</v>
      </c>
      <c r="X1282">
        <v>-25.500785</v>
      </c>
    </row>
    <row r="1283" spans="1:24" x14ac:dyDescent="0.35">
      <c r="A1283" s="3" t="str">
        <f t="shared" ref="A1283:A1346" si="20">+R1283&amp;U1283</f>
        <v>MG23209050001001STUNT</v>
      </c>
      <c r="B1283" t="s">
        <v>6193</v>
      </c>
      <c r="C1283">
        <f>+VLOOKUP(Sites_per_tag[[#This Row],[Field_office]],Parameter!$A$3:$B$11,2,0)</f>
        <v>4</v>
      </c>
      <c r="E1283" t="s">
        <v>5678</v>
      </c>
      <c r="F1283" t="s">
        <v>5679</v>
      </c>
      <c r="H1283" t="str">
        <f ca="1">PROPER(Sites_per_tag[[#This Row],[Adm2Name]])</f>
        <v>Mananjary</v>
      </c>
      <c r="I1283" t="s">
        <v>5705</v>
      </c>
      <c r="K1283" t="s">
        <v>2768</v>
      </c>
      <c r="L1283" t="s">
        <v>6007</v>
      </c>
      <c r="N1283" t="s">
        <v>2768</v>
      </c>
      <c r="O1283" t="s">
        <v>2771</v>
      </c>
      <c r="Q1283" t="s">
        <v>2768</v>
      </c>
      <c r="R1283" t="s">
        <v>2769</v>
      </c>
      <c r="T1283" t="s">
        <v>50</v>
      </c>
      <c r="U1283" s="3" t="str">
        <f>+VLOOKUP(Sites_per_tag[[#This Row],[Activity_tag]],Parameter!$A$24:$B$32,2,0)</f>
        <v>STUNT</v>
      </c>
      <c r="V1283" t="s">
        <v>6423</v>
      </c>
      <c r="W1283">
        <v>48.319600000000001</v>
      </c>
      <c r="X1283">
        <v>-21.169129999999999</v>
      </c>
    </row>
    <row r="1284" spans="1:24" x14ac:dyDescent="0.35">
      <c r="A1284" s="3" t="str">
        <f t="shared" si="20"/>
        <v>MG23209050001PREV</v>
      </c>
      <c r="B1284" t="s">
        <v>6193</v>
      </c>
      <c r="C1284">
        <f>+VLOOKUP(Sites_per_tag[[#This Row],[Field_office]],Parameter!$A$3:$B$11,2,0)</f>
        <v>4</v>
      </c>
      <c r="E1284" t="s">
        <v>5678</v>
      </c>
      <c r="F1284" t="s">
        <v>5679</v>
      </c>
      <c r="H1284" t="str">
        <f ca="1">PROPER(Sites_per_tag[[#This Row],[Adm2Name]])</f>
        <v>Mananjary</v>
      </c>
      <c r="I1284" t="s">
        <v>5705</v>
      </c>
      <c r="K1284" t="s">
        <v>2768</v>
      </c>
      <c r="L1284" t="s">
        <v>6007</v>
      </c>
      <c r="N1284" t="s">
        <v>2770</v>
      </c>
      <c r="Q1284" t="s">
        <v>2770</v>
      </c>
      <c r="R1284" t="s">
        <v>2771</v>
      </c>
      <c r="T1284" t="s">
        <v>32</v>
      </c>
      <c r="U1284" s="3" t="str">
        <f>+VLOOKUP(Sites_per_tag[[#This Row],[Activity_tag]],Parameter!$A$24:$B$32,2,0)</f>
        <v>PREV</v>
      </c>
      <c r="W1284">
        <v>48.294870000000003</v>
      </c>
      <c r="X1284">
        <v>-21.178370000000001</v>
      </c>
    </row>
    <row r="1285" spans="1:24" x14ac:dyDescent="0.35">
      <c r="A1285" s="3" t="str">
        <f t="shared" si="20"/>
        <v>MG23209070001001STUNT</v>
      </c>
      <c r="B1285" t="s">
        <v>6193</v>
      </c>
      <c r="C1285">
        <f>+VLOOKUP(Sites_per_tag[[#This Row],[Field_office]],Parameter!$A$3:$B$11,2,0)</f>
        <v>4</v>
      </c>
      <c r="E1285" t="s">
        <v>5678</v>
      </c>
      <c r="F1285" t="s">
        <v>5679</v>
      </c>
      <c r="H1285" t="str">
        <f ca="1">PROPER(Sites_per_tag[[#This Row],[Adm2Name]])</f>
        <v>Mananjary</v>
      </c>
      <c r="I1285" t="s">
        <v>5705</v>
      </c>
      <c r="K1285" t="s">
        <v>3756</v>
      </c>
      <c r="L1285" t="s">
        <v>6146</v>
      </c>
      <c r="N1285" t="s">
        <v>3756</v>
      </c>
      <c r="O1285" t="s">
        <v>3757</v>
      </c>
      <c r="Q1285" t="s">
        <v>3756</v>
      </c>
      <c r="R1285" t="s">
        <v>3758</v>
      </c>
      <c r="T1285" t="s">
        <v>50</v>
      </c>
      <c r="U1285" s="3" t="str">
        <f>+VLOOKUP(Sites_per_tag[[#This Row],[Activity_tag]],Parameter!$A$24:$B$32,2,0)</f>
        <v>STUNT</v>
      </c>
      <c r="V1285" t="s">
        <v>6424</v>
      </c>
      <c r="W1285">
        <v>48.230179999999997</v>
      </c>
      <c r="X1285">
        <v>-21.175699999999999</v>
      </c>
    </row>
    <row r="1286" spans="1:24" x14ac:dyDescent="0.35">
      <c r="A1286" s="3" t="str">
        <f t="shared" si="20"/>
        <v>MG23209070001PREV</v>
      </c>
      <c r="B1286" t="s">
        <v>6193</v>
      </c>
      <c r="C1286">
        <f>+VLOOKUP(Sites_per_tag[[#This Row],[Field_office]],Parameter!$A$3:$B$11,2,0)</f>
        <v>4</v>
      </c>
      <c r="E1286" t="s">
        <v>5678</v>
      </c>
      <c r="F1286" t="s">
        <v>5679</v>
      </c>
      <c r="H1286" t="str">
        <f ca="1">PROPER(Sites_per_tag[[#This Row],[Adm2Name]])</f>
        <v>Mananjary</v>
      </c>
      <c r="I1286" t="s">
        <v>5705</v>
      </c>
      <c r="K1286" t="s">
        <v>3756</v>
      </c>
      <c r="L1286" t="s">
        <v>6146</v>
      </c>
      <c r="N1286" t="s">
        <v>3756</v>
      </c>
      <c r="Q1286" t="s">
        <v>3756</v>
      </c>
      <c r="R1286" t="s">
        <v>3757</v>
      </c>
      <c r="T1286" t="s">
        <v>32</v>
      </c>
      <c r="U1286" s="3" t="str">
        <f>+VLOOKUP(Sites_per_tag[[#This Row],[Activity_tag]],Parameter!$A$24:$B$32,2,0)</f>
        <v>PREV</v>
      </c>
      <c r="W1286">
        <v>48.224850000000004</v>
      </c>
      <c r="X1286">
        <v>-21.2026</v>
      </c>
    </row>
    <row r="1287" spans="1:24" x14ac:dyDescent="0.35">
      <c r="A1287" s="3" t="str">
        <f t="shared" si="20"/>
        <v>MG23209070055PREV</v>
      </c>
      <c r="B1287" t="s">
        <v>6193</v>
      </c>
      <c r="C1287">
        <f>+VLOOKUP(Sites_per_tag[[#This Row],[Field_office]],Parameter!$A$3:$B$11,2,0)</f>
        <v>4</v>
      </c>
      <c r="E1287" t="s">
        <v>5678</v>
      </c>
      <c r="F1287" t="s">
        <v>5679</v>
      </c>
      <c r="H1287" t="str">
        <f ca="1">PROPER(Sites_per_tag[[#This Row],[Adm2Name]])</f>
        <v>Mananjary</v>
      </c>
      <c r="I1287" t="s">
        <v>5705</v>
      </c>
      <c r="K1287" t="s">
        <v>3756</v>
      </c>
      <c r="L1287" t="s">
        <v>6146</v>
      </c>
      <c r="N1287" t="s">
        <v>995</v>
      </c>
      <c r="Q1287" t="s">
        <v>995</v>
      </c>
      <c r="R1287" t="s">
        <v>996</v>
      </c>
      <c r="T1287" t="s">
        <v>32</v>
      </c>
      <c r="U1287" s="3" t="str">
        <f>+VLOOKUP(Sites_per_tag[[#This Row],[Activity_tag]],Parameter!$A$24:$B$32,2,0)</f>
        <v>PREV</v>
      </c>
      <c r="W1287">
        <v>48.252549999999999</v>
      </c>
      <c r="X1287">
        <v>-21.109020000000001</v>
      </c>
    </row>
    <row r="1288" spans="1:24" x14ac:dyDescent="0.35">
      <c r="A1288" s="3" t="str">
        <f t="shared" si="20"/>
        <v>MG23209070066PREV</v>
      </c>
      <c r="B1288" t="s">
        <v>6193</v>
      </c>
      <c r="C1288">
        <f>+VLOOKUP(Sites_per_tag[[#This Row],[Field_office]],Parameter!$A$3:$B$11,2,0)</f>
        <v>4</v>
      </c>
      <c r="E1288" t="s">
        <v>5678</v>
      </c>
      <c r="F1288" t="s">
        <v>5679</v>
      </c>
      <c r="H1288" t="str">
        <f ca="1">PROPER(Sites_per_tag[[#This Row],[Adm2Name]])</f>
        <v>Mananjary</v>
      </c>
      <c r="I1288" t="s">
        <v>5705</v>
      </c>
      <c r="K1288" t="s">
        <v>3756</v>
      </c>
      <c r="L1288" t="s">
        <v>6146</v>
      </c>
      <c r="N1288" t="s">
        <v>380</v>
      </c>
      <c r="Q1288" t="s">
        <v>380</v>
      </c>
      <c r="R1288" t="s">
        <v>381</v>
      </c>
      <c r="T1288" t="s">
        <v>32</v>
      </c>
      <c r="U1288" s="3" t="str">
        <f>+VLOOKUP(Sites_per_tag[[#This Row],[Activity_tag]],Parameter!$A$24:$B$32,2,0)</f>
        <v>PREV</v>
      </c>
      <c r="W1288">
        <v>48.188830000000003</v>
      </c>
      <c r="X1288">
        <v>-21.190370000000001</v>
      </c>
    </row>
    <row r="1289" spans="1:24" x14ac:dyDescent="0.35">
      <c r="A1289" s="3" t="str">
        <f t="shared" si="20"/>
        <v>MG23209070077PREV</v>
      </c>
      <c r="B1289" t="s">
        <v>6193</v>
      </c>
      <c r="C1289">
        <f>+VLOOKUP(Sites_per_tag[[#This Row],[Field_office]],Parameter!$A$3:$B$11,2,0)</f>
        <v>4</v>
      </c>
      <c r="E1289" t="s">
        <v>5678</v>
      </c>
      <c r="F1289" t="s">
        <v>5679</v>
      </c>
      <c r="H1289" t="str">
        <f ca="1">PROPER(Sites_per_tag[[#This Row],[Adm2Name]])</f>
        <v>Mananjary</v>
      </c>
      <c r="I1289" t="s">
        <v>5705</v>
      </c>
      <c r="K1289" t="s">
        <v>3756</v>
      </c>
      <c r="L1289" t="s">
        <v>6146</v>
      </c>
      <c r="N1289" t="s">
        <v>1145</v>
      </c>
      <c r="Q1289" t="s">
        <v>1145</v>
      </c>
      <c r="R1289" t="s">
        <v>1146</v>
      </c>
      <c r="T1289" t="s">
        <v>32</v>
      </c>
      <c r="U1289" s="3" t="str">
        <f>+VLOOKUP(Sites_per_tag[[#This Row],[Activity_tag]],Parameter!$A$24:$B$32,2,0)</f>
        <v>PREV</v>
      </c>
      <c r="W1289">
        <v>48.252549999999999</v>
      </c>
      <c r="X1289">
        <v>-21.109020000000001</v>
      </c>
    </row>
    <row r="1290" spans="1:24" x14ac:dyDescent="0.35">
      <c r="A1290" s="3" t="str">
        <f t="shared" si="20"/>
        <v>MG23209110001001STUNT</v>
      </c>
      <c r="B1290" t="s">
        <v>6193</v>
      </c>
      <c r="C1290">
        <f>+VLOOKUP(Sites_per_tag[[#This Row],[Field_office]],Parameter!$A$3:$B$11,2,0)</f>
        <v>4</v>
      </c>
      <c r="E1290" t="s">
        <v>5678</v>
      </c>
      <c r="F1290" t="s">
        <v>5679</v>
      </c>
      <c r="H1290" t="str">
        <f ca="1">PROPER(Sites_per_tag[[#This Row],[Adm2Name]])</f>
        <v>Mananjary</v>
      </c>
      <c r="I1290" t="s">
        <v>5705</v>
      </c>
      <c r="K1290" t="s">
        <v>3024</v>
      </c>
      <c r="L1290" t="s">
        <v>6042</v>
      </c>
      <c r="N1290" t="s">
        <v>3024</v>
      </c>
      <c r="O1290" t="s">
        <v>4014</v>
      </c>
      <c r="Q1290" t="s">
        <v>3024</v>
      </c>
      <c r="R1290" t="s">
        <v>3025</v>
      </c>
      <c r="T1290" t="s">
        <v>50</v>
      </c>
      <c r="U1290" s="3" t="str">
        <f>+VLOOKUP(Sites_per_tag[[#This Row],[Activity_tag]],Parameter!$A$24:$B$32,2,0)</f>
        <v>STUNT</v>
      </c>
      <c r="V1290" t="s">
        <v>6425</v>
      </c>
      <c r="W1290">
        <v>48.137630000000001</v>
      </c>
      <c r="X1290">
        <v>-21.23452</v>
      </c>
    </row>
    <row r="1291" spans="1:24" x14ac:dyDescent="0.35">
      <c r="A1291" s="3" t="str">
        <f t="shared" si="20"/>
        <v>MG23209110002001STUNT</v>
      </c>
      <c r="B1291" t="s">
        <v>6193</v>
      </c>
      <c r="C1291">
        <f>+VLOOKUP(Sites_per_tag[[#This Row],[Field_office]],Parameter!$A$3:$B$11,2,0)</f>
        <v>4</v>
      </c>
      <c r="E1291" t="s">
        <v>5678</v>
      </c>
      <c r="F1291" t="s">
        <v>5679</v>
      </c>
      <c r="H1291" t="str">
        <f ca="1">PROPER(Sites_per_tag[[#This Row],[Adm2Name]])</f>
        <v>Mananjary</v>
      </c>
      <c r="I1291" t="s">
        <v>5705</v>
      </c>
      <c r="K1291" t="s">
        <v>3024</v>
      </c>
      <c r="L1291" t="s">
        <v>6042</v>
      </c>
      <c r="N1291" t="s">
        <v>85</v>
      </c>
      <c r="O1291" t="s">
        <v>4015</v>
      </c>
      <c r="Q1291" t="s">
        <v>85</v>
      </c>
      <c r="R1291" t="s">
        <v>86</v>
      </c>
      <c r="T1291" t="s">
        <v>50</v>
      </c>
      <c r="U1291" s="3" t="str">
        <f>+VLOOKUP(Sites_per_tag[[#This Row],[Activity_tag]],Parameter!$A$24:$B$32,2,0)</f>
        <v>STUNT</v>
      </c>
      <c r="V1291" t="s">
        <v>6426</v>
      </c>
      <c r="W1291">
        <v>48.108829999999998</v>
      </c>
      <c r="X1291">
        <v>-21.16095</v>
      </c>
    </row>
    <row r="1292" spans="1:24" x14ac:dyDescent="0.35">
      <c r="A1292" s="3" t="str">
        <f t="shared" si="20"/>
        <v>MG23209110056001STUNT</v>
      </c>
      <c r="B1292" t="s">
        <v>6193</v>
      </c>
      <c r="C1292">
        <f>+VLOOKUP(Sites_per_tag[[#This Row],[Field_office]],Parameter!$A$3:$B$11,2,0)</f>
        <v>4</v>
      </c>
      <c r="E1292" t="s">
        <v>5678</v>
      </c>
      <c r="F1292" t="s">
        <v>5679</v>
      </c>
      <c r="H1292" t="str">
        <f ca="1">PROPER(Sites_per_tag[[#This Row],[Adm2Name]])</f>
        <v>Mananjary</v>
      </c>
      <c r="I1292" t="s">
        <v>5705</v>
      </c>
      <c r="K1292" t="s">
        <v>3024</v>
      </c>
      <c r="L1292" t="s">
        <v>6042</v>
      </c>
      <c r="N1292" t="s">
        <v>3003</v>
      </c>
      <c r="O1292" t="s">
        <v>4016</v>
      </c>
      <c r="Q1292" t="s">
        <v>3003</v>
      </c>
      <c r="R1292" t="s">
        <v>3004</v>
      </c>
      <c r="T1292" t="s">
        <v>50</v>
      </c>
      <c r="U1292" s="3" t="str">
        <f>+VLOOKUP(Sites_per_tag[[#This Row],[Activity_tag]],Parameter!$A$24:$B$32,2,0)</f>
        <v>STUNT</v>
      </c>
      <c r="V1292" t="s">
        <v>6427</v>
      </c>
      <c r="W1292">
        <v>48.127780000000001</v>
      </c>
      <c r="X1292">
        <v>-21.295819999999999</v>
      </c>
    </row>
    <row r="1293" spans="1:24" x14ac:dyDescent="0.35">
      <c r="A1293" s="3" t="str">
        <f t="shared" si="20"/>
        <v>MG23209170001PREV</v>
      </c>
      <c r="B1293" t="s">
        <v>6193</v>
      </c>
      <c r="C1293">
        <f>+VLOOKUP(Sites_per_tag[[#This Row],[Field_office]],Parameter!$A$3:$B$11,2,0)</f>
        <v>4</v>
      </c>
      <c r="E1293" t="s">
        <v>5678</v>
      </c>
      <c r="F1293" t="s">
        <v>5679</v>
      </c>
      <c r="H1293" t="str">
        <f ca="1">PROPER(Sites_per_tag[[#This Row],[Adm2Name]])</f>
        <v>Mananjary</v>
      </c>
      <c r="I1293" t="s">
        <v>5705</v>
      </c>
      <c r="K1293" t="s">
        <v>3074</v>
      </c>
      <c r="L1293" t="s">
        <v>6049</v>
      </c>
      <c r="N1293" t="s">
        <v>3074</v>
      </c>
      <c r="Q1293" t="s">
        <v>3074</v>
      </c>
      <c r="R1293" t="s">
        <v>3075</v>
      </c>
      <c r="T1293" t="s">
        <v>32</v>
      </c>
      <c r="U1293" s="3" t="str">
        <f>+VLOOKUP(Sites_per_tag[[#This Row],[Activity_tag]],Parameter!$A$24:$B$32,2,0)</f>
        <v>PREV</v>
      </c>
      <c r="W1293">
        <v>48.286520000000003</v>
      </c>
      <c r="X1293">
        <v>-21.00638</v>
      </c>
    </row>
    <row r="1294" spans="1:24" x14ac:dyDescent="0.35">
      <c r="A1294" s="3" t="str">
        <f t="shared" si="20"/>
        <v>MG23209170056PREV</v>
      </c>
      <c r="B1294" t="s">
        <v>6193</v>
      </c>
      <c r="C1294">
        <f>+VLOOKUP(Sites_per_tag[[#This Row],[Field_office]],Parameter!$A$3:$B$11,2,0)</f>
        <v>4</v>
      </c>
      <c r="E1294" t="s">
        <v>5678</v>
      </c>
      <c r="F1294" t="s">
        <v>5679</v>
      </c>
      <c r="H1294" t="str">
        <f ca="1">PROPER(Sites_per_tag[[#This Row],[Adm2Name]])</f>
        <v>Mananjary</v>
      </c>
      <c r="I1294" t="s">
        <v>5705</v>
      </c>
      <c r="K1294" t="s">
        <v>3074</v>
      </c>
      <c r="L1294" t="s">
        <v>6049</v>
      </c>
      <c r="N1294" t="s">
        <v>360</v>
      </c>
      <c r="Q1294" t="s">
        <v>360</v>
      </c>
      <c r="R1294" t="s">
        <v>361</v>
      </c>
      <c r="T1294" t="s">
        <v>32</v>
      </c>
      <c r="U1294" s="3" t="str">
        <f>+VLOOKUP(Sites_per_tag[[#This Row],[Activity_tag]],Parameter!$A$24:$B$32,2,0)</f>
        <v>PREV</v>
      </c>
      <c r="W1294">
        <v>48.253219999999999</v>
      </c>
      <c r="X1294">
        <v>-20.950780000000002</v>
      </c>
    </row>
    <row r="1295" spans="1:24" x14ac:dyDescent="0.35">
      <c r="A1295" s="3" t="str">
        <f t="shared" si="20"/>
        <v>MG23209230007001MAM</v>
      </c>
      <c r="B1295" t="s">
        <v>6193</v>
      </c>
      <c r="C1295">
        <f>+VLOOKUP(Sites_per_tag[[#This Row],[Field_office]],Parameter!$A$3:$B$11,2,0)</f>
        <v>4</v>
      </c>
      <c r="E1295" t="s">
        <v>5678</v>
      </c>
      <c r="F1295" t="s">
        <v>5679</v>
      </c>
      <c r="H1295" t="str">
        <f ca="1">PROPER(Sites_per_tag[[#This Row],[Adm2Name]])</f>
        <v>Ikongo</v>
      </c>
      <c r="I1295" t="s">
        <v>5699</v>
      </c>
      <c r="K1295" t="s">
        <v>5739</v>
      </c>
      <c r="L1295" t="s">
        <v>5740</v>
      </c>
      <c r="N1295" t="s">
        <v>4360</v>
      </c>
      <c r="O1295" t="s">
        <v>4359</v>
      </c>
      <c r="Q1295" t="s">
        <v>2680</v>
      </c>
      <c r="R1295" t="s">
        <v>2681</v>
      </c>
      <c r="T1295" t="s">
        <v>5</v>
      </c>
      <c r="U1295" s="3" t="str">
        <f>+VLOOKUP(Sites_per_tag[[#This Row],[Activity_tag]],Parameter!$A$24:$B$32,2,0)</f>
        <v>MAM</v>
      </c>
      <c r="W1295">
        <v>47.556879000000002</v>
      </c>
      <c r="X1295">
        <v>-21.491142</v>
      </c>
    </row>
    <row r="1296" spans="1:24" x14ac:dyDescent="0.35">
      <c r="A1296" s="3" t="str">
        <f t="shared" si="20"/>
        <v>MG23209270001PREV</v>
      </c>
      <c r="B1296" t="s">
        <v>6193</v>
      </c>
      <c r="C1296">
        <f>+VLOOKUP(Sites_per_tag[[#This Row],[Field_office]],Parameter!$A$3:$B$11,2,0)</f>
        <v>4</v>
      </c>
      <c r="E1296" t="s">
        <v>5678</v>
      </c>
      <c r="F1296" t="s">
        <v>5679</v>
      </c>
      <c r="H1296" t="str">
        <f ca="1">PROPER(Sites_per_tag[[#This Row],[Adm2Name]])</f>
        <v>Mananjary</v>
      </c>
      <c r="I1296" t="s">
        <v>5705</v>
      </c>
      <c r="K1296" t="s">
        <v>2792</v>
      </c>
      <c r="L1296" t="s">
        <v>6010</v>
      </c>
      <c r="N1296" t="s">
        <v>2792</v>
      </c>
      <c r="Q1296" t="s">
        <v>2792</v>
      </c>
      <c r="R1296" t="s">
        <v>2793</v>
      </c>
      <c r="T1296" t="s">
        <v>32</v>
      </c>
      <c r="U1296" s="3" t="str">
        <f>+VLOOKUP(Sites_per_tag[[#This Row],[Activity_tag]],Parameter!$A$24:$B$32,2,0)</f>
        <v>PREV</v>
      </c>
      <c r="W1296">
        <v>48.3018</v>
      </c>
      <c r="X1296">
        <v>-20.847580000000001</v>
      </c>
    </row>
    <row r="1297" spans="1:24" x14ac:dyDescent="0.35">
      <c r="A1297" s="3" t="str">
        <f t="shared" si="20"/>
        <v>MG23209290011001MAM</v>
      </c>
      <c r="B1297" t="s">
        <v>6193</v>
      </c>
      <c r="C1297">
        <f>+VLOOKUP(Sites_per_tag[[#This Row],[Field_office]],Parameter!$A$3:$B$11,2,0)</f>
        <v>4</v>
      </c>
      <c r="E1297" t="s">
        <v>5678</v>
      </c>
      <c r="F1297" t="s">
        <v>5679</v>
      </c>
      <c r="H1297" t="str">
        <f ca="1">PROPER(Sites_per_tag[[#This Row],[Adm2Name]])</f>
        <v>Ikongo</v>
      </c>
      <c r="I1297" t="s">
        <v>5699</v>
      </c>
      <c r="K1297" t="s">
        <v>4025</v>
      </c>
      <c r="L1297" t="s">
        <v>5681</v>
      </c>
      <c r="N1297" t="s">
        <v>4293</v>
      </c>
      <c r="O1297" t="s">
        <v>4292</v>
      </c>
      <c r="Q1297" t="s">
        <v>2750</v>
      </c>
      <c r="R1297" t="s">
        <v>2751</v>
      </c>
      <c r="T1297" t="s">
        <v>5</v>
      </c>
      <c r="U1297" s="3" t="str">
        <f>+VLOOKUP(Sites_per_tag[[#This Row],[Activity_tag]],Parameter!$A$24:$B$32,2,0)</f>
        <v>MAM</v>
      </c>
      <c r="W1297">
        <v>47.495319000000002</v>
      </c>
      <c r="X1297">
        <v>-21.796849999999999</v>
      </c>
    </row>
    <row r="1298" spans="1:24" x14ac:dyDescent="0.35">
      <c r="A1298" s="3" t="str">
        <f t="shared" si="20"/>
        <v>MG23210070001001STUNT</v>
      </c>
      <c r="B1298" t="s">
        <v>6193</v>
      </c>
      <c r="C1298">
        <f>+VLOOKUP(Sites_per_tag[[#This Row],[Field_office]],Parameter!$A$3:$B$11,2,0)</f>
        <v>4</v>
      </c>
      <c r="E1298" t="s">
        <v>5678</v>
      </c>
      <c r="F1298" t="s">
        <v>5679</v>
      </c>
      <c r="H1298" t="str">
        <f ca="1">PROPER(Sites_per_tag[[#This Row],[Adm2Name]])</f>
        <v>Manakara Atsimo</v>
      </c>
      <c r="I1298" t="s">
        <v>5701</v>
      </c>
      <c r="K1298" t="s">
        <v>299</v>
      </c>
      <c r="L1298" t="s">
        <v>5704</v>
      </c>
      <c r="N1298" t="s">
        <v>299</v>
      </c>
      <c r="O1298" t="s">
        <v>4017</v>
      </c>
      <c r="Q1298" t="s">
        <v>299</v>
      </c>
      <c r="R1298" t="s">
        <v>300</v>
      </c>
      <c r="T1298" t="s">
        <v>50</v>
      </c>
      <c r="U1298" s="3" t="str">
        <f>+VLOOKUP(Sites_per_tag[[#This Row],[Activity_tag]],Parameter!$A$24:$B$32,2,0)</f>
        <v>STUNT</v>
      </c>
      <c r="V1298" t="s">
        <v>6428</v>
      </c>
      <c r="W1298">
        <v>47.970599999999997</v>
      </c>
      <c r="X1298">
        <v>-22.003419999999998</v>
      </c>
    </row>
    <row r="1299" spans="1:24" x14ac:dyDescent="0.35">
      <c r="A1299" s="3" t="str">
        <f t="shared" si="20"/>
        <v>MG23210070003001STUNT</v>
      </c>
      <c r="B1299" t="s">
        <v>6193</v>
      </c>
      <c r="C1299">
        <f>+VLOOKUP(Sites_per_tag[[#This Row],[Field_office]],Parameter!$A$3:$B$11,2,0)</f>
        <v>4</v>
      </c>
      <c r="E1299" t="s">
        <v>5678</v>
      </c>
      <c r="F1299" t="s">
        <v>5679</v>
      </c>
      <c r="H1299" t="str">
        <f ca="1">PROPER(Sites_per_tag[[#This Row],[Adm2Name]])</f>
        <v>Manakara Atsimo</v>
      </c>
      <c r="I1299" t="s">
        <v>5701</v>
      </c>
      <c r="K1299" t="s">
        <v>299</v>
      </c>
      <c r="L1299" t="s">
        <v>5704</v>
      </c>
      <c r="N1299" t="s">
        <v>947</v>
      </c>
      <c r="O1299" t="s">
        <v>4018</v>
      </c>
      <c r="Q1299" t="s">
        <v>947</v>
      </c>
      <c r="R1299" t="s">
        <v>948</v>
      </c>
      <c r="T1299" t="s">
        <v>50</v>
      </c>
      <c r="U1299" s="3" t="str">
        <f>+VLOOKUP(Sites_per_tag[[#This Row],[Activity_tag]],Parameter!$A$24:$B$32,2,0)</f>
        <v>STUNT</v>
      </c>
      <c r="V1299" t="s">
        <v>6429</v>
      </c>
      <c r="W1299">
        <v>47.963970000000003</v>
      </c>
      <c r="X1299">
        <v>-21.939350000000001</v>
      </c>
    </row>
    <row r="1300" spans="1:24" x14ac:dyDescent="0.35">
      <c r="A1300" s="3" t="str">
        <f t="shared" si="20"/>
        <v>MG23210070004001STUNT</v>
      </c>
      <c r="B1300" t="s">
        <v>6193</v>
      </c>
      <c r="C1300">
        <f>+VLOOKUP(Sites_per_tag[[#This Row],[Field_office]],Parameter!$A$3:$B$11,2,0)</f>
        <v>4</v>
      </c>
      <c r="E1300" t="s">
        <v>5678</v>
      </c>
      <c r="F1300" t="s">
        <v>5679</v>
      </c>
      <c r="H1300" t="str">
        <f ca="1">PROPER(Sites_per_tag[[#This Row],[Adm2Name]])</f>
        <v>Manakara Atsimo</v>
      </c>
      <c r="I1300" t="s">
        <v>5701</v>
      </c>
      <c r="K1300" t="s">
        <v>299</v>
      </c>
      <c r="L1300" t="s">
        <v>5704</v>
      </c>
      <c r="N1300" t="s">
        <v>2707</v>
      </c>
      <c r="O1300" t="s">
        <v>4019</v>
      </c>
      <c r="Q1300" t="s">
        <v>2707</v>
      </c>
      <c r="R1300" t="s">
        <v>2708</v>
      </c>
      <c r="T1300" t="s">
        <v>50</v>
      </c>
      <c r="U1300" s="3" t="str">
        <f>+VLOOKUP(Sites_per_tag[[#This Row],[Activity_tag]],Parameter!$A$24:$B$32,2,0)</f>
        <v>STUNT</v>
      </c>
      <c r="V1300" t="s">
        <v>6430</v>
      </c>
      <c r="W1300">
        <v>48.105080000000001</v>
      </c>
      <c r="X1300">
        <v>-21.950430000000001</v>
      </c>
    </row>
    <row r="1301" spans="1:24" x14ac:dyDescent="0.35">
      <c r="A1301" s="3" t="str">
        <f t="shared" si="20"/>
        <v>MG23210070005001STUNT</v>
      </c>
      <c r="B1301" t="s">
        <v>6193</v>
      </c>
      <c r="C1301">
        <f>+VLOOKUP(Sites_per_tag[[#This Row],[Field_office]],Parameter!$A$3:$B$11,2,0)</f>
        <v>4</v>
      </c>
      <c r="E1301" t="s">
        <v>5678</v>
      </c>
      <c r="F1301" t="s">
        <v>5679</v>
      </c>
      <c r="H1301" t="str">
        <f ca="1">PROPER(Sites_per_tag[[#This Row],[Adm2Name]])</f>
        <v>Manakara Atsimo</v>
      </c>
      <c r="I1301" t="s">
        <v>5701</v>
      </c>
      <c r="K1301" t="s">
        <v>299</v>
      </c>
      <c r="L1301" t="s">
        <v>5704</v>
      </c>
      <c r="N1301" t="s">
        <v>2892</v>
      </c>
      <c r="O1301" t="s">
        <v>4020</v>
      </c>
      <c r="Q1301" t="s">
        <v>2892</v>
      </c>
      <c r="R1301" t="s">
        <v>2893</v>
      </c>
      <c r="T1301" t="s">
        <v>50</v>
      </c>
      <c r="U1301" s="3" t="str">
        <f>+VLOOKUP(Sites_per_tag[[#This Row],[Activity_tag]],Parameter!$A$24:$B$32,2,0)</f>
        <v>STUNT</v>
      </c>
      <c r="V1301" t="s">
        <v>6431</v>
      </c>
      <c r="W1301">
        <v>47.995849999999997</v>
      </c>
      <c r="X1301">
        <v>-21.9573</v>
      </c>
    </row>
    <row r="1302" spans="1:24" x14ac:dyDescent="0.35">
      <c r="A1302" s="3" t="str">
        <f t="shared" si="20"/>
        <v>MG23210070009001STUNT</v>
      </c>
      <c r="B1302" t="s">
        <v>6193</v>
      </c>
      <c r="C1302">
        <f>+VLOOKUP(Sites_per_tag[[#This Row],[Field_office]],Parameter!$A$3:$B$11,2,0)</f>
        <v>4</v>
      </c>
      <c r="E1302" t="s">
        <v>5678</v>
      </c>
      <c r="F1302" t="s">
        <v>5679</v>
      </c>
      <c r="H1302" t="str">
        <f ca="1">PROPER(Sites_per_tag[[#This Row],[Adm2Name]])</f>
        <v>Manakara Atsimo</v>
      </c>
      <c r="I1302" t="s">
        <v>5701</v>
      </c>
      <c r="K1302" t="s">
        <v>299</v>
      </c>
      <c r="L1302" t="s">
        <v>5704</v>
      </c>
      <c r="N1302" t="s">
        <v>1677</v>
      </c>
      <c r="O1302" t="s">
        <v>4021</v>
      </c>
      <c r="Q1302" t="s">
        <v>1677</v>
      </c>
      <c r="R1302" t="s">
        <v>1678</v>
      </c>
      <c r="T1302" t="s">
        <v>50</v>
      </c>
      <c r="U1302" s="3" t="str">
        <f>+VLOOKUP(Sites_per_tag[[#This Row],[Activity_tag]],Parameter!$A$24:$B$32,2,0)</f>
        <v>STUNT</v>
      </c>
      <c r="V1302" t="s">
        <v>6432</v>
      </c>
      <c r="W1302">
        <v>48.000230000000002</v>
      </c>
      <c r="X1302">
        <v>-22.006399999999999</v>
      </c>
    </row>
    <row r="1303" spans="1:24" x14ac:dyDescent="0.35">
      <c r="A1303" s="3" t="str">
        <f t="shared" si="20"/>
        <v>MG23210070055001STUNT</v>
      </c>
      <c r="B1303" t="s">
        <v>6193</v>
      </c>
      <c r="C1303">
        <f>+VLOOKUP(Sites_per_tag[[#This Row],[Field_office]],Parameter!$A$3:$B$11,2,0)</f>
        <v>4</v>
      </c>
      <c r="E1303" t="s">
        <v>5678</v>
      </c>
      <c r="F1303" t="s">
        <v>5679</v>
      </c>
      <c r="H1303" t="str">
        <f ca="1">PROPER(Sites_per_tag[[#This Row],[Adm2Name]])</f>
        <v>Manakara Atsimo</v>
      </c>
      <c r="I1303" t="s">
        <v>5701</v>
      </c>
      <c r="K1303" t="s">
        <v>299</v>
      </c>
      <c r="L1303" t="s">
        <v>5704</v>
      </c>
      <c r="N1303" t="s">
        <v>1992</v>
      </c>
      <c r="O1303" t="s">
        <v>4022</v>
      </c>
      <c r="Q1303" t="s">
        <v>1992</v>
      </c>
      <c r="R1303" t="s">
        <v>1993</v>
      </c>
      <c r="T1303" t="s">
        <v>50</v>
      </c>
      <c r="U1303" s="3" t="str">
        <f>+VLOOKUP(Sites_per_tag[[#This Row],[Activity_tag]],Parameter!$A$24:$B$32,2,0)</f>
        <v>STUNT</v>
      </c>
      <c r="V1303" t="s">
        <v>6433</v>
      </c>
      <c r="W1303">
        <v>47.927199999999999</v>
      </c>
      <c r="X1303">
        <v>-21.972370000000002</v>
      </c>
    </row>
    <row r="1304" spans="1:24" x14ac:dyDescent="0.35">
      <c r="A1304" s="3" t="str">
        <f t="shared" si="20"/>
        <v>MG23210190003001MAM</v>
      </c>
      <c r="B1304" t="s">
        <v>6193</v>
      </c>
      <c r="C1304">
        <f>+VLOOKUP(Sites_per_tag[[#This Row],[Field_office]],Parameter!$A$3:$B$11,2,0)</f>
        <v>4</v>
      </c>
      <c r="E1304" t="s">
        <v>5658</v>
      </c>
      <c r="F1304" t="s">
        <v>5659</v>
      </c>
      <c r="H1304" t="str">
        <f ca="1">PROPER(Sites_per_tag[[#This Row],[Adm2Name]])</f>
        <v>Farafangana</v>
      </c>
      <c r="I1304" t="s">
        <v>5694</v>
      </c>
      <c r="K1304" t="s">
        <v>2783</v>
      </c>
      <c r="L1304" t="s">
        <v>6009</v>
      </c>
      <c r="N1304" t="s">
        <v>1011</v>
      </c>
      <c r="O1304" t="s">
        <v>5191</v>
      </c>
      <c r="Q1304" t="s">
        <v>1011</v>
      </c>
      <c r="R1304" t="s">
        <v>1012</v>
      </c>
      <c r="T1304" t="s">
        <v>5</v>
      </c>
      <c r="U1304" s="3" t="str">
        <f>+VLOOKUP(Sites_per_tag[[#This Row],[Activity_tag]],Parameter!$A$24:$B$32,2,0)</f>
        <v>MAM</v>
      </c>
      <c r="W1304">
        <v>47.714129999999997</v>
      </c>
      <c r="X1304">
        <v>-22.716850000000001</v>
      </c>
    </row>
    <row r="1305" spans="1:24" x14ac:dyDescent="0.35">
      <c r="A1305" s="3" t="str">
        <f t="shared" si="20"/>
        <v>MG23210190005001MAM</v>
      </c>
      <c r="B1305" t="s">
        <v>6193</v>
      </c>
      <c r="C1305">
        <f>+VLOOKUP(Sites_per_tag[[#This Row],[Field_office]],Parameter!$A$3:$B$11,2,0)</f>
        <v>4</v>
      </c>
      <c r="E1305" t="s">
        <v>5678</v>
      </c>
      <c r="F1305" t="s">
        <v>5679</v>
      </c>
      <c r="H1305" t="str">
        <f ca="1">PROPER(Sites_per_tag[[#This Row],[Adm2Name]])</f>
        <v>Ikongo</v>
      </c>
      <c r="I1305" t="s">
        <v>5699</v>
      </c>
      <c r="K1305" t="s">
        <v>5621</v>
      </c>
      <c r="L1305" t="s">
        <v>5973</v>
      </c>
      <c r="N1305" t="s">
        <v>5058</v>
      </c>
      <c r="O1305" t="s">
        <v>5057</v>
      </c>
      <c r="Q1305" t="s">
        <v>382</v>
      </c>
      <c r="R1305" t="s">
        <v>383</v>
      </c>
      <c r="T1305" t="s">
        <v>5</v>
      </c>
      <c r="U1305" s="3" t="str">
        <f>+VLOOKUP(Sites_per_tag[[#This Row],[Activity_tag]],Parameter!$A$24:$B$32,2,0)</f>
        <v>MAM</v>
      </c>
      <c r="W1305">
        <v>47.354100000000003</v>
      </c>
      <c r="X1305">
        <v>-21.855250000000002</v>
      </c>
    </row>
    <row r="1306" spans="1:24" x14ac:dyDescent="0.35">
      <c r="A1306" s="3" t="str">
        <f t="shared" si="20"/>
        <v>MG23210271003001MAM</v>
      </c>
      <c r="B1306" t="s">
        <v>6193</v>
      </c>
      <c r="C1306">
        <f>+VLOOKUP(Sites_per_tag[[#This Row],[Field_office]],Parameter!$A$3:$B$11,2,0)</f>
        <v>4</v>
      </c>
      <c r="E1306" t="s">
        <v>5658</v>
      </c>
      <c r="F1306" t="s">
        <v>5659</v>
      </c>
      <c r="H1306" t="str">
        <f ca="1">PROPER(Sites_per_tag[[#This Row],[Adm2Name]])</f>
        <v>Vangaindrano</v>
      </c>
      <c r="I1306" t="s">
        <v>5734</v>
      </c>
      <c r="K1306" t="s">
        <v>3752</v>
      </c>
      <c r="L1306" t="s">
        <v>6145</v>
      </c>
      <c r="N1306" t="s">
        <v>3719</v>
      </c>
      <c r="O1306" t="s">
        <v>5529</v>
      </c>
      <c r="Q1306" t="s">
        <v>3721</v>
      </c>
      <c r="R1306" t="s">
        <v>3722</v>
      </c>
      <c r="T1306" t="s">
        <v>5</v>
      </c>
      <c r="U1306" s="3" t="str">
        <f>+VLOOKUP(Sites_per_tag[[#This Row],[Activity_tag]],Parameter!$A$24:$B$32,2,0)</f>
        <v>MAM</v>
      </c>
      <c r="W1306">
        <v>47.689619999999998</v>
      </c>
      <c r="X1306">
        <v>-23.288250000000001</v>
      </c>
    </row>
    <row r="1307" spans="1:24" x14ac:dyDescent="0.35">
      <c r="A1307" s="3" t="str">
        <f t="shared" si="20"/>
        <v>MG23210330004001MAM</v>
      </c>
      <c r="B1307" t="s">
        <v>6193</v>
      </c>
      <c r="C1307">
        <f>+VLOOKUP(Sites_per_tag[[#This Row],[Field_office]],Parameter!$A$3:$B$11,2,0)</f>
        <v>4</v>
      </c>
      <c r="E1307" t="s">
        <v>5658</v>
      </c>
      <c r="F1307" t="s">
        <v>5659</v>
      </c>
      <c r="H1307" t="str">
        <f ca="1">PROPER(Sites_per_tag[[#This Row],[Adm2Name]])</f>
        <v>Vondrozo</v>
      </c>
      <c r="I1307" t="s">
        <v>5738</v>
      </c>
      <c r="K1307" t="s">
        <v>5908</v>
      </c>
      <c r="L1307" t="s">
        <v>6019</v>
      </c>
      <c r="N1307" t="s">
        <v>3958</v>
      </c>
      <c r="O1307" t="s">
        <v>5211</v>
      </c>
      <c r="Q1307" t="s">
        <v>3958</v>
      </c>
      <c r="R1307" t="s">
        <v>3959</v>
      </c>
      <c r="T1307" t="s">
        <v>5</v>
      </c>
      <c r="U1307" s="3" t="str">
        <f>+VLOOKUP(Sites_per_tag[[#This Row],[Activity_tag]],Parameter!$A$24:$B$32,2,0)</f>
        <v>MAM</v>
      </c>
      <c r="W1307">
        <v>47.336849999999998</v>
      </c>
      <c r="X1307">
        <v>-22.73113</v>
      </c>
    </row>
    <row r="1308" spans="1:24" x14ac:dyDescent="0.35">
      <c r="A1308" s="3" t="str">
        <f t="shared" si="20"/>
        <v>MG23210510024001STUNT</v>
      </c>
      <c r="B1308" t="s">
        <v>6193</v>
      </c>
      <c r="C1308">
        <f>+VLOOKUP(Sites_per_tag[[#This Row],[Field_office]],Parameter!$A$3:$B$11,2,0)</f>
        <v>4</v>
      </c>
      <c r="E1308" t="s">
        <v>5678</v>
      </c>
      <c r="F1308" t="s">
        <v>5679</v>
      </c>
      <c r="H1308" t="str">
        <f ca="1">PROPER(Sites_per_tag[[#This Row],[Adm2Name]])</f>
        <v>Manakara Atsimo</v>
      </c>
      <c r="I1308" t="s">
        <v>5701</v>
      </c>
      <c r="K1308" t="s">
        <v>5861</v>
      </c>
      <c r="L1308" t="s">
        <v>5862</v>
      </c>
      <c r="N1308" t="s">
        <v>2783</v>
      </c>
      <c r="O1308" t="s">
        <v>4023</v>
      </c>
      <c r="Q1308" t="s">
        <v>2783</v>
      </c>
      <c r="R1308" t="s">
        <v>2784</v>
      </c>
      <c r="T1308" t="s">
        <v>50</v>
      </c>
      <c r="U1308" s="3" t="str">
        <f>+VLOOKUP(Sites_per_tag[[#This Row],[Activity_tag]],Parameter!$A$24:$B$32,2,0)</f>
        <v>STUNT</v>
      </c>
      <c r="V1308" t="s">
        <v>6434</v>
      </c>
      <c r="W1308">
        <v>47.871220000000001</v>
      </c>
      <c r="X1308">
        <v>-21.668769999999999</v>
      </c>
    </row>
    <row r="1309" spans="1:24" x14ac:dyDescent="0.35">
      <c r="A1309" s="3" t="str">
        <f t="shared" si="20"/>
        <v>MG23211011003001MAM</v>
      </c>
      <c r="B1309" t="s">
        <v>6193</v>
      </c>
      <c r="C1309">
        <f>+VLOOKUP(Sites_per_tag[[#This Row],[Field_office]],Parameter!$A$3:$B$11,2,0)</f>
        <v>4</v>
      </c>
      <c r="E1309" t="s">
        <v>5678</v>
      </c>
      <c r="F1309" t="s">
        <v>5679</v>
      </c>
      <c r="H1309" t="str">
        <f ca="1">PROPER(Sites_per_tag[[#This Row],[Adm2Name]])</f>
        <v>Ikongo</v>
      </c>
      <c r="I1309" t="s">
        <v>5699</v>
      </c>
      <c r="K1309" t="s">
        <v>5621</v>
      </c>
      <c r="L1309" t="s">
        <v>5973</v>
      </c>
      <c r="N1309" t="s">
        <v>4919</v>
      </c>
      <c r="O1309" t="s">
        <v>5059</v>
      </c>
      <c r="Q1309" t="s">
        <v>131</v>
      </c>
      <c r="R1309" t="s">
        <v>132</v>
      </c>
      <c r="T1309" t="s">
        <v>5</v>
      </c>
      <c r="U1309" s="3" t="str">
        <f>+VLOOKUP(Sites_per_tag[[#This Row],[Activity_tag]],Parameter!$A$24:$B$32,2,0)</f>
        <v>MAM</v>
      </c>
      <c r="W1309">
        <v>47.588749999999997</v>
      </c>
      <c r="X1309">
        <v>-23.111049999999999</v>
      </c>
    </row>
    <row r="1310" spans="1:24" x14ac:dyDescent="0.35">
      <c r="A1310" s="3" t="str">
        <f t="shared" si="20"/>
        <v>MG23211011007001MAM</v>
      </c>
      <c r="B1310" t="s">
        <v>6193</v>
      </c>
      <c r="C1310">
        <f>+VLOOKUP(Sites_per_tag[[#This Row],[Field_office]],Parameter!$A$3:$B$11,2,0)</f>
        <v>4</v>
      </c>
      <c r="E1310" t="s">
        <v>5678</v>
      </c>
      <c r="F1310" t="s">
        <v>5679</v>
      </c>
      <c r="H1310" t="str">
        <f ca="1">PROPER(Sites_per_tag[[#This Row],[Adm2Name]])</f>
        <v>Ikongo</v>
      </c>
      <c r="I1310" t="s">
        <v>5699</v>
      </c>
      <c r="K1310" t="s">
        <v>5621</v>
      </c>
      <c r="L1310" t="s">
        <v>5973</v>
      </c>
      <c r="N1310" t="s">
        <v>89</v>
      </c>
      <c r="O1310" t="s">
        <v>5060</v>
      </c>
      <c r="Q1310" t="s">
        <v>89</v>
      </c>
      <c r="R1310" t="s">
        <v>90</v>
      </c>
      <c r="T1310" t="s">
        <v>5</v>
      </c>
      <c r="U1310" s="3" t="str">
        <f>+VLOOKUP(Sites_per_tag[[#This Row],[Activity_tag]],Parameter!$A$24:$B$32,2,0)</f>
        <v>MAM</v>
      </c>
      <c r="W1310">
        <v>47.452629999999999</v>
      </c>
      <c r="X1310">
        <v>-21.864229999999999</v>
      </c>
    </row>
    <row r="1311" spans="1:24" x14ac:dyDescent="0.35">
      <c r="A1311" s="3" t="str">
        <f t="shared" si="20"/>
        <v>MG23211011009001MAM</v>
      </c>
      <c r="B1311" t="s">
        <v>6193</v>
      </c>
      <c r="C1311">
        <f>+VLOOKUP(Sites_per_tag[[#This Row],[Field_office]],Parameter!$A$3:$B$11,2,0)</f>
        <v>4</v>
      </c>
      <c r="E1311" t="s">
        <v>5678</v>
      </c>
      <c r="F1311" t="s">
        <v>5679</v>
      </c>
      <c r="H1311" t="str">
        <f ca="1">PROPER(Sites_per_tag[[#This Row],[Adm2Name]])</f>
        <v>Ikongo</v>
      </c>
      <c r="I1311" t="s">
        <v>5699</v>
      </c>
      <c r="K1311" t="s">
        <v>5621</v>
      </c>
      <c r="L1311" t="s">
        <v>5973</v>
      </c>
      <c r="N1311" t="s">
        <v>5062</v>
      </c>
      <c r="O1311" t="s">
        <v>5061</v>
      </c>
      <c r="Q1311" t="s">
        <v>1532</v>
      </c>
      <c r="R1311" t="s">
        <v>1533</v>
      </c>
      <c r="T1311" t="s">
        <v>5</v>
      </c>
      <c r="U1311" s="3" t="str">
        <f>+VLOOKUP(Sites_per_tag[[#This Row],[Activity_tag]],Parameter!$A$24:$B$32,2,0)</f>
        <v>MAM</v>
      </c>
      <c r="W1311">
        <v>47.395479999999999</v>
      </c>
      <c r="X1311">
        <v>-21.860420000000001</v>
      </c>
    </row>
    <row r="1312" spans="1:24" x14ac:dyDescent="0.35">
      <c r="A1312" s="3" t="str">
        <f t="shared" si="20"/>
        <v>MG23211011010001MAM</v>
      </c>
      <c r="B1312" t="s">
        <v>6193</v>
      </c>
      <c r="C1312">
        <f>+VLOOKUP(Sites_per_tag[[#This Row],[Field_office]],Parameter!$A$3:$B$11,2,0)</f>
        <v>4</v>
      </c>
      <c r="E1312" t="s">
        <v>5678</v>
      </c>
      <c r="F1312" t="s">
        <v>5679</v>
      </c>
      <c r="H1312" t="str">
        <f ca="1">PROPER(Sites_per_tag[[#This Row],[Adm2Name]])</f>
        <v>Ikongo</v>
      </c>
      <c r="I1312" t="s">
        <v>5699</v>
      </c>
      <c r="K1312" t="s">
        <v>5621</v>
      </c>
      <c r="L1312" t="s">
        <v>5973</v>
      </c>
      <c r="N1312" t="s">
        <v>5064</v>
      </c>
      <c r="O1312" t="s">
        <v>5063</v>
      </c>
      <c r="Q1312" t="s">
        <v>3364</v>
      </c>
      <c r="R1312" t="s">
        <v>3365</v>
      </c>
      <c r="T1312" t="s">
        <v>5</v>
      </c>
      <c r="U1312" s="3" t="str">
        <f>+VLOOKUP(Sites_per_tag[[#This Row],[Activity_tag]],Parameter!$A$24:$B$32,2,0)</f>
        <v>MAM</v>
      </c>
      <c r="W1312">
        <v>47.416679999999999</v>
      </c>
      <c r="X1312">
        <v>-21.86825</v>
      </c>
    </row>
    <row r="1313" spans="1:24" x14ac:dyDescent="0.35">
      <c r="A1313" s="3" t="str">
        <f t="shared" si="20"/>
        <v>MG23211011011001MAM</v>
      </c>
      <c r="B1313" t="s">
        <v>6193</v>
      </c>
      <c r="C1313">
        <f>+VLOOKUP(Sites_per_tag[[#This Row],[Field_office]],Parameter!$A$3:$B$11,2,0)</f>
        <v>4</v>
      </c>
      <c r="E1313" t="s">
        <v>5678</v>
      </c>
      <c r="F1313" t="s">
        <v>5679</v>
      </c>
      <c r="H1313" t="str">
        <f ca="1">PROPER(Sites_per_tag[[#This Row],[Adm2Name]])</f>
        <v>Ikongo</v>
      </c>
      <c r="I1313" t="s">
        <v>5699</v>
      </c>
      <c r="K1313" t="s">
        <v>5621</v>
      </c>
      <c r="L1313" t="s">
        <v>5973</v>
      </c>
      <c r="N1313" t="s">
        <v>5066</v>
      </c>
      <c r="O1313" t="s">
        <v>5065</v>
      </c>
      <c r="Q1313" t="s">
        <v>362</v>
      </c>
      <c r="R1313" t="s">
        <v>363</v>
      </c>
      <c r="T1313" t="s">
        <v>5</v>
      </c>
      <c r="U1313" s="3" t="str">
        <f>+VLOOKUP(Sites_per_tag[[#This Row],[Activity_tag]],Parameter!$A$24:$B$32,2,0)</f>
        <v>MAM</v>
      </c>
      <c r="W1313">
        <v>47.433720000000001</v>
      </c>
      <c r="X1313">
        <v>-21.8614</v>
      </c>
    </row>
    <row r="1314" spans="1:24" x14ac:dyDescent="0.35">
      <c r="A1314" s="3" t="str">
        <f t="shared" si="20"/>
        <v>MG23211011012001MAM</v>
      </c>
      <c r="B1314" t="s">
        <v>6193</v>
      </c>
      <c r="C1314">
        <f>+VLOOKUP(Sites_per_tag[[#This Row],[Field_office]],Parameter!$A$3:$B$11,2,0)</f>
        <v>4</v>
      </c>
      <c r="E1314" t="s">
        <v>5678</v>
      </c>
      <c r="F1314" t="s">
        <v>5679</v>
      </c>
      <c r="H1314" t="str">
        <f ca="1">PROPER(Sites_per_tag[[#This Row],[Adm2Name]])</f>
        <v>Ikongo</v>
      </c>
      <c r="I1314" t="s">
        <v>5699</v>
      </c>
      <c r="K1314" t="s">
        <v>5621</v>
      </c>
      <c r="L1314" t="s">
        <v>5973</v>
      </c>
      <c r="N1314" t="s">
        <v>5068</v>
      </c>
      <c r="O1314" t="s">
        <v>5067</v>
      </c>
      <c r="Q1314" t="s">
        <v>3299</v>
      </c>
      <c r="R1314" t="s">
        <v>3300</v>
      </c>
      <c r="T1314" t="s">
        <v>5</v>
      </c>
      <c r="U1314" s="3" t="str">
        <f>+VLOOKUP(Sites_per_tag[[#This Row],[Activity_tag]],Parameter!$A$24:$B$32,2,0)</f>
        <v>MAM</v>
      </c>
      <c r="W1314">
        <v>47.453870000000002</v>
      </c>
      <c r="X1314">
        <v>-21.861329999999999</v>
      </c>
    </row>
    <row r="1315" spans="1:24" x14ac:dyDescent="0.35">
      <c r="A1315" s="3" t="str">
        <f t="shared" si="20"/>
        <v>MG23211011016001MAM</v>
      </c>
      <c r="B1315" t="s">
        <v>6193</v>
      </c>
      <c r="C1315">
        <f>+VLOOKUP(Sites_per_tag[[#This Row],[Field_office]],Parameter!$A$3:$B$11,2,0)</f>
        <v>4</v>
      </c>
      <c r="E1315" t="s">
        <v>5678</v>
      </c>
      <c r="F1315" t="s">
        <v>5679</v>
      </c>
      <c r="H1315" t="str">
        <f ca="1">PROPER(Sites_per_tag[[#This Row],[Adm2Name]])</f>
        <v>Ikongo</v>
      </c>
      <c r="I1315" t="s">
        <v>5699</v>
      </c>
      <c r="K1315" t="s">
        <v>5621</v>
      </c>
      <c r="L1315" t="s">
        <v>5973</v>
      </c>
      <c r="N1315" t="s">
        <v>5070</v>
      </c>
      <c r="O1315" t="s">
        <v>5069</v>
      </c>
      <c r="Q1315" t="s">
        <v>2903</v>
      </c>
      <c r="R1315" t="s">
        <v>2904</v>
      </c>
      <c r="T1315" t="s">
        <v>5</v>
      </c>
      <c r="U1315" s="3" t="str">
        <f>+VLOOKUP(Sites_per_tag[[#This Row],[Activity_tag]],Parameter!$A$24:$B$32,2,0)</f>
        <v>MAM</v>
      </c>
      <c r="W1315">
        <v>47.439399999999999</v>
      </c>
      <c r="X1315">
        <v>-21.879930000000002</v>
      </c>
    </row>
    <row r="1316" spans="1:24" x14ac:dyDescent="0.35">
      <c r="A1316" s="3" t="str">
        <f t="shared" si="20"/>
        <v>MG23211011020001MAM</v>
      </c>
      <c r="B1316" t="s">
        <v>6193</v>
      </c>
      <c r="C1316">
        <f>+VLOOKUP(Sites_per_tag[[#This Row],[Field_office]],Parameter!$A$3:$B$11,2,0)</f>
        <v>4</v>
      </c>
      <c r="E1316" t="s">
        <v>5678</v>
      </c>
      <c r="F1316" t="s">
        <v>5679</v>
      </c>
      <c r="H1316" t="str">
        <f ca="1">PROPER(Sites_per_tag[[#This Row],[Adm2Name]])</f>
        <v>Ikongo</v>
      </c>
      <c r="I1316" t="s">
        <v>5699</v>
      </c>
      <c r="K1316" t="s">
        <v>5621</v>
      </c>
      <c r="L1316" t="s">
        <v>5973</v>
      </c>
      <c r="N1316" t="s">
        <v>5072</v>
      </c>
      <c r="O1316" t="s">
        <v>5071</v>
      </c>
      <c r="Q1316" t="s">
        <v>1529</v>
      </c>
      <c r="R1316" t="s">
        <v>1530</v>
      </c>
      <c r="T1316" t="s">
        <v>5</v>
      </c>
      <c r="U1316" s="3" t="str">
        <f>+VLOOKUP(Sites_per_tag[[#This Row],[Activity_tag]],Parameter!$A$24:$B$32,2,0)</f>
        <v>MAM</v>
      </c>
      <c r="W1316">
        <v>47.450530000000001</v>
      </c>
      <c r="X1316">
        <v>-21.888120000000001</v>
      </c>
    </row>
    <row r="1317" spans="1:24" x14ac:dyDescent="0.35">
      <c r="A1317" s="3" t="str">
        <f t="shared" si="20"/>
        <v>MG23211011029001MAM</v>
      </c>
      <c r="B1317" t="s">
        <v>6193</v>
      </c>
      <c r="C1317">
        <f>+VLOOKUP(Sites_per_tag[[#This Row],[Field_office]],Parameter!$A$3:$B$11,2,0)</f>
        <v>4</v>
      </c>
      <c r="E1317" t="s">
        <v>5678</v>
      </c>
      <c r="F1317" t="s">
        <v>5679</v>
      </c>
      <c r="H1317" t="str">
        <f ca="1">PROPER(Sites_per_tag[[#This Row],[Adm2Name]])</f>
        <v>Ikongo</v>
      </c>
      <c r="I1317" t="s">
        <v>5699</v>
      </c>
      <c r="K1317" t="s">
        <v>5621</v>
      </c>
      <c r="L1317" t="s">
        <v>5973</v>
      </c>
      <c r="N1317" t="s">
        <v>5074</v>
      </c>
      <c r="O1317" t="s">
        <v>5073</v>
      </c>
      <c r="Q1317" t="s">
        <v>3360</v>
      </c>
      <c r="R1317" t="s">
        <v>3361</v>
      </c>
      <c r="T1317" t="s">
        <v>5</v>
      </c>
      <c r="U1317" s="3" t="str">
        <f>+VLOOKUP(Sites_per_tag[[#This Row],[Activity_tag]],Parameter!$A$24:$B$32,2,0)</f>
        <v>MAM</v>
      </c>
      <c r="W1317">
        <v>47.467750000000002</v>
      </c>
      <c r="X1317">
        <v>-21.915980000000001</v>
      </c>
    </row>
    <row r="1318" spans="1:24" x14ac:dyDescent="0.35">
      <c r="A1318" s="3" t="str">
        <f t="shared" si="20"/>
        <v>MG23211011030001MAM</v>
      </c>
      <c r="B1318" t="s">
        <v>6193</v>
      </c>
      <c r="C1318">
        <f>+VLOOKUP(Sites_per_tag[[#This Row],[Field_office]],Parameter!$A$3:$B$11,2,0)</f>
        <v>4</v>
      </c>
      <c r="E1318" t="s">
        <v>5678</v>
      </c>
      <c r="F1318" t="s">
        <v>5679</v>
      </c>
      <c r="H1318" t="str">
        <f ca="1">PROPER(Sites_per_tag[[#This Row],[Adm2Name]])</f>
        <v>Ikongo</v>
      </c>
      <c r="I1318" t="s">
        <v>5699</v>
      </c>
      <c r="K1318" t="s">
        <v>5621</v>
      </c>
      <c r="L1318" t="s">
        <v>5973</v>
      </c>
      <c r="N1318" t="s">
        <v>5076</v>
      </c>
      <c r="O1318" t="s">
        <v>5075</v>
      </c>
      <c r="Q1318" t="s">
        <v>3727</v>
      </c>
      <c r="R1318" t="s">
        <v>3728</v>
      </c>
      <c r="T1318" t="s">
        <v>5</v>
      </c>
      <c r="U1318" s="3" t="str">
        <f>+VLOOKUP(Sites_per_tag[[#This Row],[Activity_tag]],Parameter!$A$24:$B$32,2,0)</f>
        <v>MAM</v>
      </c>
      <c r="W1318">
        <v>47.449469999999998</v>
      </c>
      <c r="X1318">
        <v>-21.91968</v>
      </c>
    </row>
    <row r="1319" spans="1:24" x14ac:dyDescent="0.35">
      <c r="A1319" s="3" t="str">
        <f t="shared" si="20"/>
        <v>MG23211011031001MAM</v>
      </c>
      <c r="B1319" t="s">
        <v>6193</v>
      </c>
      <c r="C1319">
        <f>+VLOOKUP(Sites_per_tag[[#This Row],[Field_office]],Parameter!$A$3:$B$11,2,0)</f>
        <v>4</v>
      </c>
      <c r="E1319" t="s">
        <v>5678</v>
      </c>
      <c r="F1319" t="s">
        <v>5679</v>
      </c>
      <c r="H1319" t="str">
        <f ca="1">PROPER(Sites_per_tag[[#This Row],[Adm2Name]])</f>
        <v>Ikongo</v>
      </c>
      <c r="I1319" t="s">
        <v>5699</v>
      </c>
      <c r="K1319" t="s">
        <v>5621</v>
      </c>
      <c r="L1319" t="s">
        <v>5973</v>
      </c>
      <c r="N1319" t="s">
        <v>5078</v>
      </c>
      <c r="O1319" t="s">
        <v>5077</v>
      </c>
      <c r="Q1319" t="s">
        <v>3975</v>
      </c>
      <c r="R1319" t="s">
        <v>3976</v>
      </c>
      <c r="T1319" t="s">
        <v>5</v>
      </c>
      <c r="U1319" s="3" t="str">
        <f>+VLOOKUP(Sites_per_tag[[#This Row],[Activity_tag]],Parameter!$A$24:$B$32,2,0)</f>
        <v>MAM</v>
      </c>
      <c r="W1319">
        <v>47.49738</v>
      </c>
      <c r="X1319">
        <v>-21.95635</v>
      </c>
    </row>
    <row r="1320" spans="1:24" x14ac:dyDescent="0.35">
      <c r="A1320" s="3" t="str">
        <f t="shared" si="20"/>
        <v>MG23211012003001MAM</v>
      </c>
      <c r="B1320" t="s">
        <v>6193</v>
      </c>
      <c r="C1320">
        <f>+VLOOKUP(Sites_per_tag[[#This Row],[Field_office]],Parameter!$A$3:$B$11,2,0)</f>
        <v>4</v>
      </c>
      <c r="E1320" t="s">
        <v>5678</v>
      </c>
      <c r="F1320" t="s">
        <v>5679</v>
      </c>
      <c r="H1320" t="str">
        <f ca="1">PROPER(Sites_per_tag[[#This Row],[Adm2Name]])</f>
        <v>Ikongo</v>
      </c>
      <c r="I1320" t="s">
        <v>5699</v>
      </c>
      <c r="K1320" t="s">
        <v>5741</v>
      </c>
      <c r="L1320" t="s">
        <v>5742</v>
      </c>
      <c r="N1320" t="s">
        <v>4364</v>
      </c>
      <c r="O1320" t="s">
        <v>4363</v>
      </c>
      <c r="Q1320" t="s">
        <v>3358</v>
      </c>
      <c r="R1320" t="s">
        <v>3359</v>
      </c>
      <c r="T1320" t="s">
        <v>5</v>
      </c>
      <c r="U1320" s="3" t="str">
        <f>+VLOOKUP(Sites_per_tag[[#This Row],[Activity_tag]],Parameter!$A$24:$B$32,2,0)</f>
        <v>MAM</v>
      </c>
      <c r="W1320">
        <v>47.431699999999999</v>
      </c>
      <c r="X1320">
        <v>-21.925380000000001</v>
      </c>
    </row>
    <row r="1321" spans="1:24" x14ac:dyDescent="0.35">
      <c r="A1321" s="3" t="str">
        <f t="shared" si="20"/>
        <v>MG23211012004001MAM</v>
      </c>
      <c r="B1321" t="s">
        <v>6193</v>
      </c>
      <c r="C1321">
        <f>+VLOOKUP(Sites_per_tag[[#This Row],[Field_office]],Parameter!$A$3:$B$11,2,0)</f>
        <v>4</v>
      </c>
      <c r="E1321" t="s">
        <v>5678</v>
      </c>
      <c r="F1321" t="s">
        <v>5679</v>
      </c>
      <c r="H1321" t="str">
        <f ca="1">PROPER(Sites_per_tag[[#This Row],[Adm2Name]])</f>
        <v>Ikongo</v>
      </c>
      <c r="I1321" t="s">
        <v>5699</v>
      </c>
      <c r="K1321" t="s">
        <v>5741</v>
      </c>
      <c r="L1321" t="s">
        <v>5742</v>
      </c>
      <c r="N1321" t="s">
        <v>344</v>
      </c>
      <c r="O1321" t="s">
        <v>4365</v>
      </c>
      <c r="Q1321" t="s">
        <v>344</v>
      </c>
      <c r="R1321" t="s">
        <v>345</v>
      </c>
      <c r="T1321" t="s">
        <v>5</v>
      </c>
      <c r="U1321" s="3" t="str">
        <f>+VLOOKUP(Sites_per_tag[[#This Row],[Activity_tag]],Parameter!$A$24:$B$32,2,0)</f>
        <v>MAM</v>
      </c>
      <c r="W1321">
        <v>47.444249999999997</v>
      </c>
      <c r="X1321">
        <v>-21.931480000000001</v>
      </c>
    </row>
    <row r="1322" spans="1:24" x14ac:dyDescent="0.35">
      <c r="A1322" s="3" t="str">
        <f t="shared" si="20"/>
        <v>MG23211012009001MAM</v>
      </c>
      <c r="B1322" t="s">
        <v>6193</v>
      </c>
      <c r="C1322">
        <f>+VLOOKUP(Sites_per_tag[[#This Row],[Field_office]],Parameter!$A$3:$B$11,2,0)</f>
        <v>4</v>
      </c>
      <c r="E1322" t="s">
        <v>5678</v>
      </c>
      <c r="F1322" t="s">
        <v>5679</v>
      </c>
      <c r="H1322" t="str">
        <f ca="1">PROPER(Sites_per_tag[[#This Row],[Adm2Name]])</f>
        <v>Ikongo</v>
      </c>
      <c r="I1322" t="s">
        <v>5699</v>
      </c>
      <c r="K1322" t="s">
        <v>5741</v>
      </c>
      <c r="L1322" t="s">
        <v>5742</v>
      </c>
      <c r="N1322" t="s">
        <v>534</v>
      </c>
      <c r="O1322" t="s">
        <v>4366</v>
      </c>
      <c r="Q1322" t="s">
        <v>534</v>
      </c>
      <c r="R1322" t="s">
        <v>535</v>
      </c>
      <c r="T1322" t="s">
        <v>5</v>
      </c>
      <c r="U1322" s="3" t="str">
        <f>+VLOOKUP(Sites_per_tag[[#This Row],[Activity_tag]],Parameter!$A$24:$B$32,2,0)</f>
        <v>MAM</v>
      </c>
      <c r="W1322">
        <v>47.480719999999998</v>
      </c>
      <c r="X1322">
        <v>-21.986969999999999</v>
      </c>
    </row>
    <row r="1323" spans="1:24" x14ac:dyDescent="0.35">
      <c r="A1323" s="3" t="str">
        <f t="shared" si="20"/>
        <v>MG23211012011001MAM</v>
      </c>
      <c r="B1323" t="s">
        <v>6193</v>
      </c>
      <c r="C1323">
        <f>+VLOOKUP(Sites_per_tag[[#This Row],[Field_office]],Parameter!$A$3:$B$11,2,0)</f>
        <v>4</v>
      </c>
      <c r="E1323" t="s">
        <v>5678</v>
      </c>
      <c r="F1323" t="s">
        <v>5679</v>
      </c>
      <c r="H1323" t="str">
        <f ca="1">PROPER(Sites_per_tag[[#This Row],[Adm2Name]])</f>
        <v>Ikongo</v>
      </c>
      <c r="I1323" t="s">
        <v>5699</v>
      </c>
      <c r="K1323" t="s">
        <v>5741</v>
      </c>
      <c r="L1323" t="s">
        <v>5742</v>
      </c>
      <c r="N1323" t="s">
        <v>4368</v>
      </c>
      <c r="O1323" t="s">
        <v>4367</v>
      </c>
      <c r="Q1323" t="s">
        <v>970</v>
      </c>
      <c r="R1323" t="s">
        <v>971</v>
      </c>
      <c r="T1323" t="s">
        <v>5</v>
      </c>
      <c r="U1323" s="3" t="str">
        <f>+VLOOKUP(Sites_per_tag[[#This Row],[Activity_tag]],Parameter!$A$24:$B$32,2,0)</f>
        <v>MAM</v>
      </c>
      <c r="W1323">
        <v>47.451014000000001</v>
      </c>
      <c r="X1323">
        <v>-21.937131000000001</v>
      </c>
    </row>
    <row r="1324" spans="1:24" x14ac:dyDescent="0.35">
      <c r="A1324" s="3" t="str">
        <f t="shared" si="20"/>
        <v>MG23211031010001MAM</v>
      </c>
      <c r="B1324" t="s">
        <v>6193</v>
      </c>
      <c r="C1324">
        <f>+VLOOKUP(Sites_per_tag[[#This Row],[Field_office]],Parameter!$A$3:$B$11,2,0)</f>
        <v>4</v>
      </c>
      <c r="E1324" t="s">
        <v>5678</v>
      </c>
      <c r="F1324" t="s">
        <v>5679</v>
      </c>
      <c r="H1324" t="str">
        <f ca="1">PROPER(Sites_per_tag[[#This Row],[Adm2Name]])</f>
        <v>Ikongo</v>
      </c>
      <c r="I1324" t="s">
        <v>5699</v>
      </c>
      <c r="K1324" t="s">
        <v>4025</v>
      </c>
      <c r="L1324" t="s">
        <v>5681</v>
      </c>
      <c r="N1324" t="s">
        <v>4295</v>
      </c>
      <c r="O1324" t="s">
        <v>4294</v>
      </c>
      <c r="Q1324" t="s">
        <v>556</v>
      </c>
      <c r="R1324" t="s">
        <v>557</v>
      </c>
      <c r="T1324" t="s">
        <v>5</v>
      </c>
      <c r="U1324" s="3" t="str">
        <f>+VLOOKUP(Sites_per_tag[[#This Row],[Activity_tag]],Parameter!$A$24:$B$32,2,0)</f>
        <v>MAM</v>
      </c>
      <c r="W1324">
        <v>47.482300000000002</v>
      </c>
      <c r="X1324">
        <v>-21.794119999999999</v>
      </c>
    </row>
    <row r="1325" spans="1:24" x14ac:dyDescent="0.35">
      <c r="A1325" s="3" t="str">
        <f t="shared" si="20"/>
        <v>MG23211033007001MAM</v>
      </c>
      <c r="B1325" t="s">
        <v>6193</v>
      </c>
      <c r="C1325">
        <f>+VLOOKUP(Sites_per_tag[[#This Row],[Field_office]],Parameter!$A$3:$B$11,2,0)</f>
        <v>4</v>
      </c>
      <c r="E1325" t="s">
        <v>5678</v>
      </c>
      <c r="F1325" t="s">
        <v>5679</v>
      </c>
      <c r="H1325" t="str">
        <f ca="1">PROPER(Sites_per_tag[[#This Row],[Adm2Name]])</f>
        <v>Ikongo</v>
      </c>
      <c r="I1325" t="s">
        <v>5699</v>
      </c>
      <c r="K1325" t="s">
        <v>5912</v>
      </c>
      <c r="L1325" t="s">
        <v>6047</v>
      </c>
      <c r="N1325" t="s">
        <v>5316</v>
      </c>
      <c r="O1325" t="s">
        <v>5315</v>
      </c>
      <c r="Q1325" t="s">
        <v>388</v>
      </c>
      <c r="R1325" t="s">
        <v>389</v>
      </c>
      <c r="T1325" t="s">
        <v>5</v>
      </c>
      <c r="U1325" s="3" t="str">
        <f>+VLOOKUP(Sites_per_tag[[#This Row],[Activity_tag]],Parameter!$A$24:$B$32,2,0)</f>
        <v>MAM</v>
      </c>
      <c r="W1325">
        <v>47.477530000000002</v>
      </c>
      <c r="X1325">
        <v>-21.698049999999999</v>
      </c>
    </row>
    <row r="1326" spans="1:24" x14ac:dyDescent="0.35">
      <c r="A1326" s="3" t="str">
        <f t="shared" si="20"/>
        <v>MG23211033009001MAM</v>
      </c>
      <c r="B1326" t="s">
        <v>6193</v>
      </c>
      <c r="C1326">
        <f>+VLOOKUP(Sites_per_tag[[#This Row],[Field_office]],Parameter!$A$3:$B$11,2,0)</f>
        <v>4</v>
      </c>
      <c r="E1326" t="s">
        <v>5678</v>
      </c>
      <c r="F1326" t="s">
        <v>5679</v>
      </c>
      <c r="H1326" t="str">
        <f ca="1">PROPER(Sites_per_tag[[#This Row],[Adm2Name]])</f>
        <v>Ikongo</v>
      </c>
      <c r="I1326" t="s">
        <v>5699</v>
      </c>
      <c r="K1326" t="s">
        <v>5912</v>
      </c>
      <c r="L1326" t="s">
        <v>6047</v>
      </c>
      <c r="N1326" t="s">
        <v>5318</v>
      </c>
      <c r="O1326" t="s">
        <v>5317</v>
      </c>
      <c r="Q1326" t="s">
        <v>3389</v>
      </c>
      <c r="R1326" t="s">
        <v>3390</v>
      </c>
      <c r="T1326" t="s">
        <v>5</v>
      </c>
      <c r="U1326" s="3" t="str">
        <f>+VLOOKUP(Sites_per_tag[[#This Row],[Activity_tag]],Parameter!$A$24:$B$32,2,0)</f>
        <v>MAM</v>
      </c>
      <c r="W1326">
        <v>47.507199999999997</v>
      </c>
      <c r="X1326">
        <v>-21.73198</v>
      </c>
    </row>
    <row r="1327" spans="1:24" x14ac:dyDescent="0.35">
      <c r="A1327" s="3" t="str">
        <f t="shared" si="20"/>
        <v>MG23211051004001MAM</v>
      </c>
      <c r="B1327" t="s">
        <v>6193</v>
      </c>
      <c r="C1327">
        <f>+VLOOKUP(Sites_per_tag[[#This Row],[Field_office]],Parameter!$A$3:$B$11,2,0)</f>
        <v>4</v>
      </c>
      <c r="E1327" t="s">
        <v>5678</v>
      </c>
      <c r="F1327" t="s">
        <v>5679</v>
      </c>
      <c r="H1327" t="str">
        <f ca="1">PROPER(Sites_per_tag[[#This Row],[Adm2Name]])</f>
        <v>Ikongo</v>
      </c>
      <c r="I1327" t="s">
        <v>5699</v>
      </c>
      <c r="K1327" t="s">
        <v>5769</v>
      </c>
      <c r="L1327" t="s">
        <v>6023</v>
      </c>
      <c r="N1327" t="s">
        <v>5224</v>
      </c>
      <c r="O1327" t="s">
        <v>5223</v>
      </c>
      <c r="Q1327" t="s">
        <v>153</v>
      </c>
      <c r="R1327" t="s">
        <v>154</v>
      </c>
      <c r="T1327" t="s">
        <v>5</v>
      </c>
      <c r="U1327" s="3" t="str">
        <f>+VLOOKUP(Sites_per_tag[[#This Row],[Activity_tag]],Parameter!$A$24:$B$32,2,0)</f>
        <v>MAM</v>
      </c>
      <c r="W1327">
        <v>47.578780000000002</v>
      </c>
      <c r="X1327">
        <v>-21.636970000000002</v>
      </c>
    </row>
    <row r="1328" spans="1:24" x14ac:dyDescent="0.35">
      <c r="A1328" s="3" t="str">
        <f t="shared" si="20"/>
        <v>MG23211072006001MAM</v>
      </c>
      <c r="B1328" t="s">
        <v>6193</v>
      </c>
      <c r="C1328">
        <f>+VLOOKUP(Sites_per_tag[[#This Row],[Field_office]],Parameter!$A$3:$B$11,2,0)</f>
        <v>4</v>
      </c>
      <c r="E1328" t="s">
        <v>5678</v>
      </c>
      <c r="F1328" t="s">
        <v>5679</v>
      </c>
      <c r="H1328" t="str">
        <f ca="1">PROPER(Sites_per_tag[[#This Row],[Adm2Name]])</f>
        <v>Ikongo</v>
      </c>
      <c r="I1328" t="s">
        <v>5699</v>
      </c>
      <c r="K1328" t="s">
        <v>6118</v>
      </c>
      <c r="L1328" t="s">
        <v>6119</v>
      </c>
      <c r="N1328" t="s">
        <v>5465</v>
      </c>
      <c r="O1328" t="s">
        <v>5464</v>
      </c>
      <c r="Q1328" t="s">
        <v>3887</v>
      </c>
      <c r="R1328" t="s">
        <v>3888</v>
      </c>
      <c r="T1328" t="s">
        <v>5</v>
      </c>
      <c r="U1328" s="3" t="str">
        <f>+VLOOKUP(Sites_per_tag[[#This Row],[Activity_tag]],Parameter!$A$24:$B$32,2,0)</f>
        <v>MAM</v>
      </c>
      <c r="W1328">
        <v>47.492100000000001</v>
      </c>
      <c r="X1328">
        <v>-22.06898</v>
      </c>
    </row>
    <row r="1329" spans="1:24" x14ac:dyDescent="0.35">
      <c r="A1329" s="3" t="str">
        <f t="shared" si="20"/>
        <v>MG23211073002001MAM</v>
      </c>
      <c r="B1329" t="s">
        <v>6211</v>
      </c>
      <c r="C1329">
        <f>+VLOOKUP(Sites_per_tag[[#This Row],[Field_office]],Parameter!$A$3:$B$11,2,0)</f>
        <v>6</v>
      </c>
      <c r="E1329" t="s">
        <v>1448</v>
      </c>
      <c r="F1329" t="s">
        <v>5651</v>
      </c>
      <c r="H1329" t="str">
        <f ca="1">PROPER(Sites_per_tag[[#This Row],[Adm2Name]])</f>
        <v>Amboasary-Atsimo</v>
      </c>
      <c r="I1329" t="s">
        <v>5641</v>
      </c>
      <c r="K1329" t="s">
        <v>2744</v>
      </c>
      <c r="L1329" t="s">
        <v>6005</v>
      </c>
      <c r="N1329" t="s">
        <v>2744</v>
      </c>
      <c r="O1329" t="s">
        <v>5182</v>
      </c>
      <c r="Q1329" t="s">
        <v>2744</v>
      </c>
      <c r="R1329" t="s">
        <v>2745</v>
      </c>
      <c r="T1329" t="s">
        <v>5</v>
      </c>
      <c r="U1329" s="3" t="str">
        <f>+VLOOKUP(Sites_per_tag[[#This Row],[Activity_tag]],Parameter!$A$24:$B$32,2,0)</f>
        <v>MAM</v>
      </c>
      <c r="W1329">
        <v>46.348599999999998</v>
      </c>
      <c r="X1329">
        <v>-24.177430000000001</v>
      </c>
    </row>
    <row r="1330" spans="1:24" x14ac:dyDescent="0.35">
      <c r="A1330" s="3" t="str">
        <f t="shared" si="20"/>
        <v>MG23211092006001MAM</v>
      </c>
      <c r="B1330" t="s">
        <v>6193</v>
      </c>
      <c r="C1330">
        <f>+VLOOKUP(Sites_per_tag[[#This Row],[Field_office]],Parameter!$A$3:$B$11,2,0)</f>
        <v>4</v>
      </c>
      <c r="E1330" t="s">
        <v>5678</v>
      </c>
      <c r="F1330" t="s">
        <v>5679</v>
      </c>
      <c r="H1330" t="str">
        <f ca="1">PROPER(Sites_per_tag[[#This Row],[Adm2Name]])</f>
        <v>Ikongo</v>
      </c>
      <c r="I1330" t="s">
        <v>5699</v>
      </c>
      <c r="K1330" t="s">
        <v>5791</v>
      </c>
      <c r="L1330" t="s">
        <v>5792</v>
      </c>
      <c r="N1330" t="s">
        <v>4549</v>
      </c>
      <c r="O1330" t="s">
        <v>4548</v>
      </c>
      <c r="Q1330" t="s">
        <v>763</v>
      </c>
      <c r="R1330" t="s">
        <v>764</v>
      </c>
      <c r="T1330" t="s">
        <v>5</v>
      </c>
      <c r="U1330" s="3" t="str">
        <f>+VLOOKUP(Sites_per_tag[[#This Row],[Activity_tag]],Parameter!$A$24:$B$32,2,0)</f>
        <v>MAM</v>
      </c>
      <c r="W1330">
        <v>47.536450000000002</v>
      </c>
      <c r="X1330">
        <v>-21.480730000000001</v>
      </c>
    </row>
    <row r="1331" spans="1:24" x14ac:dyDescent="0.35">
      <c r="A1331" s="3" t="str">
        <f t="shared" si="20"/>
        <v>MG23211092008001MAM</v>
      </c>
      <c r="B1331" t="s">
        <v>6193</v>
      </c>
      <c r="C1331">
        <f>+VLOOKUP(Sites_per_tag[[#This Row],[Field_office]],Parameter!$A$3:$B$11,2,0)</f>
        <v>4</v>
      </c>
      <c r="E1331" t="s">
        <v>5678</v>
      </c>
      <c r="F1331" t="s">
        <v>5679</v>
      </c>
      <c r="H1331" t="str">
        <f ca="1">PROPER(Sites_per_tag[[#This Row],[Adm2Name]])</f>
        <v>Ikongo</v>
      </c>
      <c r="I1331" t="s">
        <v>5699</v>
      </c>
      <c r="K1331" t="s">
        <v>5739</v>
      </c>
      <c r="L1331" t="s">
        <v>5740</v>
      </c>
      <c r="N1331" t="s">
        <v>4362</v>
      </c>
      <c r="O1331" t="s">
        <v>4361</v>
      </c>
      <c r="Q1331" t="s">
        <v>346</v>
      </c>
      <c r="R1331" t="s">
        <v>347</v>
      </c>
      <c r="T1331" t="s">
        <v>5</v>
      </c>
      <c r="U1331" s="3" t="str">
        <f>+VLOOKUP(Sites_per_tag[[#This Row],[Activity_tag]],Parameter!$A$24:$B$32,2,0)</f>
        <v>MAM</v>
      </c>
      <c r="W1331">
        <v>47.584029999999998</v>
      </c>
      <c r="X1331">
        <v>-21.520600000000002</v>
      </c>
    </row>
    <row r="1332" spans="1:24" x14ac:dyDescent="0.35">
      <c r="A1332" s="3" t="str">
        <f t="shared" si="20"/>
        <v>MG23211112001001MAM</v>
      </c>
      <c r="B1332" t="s">
        <v>6193</v>
      </c>
      <c r="C1332">
        <f>+VLOOKUP(Sites_per_tag[[#This Row],[Field_office]],Parameter!$A$3:$B$11,2,0)</f>
        <v>4</v>
      </c>
      <c r="E1332" t="s">
        <v>5678</v>
      </c>
      <c r="F1332" t="s">
        <v>5679</v>
      </c>
      <c r="H1332" t="str">
        <f ca="1">PROPER(Sites_per_tag[[#This Row],[Adm2Name]])</f>
        <v>Ikongo</v>
      </c>
      <c r="I1332" t="s">
        <v>5699</v>
      </c>
      <c r="K1332" t="s">
        <v>1546</v>
      </c>
      <c r="L1332" t="s">
        <v>5863</v>
      </c>
      <c r="N1332" t="s">
        <v>1546</v>
      </c>
      <c r="O1332" t="s">
        <v>4725</v>
      </c>
      <c r="Q1332" t="s">
        <v>1546</v>
      </c>
      <c r="R1332" t="s">
        <v>1547</v>
      </c>
      <c r="T1332" t="s">
        <v>5</v>
      </c>
      <c r="U1332" s="3" t="str">
        <f>+VLOOKUP(Sites_per_tag[[#This Row],[Activity_tag]],Parameter!$A$24:$B$32,2,0)</f>
        <v>MAM</v>
      </c>
      <c r="W1332">
        <v>47.42653</v>
      </c>
      <c r="X1332">
        <v>-22.147179999999999</v>
      </c>
    </row>
    <row r="1333" spans="1:24" x14ac:dyDescent="0.35">
      <c r="A1333" s="3" t="str">
        <f t="shared" si="20"/>
        <v>MG23211112011001MAM</v>
      </c>
      <c r="B1333" t="s">
        <v>6193</v>
      </c>
      <c r="C1333">
        <f>+VLOOKUP(Sites_per_tag[[#This Row],[Field_office]],Parameter!$A$3:$B$11,2,0)</f>
        <v>4</v>
      </c>
      <c r="E1333" t="s">
        <v>5678</v>
      </c>
      <c r="F1333" t="s">
        <v>5679</v>
      </c>
      <c r="H1333" t="str">
        <f ca="1">PROPER(Sites_per_tag[[#This Row],[Adm2Name]])</f>
        <v>Ikongo</v>
      </c>
      <c r="I1333" t="s">
        <v>5699</v>
      </c>
      <c r="K1333" t="s">
        <v>1546</v>
      </c>
      <c r="L1333" t="s">
        <v>5863</v>
      </c>
      <c r="N1333" t="s">
        <v>3193</v>
      </c>
      <c r="O1333" t="s">
        <v>4726</v>
      </c>
      <c r="Q1333" t="s">
        <v>3193</v>
      </c>
      <c r="R1333" t="s">
        <v>3194</v>
      </c>
      <c r="T1333" t="s">
        <v>5</v>
      </c>
      <c r="U1333" s="3" t="str">
        <f>+VLOOKUP(Sites_per_tag[[#This Row],[Activity_tag]],Parameter!$A$24:$B$32,2,0)</f>
        <v>MAM</v>
      </c>
      <c r="W1333">
        <v>47.450980000000001</v>
      </c>
      <c r="X1333">
        <v>-22.16385</v>
      </c>
    </row>
    <row r="1334" spans="1:24" x14ac:dyDescent="0.35">
      <c r="A1334" s="3" t="str">
        <f t="shared" si="20"/>
        <v>MG23212051001PREV</v>
      </c>
      <c r="B1334" t="s">
        <v>6193</v>
      </c>
      <c r="C1334">
        <f>+VLOOKUP(Sites_per_tag[[#This Row],[Field_office]],Parameter!$A$3:$B$11,2,0)</f>
        <v>4</v>
      </c>
      <c r="E1334" t="s">
        <v>5662</v>
      </c>
      <c r="F1334" t="s">
        <v>5663</v>
      </c>
      <c r="H1334" t="str">
        <f ca="1">PROPER(Sites_per_tag[[#This Row],[Adm2Name]])</f>
        <v>Vohipeno</v>
      </c>
      <c r="I1334" t="s">
        <v>5736</v>
      </c>
      <c r="K1334" t="s">
        <v>2621</v>
      </c>
      <c r="L1334" t="s">
        <v>5986</v>
      </c>
      <c r="N1334" t="s">
        <v>2621</v>
      </c>
      <c r="Q1334" t="s">
        <v>2621</v>
      </c>
      <c r="R1334" t="s">
        <v>2622</v>
      </c>
      <c r="T1334" t="s">
        <v>32</v>
      </c>
      <c r="U1334" s="3" t="str">
        <f>+VLOOKUP(Sites_per_tag[[#This Row],[Activity_tag]],Parameter!$A$24:$B$32,2,0)</f>
        <v>PREV</v>
      </c>
      <c r="W1334">
        <v>47.867930000000001</v>
      </c>
      <c r="X1334">
        <v>-22.388819999999999</v>
      </c>
    </row>
    <row r="1335" spans="1:24" x14ac:dyDescent="0.35">
      <c r="A1335" s="3" t="str">
        <f t="shared" si="20"/>
        <v>MG23212090004001MAM</v>
      </c>
      <c r="B1335" t="s">
        <v>6193</v>
      </c>
      <c r="C1335">
        <f>+VLOOKUP(Sites_per_tag[[#This Row],[Field_office]],Parameter!$A$3:$B$11,2,0)</f>
        <v>4</v>
      </c>
      <c r="E1335" t="s">
        <v>5658</v>
      </c>
      <c r="F1335" t="s">
        <v>5659</v>
      </c>
      <c r="H1335" t="str">
        <f ca="1">PROPER(Sites_per_tag[[#This Row],[Adm2Name]])</f>
        <v>Farafangana</v>
      </c>
      <c r="I1335" t="s">
        <v>5694</v>
      </c>
      <c r="K1335" t="s">
        <v>2579</v>
      </c>
      <c r="L1335" t="s">
        <v>5971</v>
      </c>
      <c r="N1335" t="s">
        <v>3891</v>
      </c>
      <c r="O1335" t="s">
        <v>5055</v>
      </c>
      <c r="Q1335" t="s">
        <v>3891</v>
      </c>
      <c r="R1335" t="s">
        <v>3892</v>
      </c>
      <c r="T1335" t="s">
        <v>5</v>
      </c>
      <c r="U1335" s="3" t="str">
        <f>+VLOOKUP(Sites_per_tag[[#This Row],[Activity_tag]],Parameter!$A$24:$B$32,2,0)</f>
        <v>MAM</v>
      </c>
      <c r="W1335">
        <v>47.577449999999999</v>
      </c>
      <c r="X1335">
        <v>-23.049769999999999</v>
      </c>
    </row>
    <row r="1336" spans="1:24" x14ac:dyDescent="0.35">
      <c r="A1336" s="3" t="str">
        <f t="shared" si="20"/>
        <v>MG23A21101108001MAM</v>
      </c>
      <c r="B1336" t="s">
        <v>6193</v>
      </c>
      <c r="C1336">
        <f>+VLOOKUP(Sites_per_tag[[#This Row],[Field_office]],Parameter!$A$3:$B$11,2,0)</f>
        <v>4</v>
      </c>
      <c r="E1336" t="s">
        <v>5678</v>
      </c>
      <c r="F1336" t="s">
        <v>5679</v>
      </c>
      <c r="H1336" t="str">
        <f ca="1">PROPER(Sites_per_tag[[#This Row],[Adm2Name]])</f>
        <v>Ikongo</v>
      </c>
      <c r="I1336" t="s">
        <v>5699</v>
      </c>
      <c r="K1336" t="s">
        <v>5621</v>
      </c>
      <c r="L1336" t="s">
        <v>5973</v>
      </c>
      <c r="N1336" t="s">
        <v>5080</v>
      </c>
      <c r="O1336" t="s">
        <v>5079</v>
      </c>
      <c r="Q1336" t="s">
        <v>217</v>
      </c>
      <c r="R1336" t="s">
        <v>218</v>
      </c>
      <c r="T1336" t="s">
        <v>5</v>
      </c>
      <c r="U1336" s="3" t="str">
        <f>+VLOOKUP(Sites_per_tag[[#This Row],[Activity_tag]],Parameter!$A$24:$B$32,2,0)</f>
        <v>MAM</v>
      </c>
      <c r="W1336">
        <v>47.382779999999997</v>
      </c>
      <c r="X1336">
        <v>-21.894279999999998</v>
      </c>
    </row>
    <row r="1337" spans="1:24" x14ac:dyDescent="0.35">
      <c r="A1337" s="3" t="str">
        <f t="shared" si="20"/>
        <v>MG24216031005001MAM</v>
      </c>
      <c r="B1337" t="s">
        <v>6211</v>
      </c>
      <c r="C1337">
        <f>+VLOOKUP(Sites_per_tag[[#This Row],[Field_office]],Parameter!$A$3:$B$11,2,0)</f>
        <v>6</v>
      </c>
      <c r="E1337" t="s">
        <v>5646</v>
      </c>
      <c r="F1337" t="s">
        <v>5647</v>
      </c>
      <c r="H1337" t="str">
        <f ca="1">PROPER(Sites_per_tag[[#This Row],[Adm2Name]])</f>
        <v>Bekily</v>
      </c>
      <c r="I1337" t="s">
        <v>5683</v>
      </c>
      <c r="K1337" t="s">
        <v>6334</v>
      </c>
      <c r="L1337" t="s">
        <v>5824</v>
      </c>
      <c r="N1337" t="s">
        <v>859</v>
      </c>
      <c r="O1337" t="s">
        <v>4619</v>
      </c>
      <c r="Q1337" t="s">
        <v>859</v>
      </c>
      <c r="R1337" t="s">
        <v>860</v>
      </c>
      <c r="T1337" t="s">
        <v>5</v>
      </c>
      <c r="U1337" s="3" t="str">
        <f>+VLOOKUP(Sites_per_tag[[#This Row],[Activity_tag]],Parameter!$A$24:$B$32,2,0)</f>
        <v>MAM</v>
      </c>
      <c r="W1337">
        <v>45.312150000000003</v>
      </c>
      <c r="X1337">
        <v>-24.182980000000001</v>
      </c>
    </row>
    <row r="1338" spans="1:24" x14ac:dyDescent="0.35">
      <c r="A1338" s="3" t="str">
        <f t="shared" si="20"/>
        <v>MG24216070003001MAM</v>
      </c>
      <c r="B1338" t="s">
        <v>6193</v>
      </c>
      <c r="C1338">
        <f>+VLOOKUP(Sites_per_tag[[#This Row],[Field_office]],Parameter!$A$3:$B$11,2,0)</f>
        <v>4</v>
      </c>
      <c r="E1338" t="s">
        <v>5658</v>
      </c>
      <c r="F1338" t="s">
        <v>5659</v>
      </c>
      <c r="H1338" t="str">
        <f ca="1">PROPER(Sites_per_tag[[#This Row],[Adm2Name]])</f>
        <v>Vondrozo</v>
      </c>
      <c r="I1338" t="s">
        <v>5738</v>
      </c>
      <c r="K1338" t="s">
        <v>710</v>
      </c>
      <c r="L1338" t="s">
        <v>5785</v>
      </c>
      <c r="N1338" t="s">
        <v>710</v>
      </c>
      <c r="O1338" t="s">
        <v>4533</v>
      </c>
      <c r="Q1338" t="s">
        <v>710</v>
      </c>
      <c r="R1338" t="s">
        <v>711</v>
      </c>
      <c r="T1338" t="s">
        <v>5</v>
      </c>
      <c r="U1338" s="3" t="str">
        <f>+VLOOKUP(Sites_per_tag[[#This Row],[Activity_tag]],Parameter!$A$24:$B$32,2,0)</f>
        <v>MAM</v>
      </c>
      <c r="W1338">
        <v>47.457850000000001</v>
      </c>
      <c r="X1338">
        <v>-22.528099999999998</v>
      </c>
    </row>
    <row r="1339" spans="1:24" x14ac:dyDescent="0.35">
      <c r="A1339" s="3" t="str">
        <f t="shared" si="20"/>
        <v>MG24216192003001MAM</v>
      </c>
      <c r="B1339" t="s">
        <v>6193</v>
      </c>
      <c r="C1339">
        <f>+VLOOKUP(Sites_per_tag[[#This Row],[Field_office]],Parameter!$A$3:$B$11,2,0)</f>
        <v>4</v>
      </c>
      <c r="E1339" t="s">
        <v>5658</v>
      </c>
      <c r="F1339" t="s">
        <v>5659</v>
      </c>
      <c r="H1339" t="str">
        <f ca="1">PROPER(Sites_per_tag[[#This Row],[Adm2Name]])</f>
        <v>Farafangana</v>
      </c>
      <c r="I1339" t="s">
        <v>5694</v>
      </c>
      <c r="K1339" t="s">
        <v>2433</v>
      </c>
      <c r="L1339" t="s">
        <v>5950</v>
      </c>
      <c r="N1339" t="s">
        <v>3911</v>
      </c>
      <c r="O1339" t="s">
        <v>4978</v>
      </c>
      <c r="Q1339" t="s">
        <v>3911</v>
      </c>
      <c r="R1339" t="s">
        <v>3912</v>
      </c>
      <c r="T1339" t="s">
        <v>5</v>
      </c>
      <c r="U1339" s="3" t="str">
        <f>+VLOOKUP(Sites_per_tag[[#This Row],[Activity_tag]],Parameter!$A$24:$B$32,2,0)</f>
        <v>MAM</v>
      </c>
      <c r="W1339">
        <v>47.709380000000003</v>
      </c>
      <c r="X1339">
        <v>-22.595800000000001</v>
      </c>
    </row>
    <row r="1340" spans="1:24" x14ac:dyDescent="0.35">
      <c r="A1340" s="3" t="str">
        <f t="shared" si="20"/>
        <v>MG24216192004001STUNT</v>
      </c>
      <c r="B1340" t="s">
        <v>1837</v>
      </c>
      <c r="C1340">
        <f>+VLOOKUP(Sites_per_tag[[#This Row],[Field_office]],Parameter!$A$3:$B$11,2,0)</f>
        <v>1</v>
      </c>
      <c r="E1340" t="s">
        <v>5646</v>
      </c>
      <c r="F1340" t="s">
        <v>5647</v>
      </c>
      <c r="H1340" t="str">
        <f ca="1">PROPER(Sites_per_tag[[#This Row],[Adm2Name]])</f>
        <v>Bekily</v>
      </c>
      <c r="I1340" t="s">
        <v>5683</v>
      </c>
      <c r="K1340" t="s">
        <v>1004</v>
      </c>
      <c r="L1340" t="s">
        <v>5812</v>
      </c>
      <c r="N1340" t="s">
        <v>4025</v>
      </c>
      <c r="O1340" t="s">
        <v>4024</v>
      </c>
      <c r="Q1340" t="s">
        <v>193</v>
      </c>
      <c r="R1340" t="s">
        <v>194</v>
      </c>
      <c r="T1340" t="s">
        <v>50</v>
      </c>
      <c r="U1340" s="3" t="str">
        <f>+VLOOKUP(Sites_per_tag[[#This Row],[Activity_tag]],Parameter!$A$24:$B$32,2,0)</f>
        <v>STUNT</v>
      </c>
      <c r="V1340" t="s">
        <v>6435</v>
      </c>
      <c r="W1340">
        <v>45.623150000000003</v>
      </c>
      <c r="X1340">
        <v>-24.350729999999999</v>
      </c>
    </row>
    <row r="1341" spans="1:24" x14ac:dyDescent="0.35">
      <c r="A1341" s="3" t="str">
        <f t="shared" si="20"/>
        <v>MG24216231007001MAM</v>
      </c>
      <c r="B1341" t="s">
        <v>6193</v>
      </c>
      <c r="C1341">
        <f>+VLOOKUP(Sites_per_tag[[#This Row],[Field_office]],Parameter!$A$3:$B$11,2,0)</f>
        <v>4</v>
      </c>
      <c r="E1341" t="s">
        <v>5678</v>
      </c>
      <c r="F1341" t="s">
        <v>5679</v>
      </c>
      <c r="H1341" t="str">
        <f ca="1">PROPER(Sites_per_tag[[#This Row],[Adm2Name]])</f>
        <v>Ikongo</v>
      </c>
      <c r="I1341" t="s">
        <v>5699</v>
      </c>
      <c r="K1341" t="s">
        <v>1546</v>
      </c>
      <c r="L1341" t="s">
        <v>5863</v>
      </c>
      <c r="N1341" t="s">
        <v>750</v>
      </c>
      <c r="O1341" t="s">
        <v>4727</v>
      </c>
      <c r="Q1341" t="s">
        <v>750</v>
      </c>
      <c r="R1341" t="s">
        <v>751</v>
      </c>
      <c r="T1341" t="s">
        <v>5</v>
      </c>
      <c r="U1341" s="3" t="str">
        <f>+VLOOKUP(Sites_per_tag[[#This Row],[Activity_tag]],Parameter!$A$24:$B$32,2,0)</f>
        <v>MAM</v>
      </c>
      <c r="W1341">
        <v>47.403950000000002</v>
      </c>
      <c r="X1341">
        <v>-22.174579999999999</v>
      </c>
    </row>
    <row r="1342" spans="1:24" x14ac:dyDescent="0.35">
      <c r="A1342" s="3" t="str">
        <f t="shared" si="20"/>
        <v>MG24218010013001MAM</v>
      </c>
      <c r="B1342" t="s">
        <v>6211</v>
      </c>
      <c r="C1342">
        <f>+VLOOKUP(Sites_per_tag[[#This Row],[Field_office]],Parameter!$A$3:$B$11,2,0)</f>
        <v>6</v>
      </c>
      <c r="E1342" t="s">
        <v>1448</v>
      </c>
      <c r="F1342" t="s">
        <v>5651</v>
      </c>
      <c r="H1342" t="str">
        <f ca="1">PROPER(Sites_per_tag[[#This Row],[Adm2Name]])</f>
        <v>Betroka</v>
      </c>
      <c r="I1342" t="s">
        <v>5691</v>
      </c>
      <c r="K1342" t="s">
        <v>2542</v>
      </c>
      <c r="L1342" t="s">
        <v>5968</v>
      </c>
      <c r="N1342" t="s">
        <v>5029</v>
      </c>
      <c r="O1342" t="s">
        <v>5028</v>
      </c>
      <c r="Q1342" t="s">
        <v>1846</v>
      </c>
      <c r="R1342" t="s">
        <v>1847</v>
      </c>
      <c r="T1342" t="s">
        <v>5</v>
      </c>
      <c r="U1342" s="3" t="str">
        <f>+VLOOKUP(Sites_per_tag[[#This Row],[Activity_tag]],Parameter!$A$24:$B$32,2,0)</f>
        <v>MAM</v>
      </c>
      <c r="W1342">
        <v>45.423850000000002</v>
      </c>
      <c r="X1342">
        <v>-23.386970000000002</v>
      </c>
    </row>
    <row r="1343" spans="1:24" x14ac:dyDescent="0.35">
      <c r="A1343" s="3" t="str">
        <f t="shared" si="20"/>
        <v>MG24218050006001MAM</v>
      </c>
      <c r="B1343" t="s">
        <v>6211</v>
      </c>
      <c r="C1343">
        <f>+VLOOKUP(Sites_per_tag[[#This Row],[Field_office]],Parameter!$A$3:$B$11,2,0)</f>
        <v>6</v>
      </c>
      <c r="E1343" t="s">
        <v>1448</v>
      </c>
      <c r="F1343" t="s">
        <v>5651</v>
      </c>
      <c r="H1343" t="str">
        <f ca="1">PROPER(Sites_per_tag[[#This Row],[Adm2Name]])</f>
        <v>Betroka</v>
      </c>
      <c r="I1343" t="s">
        <v>5691</v>
      </c>
      <c r="K1343" t="s">
        <v>6436</v>
      </c>
      <c r="L1343" t="s">
        <v>5982</v>
      </c>
      <c r="N1343" t="s">
        <v>5096</v>
      </c>
      <c r="O1343" t="s">
        <v>5095</v>
      </c>
      <c r="Q1343" t="s">
        <v>1480</v>
      </c>
      <c r="R1343" t="s">
        <v>1481</v>
      </c>
      <c r="T1343" t="s">
        <v>5</v>
      </c>
      <c r="U1343" s="3" t="str">
        <f>+VLOOKUP(Sites_per_tag[[#This Row],[Activity_tag]],Parameter!$A$24:$B$32,2,0)</f>
        <v>MAM</v>
      </c>
      <c r="W1343">
        <v>45.647680000000001</v>
      </c>
      <c r="X1343">
        <v>-23.863600000000002</v>
      </c>
    </row>
    <row r="1344" spans="1:24" x14ac:dyDescent="0.35">
      <c r="A1344" s="3" t="str">
        <f t="shared" si="20"/>
        <v>MG25213010002001MAM</v>
      </c>
      <c r="B1344" t="s">
        <v>6193</v>
      </c>
      <c r="C1344">
        <f>+VLOOKUP(Sites_per_tag[[#This Row],[Field_office]],Parameter!$A$3:$B$11,2,0)</f>
        <v>4</v>
      </c>
      <c r="E1344" t="s">
        <v>5658</v>
      </c>
      <c r="F1344" t="s">
        <v>5659</v>
      </c>
      <c r="H1344" t="str">
        <f ca="1">PROPER(Sites_per_tag[[#This Row],[Adm2Name]])</f>
        <v>Farafangana</v>
      </c>
      <c r="I1344" t="s">
        <v>5694</v>
      </c>
      <c r="K1344" t="s">
        <v>5609</v>
      </c>
      <c r="L1344" t="s">
        <v>5953</v>
      </c>
      <c r="N1344" t="s">
        <v>847</v>
      </c>
      <c r="O1344" t="s">
        <v>4981</v>
      </c>
      <c r="Q1344" t="s">
        <v>847</v>
      </c>
      <c r="R1344" t="s">
        <v>848</v>
      </c>
      <c r="T1344" t="s">
        <v>5</v>
      </c>
      <c r="U1344" s="3" t="str">
        <f>+VLOOKUP(Sites_per_tag[[#This Row],[Activity_tag]],Parameter!$A$24:$B$32,2,0)</f>
        <v>MAM</v>
      </c>
      <c r="W1344">
        <v>47.827249999999999</v>
      </c>
      <c r="X1344">
        <v>-22.809180000000001</v>
      </c>
    </row>
    <row r="1345" spans="1:24" x14ac:dyDescent="0.35">
      <c r="A1345" s="3" t="str">
        <f t="shared" si="20"/>
        <v>MG25213010041001MAM</v>
      </c>
      <c r="B1345" t="s">
        <v>6193</v>
      </c>
      <c r="C1345">
        <f>+VLOOKUP(Sites_per_tag[[#This Row],[Field_office]],Parameter!$A$3:$B$11,2,0)</f>
        <v>4</v>
      </c>
      <c r="E1345" t="s">
        <v>5658</v>
      </c>
      <c r="F1345" t="s">
        <v>5659</v>
      </c>
      <c r="H1345" t="str">
        <f ca="1">PROPER(Sites_per_tag[[#This Row],[Adm2Name]])</f>
        <v>Farafangana</v>
      </c>
      <c r="I1345" t="s">
        <v>5694</v>
      </c>
      <c r="K1345" t="s">
        <v>5609</v>
      </c>
      <c r="L1345" t="s">
        <v>5953</v>
      </c>
      <c r="N1345" t="s">
        <v>2741</v>
      </c>
      <c r="O1345" t="s">
        <v>4982</v>
      </c>
      <c r="Q1345" t="s">
        <v>2741</v>
      </c>
      <c r="R1345" t="s">
        <v>2742</v>
      </c>
      <c r="T1345" t="s">
        <v>5</v>
      </c>
      <c r="U1345" s="3" t="str">
        <f>+VLOOKUP(Sites_per_tag[[#This Row],[Activity_tag]],Parameter!$A$24:$B$32,2,0)</f>
        <v>MAM</v>
      </c>
      <c r="W1345">
        <v>47.82743</v>
      </c>
      <c r="X1345">
        <v>-22.82442</v>
      </c>
    </row>
    <row r="1346" spans="1:24" x14ac:dyDescent="0.35">
      <c r="A1346" s="3" t="str">
        <f t="shared" si="20"/>
        <v>MG25213010045001MAM</v>
      </c>
      <c r="B1346" t="s">
        <v>6193</v>
      </c>
      <c r="C1346">
        <f>+VLOOKUP(Sites_per_tag[[#This Row],[Field_office]],Parameter!$A$3:$B$11,2,0)</f>
        <v>4</v>
      </c>
      <c r="E1346" t="s">
        <v>5658</v>
      </c>
      <c r="F1346" t="s">
        <v>5659</v>
      </c>
      <c r="H1346" t="str">
        <f ca="1">PROPER(Sites_per_tag[[#This Row],[Adm2Name]])</f>
        <v>Farafangana</v>
      </c>
      <c r="I1346" t="s">
        <v>5694</v>
      </c>
      <c r="K1346" t="s">
        <v>5609</v>
      </c>
      <c r="L1346" t="s">
        <v>5953</v>
      </c>
      <c r="N1346" t="s">
        <v>331</v>
      </c>
      <c r="O1346" t="s">
        <v>4983</v>
      </c>
      <c r="Q1346" t="s">
        <v>331</v>
      </c>
      <c r="R1346" t="s">
        <v>332</v>
      </c>
      <c r="T1346" t="s">
        <v>5</v>
      </c>
      <c r="U1346" s="3" t="str">
        <f>+VLOOKUP(Sites_per_tag[[#This Row],[Activity_tag]],Parameter!$A$24:$B$32,2,0)</f>
        <v>MAM</v>
      </c>
      <c r="W1346">
        <v>47.838149999999999</v>
      </c>
      <c r="X1346">
        <v>-22.825849999999999</v>
      </c>
    </row>
    <row r="1347" spans="1:24" x14ac:dyDescent="0.35">
      <c r="A1347" s="3" t="str">
        <f t="shared" ref="A1347:A1410" si="21">+R1347&amp;U1347</f>
        <v>MG25213030003001MAM</v>
      </c>
      <c r="B1347" t="s">
        <v>6193</v>
      </c>
      <c r="C1347">
        <f>+VLOOKUP(Sites_per_tag[[#This Row],[Field_office]],Parameter!$A$3:$B$11,2,0)</f>
        <v>4</v>
      </c>
      <c r="E1347" t="s">
        <v>5658</v>
      </c>
      <c r="F1347" t="s">
        <v>5659</v>
      </c>
      <c r="H1347" t="str">
        <f ca="1">PROPER(Sites_per_tag[[#This Row],[Adm2Name]])</f>
        <v>Farafangana</v>
      </c>
      <c r="I1347" t="s">
        <v>5694</v>
      </c>
      <c r="K1347" t="s">
        <v>3917</v>
      </c>
      <c r="L1347" t="s">
        <v>6167</v>
      </c>
      <c r="N1347" t="s">
        <v>2550</v>
      </c>
      <c r="O1347" t="s">
        <v>5584</v>
      </c>
      <c r="Q1347" t="s">
        <v>2550</v>
      </c>
      <c r="R1347" t="s">
        <v>2551</v>
      </c>
      <c r="T1347" t="s">
        <v>5</v>
      </c>
      <c r="U1347" s="3" t="str">
        <f>+VLOOKUP(Sites_per_tag[[#This Row],[Activity_tag]],Parameter!$A$24:$B$32,2,0)</f>
        <v>MAM</v>
      </c>
      <c r="W1347">
        <v>47.704549999999998</v>
      </c>
      <c r="X1347">
        <v>-22.757079999999998</v>
      </c>
    </row>
    <row r="1348" spans="1:24" x14ac:dyDescent="0.35">
      <c r="A1348" s="3" t="str">
        <f t="shared" si="21"/>
        <v>MG25213030006001MAM</v>
      </c>
      <c r="B1348" t="s">
        <v>6193</v>
      </c>
      <c r="C1348">
        <f>+VLOOKUP(Sites_per_tag[[#This Row],[Field_office]],Parameter!$A$3:$B$11,2,0)</f>
        <v>4</v>
      </c>
      <c r="E1348" t="s">
        <v>5658</v>
      </c>
      <c r="F1348" t="s">
        <v>5659</v>
      </c>
      <c r="H1348" t="str">
        <f ca="1">PROPER(Sites_per_tag[[#This Row],[Adm2Name]])</f>
        <v>Farafangana</v>
      </c>
      <c r="I1348" t="s">
        <v>5694</v>
      </c>
      <c r="K1348" t="s">
        <v>3917</v>
      </c>
      <c r="L1348" t="s">
        <v>6167</v>
      </c>
      <c r="N1348" t="s">
        <v>3719</v>
      </c>
      <c r="O1348" t="s">
        <v>5585</v>
      </c>
      <c r="Q1348" t="s">
        <v>3723</v>
      </c>
      <c r="R1348" t="s">
        <v>3724</v>
      </c>
      <c r="T1348" t="s">
        <v>5</v>
      </c>
      <c r="U1348" s="3" t="str">
        <f>+VLOOKUP(Sites_per_tag[[#This Row],[Activity_tag]],Parameter!$A$24:$B$32,2,0)</f>
        <v>MAM</v>
      </c>
      <c r="W1348">
        <v>47.695630000000001</v>
      </c>
      <c r="X1348">
        <v>-22.802630000000001</v>
      </c>
    </row>
    <row r="1349" spans="1:24" x14ac:dyDescent="0.35">
      <c r="A1349" s="3" t="str">
        <f t="shared" si="21"/>
        <v>MG25213050003001MAM</v>
      </c>
      <c r="B1349" t="s">
        <v>6193</v>
      </c>
      <c r="C1349">
        <f>+VLOOKUP(Sites_per_tag[[#This Row],[Field_office]],Parameter!$A$3:$B$11,2,0)</f>
        <v>4</v>
      </c>
      <c r="E1349" t="s">
        <v>5658</v>
      </c>
      <c r="F1349" t="s">
        <v>5659</v>
      </c>
      <c r="H1349" t="str">
        <f ca="1">PROPER(Sites_per_tag[[#This Row],[Adm2Name]])</f>
        <v>Farafangana</v>
      </c>
      <c r="I1349" t="s">
        <v>5694</v>
      </c>
      <c r="K1349" t="s">
        <v>3897</v>
      </c>
      <c r="L1349" t="s">
        <v>6160</v>
      </c>
      <c r="N1349" t="s">
        <v>3979</v>
      </c>
      <c r="O1349" t="s">
        <v>5568</v>
      </c>
      <c r="Q1349" t="s">
        <v>3979</v>
      </c>
      <c r="R1349" t="s">
        <v>3980</v>
      </c>
      <c r="T1349" t="s">
        <v>5</v>
      </c>
      <c r="U1349" s="3" t="str">
        <f>+VLOOKUP(Sites_per_tag[[#This Row],[Activity_tag]],Parameter!$A$24:$B$32,2,0)</f>
        <v>MAM</v>
      </c>
      <c r="W1349">
        <v>47.746580000000002</v>
      </c>
      <c r="X1349">
        <v>-22.727599999999999</v>
      </c>
    </row>
    <row r="1350" spans="1:24" x14ac:dyDescent="0.35">
      <c r="A1350" s="3" t="str">
        <f t="shared" si="21"/>
        <v>MG25213050010001MAM</v>
      </c>
      <c r="B1350" t="s">
        <v>6193</v>
      </c>
      <c r="C1350">
        <f>+VLOOKUP(Sites_per_tag[[#This Row],[Field_office]],Parameter!$A$3:$B$11,2,0)</f>
        <v>4</v>
      </c>
      <c r="E1350" t="s">
        <v>5658</v>
      </c>
      <c r="F1350" t="s">
        <v>5659</v>
      </c>
      <c r="H1350" t="str">
        <f ca="1">PROPER(Sites_per_tag[[#This Row],[Adm2Name]])</f>
        <v>Farafangana</v>
      </c>
      <c r="I1350" t="s">
        <v>5694</v>
      </c>
      <c r="K1350" t="s">
        <v>5848</v>
      </c>
      <c r="L1350" t="s">
        <v>5849</v>
      </c>
      <c r="N1350" t="s">
        <v>596</v>
      </c>
      <c r="O1350" t="s">
        <v>4705</v>
      </c>
      <c r="Q1350" t="s">
        <v>596</v>
      </c>
      <c r="R1350" t="s">
        <v>597</v>
      </c>
      <c r="T1350" t="s">
        <v>5</v>
      </c>
      <c r="U1350" s="3" t="str">
        <f>+VLOOKUP(Sites_per_tag[[#This Row],[Activity_tag]],Parameter!$A$24:$B$32,2,0)</f>
        <v>MAM</v>
      </c>
      <c r="W1350">
        <v>47.758119999999998</v>
      </c>
      <c r="X1350">
        <v>-22.72345</v>
      </c>
    </row>
    <row r="1351" spans="1:24" x14ac:dyDescent="0.35">
      <c r="A1351" s="3" t="str">
        <f t="shared" si="21"/>
        <v>MG25213050035001MAM</v>
      </c>
      <c r="B1351" t="s">
        <v>6193</v>
      </c>
      <c r="C1351">
        <f>+VLOOKUP(Sites_per_tag[[#This Row],[Field_office]],Parameter!$A$3:$B$11,2,0)</f>
        <v>4</v>
      </c>
      <c r="E1351" t="s">
        <v>5658</v>
      </c>
      <c r="F1351" t="s">
        <v>5659</v>
      </c>
      <c r="H1351" t="str">
        <f ca="1">PROPER(Sites_per_tag[[#This Row],[Adm2Name]])</f>
        <v>Farafangana</v>
      </c>
      <c r="I1351" t="s">
        <v>5694</v>
      </c>
      <c r="K1351" t="s">
        <v>5848</v>
      </c>
      <c r="L1351" t="s">
        <v>5849</v>
      </c>
      <c r="N1351" t="s">
        <v>2487</v>
      </c>
      <c r="O1351" t="s">
        <v>4706</v>
      </c>
      <c r="Q1351" t="s">
        <v>2487</v>
      </c>
      <c r="R1351" t="s">
        <v>2488</v>
      </c>
      <c r="T1351" t="s">
        <v>5</v>
      </c>
      <c r="U1351" s="3" t="str">
        <f>+VLOOKUP(Sites_per_tag[[#This Row],[Activity_tag]],Parameter!$A$24:$B$32,2,0)</f>
        <v>MAM</v>
      </c>
      <c r="W1351">
        <v>47.786020000000001</v>
      </c>
      <c r="X1351">
        <v>-22.73452</v>
      </c>
    </row>
    <row r="1352" spans="1:24" x14ac:dyDescent="0.35">
      <c r="A1352" s="3" t="str">
        <f t="shared" si="21"/>
        <v>MG25213050044001MAM</v>
      </c>
      <c r="B1352" t="s">
        <v>6193</v>
      </c>
      <c r="C1352">
        <f>+VLOOKUP(Sites_per_tag[[#This Row],[Field_office]],Parameter!$A$3:$B$11,2,0)</f>
        <v>4</v>
      </c>
      <c r="E1352" t="s">
        <v>5658</v>
      </c>
      <c r="F1352" t="s">
        <v>5659</v>
      </c>
      <c r="H1352" t="str">
        <f ca="1">PROPER(Sites_per_tag[[#This Row],[Adm2Name]])</f>
        <v>Farafangana</v>
      </c>
      <c r="I1352" t="s">
        <v>5694</v>
      </c>
      <c r="K1352" t="s">
        <v>3897</v>
      </c>
      <c r="L1352" t="s">
        <v>6160</v>
      </c>
      <c r="N1352" t="s">
        <v>2875</v>
      </c>
      <c r="O1352" t="s">
        <v>5569</v>
      </c>
      <c r="Q1352" t="s">
        <v>2875</v>
      </c>
      <c r="R1352" t="s">
        <v>2876</v>
      </c>
      <c r="T1352" t="s">
        <v>5</v>
      </c>
      <c r="U1352" s="3" t="str">
        <f>+VLOOKUP(Sites_per_tag[[#This Row],[Activity_tag]],Parameter!$A$24:$B$32,2,0)</f>
        <v>MAM</v>
      </c>
      <c r="W1352">
        <v>47.727950999999997</v>
      </c>
      <c r="X1352">
        <v>-22.742149999999999</v>
      </c>
    </row>
    <row r="1353" spans="1:24" x14ac:dyDescent="0.35">
      <c r="A1353" s="3" t="str">
        <f t="shared" si="21"/>
        <v>MG25213050045001MAM</v>
      </c>
      <c r="B1353" t="s">
        <v>6193</v>
      </c>
      <c r="C1353">
        <f>+VLOOKUP(Sites_per_tag[[#This Row],[Field_office]],Parameter!$A$3:$B$11,2,0)</f>
        <v>4</v>
      </c>
      <c r="E1353" t="s">
        <v>5658</v>
      </c>
      <c r="F1353" t="s">
        <v>5659</v>
      </c>
      <c r="H1353" t="str">
        <f ca="1">PROPER(Sites_per_tag[[#This Row],[Adm2Name]])</f>
        <v>Farafangana</v>
      </c>
      <c r="I1353" t="s">
        <v>5694</v>
      </c>
      <c r="K1353" t="s">
        <v>3897</v>
      </c>
      <c r="L1353" t="s">
        <v>6160</v>
      </c>
      <c r="N1353" t="s">
        <v>3897</v>
      </c>
      <c r="O1353" t="s">
        <v>5570</v>
      </c>
      <c r="Q1353" t="s">
        <v>3899</v>
      </c>
      <c r="R1353" t="s">
        <v>3900</v>
      </c>
      <c r="T1353" t="s">
        <v>5</v>
      </c>
      <c r="U1353" s="3" t="str">
        <f>+VLOOKUP(Sites_per_tag[[#This Row],[Activity_tag]],Parameter!$A$24:$B$32,2,0)</f>
        <v>MAM</v>
      </c>
      <c r="W1353">
        <v>47.737209</v>
      </c>
      <c r="X1353">
        <v>-22.731804</v>
      </c>
    </row>
    <row r="1354" spans="1:24" x14ac:dyDescent="0.35">
      <c r="A1354" s="3" t="str">
        <f t="shared" si="21"/>
        <v>MG25213070040001MAM</v>
      </c>
      <c r="B1354" t="s">
        <v>6193</v>
      </c>
      <c r="C1354">
        <f>+VLOOKUP(Sites_per_tag[[#This Row],[Field_office]],Parameter!$A$3:$B$11,2,0)</f>
        <v>4</v>
      </c>
      <c r="E1354" t="s">
        <v>5658</v>
      </c>
      <c r="F1354" t="s">
        <v>5659</v>
      </c>
      <c r="H1354" t="str">
        <f ca="1">PROPER(Sites_per_tag[[#This Row],[Adm2Name]])</f>
        <v>Farafangana</v>
      </c>
      <c r="I1354" t="s">
        <v>5694</v>
      </c>
      <c r="K1354" t="s">
        <v>5850</v>
      </c>
      <c r="L1354" t="s">
        <v>5851</v>
      </c>
      <c r="N1354" t="s">
        <v>1448</v>
      </c>
      <c r="O1354" t="s">
        <v>4707</v>
      </c>
      <c r="Q1354" t="s">
        <v>1448</v>
      </c>
      <c r="R1354" t="s">
        <v>1449</v>
      </c>
      <c r="T1354" t="s">
        <v>5</v>
      </c>
      <c r="U1354" s="3" t="str">
        <f>+VLOOKUP(Sites_per_tag[[#This Row],[Activity_tag]],Parameter!$A$24:$B$32,2,0)</f>
        <v>MAM</v>
      </c>
      <c r="W1354">
        <v>47.813070000000003</v>
      </c>
      <c r="X1354">
        <v>-22.7317</v>
      </c>
    </row>
    <row r="1355" spans="1:24" x14ac:dyDescent="0.35">
      <c r="A1355" s="3" t="str">
        <f t="shared" si="21"/>
        <v>MG25213070041001MAM</v>
      </c>
      <c r="B1355" t="s">
        <v>6193</v>
      </c>
      <c r="C1355">
        <f>+VLOOKUP(Sites_per_tag[[#This Row],[Field_office]],Parameter!$A$3:$B$11,2,0)</f>
        <v>4</v>
      </c>
      <c r="E1355" t="s">
        <v>5658</v>
      </c>
      <c r="F1355" t="s">
        <v>5659</v>
      </c>
      <c r="H1355" t="str">
        <f ca="1">PROPER(Sites_per_tag[[#This Row],[Adm2Name]])</f>
        <v>Farafangana</v>
      </c>
      <c r="I1355" t="s">
        <v>5694</v>
      </c>
      <c r="K1355" t="s">
        <v>5850</v>
      </c>
      <c r="L1355" t="s">
        <v>5851</v>
      </c>
      <c r="N1355" t="s">
        <v>3866</v>
      </c>
      <c r="O1355" t="s">
        <v>4708</v>
      </c>
      <c r="Q1355" t="s">
        <v>3866</v>
      </c>
      <c r="R1355" t="s">
        <v>3867</v>
      </c>
      <c r="T1355" t="s">
        <v>5</v>
      </c>
      <c r="U1355" s="3" t="str">
        <f>+VLOOKUP(Sites_per_tag[[#This Row],[Activity_tag]],Parameter!$A$24:$B$32,2,0)</f>
        <v>MAM</v>
      </c>
      <c r="W1355">
        <v>47.804079999999999</v>
      </c>
      <c r="X1355">
        <v>-22.7058</v>
      </c>
    </row>
    <row r="1356" spans="1:24" x14ac:dyDescent="0.35">
      <c r="A1356" s="3" t="str">
        <f t="shared" si="21"/>
        <v>MG25213070042001MAM</v>
      </c>
      <c r="B1356" t="s">
        <v>6193</v>
      </c>
      <c r="C1356">
        <f>+VLOOKUP(Sites_per_tag[[#This Row],[Field_office]],Parameter!$A$3:$B$11,2,0)</f>
        <v>4</v>
      </c>
      <c r="E1356" t="s">
        <v>5658</v>
      </c>
      <c r="F1356" t="s">
        <v>5659</v>
      </c>
      <c r="H1356" t="str">
        <f ca="1">PROPER(Sites_per_tag[[#This Row],[Adm2Name]])</f>
        <v>Farafangana</v>
      </c>
      <c r="I1356" t="s">
        <v>5694</v>
      </c>
      <c r="K1356" t="s">
        <v>5850</v>
      </c>
      <c r="L1356" t="s">
        <v>5851</v>
      </c>
      <c r="N1356" t="s">
        <v>1444</v>
      </c>
      <c r="O1356" t="s">
        <v>4709</v>
      </c>
      <c r="Q1356" t="s">
        <v>1444</v>
      </c>
      <c r="R1356" t="s">
        <v>1445</v>
      </c>
      <c r="T1356" t="s">
        <v>5</v>
      </c>
      <c r="U1356" s="3" t="str">
        <f>+VLOOKUP(Sites_per_tag[[#This Row],[Activity_tag]],Parameter!$A$24:$B$32,2,0)</f>
        <v>MAM</v>
      </c>
      <c r="W1356">
        <v>47.782449999999997</v>
      </c>
      <c r="X1356">
        <v>-22.720199999999998</v>
      </c>
    </row>
    <row r="1357" spans="1:24" x14ac:dyDescent="0.35">
      <c r="A1357" s="3" t="str">
        <f t="shared" si="21"/>
        <v>MG25213070043001MAM</v>
      </c>
      <c r="B1357" t="s">
        <v>6193</v>
      </c>
      <c r="C1357">
        <f>+VLOOKUP(Sites_per_tag[[#This Row],[Field_office]],Parameter!$A$3:$B$11,2,0)</f>
        <v>4</v>
      </c>
      <c r="E1357" t="s">
        <v>5658</v>
      </c>
      <c r="F1357" t="s">
        <v>5659</v>
      </c>
      <c r="H1357" t="str">
        <f ca="1">PROPER(Sites_per_tag[[#This Row],[Adm2Name]])</f>
        <v>Farafangana</v>
      </c>
      <c r="I1357" t="s">
        <v>5694</v>
      </c>
      <c r="K1357" t="s">
        <v>5850</v>
      </c>
      <c r="L1357" t="s">
        <v>5851</v>
      </c>
      <c r="N1357" t="s">
        <v>839</v>
      </c>
      <c r="O1357" t="s">
        <v>4710</v>
      </c>
      <c r="Q1357" t="s">
        <v>843</v>
      </c>
      <c r="R1357" t="s">
        <v>844</v>
      </c>
      <c r="T1357" t="s">
        <v>5</v>
      </c>
      <c r="U1357" s="3" t="str">
        <f>+VLOOKUP(Sites_per_tag[[#This Row],[Activity_tag]],Parameter!$A$24:$B$32,2,0)</f>
        <v>MAM</v>
      </c>
      <c r="W1357">
        <v>47.810949999999998</v>
      </c>
      <c r="X1357">
        <v>-22.709379999999999</v>
      </c>
    </row>
    <row r="1358" spans="1:24" x14ac:dyDescent="0.35">
      <c r="A1358" s="3" t="str">
        <f t="shared" si="21"/>
        <v>MG25213090001001MAM</v>
      </c>
      <c r="B1358" t="s">
        <v>6193</v>
      </c>
      <c r="C1358">
        <f>+VLOOKUP(Sites_per_tag[[#This Row],[Field_office]],Parameter!$A$3:$B$11,2,0)</f>
        <v>4</v>
      </c>
      <c r="E1358" t="s">
        <v>5658</v>
      </c>
      <c r="F1358" t="s">
        <v>5659</v>
      </c>
      <c r="H1358" t="str">
        <f ca="1">PROPER(Sites_per_tag[[#This Row],[Adm2Name]])</f>
        <v>Farafangana</v>
      </c>
      <c r="I1358" t="s">
        <v>5694</v>
      </c>
      <c r="K1358" t="s">
        <v>3958</v>
      </c>
      <c r="L1358" t="s">
        <v>6171</v>
      </c>
      <c r="N1358" t="s">
        <v>3958</v>
      </c>
      <c r="O1358" t="s">
        <v>5598</v>
      </c>
      <c r="Q1358" t="s">
        <v>3960</v>
      </c>
      <c r="R1358" t="s">
        <v>3961</v>
      </c>
      <c r="T1358" t="s">
        <v>5</v>
      </c>
      <c r="U1358" s="3" t="str">
        <f>+VLOOKUP(Sites_per_tag[[#This Row],[Activity_tag]],Parameter!$A$24:$B$32,2,0)</f>
        <v>MAM</v>
      </c>
      <c r="W1358">
        <v>47.763950000000001</v>
      </c>
      <c r="X1358">
        <v>-22.877549999999999</v>
      </c>
    </row>
    <row r="1359" spans="1:24" x14ac:dyDescent="0.35">
      <c r="A1359" s="3" t="str">
        <f t="shared" si="21"/>
        <v>MG25213110001001MAM</v>
      </c>
      <c r="B1359" t="s">
        <v>6193</v>
      </c>
      <c r="C1359">
        <f>+VLOOKUP(Sites_per_tag[[#This Row],[Field_office]],Parameter!$A$3:$B$11,2,0)</f>
        <v>4</v>
      </c>
      <c r="E1359" t="s">
        <v>5658</v>
      </c>
      <c r="F1359" t="s">
        <v>5659</v>
      </c>
      <c r="H1359" t="str">
        <f ca="1">PROPER(Sites_per_tag[[#This Row],[Adm2Name]])</f>
        <v>Farafangana</v>
      </c>
      <c r="I1359" t="s">
        <v>5694</v>
      </c>
      <c r="K1359" t="s">
        <v>2619</v>
      </c>
      <c r="L1359" t="s">
        <v>5984</v>
      </c>
      <c r="N1359" t="s">
        <v>2619</v>
      </c>
      <c r="O1359" t="s">
        <v>5127</v>
      </c>
      <c r="Q1359" t="s">
        <v>2619</v>
      </c>
      <c r="R1359" t="s">
        <v>2620</v>
      </c>
      <c r="T1359" t="s">
        <v>5</v>
      </c>
      <c r="U1359" s="3" t="str">
        <f>+VLOOKUP(Sites_per_tag[[#This Row],[Activity_tag]],Parameter!$A$24:$B$32,2,0)</f>
        <v>MAM</v>
      </c>
      <c r="W1359">
        <v>47.728499999999997</v>
      </c>
      <c r="X1359">
        <v>-22.879100000000001</v>
      </c>
    </row>
    <row r="1360" spans="1:24" x14ac:dyDescent="0.35">
      <c r="A1360" s="3" t="str">
        <f t="shared" si="21"/>
        <v>MG25213110002001MAM</v>
      </c>
      <c r="B1360" t="s">
        <v>6193</v>
      </c>
      <c r="C1360">
        <f>+VLOOKUP(Sites_per_tag[[#This Row],[Field_office]],Parameter!$A$3:$B$11,2,0)</f>
        <v>4</v>
      </c>
      <c r="E1360" t="s">
        <v>5658</v>
      </c>
      <c r="F1360" t="s">
        <v>5659</v>
      </c>
      <c r="H1360" t="str">
        <f ca="1">PROPER(Sites_per_tag[[#This Row],[Adm2Name]])</f>
        <v>Farafangana</v>
      </c>
      <c r="I1360" t="s">
        <v>5694</v>
      </c>
      <c r="K1360" t="s">
        <v>2619</v>
      </c>
      <c r="L1360" t="s">
        <v>5984</v>
      </c>
      <c r="N1360" t="s">
        <v>137</v>
      </c>
      <c r="O1360" t="s">
        <v>5128</v>
      </c>
      <c r="Q1360" t="s">
        <v>137</v>
      </c>
      <c r="R1360" t="s">
        <v>138</v>
      </c>
      <c r="T1360" t="s">
        <v>5</v>
      </c>
      <c r="U1360" s="3" t="str">
        <f>+VLOOKUP(Sites_per_tag[[#This Row],[Activity_tag]],Parameter!$A$24:$B$32,2,0)</f>
        <v>MAM</v>
      </c>
      <c r="W1360">
        <v>47.753950000000003</v>
      </c>
      <c r="X1360">
        <v>-22.837399999999999</v>
      </c>
    </row>
    <row r="1361" spans="1:24" x14ac:dyDescent="0.35">
      <c r="A1361" s="3" t="str">
        <f t="shared" si="21"/>
        <v>MG25213110005001MAM</v>
      </c>
      <c r="B1361" t="s">
        <v>6193</v>
      </c>
      <c r="C1361">
        <f>+VLOOKUP(Sites_per_tag[[#This Row],[Field_office]],Parameter!$A$3:$B$11,2,0)</f>
        <v>4</v>
      </c>
      <c r="E1361" t="s">
        <v>5658</v>
      </c>
      <c r="F1361" t="s">
        <v>5659</v>
      </c>
      <c r="H1361" t="str">
        <f ca="1">PROPER(Sites_per_tag[[#This Row],[Adm2Name]])</f>
        <v>Farafangana</v>
      </c>
      <c r="I1361" t="s">
        <v>5694</v>
      </c>
      <c r="K1361" t="s">
        <v>2619</v>
      </c>
      <c r="L1361" t="s">
        <v>5984</v>
      </c>
      <c r="N1361" t="s">
        <v>2795</v>
      </c>
      <c r="O1361" t="s">
        <v>5129</v>
      </c>
      <c r="Q1361" t="s">
        <v>2798</v>
      </c>
      <c r="R1361" t="s">
        <v>2799</v>
      </c>
      <c r="T1361" t="s">
        <v>5</v>
      </c>
      <c r="U1361" s="3" t="str">
        <f>+VLOOKUP(Sites_per_tag[[#This Row],[Activity_tag]],Parameter!$A$24:$B$32,2,0)</f>
        <v>MAM</v>
      </c>
      <c r="W1361">
        <v>47.652538</v>
      </c>
      <c r="X1361">
        <v>-22.976485</v>
      </c>
    </row>
    <row r="1362" spans="1:24" x14ac:dyDescent="0.35">
      <c r="A1362" s="3" t="str">
        <f t="shared" si="21"/>
        <v>MG25213150006001MAM</v>
      </c>
      <c r="B1362" t="s">
        <v>6193</v>
      </c>
      <c r="C1362">
        <f>+VLOOKUP(Sites_per_tag[[#This Row],[Field_office]],Parameter!$A$3:$B$11,2,0)</f>
        <v>4</v>
      </c>
      <c r="E1362" t="s">
        <v>5658</v>
      </c>
      <c r="F1362" t="s">
        <v>5659</v>
      </c>
      <c r="H1362" t="str">
        <f ca="1">PROPER(Sites_per_tag[[#This Row],[Adm2Name]])</f>
        <v>Vondrozo</v>
      </c>
      <c r="I1362" t="s">
        <v>5738</v>
      </c>
      <c r="K1362" t="s">
        <v>2783</v>
      </c>
      <c r="L1362" t="s">
        <v>6009</v>
      </c>
      <c r="N1362" t="s">
        <v>2783</v>
      </c>
      <c r="O1362" t="s">
        <v>5192</v>
      </c>
      <c r="Q1362" t="s">
        <v>2788</v>
      </c>
      <c r="R1362" t="s">
        <v>2789</v>
      </c>
      <c r="T1362" t="s">
        <v>5</v>
      </c>
      <c r="U1362" s="3" t="str">
        <f>+VLOOKUP(Sites_per_tag[[#This Row],[Activity_tag]],Parameter!$A$24:$B$32,2,0)</f>
        <v>MAM</v>
      </c>
      <c r="W1362">
        <v>47.366819999999997</v>
      </c>
      <c r="X1362">
        <v>-22.36523</v>
      </c>
    </row>
    <row r="1363" spans="1:24" x14ac:dyDescent="0.35">
      <c r="A1363" s="3" t="str">
        <f t="shared" si="21"/>
        <v>MG25213170001001MAM</v>
      </c>
      <c r="B1363" t="s">
        <v>6193</v>
      </c>
      <c r="C1363">
        <f>+VLOOKUP(Sites_per_tag[[#This Row],[Field_office]],Parameter!$A$3:$B$11,2,0)</f>
        <v>4</v>
      </c>
      <c r="E1363" t="s">
        <v>5658</v>
      </c>
      <c r="F1363" t="s">
        <v>5659</v>
      </c>
      <c r="H1363" t="str">
        <f ca="1">PROPER(Sites_per_tag[[#This Row],[Adm2Name]])</f>
        <v>Farafangana</v>
      </c>
      <c r="I1363" t="s">
        <v>5694</v>
      </c>
      <c r="K1363" t="s">
        <v>2739</v>
      </c>
      <c r="L1363" t="s">
        <v>6004</v>
      </c>
      <c r="N1363" t="s">
        <v>2739</v>
      </c>
      <c r="O1363" t="s">
        <v>5180</v>
      </c>
      <c r="Q1363" t="s">
        <v>2739</v>
      </c>
      <c r="R1363" t="s">
        <v>2740</v>
      </c>
      <c r="T1363" t="s">
        <v>5</v>
      </c>
      <c r="U1363" s="3" t="str">
        <f>+VLOOKUP(Sites_per_tag[[#This Row],[Activity_tag]],Parameter!$A$24:$B$32,2,0)</f>
        <v>MAM</v>
      </c>
      <c r="W1363">
        <v>47.664250000000003</v>
      </c>
      <c r="X1363">
        <v>-22.672630000000002</v>
      </c>
    </row>
    <row r="1364" spans="1:24" x14ac:dyDescent="0.35">
      <c r="A1364" s="3" t="str">
        <f t="shared" si="21"/>
        <v>MG25213170004001MAM</v>
      </c>
      <c r="B1364" t="s">
        <v>6193</v>
      </c>
      <c r="C1364">
        <f>+VLOOKUP(Sites_per_tag[[#This Row],[Field_office]],Parameter!$A$3:$B$11,2,0)</f>
        <v>4</v>
      </c>
      <c r="E1364" t="s">
        <v>5658</v>
      </c>
      <c r="F1364" t="s">
        <v>5659</v>
      </c>
      <c r="H1364" t="str">
        <f ca="1">PROPER(Sites_per_tag[[#This Row],[Adm2Name]])</f>
        <v>Farafangana</v>
      </c>
      <c r="I1364" t="s">
        <v>5694</v>
      </c>
      <c r="K1364" t="s">
        <v>2739</v>
      </c>
      <c r="L1364" t="s">
        <v>6004</v>
      </c>
      <c r="N1364" t="s">
        <v>3958</v>
      </c>
      <c r="O1364" t="s">
        <v>5181</v>
      </c>
      <c r="Q1364" t="s">
        <v>3962</v>
      </c>
      <c r="R1364" t="s">
        <v>3963</v>
      </c>
      <c r="T1364" t="s">
        <v>5</v>
      </c>
      <c r="U1364" s="3" t="str">
        <f>+VLOOKUP(Sites_per_tag[[#This Row],[Activity_tag]],Parameter!$A$24:$B$32,2,0)</f>
        <v>MAM</v>
      </c>
      <c r="W1364">
        <v>47.685450000000003</v>
      </c>
      <c r="X1364">
        <v>-23.2134</v>
      </c>
    </row>
    <row r="1365" spans="1:24" x14ac:dyDescent="0.35">
      <c r="A1365" s="3" t="str">
        <f t="shared" si="21"/>
        <v>MG25213170023001MAM</v>
      </c>
      <c r="B1365" t="s">
        <v>6193</v>
      </c>
      <c r="C1365">
        <f>+VLOOKUP(Sites_per_tag[[#This Row],[Field_office]],Parameter!$A$3:$B$11,2,0)</f>
        <v>4</v>
      </c>
      <c r="E1365" t="s">
        <v>5658</v>
      </c>
      <c r="F1365" t="s">
        <v>5659</v>
      </c>
      <c r="H1365" t="str">
        <f ca="1">PROPER(Sites_per_tag[[#This Row],[Adm2Name]])</f>
        <v>Farafangana</v>
      </c>
      <c r="I1365" t="s">
        <v>5694</v>
      </c>
      <c r="K1365" t="s">
        <v>2727</v>
      </c>
      <c r="L1365" t="s">
        <v>6002</v>
      </c>
      <c r="N1365" t="s">
        <v>5176</v>
      </c>
      <c r="O1365" t="s">
        <v>5175</v>
      </c>
      <c r="Q1365" t="s">
        <v>2524</v>
      </c>
      <c r="R1365" t="s">
        <v>2525</v>
      </c>
      <c r="T1365" t="s">
        <v>5</v>
      </c>
      <c r="U1365" s="3" t="str">
        <f>+VLOOKUP(Sites_per_tag[[#This Row],[Activity_tag]],Parameter!$A$24:$B$32,2,0)</f>
        <v>MAM</v>
      </c>
      <c r="W1365">
        <v>47.70288</v>
      </c>
      <c r="X1365">
        <v>-23.152249999999999</v>
      </c>
    </row>
    <row r="1366" spans="1:24" x14ac:dyDescent="0.35">
      <c r="A1366" s="3" t="str">
        <f t="shared" si="21"/>
        <v>MG25213170024001MAM</v>
      </c>
      <c r="B1366" t="s">
        <v>6193</v>
      </c>
      <c r="C1366">
        <f>+VLOOKUP(Sites_per_tag[[#This Row],[Field_office]],Parameter!$A$3:$B$11,2,0)</f>
        <v>4</v>
      </c>
      <c r="E1366" t="s">
        <v>5658</v>
      </c>
      <c r="F1366" t="s">
        <v>5659</v>
      </c>
      <c r="H1366" t="str">
        <f ca="1">PROPER(Sites_per_tag[[#This Row],[Adm2Name]])</f>
        <v>Farafangana</v>
      </c>
      <c r="I1366" t="s">
        <v>5694</v>
      </c>
      <c r="K1366" t="s">
        <v>2727</v>
      </c>
      <c r="L1366" t="s">
        <v>6002</v>
      </c>
      <c r="N1366" t="s">
        <v>2727</v>
      </c>
      <c r="O1366" t="s">
        <v>5177</v>
      </c>
      <c r="Q1366" t="s">
        <v>2727</v>
      </c>
      <c r="R1366" t="s">
        <v>2728</v>
      </c>
      <c r="T1366" t="s">
        <v>5</v>
      </c>
      <c r="U1366" s="3" t="str">
        <f>+VLOOKUP(Sites_per_tag[[#This Row],[Activity_tag]],Parameter!$A$24:$B$32,2,0)</f>
        <v>MAM</v>
      </c>
      <c r="W1366">
        <v>47.679029999999997</v>
      </c>
      <c r="X1366">
        <v>-23.186399999999999</v>
      </c>
    </row>
    <row r="1367" spans="1:24" x14ac:dyDescent="0.35">
      <c r="A1367" s="3" t="str">
        <f t="shared" si="21"/>
        <v>MG25213190001001MAM</v>
      </c>
      <c r="B1367" t="s">
        <v>6193</v>
      </c>
      <c r="C1367">
        <f>+VLOOKUP(Sites_per_tag[[#This Row],[Field_office]],Parameter!$A$3:$B$11,2,0)</f>
        <v>4</v>
      </c>
      <c r="E1367" t="s">
        <v>5658</v>
      </c>
      <c r="F1367" t="s">
        <v>5659</v>
      </c>
      <c r="H1367" t="str">
        <f ca="1">PROPER(Sites_per_tag[[#This Row],[Adm2Name]])</f>
        <v>Farafangana</v>
      </c>
      <c r="I1367" t="s">
        <v>5694</v>
      </c>
      <c r="K1367" t="s">
        <v>582</v>
      </c>
      <c r="L1367" t="s">
        <v>5768</v>
      </c>
      <c r="N1367" t="s">
        <v>582</v>
      </c>
      <c r="O1367" t="s">
        <v>4508</v>
      </c>
      <c r="Q1367" t="s">
        <v>582</v>
      </c>
      <c r="R1367" t="s">
        <v>583</v>
      </c>
      <c r="T1367" t="s">
        <v>5</v>
      </c>
      <c r="U1367" s="3" t="str">
        <f>+VLOOKUP(Sites_per_tag[[#This Row],[Activity_tag]],Parameter!$A$24:$B$32,2,0)</f>
        <v>MAM</v>
      </c>
      <c r="W1367">
        <v>47.779319999999998</v>
      </c>
      <c r="X1367">
        <v>-22.46245</v>
      </c>
    </row>
    <row r="1368" spans="1:24" x14ac:dyDescent="0.35">
      <c r="A1368" s="3" t="str">
        <f t="shared" si="21"/>
        <v>MG25213190010001MAM</v>
      </c>
      <c r="B1368" t="s">
        <v>6193</v>
      </c>
      <c r="C1368">
        <f>+VLOOKUP(Sites_per_tag[[#This Row],[Field_office]],Parameter!$A$3:$B$11,2,0)</f>
        <v>4</v>
      </c>
      <c r="E1368" t="s">
        <v>5658</v>
      </c>
      <c r="F1368" t="s">
        <v>5659</v>
      </c>
      <c r="H1368" t="str">
        <f ca="1">PROPER(Sites_per_tag[[#This Row],[Adm2Name]])</f>
        <v>Farafangana</v>
      </c>
      <c r="I1368" t="s">
        <v>5694</v>
      </c>
      <c r="K1368" t="s">
        <v>582</v>
      </c>
      <c r="L1368" t="s">
        <v>5768</v>
      </c>
      <c r="N1368" t="s">
        <v>482</v>
      </c>
      <c r="O1368" t="s">
        <v>4509</v>
      </c>
      <c r="Q1368" t="s">
        <v>482</v>
      </c>
      <c r="R1368" t="s">
        <v>483</v>
      </c>
      <c r="T1368" t="s">
        <v>5</v>
      </c>
      <c r="U1368" s="3" t="str">
        <f>+VLOOKUP(Sites_per_tag[[#This Row],[Activity_tag]],Parameter!$A$24:$B$32,2,0)</f>
        <v>MAM</v>
      </c>
      <c r="W1368">
        <v>47.803019999999997</v>
      </c>
      <c r="X1368">
        <v>-22.59985</v>
      </c>
    </row>
    <row r="1369" spans="1:24" x14ac:dyDescent="0.35">
      <c r="A1369" s="3" t="str">
        <f t="shared" si="21"/>
        <v>MG25213210001001MAM</v>
      </c>
      <c r="B1369" t="s">
        <v>6193</v>
      </c>
      <c r="C1369">
        <f>+VLOOKUP(Sites_per_tag[[#This Row],[Field_office]],Parameter!$A$3:$B$11,2,0)</f>
        <v>4</v>
      </c>
      <c r="E1369" t="s">
        <v>5658</v>
      </c>
      <c r="F1369" t="s">
        <v>5659</v>
      </c>
      <c r="H1369" t="str">
        <f ca="1">PROPER(Sites_per_tag[[#This Row],[Adm2Name]])</f>
        <v>Farafangana</v>
      </c>
      <c r="I1369" t="s">
        <v>5694</v>
      </c>
      <c r="K1369" t="s">
        <v>2522</v>
      </c>
      <c r="L1369" t="s">
        <v>5965</v>
      </c>
      <c r="N1369" t="s">
        <v>2522</v>
      </c>
      <c r="O1369" t="s">
        <v>5011</v>
      </c>
      <c r="Q1369" t="s">
        <v>2522</v>
      </c>
      <c r="R1369" t="s">
        <v>2523</v>
      </c>
      <c r="T1369" t="s">
        <v>5</v>
      </c>
      <c r="U1369" s="3" t="str">
        <f>+VLOOKUP(Sites_per_tag[[#This Row],[Activity_tag]],Parameter!$A$24:$B$32,2,0)</f>
        <v>MAM</v>
      </c>
      <c r="W1369">
        <v>47.713070000000002</v>
      </c>
      <c r="X1369">
        <v>-22.882449999999999</v>
      </c>
    </row>
    <row r="1370" spans="1:24" x14ac:dyDescent="0.35">
      <c r="A1370" s="3" t="str">
        <f t="shared" si="21"/>
        <v>MG25213210007001MAM</v>
      </c>
      <c r="B1370" t="s">
        <v>6193</v>
      </c>
      <c r="C1370">
        <f>+VLOOKUP(Sites_per_tag[[#This Row],[Field_office]],Parameter!$A$3:$B$11,2,0)</f>
        <v>4</v>
      </c>
      <c r="E1370" t="s">
        <v>5658</v>
      </c>
      <c r="F1370" t="s">
        <v>5659</v>
      </c>
      <c r="H1370" t="str">
        <f ca="1">PROPER(Sites_per_tag[[#This Row],[Adm2Name]])</f>
        <v>Farafangana</v>
      </c>
      <c r="I1370" t="s">
        <v>5694</v>
      </c>
      <c r="K1370" t="s">
        <v>2522</v>
      </c>
      <c r="L1370" t="s">
        <v>5965</v>
      </c>
      <c r="N1370" t="s">
        <v>660</v>
      </c>
      <c r="O1370" t="s">
        <v>5012</v>
      </c>
      <c r="Q1370" t="s">
        <v>660</v>
      </c>
      <c r="R1370" t="s">
        <v>661</v>
      </c>
      <c r="T1370" t="s">
        <v>5</v>
      </c>
      <c r="U1370" s="3" t="str">
        <f>+VLOOKUP(Sites_per_tag[[#This Row],[Activity_tag]],Parameter!$A$24:$B$32,2,0)</f>
        <v>MAM</v>
      </c>
      <c r="W1370">
        <v>47.6706</v>
      </c>
      <c r="X1370">
        <v>-22.877279999999999</v>
      </c>
    </row>
    <row r="1371" spans="1:24" x14ac:dyDescent="0.35">
      <c r="A1371" s="3" t="str">
        <f t="shared" si="21"/>
        <v>MG25213210008001MAM</v>
      </c>
      <c r="B1371" t="s">
        <v>6193</v>
      </c>
      <c r="C1371">
        <f>+VLOOKUP(Sites_per_tag[[#This Row],[Field_office]],Parameter!$A$3:$B$11,2,0)</f>
        <v>4</v>
      </c>
      <c r="E1371" t="s">
        <v>5678</v>
      </c>
      <c r="F1371" t="s">
        <v>5679</v>
      </c>
      <c r="H1371" t="str">
        <f ca="1">PROPER(Sites_per_tag[[#This Row],[Adm2Name]])</f>
        <v>Ikongo</v>
      </c>
      <c r="I1371" t="s">
        <v>5699</v>
      </c>
      <c r="K1371" t="s">
        <v>5621</v>
      </c>
      <c r="L1371" t="s">
        <v>5973</v>
      </c>
      <c r="N1371" t="s">
        <v>5082</v>
      </c>
      <c r="O1371" t="s">
        <v>5081</v>
      </c>
      <c r="Q1371" t="s">
        <v>326</v>
      </c>
      <c r="R1371" t="s">
        <v>327</v>
      </c>
      <c r="T1371" t="s">
        <v>5</v>
      </c>
      <c r="U1371" s="3" t="str">
        <f>+VLOOKUP(Sites_per_tag[[#This Row],[Activity_tag]],Parameter!$A$24:$B$32,2,0)</f>
        <v>MAM</v>
      </c>
      <c r="W1371">
        <v>47.68085</v>
      </c>
      <c r="X1371">
        <v>-22.919630000000002</v>
      </c>
    </row>
    <row r="1372" spans="1:24" x14ac:dyDescent="0.35">
      <c r="A1372" s="3" t="str">
        <f t="shared" si="21"/>
        <v>MG25213230002001MAM</v>
      </c>
      <c r="B1372" t="s">
        <v>6193</v>
      </c>
      <c r="C1372">
        <f>+VLOOKUP(Sites_per_tag[[#This Row],[Field_office]],Parameter!$A$3:$B$11,2,0)</f>
        <v>4</v>
      </c>
      <c r="E1372" t="s">
        <v>5658</v>
      </c>
      <c r="F1372" t="s">
        <v>5659</v>
      </c>
      <c r="H1372" t="str">
        <f ca="1">PROPER(Sites_per_tag[[#This Row],[Adm2Name]])</f>
        <v>Farafangana</v>
      </c>
      <c r="I1372" t="s">
        <v>5694</v>
      </c>
      <c r="K1372" t="s">
        <v>6079</v>
      </c>
      <c r="L1372" t="s">
        <v>6080</v>
      </c>
      <c r="N1372" t="s">
        <v>5380</v>
      </c>
      <c r="O1372" t="s">
        <v>5379</v>
      </c>
      <c r="Q1372" t="s">
        <v>3262</v>
      </c>
      <c r="R1372" t="s">
        <v>3263</v>
      </c>
      <c r="T1372" t="s">
        <v>5</v>
      </c>
      <c r="U1372" s="3" t="str">
        <f>+VLOOKUP(Sites_per_tag[[#This Row],[Activity_tag]],Parameter!$A$24:$B$32,2,0)</f>
        <v>MAM</v>
      </c>
      <c r="W1372">
        <v>47.78642</v>
      </c>
      <c r="X1372">
        <v>-22.624179999999999</v>
      </c>
    </row>
    <row r="1373" spans="1:24" x14ac:dyDescent="0.35">
      <c r="A1373" s="3" t="str">
        <f t="shared" si="21"/>
        <v>MG25213230011001MAM</v>
      </c>
      <c r="B1373" t="s">
        <v>6193</v>
      </c>
      <c r="C1373">
        <f>+VLOOKUP(Sites_per_tag[[#This Row],[Field_office]],Parameter!$A$3:$B$11,2,0)</f>
        <v>4</v>
      </c>
      <c r="E1373" t="s">
        <v>5658</v>
      </c>
      <c r="F1373" t="s">
        <v>5659</v>
      </c>
      <c r="H1373" t="str">
        <f ca="1">PROPER(Sites_per_tag[[#This Row],[Adm2Name]])</f>
        <v>Midongy-Atsimo</v>
      </c>
      <c r="I1373" t="s">
        <v>5712</v>
      </c>
      <c r="K1373" t="s">
        <v>6065</v>
      </c>
      <c r="L1373" t="s">
        <v>6066</v>
      </c>
      <c r="N1373" t="s">
        <v>3120</v>
      </c>
      <c r="O1373" t="s">
        <v>5365</v>
      </c>
      <c r="Q1373" t="s">
        <v>3120</v>
      </c>
      <c r="R1373" t="s">
        <v>3121</v>
      </c>
      <c r="T1373" t="s">
        <v>5</v>
      </c>
      <c r="U1373" s="3" t="str">
        <f>+VLOOKUP(Sites_per_tag[[#This Row],[Activity_tag]],Parameter!$A$24:$B$32,2,0)</f>
        <v>MAM</v>
      </c>
      <c r="W1373">
        <v>47.108379999999997</v>
      </c>
      <c r="X1373">
        <v>-23.246269999999999</v>
      </c>
    </row>
    <row r="1374" spans="1:24" x14ac:dyDescent="0.35">
      <c r="A1374" s="3" t="str">
        <f t="shared" si="21"/>
        <v>MG25213230013001MAM</v>
      </c>
      <c r="B1374" t="s">
        <v>6193</v>
      </c>
      <c r="C1374">
        <f>+VLOOKUP(Sites_per_tag[[#This Row],[Field_office]],Parameter!$A$3:$B$11,2,0)</f>
        <v>4</v>
      </c>
      <c r="E1374" t="s">
        <v>5658</v>
      </c>
      <c r="F1374" t="s">
        <v>5659</v>
      </c>
      <c r="H1374" t="str">
        <f ca="1">PROPER(Sites_per_tag[[#This Row],[Adm2Name]])</f>
        <v>Farafangana</v>
      </c>
      <c r="I1374" t="s">
        <v>5694</v>
      </c>
      <c r="K1374" t="s">
        <v>3632</v>
      </c>
      <c r="L1374" t="s">
        <v>6129</v>
      </c>
      <c r="N1374" t="s">
        <v>2773</v>
      </c>
      <c r="O1374" t="s">
        <v>5474</v>
      </c>
      <c r="Q1374" t="s">
        <v>2773</v>
      </c>
      <c r="R1374" t="s">
        <v>2774</v>
      </c>
      <c r="T1374" t="s">
        <v>5</v>
      </c>
      <c r="U1374" s="3" t="str">
        <f>+VLOOKUP(Sites_per_tag[[#This Row],[Activity_tag]],Parameter!$A$24:$B$32,2,0)</f>
        <v>MAM</v>
      </c>
      <c r="W1374">
        <v>47.744799999999998</v>
      </c>
      <c r="X1374">
        <v>-22.778870000000001</v>
      </c>
    </row>
    <row r="1375" spans="1:24" x14ac:dyDescent="0.35">
      <c r="A1375" s="3" t="str">
        <f t="shared" si="21"/>
        <v>MG25213250007001MAM</v>
      </c>
      <c r="B1375" t="s">
        <v>6193</v>
      </c>
      <c r="C1375">
        <f>+VLOOKUP(Sites_per_tag[[#This Row],[Field_office]],Parameter!$A$3:$B$11,2,0)</f>
        <v>4</v>
      </c>
      <c r="E1375" t="s">
        <v>5658</v>
      </c>
      <c r="F1375" t="s">
        <v>5659</v>
      </c>
      <c r="H1375" t="str">
        <f ca="1">PROPER(Sites_per_tag[[#This Row],[Adm2Name]])</f>
        <v>Farafangana</v>
      </c>
      <c r="I1375" t="s">
        <v>5694</v>
      </c>
      <c r="K1375" t="s">
        <v>5919</v>
      </c>
      <c r="L1375" t="s">
        <v>5920</v>
      </c>
      <c r="N1375" t="s">
        <v>3082</v>
      </c>
      <c r="O1375" t="s">
        <v>4870</v>
      </c>
      <c r="Q1375" t="s">
        <v>3082</v>
      </c>
      <c r="R1375" t="s">
        <v>3083</v>
      </c>
      <c r="T1375" t="s">
        <v>5</v>
      </c>
      <c r="U1375" s="3" t="str">
        <f>+VLOOKUP(Sites_per_tag[[#This Row],[Activity_tag]],Parameter!$A$24:$B$32,2,0)</f>
        <v>MAM</v>
      </c>
      <c r="W1375">
        <v>47.856904</v>
      </c>
      <c r="X1375">
        <v>-22.563317999999999</v>
      </c>
    </row>
    <row r="1376" spans="1:24" x14ac:dyDescent="0.35">
      <c r="A1376" s="3" t="str">
        <f t="shared" si="21"/>
        <v>MG25213270001001MAM</v>
      </c>
      <c r="B1376" t="s">
        <v>6193</v>
      </c>
      <c r="C1376">
        <f>+VLOOKUP(Sites_per_tag[[#This Row],[Field_office]],Parameter!$A$3:$B$11,2,0)</f>
        <v>4</v>
      </c>
      <c r="E1376" t="s">
        <v>5658</v>
      </c>
      <c r="F1376" t="s">
        <v>5659</v>
      </c>
      <c r="H1376" t="str">
        <f ca="1">PROPER(Sites_per_tag[[#This Row],[Adm2Name]])</f>
        <v>Farafangana</v>
      </c>
      <c r="I1376" t="s">
        <v>5694</v>
      </c>
      <c r="K1376" t="s">
        <v>357</v>
      </c>
      <c r="L1376" t="s">
        <v>5727</v>
      </c>
      <c r="N1376" t="s">
        <v>357</v>
      </c>
      <c r="O1376" t="s">
        <v>4344</v>
      </c>
      <c r="Q1376" t="s">
        <v>357</v>
      </c>
      <c r="R1376" t="s">
        <v>358</v>
      </c>
      <c r="T1376" t="s">
        <v>5</v>
      </c>
      <c r="U1376" s="3" t="str">
        <f>+VLOOKUP(Sites_per_tag[[#This Row],[Activity_tag]],Parameter!$A$24:$B$32,2,0)</f>
        <v>MAM</v>
      </c>
      <c r="W1376">
        <v>47.586530000000003</v>
      </c>
      <c r="X1376">
        <v>-22.775770000000001</v>
      </c>
    </row>
    <row r="1377" spans="1:24" x14ac:dyDescent="0.35">
      <c r="A1377" s="3" t="str">
        <f t="shared" si="21"/>
        <v>MG25213270010001MAM</v>
      </c>
      <c r="B1377" t="s">
        <v>6193</v>
      </c>
      <c r="C1377">
        <f>+VLOOKUP(Sites_per_tag[[#This Row],[Field_office]],Parameter!$A$3:$B$11,2,0)</f>
        <v>4</v>
      </c>
      <c r="E1377" t="s">
        <v>5658</v>
      </c>
      <c r="F1377" t="s">
        <v>5659</v>
      </c>
      <c r="H1377" t="str">
        <f ca="1">PROPER(Sites_per_tag[[#This Row],[Adm2Name]])</f>
        <v>Farafangana</v>
      </c>
      <c r="I1377" t="s">
        <v>5694</v>
      </c>
      <c r="K1377" t="s">
        <v>357</v>
      </c>
      <c r="L1377" t="s">
        <v>5727</v>
      </c>
      <c r="N1377" t="s">
        <v>2709</v>
      </c>
      <c r="O1377" t="s">
        <v>4345</v>
      </c>
      <c r="Q1377" t="s">
        <v>2709</v>
      </c>
      <c r="R1377" t="s">
        <v>2710</v>
      </c>
      <c r="T1377" t="s">
        <v>5</v>
      </c>
      <c r="U1377" s="3" t="str">
        <f>+VLOOKUP(Sites_per_tag[[#This Row],[Activity_tag]],Parameter!$A$24:$B$32,2,0)</f>
        <v>MAM</v>
      </c>
      <c r="W1377">
        <v>47.536200000000001</v>
      </c>
      <c r="X1377">
        <v>-22.802399999999999</v>
      </c>
    </row>
    <row r="1378" spans="1:24" x14ac:dyDescent="0.35">
      <c r="A1378" s="3" t="str">
        <f t="shared" si="21"/>
        <v>MG25213290004001MAM</v>
      </c>
      <c r="B1378" t="s">
        <v>6193</v>
      </c>
      <c r="C1378">
        <f>+VLOOKUP(Sites_per_tag[[#This Row],[Field_office]],Parameter!$A$3:$B$11,2,0)</f>
        <v>4</v>
      </c>
      <c r="E1378" t="s">
        <v>5658</v>
      </c>
      <c r="F1378" t="s">
        <v>5659</v>
      </c>
      <c r="H1378" t="str">
        <f ca="1">PROPER(Sites_per_tag[[#This Row],[Adm2Name]])</f>
        <v>Farafangana</v>
      </c>
      <c r="I1378" t="s">
        <v>5694</v>
      </c>
      <c r="K1378" t="s">
        <v>2815</v>
      </c>
      <c r="L1378" t="s">
        <v>6012</v>
      </c>
      <c r="N1378" t="s">
        <v>2815</v>
      </c>
      <c r="O1378" t="s">
        <v>5197</v>
      </c>
      <c r="Q1378" t="s">
        <v>2815</v>
      </c>
      <c r="R1378" t="s">
        <v>2816</v>
      </c>
      <c r="T1378" t="s">
        <v>5</v>
      </c>
      <c r="U1378" s="3" t="str">
        <f>+VLOOKUP(Sites_per_tag[[#This Row],[Activity_tag]],Parameter!$A$24:$B$32,2,0)</f>
        <v>MAM</v>
      </c>
      <c r="W1378">
        <v>47.610329999999998</v>
      </c>
      <c r="X1378">
        <v>-22.744700000000002</v>
      </c>
    </row>
    <row r="1379" spans="1:24" x14ac:dyDescent="0.35">
      <c r="A1379" s="3" t="str">
        <f t="shared" si="21"/>
        <v>MG25213330001001MAM</v>
      </c>
      <c r="B1379" t="s">
        <v>6193</v>
      </c>
      <c r="C1379">
        <f>+VLOOKUP(Sites_per_tag[[#This Row],[Field_office]],Parameter!$A$3:$B$11,2,0)</f>
        <v>4</v>
      </c>
      <c r="E1379" t="s">
        <v>5658</v>
      </c>
      <c r="F1379" t="s">
        <v>5659</v>
      </c>
      <c r="H1379" t="str">
        <f ca="1">PROPER(Sites_per_tag[[#This Row],[Adm2Name]])</f>
        <v>Farafangana</v>
      </c>
      <c r="I1379" t="s">
        <v>5694</v>
      </c>
      <c r="K1379" t="s">
        <v>371</v>
      </c>
      <c r="L1379" t="s">
        <v>5737</v>
      </c>
      <c r="N1379" t="s">
        <v>371</v>
      </c>
      <c r="O1379" t="s">
        <v>4357</v>
      </c>
      <c r="Q1379" t="s">
        <v>373</v>
      </c>
      <c r="R1379" t="s">
        <v>374</v>
      </c>
      <c r="T1379" t="s">
        <v>5</v>
      </c>
      <c r="U1379" s="3" t="str">
        <f>+VLOOKUP(Sites_per_tag[[#This Row],[Activity_tag]],Parameter!$A$24:$B$32,2,0)</f>
        <v>MAM</v>
      </c>
      <c r="W1379">
        <v>47.507179999999998</v>
      </c>
      <c r="X1379">
        <v>-22.74577</v>
      </c>
    </row>
    <row r="1380" spans="1:24" x14ac:dyDescent="0.35">
      <c r="A1380" s="3" t="str">
        <f t="shared" si="21"/>
        <v>MG25213330005001MAM</v>
      </c>
      <c r="B1380" t="s">
        <v>6193</v>
      </c>
      <c r="C1380">
        <f>+VLOOKUP(Sites_per_tag[[#This Row],[Field_office]],Parameter!$A$3:$B$11,2,0)</f>
        <v>4</v>
      </c>
      <c r="E1380" t="s">
        <v>5658</v>
      </c>
      <c r="F1380" t="s">
        <v>5659</v>
      </c>
      <c r="H1380" t="str">
        <f ca="1">PROPER(Sites_per_tag[[#This Row],[Adm2Name]])</f>
        <v>Farafangana</v>
      </c>
      <c r="I1380" t="s">
        <v>5694</v>
      </c>
      <c r="K1380" t="s">
        <v>371</v>
      </c>
      <c r="L1380" t="s">
        <v>5737</v>
      </c>
      <c r="N1380" t="s">
        <v>2533</v>
      </c>
      <c r="O1380" t="s">
        <v>4358</v>
      </c>
      <c r="Q1380" t="s">
        <v>2533</v>
      </c>
      <c r="R1380" t="s">
        <v>2534</v>
      </c>
      <c r="T1380" t="s">
        <v>5</v>
      </c>
      <c r="U1380" s="3" t="str">
        <f>+VLOOKUP(Sites_per_tag[[#This Row],[Activity_tag]],Parameter!$A$24:$B$32,2,0)</f>
        <v>MAM</v>
      </c>
      <c r="W1380">
        <v>47.507579999999997</v>
      </c>
      <c r="X1380">
        <v>-22.781300000000002</v>
      </c>
    </row>
    <row r="1381" spans="1:24" x14ac:dyDescent="0.35">
      <c r="A1381" s="3" t="str">
        <f t="shared" si="21"/>
        <v>MG25213350001001MAM</v>
      </c>
      <c r="B1381" t="s">
        <v>6193</v>
      </c>
      <c r="C1381">
        <f>+VLOOKUP(Sites_per_tag[[#This Row],[Field_office]],Parameter!$A$3:$B$11,2,0)</f>
        <v>4</v>
      </c>
      <c r="E1381" t="s">
        <v>5658</v>
      </c>
      <c r="F1381" t="s">
        <v>5659</v>
      </c>
      <c r="H1381" t="str">
        <f ca="1">PROPER(Sites_per_tag[[#This Row],[Adm2Name]])</f>
        <v>Farafangana</v>
      </c>
      <c r="I1381" t="s">
        <v>5694</v>
      </c>
      <c r="K1381" t="s">
        <v>5821</v>
      </c>
      <c r="L1381" t="s">
        <v>5822</v>
      </c>
      <c r="N1381" t="s">
        <v>1121</v>
      </c>
      <c r="O1381" t="s">
        <v>4615</v>
      </c>
      <c r="Q1381" t="s">
        <v>1121</v>
      </c>
      <c r="R1381" t="s">
        <v>1122</v>
      </c>
      <c r="T1381" t="s">
        <v>5</v>
      </c>
      <c r="U1381" s="3" t="str">
        <f>+VLOOKUP(Sites_per_tag[[#This Row],[Activity_tag]],Parameter!$A$24:$B$32,2,0)</f>
        <v>MAM</v>
      </c>
      <c r="W1381">
        <v>47.632730000000002</v>
      </c>
      <c r="X1381">
        <v>-23.082820000000002</v>
      </c>
    </row>
    <row r="1382" spans="1:24" x14ac:dyDescent="0.35">
      <c r="A1382" s="3" t="str">
        <f t="shared" si="21"/>
        <v>MG25213350002001MAM</v>
      </c>
      <c r="B1382" t="s">
        <v>6193</v>
      </c>
      <c r="C1382">
        <f>+VLOOKUP(Sites_per_tag[[#This Row],[Field_office]],Parameter!$A$3:$B$11,2,0)</f>
        <v>4</v>
      </c>
      <c r="E1382" t="s">
        <v>5658</v>
      </c>
      <c r="F1382" t="s">
        <v>5659</v>
      </c>
      <c r="H1382" t="str">
        <f ca="1">PROPER(Sites_per_tag[[#This Row],[Adm2Name]])</f>
        <v>Farafangana</v>
      </c>
      <c r="I1382" t="s">
        <v>5694</v>
      </c>
      <c r="K1382" t="s">
        <v>5821</v>
      </c>
      <c r="L1382" t="s">
        <v>5822</v>
      </c>
      <c r="N1382" t="s">
        <v>2924</v>
      </c>
      <c r="O1382" t="s">
        <v>4616</v>
      </c>
      <c r="Q1382" t="s">
        <v>2924</v>
      </c>
      <c r="R1382" t="s">
        <v>2925</v>
      </c>
      <c r="T1382" t="s">
        <v>5</v>
      </c>
      <c r="U1382" s="3" t="str">
        <f>+VLOOKUP(Sites_per_tag[[#This Row],[Activity_tag]],Parameter!$A$24:$B$32,2,0)</f>
        <v>MAM</v>
      </c>
      <c r="W1382">
        <v>47.747929999999997</v>
      </c>
      <c r="X1382">
        <v>-23.019449999999999</v>
      </c>
    </row>
    <row r="1383" spans="1:24" x14ac:dyDescent="0.35">
      <c r="A1383" s="3" t="str">
        <f t="shared" si="21"/>
        <v>MG25213350003001MAM</v>
      </c>
      <c r="B1383" t="s">
        <v>6193</v>
      </c>
      <c r="C1383">
        <f>+VLOOKUP(Sites_per_tag[[#This Row],[Field_office]],Parameter!$A$3:$B$11,2,0)</f>
        <v>4</v>
      </c>
      <c r="E1383" t="s">
        <v>5658</v>
      </c>
      <c r="F1383" t="s">
        <v>5659</v>
      </c>
      <c r="H1383" t="str">
        <f ca="1">PROPER(Sites_per_tag[[#This Row],[Adm2Name]])</f>
        <v>Farafangana</v>
      </c>
      <c r="I1383" t="s">
        <v>5694</v>
      </c>
      <c r="K1383" t="s">
        <v>5821</v>
      </c>
      <c r="L1383" t="s">
        <v>5822</v>
      </c>
      <c r="N1383" t="s">
        <v>3536</v>
      </c>
      <c r="O1383" t="s">
        <v>4617</v>
      </c>
      <c r="Q1383" t="s">
        <v>3536</v>
      </c>
      <c r="R1383" t="s">
        <v>3537</v>
      </c>
      <c r="T1383" t="s">
        <v>5</v>
      </c>
      <c r="U1383" s="3" t="str">
        <f>+VLOOKUP(Sites_per_tag[[#This Row],[Activity_tag]],Parameter!$A$24:$B$32,2,0)</f>
        <v>MAM</v>
      </c>
      <c r="W1383">
        <v>47.782530000000001</v>
      </c>
      <c r="X1383">
        <v>-23.036200000000001</v>
      </c>
    </row>
    <row r="1384" spans="1:24" x14ac:dyDescent="0.35">
      <c r="A1384" s="3" t="str">
        <f t="shared" si="21"/>
        <v>MG25213350005001MAM</v>
      </c>
      <c r="B1384" t="s">
        <v>6193</v>
      </c>
      <c r="C1384">
        <f>+VLOOKUP(Sites_per_tag[[#This Row],[Field_office]],Parameter!$A$3:$B$11,2,0)</f>
        <v>4</v>
      </c>
      <c r="E1384" t="s">
        <v>5658</v>
      </c>
      <c r="F1384" t="s">
        <v>5659</v>
      </c>
      <c r="H1384" t="str">
        <f ca="1">PROPER(Sites_per_tag[[#This Row],[Adm2Name]])</f>
        <v>Farafangana</v>
      </c>
      <c r="I1384" t="s">
        <v>5694</v>
      </c>
      <c r="K1384" t="s">
        <v>5821</v>
      </c>
      <c r="L1384" t="s">
        <v>5822</v>
      </c>
      <c r="N1384" t="s">
        <v>2400</v>
      </c>
      <c r="O1384" t="s">
        <v>4618</v>
      </c>
      <c r="Q1384" t="s">
        <v>2400</v>
      </c>
      <c r="R1384" t="s">
        <v>2401</v>
      </c>
      <c r="T1384" t="s">
        <v>5</v>
      </c>
      <c r="U1384" s="3" t="str">
        <f>+VLOOKUP(Sites_per_tag[[#This Row],[Activity_tag]],Parameter!$A$24:$B$32,2,0)</f>
        <v>MAM</v>
      </c>
      <c r="W1384">
        <v>47.613329999999998</v>
      </c>
      <c r="X1384">
        <v>-23.07357</v>
      </c>
    </row>
    <row r="1385" spans="1:24" x14ac:dyDescent="0.35">
      <c r="A1385" s="3" t="str">
        <f t="shared" si="21"/>
        <v>MG25213370001001MAM</v>
      </c>
      <c r="B1385" t="s">
        <v>6193</v>
      </c>
      <c r="C1385">
        <f>+VLOOKUP(Sites_per_tag[[#This Row],[Field_office]],Parameter!$A$3:$B$11,2,0)</f>
        <v>4</v>
      </c>
      <c r="E1385" t="s">
        <v>5658</v>
      </c>
      <c r="F1385" t="s">
        <v>5659</v>
      </c>
      <c r="H1385" t="str">
        <f ca="1">PROPER(Sites_per_tag[[#This Row],[Adm2Name]])</f>
        <v>Farafangana</v>
      </c>
      <c r="I1385" t="s">
        <v>5694</v>
      </c>
      <c r="K1385" t="s">
        <v>2433</v>
      </c>
      <c r="L1385" t="s">
        <v>5950</v>
      </c>
      <c r="N1385" t="s">
        <v>2433</v>
      </c>
      <c r="O1385" t="s">
        <v>4979</v>
      </c>
      <c r="Q1385" t="s">
        <v>2433</v>
      </c>
      <c r="R1385" t="s">
        <v>2434</v>
      </c>
      <c r="T1385" t="s">
        <v>5</v>
      </c>
      <c r="U1385" s="3" t="str">
        <f>+VLOOKUP(Sites_per_tag[[#This Row],[Activity_tag]],Parameter!$A$24:$B$32,2,0)</f>
        <v>MAM</v>
      </c>
      <c r="W1385">
        <v>47.680700000000002</v>
      </c>
      <c r="X1385">
        <v>-22.61543</v>
      </c>
    </row>
    <row r="1386" spans="1:24" x14ac:dyDescent="0.35">
      <c r="A1386" s="3" t="str">
        <f t="shared" si="21"/>
        <v>MG25213370005001MAM</v>
      </c>
      <c r="B1386" t="s">
        <v>6193</v>
      </c>
      <c r="C1386">
        <f>+VLOOKUP(Sites_per_tag[[#This Row],[Field_office]],Parameter!$A$3:$B$11,2,0)</f>
        <v>4</v>
      </c>
      <c r="E1386" t="s">
        <v>5658</v>
      </c>
      <c r="F1386" t="s">
        <v>5659</v>
      </c>
      <c r="H1386" t="str">
        <f ca="1">PROPER(Sites_per_tag[[#This Row],[Adm2Name]])</f>
        <v>Farafangana</v>
      </c>
      <c r="I1386" t="s">
        <v>5694</v>
      </c>
      <c r="K1386" t="s">
        <v>2433</v>
      </c>
      <c r="L1386" t="s">
        <v>5950</v>
      </c>
      <c r="N1386" t="s">
        <v>2795</v>
      </c>
      <c r="O1386" t="s">
        <v>4980</v>
      </c>
      <c r="Q1386" t="s">
        <v>2804</v>
      </c>
      <c r="R1386" t="s">
        <v>2805</v>
      </c>
      <c r="T1386" t="s">
        <v>5</v>
      </c>
      <c r="U1386" s="3" t="str">
        <f>+VLOOKUP(Sites_per_tag[[#This Row],[Activity_tag]],Parameter!$A$24:$B$32,2,0)</f>
        <v>MAM</v>
      </c>
      <c r="W1386">
        <v>47.731892999999999</v>
      </c>
      <c r="X1386">
        <v>-22.619685</v>
      </c>
    </row>
    <row r="1387" spans="1:24" x14ac:dyDescent="0.35">
      <c r="A1387" s="3" t="str">
        <f t="shared" si="21"/>
        <v>MG25213390001001MAM</v>
      </c>
      <c r="B1387" t="s">
        <v>6193</v>
      </c>
      <c r="C1387">
        <f>+VLOOKUP(Sites_per_tag[[#This Row],[Field_office]],Parameter!$A$3:$B$11,2,0)</f>
        <v>4</v>
      </c>
      <c r="E1387" t="s">
        <v>5658</v>
      </c>
      <c r="F1387" t="s">
        <v>5659</v>
      </c>
      <c r="H1387" t="str">
        <f ca="1">PROPER(Sites_per_tag[[#This Row],[Adm2Name]])</f>
        <v>Farafangana</v>
      </c>
      <c r="I1387" t="s">
        <v>5694</v>
      </c>
      <c r="K1387" t="s">
        <v>5948</v>
      </c>
      <c r="L1387" t="s">
        <v>5949</v>
      </c>
      <c r="N1387" t="s">
        <v>2424</v>
      </c>
      <c r="O1387" t="s">
        <v>4977</v>
      </c>
      <c r="Q1387" t="s">
        <v>2424</v>
      </c>
      <c r="R1387" t="s">
        <v>2425</v>
      </c>
      <c r="T1387" t="s">
        <v>5</v>
      </c>
      <c r="U1387" s="3" t="str">
        <f>+VLOOKUP(Sites_per_tag[[#This Row],[Activity_tag]],Parameter!$A$24:$B$32,2,0)</f>
        <v>MAM</v>
      </c>
      <c r="W1387">
        <v>47.595579999999998</v>
      </c>
      <c r="X1387">
        <v>-22.894279999999998</v>
      </c>
    </row>
    <row r="1388" spans="1:24" x14ac:dyDescent="0.35">
      <c r="A1388" s="3" t="str">
        <f t="shared" si="21"/>
        <v>MG25213390006001MAM</v>
      </c>
      <c r="B1388" t="s">
        <v>6193</v>
      </c>
      <c r="C1388">
        <f>+VLOOKUP(Sites_per_tag[[#This Row],[Field_office]],Parameter!$A$3:$B$11,2,0)</f>
        <v>4</v>
      </c>
      <c r="E1388" t="s">
        <v>5658</v>
      </c>
      <c r="F1388" t="s">
        <v>5659</v>
      </c>
      <c r="H1388" t="str">
        <f ca="1">PROPER(Sites_per_tag[[#This Row],[Adm2Name]])</f>
        <v>Befotaka</v>
      </c>
      <c r="I1388" t="s">
        <v>5680</v>
      </c>
      <c r="K1388" t="s">
        <v>5886</v>
      </c>
      <c r="L1388" t="s">
        <v>5887</v>
      </c>
      <c r="N1388" t="s">
        <v>1554</v>
      </c>
      <c r="O1388" t="s">
        <v>4747</v>
      </c>
      <c r="Q1388" t="s">
        <v>1554</v>
      </c>
      <c r="R1388" t="s">
        <v>1555</v>
      </c>
      <c r="T1388" t="s">
        <v>5</v>
      </c>
      <c r="U1388" s="3" t="str">
        <f>+VLOOKUP(Sites_per_tag[[#This Row],[Activity_tag]],Parameter!$A$24:$B$32,2,0)</f>
        <v>MAM</v>
      </c>
      <c r="W1388">
        <v>47.558729999999997</v>
      </c>
      <c r="X1388">
        <v>-22.859829999999999</v>
      </c>
    </row>
    <row r="1389" spans="1:24" x14ac:dyDescent="0.35">
      <c r="A1389" s="3" t="str">
        <f t="shared" si="21"/>
        <v>MG25213410001001MAM</v>
      </c>
      <c r="B1389" t="s">
        <v>6193</v>
      </c>
      <c r="C1389">
        <f>+VLOOKUP(Sites_per_tag[[#This Row],[Field_office]],Parameter!$A$3:$B$11,2,0)</f>
        <v>4</v>
      </c>
      <c r="E1389" t="s">
        <v>5658</v>
      </c>
      <c r="F1389" t="s">
        <v>5659</v>
      </c>
      <c r="H1389" t="str">
        <f ca="1">PROPER(Sites_per_tag[[#This Row],[Adm2Name]])</f>
        <v>Farafangana</v>
      </c>
      <c r="I1389" t="s">
        <v>5694</v>
      </c>
      <c r="K1389" t="s">
        <v>129</v>
      </c>
      <c r="L1389" t="s">
        <v>5670</v>
      </c>
      <c r="N1389" t="s">
        <v>116</v>
      </c>
      <c r="O1389" t="s">
        <v>4283</v>
      </c>
      <c r="Q1389" t="s">
        <v>116</v>
      </c>
      <c r="R1389" t="s">
        <v>117</v>
      </c>
      <c r="T1389" t="s">
        <v>5</v>
      </c>
      <c r="U1389" s="3" t="str">
        <f>+VLOOKUP(Sites_per_tag[[#This Row],[Activity_tag]],Parameter!$A$24:$B$32,2,0)</f>
        <v>MAM</v>
      </c>
      <c r="W1389">
        <v>47.558599999999998</v>
      </c>
      <c r="X1389">
        <v>-22.637930000000001</v>
      </c>
    </row>
    <row r="1390" spans="1:24" x14ac:dyDescent="0.35">
      <c r="A1390" s="3" t="str">
        <f t="shared" si="21"/>
        <v>MG25213430003001MAM</v>
      </c>
      <c r="B1390" t="s">
        <v>6193</v>
      </c>
      <c r="C1390">
        <f>+VLOOKUP(Sites_per_tag[[#This Row],[Field_office]],Parameter!$A$3:$B$11,2,0)</f>
        <v>4</v>
      </c>
      <c r="E1390" t="s">
        <v>5658</v>
      </c>
      <c r="F1390" t="s">
        <v>5659</v>
      </c>
      <c r="H1390" t="str">
        <f ca="1">PROPER(Sites_per_tag[[#This Row],[Adm2Name]])</f>
        <v>Farafangana</v>
      </c>
      <c r="I1390" t="s">
        <v>5694</v>
      </c>
      <c r="K1390" t="s">
        <v>2325</v>
      </c>
      <c r="L1390" t="s">
        <v>5938</v>
      </c>
      <c r="N1390" t="s">
        <v>4919</v>
      </c>
      <c r="O1390" t="s">
        <v>4918</v>
      </c>
      <c r="Q1390" t="s">
        <v>133</v>
      </c>
      <c r="R1390" t="s">
        <v>134</v>
      </c>
      <c r="T1390" t="s">
        <v>5</v>
      </c>
      <c r="U1390" s="3" t="str">
        <f>+VLOOKUP(Sites_per_tag[[#This Row],[Activity_tag]],Parameter!$A$24:$B$32,2,0)</f>
        <v>MAM</v>
      </c>
      <c r="W1390">
        <v>47.588749999999997</v>
      </c>
      <c r="X1390">
        <v>-23.111049999999999</v>
      </c>
    </row>
    <row r="1391" spans="1:24" x14ac:dyDescent="0.35">
      <c r="A1391" s="3" t="str">
        <f t="shared" si="21"/>
        <v>MG25213430008001MAM</v>
      </c>
      <c r="B1391" t="s">
        <v>6211</v>
      </c>
      <c r="C1391">
        <f>+VLOOKUP(Sites_per_tag[[#This Row],[Field_office]],Parameter!$A$3:$B$11,2,0)</f>
        <v>6</v>
      </c>
      <c r="E1391" t="s">
        <v>1448</v>
      </c>
      <c r="F1391" t="s">
        <v>5651</v>
      </c>
      <c r="H1391" t="str">
        <f ca="1">PROPER(Sites_per_tag[[#This Row],[Adm2Name]])</f>
        <v>Amboasary-Atsimo</v>
      </c>
      <c r="I1391" t="s">
        <v>5641</v>
      </c>
      <c r="K1391" t="s">
        <v>5828</v>
      </c>
      <c r="L1391" t="s">
        <v>6128</v>
      </c>
      <c r="N1391" t="s">
        <v>3583</v>
      </c>
      <c r="O1391" t="s">
        <v>5471</v>
      </c>
      <c r="Q1391" t="s">
        <v>3583</v>
      </c>
      <c r="R1391" t="s">
        <v>3584</v>
      </c>
      <c r="T1391" t="s">
        <v>5</v>
      </c>
      <c r="U1391" s="3" t="str">
        <f>+VLOOKUP(Sites_per_tag[[#This Row],[Activity_tag]],Parameter!$A$24:$B$32,2,0)</f>
        <v>MAM</v>
      </c>
      <c r="W1391">
        <v>46.468023000000002</v>
      </c>
      <c r="X1391">
        <v>-25.112124000000001</v>
      </c>
    </row>
    <row r="1392" spans="1:24" x14ac:dyDescent="0.35">
      <c r="A1392" s="3" t="str">
        <f t="shared" si="21"/>
        <v>MG25213430023001MAM</v>
      </c>
      <c r="B1392" t="s">
        <v>6193</v>
      </c>
      <c r="C1392">
        <f>+VLOOKUP(Sites_per_tag[[#This Row],[Field_office]],Parameter!$A$3:$B$11,2,0)</f>
        <v>4</v>
      </c>
      <c r="E1392" t="s">
        <v>5658</v>
      </c>
      <c r="F1392" t="s">
        <v>5659</v>
      </c>
      <c r="H1392" t="str">
        <f ca="1">PROPER(Sites_per_tag[[#This Row],[Adm2Name]])</f>
        <v>Farafangana</v>
      </c>
      <c r="I1392" t="s">
        <v>5694</v>
      </c>
      <c r="K1392" t="s">
        <v>2325</v>
      </c>
      <c r="L1392" t="s">
        <v>5938</v>
      </c>
      <c r="N1392" t="s">
        <v>2325</v>
      </c>
      <c r="O1392" t="s">
        <v>4920</v>
      </c>
      <c r="Q1392" t="s">
        <v>2325</v>
      </c>
      <c r="R1392" t="s">
        <v>2326</v>
      </c>
      <c r="T1392" t="s">
        <v>5</v>
      </c>
      <c r="U1392" s="3" t="str">
        <f>+VLOOKUP(Sites_per_tag[[#This Row],[Activity_tag]],Parameter!$A$24:$B$32,2,0)</f>
        <v>MAM</v>
      </c>
      <c r="W1392">
        <v>47.604520000000001</v>
      </c>
      <c r="X1392">
        <v>-23.114629999999998</v>
      </c>
    </row>
    <row r="1393" spans="1:24" x14ac:dyDescent="0.35">
      <c r="A1393" s="3" t="str">
        <f t="shared" si="21"/>
        <v>MG25213450006001MAM</v>
      </c>
      <c r="B1393" t="s">
        <v>6193</v>
      </c>
      <c r="C1393">
        <f>+VLOOKUP(Sites_per_tag[[#This Row],[Field_office]],Parameter!$A$3:$B$11,2,0)</f>
        <v>4</v>
      </c>
      <c r="E1393" t="s">
        <v>5658</v>
      </c>
      <c r="F1393" t="s">
        <v>5659</v>
      </c>
      <c r="H1393" t="str">
        <f ca="1">PROPER(Sites_per_tag[[#This Row],[Adm2Name]])</f>
        <v>Farafangana</v>
      </c>
      <c r="I1393" t="s">
        <v>5694</v>
      </c>
      <c r="K1393" t="s">
        <v>5906</v>
      </c>
      <c r="L1393" t="s">
        <v>6137</v>
      </c>
      <c r="N1393" t="s">
        <v>2466</v>
      </c>
      <c r="O1393" t="s">
        <v>5487</v>
      </c>
      <c r="Q1393" t="s">
        <v>2466</v>
      </c>
      <c r="R1393" t="s">
        <v>2467</v>
      </c>
      <c r="T1393" t="s">
        <v>5</v>
      </c>
      <c r="U1393" s="3" t="str">
        <f>+VLOOKUP(Sites_per_tag[[#This Row],[Activity_tag]],Parameter!$A$24:$B$32,2,0)</f>
        <v>MAM</v>
      </c>
      <c r="W1393">
        <v>47.614839000000003</v>
      </c>
      <c r="X1393">
        <v>-22.928636000000001</v>
      </c>
    </row>
    <row r="1394" spans="1:24" x14ac:dyDescent="0.35">
      <c r="A1394" s="3" t="str">
        <f t="shared" si="21"/>
        <v>MG25213450010001MAM</v>
      </c>
      <c r="B1394" t="s">
        <v>6193</v>
      </c>
      <c r="C1394">
        <f>+VLOOKUP(Sites_per_tag[[#This Row],[Field_office]],Parameter!$A$3:$B$11,2,0)</f>
        <v>4</v>
      </c>
      <c r="E1394" t="s">
        <v>5658</v>
      </c>
      <c r="F1394" t="s">
        <v>5659</v>
      </c>
      <c r="H1394" t="str">
        <f ca="1">PROPER(Sites_per_tag[[#This Row],[Adm2Name]])</f>
        <v>Farafangana</v>
      </c>
      <c r="I1394" t="s">
        <v>5694</v>
      </c>
      <c r="K1394" t="s">
        <v>5906</v>
      </c>
      <c r="L1394" t="s">
        <v>6137</v>
      </c>
      <c r="N1394" t="s">
        <v>384</v>
      </c>
      <c r="O1394" t="s">
        <v>5488</v>
      </c>
      <c r="Q1394" t="s">
        <v>384</v>
      </c>
      <c r="R1394" t="s">
        <v>385</v>
      </c>
      <c r="T1394" t="s">
        <v>5</v>
      </c>
      <c r="U1394" s="3" t="str">
        <f>+VLOOKUP(Sites_per_tag[[#This Row],[Activity_tag]],Parameter!$A$24:$B$32,2,0)</f>
        <v>MAM</v>
      </c>
      <c r="W1394">
        <v>47.557769999999998</v>
      </c>
      <c r="X1394">
        <v>-22.98593</v>
      </c>
    </row>
    <row r="1395" spans="1:24" x14ac:dyDescent="0.35">
      <c r="A1395" s="3" t="str">
        <f t="shared" si="21"/>
        <v>MG25213471001001MAM</v>
      </c>
      <c r="B1395" t="s">
        <v>6193</v>
      </c>
      <c r="C1395">
        <f>+VLOOKUP(Sites_per_tag[[#This Row],[Field_office]],Parameter!$A$3:$B$11,2,0)</f>
        <v>4</v>
      </c>
      <c r="E1395" t="s">
        <v>5658</v>
      </c>
      <c r="F1395" t="s">
        <v>5659</v>
      </c>
      <c r="H1395" t="str">
        <f ca="1">PROPER(Sites_per_tag[[#This Row],[Adm2Name]])</f>
        <v>Farafangana</v>
      </c>
      <c r="I1395" t="s">
        <v>5694</v>
      </c>
      <c r="K1395" t="s">
        <v>110</v>
      </c>
      <c r="L1395" t="s">
        <v>5661</v>
      </c>
      <c r="N1395" t="s">
        <v>110</v>
      </c>
      <c r="O1395" t="s">
        <v>4278</v>
      </c>
      <c r="Q1395" t="s">
        <v>112</v>
      </c>
      <c r="R1395" t="s">
        <v>113</v>
      </c>
      <c r="T1395" t="s">
        <v>5</v>
      </c>
      <c r="U1395" s="3" t="str">
        <f>+VLOOKUP(Sites_per_tag[[#This Row],[Activity_tag]],Parameter!$A$24:$B$32,2,0)</f>
        <v>MAM</v>
      </c>
      <c r="W1395">
        <v>47.590733</v>
      </c>
      <c r="X1395">
        <v>-22.593862999999999</v>
      </c>
    </row>
    <row r="1396" spans="1:24" x14ac:dyDescent="0.35">
      <c r="A1396" s="3" t="str">
        <f t="shared" si="21"/>
        <v>MG25213471028001MAM</v>
      </c>
      <c r="B1396" t="s">
        <v>6193</v>
      </c>
      <c r="C1396">
        <f>+VLOOKUP(Sites_per_tag[[#This Row],[Field_office]],Parameter!$A$3:$B$11,2,0)</f>
        <v>4</v>
      </c>
      <c r="E1396" t="s">
        <v>5658</v>
      </c>
      <c r="F1396" t="s">
        <v>5659</v>
      </c>
      <c r="H1396" t="str">
        <f ca="1">PROPER(Sites_per_tag[[#This Row],[Adm2Name]])</f>
        <v>Farafangana</v>
      </c>
      <c r="I1396" t="s">
        <v>5694</v>
      </c>
      <c r="K1396" t="s">
        <v>110</v>
      </c>
      <c r="L1396" t="s">
        <v>5661</v>
      </c>
      <c r="N1396" t="s">
        <v>3954</v>
      </c>
      <c r="O1396" t="s">
        <v>4279</v>
      </c>
      <c r="Q1396" t="s">
        <v>3954</v>
      </c>
      <c r="R1396" t="s">
        <v>3955</v>
      </c>
      <c r="T1396" t="s">
        <v>5</v>
      </c>
      <c r="U1396" s="3" t="str">
        <f>+VLOOKUP(Sites_per_tag[[#This Row],[Activity_tag]],Parameter!$A$24:$B$32,2,0)</f>
        <v>MAM</v>
      </c>
      <c r="W1396">
        <v>47.566420000000001</v>
      </c>
      <c r="X1396">
        <v>-22.594429999999999</v>
      </c>
    </row>
    <row r="1397" spans="1:24" x14ac:dyDescent="0.35">
      <c r="A1397" s="3" t="str">
        <f t="shared" si="21"/>
        <v>MG25213472003001MAM</v>
      </c>
      <c r="B1397" t="s">
        <v>6193</v>
      </c>
      <c r="C1397">
        <f>+VLOOKUP(Sites_per_tag[[#This Row],[Field_office]],Parameter!$A$3:$B$11,2,0)</f>
        <v>4</v>
      </c>
      <c r="E1397" t="s">
        <v>5658</v>
      </c>
      <c r="F1397" t="s">
        <v>5659</v>
      </c>
      <c r="H1397" t="str">
        <f ca="1">PROPER(Sites_per_tag[[#This Row],[Adm2Name]])</f>
        <v>Vangaindrano</v>
      </c>
      <c r="I1397" t="s">
        <v>5734</v>
      </c>
      <c r="K1397" t="s">
        <v>2713</v>
      </c>
      <c r="L1397" t="s">
        <v>5999</v>
      </c>
      <c r="N1397" t="s">
        <v>2721</v>
      </c>
      <c r="O1397" t="s">
        <v>5160</v>
      </c>
      <c r="Q1397" t="s">
        <v>2721</v>
      </c>
      <c r="R1397" t="s">
        <v>2722</v>
      </c>
      <c r="T1397" t="s">
        <v>5</v>
      </c>
      <c r="U1397" s="3" t="str">
        <f>+VLOOKUP(Sites_per_tag[[#This Row],[Activity_tag]],Parameter!$A$24:$B$32,2,0)</f>
        <v>MAM</v>
      </c>
      <c r="W1397">
        <v>47.690320999999997</v>
      </c>
      <c r="X1397">
        <v>-23.244123999999999</v>
      </c>
    </row>
    <row r="1398" spans="1:24" x14ac:dyDescent="0.35">
      <c r="A1398" s="3" t="str">
        <f t="shared" si="21"/>
        <v>MG25213551001001MAM</v>
      </c>
      <c r="B1398" t="s">
        <v>6193</v>
      </c>
      <c r="C1398">
        <f>+VLOOKUP(Sites_per_tag[[#This Row],[Field_office]],Parameter!$A$3:$B$11,2,0)</f>
        <v>4</v>
      </c>
      <c r="E1398" t="s">
        <v>5658</v>
      </c>
      <c r="F1398" t="s">
        <v>5659</v>
      </c>
      <c r="H1398" t="str">
        <f ca="1">PROPER(Sites_per_tag[[#This Row],[Adm2Name]])</f>
        <v>Farafangana</v>
      </c>
      <c r="I1398" t="s">
        <v>5694</v>
      </c>
      <c r="K1398" t="s">
        <v>2579</v>
      </c>
      <c r="L1398" t="s">
        <v>5971</v>
      </c>
      <c r="N1398" t="s">
        <v>2579</v>
      </c>
      <c r="O1398" t="s">
        <v>5056</v>
      </c>
      <c r="Q1398" t="s">
        <v>2579</v>
      </c>
      <c r="R1398" t="s">
        <v>2580</v>
      </c>
      <c r="T1398" t="s">
        <v>5</v>
      </c>
      <c r="U1398" s="3" t="str">
        <f>+VLOOKUP(Sites_per_tag[[#This Row],[Activity_tag]],Parameter!$A$24:$B$32,2,0)</f>
        <v>MAM</v>
      </c>
      <c r="W1398">
        <v>47.531619999999997</v>
      </c>
      <c r="X1398">
        <v>-23.00525</v>
      </c>
    </row>
    <row r="1399" spans="1:24" x14ac:dyDescent="0.35">
      <c r="A1399" s="3" t="str">
        <f t="shared" si="21"/>
        <v>MG25213552004001MAM</v>
      </c>
      <c r="B1399" t="s">
        <v>6193</v>
      </c>
      <c r="C1399">
        <f>+VLOOKUP(Sites_per_tag[[#This Row],[Field_office]],Parameter!$A$3:$B$11,2,0)</f>
        <v>4</v>
      </c>
      <c r="E1399" t="s">
        <v>5658</v>
      </c>
      <c r="F1399" t="s">
        <v>5659</v>
      </c>
      <c r="H1399" t="str">
        <f ca="1">PROPER(Sites_per_tag[[#This Row],[Adm2Name]])</f>
        <v>Farafangana</v>
      </c>
      <c r="I1399" t="s">
        <v>5694</v>
      </c>
      <c r="K1399" t="s">
        <v>5665</v>
      </c>
      <c r="L1399" t="s">
        <v>5666</v>
      </c>
      <c r="N1399" t="s">
        <v>4281</v>
      </c>
      <c r="O1399" t="s">
        <v>4280</v>
      </c>
      <c r="Q1399" t="s">
        <v>1994</v>
      </c>
      <c r="R1399" t="s">
        <v>1995</v>
      </c>
      <c r="T1399" t="s">
        <v>5</v>
      </c>
      <c r="U1399" s="3" t="str">
        <f>+VLOOKUP(Sites_per_tag[[#This Row],[Activity_tag]],Parameter!$A$24:$B$32,2,0)</f>
        <v>MAM</v>
      </c>
      <c r="W1399">
        <v>47.449930000000002</v>
      </c>
      <c r="X1399">
        <v>-22.999230000000001</v>
      </c>
    </row>
    <row r="1400" spans="1:24" x14ac:dyDescent="0.35">
      <c r="A1400" s="3" t="str">
        <f t="shared" si="21"/>
        <v>MG25213552019001MAM</v>
      </c>
      <c r="B1400" t="s">
        <v>6193</v>
      </c>
      <c r="C1400">
        <f>+VLOOKUP(Sites_per_tag[[#This Row],[Field_office]],Parameter!$A$3:$B$11,2,0)</f>
        <v>4</v>
      </c>
      <c r="E1400" t="s">
        <v>5658</v>
      </c>
      <c r="F1400" t="s">
        <v>5659</v>
      </c>
      <c r="H1400" t="str">
        <f ca="1">PROPER(Sites_per_tag[[#This Row],[Adm2Name]])</f>
        <v>Farafangana</v>
      </c>
      <c r="I1400" t="s">
        <v>5694</v>
      </c>
      <c r="K1400" t="s">
        <v>5665</v>
      </c>
      <c r="L1400" t="s">
        <v>5666</v>
      </c>
      <c r="N1400" t="s">
        <v>3477</v>
      </c>
      <c r="O1400" t="s">
        <v>4282</v>
      </c>
      <c r="Q1400" t="s">
        <v>3477</v>
      </c>
      <c r="R1400" t="s">
        <v>3478</v>
      </c>
      <c r="T1400" t="s">
        <v>5</v>
      </c>
      <c r="U1400" s="3" t="str">
        <f>+VLOOKUP(Sites_per_tag[[#This Row],[Activity_tag]],Parameter!$A$24:$B$32,2,0)</f>
        <v>MAM</v>
      </c>
      <c r="W1400">
        <v>47.476950000000002</v>
      </c>
      <c r="X1400">
        <v>-23.01305</v>
      </c>
    </row>
    <row r="1401" spans="1:24" x14ac:dyDescent="0.35">
      <c r="A1401" s="3" t="str">
        <f t="shared" si="21"/>
        <v>MG25213570011001MAM</v>
      </c>
      <c r="B1401" t="s">
        <v>6193</v>
      </c>
      <c r="C1401">
        <f>+VLOOKUP(Sites_per_tag[[#This Row],[Field_office]],Parameter!$A$3:$B$11,2,0)</f>
        <v>4</v>
      </c>
      <c r="E1401" t="s">
        <v>5658</v>
      </c>
      <c r="F1401" t="s">
        <v>5659</v>
      </c>
      <c r="H1401" t="str">
        <f ca="1">PROPER(Sites_per_tag[[#This Row],[Adm2Name]])</f>
        <v>Farafangana</v>
      </c>
      <c r="I1401" t="s">
        <v>5694</v>
      </c>
      <c r="K1401" t="s">
        <v>3901</v>
      </c>
      <c r="L1401" t="s">
        <v>6162</v>
      </c>
      <c r="N1401" t="s">
        <v>5148</v>
      </c>
      <c r="O1401" t="s">
        <v>5571</v>
      </c>
      <c r="Q1401" t="s">
        <v>2634</v>
      </c>
      <c r="R1401" t="s">
        <v>2635</v>
      </c>
      <c r="T1401" t="s">
        <v>5</v>
      </c>
      <c r="U1401" s="3" t="str">
        <f>+VLOOKUP(Sites_per_tag[[#This Row],[Activity_tag]],Parameter!$A$24:$B$32,2,0)</f>
        <v>MAM</v>
      </c>
      <c r="W1401">
        <v>47.712583000000002</v>
      </c>
      <c r="X1401">
        <v>-22.570967</v>
      </c>
    </row>
    <row r="1402" spans="1:24" x14ac:dyDescent="0.35">
      <c r="A1402" s="3" t="str">
        <f t="shared" si="21"/>
        <v>MG25213590001001MAM</v>
      </c>
      <c r="B1402" t="s">
        <v>6193</v>
      </c>
      <c r="C1402">
        <f>+VLOOKUP(Sites_per_tag[[#This Row],[Field_office]],Parameter!$A$3:$B$11,2,0)</f>
        <v>4</v>
      </c>
      <c r="E1402" t="s">
        <v>5658</v>
      </c>
      <c r="F1402" t="s">
        <v>5659</v>
      </c>
      <c r="H1402" t="str">
        <f ca="1">PROPER(Sites_per_tag[[#This Row],[Adm2Name]])</f>
        <v>Farafangana</v>
      </c>
      <c r="I1402" t="s">
        <v>5694</v>
      </c>
      <c r="K1402" t="s">
        <v>5322</v>
      </c>
      <c r="L1402" t="s">
        <v>6052</v>
      </c>
      <c r="N1402" t="s">
        <v>5322</v>
      </c>
      <c r="O1402" t="s">
        <v>5321</v>
      </c>
      <c r="Q1402" t="s">
        <v>3099</v>
      </c>
      <c r="R1402" t="s">
        <v>3100</v>
      </c>
      <c r="T1402" t="s">
        <v>5</v>
      </c>
      <c r="U1402" s="3" t="str">
        <f>+VLOOKUP(Sites_per_tag[[#This Row],[Activity_tag]],Parameter!$A$24:$B$32,2,0)</f>
        <v>MAM</v>
      </c>
      <c r="W1402">
        <v>47.666600000000003</v>
      </c>
      <c r="X1402">
        <v>-22.515219999999999</v>
      </c>
    </row>
    <row r="1403" spans="1:24" x14ac:dyDescent="0.35">
      <c r="A1403" s="3" t="str">
        <f t="shared" si="21"/>
        <v>MG25213590007001MAM</v>
      </c>
      <c r="B1403" t="s">
        <v>6193</v>
      </c>
      <c r="C1403">
        <f>+VLOOKUP(Sites_per_tag[[#This Row],[Field_office]],Parameter!$A$3:$B$11,2,0)</f>
        <v>4</v>
      </c>
      <c r="E1403" t="s">
        <v>5658</v>
      </c>
      <c r="F1403" t="s">
        <v>5659</v>
      </c>
      <c r="H1403" t="str">
        <f ca="1">PROPER(Sites_per_tag[[#This Row],[Adm2Name]])</f>
        <v>Farafangana</v>
      </c>
      <c r="I1403" t="s">
        <v>5694</v>
      </c>
      <c r="K1403" t="s">
        <v>5322</v>
      </c>
      <c r="L1403" t="s">
        <v>6052</v>
      </c>
      <c r="N1403" t="s">
        <v>2492</v>
      </c>
      <c r="O1403" t="s">
        <v>5323</v>
      </c>
      <c r="Q1403" t="s">
        <v>2492</v>
      </c>
      <c r="R1403" t="s">
        <v>2493</v>
      </c>
      <c r="T1403" t="s">
        <v>5</v>
      </c>
      <c r="U1403" s="3" t="str">
        <f>+VLOOKUP(Sites_per_tag[[#This Row],[Activity_tag]],Parameter!$A$24:$B$32,2,0)</f>
        <v>MAM</v>
      </c>
      <c r="W1403">
        <v>47.676769999999998</v>
      </c>
      <c r="X1403">
        <v>-22.531020000000002</v>
      </c>
    </row>
    <row r="1404" spans="1:24" x14ac:dyDescent="0.35">
      <c r="A1404" s="3" t="str">
        <f t="shared" si="21"/>
        <v>MG25214010003001MAM</v>
      </c>
      <c r="B1404" t="s">
        <v>6193</v>
      </c>
      <c r="C1404">
        <f>+VLOOKUP(Sites_per_tag[[#This Row],[Field_office]],Parameter!$A$3:$B$11,2,0)</f>
        <v>4</v>
      </c>
      <c r="E1404" t="s">
        <v>5658</v>
      </c>
      <c r="F1404" t="s">
        <v>5659</v>
      </c>
      <c r="H1404" t="str">
        <f ca="1">PROPER(Sites_per_tag[[#This Row],[Adm2Name]])</f>
        <v>Vangaindrano</v>
      </c>
      <c r="I1404" t="s">
        <v>5734</v>
      </c>
      <c r="K1404" t="s">
        <v>5618</v>
      </c>
      <c r="L1404" t="s">
        <v>6152</v>
      </c>
      <c r="N1404" t="s">
        <v>3352</v>
      </c>
      <c r="O1404" t="s">
        <v>5557</v>
      </c>
      <c r="Q1404" t="s">
        <v>3352</v>
      </c>
      <c r="R1404" t="s">
        <v>3353</v>
      </c>
      <c r="T1404" t="s">
        <v>5</v>
      </c>
      <c r="U1404" s="3" t="str">
        <f>+VLOOKUP(Sites_per_tag[[#This Row],[Activity_tag]],Parameter!$A$24:$B$32,2,0)</f>
        <v>MAM</v>
      </c>
      <c r="W1404">
        <v>47.600949999999997</v>
      </c>
      <c r="X1404">
        <v>-23.333120000000001</v>
      </c>
    </row>
    <row r="1405" spans="1:24" x14ac:dyDescent="0.35">
      <c r="A1405" s="3" t="str">
        <f t="shared" si="21"/>
        <v>MG25214010005001MAM</v>
      </c>
      <c r="B1405" t="s">
        <v>6193</v>
      </c>
      <c r="C1405">
        <f>+VLOOKUP(Sites_per_tag[[#This Row],[Field_office]],Parameter!$A$3:$B$11,2,0)</f>
        <v>4</v>
      </c>
      <c r="E1405" t="s">
        <v>5658</v>
      </c>
      <c r="F1405" t="s">
        <v>5659</v>
      </c>
      <c r="H1405" t="str">
        <f ca="1">PROPER(Sites_per_tag[[#This Row],[Adm2Name]])</f>
        <v>Vangaindrano</v>
      </c>
      <c r="I1405" t="s">
        <v>5734</v>
      </c>
      <c r="K1405" t="s">
        <v>5618</v>
      </c>
      <c r="L1405" t="s">
        <v>6152</v>
      </c>
      <c r="N1405" t="s">
        <v>2854</v>
      </c>
      <c r="O1405" t="s">
        <v>5558</v>
      </c>
      <c r="Q1405" t="s">
        <v>2858</v>
      </c>
      <c r="R1405" t="s">
        <v>2859</v>
      </c>
      <c r="T1405" t="s">
        <v>5</v>
      </c>
      <c r="U1405" s="3" t="str">
        <f>+VLOOKUP(Sites_per_tag[[#This Row],[Activity_tag]],Parameter!$A$24:$B$32,2,0)</f>
        <v>MAM</v>
      </c>
      <c r="W1405">
        <v>47.627726000000003</v>
      </c>
      <c r="X1405">
        <v>-23.369022999999999</v>
      </c>
    </row>
    <row r="1406" spans="1:24" x14ac:dyDescent="0.35">
      <c r="A1406" s="3" t="str">
        <f t="shared" si="21"/>
        <v>MG25214010010001MAM</v>
      </c>
      <c r="B1406" t="s">
        <v>6193</v>
      </c>
      <c r="C1406">
        <f>+VLOOKUP(Sites_per_tag[[#This Row],[Field_office]],Parameter!$A$3:$B$11,2,0)</f>
        <v>4</v>
      </c>
      <c r="E1406" t="s">
        <v>5658</v>
      </c>
      <c r="F1406" t="s">
        <v>5659</v>
      </c>
      <c r="H1406" t="str">
        <f ca="1">PROPER(Sites_per_tag[[#This Row],[Adm2Name]])</f>
        <v>Vangaindrano</v>
      </c>
      <c r="I1406" t="s">
        <v>5734</v>
      </c>
      <c r="K1406" t="s">
        <v>5618</v>
      </c>
      <c r="L1406" t="s">
        <v>6152</v>
      </c>
      <c r="N1406" t="s">
        <v>5560</v>
      </c>
      <c r="O1406" t="s">
        <v>5559</v>
      </c>
      <c r="Q1406" t="s">
        <v>3822</v>
      </c>
      <c r="R1406" t="s">
        <v>3823</v>
      </c>
      <c r="T1406" t="s">
        <v>5</v>
      </c>
      <c r="U1406" s="3" t="str">
        <f>+VLOOKUP(Sites_per_tag[[#This Row],[Activity_tag]],Parameter!$A$24:$B$32,2,0)</f>
        <v>MAM</v>
      </c>
      <c r="W1406">
        <v>47.647500000000001</v>
      </c>
      <c r="X1406">
        <v>-23.36233</v>
      </c>
    </row>
    <row r="1407" spans="1:24" x14ac:dyDescent="0.35">
      <c r="A1407" s="3" t="str">
        <f t="shared" si="21"/>
        <v>MG25214010012001MAM</v>
      </c>
      <c r="B1407" t="s">
        <v>6193</v>
      </c>
      <c r="C1407">
        <f>+VLOOKUP(Sites_per_tag[[#This Row],[Field_office]],Parameter!$A$3:$B$11,2,0)</f>
        <v>4</v>
      </c>
      <c r="E1407" t="s">
        <v>5658</v>
      </c>
      <c r="F1407" t="s">
        <v>5659</v>
      </c>
      <c r="H1407" t="str">
        <f ca="1">PROPER(Sites_per_tag[[#This Row],[Adm2Name]])</f>
        <v>Vangaindrano</v>
      </c>
      <c r="I1407" t="s">
        <v>5734</v>
      </c>
      <c r="K1407" t="s">
        <v>5618</v>
      </c>
      <c r="L1407" t="s">
        <v>6152</v>
      </c>
      <c r="N1407" t="s">
        <v>3634</v>
      </c>
      <c r="O1407" t="s">
        <v>5561</v>
      </c>
      <c r="Q1407" t="s">
        <v>3634</v>
      </c>
      <c r="R1407" t="s">
        <v>3635</v>
      </c>
      <c r="T1407" t="s">
        <v>5</v>
      </c>
      <c r="U1407" s="3" t="str">
        <f>+VLOOKUP(Sites_per_tag[[#This Row],[Activity_tag]],Parameter!$A$24:$B$32,2,0)</f>
        <v>MAM</v>
      </c>
      <c r="W1407">
        <v>47.618400000000001</v>
      </c>
      <c r="X1407">
        <v>-23.378879999999999</v>
      </c>
    </row>
    <row r="1408" spans="1:24" x14ac:dyDescent="0.35">
      <c r="A1408" s="3" t="str">
        <f t="shared" si="21"/>
        <v>MG25214031006001MAM</v>
      </c>
      <c r="B1408" t="s">
        <v>6193</v>
      </c>
      <c r="C1408">
        <f>+VLOOKUP(Sites_per_tag[[#This Row],[Field_office]],Parameter!$A$3:$B$11,2,0)</f>
        <v>4</v>
      </c>
      <c r="E1408" t="s">
        <v>5658</v>
      </c>
      <c r="F1408" t="s">
        <v>5659</v>
      </c>
      <c r="H1408" t="str">
        <f ca="1">PROPER(Sites_per_tag[[#This Row],[Adm2Name]])</f>
        <v>Vangaindrano</v>
      </c>
      <c r="I1408" t="s">
        <v>5734</v>
      </c>
      <c r="K1408" t="s">
        <v>534</v>
      </c>
      <c r="L1408" t="s">
        <v>5761</v>
      </c>
      <c r="N1408" t="s">
        <v>2466</v>
      </c>
      <c r="O1408" t="s">
        <v>4503</v>
      </c>
      <c r="Q1408" t="s">
        <v>2476</v>
      </c>
      <c r="R1408" t="s">
        <v>2477</v>
      </c>
      <c r="T1408" t="s">
        <v>5</v>
      </c>
      <c r="U1408" s="3" t="str">
        <f>+VLOOKUP(Sites_per_tag[[#This Row],[Activity_tag]],Parameter!$A$24:$B$32,2,0)</f>
        <v>MAM</v>
      </c>
      <c r="W1408">
        <v>47.446933999999999</v>
      </c>
      <c r="X1408">
        <v>-24.064798</v>
      </c>
    </row>
    <row r="1409" spans="1:24" x14ac:dyDescent="0.35">
      <c r="A1409" s="3" t="str">
        <f t="shared" si="21"/>
        <v>MG25214031016001MAM</v>
      </c>
      <c r="B1409" t="s">
        <v>6193</v>
      </c>
      <c r="C1409">
        <f>+VLOOKUP(Sites_per_tag[[#This Row],[Field_office]],Parameter!$A$3:$B$11,2,0)</f>
        <v>4</v>
      </c>
      <c r="E1409" t="s">
        <v>5658</v>
      </c>
      <c r="F1409" t="s">
        <v>5659</v>
      </c>
      <c r="H1409" t="str">
        <f ca="1">PROPER(Sites_per_tag[[#This Row],[Adm2Name]])</f>
        <v>Vangaindrano</v>
      </c>
      <c r="I1409" t="s">
        <v>5734</v>
      </c>
      <c r="K1409" t="s">
        <v>534</v>
      </c>
      <c r="L1409" t="s">
        <v>5761</v>
      </c>
      <c r="N1409" t="s">
        <v>542</v>
      </c>
      <c r="O1409" t="s">
        <v>4504</v>
      </c>
      <c r="Q1409" t="s">
        <v>544</v>
      </c>
      <c r="R1409" t="s">
        <v>545</v>
      </c>
      <c r="T1409" t="s">
        <v>5</v>
      </c>
      <c r="U1409" s="3" t="str">
        <f>+VLOOKUP(Sites_per_tag[[#This Row],[Activity_tag]],Parameter!$A$24:$B$32,2,0)</f>
        <v>MAM</v>
      </c>
      <c r="W1409">
        <v>47.420810000000003</v>
      </c>
      <c r="X1409">
        <v>-24.073013</v>
      </c>
    </row>
    <row r="1410" spans="1:24" x14ac:dyDescent="0.35">
      <c r="A1410" s="3" t="str">
        <f t="shared" si="21"/>
        <v>MG25214032001001MAM</v>
      </c>
      <c r="B1410" t="s">
        <v>6193</v>
      </c>
      <c r="C1410">
        <f>+VLOOKUP(Sites_per_tag[[#This Row],[Field_office]],Parameter!$A$3:$B$11,2,0)</f>
        <v>4</v>
      </c>
      <c r="E1410" t="s">
        <v>5658</v>
      </c>
      <c r="F1410" t="s">
        <v>5659</v>
      </c>
      <c r="H1410" t="str">
        <f ca="1">PROPER(Sites_per_tag[[#This Row],[Adm2Name]])</f>
        <v>Vangaindrano</v>
      </c>
      <c r="I1410" t="s">
        <v>5734</v>
      </c>
      <c r="K1410" t="s">
        <v>3747</v>
      </c>
      <c r="L1410" t="s">
        <v>6144</v>
      </c>
      <c r="N1410" t="s">
        <v>3747</v>
      </c>
      <c r="O1410" t="s">
        <v>5527</v>
      </c>
      <c r="Q1410" t="s">
        <v>3747</v>
      </c>
      <c r="R1410" t="s">
        <v>3748</v>
      </c>
      <c r="T1410" t="s">
        <v>5</v>
      </c>
      <c r="U1410" s="3" t="str">
        <f>+VLOOKUP(Sites_per_tag[[#This Row],[Activity_tag]],Parameter!$A$24:$B$32,2,0)</f>
        <v>MAM</v>
      </c>
      <c r="W1410">
        <v>47.547249999999998</v>
      </c>
      <c r="X1410">
        <v>-23.41093</v>
      </c>
    </row>
    <row r="1411" spans="1:24" x14ac:dyDescent="0.35">
      <c r="A1411" s="3" t="str">
        <f t="shared" ref="A1411:A1474" si="22">+R1411&amp;U1411</f>
        <v>MG25214033003001MAM</v>
      </c>
      <c r="B1411" t="s">
        <v>6193</v>
      </c>
      <c r="C1411">
        <f>+VLOOKUP(Sites_per_tag[[#This Row],[Field_office]],Parameter!$A$3:$B$11,2,0)</f>
        <v>4</v>
      </c>
      <c r="E1411" t="s">
        <v>5658</v>
      </c>
      <c r="F1411" t="s">
        <v>5659</v>
      </c>
      <c r="H1411" t="str">
        <f ca="1">PROPER(Sites_per_tag[[#This Row],[Adm2Name]])</f>
        <v>Vangaindrano</v>
      </c>
      <c r="I1411" t="s">
        <v>5734</v>
      </c>
      <c r="K1411" t="s">
        <v>1827</v>
      </c>
      <c r="L1411" t="s">
        <v>5897</v>
      </c>
      <c r="N1411" t="s">
        <v>1827</v>
      </c>
      <c r="O1411" t="s">
        <v>4770</v>
      </c>
      <c r="Q1411" t="s">
        <v>1829</v>
      </c>
      <c r="R1411" t="s">
        <v>1830</v>
      </c>
      <c r="T1411" t="s">
        <v>5</v>
      </c>
      <c r="U1411" s="3" t="str">
        <f>+VLOOKUP(Sites_per_tag[[#This Row],[Activity_tag]],Parameter!$A$24:$B$32,2,0)</f>
        <v>MAM</v>
      </c>
      <c r="W1411">
        <v>47.622132999999998</v>
      </c>
      <c r="X1411">
        <v>-23.461562000000001</v>
      </c>
    </row>
    <row r="1412" spans="1:24" x14ac:dyDescent="0.35">
      <c r="A1412" s="3" t="str">
        <f t="shared" si="22"/>
        <v>MG25214050001001MAM</v>
      </c>
      <c r="B1412" t="s">
        <v>6193</v>
      </c>
      <c r="C1412">
        <f>+VLOOKUP(Sites_per_tag[[#This Row],[Field_office]],Parameter!$A$3:$B$11,2,0)</f>
        <v>4</v>
      </c>
      <c r="E1412" t="s">
        <v>5658</v>
      </c>
      <c r="F1412" t="s">
        <v>5659</v>
      </c>
      <c r="H1412" t="str">
        <f ca="1">PROPER(Sites_per_tag[[#This Row],[Adm2Name]])</f>
        <v>Vangaindrano</v>
      </c>
      <c r="I1412" t="s">
        <v>5734</v>
      </c>
      <c r="K1412" t="s">
        <v>3752</v>
      </c>
      <c r="L1412" t="s">
        <v>6145</v>
      </c>
      <c r="N1412" t="s">
        <v>3752</v>
      </c>
      <c r="O1412" t="s">
        <v>3753</v>
      </c>
      <c r="Q1412" t="s">
        <v>3752</v>
      </c>
      <c r="R1412" t="s">
        <v>3754</v>
      </c>
      <c r="T1412" t="s">
        <v>5</v>
      </c>
      <c r="U1412" s="3" t="str">
        <f>+VLOOKUP(Sites_per_tag[[#This Row],[Activity_tag]],Parameter!$A$24:$B$32,2,0)</f>
        <v>MAM</v>
      </c>
      <c r="W1412">
        <v>47.617530000000002</v>
      </c>
      <c r="X1412">
        <v>-23.325700000000001</v>
      </c>
    </row>
    <row r="1413" spans="1:24" x14ac:dyDescent="0.35">
      <c r="A1413" s="3" t="str">
        <f t="shared" si="22"/>
        <v>MG25214050001PREV</v>
      </c>
      <c r="B1413" t="s">
        <v>6193</v>
      </c>
      <c r="C1413">
        <f>+VLOOKUP(Sites_per_tag[[#This Row],[Field_office]],Parameter!$A$3:$B$11,2,0)</f>
        <v>4</v>
      </c>
      <c r="E1413" t="s">
        <v>5658</v>
      </c>
      <c r="F1413" t="s">
        <v>5659</v>
      </c>
      <c r="H1413" t="str">
        <f ca="1">PROPER(Sites_per_tag[[#This Row],[Adm2Name]])</f>
        <v>Vangaindrano</v>
      </c>
      <c r="I1413" t="s">
        <v>5734</v>
      </c>
      <c r="K1413" t="s">
        <v>3752</v>
      </c>
      <c r="L1413" t="s">
        <v>6145</v>
      </c>
      <c r="N1413" t="s">
        <v>3752</v>
      </c>
      <c r="Q1413" t="s">
        <v>3752</v>
      </c>
      <c r="R1413" t="s">
        <v>3753</v>
      </c>
      <c r="T1413" t="s">
        <v>32</v>
      </c>
      <c r="U1413" s="3" t="str">
        <f>+VLOOKUP(Sites_per_tag[[#This Row],[Activity_tag]],Parameter!$A$24:$B$32,2,0)</f>
        <v>PREV</v>
      </c>
      <c r="W1413">
        <v>47.608969999999999</v>
      </c>
      <c r="X1413">
        <v>-23.331219999999998</v>
      </c>
    </row>
    <row r="1414" spans="1:24" x14ac:dyDescent="0.35">
      <c r="A1414" s="3" t="str">
        <f t="shared" si="22"/>
        <v>MG25214050005PREV</v>
      </c>
      <c r="B1414" t="s">
        <v>6193</v>
      </c>
      <c r="C1414">
        <f>+VLOOKUP(Sites_per_tag[[#This Row],[Field_office]],Parameter!$A$3:$B$11,2,0)</f>
        <v>4</v>
      </c>
      <c r="E1414" t="s">
        <v>5658</v>
      </c>
      <c r="F1414" t="s">
        <v>5659</v>
      </c>
      <c r="H1414" t="str">
        <f ca="1">PROPER(Sites_per_tag[[#This Row],[Adm2Name]])</f>
        <v>Vangaindrano</v>
      </c>
      <c r="I1414" t="s">
        <v>5734</v>
      </c>
      <c r="K1414" t="s">
        <v>3752</v>
      </c>
      <c r="L1414" t="s">
        <v>6145</v>
      </c>
      <c r="N1414" t="s">
        <v>677</v>
      </c>
      <c r="Q1414" t="s">
        <v>677</v>
      </c>
      <c r="R1414" t="s">
        <v>678</v>
      </c>
      <c r="T1414" t="s">
        <v>32</v>
      </c>
      <c r="U1414" s="3" t="str">
        <f>+VLOOKUP(Sites_per_tag[[#This Row],[Activity_tag]],Parameter!$A$24:$B$32,2,0)</f>
        <v>PREV</v>
      </c>
      <c r="W1414">
        <v>47.664319999999996</v>
      </c>
      <c r="X1414">
        <v>-23.340499999999999</v>
      </c>
    </row>
    <row r="1415" spans="1:24" x14ac:dyDescent="0.35">
      <c r="A1415" s="3" t="str">
        <f t="shared" si="22"/>
        <v>MG25214050006001MAM</v>
      </c>
      <c r="B1415" t="s">
        <v>6193</v>
      </c>
      <c r="C1415">
        <f>+VLOOKUP(Sites_per_tag[[#This Row],[Field_office]],Parameter!$A$3:$B$11,2,0)</f>
        <v>4</v>
      </c>
      <c r="E1415" t="s">
        <v>5658</v>
      </c>
      <c r="F1415" t="s">
        <v>5659</v>
      </c>
      <c r="H1415" t="str">
        <f ca="1">PROPER(Sites_per_tag[[#This Row],[Adm2Name]])</f>
        <v>Vangaindrano</v>
      </c>
      <c r="I1415" t="s">
        <v>5734</v>
      </c>
      <c r="K1415" t="s">
        <v>3752</v>
      </c>
      <c r="L1415" t="s">
        <v>6145</v>
      </c>
      <c r="N1415" t="s">
        <v>663</v>
      </c>
      <c r="O1415" t="s">
        <v>5530</v>
      </c>
      <c r="Q1415" t="s">
        <v>663</v>
      </c>
      <c r="R1415" t="s">
        <v>664</v>
      </c>
      <c r="T1415" t="s">
        <v>5</v>
      </c>
      <c r="U1415" s="3" t="str">
        <f>+VLOOKUP(Sites_per_tag[[#This Row],[Activity_tag]],Parameter!$A$24:$B$32,2,0)</f>
        <v>MAM</v>
      </c>
      <c r="W1415">
        <v>47.633319999999998</v>
      </c>
      <c r="X1415">
        <v>-23.346170000000001</v>
      </c>
    </row>
    <row r="1416" spans="1:24" x14ac:dyDescent="0.35">
      <c r="A1416" s="3" t="str">
        <f t="shared" si="22"/>
        <v>MG25214050067PREV</v>
      </c>
      <c r="B1416" t="s">
        <v>6193</v>
      </c>
      <c r="C1416">
        <f>+VLOOKUP(Sites_per_tag[[#This Row],[Field_office]],Parameter!$A$3:$B$11,2,0)</f>
        <v>4</v>
      </c>
      <c r="E1416" t="s">
        <v>5658</v>
      </c>
      <c r="F1416" t="s">
        <v>5659</v>
      </c>
      <c r="H1416" t="str">
        <f ca="1">PROPER(Sites_per_tag[[#This Row],[Adm2Name]])</f>
        <v>Vangaindrano</v>
      </c>
      <c r="I1416" t="s">
        <v>5734</v>
      </c>
      <c r="K1416" t="s">
        <v>3752</v>
      </c>
      <c r="L1416" t="s">
        <v>6145</v>
      </c>
      <c r="N1416" t="s">
        <v>3719</v>
      </c>
      <c r="Q1416" t="s">
        <v>3719</v>
      </c>
      <c r="R1416" t="s">
        <v>3720</v>
      </c>
      <c r="T1416" t="s">
        <v>32</v>
      </c>
      <c r="U1416" s="3" t="str">
        <f>+VLOOKUP(Sites_per_tag[[#This Row],[Activity_tag]],Parameter!$A$24:$B$32,2,0)</f>
        <v>PREV</v>
      </c>
      <c r="W1416">
        <v>47.689619999999998</v>
      </c>
      <c r="X1416">
        <v>-23.288250000000001</v>
      </c>
    </row>
    <row r="1417" spans="1:24" x14ac:dyDescent="0.35">
      <c r="A1417" s="3" t="str">
        <f t="shared" si="22"/>
        <v>MG25214070001001MAM</v>
      </c>
      <c r="B1417" t="s">
        <v>6193</v>
      </c>
      <c r="C1417">
        <f>+VLOOKUP(Sites_per_tag[[#This Row],[Field_office]],Parameter!$A$3:$B$11,2,0)</f>
        <v>4</v>
      </c>
      <c r="E1417" t="s">
        <v>5658</v>
      </c>
      <c r="F1417" t="s">
        <v>5659</v>
      </c>
      <c r="H1417" t="str">
        <f ca="1">PROPER(Sites_per_tag[[#This Row],[Adm2Name]])</f>
        <v>Vangaindrano</v>
      </c>
      <c r="I1417" t="s">
        <v>5734</v>
      </c>
      <c r="K1417" t="s">
        <v>3498</v>
      </c>
      <c r="L1417" t="s">
        <v>6108</v>
      </c>
      <c r="N1417" t="s">
        <v>3498</v>
      </c>
      <c r="O1417" t="s">
        <v>5461</v>
      </c>
      <c r="Q1417" t="s">
        <v>3498</v>
      </c>
      <c r="R1417" t="s">
        <v>3499</v>
      </c>
      <c r="T1417" t="s">
        <v>5</v>
      </c>
      <c r="U1417" s="3" t="str">
        <f>+VLOOKUP(Sites_per_tag[[#This Row],[Activity_tag]],Parameter!$A$24:$B$32,2,0)</f>
        <v>MAM</v>
      </c>
      <c r="W1417">
        <v>47.600250000000003</v>
      </c>
      <c r="X1417">
        <v>-23.288900000000002</v>
      </c>
    </row>
    <row r="1418" spans="1:24" x14ac:dyDescent="0.35">
      <c r="A1418" s="3" t="str">
        <f t="shared" si="22"/>
        <v>MG25214070006001MAM</v>
      </c>
      <c r="B1418" t="s">
        <v>6193</v>
      </c>
      <c r="C1418">
        <f>+VLOOKUP(Sites_per_tag[[#This Row],[Field_office]],Parameter!$A$3:$B$11,2,0)</f>
        <v>4</v>
      </c>
      <c r="E1418" t="s">
        <v>5658</v>
      </c>
      <c r="F1418" t="s">
        <v>5659</v>
      </c>
      <c r="H1418" t="str">
        <f ca="1">PROPER(Sites_per_tag[[#This Row],[Adm2Name]])</f>
        <v>Farafangana</v>
      </c>
      <c r="I1418" t="s">
        <v>5694</v>
      </c>
      <c r="K1418" t="s">
        <v>6021</v>
      </c>
      <c r="L1418" t="s">
        <v>6022</v>
      </c>
      <c r="N1418" t="s">
        <v>3071</v>
      </c>
      <c r="O1418" t="s">
        <v>5218</v>
      </c>
      <c r="Q1418" t="s">
        <v>3071</v>
      </c>
      <c r="R1418" t="s">
        <v>3072</v>
      </c>
      <c r="T1418" t="s">
        <v>5</v>
      </c>
      <c r="U1418" s="3" t="str">
        <f>+VLOOKUP(Sites_per_tag[[#This Row],[Activity_tag]],Parameter!$A$24:$B$32,2,0)</f>
        <v>MAM</v>
      </c>
      <c r="W1418">
        <v>47.840831000000001</v>
      </c>
      <c r="X1418">
        <v>-22.658707</v>
      </c>
    </row>
    <row r="1419" spans="1:24" x14ac:dyDescent="0.35">
      <c r="A1419" s="3" t="str">
        <f t="shared" si="22"/>
        <v>MG25214070043001MAM</v>
      </c>
      <c r="B1419" t="s">
        <v>6193</v>
      </c>
      <c r="C1419">
        <f>+VLOOKUP(Sites_per_tag[[#This Row],[Field_office]],Parameter!$A$3:$B$11,2,0)</f>
        <v>4</v>
      </c>
      <c r="E1419" t="s">
        <v>5658</v>
      </c>
      <c r="F1419" t="s">
        <v>5659</v>
      </c>
      <c r="H1419" t="str">
        <f ca="1">PROPER(Sites_per_tag[[#This Row],[Adm2Name]])</f>
        <v>Farafangana</v>
      </c>
      <c r="I1419" t="s">
        <v>5694</v>
      </c>
      <c r="K1419" t="s">
        <v>6021</v>
      </c>
      <c r="L1419" t="s">
        <v>6022</v>
      </c>
      <c r="N1419" t="s">
        <v>2783</v>
      </c>
      <c r="O1419" t="s">
        <v>5219</v>
      </c>
      <c r="Q1419" t="s">
        <v>2786</v>
      </c>
      <c r="R1419" t="s">
        <v>2787</v>
      </c>
      <c r="T1419" t="s">
        <v>5</v>
      </c>
      <c r="U1419" s="3" t="str">
        <f>+VLOOKUP(Sites_per_tag[[#This Row],[Activity_tag]],Parameter!$A$24:$B$32,2,0)</f>
        <v>MAM</v>
      </c>
      <c r="W1419">
        <v>47.794049999999999</v>
      </c>
      <c r="X1419">
        <v>-22.97392</v>
      </c>
    </row>
    <row r="1420" spans="1:24" x14ac:dyDescent="0.35">
      <c r="A1420" s="3" t="str">
        <f t="shared" si="22"/>
        <v>MG25214070044001MAM</v>
      </c>
      <c r="B1420" t="s">
        <v>6193</v>
      </c>
      <c r="C1420">
        <f>+VLOOKUP(Sites_per_tag[[#This Row],[Field_office]],Parameter!$A$3:$B$11,2,0)</f>
        <v>4</v>
      </c>
      <c r="E1420" t="s">
        <v>5658</v>
      </c>
      <c r="F1420" t="s">
        <v>5659</v>
      </c>
      <c r="H1420" t="str">
        <f ca="1">PROPER(Sites_per_tag[[#This Row],[Adm2Name]])</f>
        <v>Farafangana</v>
      </c>
      <c r="I1420" t="s">
        <v>5694</v>
      </c>
      <c r="K1420" t="s">
        <v>6021</v>
      </c>
      <c r="L1420" t="s">
        <v>6022</v>
      </c>
      <c r="N1420" t="s">
        <v>3056</v>
      </c>
      <c r="O1420" t="s">
        <v>5220</v>
      </c>
      <c r="Q1420" t="s">
        <v>3056</v>
      </c>
      <c r="R1420" t="s">
        <v>3057</v>
      </c>
      <c r="T1420" t="s">
        <v>5</v>
      </c>
      <c r="U1420" s="3" t="str">
        <f>+VLOOKUP(Sites_per_tag[[#This Row],[Activity_tag]],Parameter!$A$24:$B$32,2,0)</f>
        <v>MAM</v>
      </c>
      <c r="W1420">
        <v>47.752630000000003</v>
      </c>
      <c r="X1420">
        <v>-22.971769999999999</v>
      </c>
    </row>
    <row r="1421" spans="1:24" x14ac:dyDescent="0.35">
      <c r="A1421" s="3" t="str">
        <f t="shared" si="22"/>
        <v>MG25214091001001MAM</v>
      </c>
      <c r="B1421" t="s">
        <v>6193</v>
      </c>
      <c r="C1421">
        <f>+VLOOKUP(Sites_per_tag[[#This Row],[Field_office]],Parameter!$A$3:$B$11,2,0)</f>
        <v>4</v>
      </c>
      <c r="E1421" t="s">
        <v>5658</v>
      </c>
      <c r="F1421" t="s">
        <v>5659</v>
      </c>
      <c r="H1421" t="str">
        <f ca="1">PROPER(Sites_per_tag[[#This Row],[Adm2Name]])</f>
        <v>Vangaindrano</v>
      </c>
      <c r="I1421" t="s">
        <v>5734</v>
      </c>
      <c r="K1421" t="s">
        <v>2713</v>
      </c>
      <c r="L1421" t="s">
        <v>5999</v>
      </c>
      <c r="N1421" t="s">
        <v>2713</v>
      </c>
      <c r="O1421" t="s">
        <v>5161</v>
      </c>
      <c r="Q1421" t="s">
        <v>2713</v>
      </c>
      <c r="R1421" t="s">
        <v>2714</v>
      </c>
      <c r="T1421" t="s">
        <v>5</v>
      </c>
      <c r="U1421" s="3" t="str">
        <f>+VLOOKUP(Sites_per_tag[[#This Row],[Activity_tag]],Parameter!$A$24:$B$32,2,0)</f>
        <v>MAM</v>
      </c>
      <c r="W1421">
        <v>47.671030000000002</v>
      </c>
      <c r="X1421">
        <v>-23.19642</v>
      </c>
    </row>
    <row r="1422" spans="1:24" x14ac:dyDescent="0.35">
      <c r="A1422" s="3" t="str">
        <f t="shared" si="22"/>
        <v>MG25214111001001MAM</v>
      </c>
      <c r="B1422" t="s">
        <v>6193</v>
      </c>
      <c r="C1422">
        <f>+VLOOKUP(Sites_per_tag[[#This Row],[Field_office]],Parameter!$A$3:$B$11,2,0)</f>
        <v>4</v>
      </c>
      <c r="E1422" t="s">
        <v>5658</v>
      </c>
      <c r="F1422" t="s">
        <v>5659</v>
      </c>
      <c r="H1422" t="str">
        <f ca="1">PROPER(Sites_per_tag[[#This Row],[Adm2Name]])</f>
        <v>Vangaindrano</v>
      </c>
      <c r="I1422" t="s">
        <v>5734</v>
      </c>
      <c r="K1422" t="s">
        <v>3945</v>
      </c>
      <c r="L1422" t="s">
        <v>6170</v>
      </c>
      <c r="N1422" t="s">
        <v>3945</v>
      </c>
      <c r="O1422" t="s">
        <v>5597</v>
      </c>
      <c r="Q1422" t="s">
        <v>3945</v>
      </c>
      <c r="R1422" t="s">
        <v>3946</v>
      </c>
      <c r="T1422" t="s">
        <v>5</v>
      </c>
      <c r="U1422" s="3" t="str">
        <f>+VLOOKUP(Sites_per_tag[[#This Row],[Activity_tag]],Parameter!$A$24:$B$32,2,0)</f>
        <v>MAM</v>
      </c>
      <c r="W1422">
        <v>47.525869999999998</v>
      </c>
      <c r="X1422">
        <v>-23.264579999999999</v>
      </c>
    </row>
    <row r="1423" spans="1:24" x14ac:dyDescent="0.35">
      <c r="A1423" s="3" t="str">
        <f t="shared" si="22"/>
        <v>MG25214111005PREV</v>
      </c>
      <c r="B1423" t="s">
        <v>6193</v>
      </c>
      <c r="C1423">
        <f>+VLOOKUP(Sites_per_tag[[#This Row],[Field_office]],Parameter!$A$3:$B$11,2,0)</f>
        <v>4</v>
      </c>
      <c r="E1423" t="s">
        <v>5658</v>
      </c>
      <c r="F1423" t="s">
        <v>5659</v>
      </c>
      <c r="H1423" t="str">
        <f ca="1">PROPER(Sites_per_tag[[#This Row],[Adm2Name]])</f>
        <v>Vangaindrano</v>
      </c>
      <c r="I1423" t="s">
        <v>5734</v>
      </c>
      <c r="K1423" t="s">
        <v>3945</v>
      </c>
      <c r="L1423" t="s">
        <v>6170</v>
      </c>
      <c r="N1423" t="s">
        <v>3224</v>
      </c>
      <c r="Q1423" t="s">
        <v>3224</v>
      </c>
      <c r="R1423" t="s">
        <v>3225</v>
      </c>
      <c r="T1423" t="s">
        <v>32</v>
      </c>
      <c r="U1423" s="3" t="str">
        <f>+VLOOKUP(Sites_per_tag[[#This Row],[Activity_tag]],Parameter!$A$24:$B$32,2,0)</f>
        <v>PREV</v>
      </c>
      <c r="W1423">
        <v>47.498111999999999</v>
      </c>
      <c r="X1423">
        <v>-23.268661999999999</v>
      </c>
    </row>
    <row r="1424" spans="1:24" x14ac:dyDescent="0.35">
      <c r="A1424" s="3" t="str">
        <f t="shared" si="22"/>
        <v>MG25214111008PREV</v>
      </c>
      <c r="B1424" t="s">
        <v>6193</v>
      </c>
      <c r="C1424">
        <f>+VLOOKUP(Sites_per_tag[[#This Row],[Field_office]],Parameter!$A$3:$B$11,2,0)</f>
        <v>4</v>
      </c>
      <c r="E1424" t="s">
        <v>5658</v>
      </c>
      <c r="F1424" t="s">
        <v>5659</v>
      </c>
      <c r="H1424" t="str">
        <f ca="1">PROPER(Sites_per_tag[[#This Row],[Adm2Name]])</f>
        <v>Vangaindrano</v>
      </c>
      <c r="I1424" t="s">
        <v>5734</v>
      </c>
      <c r="K1424" t="s">
        <v>2495</v>
      </c>
      <c r="L1424" t="s">
        <v>5959</v>
      </c>
      <c r="N1424" t="s">
        <v>2495</v>
      </c>
      <c r="Q1424" t="s">
        <v>2495</v>
      </c>
      <c r="R1424" t="s">
        <v>2496</v>
      </c>
      <c r="T1424" t="s">
        <v>32</v>
      </c>
      <c r="U1424" s="3" t="str">
        <f>+VLOOKUP(Sites_per_tag[[#This Row],[Activity_tag]],Parameter!$A$24:$B$32,2,0)</f>
        <v>PREV</v>
      </c>
      <c r="W1424">
        <v>47.554279999999999</v>
      </c>
      <c r="X1424">
        <v>-23.3035</v>
      </c>
    </row>
    <row r="1425" spans="1:24" x14ac:dyDescent="0.35">
      <c r="A1425" s="3" t="str">
        <f t="shared" si="22"/>
        <v>MG25214111010001MAM</v>
      </c>
      <c r="B1425" t="s">
        <v>6193</v>
      </c>
      <c r="C1425">
        <f>+VLOOKUP(Sites_per_tag[[#This Row],[Field_office]],Parameter!$A$3:$B$11,2,0)</f>
        <v>4</v>
      </c>
      <c r="E1425" t="s">
        <v>5658</v>
      </c>
      <c r="F1425" t="s">
        <v>5659</v>
      </c>
      <c r="H1425" t="str">
        <f ca="1">PROPER(Sites_per_tag[[#This Row],[Adm2Name]])</f>
        <v>Vangaindrano</v>
      </c>
      <c r="I1425" t="s">
        <v>5734</v>
      </c>
      <c r="K1425" t="s">
        <v>2495</v>
      </c>
      <c r="L1425" t="s">
        <v>5959</v>
      </c>
      <c r="N1425" t="s">
        <v>3362</v>
      </c>
      <c r="O1425" t="s">
        <v>4989</v>
      </c>
      <c r="Q1425" t="s">
        <v>3362</v>
      </c>
      <c r="R1425" t="s">
        <v>3363</v>
      </c>
      <c r="T1425" t="s">
        <v>5</v>
      </c>
      <c r="U1425" s="3" t="str">
        <f>+VLOOKUP(Sites_per_tag[[#This Row],[Activity_tag]],Parameter!$A$24:$B$32,2,0)</f>
        <v>MAM</v>
      </c>
      <c r="W1425">
        <v>47.550020000000004</v>
      </c>
      <c r="X1425">
        <v>-23.31643</v>
      </c>
    </row>
    <row r="1426" spans="1:24" x14ac:dyDescent="0.35">
      <c r="A1426" s="3" t="str">
        <f t="shared" si="22"/>
        <v>MG25214111011001MAM</v>
      </c>
      <c r="B1426" t="s">
        <v>6193</v>
      </c>
      <c r="C1426">
        <f>+VLOOKUP(Sites_per_tag[[#This Row],[Field_office]],Parameter!$A$3:$B$11,2,0)</f>
        <v>4</v>
      </c>
      <c r="E1426" t="s">
        <v>5658</v>
      </c>
      <c r="F1426" t="s">
        <v>5659</v>
      </c>
      <c r="H1426" t="str">
        <f ca="1">PROPER(Sites_per_tag[[#This Row],[Adm2Name]])</f>
        <v>Vangaindrano</v>
      </c>
      <c r="I1426" t="s">
        <v>5734</v>
      </c>
      <c r="K1426" t="s">
        <v>2495</v>
      </c>
      <c r="L1426" t="s">
        <v>5959</v>
      </c>
      <c r="N1426" t="s">
        <v>3710</v>
      </c>
      <c r="O1426" t="s">
        <v>4990</v>
      </c>
      <c r="Q1426" t="s">
        <v>3710</v>
      </c>
      <c r="R1426" t="s">
        <v>3711</v>
      </c>
      <c r="T1426" t="s">
        <v>5</v>
      </c>
      <c r="U1426" s="3" t="str">
        <f>+VLOOKUP(Sites_per_tag[[#This Row],[Activity_tag]],Parameter!$A$24:$B$32,2,0)</f>
        <v>MAM</v>
      </c>
      <c r="W1426">
        <v>47.559750000000001</v>
      </c>
      <c r="X1426">
        <v>-23.31898</v>
      </c>
    </row>
    <row r="1427" spans="1:24" x14ac:dyDescent="0.35">
      <c r="A1427" s="3" t="str">
        <f t="shared" si="22"/>
        <v>MG25214111060PREV</v>
      </c>
      <c r="B1427" t="s">
        <v>6193</v>
      </c>
      <c r="C1427">
        <f>+VLOOKUP(Sites_per_tag[[#This Row],[Field_office]],Parameter!$A$3:$B$11,2,0)</f>
        <v>4</v>
      </c>
      <c r="E1427" t="s">
        <v>5658</v>
      </c>
      <c r="F1427" t="s">
        <v>5659</v>
      </c>
      <c r="H1427" t="str">
        <f ca="1">PROPER(Sites_per_tag[[#This Row],[Adm2Name]])</f>
        <v>Vangaindrano</v>
      </c>
      <c r="I1427" t="s">
        <v>5734</v>
      </c>
      <c r="K1427" t="s">
        <v>3945</v>
      </c>
      <c r="L1427" t="s">
        <v>6170</v>
      </c>
      <c r="N1427" t="s">
        <v>3945</v>
      </c>
      <c r="Q1427" t="s">
        <v>3945</v>
      </c>
      <c r="R1427" t="s">
        <v>3947</v>
      </c>
      <c r="T1427" t="s">
        <v>32</v>
      </c>
      <c r="U1427" s="3" t="str">
        <f>+VLOOKUP(Sites_per_tag[[#This Row],[Activity_tag]],Parameter!$A$24:$B$32,2,0)</f>
        <v>PREV</v>
      </c>
      <c r="W1427">
        <v>47.527270000000001</v>
      </c>
      <c r="X1427">
        <v>-23.26735</v>
      </c>
    </row>
    <row r="1428" spans="1:24" x14ac:dyDescent="0.35">
      <c r="A1428" s="3" t="str">
        <f t="shared" si="22"/>
        <v>MG25214112001001MAM</v>
      </c>
      <c r="B1428" t="s">
        <v>6193</v>
      </c>
      <c r="C1428">
        <f>+VLOOKUP(Sites_per_tag[[#This Row],[Field_office]],Parameter!$A$3:$B$11,2,0)</f>
        <v>4</v>
      </c>
      <c r="E1428" t="s">
        <v>5658</v>
      </c>
      <c r="F1428" t="s">
        <v>5659</v>
      </c>
      <c r="H1428" t="str">
        <f ca="1">PROPER(Sites_per_tag[[#This Row],[Adm2Name]])</f>
        <v>Vangaindrano</v>
      </c>
      <c r="I1428" t="s">
        <v>5734</v>
      </c>
      <c r="K1428" t="s">
        <v>992</v>
      </c>
      <c r="L1428" t="s">
        <v>5810</v>
      </c>
      <c r="N1428" t="s">
        <v>992</v>
      </c>
      <c r="O1428" t="s">
        <v>4589</v>
      </c>
      <c r="Q1428" t="s">
        <v>992</v>
      </c>
      <c r="R1428" t="s">
        <v>993</v>
      </c>
      <c r="T1428" t="s">
        <v>5</v>
      </c>
      <c r="U1428" s="3" t="str">
        <f>+VLOOKUP(Sites_per_tag[[#This Row],[Activity_tag]],Parameter!$A$24:$B$32,2,0)</f>
        <v>MAM</v>
      </c>
      <c r="W1428">
        <v>47.479819999999997</v>
      </c>
      <c r="X1428">
        <v>-23.200199999999999</v>
      </c>
    </row>
    <row r="1429" spans="1:24" x14ac:dyDescent="0.35">
      <c r="A1429" s="3" t="str">
        <f t="shared" si="22"/>
        <v>MG25214112005001MAM</v>
      </c>
      <c r="B1429" t="s">
        <v>6193</v>
      </c>
      <c r="C1429">
        <f>+VLOOKUP(Sites_per_tag[[#This Row],[Field_office]],Parameter!$A$3:$B$11,2,0)</f>
        <v>4</v>
      </c>
      <c r="E1429" t="s">
        <v>5658</v>
      </c>
      <c r="F1429" t="s">
        <v>5659</v>
      </c>
      <c r="H1429" t="str">
        <f ca="1">PROPER(Sites_per_tag[[#This Row],[Adm2Name]])</f>
        <v>Vangaindrano</v>
      </c>
      <c r="I1429" t="s">
        <v>5734</v>
      </c>
      <c r="K1429" t="s">
        <v>3903</v>
      </c>
      <c r="L1429" t="s">
        <v>6163</v>
      </c>
      <c r="N1429" t="s">
        <v>3903</v>
      </c>
      <c r="O1429" t="s">
        <v>5573</v>
      </c>
      <c r="Q1429" t="s">
        <v>3903</v>
      </c>
      <c r="R1429" t="s">
        <v>3904</v>
      </c>
      <c r="T1429" t="s">
        <v>5</v>
      </c>
      <c r="U1429" s="3" t="str">
        <f>+VLOOKUP(Sites_per_tag[[#This Row],[Activity_tag]],Parameter!$A$24:$B$32,2,0)</f>
        <v>MAM</v>
      </c>
      <c r="W1429">
        <v>47.478920000000002</v>
      </c>
      <c r="X1429">
        <v>-23.206530000000001</v>
      </c>
    </row>
    <row r="1430" spans="1:24" x14ac:dyDescent="0.35">
      <c r="A1430" s="3" t="str">
        <f t="shared" si="22"/>
        <v>MG25214131001001MAM</v>
      </c>
      <c r="B1430" t="s">
        <v>6193</v>
      </c>
      <c r="C1430">
        <f>+VLOOKUP(Sites_per_tag[[#This Row],[Field_office]],Parameter!$A$3:$B$11,2,0)</f>
        <v>4</v>
      </c>
      <c r="E1430" t="s">
        <v>5658</v>
      </c>
      <c r="F1430" t="s">
        <v>5659</v>
      </c>
      <c r="H1430" t="str">
        <f ca="1">PROPER(Sites_per_tag[[#This Row],[Adm2Name]])</f>
        <v>Vangaindrano</v>
      </c>
      <c r="I1430" t="s">
        <v>5734</v>
      </c>
      <c r="K1430" t="s">
        <v>2701</v>
      </c>
      <c r="L1430" t="s">
        <v>5998</v>
      </c>
      <c r="N1430" t="s">
        <v>2701</v>
      </c>
      <c r="O1430" t="s">
        <v>5159</v>
      </c>
      <c r="Q1430" t="s">
        <v>2701</v>
      </c>
      <c r="R1430" t="s">
        <v>2702</v>
      </c>
      <c r="T1430" t="s">
        <v>5</v>
      </c>
      <c r="U1430" s="3" t="str">
        <f>+VLOOKUP(Sites_per_tag[[#This Row],[Activity_tag]],Parameter!$A$24:$B$32,2,0)</f>
        <v>MAM</v>
      </c>
      <c r="W1430">
        <v>47.376049999999999</v>
      </c>
      <c r="X1430">
        <v>-23.296669999999999</v>
      </c>
    </row>
    <row r="1431" spans="1:24" x14ac:dyDescent="0.35">
      <c r="A1431" s="3" t="str">
        <f t="shared" si="22"/>
        <v>MG25214132001001MAM</v>
      </c>
      <c r="B1431" t="s">
        <v>6193</v>
      </c>
      <c r="C1431">
        <f>+VLOOKUP(Sites_per_tag[[#This Row],[Field_office]],Parameter!$A$3:$B$11,2,0)</f>
        <v>4</v>
      </c>
      <c r="E1431" t="s">
        <v>5658</v>
      </c>
      <c r="F1431" t="s">
        <v>5659</v>
      </c>
      <c r="H1431" t="str">
        <f ca="1">PROPER(Sites_per_tag[[#This Row],[Adm2Name]])</f>
        <v>Vangaindrano</v>
      </c>
      <c r="I1431" t="s">
        <v>5734</v>
      </c>
      <c r="K1431" t="s">
        <v>550</v>
      </c>
      <c r="L1431" t="s">
        <v>5767</v>
      </c>
      <c r="N1431" t="s">
        <v>550</v>
      </c>
      <c r="O1431" t="s">
        <v>4505</v>
      </c>
      <c r="Q1431" t="s">
        <v>552</v>
      </c>
      <c r="R1431" t="s">
        <v>553</v>
      </c>
      <c r="T1431" t="s">
        <v>5</v>
      </c>
      <c r="U1431" s="3" t="str">
        <f>+VLOOKUP(Sites_per_tag[[#This Row],[Activity_tag]],Parameter!$A$24:$B$32,2,0)</f>
        <v>MAM</v>
      </c>
      <c r="W1431">
        <v>47.464669999999998</v>
      </c>
      <c r="X1431">
        <v>-23.35153</v>
      </c>
    </row>
    <row r="1432" spans="1:24" x14ac:dyDescent="0.35">
      <c r="A1432" s="3" t="str">
        <f t="shared" si="22"/>
        <v>MG25214132013001MAM</v>
      </c>
      <c r="B1432" t="s">
        <v>6193</v>
      </c>
      <c r="C1432">
        <f>+VLOOKUP(Sites_per_tag[[#This Row],[Field_office]],Parameter!$A$3:$B$11,2,0)</f>
        <v>4</v>
      </c>
      <c r="E1432" t="s">
        <v>5658</v>
      </c>
      <c r="F1432" t="s">
        <v>5659</v>
      </c>
      <c r="H1432" t="str">
        <f ca="1">PROPER(Sites_per_tag[[#This Row],[Adm2Name]])</f>
        <v>Vangaindrano</v>
      </c>
      <c r="I1432" t="s">
        <v>5734</v>
      </c>
      <c r="K1432" t="s">
        <v>550</v>
      </c>
      <c r="L1432" t="s">
        <v>5767</v>
      </c>
      <c r="N1432" t="s">
        <v>3567</v>
      </c>
      <c r="O1432" t="s">
        <v>4506</v>
      </c>
      <c r="Q1432" t="s">
        <v>3569</v>
      </c>
      <c r="R1432" t="s">
        <v>3570</v>
      </c>
      <c r="T1432" t="s">
        <v>5</v>
      </c>
      <c r="U1432" s="3" t="str">
        <f>+VLOOKUP(Sites_per_tag[[#This Row],[Activity_tag]],Parameter!$A$24:$B$32,2,0)</f>
        <v>MAM</v>
      </c>
      <c r="W1432">
        <v>47.438878000000003</v>
      </c>
      <c r="X1432">
        <v>-23.359739000000001</v>
      </c>
    </row>
    <row r="1433" spans="1:24" x14ac:dyDescent="0.35">
      <c r="A1433" s="3" t="str">
        <f t="shared" si="22"/>
        <v>MG25214151001001MAM</v>
      </c>
      <c r="B1433" t="s">
        <v>6193</v>
      </c>
      <c r="C1433">
        <f>+VLOOKUP(Sites_per_tag[[#This Row],[Field_office]],Parameter!$A$3:$B$11,2,0)</f>
        <v>4</v>
      </c>
      <c r="E1433" t="s">
        <v>5658</v>
      </c>
      <c r="F1433" t="s">
        <v>5659</v>
      </c>
      <c r="H1433" t="str">
        <f ca="1">PROPER(Sites_per_tag[[#This Row],[Adm2Name]])</f>
        <v>Vangaindrano</v>
      </c>
      <c r="I1433" t="s">
        <v>5734</v>
      </c>
      <c r="K1433" t="s">
        <v>3139</v>
      </c>
      <c r="L1433" t="s">
        <v>6060</v>
      </c>
      <c r="N1433" t="s">
        <v>3139</v>
      </c>
      <c r="O1433" t="s">
        <v>5363</v>
      </c>
      <c r="Q1433" t="s">
        <v>3139</v>
      </c>
      <c r="R1433" t="s">
        <v>3140</v>
      </c>
      <c r="T1433" t="s">
        <v>5</v>
      </c>
      <c r="U1433" s="3" t="str">
        <f>+VLOOKUP(Sites_per_tag[[#This Row],[Activity_tag]],Parameter!$A$24:$B$32,2,0)</f>
        <v>MAM</v>
      </c>
      <c r="W1433">
        <v>47.574649999999998</v>
      </c>
      <c r="X1433">
        <v>-23.513480000000001</v>
      </c>
    </row>
    <row r="1434" spans="1:24" x14ac:dyDescent="0.35">
      <c r="A1434" s="3" t="str">
        <f t="shared" si="22"/>
        <v>MG25214151003001MAM</v>
      </c>
      <c r="B1434" t="s">
        <v>6193</v>
      </c>
      <c r="C1434">
        <f>+VLOOKUP(Sites_per_tag[[#This Row],[Field_office]],Parameter!$A$3:$B$11,2,0)</f>
        <v>4</v>
      </c>
      <c r="E1434" t="s">
        <v>5658</v>
      </c>
      <c r="F1434" t="s">
        <v>5659</v>
      </c>
      <c r="H1434" t="str">
        <f ca="1">PROPER(Sites_per_tag[[#This Row],[Adm2Name]])</f>
        <v>Vangaindrano</v>
      </c>
      <c r="I1434" t="s">
        <v>5734</v>
      </c>
      <c r="K1434" t="s">
        <v>3139</v>
      </c>
      <c r="L1434" t="s">
        <v>6060</v>
      </c>
      <c r="N1434" t="s">
        <v>2889</v>
      </c>
      <c r="O1434" t="s">
        <v>5364</v>
      </c>
      <c r="Q1434" t="s">
        <v>2889</v>
      </c>
      <c r="R1434" t="s">
        <v>2890</v>
      </c>
      <c r="T1434" t="s">
        <v>5</v>
      </c>
      <c r="U1434" s="3" t="str">
        <f>+VLOOKUP(Sites_per_tag[[#This Row],[Activity_tag]],Parameter!$A$24:$B$32,2,0)</f>
        <v>MAM</v>
      </c>
      <c r="W1434">
        <v>47.530729999999998</v>
      </c>
      <c r="X1434">
        <v>-23.483519999999999</v>
      </c>
    </row>
    <row r="1435" spans="1:24" x14ac:dyDescent="0.35">
      <c r="A1435" s="3" t="str">
        <f t="shared" si="22"/>
        <v>MG25214152002001MAM</v>
      </c>
      <c r="B1435" t="s">
        <v>6193</v>
      </c>
      <c r="C1435">
        <f>+VLOOKUP(Sites_per_tag[[#This Row],[Field_office]],Parameter!$A$3:$B$11,2,0)</f>
        <v>4</v>
      </c>
      <c r="E1435" t="s">
        <v>5658</v>
      </c>
      <c r="F1435" t="s">
        <v>5659</v>
      </c>
      <c r="H1435" t="str">
        <f ca="1">PROPER(Sites_per_tag[[#This Row],[Adm2Name]])</f>
        <v>Vangaindrano</v>
      </c>
      <c r="I1435" t="s">
        <v>5734</v>
      </c>
      <c r="K1435" t="s">
        <v>6058</v>
      </c>
      <c r="L1435" t="s">
        <v>6059</v>
      </c>
      <c r="N1435" t="s">
        <v>1527</v>
      </c>
      <c r="O1435" t="s">
        <v>5359</v>
      </c>
      <c r="Q1435" t="s">
        <v>1527</v>
      </c>
      <c r="R1435" t="s">
        <v>1528</v>
      </c>
      <c r="T1435" t="s">
        <v>5</v>
      </c>
      <c r="U1435" s="3" t="str">
        <f>+VLOOKUP(Sites_per_tag[[#This Row],[Activity_tag]],Parameter!$A$24:$B$32,2,0)</f>
        <v>MAM</v>
      </c>
      <c r="W1435">
        <v>47.61692</v>
      </c>
      <c r="X1435">
        <v>-23.52833</v>
      </c>
    </row>
    <row r="1436" spans="1:24" x14ac:dyDescent="0.35">
      <c r="A1436" s="3" t="str">
        <f t="shared" si="22"/>
        <v>MG25214152005001MAM</v>
      </c>
      <c r="B1436" t="s">
        <v>6193</v>
      </c>
      <c r="C1436">
        <f>+VLOOKUP(Sites_per_tag[[#This Row],[Field_office]],Parameter!$A$3:$B$11,2,0)</f>
        <v>4</v>
      </c>
      <c r="E1436" t="s">
        <v>5658</v>
      </c>
      <c r="F1436" t="s">
        <v>5659</v>
      </c>
      <c r="H1436" t="str">
        <f ca="1">PROPER(Sites_per_tag[[#This Row],[Adm2Name]])</f>
        <v>Vangaindrano</v>
      </c>
      <c r="I1436" t="s">
        <v>5734</v>
      </c>
      <c r="K1436" t="s">
        <v>6058</v>
      </c>
      <c r="L1436" t="s">
        <v>6059</v>
      </c>
      <c r="N1436" t="s">
        <v>3297</v>
      </c>
      <c r="O1436" t="s">
        <v>5360</v>
      </c>
      <c r="Q1436" t="s">
        <v>3297</v>
      </c>
      <c r="R1436" t="s">
        <v>3298</v>
      </c>
      <c r="T1436" t="s">
        <v>5</v>
      </c>
      <c r="U1436" s="3" t="str">
        <f>+VLOOKUP(Sites_per_tag[[#This Row],[Activity_tag]],Parameter!$A$24:$B$32,2,0)</f>
        <v>MAM</v>
      </c>
      <c r="W1436">
        <v>47.621270000000003</v>
      </c>
      <c r="X1436">
        <v>-23.566120000000002</v>
      </c>
    </row>
    <row r="1437" spans="1:24" x14ac:dyDescent="0.35">
      <c r="A1437" s="3" t="str">
        <f t="shared" si="22"/>
        <v>MG25214152007001MAM</v>
      </c>
      <c r="B1437" t="s">
        <v>6210</v>
      </c>
      <c r="C1437">
        <f>+VLOOKUP(Sites_per_tag[[#This Row],[Field_office]],Parameter!$A$3:$B$11,2,0)</f>
        <v>10</v>
      </c>
      <c r="E1437" t="s">
        <v>5650</v>
      </c>
      <c r="F1437" t="s">
        <v>5654</v>
      </c>
      <c r="H1437" t="str">
        <f ca="1">PROPER(Sites_per_tag[[#This Row],[Adm2Name]])</f>
        <v>Betioky Atsimo</v>
      </c>
      <c r="I1437" t="s">
        <v>5688</v>
      </c>
      <c r="K1437" t="s">
        <v>5615</v>
      </c>
      <c r="L1437" t="s">
        <v>5928</v>
      </c>
      <c r="N1437" t="s">
        <v>2059</v>
      </c>
      <c r="O1437" t="s">
        <v>4891</v>
      </c>
      <c r="Q1437" t="s">
        <v>2059</v>
      </c>
      <c r="R1437" t="s">
        <v>2060</v>
      </c>
      <c r="T1437" t="s">
        <v>5</v>
      </c>
      <c r="U1437" s="3" t="str">
        <f>+VLOOKUP(Sites_per_tag[[#This Row],[Activity_tag]],Parameter!$A$24:$B$32,2,0)</f>
        <v>MAM</v>
      </c>
      <c r="W1437">
        <v>44.325386999999999</v>
      </c>
      <c r="X1437">
        <v>-23.737280999999999</v>
      </c>
    </row>
    <row r="1438" spans="1:24" x14ac:dyDescent="0.35">
      <c r="A1438" s="3" t="str">
        <f t="shared" si="22"/>
        <v>MG25214152013001MAM</v>
      </c>
      <c r="B1438" t="s">
        <v>6193</v>
      </c>
      <c r="C1438">
        <f>+VLOOKUP(Sites_per_tag[[#This Row],[Field_office]],Parameter!$A$3:$B$11,2,0)</f>
        <v>4</v>
      </c>
      <c r="E1438" t="s">
        <v>5658</v>
      </c>
      <c r="F1438" t="s">
        <v>5659</v>
      </c>
      <c r="H1438" t="str">
        <f ca="1">PROPER(Sites_per_tag[[#This Row],[Adm2Name]])</f>
        <v>Vangaindrano</v>
      </c>
      <c r="I1438" t="s">
        <v>5734</v>
      </c>
      <c r="K1438" t="s">
        <v>6058</v>
      </c>
      <c r="L1438" t="s">
        <v>6059</v>
      </c>
      <c r="N1438" t="s">
        <v>2773</v>
      </c>
      <c r="O1438" t="s">
        <v>5361</v>
      </c>
      <c r="Q1438" t="s">
        <v>2778</v>
      </c>
      <c r="R1438" t="s">
        <v>2779</v>
      </c>
      <c r="T1438" t="s">
        <v>5</v>
      </c>
      <c r="U1438" s="3" t="str">
        <f>+VLOOKUP(Sites_per_tag[[#This Row],[Activity_tag]],Parameter!$A$24:$B$32,2,0)</f>
        <v>MAM</v>
      </c>
      <c r="W1438">
        <v>47.590530000000001</v>
      </c>
      <c r="X1438">
        <v>-23.617930000000001</v>
      </c>
    </row>
    <row r="1439" spans="1:24" x14ac:dyDescent="0.35">
      <c r="A1439" s="3" t="str">
        <f t="shared" si="22"/>
        <v>MG25214171001001MAM</v>
      </c>
      <c r="B1439" t="s">
        <v>6193</v>
      </c>
      <c r="C1439">
        <f>+VLOOKUP(Sites_per_tag[[#This Row],[Field_office]],Parameter!$A$3:$B$11,2,0)</f>
        <v>4</v>
      </c>
      <c r="E1439" t="s">
        <v>5658</v>
      </c>
      <c r="F1439" t="s">
        <v>5659</v>
      </c>
      <c r="H1439" t="str">
        <f ca="1">PROPER(Sites_per_tag[[#This Row],[Adm2Name]])</f>
        <v>Vangaindrano</v>
      </c>
      <c r="I1439" t="s">
        <v>5734</v>
      </c>
      <c r="K1439" t="s">
        <v>3924</v>
      </c>
      <c r="L1439" t="s">
        <v>6168</v>
      </c>
      <c r="N1439" t="s">
        <v>3924</v>
      </c>
      <c r="O1439" t="s">
        <v>5586</v>
      </c>
      <c r="Q1439" t="s">
        <v>3924</v>
      </c>
      <c r="R1439" t="s">
        <v>3925</v>
      </c>
      <c r="T1439" t="s">
        <v>5</v>
      </c>
      <c r="U1439" s="3" t="str">
        <f>+VLOOKUP(Sites_per_tag[[#This Row],[Activity_tag]],Parameter!$A$24:$B$32,2,0)</f>
        <v>MAM</v>
      </c>
      <c r="W1439">
        <v>47.499229999999997</v>
      </c>
      <c r="X1439">
        <v>-23.539919999999999</v>
      </c>
    </row>
    <row r="1440" spans="1:24" x14ac:dyDescent="0.35">
      <c r="A1440" s="3" t="str">
        <f t="shared" si="22"/>
        <v>MG25214171005001MAM</v>
      </c>
      <c r="B1440" t="s">
        <v>6193</v>
      </c>
      <c r="C1440">
        <f>+VLOOKUP(Sites_per_tag[[#This Row],[Field_office]],Parameter!$A$3:$B$11,2,0)</f>
        <v>4</v>
      </c>
      <c r="E1440" t="s">
        <v>5658</v>
      </c>
      <c r="F1440" t="s">
        <v>5659</v>
      </c>
      <c r="H1440" t="str">
        <f ca="1">PROPER(Sites_per_tag[[#This Row],[Adm2Name]])</f>
        <v>Farafangana</v>
      </c>
      <c r="I1440" t="s">
        <v>5694</v>
      </c>
      <c r="K1440" t="s">
        <v>6021</v>
      </c>
      <c r="L1440" t="s">
        <v>6022</v>
      </c>
      <c r="N1440" t="s">
        <v>5222</v>
      </c>
      <c r="O1440" t="s">
        <v>5221</v>
      </c>
      <c r="Q1440" t="s">
        <v>2845</v>
      </c>
      <c r="R1440" t="s">
        <v>2846</v>
      </c>
      <c r="T1440" t="s">
        <v>5</v>
      </c>
      <c r="U1440" s="3" t="str">
        <f>+VLOOKUP(Sites_per_tag[[#This Row],[Activity_tag]],Parameter!$A$24:$B$32,2,0)</f>
        <v>MAM</v>
      </c>
      <c r="W1440">
        <v>47.510930000000002</v>
      </c>
      <c r="X1440">
        <v>-23.54053</v>
      </c>
    </row>
    <row r="1441" spans="1:24" x14ac:dyDescent="0.35">
      <c r="A1441" s="3" t="str">
        <f t="shared" si="22"/>
        <v>MG25214171015001MAM</v>
      </c>
      <c r="B1441" t="s">
        <v>6193</v>
      </c>
      <c r="C1441">
        <f>+VLOOKUP(Sites_per_tag[[#This Row],[Field_office]],Parameter!$A$3:$B$11,2,0)</f>
        <v>4</v>
      </c>
      <c r="E1441" t="s">
        <v>5678</v>
      </c>
      <c r="F1441" t="s">
        <v>5679</v>
      </c>
      <c r="H1441" t="str">
        <f ca="1">PROPER(Sites_per_tag[[#This Row],[Adm2Name]])</f>
        <v>Ikongo</v>
      </c>
      <c r="I1441" t="s">
        <v>5699</v>
      </c>
      <c r="K1441" t="s">
        <v>5621</v>
      </c>
      <c r="L1441" t="s">
        <v>5973</v>
      </c>
      <c r="N1441" t="s">
        <v>5084</v>
      </c>
      <c r="O1441" t="s">
        <v>5083</v>
      </c>
      <c r="Q1441" t="s">
        <v>3355</v>
      </c>
      <c r="R1441" t="s">
        <v>3356</v>
      </c>
      <c r="T1441" t="s">
        <v>5</v>
      </c>
      <c r="U1441" s="3" t="str">
        <f>+VLOOKUP(Sites_per_tag[[#This Row],[Activity_tag]],Parameter!$A$24:$B$32,2,0)</f>
        <v>MAM</v>
      </c>
      <c r="W1441">
        <v>47.421384000000003</v>
      </c>
      <c r="X1441">
        <v>-21.883123999999999</v>
      </c>
    </row>
    <row r="1442" spans="1:24" x14ac:dyDescent="0.35">
      <c r="A1442" s="3" t="str">
        <f t="shared" si="22"/>
        <v>MG25214172006001MAM</v>
      </c>
      <c r="B1442" t="s">
        <v>6193</v>
      </c>
      <c r="C1442">
        <f>+VLOOKUP(Sites_per_tag[[#This Row],[Field_office]],Parameter!$A$3:$B$11,2,0)</f>
        <v>4</v>
      </c>
      <c r="E1442" t="s">
        <v>5658</v>
      </c>
      <c r="F1442" t="s">
        <v>5659</v>
      </c>
      <c r="H1442" t="str">
        <f ca="1">PROPER(Sites_per_tag[[#This Row],[Adm2Name]])</f>
        <v>Farafangana</v>
      </c>
      <c r="I1442" t="s">
        <v>5694</v>
      </c>
      <c r="K1442" t="s">
        <v>5919</v>
      </c>
      <c r="L1442" t="s">
        <v>5920</v>
      </c>
      <c r="N1442" t="s">
        <v>2641</v>
      </c>
      <c r="O1442" t="s">
        <v>4871</v>
      </c>
      <c r="Q1442" t="s">
        <v>2641</v>
      </c>
      <c r="R1442" t="s">
        <v>2642</v>
      </c>
      <c r="T1442" t="s">
        <v>5</v>
      </c>
      <c r="U1442" s="3" t="str">
        <f>+VLOOKUP(Sites_per_tag[[#This Row],[Activity_tag]],Parameter!$A$24:$B$32,2,0)</f>
        <v>MAM</v>
      </c>
      <c r="W1442">
        <v>47.594710999999997</v>
      </c>
      <c r="X1442">
        <v>-22.697872</v>
      </c>
    </row>
    <row r="1443" spans="1:24" x14ac:dyDescent="0.35">
      <c r="A1443" s="3" t="str">
        <f t="shared" si="22"/>
        <v>MG25214190001001MAM</v>
      </c>
      <c r="B1443" t="s">
        <v>6193</v>
      </c>
      <c r="C1443">
        <f>+VLOOKUP(Sites_per_tag[[#This Row],[Field_office]],Parameter!$A$3:$B$11,2,0)</f>
        <v>4</v>
      </c>
      <c r="E1443" t="s">
        <v>5658</v>
      </c>
      <c r="F1443" t="s">
        <v>5659</v>
      </c>
      <c r="H1443" t="str">
        <f ca="1">PROPER(Sites_per_tag[[#This Row],[Adm2Name]])</f>
        <v>Vangaindrano</v>
      </c>
      <c r="I1443" t="s">
        <v>5734</v>
      </c>
      <c r="K1443" t="s">
        <v>3315</v>
      </c>
      <c r="L1443" t="s">
        <v>6086</v>
      </c>
      <c r="N1443" t="s">
        <v>3315</v>
      </c>
      <c r="O1443" t="s">
        <v>5397</v>
      </c>
      <c r="Q1443" t="s">
        <v>3315</v>
      </c>
      <c r="R1443" t="s">
        <v>3316</v>
      </c>
      <c r="T1443" t="s">
        <v>5</v>
      </c>
      <c r="U1443" s="3" t="str">
        <f>+VLOOKUP(Sites_per_tag[[#This Row],[Activity_tag]],Parameter!$A$24:$B$32,2,0)</f>
        <v>MAM</v>
      </c>
      <c r="W1443">
        <v>47.263599999999997</v>
      </c>
      <c r="X1443">
        <v>-23.417750000000002</v>
      </c>
    </row>
    <row r="1444" spans="1:24" x14ac:dyDescent="0.35">
      <c r="A1444" s="3" t="str">
        <f t="shared" si="22"/>
        <v>MG25214190002001MAM</v>
      </c>
      <c r="B1444" t="s">
        <v>6193</v>
      </c>
      <c r="C1444">
        <f>+VLOOKUP(Sites_per_tag[[#This Row],[Field_office]],Parameter!$A$3:$B$11,2,0)</f>
        <v>4</v>
      </c>
      <c r="E1444" t="s">
        <v>5658</v>
      </c>
      <c r="F1444" t="s">
        <v>5659</v>
      </c>
      <c r="H1444" t="str">
        <f ca="1">PROPER(Sites_per_tag[[#This Row],[Adm2Name]])</f>
        <v>Vangaindrano</v>
      </c>
      <c r="I1444" t="s">
        <v>5734</v>
      </c>
      <c r="K1444" t="s">
        <v>3315</v>
      </c>
      <c r="L1444" t="s">
        <v>6086</v>
      </c>
      <c r="N1444" t="s">
        <v>2668</v>
      </c>
      <c r="O1444" t="s">
        <v>5398</v>
      </c>
      <c r="Q1444" t="s">
        <v>2668</v>
      </c>
      <c r="R1444" t="s">
        <v>2669</v>
      </c>
      <c r="T1444" t="s">
        <v>5</v>
      </c>
      <c r="U1444" s="3" t="str">
        <f>+VLOOKUP(Sites_per_tag[[#This Row],[Activity_tag]],Parameter!$A$24:$B$32,2,0)</f>
        <v>MAM</v>
      </c>
      <c r="W1444">
        <v>47.332720000000002</v>
      </c>
      <c r="X1444">
        <v>-23.369969999999999</v>
      </c>
    </row>
    <row r="1445" spans="1:24" x14ac:dyDescent="0.35">
      <c r="A1445" s="3" t="str">
        <f t="shared" si="22"/>
        <v>MG25214190003001MAM</v>
      </c>
      <c r="B1445" t="s">
        <v>6211</v>
      </c>
      <c r="C1445">
        <f>+VLOOKUP(Sites_per_tag[[#This Row],[Field_office]],Parameter!$A$3:$B$11,2,0)</f>
        <v>6</v>
      </c>
      <c r="E1445" t="s">
        <v>5646</v>
      </c>
      <c r="F1445" t="s">
        <v>5647</v>
      </c>
      <c r="H1445" t="str">
        <f ca="1">PROPER(Sites_per_tag[[#This Row],[Adm2Name]])</f>
        <v>Ambovombe-Androy</v>
      </c>
      <c r="I1445" t="s">
        <v>5655</v>
      </c>
      <c r="K1445" t="s">
        <v>6211</v>
      </c>
      <c r="L1445" t="s">
        <v>5756</v>
      </c>
      <c r="N1445" t="s">
        <v>4436</v>
      </c>
      <c r="O1445" t="s">
        <v>4435</v>
      </c>
      <c r="Q1445" t="s">
        <v>2004</v>
      </c>
      <c r="R1445" t="s">
        <v>2005</v>
      </c>
      <c r="T1445" t="s">
        <v>5</v>
      </c>
      <c r="U1445" s="3" t="str">
        <f>+VLOOKUP(Sites_per_tag[[#This Row],[Activity_tag]],Parameter!$A$24:$B$32,2,0)</f>
        <v>MAM</v>
      </c>
      <c r="W1445">
        <v>46.108899999999998</v>
      </c>
      <c r="X1445">
        <v>-25.158819999999999</v>
      </c>
    </row>
    <row r="1446" spans="1:24" x14ac:dyDescent="0.35">
      <c r="A1446" s="3" t="str">
        <f t="shared" si="22"/>
        <v>MG25214190005001MAM</v>
      </c>
      <c r="B1446" t="s">
        <v>6193</v>
      </c>
      <c r="C1446">
        <f>+VLOOKUP(Sites_per_tag[[#This Row],[Field_office]],Parameter!$A$3:$B$11,2,0)</f>
        <v>4</v>
      </c>
      <c r="E1446" t="s">
        <v>5658</v>
      </c>
      <c r="F1446" t="s">
        <v>5659</v>
      </c>
      <c r="H1446" t="str">
        <f ca="1">PROPER(Sites_per_tag[[#This Row],[Adm2Name]])</f>
        <v>Vangaindrano</v>
      </c>
      <c r="I1446" t="s">
        <v>5734</v>
      </c>
      <c r="K1446" t="s">
        <v>3315</v>
      </c>
      <c r="L1446" t="s">
        <v>6086</v>
      </c>
      <c r="N1446" t="s">
        <v>3572</v>
      </c>
      <c r="O1446" t="s">
        <v>5399</v>
      </c>
      <c r="Q1446" t="s">
        <v>3572</v>
      </c>
      <c r="R1446" t="s">
        <v>3573</v>
      </c>
      <c r="T1446" t="s">
        <v>5</v>
      </c>
      <c r="U1446" s="3" t="str">
        <f>+VLOOKUP(Sites_per_tag[[#This Row],[Activity_tag]],Parameter!$A$24:$B$32,2,0)</f>
        <v>MAM</v>
      </c>
      <c r="W1446">
        <v>47.380949999999999</v>
      </c>
      <c r="X1446">
        <v>-23.4224</v>
      </c>
    </row>
    <row r="1447" spans="1:24" x14ac:dyDescent="0.35">
      <c r="A1447" s="3" t="str">
        <f t="shared" si="22"/>
        <v>MG25214190006001MAM</v>
      </c>
      <c r="B1447" t="s">
        <v>6193</v>
      </c>
      <c r="C1447">
        <f>+VLOOKUP(Sites_per_tag[[#This Row],[Field_office]],Parameter!$A$3:$B$11,2,0)</f>
        <v>4</v>
      </c>
      <c r="E1447" t="s">
        <v>5658</v>
      </c>
      <c r="F1447" t="s">
        <v>5659</v>
      </c>
      <c r="H1447" t="str">
        <f ca="1">PROPER(Sites_per_tag[[#This Row],[Adm2Name]])</f>
        <v>Vangaindrano</v>
      </c>
      <c r="I1447" t="s">
        <v>5734</v>
      </c>
      <c r="K1447" t="s">
        <v>3315</v>
      </c>
      <c r="L1447" t="s">
        <v>6086</v>
      </c>
      <c r="N1447" t="s">
        <v>3141</v>
      </c>
      <c r="O1447" t="s">
        <v>5400</v>
      </c>
      <c r="Q1447" t="s">
        <v>3141</v>
      </c>
      <c r="R1447" t="s">
        <v>3142</v>
      </c>
      <c r="T1447" t="s">
        <v>5</v>
      </c>
      <c r="U1447" s="3" t="str">
        <f>+VLOOKUP(Sites_per_tag[[#This Row],[Activity_tag]],Parameter!$A$24:$B$32,2,0)</f>
        <v>MAM</v>
      </c>
      <c r="W1447">
        <v>47.32705</v>
      </c>
      <c r="X1447">
        <v>-23.5151</v>
      </c>
    </row>
    <row r="1448" spans="1:24" x14ac:dyDescent="0.35">
      <c r="A1448" s="3" t="str">
        <f t="shared" si="22"/>
        <v>MG25214190008001MAM</v>
      </c>
      <c r="B1448" t="s">
        <v>6193</v>
      </c>
      <c r="C1448">
        <f>+VLOOKUP(Sites_per_tag[[#This Row],[Field_office]],Parameter!$A$3:$B$11,2,0)</f>
        <v>4</v>
      </c>
      <c r="E1448" t="s">
        <v>5658</v>
      </c>
      <c r="F1448" t="s">
        <v>5659</v>
      </c>
      <c r="H1448" t="str">
        <f ca="1">PROPER(Sites_per_tag[[#This Row],[Adm2Name]])</f>
        <v>Vangaindrano</v>
      </c>
      <c r="I1448" t="s">
        <v>5734</v>
      </c>
      <c r="K1448" t="s">
        <v>3315</v>
      </c>
      <c r="L1448" t="s">
        <v>6086</v>
      </c>
      <c r="N1448" t="s">
        <v>3952</v>
      </c>
      <c r="O1448" t="s">
        <v>5401</v>
      </c>
      <c r="Q1448" t="s">
        <v>3952</v>
      </c>
      <c r="R1448" t="s">
        <v>3953</v>
      </c>
      <c r="T1448" t="s">
        <v>5</v>
      </c>
      <c r="U1448" s="3" t="str">
        <f>+VLOOKUP(Sites_per_tag[[#This Row],[Activity_tag]],Parameter!$A$24:$B$32,2,0)</f>
        <v>MAM</v>
      </c>
      <c r="W1448">
        <v>47.384779999999999</v>
      </c>
      <c r="X1448">
        <v>-23.587949999999999</v>
      </c>
    </row>
    <row r="1449" spans="1:24" x14ac:dyDescent="0.35">
      <c r="A1449" s="3" t="str">
        <f t="shared" si="22"/>
        <v>MG25214211012001MAM</v>
      </c>
      <c r="B1449" t="s">
        <v>6193</v>
      </c>
      <c r="C1449">
        <f>+VLOOKUP(Sites_per_tag[[#This Row],[Field_office]],Parameter!$A$3:$B$11,2,0)</f>
        <v>4</v>
      </c>
      <c r="E1449" t="s">
        <v>5658</v>
      </c>
      <c r="F1449" t="s">
        <v>5659</v>
      </c>
      <c r="H1449" t="str">
        <f ca="1">PROPER(Sites_per_tag[[#This Row],[Adm2Name]])</f>
        <v>Vangaindrano</v>
      </c>
      <c r="I1449" t="s">
        <v>5734</v>
      </c>
      <c r="K1449" t="s">
        <v>436</v>
      </c>
      <c r="L1449" t="s">
        <v>5747</v>
      </c>
      <c r="N1449" t="s">
        <v>436</v>
      </c>
      <c r="O1449" t="s">
        <v>4381</v>
      </c>
      <c r="Q1449" t="s">
        <v>436</v>
      </c>
      <c r="R1449" t="s">
        <v>437</v>
      </c>
      <c r="T1449" t="s">
        <v>5</v>
      </c>
      <c r="U1449" s="3" t="str">
        <f>+VLOOKUP(Sites_per_tag[[#This Row],[Activity_tag]],Parameter!$A$24:$B$32,2,0)</f>
        <v>MAM</v>
      </c>
      <c r="W1449">
        <v>47.274630000000002</v>
      </c>
      <c r="X1449">
        <v>-23.47167</v>
      </c>
    </row>
    <row r="1450" spans="1:24" x14ac:dyDescent="0.35">
      <c r="A1450" s="3" t="str">
        <f t="shared" si="22"/>
        <v>MG25214230001001MAM</v>
      </c>
      <c r="B1450" t="s">
        <v>6193</v>
      </c>
      <c r="C1450">
        <f>+VLOOKUP(Sites_per_tag[[#This Row],[Field_office]],Parameter!$A$3:$B$11,2,0)</f>
        <v>4</v>
      </c>
      <c r="E1450" t="s">
        <v>5658</v>
      </c>
      <c r="F1450" t="s">
        <v>5659</v>
      </c>
      <c r="H1450" t="str">
        <f ca="1">PROPER(Sites_per_tag[[#This Row],[Adm2Name]])</f>
        <v>Vangaindrano</v>
      </c>
      <c r="I1450" t="s">
        <v>5734</v>
      </c>
      <c r="K1450" t="s">
        <v>2553</v>
      </c>
      <c r="L1450" t="s">
        <v>5969</v>
      </c>
      <c r="N1450" t="s">
        <v>2553</v>
      </c>
      <c r="O1450" t="s">
        <v>5046</v>
      </c>
      <c r="Q1450" t="s">
        <v>2553</v>
      </c>
      <c r="R1450" t="s">
        <v>2554</v>
      </c>
      <c r="T1450" t="s">
        <v>5</v>
      </c>
      <c r="U1450" s="3" t="str">
        <f>+VLOOKUP(Sites_per_tag[[#This Row],[Activity_tag]],Parameter!$A$24:$B$32,2,0)</f>
        <v>MAM</v>
      </c>
      <c r="W1450">
        <v>47.442450000000001</v>
      </c>
      <c r="X1450">
        <v>-23.083100000000002</v>
      </c>
    </row>
    <row r="1451" spans="1:24" x14ac:dyDescent="0.35">
      <c r="A1451" s="3" t="str">
        <f t="shared" si="22"/>
        <v>MG25214251001001MAM</v>
      </c>
      <c r="B1451" t="s">
        <v>6193</v>
      </c>
      <c r="C1451">
        <f>+VLOOKUP(Sites_per_tag[[#This Row],[Field_office]],Parameter!$A$3:$B$11,2,0)</f>
        <v>4</v>
      </c>
      <c r="E1451" t="s">
        <v>5658</v>
      </c>
      <c r="F1451" t="s">
        <v>5659</v>
      </c>
      <c r="H1451" t="str">
        <f ca="1">PROPER(Sites_per_tag[[#This Row],[Adm2Name]])</f>
        <v>Vangaindrano</v>
      </c>
      <c r="I1451" t="s">
        <v>5734</v>
      </c>
      <c r="K1451" t="s">
        <v>2175</v>
      </c>
      <c r="L1451" t="s">
        <v>5932</v>
      </c>
      <c r="N1451" t="s">
        <v>2175</v>
      </c>
      <c r="O1451" t="s">
        <v>4902</v>
      </c>
      <c r="Q1451" t="s">
        <v>2175</v>
      </c>
      <c r="R1451" t="s">
        <v>2176</v>
      </c>
      <c r="T1451" t="s">
        <v>5</v>
      </c>
      <c r="U1451" s="3" t="str">
        <f>+VLOOKUP(Sites_per_tag[[#This Row],[Activity_tag]],Parameter!$A$24:$B$32,2,0)</f>
        <v>MAM</v>
      </c>
      <c r="W1451">
        <v>47.273180000000004</v>
      </c>
      <c r="X1451">
        <v>-23.303070000000002</v>
      </c>
    </row>
    <row r="1452" spans="1:24" x14ac:dyDescent="0.35">
      <c r="A1452" s="3" t="str">
        <f t="shared" si="22"/>
        <v>MG25214252046001MAM</v>
      </c>
      <c r="B1452" t="s">
        <v>6193</v>
      </c>
      <c r="C1452">
        <f>+VLOOKUP(Sites_per_tag[[#This Row],[Field_office]],Parameter!$A$3:$B$11,2,0)</f>
        <v>4</v>
      </c>
      <c r="E1452" t="s">
        <v>5658</v>
      </c>
      <c r="F1452" t="s">
        <v>5659</v>
      </c>
      <c r="H1452" t="str">
        <f ca="1">PROPER(Sites_per_tag[[#This Row],[Adm2Name]])</f>
        <v>Vangaindrano</v>
      </c>
      <c r="I1452" t="s">
        <v>5734</v>
      </c>
      <c r="K1452" t="s">
        <v>5148</v>
      </c>
      <c r="L1452" t="s">
        <v>5993</v>
      </c>
      <c r="N1452" t="s">
        <v>5148</v>
      </c>
      <c r="O1452" t="s">
        <v>5149</v>
      </c>
      <c r="Q1452" t="s">
        <v>2636</v>
      </c>
      <c r="R1452" t="s">
        <v>2637</v>
      </c>
      <c r="T1452" t="s">
        <v>5</v>
      </c>
      <c r="U1452" s="3" t="str">
        <f>+VLOOKUP(Sites_per_tag[[#This Row],[Activity_tag]],Parameter!$A$24:$B$32,2,0)</f>
        <v>MAM</v>
      </c>
      <c r="W1452">
        <v>47.305219000000001</v>
      </c>
      <c r="X1452">
        <v>-23.211518000000002</v>
      </c>
    </row>
    <row r="1453" spans="1:24" x14ac:dyDescent="0.35">
      <c r="A1453" s="3" t="str">
        <f t="shared" si="22"/>
        <v>MG25214270087001MAM</v>
      </c>
      <c r="B1453" t="s">
        <v>6193</v>
      </c>
      <c r="C1453">
        <f>+VLOOKUP(Sites_per_tag[[#This Row],[Field_office]],Parameter!$A$3:$B$11,2,0)</f>
        <v>4</v>
      </c>
      <c r="E1453" t="s">
        <v>5658</v>
      </c>
      <c r="F1453" t="s">
        <v>5659</v>
      </c>
      <c r="H1453" t="str">
        <f ca="1">PROPER(Sites_per_tag[[#This Row],[Adm2Name]])</f>
        <v>Vangaindrano</v>
      </c>
      <c r="I1453" t="s">
        <v>5734</v>
      </c>
      <c r="K1453" t="s">
        <v>2843</v>
      </c>
      <c r="L1453" t="s">
        <v>6020</v>
      </c>
      <c r="N1453" t="s">
        <v>2843</v>
      </c>
      <c r="O1453" t="s">
        <v>5217</v>
      </c>
      <c r="Q1453" t="s">
        <v>2843</v>
      </c>
      <c r="R1453" t="s">
        <v>2844</v>
      </c>
      <c r="T1453" t="s">
        <v>5</v>
      </c>
      <c r="U1453" s="3" t="str">
        <f>+VLOOKUP(Sites_per_tag[[#This Row],[Activity_tag]],Parameter!$A$24:$B$32,2,0)</f>
        <v>MAM</v>
      </c>
      <c r="W1453">
        <v>47.54365</v>
      </c>
      <c r="X1453">
        <v>-23.798829999999999</v>
      </c>
    </row>
    <row r="1454" spans="1:24" x14ac:dyDescent="0.35">
      <c r="A1454" s="3" t="str">
        <f t="shared" si="22"/>
        <v>MG25214290004001MAM</v>
      </c>
      <c r="B1454" t="s">
        <v>6193</v>
      </c>
      <c r="C1454">
        <f>+VLOOKUP(Sites_per_tag[[#This Row],[Field_office]],Parameter!$A$3:$B$11,2,0)</f>
        <v>4</v>
      </c>
      <c r="E1454" t="s">
        <v>5658</v>
      </c>
      <c r="F1454" t="s">
        <v>5659</v>
      </c>
      <c r="H1454" t="str">
        <f ca="1">PROPER(Sites_per_tag[[#This Row],[Adm2Name]])</f>
        <v>Vangaindrano</v>
      </c>
      <c r="I1454" t="s">
        <v>5734</v>
      </c>
      <c r="K1454" t="s">
        <v>5836</v>
      </c>
      <c r="L1454" t="s">
        <v>5954</v>
      </c>
      <c r="N1454" t="s">
        <v>260</v>
      </c>
      <c r="O1454" t="s">
        <v>4984</v>
      </c>
      <c r="Q1454" t="s">
        <v>260</v>
      </c>
      <c r="R1454" t="s">
        <v>261</v>
      </c>
      <c r="T1454" t="s">
        <v>5</v>
      </c>
      <c r="U1454" s="3" t="str">
        <f>+VLOOKUP(Sites_per_tag[[#This Row],[Activity_tag]],Parameter!$A$24:$B$32,2,0)</f>
        <v>MAM</v>
      </c>
      <c r="W1454">
        <v>47.54813</v>
      </c>
      <c r="X1454">
        <v>-23.829429999999999</v>
      </c>
    </row>
    <row r="1455" spans="1:24" x14ac:dyDescent="0.35">
      <c r="A1455" s="3" t="str">
        <f t="shared" si="22"/>
        <v>MG25214290006001MAM</v>
      </c>
      <c r="B1455" t="s">
        <v>6193</v>
      </c>
      <c r="C1455">
        <f>+VLOOKUP(Sites_per_tag[[#This Row],[Field_office]],Parameter!$A$3:$B$11,2,0)</f>
        <v>4</v>
      </c>
      <c r="E1455" t="s">
        <v>5658</v>
      </c>
      <c r="F1455" t="s">
        <v>5659</v>
      </c>
      <c r="H1455" t="str">
        <f ca="1">PROPER(Sites_per_tag[[#This Row],[Adm2Name]])</f>
        <v>Vangaindrano</v>
      </c>
      <c r="I1455" t="s">
        <v>5734</v>
      </c>
      <c r="K1455" t="s">
        <v>5836</v>
      </c>
      <c r="L1455" t="s">
        <v>5954</v>
      </c>
      <c r="N1455" t="s">
        <v>3522</v>
      </c>
      <c r="O1455" t="s">
        <v>4985</v>
      </c>
      <c r="Q1455" t="s">
        <v>3522</v>
      </c>
      <c r="R1455" t="s">
        <v>3523</v>
      </c>
      <c r="T1455" t="s">
        <v>5</v>
      </c>
      <c r="U1455" s="3" t="str">
        <f>+VLOOKUP(Sites_per_tag[[#This Row],[Activity_tag]],Parameter!$A$24:$B$32,2,0)</f>
        <v>MAM</v>
      </c>
      <c r="W1455">
        <v>47.519649999999999</v>
      </c>
      <c r="X1455">
        <v>-23.912949999999999</v>
      </c>
    </row>
    <row r="1456" spans="1:24" x14ac:dyDescent="0.35">
      <c r="A1456" s="3" t="str">
        <f t="shared" si="22"/>
        <v>MG25214312004001MAM</v>
      </c>
      <c r="B1456" t="s">
        <v>6193</v>
      </c>
      <c r="C1456">
        <f>+VLOOKUP(Sites_per_tag[[#This Row],[Field_office]],Parameter!$A$3:$B$11,2,0)</f>
        <v>4</v>
      </c>
      <c r="E1456" t="s">
        <v>5658</v>
      </c>
      <c r="F1456" t="s">
        <v>5659</v>
      </c>
      <c r="H1456" t="str">
        <f ca="1">PROPER(Sites_per_tag[[#This Row],[Adm2Name]])</f>
        <v>Vangaindrano</v>
      </c>
      <c r="I1456" t="s">
        <v>5734</v>
      </c>
      <c r="K1456" t="s">
        <v>3903</v>
      </c>
      <c r="L1456" t="s">
        <v>6163</v>
      </c>
      <c r="N1456" t="s">
        <v>3416</v>
      </c>
      <c r="O1456" t="s">
        <v>5574</v>
      </c>
      <c r="Q1456" t="s">
        <v>3416</v>
      </c>
      <c r="R1456" t="s">
        <v>3417</v>
      </c>
      <c r="T1456" t="s">
        <v>5</v>
      </c>
      <c r="U1456" s="3" t="str">
        <f>+VLOOKUP(Sites_per_tag[[#This Row],[Activity_tag]],Parameter!$A$24:$B$32,2,0)</f>
        <v>MAM</v>
      </c>
      <c r="W1456">
        <v>47.496299999999998</v>
      </c>
      <c r="X1456">
        <v>-23.71367</v>
      </c>
    </row>
    <row r="1457" spans="1:24" x14ac:dyDescent="0.35">
      <c r="A1457" s="3" t="str">
        <f t="shared" si="22"/>
        <v>MG25214312006001MAM</v>
      </c>
      <c r="B1457" t="s">
        <v>6193</v>
      </c>
      <c r="C1457">
        <f>+VLOOKUP(Sites_per_tag[[#This Row],[Field_office]],Parameter!$A$3:$B$11,2,0)</f>
        <v>4</v>
      </c>
      <c r="E1457" t="s">
        <v>5658</v>
      </c>
      <c r="F1457" t="s">
        <v>5659</v>
      </c>
      <c r="H1457" t="str">
        <f ca="1">PROPER(Sites_per_tag[[#This Row],[Adm2Name]])</f>
        <v>Vangaindrano</v>
      </c>
      <c r="I1457" t="s">
        <v>5734</v>
      </c>
      <c r="K1457" t="s">
        <v>3903</v>
      </c>
      <c r="L1457" t="s">
        <v>6163</v>
      </c>
      <c r="N1457" t="s">
        <v>3293</v>
      </c>
      <c r="O1457" t="s">
        <v>5575</v>
      </c>
      <c r="Q1457" t="s">
        <v>3293</v>
      </c>
      <c r="R1457" t="s">
        <v>3294</v>
      </c>
      <c r="T1457" t="s">
        <v>5</v>
      </c>
      <c r="U1457" s="3" t="str">
        <f>+VLOOKUP(Sites_per_tag[[#This Row],[Activity_tag]],Parameter!$A$24:$B$32,2,0)</f>
        <v>MAM</v>
      </c>
      <c r="W1457">
        <v>47.484769999999997</v>
      </c>
      <c r="X1457">
        <v>-23.764880000000002</v>
      </c>
    </row>
    <row r="1458" spans="1:24" x14ac:dyDescent="0.35">
      <c r="A1458" s="3" t="str">
        <f t="shared" si="22"/>
        <v>MG25214332003001MAM</v>
      </c>
      <c r="B1458" t="s">
        <v>6193</v>
      </c>
      <c r="C1458">
        <f>+VLOOKUP(Sites_per_tag[[#This Row],[Field_office]],Parameter!$A$3:$B$11,2,0)</f>
        <v>4</v>
      </c>
      <c r="E1458" t="s">
        <v>5658</v>
      </c>
      <c r="F1458" t="s">
        <v>5659</v>
      </c>
      <c r="H1458" t="str">
        <f ca="1">PROPER(Sites_per_tag[[#This Row],[Adm2Name]])</f>
        <v>Vangaindrano</v>
      </c>
      <c r="I1458" t="s">
        <v>5734</v>
      </c>
      <c r="K1458" t="s">
        <v>3411</v>
      </c>
      <c r="L1458" t="s">
        <v>6097</v>
      </c>
      <c r="N1458" t="s">
        <v>1743</v>
      </c>
      <c r="O1458" t="s">
        <v>5423</v>
      </c>
      <c r="Q1458" t="s">
        <v>1743</v>
      </c>
      <c r="R1458" t="s">
        <v>1744</v>
      </c>
      <c r="T1458" t="s">
        <v>5</v>
      </c>
      <c r="U1458" s="3" t="str">
        <f>+VLOOKUP(Sites_per_tag[[#This Row],[Activity_tag]],Parameter!$A$24:$B$32,2,0)</f>
        <v>MAM</v>
      </c>
      <c r="W1458">
        <v>47.409129999999998</v>
      </c>
      <c r="X1458">
        <v>-24.004380000000001</v>
      </c>
    </row>
    <row r="1459" spans="1:24" x14ac:dyDescent="0.35">
      <c r="A1459" s="3" t="str">
        <f t="shared" si="22"/>
        <v>MG25214332006001MAM</v>
      </c>
      <c r="B1459" t="s">
        <v>6193</v>
      </c>
      <c r="C1459">
        <f>+VLOOKUP(Sites_per_tag[[#This Row],[Field_office]],Parameter!$A$3:$B$11,2,0)</f>
        <v>4</v>
      </c>
      <c r="E1459" t="s">
        <v>5658</v>
      </c>
      <c r="F1459" t="s">
        <v>5659</v>
      </c>
      <c r="H1459" t="str">
        <f ca="1">PROPER(Sites_per_tag[[#This Row],[Adm2Name]])</f>
        <v>Farafangana</v>
      </c>
      <c r="I1459" t="s">
        <v>5694</v>
      </c>
      <c r="K1459" t="s">
        <v>2466</v>
      </c>
      <c r="L1459" t="s">
        <v>5956</v>
      </c>
      <c r="N1459" t="s">
        <v>2466</v>
      </c>
      <c r="O1459" t="s">
        <v>4987</v>
      </c>
      <c r="Q1459" t="s">
        <v>2474</v>
      </c>
      <c r="R1459" t="s">
        <v>2475</v>
      </c>
      <c r="T1459" t="s">
        <v>5</v>
      </c>
      <c r="U1459" s="3" t="str">
        <f>+VLOOKUP(Sites_per_tag[[#This Row],[Activity_tag]],Parameter!$A$24:$B$32,2,0)</f>
        <v>MAM</v>
      </c>
      <c r="W1459">
        <v>47.536436000000002</v>
      </c>
      <c r="X1459">
        <v>-23.082944000000001</v>
      </c>
    </row>
    <row r="1460" spans="1:24" x14ac:dyDescent="0.35">
      <c r="A1460" s="3" t="str">
        <f t="shared" si="22"/>
        <v>MG25214332007001MAM</v>
      </c>
      <c r="B1460" t="s">
        <v>6193</v>
      </c>
      <c r="C1460">
        <f>+VLOOKUP(Sites_per_tag[[#This Row],[Field_office]],Parameter!$A$3:$B$11,2,0)</f>
        <v>4</v>
      </c>
      <c r="E1460" t="s">
        <v>5658</v>
      </c>
      <c r="F1460" t="s">
        <v>5659</v>
      </c>
      <c r="H1460" t="str">
        <f ca="1">PROPER(Sites_per_tag[[#This Row],[Adm2Name]])</f>
        <v>Vangaindrano</v>
      </c>
      <c r="I1460" t="s">
        <v>5734</v>
      </c>
      <c r="K1460" t="s">
        <v>3411</v>
      </c>
      <c r="L1460" t="s">
        <v>6097</v>
      </c>
      <c r="N1460" t="s">
        <v>3411</v>
      </c>
      <c r="O1460" t="s">
        <v>5424</v>
      </c>
      <c r="Q1460" t="s">
        <v>3411</v>
      </c>
      <c r="R1460" t="s">
        <v>3412</v>
      </c>
      <c r="T1460" t="s">
        <v>5</v>
      </c>
      <c r="U1460" s="3" t="str">
        <f>+VLOOKUP(Sites_per_tag[[#This Row],[Activity_tag]],Parameter!$A$24:$B$32,2,0)</f>
        <v>MAM</v>
      </c>
      <c r="W1460">
        <v>47.439300000000003</v>
      </c>
      <c r="X1460">
        <v>-24.044329999999999</v>
      </c>
    </row>
    <row r="1461" spans="1:24" x14ac:dyDescent="0.35">
      <c r="A1461" s="3" t="str">
        <f t="shared" si="22"/>
        <v>MG25214332034001MAM</v>
      </c>
      <c r="B1461" t="s">
        <v>6193</v>
      </c>
      <c r="C1461">
        <f>+VLOOKUP(Sites_per_tag[[#This Row],[Field_office]],Parameter!$A$3:$B$11,2,0)</f>
        <v>4</v>
      </c>
      <c r="E1461" t="s">
        <v>5658</v>
      </c>
      <c r="F1461" t="s">
        <v>5659</v>
      </c>
      <c r="H1461" t="str">
        <f ca="1">PROPER(Sites_per_tag[[#This Row],[Adm2Name]])</f>
        <v>Farafangana</v>
      </c>
      <c r="I1461" t="s">
        <v>5694</v>
      </c>
      <c r="K1461" t="s">
        <v>2466</v>
      </c>
      <c r="L1461" t="s">
        <v>5956</v>
      </c>
      <c r="N1461" t="s">
        <v>2699</v>
      </c>
      <c r="O1461" t="s">
        <v>4988</v>
      </c>
      <c r="Q1461" t="s">
        <v>2699</v>
      </c>
      <c r="R1461" t="s">
        <v>2700</v>
      </c>
      <c r="T1461" t="s">
        <v>5</v>
      </c>
      <c r="U1461" s="3" t="str">
        <f>+VLOOKUP(Sites_per_tag[[#This Row],[Activity_tag]],Parameter!$A$24:$B$32,2,0)</f>
        <v>MAM</v>
      </c>
      <c r="W1461">
        <v>47.530569999999997</v>
      </c>
      <c r="X1461">
        <v>-23.11908</v>
      </c>
    </row>
    <row r="1462" spans="1:24" x14ac:dyDescent="0.35">
      <c r="A1462" s="3" t="str">
        <f t="shared" si="22"/>
        <v>MG25215011001001MAM</v>
      </c>
      <c r="B1462" t="s">
        <v>6193</v>
      </c>
      <c r="C1462">
        <f>+VLOOKUP(Sites_per_tag[[#This Row],[Field_office]],Parameter!$A$3:$B$11,2,0)</f>
        <v>4</v>
      </c>
      <c r="E1462" t="s">
        <v>5658</v>
      </c>
      <c r="F1462" t="s">
        <v>5659</v>
      </c>
      <c r="H1462" t="str">
        <f ca="1">PROPER(Sites_per_tag[[#This Row],[Adm2Name]])</f>
        <v>Midongy-Atsimo</v>
      </c>
      <c r="I1462" t="s">
        <v>5712</v>
      </c>
      <c r="K1462" t="s">
        <v>6065</v>
      </c>
      <c r="L1462" t="s">
        <v>6066</v>
      </c>
      <c r="N1462" t="s">
        <v>3291</v>
      </c>
      <c r="O1462" t="s">
        <v>5366</v>
      </c>
      <c r="Q1462" t="s">
        <v>3291</v>
      </c>
      <c r="R1462" t="s">
        <v>3292</v>
      </c>
      <c r="T1462" t="s">
        <v>5</v>
      </c>
      <c r="U1462" s="3" t="str">
        <f>+VLOOKUP(Sites_per_tag[[#This Row],[Activity_tag]],Parameter!$A$24:$B$32,2,0)</f>
        <v>MAM</v>
      </c>
      <c r="W1462">
        <v>47.012799999999999</v>
      </c>
      <c r="X1462">
        <v>-23.59535</v>
      </c>
    </row>
    <row r="1463" spans="1:24" x14ac:dyDescent="0.35">
      <c r="A1463" s="3" t="str">
        <f t="shared" si="22"/>
        <v>MG25215011002001MAM</v>
      </c>
      <c r="B1463" t="s">
        <v>6193</v>
      </c>
      <c r="C1463">
        <f>+VLOOKUP(Sites_per_tag[[#This Row],[Field_office]],Parameter!$A$3:$B$11,2,0)</f>
        <v>4</v>
      </c>
      <c r="E1463" t="s">
        <v>5658</v>
      </c>
      <c r="F1463" t="s">
        <v>5659</v>
      </c>
      <c r="H1463" t="str">
        <f ca="1">PROPER(Sites_per_tag[[#This Row],[Adm2Name]])</f>
        <v>Midongy-Atsimo</v>
      </c>
      <c r="I1463" t="s">
        <v>5712</v>
      </c>
      <c r="K1463" t="s">
        <v>6065</v>
      </c>
      <c r="L1463" t="s">
        <v>6066</v>
      </c>
      <c r="N1463" t="s">
        <v>1857</v>
      </c>
      <c r="O1463" t="s">
        <v>5367</v>
      </c>
      <c r="Q1463" t="s">
        <v>1857</v>
      </c>
      <c r="R1463" t="s">
        <v>1858</v>
      </c>
      <c r="T1463" t="s">
        <v>5</v>
      </c>
      <c r="U1463" s="3" t="str">
        <f>+VLOOKUP(Sites_per_tag[[#This Row],[Activity_tag]],Parameter!$A$24:$B$32,2,0)</f>
        <v>MAM</v>
      </c>
      <c r="W1463">
        <v>47.056469999999997</v>
      </c>
      <c r="X1463">
        <v>-23.532119999999999</v>
      </c>
    </row>
    <row r="1464" spans="1:24" x14ac:dyDescent="0.35">
      <c r="A1464" s="3" t="str">
        <f t="shared" si="22"/>
        <v>MG25215011003001MAM</v>
      </c>
      <c r="B1464" t="s">
        <v>6193</v>
      </c>
      <c r="C1464">
        <f>+VLOOKUP(Sites_per_tag[[#This Row],[Field_office]],Parameter!$A$3:$B$11,2,0)</f>
        <v>4</v>
      </c>
      <c r="E1464" t="s">
        <v>5678</v>
      </c>
      <c r="F1464" t="s">
        <v>5679</v>
      </c>
      <c r="H1464" t="str">
        <f ca="1">PROPER(Sites_per_tag[[#This Row],[Adm2Name]])</f>
        <v>Ikongo</v>
      </c>
      <c r="I1464" t="s">
        <v>5699</v>
      </c>
      <c r="K1464" t="s">
        <v>6118</v>
      </c>
      <c r="L1464" t="s">
        <v>6119</v>
      </c>
      <c r="N1464" t="s">
        <v>5467</v>
      </c>
      <c r="O1464" t="s">
        <v>5466</v>
      </c>
      <c r="Q1464" t="s">
        <v>3270</v>
      </c>
      <c r="R1464" t="s">
        <v>3271</v>
      </c>
      <c r="T1464" t="s">
        <v>5</v>
      </c>
      <c r="U1464" s="3" t="str">
        <f>+VLOOKUP(Sites_per_tag[[#This Row],[Activity_tag]],Parameter!$A$24:$B$32,2,0)</f>
        <v>MAM</v>
      </c>
      <c r="W1464">
        <v>47.515560000000001</v>
      </c>
      <c r="X1464">
        <v>-22.059816999999999</v>
      </c>
    </row>
    <row r="1465" spans="1:24" x14ac:dyDescent="0.35">
      <c r="A1465" s="3" t="str">
        <f t="shared" si="22"/>
        <v>MG25215011010001MAM</v>
      </c>
      <c r="B1465" t="s">
        <v>6193</v>
      </c>
      <c r="C1465">
        <f>+VLOOKUP(Sites_per_tag[[#This Row],[Field_office]],Parameter!$A$3:$B$11,2,0)</f>
        <v>4</v>
      </c>
      <c r="E1465" t="s">
        <v>5658</v>
      </c>
      <c r="F1465" t="s">
        <v>5659</v>
      </c>
      <c r="H1465" t="str">
        <f ca="1">PROPER(Sites_per_tag[[#This Row],[Adm2Name]])</f>
        <v>Midongy-Atsimo</v>
      </c>
      <c r="I1465" t="s">
        <v>5712</v>
      </c>
      <c r="K1465" t="s">
        <v>1198</v>
      </c>
      <c r="L1465" t="s">
        <v>5837</v>
      </c>
      <c r="N1465" t="s">
        <v>3909</v>
      </c>
      <c r="O1465" t="s">
        <v>4646</v>
      </c>
      <c r="Q1465" t="s">
        <v>3909</v>
      </c>
      <c r="R1465" t="s">
        <v>3910</v>
      </c>
      <c r="T1465" t="s">
        <v>5</v>
      </c>
      <c r="U1465" s="3" t="str">
        <f>+VLOOKUP(Sites_per_tag[[#This Row],[Activity_tag]],Parameter!$A$24:$B$32,2,0)</f>
        <v>MAM</v>
      </c>
      <c r="W1465">
        <v>47.007629999999999</v>
      </c>
      <c r="X1465">
        <v>-23.631969999999999</v>
      </c>
    </row>
    <row r="1466" spans="1:24" x14ac:dyDescent="0.35">
      <c r="A1466" s="3" t="str">
        <f t="shared" si="22"/>
        <v>MG25215012001001MAM</v>
      </c>
      <c r="B1466" t="s">
        <v>6193</v>
      </c>
      <c r="C1466">
        <f>+VLOOKUP(Sites_per_tag[[#This Row],[Field_office]],Parameter!$A$3:$B$11,2,0)</f>
        <v>4</v>
      </c>
      <c r="E1466" t="s">
        <v>5658</v>
      </c>
      <c r="F1466" t="s">
        <v>5659</v>
      </c>
      <c r="H1466" t="str">
        <f ca="1">PROPER(Sites_per_tag[[#This Row],[Adm2Name]])</f>
        <v>Midongy-Atsimo</v>
      </c>
      <c r="I1466" t="s">
        <v>5712</v>
      </c>
      <c r="K1466" t="s">
        <v>1198</v>
      </c>
      <c r="L1466" t="s">
        <v>5837</v>
      </c>
      <c r="N1466" t="s">
        <v>1198</v>
      </c>
      <c r="O1466" t="s">
        <v>4647</v>
      </c>
      <c r="Q1466" t="s">
        <v>1198</v>
      </c>
      <c r="R1466" t="s">
        <v>1199</v>
      </c>
      <c r="T1466" t="s">
        <v>5</v>
      </c>
      <c r="U1466" s="3" t="str">
        <f>+VLOOKUP(Sites_per_tag[[#This Row],[Activity_tag]],Parameter!$A$24:$B$32,2,0)</f>
        <v>MAM</v>
      </c>
      <c r="W1466">
        <v>47.012770000000003</v>
      </c>
      <c r="X1466">
        <v>-23.650130000000001</v>
      </c>
    </row>
    <row r="1467" spans="1:24" x14ac:dyDescent="0.35">
      <c r="A1467" s="3" t="str">
        <f t="shared" si="22"/>
        <v>MG25215012004001MAM</v>
      </c>
      <c r="B1467" t="s">
        <v>6211</v>
      </c>
      <c r="C1467">
        <f>+VLOOKUP(Sites_per_tag[[#This Row],[Field_office]],Parameter!$A$3:$B$11,2,0)</f>
        <v>6</v>
      </c>
      <c r="E1467" t="s">
        <v>5646</v>
      </c>
      <c r="F1467" t="s">
        <v>5647</v>
      </c>
      <c r="H1467" t="str">
        <f ca="1">PROPER(Sites_per_tag[[#This Row],[Adm2Name]])</f>
        <v>Ambovombe-Androy</v>
      </c>
      <c r="I1467" t="s">
        <v>5655</v>
      </c>
      <c r="K1467" t="s">
        <v>5682</v>
      </c>
      <c r="L1467" t="s">
        <v>6099</v>
      </c>
      <c r="N1467" t="s">
        <v>1182</v>
      </c>
      <c r="O1467" t="s">
        <v>5425</v>
      </c>
      <c r="Q1467" t="s">
        <v>1182</v>
      </c>
      <c r="R1467" t="s">
        <v>1183</v>
      </c>
      <c r="T1467" t="s">
        <v>5</v>
      </c>
      <c r="U1467" s="3" t="str">
        <f>+VLOOKUP(Sites_per_tag[[#This Row],[Activity_tag]],Parameter!$A$24:$B$32,2,0)</f>
        <v>MAM</v>
      </c>
      <c r="W1467">
        <v>45.717849000000001</v>
      </c>
      <c r="X1467">
        <v>-25.187944000000002</v>
      </c>
    </row>
    <row r="1468" spans="1:24" x14ac:dyDescent="0.35">
      <c r="A1468" s="3" t="str">
        <f t="shared" si="22"/>
        <v>MG25215012006001MAM</v>
      </c>
      <c r="B1468" t="s">
        <v>6193</v>
      </c>
      <c r="C1468">
        <f>+VLOOKUP(Sites_per_tag[[#This Row],[Field_office]],Parameter!$A$3:$B$11,2,0)</f>
        <v>4</v>
      </c>
      <c r="E1468" t="s">
        <v>5658</v>
      </c>
      <c r="F1468" t="s">
        <v>5659</v>
      </c>
      <c r="H1468" t="str">
        <f ca="1">PROPER(Sites_per_tag[[#This Row],[Adm2Name]])</f>
        <v>Midongy-Atsimo</v>
      </c>
      <c r="I1468" t="s">
        <v>5712</v>
      </c>
      <c r="K1468" t="s">
        <v>1198</v>
      </c>
      <c r="L1468" t="s">
        <v>5837</v>
      </c>
      <c r="N1468" t="s">
        <v>3654</v>
      </c>
      <c r="O1468" t="s">
        <v>4648</v>
      </c>
      <c r="Q1468" t="s">
        <v>3654</v>
      </c>
      <c r="R1468" t="s">
        <v>3655</v>
      </c>
      <c r="T1468" t="s">
        <v>5</v>
      </c>
      <c r="U1468" s="3" t="str">
        <f>+VLOOKUP(Sites_per_tag[[#This Row],[Activity_tag]],Parameter!$A$24:$B$32,2,0)</f>
        <v>MAM</v>
      </c>
      <c r="W1468">
        <v>47.010680000000001</v>
      </c>
      <c r="X1468">
        <v>-23.673829999999999</v>
      </c>
    </row>
    <row r="1469" spans="1:24" x14ac:dyDescent="0.35">
      <c r="A1469" s="3" t="str">
        <f t="shared" si="22"/>
        <v>MG25215031001001MAM</v>
      </c>
      <c r="B1469" t="s">
        <v>6193</v>
      </c>
      <c r="C1469">
        <f>+VLOOKUP(Sites_per_tag[[#This Row],[Field_office]],Parameter!$A$3:$B$11,2,0)</f>
        <v>4</v>
      </c>
      <c r="E1469" t="s">
        <v>5658</v>
      </c>
      <c r="F1469" t="s">
        <v>5659</v>
      </c>
      <c r="H1469" t="str">
        <f ca="1">PROPER(Sites_per_tag[[#This Row],[Adm2Name]])</f>
        <v>Midongy-Atsimo</v>
      </c>
      <c r="I1469" t="s">
        <v>5712</v>
      </c>
      <c r="K1469" t="s">
        <v>837</v>
      </c>
      <c r="L1469" t="s">
        <v>5804</v>
      </c>
      <c r="N1469" t="s">
        <v>837</v>
      </c>
      <c r="O1469" t="s">
        <v>4562</v>
      </c>
      <c r="Q1469" t="s">
        <v>837</v>
      </c>
      <c r="R1469" t="s">
        <v>838</v>
      </c>
      <c r="T1469" t="s">
        <v>5</v>
      </c>
      <c r="U1469" s="3" t="str">
        <f>+VLOOKUP(Sites_per_tag[[#This Row],[Activity_tag]],Parameter!$A$24:$B$32,2,0)</f>
        <v>MAM</v>
      </c>
      <c r="W1469">
        <v>46.999569999999999</v>
      </c>
      <c r="X1469">
        <v>-23.49532</v>
      </c>
    </row>
    <row r="1470" spans="1:24" x14ac:dyDescent="0.35">
      <c r="A1470" s="3" t="str">
        <f t="shared" si="22"/>
        <v>MG25215031003001MAM</v>
      </c>
      <c r="B1470" t="s">
        <v>6193</v>
      </c>
      <c r="C1470">
        <f>+VLOOKUP(Sites_per_tag[[#This Row],[Field_office]],Parameter!$A$3:$B$11,2,0)</f>
        <v>4</v>
      </c>
      <c r="E1470" t="s">
        <v>5658</v>
      </c>
      <c r="F1470" t="s">
        <v>5659</v>
      </c>
      <c r="H1470" t="str">
        <f ca="1">PROPER(Sites_per_tag[[#This Row],[Adm2Name]])</f>
        <v>Midongy-Atsimo</v>
      </c>
      <c r="I1470" t="s">
        <v>5712</v>
      </c>
      <c r="K1470" t="s">
        <v>837</v>
      </c>
      <c r="L1470" t="s">
        <v>5804</v>
      </c>
      <c r="N1470" t="s">
        <v>554</v>
      </c>
      <c r="O1470" t="s">
        <v>4563</v>
      </c>
      <c r="Q1470" t="s">
        <v>554</v>
      </c>
      <c r="R1470" t="s">
        <v>555</v>
      </c>
      <c r="T1470" t="s">
        <v>5</v>
      </c>
      <c r="U1470" s="3" t="str">
        <f>+VLOOKUP(Sites_per_tag[[#This Row],[Activity_tag]],Parameter!$A$24:$B$32,2,0)</f>
        <v>MAM</v>
      </c>
      <c r="W1470">
        <v>46.96358</v>
      </c>
      <c r="X1470">
        <v>-23.411919999999999</v>
      </c>
    </row>
    <row r="1471" spans="1:24" x14ac:dyDescent="0.35">
      <c r="A1471" s="3" t="str">
        <f t="shared" si="22"/>
        <v>MG25215031004001MAM</v>
      </c>
      <c r="B1471" t="s">
        <v>6210</v>
      </c>
      <c r="C1471">
        <f>+VLOOKUP(Sites_per_tag[[#This Row],[Field_office]],Parameter!$A$3:$B$11,2,0)</f>
        <v>10</v>
      </c>
      <c r="E1471" t="s">
        <v>5650</v>
      </c>
      <c r="F1471" t="s">
        <v>5654</v>
      </c>
      <c r="H1471" t="str">
        <f ca="1">PROPER(Sites_per_tag[[#This Row],[Adm2Name]])</f>
        <v>Betioky Atsimo</v>
      </c>
      <c r="I1471" t="s">
        <v>5688</v>
      </c>
      <c r="K1471" t="s">
        <v>5772</v>
      </c>
      <c r="L1471" t="s">
        <v>5835</v>
      </c>
      <c r="N1471" t="s">
        <v>157</v>
      </c>
      <c r="O1471" t="s">
        <v>4636</v>
      </c>
      <c r="Q1471" t="s">
        <v>157</v>
      </c>
      <c r="R1471" t="s">
        <v>158</v>
      </c>
      <c r="T1471" t="s">
        <v>5</v>
      </c>
      <c r="U1471" s="3" t="str">
        <f>+VLOOKUP(Sites_per_tag[[#This Row],[Activity_tag]],Parameter!$A$24:$B$32,2,0)</f>
        <v>MAM</v>
      </c>
      <c r="W1471">
        <v>44.606223999999997</v>
      </c>
      <c r="X1471">
        <v>-23.659813</v>
      </c>
    </row>
    <row r="1472" spans="1:24" x14ac:dyDescent="0.35">
      <c r="A1472" s="3" t="str">
        <f t="shared" si="22"/>
        <v>MG25215032078001MAM</v>
      </c>
      <c r="B1472" t="s">
        <v>6193</v>
      </c>
      <c r="C1472">
        <f>+VLOOKUP(Sites_per_tag[[#This Row],[Field_office]],Parameter!$A$3:$B$11,2,0)</f>
        <v>4</v>
      </c>
      <c r="E1472" t="s">
        <v>5658</v>
      </c>
      <c r="F1472" t="s">
        <v>5659</v>
      </c>
      <c r="H1472" t="str">
        <f ca="1">PROPER(Sites_per_tag[[#This Row],[Adm2Name]])</f>
        <v>Midongy-Atsimo</v>
      </c>
      <c r="I1472" t="s">
        <v>5712</v>
      </c>
      <c r="K1472" t="s">
        <v>6013</v>
      </c>
      <c r="L1472" t="s">
        <v>6014</v>
      </c>
      <c r="N1472" t="s">
        <v>4006</v>
      </c>
      <c r="O1472" t="s">
        <v>5198</v>
      </c>
      <c r="Q1472" t="s">
        <v>4006</v>
      </c>
      <c r="R1472" t="s">
        <v>4007</v>
      </c>
      <c r="T1472" t="s">
        <v>5</v>
      </c>
      <c r="U1472" s="3" t="str">
        <f>+VLOOKUP(Sites_per_tag[[#This Row],[Activity_tag]],Parameter!$A$24:$B$32,2,0)</f>
        <v>MAM</v>
      </c>
      <c r="W1472">
        <v>47.04468</v>
      </c>
      <c r="X1472">
        <v>-23.309920000000002</v>
      </c>
    </row>
    <row r="1473" spans="1:24" x14ac:dyDescent="0.35">
      <c r="A1473" s="3" t="str">
        <f t="shared" si="22"/>
        <v>MG25215051001001MAM</v>
      </c>
      <c r="B1473" t="s">
        <v>6193</v>
      </c>
      <c r="C1473">
        <f>+VLOOKUP(Sites_per_tag[[#This Row],[Field_office]],Parameter!$A$3:$B$11,2,0)</f>
        <v>4</v>
      </c>
      <c r="E1473" t="s">
        <v>5658</v>
      </c>
      <c r="F1473" t="s">
        <v>5659</v>
      </c>
      <c r="H1473" t="str">
        <f ca="1">PROPER(Sites_per_tag[[#This Row],[Adm2Name]])</f>
        <v>Midongy-Atsimo</v>
      </c>
      <c r="I1473" t="s">
        <v>5712</v>
      </c>
      <c r="K1473" t="s">
        <v>5987</v>
      </c>
      <c r="L1473" t="s">
        <v>5988</v>
      </c>
      <c r="N1473" t="s">
        <v>2691</v>
      </c>
      <c r="O1473" t="s">
        <v>5134</v>
      </c>
      <c r="Q1473" t="s">
        <v>2691</v>
      </c>
      <c r="R1473" t="s">
        <v>2692</v>
      </c>
      <c r="T1473" t="s">
        <v>5</v>
      </c>
      <c r="U1473" s="3" t="str">
        <f>+VLOOKUP(Sites_per_tag[[#This Row],[Activity_tag]],Parameter!$A$24:$B$32,2,0)</f>
        <v>MAM</v>
      </c>
      <c r="W1473">
        <v>46.99682</v>
      </c>
      <c r="X1473">
        <v>-23.6645</v>
      </c>
    </row>
    <row r="1474" spans="1:24" x14ac:dyDescent="0.35">
      <c r="A1474" s="3" t="str">
        <f t="shared" si="22"/>
        <v>MG25215051056001MAM</v>
      </c>
      <c r="B1474" t="s">
        <v>6193</v>
      </c>
      <c r="C1474">
        <f>+VLOOKUP(Sites_per_tag[[#This Row],[Field_office]],Parameter!$A$3:$B$11,2,0)</f>
        <v>4</v>
      </c>
      <c r="E1474" t="s">
        <v>5658</v>
      </c>
      <c r="F1474" t="s">
        <v>5659</v>
      </c>
      <c r="H1474" t="str">
        <f ca="1">PROPER(Sites_per_tag[[#This Row],[Adm2Name]])</f>
        <v>Midongy-Atsimo</v>
      </c>
      <c r="I1474" t="s">
        <v>5712</v>
      </c>
      <c r="K1474" t="s">
        <v>5987</v>
      </c>
      <c r="L1474" t="s">
        <v>5988</v>
      </c>
      <c r="N1474" t="s">
        <v>3120</v>
      </c>
      <c r="O1474" t="s">
        <v>5135</v>
      </c>
      <c r="Q1474" t="s">
        <v>3122</v>
      </c>
      <c r="R1474" t="s">
        <v>3123</v>
      </c>
      <c r="T1474" t="s">
        <v>5</v>
      </c>
      <c r="U1474" s="3" t="str">
        <f>+VLOOKUP(Sites_per_tag[[#This Row],[Activity_tag]],Parameter!$A$24:$B$32,2,0)</f>
        <v>MAM</v>
      </c>
      <c r="W1474">
        <v>47.108379999999997</v>
      </c>
      <c r="X1474">
        <v>-23.246269999999999</v>
      </c>
    </row>
    <row r="1475" spans="1:24" x14ac:dyDescent="0.35">
      <c r="A1475" s="3" t="str">
        <f t="shared" ref="A1475:A1538" si="23">+R1475&amp;U1475</f>
        <v>MG25215052001001MAM</v>
      </c>
      <c r="B1475" t="s">
        <v>6193</v>
      </c>
      <c r="C1475">
        <f>+VLOOKUP(Sites_per_tag[[#This Row],[Field_office]],Parameter!$A$3:$B$11,2,0)</f>
        <v>4</v>
      </c>
      <c r="E1475" t="s">
        <v>5658</v>
      </c>
      <c r="F1475" t="s">
        <v>5659</v>
      </c>
      <c r="H1475" t="str">
        <f ca="1">PROPER(Sites_per_tag[[#This Row],[Adm2Name]])</f>
        <v>Midongy-Atsimo</v>
      </c>
      <c r="I1475" t="s">
        <v>5712</v>
      </c>
      <c r="K1475" t="s">
        <v>3479</v>
      </c>
      <c r="L1475" t="s">
        <v>6102</v>
      </c>
      <c r="N1475" t="s">
        <v>3479</v>
      </c>
      <c r="O1475" t="s">
        <v>5450</v>
      </c>
      <c r="Q1475" t="s">
        <v>3479</v>
      </c>
      <c r="R1475" t="s">
        <v>3480</v>
      </c>
      <c r="T1475" t="s">
        <v>5</v>
      </c>
      <c r="U1475" s="3" t="str">
        <f>+VLOOKUP(Sites_per_tag[[#This Row],[Activity_tag]],Parameter!$A$24:$B$32,2,0)</f>
        <v>MAM</v>
      </c>
      <c r="W1475">
        <v>46.961680000000001</v>
      </c>
      <c r="X1475">
        <v>-22.925319999999999</v>
      </c>
    </row>
    <row r="1476" spans="1:24" x14ac:dyDescent="0.35">
      <c r="A1476" s="3" t="str">
        <f t="shared" si="23"/>
        <v>MG25215052022001MAM</v>
      </c>
      <c r="B1476" t="s">
        <v>6193</v>
      </c>
      <c r="C1476">
        <f>+VLOOKUP(Sites_per_tag[[#This Row],[Field_office]],Parameter!$A$3:$B$11,2,0)</f>
        <v>4</v>
      </c>
      <c r="E1476" t="s">
        <v>5658</v>
      </c>
      <c r="F1476" t="s">
        <v>5659</v>
      </c>
      <c r="H1476" t="str">
        <f ca="1">PROPER(Sites_per_tag[[#This Row],[Adm2Name]])</f>
        <v>Midongy-Atsimo</v>
      </c>
      <c r="I1476" t="s">
        <v>5712</v>
      </c>
      <c r="K1476" t="s">
        <v>3479</v>
      </c>
      <c r="L1476" t="s">
        <v>6102</v>
      </c>
      <c r="N1476" t="s">
        <v>349</v>
      </c>
      <c r="O1476" t="s">
        <v>5451</v>
      </c>
      <c r="Q1476" t="s">
        <v>349</v>
      </c>
      <c r="R1476" t="s">
        <v>350</v>
      </c>
      <c r="T1476" t="s">
        <v>5</v>
      </c>
      <c r="U1476" s="3" t="str">
        <f>+VLOOKUP(Sites_per_tag[[#This Row],[Activity_tag]],Parameter!$A$24:$B$32,2,0)</f>
        <v>MAM</v>
      </c>
      <c r="W1476">
        <v>46.868270000000003</v>
      </c>
      <c r="X1476">
        <v>-22.993120000000001</v>
      </c>
    </row>
    <row r="1477" spans="1:24" x14ac:dyDescent="0.35">
      <c r="A1477" s="3" t="str">
        <f t="shared" si="23"/>
        <v>MG25217011002001MAM</v>
      </c>
      <c r="B1477" t="s">
        <v>6193</v>
      </c>
      <c r="C1477">
        <f>+VLOOKUP(Sites_per_tag[[#This Row],[Field_office]],Parameter!$A$3:$B$11,2,0)</f>
        <v>4</v>
      </c>
      <c r="E1477" t="s">
        <v>5658</v>
      </c>
      <c r="F1477" t="s">
        <v>5659</v>
      </c>
      <c r="H1477" t="str">
        <f ca="1">PROPER(Sites_per_tag[[#This Row],[Adm2Name]])</f>
        <v>Vondrozo</v>
      </c>
      <c r="I1477" t="s">
        <v>5738</v>
      </c>
      <c r="K1477" t="s">
        <v>5617</v>
      </c>
      <c r="L1477" t="s">
        <v>6172</v>
      </c>
      <c r="N1477" t="s">
        <v>645</v>
      </c>
      <c r="O1477" t="s">
        <v>5600</v>
      </c>
      <c r="Q1477" t="s">
        <v>645</v>
      </c>
      <c r="R1477" t="s">
        <v>646</v>
      </c>
      <c r="T1477" t="s">
        <v>5</v>
      </c>
      <c r="U1477" s="3" t="str">
        <f>+VLOOKUP(Sites_per_tag[[#This Row],[Activity_tag]],Parameter!$A$24:$B$32,2,0)</f>
        <v>MAM</v>
      </c>
      <c r="W1477">
        <v>47.331449999999997</v>
      </c>
      <c r="X1477">
        <v>-22.80068</v>
      </c>
    </row>
    <row r="1478" spans="1:24" x14ac:dyDescent="0.35">
      <c r="A1478" s="3" t="str">
        <f t="shared" si="23"/>
        <v>MG25217011003001MAM</v>
      </c>
      <c r="B1478" t="s">
        <v>6193</v>
      </c>
      <c r="C1478">
        <f>+VLOOKUP(Sites_per_tag[[#This Row],[Field_office]],Parameter!$A$3:$B$11,2,0)</f>
        <v>4</v>
      </c>
      <c r="E1478" t="s">
        <v>5658</v>
      </c>
      <c r="F1478" t="s">
        <v>5659</v>
      </c>
      <c r="H1478" t="str">
        <f ca="1">PROPER(Sites_per_tag[[#This Row],[Adm2Name]])</f>
        <v>Vondrozo</v>
      </c>
      <c r="I1478" t="s">
        <v>5738</v>
      </c>
      <c r="K1478" t="s">
        <v>5617</v>
      </c>
      <c r="L1478" t="s">
        <v>6172</v>
      </c>
      <c r="N1478" t="s">
        <v>1544</v>
      </c>
      <c r="O1478" t="s">
        <v>5601</v>
      </c>
      <c r="Q1478" t="s">
        <v>1544</v>
      </c>
      <c r="R1478" t="s">
        <v>1545</v>
      </c>
      <c r="T1478" t="s">
        <v>5</v>
      </c>
      <c r="U1478" s="3" t="str">
        <f>+VLOOKUP(Sites_per_tag[[#This Row],[Activity_tag]],Parameter!$A$24:$B$32,2,0)</f>
        <v>MAM</v>
      </c>
      <c r="W1478">
        <v>47.307870000000001</v>
      </c>
      <c r="X1478">
        <v>-22.811419999999998</v>
      </c>
    </row>
    <row r="1479" spans="1:24" x14ac:dyDescent="0.35">
      <c r="A1479" s="3" t="str">
        <f t="shared" si="23"/>
        <v>MG25217011004001MAM</v>
      </c>
      <c r="B1479" t="s">
        <v>6193</v>
      </c>
      <c r="C1479">
        <f>+VLOOKUP(Sites_per_tag[[#This Row],[Field_office]],Parameter!$A$3:$B$11,2,0)</f>
        <v>4</v>
      </c>
      <c r="E1479" t="s">
        <v>5658</v>
      </c>
      <c r="F1479" t="s">
        <v>5659</v>
      </c>
      <c r="H1479" t="str">
        <f ca="1">PROPER(Sites_per_tag[[#This Row],[Adm2Name]])</f>
        <v>Vondrozo</v>
      </c>
      <c r="I1479" t="s">
        <v>5738</v>
      </c>
      <c r="K1479" t="s">
        <v>5617</v>
      </c>
      <c r="L1479" t="s">
        <v>6172</v>
      </c>
      <c r="N1479" t="s">
        <v>3133</v>
      </c>
      <c r="O1479" t="s">
        <v>5602</v>
      </c>
      <c r="Q1479" t="s">
        <v>3133</v>
      </c>
      <c r="R1479" t="s">
        <v>3134</v>
      </c>
      <c r="T1479" t="s">
        <v>5</v>
      </c>
      <c r="U1479" s="3" t="str">
        <f>+VLOOKUP(Sites_per_tag[[#This Row],[Activity_tag]],Parameter!$A$24:$B$32,2,0)</f>
        <v>MAM</v>
      </c>
      <c r="W1479">
        <v>47.334499999999998</v>
      </c>
      <c r="X1479">
        <v>-22.826799999999999</v>
      </c>
    </row>
    <row r="1480" spans="1:24" x14ac:dyDescent="0.35">
      <c r="A1480" s="3" t="str">
        <f t="shared" si="23"/>
        <v>MG25217012001001MAM</v>
      </c>
      <c r="B1480" t="s">
        <v>6193</v>
      </c>
      <c r="C1480">
        <f>+VLOOKUP(Sites_per_tag[[#This Row],[Field_office]],Parameter!$A$3:$B$11,2,0)</f>
        <v>4</v>
      </c>
      <c r="E1480" t="s">
        <v>5658</v>
      </c>
      <c r="F1480" t="s">
        <v>5659</v>
      </c>
      <c r="H1480" t="str">
        <f ca="1">PROPER(Sites_per_tag[[#This Row],[Adm2Name]])</f>
        <v>Vondrozo</v>
      </c>
      <c r="I1480" t="s">
        <v>5738</v>
      </c>
      <c r="K1480" t="s">
        <v>5908</v>
      </c>
      <c r="L1480" t="s">
        <v>6019</v>
      </c>
      <c r="N1480" t="s">
        <v>5213</v>
      </c>
      <c r="O1480" t="s">
        <v>5212</v>
      </c>
      <c r="Q1480" t="s">
        <v>1625</v>
      </c>
      <c r="R1480" t="s">
        <v>1626</v>
      </c>
      <c r="T1480" t="s">
        <v>5</v>
      </c>
      <c r="U1480" s="3" t="str">
        <f>+VLOOKUP(Sites_per_tag[[#This Row],[Activity_tag]],Parameter!$A$24:$B$32,2,0)</f>
        <v>MAM</v>
      </c>
      <c r="W1480">
        <v>47.281300000000002</v>
      </c>
      <c r="X1480">
        <v>-22.731529999999999</v>
      </c>
    </row>
    <row r="1481" spans="1:24" x14ac:dyDescent="0.35">
      <c r="A1481" s="3" t="str">
        <f t="shared" si="23"/>
        <v>MG25217012003001MAM</v>
      </c>
      <c r="B1481" t="s">
        <v>6193</v>
      </c>
      <c r="C1481">
        <f>+VLOOKUP(Sites_per_tag[[#This Row],[Field_office]],Parameter!$A$3:$B$11,2,0)</f>
        <v>4</v>
      </c>
      <c r="E1481" t="s">
        <v>5658</v>
      </c>
      <c r="F1481" t="s">
        <v>5659</v>
      </c>
      <c r="H1481" t="str">
        <f ca="1">PROPER(Sites_per_tag[[#This Row],[Adm2Name]])</f>
        <v>Vondrozo</v>
      </c>
      <c r="I1481" t="s">
        <v>5738</v>
      </c>
      <c r="K1481" t="s">
        <v>5908</v>
      </c>
      <c r="L1481" t="s">
        <v>6019</v>
      </c>
      <c r="N1481" t="s">
        <v>2705</v>
      </c>
      <c r="O1481" t="s">
        <v>5214</v>
      </c>
      <c r="Q1481" t="s">
        <v>2705</v>
      </c>
      <c r="R1481" t="s">
        <v>2706</v>
      </c>
      <c r="T1481" t="s">
        <v>5</v>
      </c>
      <c r="U1481" s="3" t="str">
        <f>+VLOOKUP(Sites_per_tag[[#This Row],[Activity_tag]],Parameter!$A$24:$B$32,2,0)</f>
        <v>MAM</v>
      </c>
      <c r="W1481">
        <v>47.326770000000003</v>
      </c>
      <c r="X1481">
        <v>-22.699549999999999</v>
      </c>
    </row>
    <row r="1482" spans="1:24" x14ac:dyDescent="0.35">
      <c r="A1482" s="3" t="str">
        <f t="shared" si="23"/>
        <v>MG25217012009001MAM</v>
      </c>
      <c r="B1482" t="s">
        <v>6193</v>
      </c>
      <c r="C1482">
        <f>+VLOOKUP(Sites_per_tag[[#This Row],[Field_office]],Parameter!$A$3:$B$11,2,0)</f>
        <v>4</v>
      </c>
      <c r="E1482" t="s">
        <v>5658</v>
      </c>
      <c r="F1482" t="s">
        <v>5659</v>
      </c>
      <c r="H1482" t="str">
        <f ca="1">PROPER(Sites_per_tag[[#This Row],[Adm2Name]])</f>
        <v>Vondrozo</v>
      </c>
      <c r="I1482" t="s">
        <v>5738</v>
      </c>
      <c r="K1482" t="s">
        <v>5908</v>
      </c>
      <c r="L1482" t="s">
        <v>6019</v>
      </c>
      <c r="N1482" t="s">
        <v>386</v>
      </c>
      <c r="O1482" t="s">
        <v>5215</v>
      </c>
      <c r="Q1482" t="s">
        <v>386</v>
      </c>
      <c r="R1482" t="s">
        <v>387</v>
      </c>
      <c r="T1482" t="s">
        <v>5</v>
      </c>
      <c r="U1482" s="3" t="str">
        <f>+VLOOKUP(Sites_per_tag[[#This Row],[Activity_tag]],Parameter!$A$24:$B$32,2,0)</f>
        <v>MAM</v>
      </c>
      <c r="W1482">
        <v>47.351975000000003</v>
      </c>
      <c r="X1482">
        <v>-22.707605999999998</v>
      </c>
    </row>
    <row r="1483" spans="1:24" x14ac:dyDescent="0.35">
      <c r="A1483" s="3" t="str">
        <f t="shared" si="23"/>
        <v>MG25217012012001MAM</v>
      </c>
      <c r="B1483" t="s">
        <v>6193</v>
      </c>
      <c r="C1483">
        <f>+VLOOKUP(Sites_per_tag[[#This Row],[Field_office]],Parameter!$A$3:$B$11,2,0)</f>
        <v>4</v>
      </c>
      <c r="E1483" t="s">
        <v>5658</v>
      </c>
      <c r="F1483" t="s">
        <v>5659</v>
      </c>
      <c r="H1483" t="str">
        <f ca="1">PROPER(Sites_per_tag[[#This Row],[Adm2Name]])</f>
        <v>Vondrozo</v>
      </c>
      <c r="I1483" t="s">
        <v>5738</v>
      </c>
      <c r="K1483" t="s">
        <v>5908</v>
      </c>
      <c r="L1483" t="s">
        <v>6019</v>
      </c>
      <c r="N1483" t="s">
        <v>2718</v>
      </c>
      <c r="O1483" t="s">
        <v>5216</v>
      </c>
      <c r="Q1483" t="s">
        <v>2718</v>
      </c>
      <c r="R1483" t="s">
        <v>2719</v>
      </c>
      <c r="T1483" t="s">
        <v>5</v>
      </c>
      <c r="U1483" s="3" t="str">
        <f>+VLOOKUP(Sites_per_tag[[#This Row],[Activity_tag]],Parameter!$A$24:$B$32,2,0)</f>
        <v>MAM</v>
      </c>
      <c r="W1483">
        <v>47.241750000000003</v>
      </c>
      <c r="X1483">
        <v>-22.7974</v>
      </c>
    </row>
    <row r="1484" spans="1:24" x14ac:dyDescent="0.35">
      <c r="A1484" s="3" t="str">
        <f t="shared" si="23"/>
        <v>MG25217013002001MAM</v>
      </c>
      <c r="B1484" t="s">
        <v>6193</v>
      </c>
      <c r="C1484">
        <f>+VLOOKUP(Sites_per_tag[[#This Row],[Field_office]],Parameter!$A$3:$B$11,2,0)</f>
        <v>4</v>
      </c>
      <c r="E1484" t="s">
        <v>5658</v>
      </c>
      <c r="F1484" t="s">
        <v>5659</v>
      </c>
      <c r="H1484" t="str">
        <f ca="1">PROPER(Sites_per_tag[[#This Row],[Adm2Name]])</f>
        <v>Vondrozo</v>
      </c>
      <c r="I1484" t="s">
        <v>5738</v>
      </c>
      <c r="K1484" t="s">
        <v>5781</v>
      </c>
      <c r="L1484" t="s">
        <v>5782</v>
      </c>
      <c r="N1484" t="s">
        <v>2559</v>
      </c>
      <c r="O1484" t="s">
        <v>4524</v>
      </c>
      <c r="Q1484" t="s">
        <v>2559</v>
      </c>
      <c r="R1484" t="s">
        <v>2560</v>
      </c>
      <c r="T1484" t="s">
        <v>5</v>
      </c>
      <c r="U1484" s="3" t="str">
        <f>+VLOOKUP(Sites_per_tag[[#This Row],[Activity_tag]],Parameter!$A$24:$B$32,2,0)</f>
        <v>MAM</v>
      </c>
      <c r="W1484">
        <v>47.35472</v>
      </c>
      <c r="X1484">
        <v>-22.905429999999999</v>
      </c>
    </row>
    <row r="1485" spans="1:24" x14ac:dyDescent="0.35">
      <c r="A1485" s="3" t="str">
        <f t="shared" si="23"/>
        <v>MG25217030004001MAM</v>
      </c>
      <c r="B1485" t="s">
        <v>6193</v>
      </c>
      <c r="C1485">
        <f>+VLOOKUP(Sites_per_tag[[#This Row],[Field_office]],Parameter!$A$3:$B$11,2,0)</f>
        <v>4</v>
      </c>
      <c r="E1485" t="s">
        <v>5658</v>
      </c>
      <c r="F1485" t="s">
        <v>5659</v>
      </c>
      <c r="H1485" t="str">
        <f ca="1">PROPER(Sites_per_tag[[#This Row],[Adm2Name]])</f>
        <v>Vondrozo</v>
      </c>
      <c r="I1485" t="s">
        <v>5738</v>
      </c>
      <c r="K1485" t="s">
        <v>5721</v>
      </c>
      <c r="L1485" t="s">
        <v>5722</v>
      </c>
      <c r="N1485" t="s">
        <v>4342</v>
      </c>
      <c r="O1485" t="s">
        <v>4341</v>
      </c>
      <c r="Q1485" t="s">
        <v>83</v>
      </c>
      <c r="R1485" t="s">
        <v>84</v>
      </c>
      <c r="T1485" t="s">
        <v>5</v>
      </c>
      <c r="U1485" s="3" t="str">
        <f>+VLOOKUP(Sites_per_tag[[#This Row],[Activity_tag]],Parameter!$A$24:$B$32,2,0)</f>
        <v>MAM</v>
      </c>
      <c r="W1485">
        <v>47.4499</v>
      </c>
      <c r="X1485">
        <v>-22.729500000000002</v>
      </c>
    </row>
    <row r="1486" spans="1:24" x14ac:dyDescent="0.35">
      <c r="A1486" s="3" t="str">
        <f t="shared" si="23"/>
        <v>MG25217030008001MAM</v>
      </c>
      <c r="B1486" t="s">
        <v>6193</v>
      </c>
      <c r="C1486">
        <f>+VLOOKUP(Sites_per_tag[[#This Row],[Field_office]],Parameter!$A$3:$B$11,2,0)</f>
        <v>4</v>
      </c>
      <c r="E1486" t="s">
        <v>5658</v>
      </c>
      <c r="F1486" t="s">
        <v>5659</v>
      </c>
      <c r="H1486" t="str">
        <f ca="1">PROPER(Sites_per_tag[[#This Row],[Adm2Name]])</f>
        <v>Vondrozo</v>
      </c>
      <c r="I1486" t="s">
        <v>5738</v>
      </c>
      <c r="K1486" t="s">
        <v>773</v>
      </c>
      <c r="L1486" t="s">
        <v>5794</v>
      </c>
      <c r="N1486" t="s">
        <v>3137</v>
      </c>
      <c r="O1486" t="s">
        <v>4550</v>
      </c>
      <c r="Q1486" t="s">
        <v>3137</v>
      </c>
      <c r="R1486" t="s">
        <v>3138</v>
      </c>
      <c r="T1486" t="s">
        <v>5</v>
      </c>
      <c r="U1486" s="3" t="str">
        <f>+VLOOKUP(Sites_per_tag[[#This Row],[Activity_tag]],Parameter!$A$24:$B$32,2,0)</f>
        <v>MAM</v>
      </c>
      <c r="W1486">
        <v>47.344079999999998</v>
      </c>
      <c r="X1486">
        <v>-22.813379999999999</v>
      </c>
    </row>
    <row r="1487" spans="1:24" x14ac:dyDescent="0.35">
      <c r="A1487" s="3" t="str">
        <f t="shared" si="23"/>
        <v>MG25217030009001MAM</v>
      </c>
      <c r="B1487" t="s">
        <v>6193</v>
      </c>
      <c r="C1487">
        <f>+VLOOKUP(Sites_per_tag[[#This Row],[Field_office]],Parameter!$A$3:$B$11,2,0)</f>
        <v>4</v>
      </c>
      <c r="E1487" t="s">
        <v>5658</v>
      </c>
      <c r="F1487" t="s">
        <v>5659</v>
      </c>
      <c r="H1487" t="str">
        <f ca="1">PROPER(Sites_per_tag[[#This Row],[Adm2Name]])</f>
        <v>Vondrozo</v>
      </c>
      <c r="I1487" t="s">
        <v>5738</v>
      </c>
      <c r="K1487" t="s">
        <v>2773</v>
      </c>
      <c r="L1487" t="s">
        <v>6008</v>
      </c>
      <c r="N1487" t="s">
        <v>550</v>
      </c>
      <c r="O1487" t="s">
        <v>5188</v>
      </c>
      <c r="Q1487" t="s">
        <v>550</v>
      </c>
      <c r="R1487" t="s">
        <v>551</v>
      </c>
      <c r="T1487" t="s">
        <v>5</v>
      </c>
      <c r="U1487" s="3" t="str">
        <f>+VLOOKUP(Sites_per_tag[[#This Row],[Activity_tag]],Parameter!$A$24:$B$32,2,0)</f>
        <v>MAM</v>
      </c>
      <c r="W1487">
        <v>47.480330000000002</v>
      </c>
      <c r="X1487">
        <v>-22.825769999999999</v>
      </c>
    </row>
    <row r="1488" spans="1:24" x14ac:dyDescent="0.35">
      <c r="A1488" s="3" t="str">
        <f t="shared" si="23"/>
        <v>MG25217030010001MAM</v>
      </c>
      <c r="B1488" t="s">
        <v>6193</v>
      </c>
      <c r="C1488">
        <f>+VLOOKUP(Sites_per_tag[[#This Row],[Field_office]],Parameter!$A$3:$B$11,2,0)</f>
        <v>4</v>
      </c>
      <c r="E1488" t="s">
        <v>5658</v>
      </c>
      <c r="F1488" t="s">
        <v>5659</v>
      </c>
      <c r="H1488" t="str">
        <f ca="1">PROPER(Sites_per_tag[[#This Row],[Adm2Name]])</f>
        <v>Vondrozo</v>
      </c>
      <c r="I1488" t="s">
        <v>5738</v>
      </c>
      <c r="K1488" t="s">
        <v>2773</v>
      </c>
      <c r="L1488" t="s">
        <v>6008</v>
      </c>
      <c r="N1488" t="s">
        <v>2548</v>
      </c>
      <c r="O1488" t="s">
        <v>5189</v>
      </c>
      <c r="Q1488" t="s">
        <v>2548</v>
      </c>
      <c r="R1488" t="s">
        <v>2549</v>
      </c>
      <c r="T1488" t="s">
        <v>5</v>
      </c>
      <c r="U1488" s="3" t="str">
        <f>+VLOOKUP(Sites_per_tag[[#This Row],[Activity_tag]],Parameter!$A$24:$B$32,2,0)</f>
        <v>MAM</v>
      </c>
      <c r="W1488">
        <v>47.436669999999999</v>
      </c>
      <c r="X1488">
        <v>-22.854399999999998</v>
      </c>
    </row>
    <row r="1489" spans="1:24" x14ac:dyDescent="0.35">
      <c r="A1489" s="3" t="str">
        <f t="shared" si="23"/>
        <v>MG25217030013001MAM</v>
      </c>
      <c r="B1489" t="s">
        <v>6193</v>
      </c>
      <c r="C1489">
        <f>+VLOOKUP(Sites_per_tag[[#This Row],[Field_office]],Parameter!$A$3:$B$11,2,0)</f>
        <v>4</v>
      </c>
      <c r="E1489" t="s">
        <v>5658</v>
      </c>
      <c r="F1489" t="s">
        <v>5659</v>
      </c>
      <c r="H1489" t="str">
        <f ca="1">PROPER(Sites_per_tag[[#This Row],[Adm2Name]])</f>
        <v>Vondrozo</v>
      </c>
      <c r="I1489" t="s">
        <v>5738</v>
      </c>
      <c r="K1489" t="s">
        <v>773</v>
      </c>
      <c r="L1489" t="s">
        <v>5794</v>
      </c>
      <c r="N1489" t="s">
        <v>3977</v>
      </c>
      <c r="O1489" t="s">
        <v>4551</v>
      </c>
      <c r="Q1489" t="s">
        <v>3977</v>
      </c>
      <c r="R1489" t="s">
        <v>3978</v>
      </c>
      <c r="T1489" t="s">
        <v>5</v>
      </c>
      <c r="U1489" s="3" t="str">
        <f>+VLOOKUP(Sites_per_tag[[#This Row],[Activity_tag]],Parameter!$A$24:$B$32,2,0)</f>
        <v>MAM</v>
      </c>
      <c r="W1489">
        <v>47.374130000000001</v>
      </c>
      <c r="X1489">
        <v>-22.877500000000001</v>
      </c>
    </row>
    <row r="1490" spans="1:24" x14ac:dyDescent="0.35">
      <c r="A1490" s="3" t="str">
        <f t="shared" si="23"/>
        <v>MG25217030036001MAM</v>
      </c>
      <c r="B1490" t="s">
        <v>6193</v>
      </c>
      <c r="C1490">
        <f>+VLOOKUP(Sites_per_tag[[#This Row],[Field_office]],Parameter!$A$3:$B$11,2,0)</f>
        <v>4</v>
      </c>
      <c r="E1490" t="s">
        <v>5658</v>
      </c>
      <c r="F1490" t="s">
        <v>5659</v>
      </c>
      <c r="H1490" t="str">
        <f ca="1">PROPER(Sites_per_tag[[#This Row],[Adm2Name]])</f>
        <v>Vondrozo</v>
      </c>
      <c r="I1490" t="s">
        <v>5738</v>
      </c>
      <c r="K1490" t="s">
        <v>5721</v>
      </c>
      <c r="L1490" t="s">
        <v>5722</v>
      </c>
      <c r="N1490" t="s">
        <v>3416</v>
      </c>
      <c r="O1490" t="s">
        <v>4343</v>
      </c>
      <c r="Q1490" t="s">
        <v>3418</v>
      </c>
      <c r="R1490" t="s">
        <v>3419</v>
      </c>
      <c r="T1490" t="s">
        <v>5</v>
      </c>
      <c r="U1490" s="3" t="str">
        <f>+VLOOKUP(Sites_per_tag[[#This Row],[Activity_tag]],Parameter!$A$24:$B$32,2,0)</f>
        <v>MAM</v>
      </c>
      <c r="W1490">
        <v>47.496299999999998</v>
      </c>
      <c r="X1490">
        <v>-23.71367</v>
      </c>
    </row>
    <row r="1491" spans="1:24" x14ac:dyDescent="0.35">
      <c r="A1491" s="3" t="str">
        <f t="shared" si="23"/>
        <v>MG25217030076001MAM</v>
      </c>
      <c r="B1491" t="s">
        <v>6193</v>
      </c>
      <c r="C1491">
        <f>+VLOOKUP(Sites_per_tag[[#This Row],[Field_office]],Parameter!$A$3:$B$11,2,0)</f>
        <v>4</v>
      </c>
      <c r="E1491" t="s">
        <v>5658</v>
      </c>
      <c r="F1491" t="s">
        <v>5659</v>
      </c>
      <c r="H1491" t="str">
        <f ca="1">PROPER(Sites_per_tag[[#This Row],[Adm2Name]])</f>
        <v>Vondrozo</v>
      </c>
      <c r="I1491" t="s">
        <v>5738</v>
      </c>
      <c r="K1491" t="s">
        <v>2773</v>
      </c>
      <c r="L1491" t="s">
        <v>6008</v>
      </c>
      <c r="N1491" t="s">
        <v>2773</v>
      </c>
      <c r="O1491" t="s">
        <v>5190</v>
      </c>
      <c r="Q1491" t="s">
        <v>2776</v>
      </c>
      <c r="R1491" t="s">
        <v>2777</v>
      </c>
      <c r="T1491" t="s">
        <v>5</v>
      </c>
      <c r="U1491" s="3" t="str">
        <f>+VLOOKUP(Sites_per_tag[[#This Row],[Activity_tag]],Parameter!$A$24:$B$32,2,0)</f>
        <v>MAM</v>
      </c>
      <c r="W1491">
        <v>47.453519999999997</v>
      </c>
      <c r="X1491">
        <v>-22.816569999999999</v>
      </c>
    </row>
    <row r="1492" spans="1:24" x14ac:dyDescent="0.35">
      <c r="A1492" s="3" t="str">
        <f t="shared" si="23"/>
        <v>MG25217030078PREV</v>
      </c>
      <c r="B1492" t="s">
        <v>6193</v>
      </c>
      <c r="C1492">
        <f>+VLOOKUP(Sites_per_tag[[#This Row],[Field_office]],Parameter!$A$3:$B$11,2,0)</f>
        <v>4</v>
      </c>
      <c r="E1492" t="s">
        <v>5658</v>
      </c>
      <c r="F1492" t="s">
        <v>5659</v>
      </c>
      <c r="H1492" t="str">
        <f ca="1">PROPER(Sites_per_tag[[#This Row],[Adm2Name]])</f>
        <v>Vondrozo</v>
      </c>
      <c r="I1492" t="s">
        <v>5738</v>
      </c>
      <c r="K1492" t="s">
        <v>2773</v>
      </c>
      <c r="L1492" t="s">
        <v>6008</v>
      </c>
      <c r="N1492" t="s">
        <v>2773</v>
      </c>
      <c r="Q1492" t="s">
        <v>2773</v>
      </c>
      <c r="R1492" t="s">
        <v>2775</v>
      </c>
      <c r="T1492" t="s">
        <v>32</v>
      </c>
      <c r="U1492" s="3" t="str">
        <f>+VLOOKUP(Sites_per_tag[[#This Row],[Activity_tag]],Parameter!$A$24:$B$32,2,0)</f>
        <v>PREV</v>
      </c>
      <c r="W1492">
        <v>47.4527</v>
      </c>
      <c r="X1492">
        <v>-22.81513</v>
      </c>
    </row>
    <row r="1493" spans="1:24" x14ac:dyDescent="0.35">
      <c r="A1493" s="3" t="str">
        <f t="shared" si="23"/>
        <v>MG25217051002001MAM</v>
      </c>
      <c r="B1493" t="s">
        <v>6193</v>
      </c>
      <c r="C1493">
        <f>+VLOOKUP(Sites_per_tag[[#This Row],[Field_office]],Parameter!$A$3:$B$11,2,0)</f>
        <v>4</v>
      </c>
      <c r="E1493" t="s">
        <v>5658</v>
      </c>
      <c r="F1493" t="s">
        <v>5659</v>
      </c>
      <c r="H1493" t="str">
        <f ca="1">PROPER(Sites_per_tag[[#This Row],[Adm2Name]])</f>
        <v>Vondrozo</v>
      </c>
      <c r="I1493" t="s">
        <v>5738</v>
      </c>
      <c r="K1493" t="s">
        <v>2795</v>
      </c>
      <c r="L1493" t="s">
        <v>6011</v>
      </c>
      <c r="N1493" t="s">
        <v>371</v>
      </c>
      <c r="O1493" t="s">
        <v>5194</v>
      </c>
      <c r="Q1493" t="s">
        <v>375</v>
      </c>
      <c r="R1493" t="s">
        <v>376</v>
      </c>
      <c r="T1493" t="s">
        <v>5</v>
      </c>
      <c r="U1493" s="3" t="str">
        <f>+VLOOKUP(Sites_per_tag[[#This Row],[Activity_tag]],Parameter!$A$24:$B$32,2,0)</f>
        <v>MAM</v>
      </c>
      <c r="W1493">
        <v>47.357430000000001</v>
      </c>
      <c r="X1493">
        <v>-22.602969999999999</v>
      </c>
    </row>
    <row r="1494" spans="1:24" x14ac:dyDescent="0.35">
      <c r="A1494" s="3" t="str">
        <f t="shared" si="23"/>
        <v>MG25217051005001MAM</v>
      </c>
      <c r="B1494" t="s">
        <v>6193</v>
      </c>
      <c r="C1494">
        <f>+VLOOKUP(Sites_per_tag[[#This Row],[Field_office]],Parameter!$A$3:$B$11,2,0)</f>
        <v>4</v>
      </c>
      <c r="E1494" t="s">
        <v>5658</v>
      </c>
      <c r="F1494" t="s">
        <v>5659</v>
      </c>
      <c r="H1494" t="str">
        <f ca="1">PROPER(Sites_per_tag[[#This Row],[Adm2Name]])</f>
        <v>Vondrozo</v>
      </c>
      <c r="I1494" t="s">
        <v>5738</v>
      </c>
      <c r="K1494" t="s">
        <v>2795</v>
      </c>
      <c r="L1494" t="s">
        <v>6011</v>
      </c>
      <c r="N1494" t="s">
        <v>2795</v>
      </c>
      <c r="O1494" t="s">
        <v>5195</v>
      </c>
      <c r="Q1494" t="s">
        <v>2808</v>
      </c>
      <c r="R1494" t="s">
        <v>2809</v>
      </c>
      <c r="T1494" t="s">
        <v>5</v>
      </c>
      <c r="U1494" s="3" t="str">
        <f>+VLOOKUP(Sites_per_tag[[#This Row],[Activity_tag]],Parameter!$A$24:$B$32,2,0)</f>
        <v>MAM</v>
      </c>
      <c r="W1494">
        <v>47.414645</v>
      </c>
      <c r="X1494">
        <v>-22.624687999999999</v>
      </c>
    </row>
    <row r="1495" spans="1:24" x14ac:dyDescent="0.35">
      <c r="A1495" s="3" t="str">
        <f t="shared" si="23"/>
        <v>MG25217051006001MAM</v>
      </c>
      <c r="B1495" t="s">
        <v>6193</v>
      </c>
      <c r="C1495">
        <f>+VLOOKUP(Sites_per_tag[[#This Row],[Field_office]],Parameter!$A$3:$B$11,2,0)</f>
        <v>4</v>
      </c>
      <c r="E1495" t="s">
        <v>5658</v>
      </c>
      <c r="F1495" t="s">
        <v>5659</v>
      </c>
      <c r="H1495" t="str">
        <f ca="1">PROPER(Sites_per_tag[[#This Row],[Adm2Name]])</f>
        <v>Vondrozo</v>
      </c>
      <c r="I1495" t="s">
        <v>5738</v>
      </c>
      <c r="K1495" t="s">
        <v>2795</v>
      </c>
      <c r="L1495" t="s">
        <v>6011</v>
      </c>
      <c r="N1495" t="s">
        <v>64</v>
      </c>
      <c r="O1495" t="s">
        <v>5196</v>
      </c>
      <c r="Q1495" t="s">
        <v>64</v>
      </c>
      <c r="R1495" t="s">
        <v>65</v>
      </c>
      <c r="T1495" t="s">
        <v>5</v>
      </c>
      <c r="U1495" s="3" t="str">
        <f>+VLOOKUP(Sites_per_tag[[#This Row],[Activity_tag]],Parameter!$A$24:$B$32,2,0)</f>
        <v>MAM</v>
      </c>
      <c r="W1495">
        <v>47.442050000000002</v>
      </c>
      <c r="X1495">
        <v>-22.632480000000001</v>
      </c>
    </row>
    <row r="1496" spans="1:24" x14ac:dyDescent="0.35">
      <c r="A1496" s="3" t="str">
        <f t="shared" si="23"/>
        <v>MG25217052001001MAM</v>
      </c>
      <c r="B1496" t="s">
        <v>6193</v>
      </c>
      <c r="C1496">
        <f>+VLOOKUP(Sites_per_tag[[#This Row],[Field_office]],Parameter!$A$3:$B$11,2,0)</f>
        <v>4</v>
      </c>
      <c r="E1496" t="s">
        <v>5658</v>
      </c>
      <c r="F1496" t="s">
        <v>5659</v>
      </c>
      <c r="H1496" t="str">
        <f ca="1">PROPER(Sites_per_tag[[#This Row],[Adm2Name]])</f>
        <v>Vondrozo</v>
      </c>
      <c r="I1496" t="s">
        <v>5738</v>
      </c>
      <c r="K1496" t="s">
        <v>2538</v>
      </c>
      <c r="L1496" t="s">
        <v>5966</v>
      </c>
      <c r="N1496" t="s">
        <v>2538</v>
      </c>
      <c r="O1496" t="s">
        <v>5013</v>
      </c>
      <c r="Q1496" t="s">
        <v>2538</v>
      </c>
      <c r="R1496" t="s">
        <v>2539</v>
      </c>
      <c r="T1496" t="s">
        <v>5</v>
      </c>
      <c r="U1496" s="3" t="str">
        <f>+VLOOKUP(Sites_per_tag[[#This Row],[Activity_tag]],Parameter!$A$24:$B$32,2,0)</f>
        <v>MAM</v>
      </c>
      <c r="W1496">
        <v>47.421219999999998</v>
      </c>
      <c r="X1496">
        <v>-22.704319999999999</v>
      </c>
    </row>
    <row r="1497" spans="1:24" x14ac:dyDescent="0.35">
      <c r="A1497" s="3" t="str">
        <f t="shared" si="23"/>
        <v>MG25217052003001MAM</v>
      </c>
      <c r="B1497" t="s">
        <v>6193</v>
      </c>
      <c r="C1497">
        <f>+VLOOKUP(Sites_per_tag[[#This Row],[Field_office]],Parameter!$A$3:$B$11,2,0)</f>
        <v>4</v>
      </c>
      <c r="E1497" t="s">
        <v>5658</v>
      </c>
      <c r="F1497" t="s">
        <v>5659</v>
      </c>
      <c r="H1497" t="str">
        <f ca="1">PROPER(Sites_per_tag[[#This Row],[Adm2Name]])</f>
        <v>Vondrozo</v>
      </c>
      <c r="I1497" t="s">
        <v>5738</v>
      </c>
      <c r="K1497" t="s">
        <v>2538</v>
      </c>
      <c r="L1497" t="s">
        <v>5966</v>
      </c>
      <c r="N1497" t="s">
        <v>3884</v>
      </c>
      <c r="O1497" t="s">
        <v>5014</v>
      </c>
      <c r="Q1497" t="s">
        <v>3884</v>
      </c>
      <c r="R1497" t="s">
        <v>3885</v>
      </c>
      <c r="T1497" t="s">
        <v>5</v>
      </c>
      <c r="U1497" s="3" t="str">
        <f>+VLOOKUP(Sites_per_tag[[#This Row],[Activity_tag]],Parameter!$A$24:$B$32,2,0)</f>
        <v>MAM</v>
      </c>
      <c r="W1497">
        <v>47.419600000000003</v>
      </c>
      <c r="X1497">
        <v>-22.674569999999999</v>
      </c>
    </row>
    <row r="1498" spans="1:24" x14ac:dyDescent="0.35">
      <c r="A1498" s="3" t="str">
        <f t="shared" si="23"/>
        <v>MG25217071001001MAM</v>
      </c>
      <c r="B1498" t="s">
        <v>6193</v>
      </c>
      <c r="C1498">
        <f>+VLOOKUP(Sites_per_tag[[#This Row],[Field_office]],Parameter!$A$3:$B$11,2,0)</f>
        <v>4</v>
      </c>
      <c r="E1498" t="s">
        <v>5658</v>
      </c>
      <c r="F1498" t="s">
        <v>5659</v>
      </c>
      <c r="H1498" t="str">
        <f ca="1">PROPER(Sites_per_tag[[#This Row],[Adm2Name]])</f>
        <v>Vondrozo</v>
      </c>
      <c r="I1498" t="s">
        <v>5738</v>
      </c>
      <c r="K1498" t="s">
        <v>3911</v>
      </c>
      <c r="L1498" t="s">
        <v>6166</v>
      </c>
      <c r="N1498" t="s">
        <v>5582</v>
      </c>
      <c r="O1498" t="s">
        <v>5581</v>
      </c>
      <c r="Q1498" t="s">
        <v>3326</v>
      </c>
      <c r="R1498" t="s">
        <v>3327</v>
      </c>
      <c r="T1498" t="s">
        <v>5</v>
      </c>
      <c r="U1498" s="3" t="str">
        <f>+VLOOKUP(Sites_per_tag[[#This Row],[Activity_tag]],Parameter!$A$24:$B$32,2,0)</f>
        <v>MAM</v>
      </c>
      <c r="W1498">
        <v>47.284080000000003</v>
      </c>
      <c r="X1498">
        <v>-22.968319999999999</v>
      </c>
    </row>
    <row r="1499" spans="1:24" x14ac:dyDescent="0.35">
      <c r="A1499" s="3" t="str">
        <f t="shared" si="23"/>
        <v>MG25217071005001MAM</v>
      </c>
      <c r="B1499" t="s">
        <v>6193</v>
      </c>
      <c r="C1499">
        <f>+VLOOKUP(Sites_per_tag[[#This Row],[Field_office]],Parameter!$A$3:$B$11,2,0)</f>
        <v>4</v>
      </c>
      <c r="E1499" t="s">
        <v>5658</v>
      </c>
      <c r="F1499" t="s">
        <v>5659</v>
      </c>
      <c r="H1499" t="str">
        <f ca="1">PROPER(Sites_per_tag[[#This Row],[Adm2Name]])</f>
        <v>Vondrozo</v>
      </c>
      <c r="I1499" t="s">
        <v>5738</v>
      </c>
      <c r="K1499" t="s">
        <v>3911</v>
      </c>
      <c r="L1499" t="s">
        <v>6166</v>
      </c>
      <c r="N1499" t="s">
        <v>3970</v>
      </c>
      <c r="O1499" t="s">
        <v>5583</v>
      </c>
      <c r="Q1499" t="s">
        <v>3970</v>
      </c>
      <c r="R1499" t="s">
        <v>3971</v>
      </c>
      <c r="T1499" t="s">
        <v>5</v>
      </c>
      <c r="U1499" s="3" t="str">
        <f>+VLOOKUP(Sites_per_tag[[#This Row],[Activity_tag]],Parameter!$A$24:$B$32,2,0)</f>
        <v>MAM</v>
      </c>
      <c r="W1499">
        <v>47.303804999999997</v>
      </c>
      <c r="X1499">
        <v>-22.911135000000002</v>
      </c>
    </row>
    <row r="1500" spans="1:24" x14ac:dyDescent="0.35">
      <c r="A1500" s="3" t="str">
        <f t="shared" si="23"/>
        <v>MG25217072001001MAM</v>
      </c>
      <c r="B1500" t="s">
        <v>6193</v>
      </c>
      <c r="C1500">
        <f>+VLOOKUP(Sites_per_tag[[#This Row],[Field_office]],Parameter!$A$3:$B$11,2,0)</f>
        <v>4</v>
      </c>
      <c r="E1500" t="s">
        <v>5658</v>
      </c>
      <c r="F1500" t="s">
        <v>5659</v>
      </c>
      <c r="H1500" t="str">
        <f ca="1">PROPER(Sites_per_tag[[#This Row],[Adm2Name]])</f>
        <v>Vondrozo</v>
      </c>
      <c r="I1500" t="s">
        <v>5738</v>
      </c>
      <c r="K1500" t="s">
        <v>5867</v>
      </c>
      <c r="L1500" t="s">
        <v>5868</v>
      </c>
      <c r="N1500" t="s">
        <v>4730</v>
      </c>
      <c r="O1500" t="s">
        <v>4729</v>
      </c>
      <c r="Q1500" t="s">
        <v>1534</v>
      </c>
      <c r="R1500" t="s">
        <v>1535</v>
      </c>
      <c r="T1500" t="s">
        <v>5</v>
      </c>
      <c r="U1500" s="3" t="str">
        <f>+VLOOKUP(Sites_per_tag[[#This Row],[Activity_tag]],Parameter!$A$24:$B$32,2,0)</f>
        <v>MAM</v>
      </c>
      <c r="W1500">
        <v>47.362200000000001</v>
      </c>
      <c r="X1500">
        <v>-22.99147</v>
      </c>
    </row>
    <row r="1501" spans="1:24" x14ac:dyDescent="0.35">
      <c r="A1501" s="3" t="str">
        <f t="shared" si="23"/>
        <v>MG25217072033001MAM</v>
      </c>
      <c r="B1501" t="s">
        <v>6193</v>
      </c>
      <c r="C1501">
        <f>+VLOOKUP(Sites_per_tag[[#This Row],[Field_office]],Parameter!$A$3:$B$11,2,0)</f>
        <v>4</v>
      </c>
      <c r="E1501" t="s">
        <v>5658</v>
      </c>
      <c r="F1501" t="s">
        <v>5659</v>
      </c>
      <c r="H1501" t="str">
        <f ca="1">PROPER(Sites_per_tag[[#This Row],[Adm2Name]])</f>
        <v>Vondrozo</v>
      </c>
      <c r="I1501" t="s">
        <v>5738</v>
      </c>
      <c r="K1501" t="s">
        <v>5867</v>
      </c>
      <c r="L1501" t="s">
        <v>5868</v>
      </c>
      <c r="N1501" t="s">
        <v>923</v>
      </c>
      <c r="O1501" t="s">
        <v>4731</v>
      </c>
      <c r="Q1501" t="s">
        <v>923</v>
      </c>
      <c r="R1501" t="s">
        <v>924</v>
      </c>
      <c r="T1501" t="s">
        <v>5</v>
      </c>
      <c r="U1501" s="3" t="str">
        <f>+VLOOKUP(Sites_per_tag[[#This Row],[Activity_tag]],Parameter!$A$24:$B$32,2,0)</f>
        <v>MAM</v>
      </c>
      <c r="W1501">
        <v>47.396099999999997</v>
      </c>
      <c r="X1501">
        <v>-23.002199999999998</v>
      </c>
    </row>
    <row r="1502" spans="1:24" x14ac:dyDescent="0.35">
      <c r="A1502" s="3" t="str">
        <f t="shared" si="23"/>
        <v>MG25217090001001MAM</v>
      </c>
      <c r="B1502" t="s">
        <v>6193</v>
      </c>
      <c r="C1502">
        <f>+VLOOKUP(Sites_per_tag[[#This Row],[Field_office]],Parameter!$A$3:$B$11,2,0)</f>
        <v>4</v>
      </c>
      <c r="E1502" t="s">
        <v>5658</v>
      </c>
      <c r="F1502" t="s">
        <v>5659</v>
      </c>
      <c r="H1502" t="str">
        <f ca="1">PROPER(Sites_per_tag[[#This Row],[Adm2Name]])</f>
        <v>Vondrozo</v>
      </c>
      <c r="I1502" t="s">
        <v>5738</v>
      </c>
      <c r="K1502" t="s">
        <v>369</v>
      </c>
      <c r="L1502" t="s">
        <v>5735</v>
      </c>
      <c r="N1502" t="s">
        <v>369</v>
      </c>
      <c r="O1502" t="s">
        <v>4353</v>
      </c>
      <c r="Q1502" t="s">
        <v>369</v>
      </c>
      <c r="R1502" t="s">
        <v>370</v>
      </c>
      <c r="T1502" t="s">
        <v>5</v>
      </c>
      <c r="U1502" s="3" t="str">
        <f>+VLOOKUP(Sites_per_tag[[#This Row],[Activity_tag]],Parameter!$A$24:$B$32,2,0)</f>
        <v>MAM</v>
      </c>
      <c r="W1502">
        <v>47.385530000000003</v>
      </c>
      <c r="X1502">
        <v>-22.570900000000002</v>
      </c>
    </row>
    <row r="1503" spans="1:24" x14ac:dyDescent="0.35">
      <c r="A1503" s="3" t="str">
        <f t="shared" si="23"/>
        <v>MG25217090002001MAM</v>
      </c>
      <c r="B1503" t="s">
        <v>6193</v>
      </c>
      <c r="C1503">
        <f>+VLOOKUP(Sites_per_tag[[#This Row],[Field_office]],Parameter!$A$3:$B$11,2,0)</f>
        <v>4</v>
      </c>
      <c r="E1503" t="s">
        <v>5658</v>
      </c>
      <c r="F1503" t="s">
        <v>5659</v>
      </c>
      <c r="H1503" t="str">
        <f ca="1">PROPER(Sites_per_tag[[#This Row],[Adm2Name]])</f>
        <v>Vondrozo</v>
      </c>
      <c r="I1503" t="s">
        <v>5738</v>
      </c>
      <c r="K1503" t="s">
        <v>369</v>
      </c>
      <c r="L1503" t="s">
        <v>5735</v>
      </c>
      <c r="N1503" t="s">
        <v>4355</v>
      </c>
      <c r="O1503" t="s">
        <v>4354</v>
      </c>
      <c r="Q1503" t="s">
        <v>155</v>
      </c>
      <c r="R1503" t="s">
        <v>156</v>
      </c>
      <c r="T1503" t="s">
        <v>5</v>
      </c>
      <c r="U1503" s="3" t="str">
        <f>+VLOOKUP(Sites_per_tag[[#This Row],[Activity_tag]],Parameter!$A$24:$B$32,2,0)</f>
        <v>MAM</v>
      </c>
      <c r="W1503">
        <v>47.339550000000003</v>
      </c>
      <c r="X1503">
        <v>-22.51858</v>
      </c>
    </row>
    <row r="1504" spans="1:24" x14ac:dyDescent="0.35">
      <c r="A1504" s="3" t="str">
        <f t="shared" si="23"/>
        <v>MG25217090007001MAM</v>
      </c>
      <c r="B1504" t="s">
        <v>6193</v>
      </c>
      <c r="C1504">
        <f>+VLOOKUP(Sites_per_tag[[#This Row],[Field_office]],Parameter!$A$3:$B$11,2,0)</f>
        <v>4</v>
      </c>
      <c r="E1504" t="s">
        <v>5658</v>
      </c>
      <c r="F1504" t="s">
        <v>5659</v>
      </c>
      <c r="H1504" t="str">
        <f ca="1">PROPER(Sites_per_tag[[#This Row],[Adm2Name]])</f>
        <v>Vondrozo</v>
      </c>
      <c r="I1504" t="s">
        <v>5738</v>
      </c>
      <c r="K1504" t="s">
        <v>369</v>
      </c>
      <c r="L1504" t="s">
        <v>5735</v>
      </c>
      <c r="N1504" t="s">
        <v>3725</v>
      </c>
      <c r="O1504" t="s">
        <v>4356</v>
      </c>
      <c r="Q1504" t="s">
        <v>3725</v>
      </c>
      <c r="R1504" t="s">
        <v>3726</v>
      </c>
      <c r="T1504" t="s">
        <v>5</v>
      </c>
      <c r="U1504" s="3" t="str">
        <f>+VLOOKUP(Sites_per_tag[[#This Row],[Activity_tag]],Parameter!$A$24:$B$32,2,0)</f>
        <v>MAM</v>
      </c>
      <c r="W1504">
        <v>47.279620000000001</v>
      </c>
      <c r="X1504">
        <v>-22.58268</v>
      </c>
    </row>
    <row r="1505" spans="1:24" x14ac:dyDescent="0.35">
      <c r="A1505" s="3" t="str">
        <f t="shared" si="23"/>
        <v>MG25217111001001MAM</v>
      </c>
      <c r="B1505" t="s">
        <v>6193</v>
      </c>
      <c r="C1505">
        <f>+VLOOKUP(Sites_per_tag[[#This Row],[Field_office]],Parameter!$A$3:$B$11,2,0)</f>
        <v>4</v>
      </c>
      <c r="E1505" t="s">
        <v>5658</v>
      </c>
      <c r="F1505" t="s">
        <v>5659</v>
      </c>
      <c r="H1505" t="str">
        <f ca="1">PROPER(Sites_per_tag[[#This Row],[Adm2Name]])</f>
        <v>Vondrozo</v>
      </c>
      <c r="I1505" t="s">
        <v>5738</v>
      </c>
      <c r="K1505" t="s">
        <v>2632</v>
      </c>
      <c r="L1505" t="s">
        <v>5992</v>
      </c>
      <c r="N1505" t="s">
        <v>2632</v>
      </c>
      <c r="O1505" t="s">
        <v>5145</v>
      </c>
      <c r="Q1505" t="s">
        <v>2632</v>
      </c>
      <c r="R1505" t="s">
        <v>2633</v>
      </c>
      <c r="T1505" t="s">
        <v>5</v>
      </c>
      <c r="U1505" s="3" t="str">
        <f>+VLOOKUP(Sites_per_tag[[#This Row],[Activity_tag]],Parameter!$A$24:$B$32,2,0)</f>
        <v>MAM</v>
      </c>
      <c r="W1505">
        <v>47.387599999999999</v>
      </c>
      <c r="X1505">
        <v>-22.430630000000001</v>
      </c>
    </row>
    <row r="1506" spans="1:24" x14ac:dyDescent="0.35">
      <c r="A1506" s="3" t="str">
        <f t="shared" si="23"/>
        <v>MG25217111006001MAM</v>
      </c>
      <c r="B1506" t="s">
        <v>6193</v>
      </c>
      <c r="C1506">
        <f>+VLOOKUP(Sites_per_tag[[#This Row],[Field_office]],Parameter!$A$3:$B$11,2,0)</f>
        <v>4</v>
      </c>
      <c r="E1506" t="s">
        <v>5658</v>
      </c>
      <c r="F1506" t="s">
        <v>5659</v>
      </c>
      <c r="H1506" t="str">
        <f ca="1">PROPER(Sites_per_tag[[#This Row],[Adm2Name]])</f>
        <v>Vondrozo</v>
      </c>
      <c r="I1506" t="s">
        <v>5738</v>
      </c>
      <c r="K1506" t="s">
        <v>2632</v>
      </c>
      <c r="L1506" t="s">
        <v>5992</v>
      </c>
      <c r="N1506" t="s">
        <v>3528</v>
      </c>
      <c r="O1506" t="s">
        <v>5146</v>
      </c>
      <c r="Q1506" t="s">
        <v>3528</v>
      </c>
      <c r="R1506" t="s">
        <v>3529</v>
      </c>
      <c r="T1506" t="s">
        <v>5</v>
      </c>
      <c r="U1506" s="3" t="str">
        <f>+VLOOKUP(Sites_per_tag[[#This Row],[Activity_tag]],Parameter!$A$24:$B$32,2,0)</f>
        <v>MAM</v>
      </c>
      <c r="W1506">
        <v>47.32958</v>
      </c>
      <c r="X1506">
        <v>-22.439630000000001</v>
      </c>
    </row>
    <row r="1507" spans="1:24" x14ac:dyDescent="0.35">
      <c r="A1507" s="3" t="str">
        <f t="shared" si="23"/>
        <v>MG25217111011001MAM</v>
      </c>
      <c r="B1507" t="s">
        <v>6193</v>
      </c>
      <c r="C1507">
        <f>+VLOOKUP(Sites_per_tag[[#This Row],[Field_office]],Parameter!$A$3:$B$11,2,0)</f>
        <v>4</v>
      </c>
      <c r="E1507" t="s">
        <v>5658</v>
      </c>
      <c r="F1507" t="s">
        <v>5659</v>
      </c>
      <c r="H1507" t="str">
        <f ca="1">PROPER(Sites_per_tag[[#This Row],[Adm2Name]])</f>
        <v>Vondrozo</v>
      </c>
      <c r="I1507" t="s">
        <v>5738</v>
      </c>
      <c r="K1507" t="s">
        <v>2632</v>
      </c>
      <c r="L1507" t="s">
        <v>5992</v>
      </c>
      <c r="N1507" t="s">
        <v>5148</v>
      </c>
      <c r="O1507" t="s">
        <v>5147</v>
      </c>
      <c r="Q1507" t="s">
        <v>2638</v>
      </c>
      <c r="R1507" t="s">
        <v>2639</v>
      </c>
      <c r="T1507" t="s">
        <v>5</v>
      </c>
      <c r="U1507" s="3" t="str">
        <f>+VLOOKUP(Sites_per_tag[[#This Row],[Activity_tag]],Parameter!$A$24:$B$32,2,0)</f>
        <v>MAM</v>
      </c>
      <c r="W1507">
        <v>47.437517</v>
      </c>
      <c r="X1507">
        <v>-22.485544999999998</v>
      </c>
    </row>
    <row r="1508" spans="1:24" x14ac:dyDescent="0.35">
      <c r="A1508" s="3" t="str">
        <f t="shared" si="23"/>
        <v>MG25217112003001MAM</v>
      </c>
      <c r="B1508" t="s">
        <v>6193</v>
      </c>
      <c r="C1508">
        <f>+VLOOKUP(Sites_per_tag[[#This Row],[Field_office]],Parameter!$A$3:$B$11,2,0)</f>
        <v>4</v>
      </c>
      <c r="E1508" t="s">
        <v>5658</v>
      </c>
      <c r="F1508" t="s">
        <v>5659</v>
      </c>
      <c r="H1508" t="str">
        <f ca="1">PROPER(Sites_per_tag[[#This Row],[Adm2Name]])</f>
        <v>Vondrozo</v>
      </c>
      <c r="I1508" t="s">
        <v>5738</v>
      </c>
      <c r="K1508" t="s">
        <v>2860</v>
      </c>
      <c r="L1508" t="s">
        <v>6027</v>
      </c>
      <c r="N1508" t="s">
        <v>2860</v>
      </c>
      <c r="O1508" t="s">
        <v>5226</v>
      </c>
      <c r="Q1508" t="s">
        <v>2860</v>
      </c>
      <c r="R1508" t="s">
        <v>2861</v>
      </c>
      <c r="T1508" t="s">
        <v>5</v>
      </c>
      <c r="U1508" s="3" t="str">
        <f>+VLOOKUP(Sites_per_tag[[#This Row],[Activity_tag]],Parameter!$A$24:$B$32,2,0)</f>
        <v>MAM</v>
      </c>
      <c r="W1508">
        <v>47.506030000000003</v>
      </c>
      <c r="X1508">
        <v>-22.413350000000001</v>
      </c>
    </row>
    <row r="1509" spans="1:24" x14ac:dyDescent="0.35">
      <c r="A1509" s="3" t="str">
        <f t="shared" si="23"/>
        <v>MG25217112006001MAM</v>
      </c>
      <c r="B1509" t="s">
        <v>6193</v>
      </c>
      <c r="C1509">
        <f>+VLOOKUP(Sites_per_tag[[#This Row],[Field_office]],Parameter!$A$3:$B$11,2,0)</f>
        <v>4</v>
      </c>
      <c r="E1509" t="s">
        <v>5658</v>
      </c>
      <c r="F1509" t="s">
        <v>5659</v>
      </c>
      <c r="H1509" t="str">
        <f ca="1">PROPER(Sites_per_tag[[#This Row],[Adm2Name]])</f>
        <v>Vondrozo</v>
      </c>
      <c r="I1509" t="s">
        <v>5738</v>
      </c>
      <c r="K1509" t="s">
        <v>2860</v>
      </c>
      <c r="L1509" t="s">
        <v>6027</v>
      </c>
      <c r="N1509" t="s">
        <v>2752</v>
      </c>
      <c r="O1509" t="s">
        <v>5227</v>
      </c>
      <c r="Q1509" t="s">
        <v>2752</v>
      </c>
      <c r="R1509" t="s">
        <v>2753</v>
      </c>
      <c r="T1509" t="s">
        <v>5</v>
      </c>
      <c r="U1509" s="3" t="str">
        <f>+VLOOKUP(Sites_per_tag[[#This Row],[Activity_tag]],Parameter!$A$24:$B$32,2,0)</f>
        <v>MAM</v>
      </c>
      <c r="W1509">
        <v>47.546169999999996</v>
      </c>
      <c r="X1509">
        <v>-22.492180000000001</v>
      </c>
    </row>
    <row r="1510" spans="1:24" x14ac:dyDescent="0.35">
      <c r="A1510" s="3" t="str">
        <f t="shared" si="23"/>
        <v>MG25217130003001MAM</v>
      </c>
      <c r="B1510" t="s">
        <v>6193</v>
      </c>
      <c r="C1510">
        <f>+VLOOKUP(Sites_per_tag[[#This Row],[Field_office]],Parameter!$A$3:$B$11,2,0)</f>
        <v>4</v>
      </c>
      <c r="E1510" t="s">
        <v>5658</v>
      </c>
      <c r="F1510" t="s">
        <v>5659</v>
      </c>
      <c r="H1510" t="str">
        <f ca="1">PROPER(Sites_per_tag[[#This Row],[Adm2Name]])</f>
        <v>Vondrozo</v>
      </c>
      <c r="I1510" t="s">
        <v>5738</v>
      </c>
      <c r="K1510" t="s">
        <v>2621</v>
      </c>
      <c r="L1510" t="s">
        <v>5986</v>
      </c>
      <c r="N1510" t="s">
        <v>386</v>
      </c>
      <c r="O1510" t="s">
        <v>5131</v>
      </c>
      <c r="Q1510" t="s">
        <v>390</v>
      </c>
      <c r="R1510" t="s">
        <v>391</v>
      </c>
      <c r="T1510" t="s">
        <v>5</v>
      </c>
      <c r="U1510" s="3" t="str">
        <f>+VLOOKUP(Sites_per_tag[[#This Row],[Activity_tag]],Parameter!$A$24:$B$32,2,0)</f>
        <v>MAM</v>
      </c>
      <c r="W1510">
        <v>47.260226000000003</v>
      </c>
      <c r="X1510">
        <v>-22.448934000000001</v>
      </c>
    </row>
    <row r="1511" spans="1:24" x14ac:dyDescent="0.35">
      <c r="A1511" s="3" t="str">
        <f t="shared" si="23"/>
        <v>MG25217130005001MAM</v>
      </c>
      <c r="B1511" t="s">
        <v>6193</v>
      </c>
      <c r="C1511">
        <f>+VLOOKUP(Sites_per_tag[[#This Row],[Field_office]],Parameter!$A$3:$B$11,2,0)</f>
        <v>4</v>
      </c>
      <c r="E1511" t="s">
        <v>5658</v>
      </c>
      <c r="F1511" t="s">
        <v>5659</v>
      </c>
      <c r="H1511" t="str">
        <f ca="1">PROPER(Sites_per_tag[[#This Row],[Adm2Name]])</f>
        <v>Vondrozo</v>
      </c>
      <c r="I1511" t="s">
        <v>5738</v>
      </c>
      <c r="K1511" t="s">
        <v>2621</v>
      </c>
      <c r="L1511" t="s">
        <v>5986</v>
      </c>
      <c r="N1511" t="s">
        <v>2484</v>
      </c>
      <c r="O1511" t="s">
        <v>5132</v>
      </c>
      <c r="Q1511" t="s">
        <v>2484</v>
      </c>
      <c r="R1511" t="s">
        <v>2485</v>
      </c>
      <c r="T1511" t="s">
        <v>5</v>
      </c>
      <c r="U1511" s="3" t="str">
        <f>+VLOOKUP(Sites_per_tag[[#This Row],[Activity_tag]],Parameter!$A$24:$B$32,2,0)</f>
        <v>MAM</v>
      </c>
      <c r="W1511">
        <v>47.251950000000001</v>
      </c>
      <c r="X1511">
        <v>-22.477699999999999</v>
      </c>
    </row>
    <row r="1512" spans="1:24" x14ac:dyDescent="0.35">
      <c r="A1512" s="3" t="str">
        <f t="shared" si="23"/>
        <v>MG25217150005001MAM</v>
      </c>
      <c r="B1512" t="s">
        <v>6193</v>
      </c>
      <c r="C1512">
        <f>+VLOOKUP(Sites_per_tag[[#This Row],[Field_office]],Parameter!$A$3:$B$11,2,0)</f>
        <v>4</v>
      </c>
      <c r="E1512" t="s">
        <v>5658</v>
      </c>
      <c r="F1512" t="s">
        <v>5659</v>
      </c>
      <c r="H1512" t="str">
        <f ca="1">PROPER(Sites_per_tag[[#This Row],[Adm2Name]])</f>
        <v>Vondrozo</v>
      </c>
      <c r="I1512" t="s">
        <v>5738</v>
      </c>
      <c r="K1512" t="s">
        <v>2783</v>
      </c>
      <c r="L1512" t="s">
        <v>6009</v>
      </c>
      <c r="N1512" t="s">
        <v>1536</v>
      </c>
      <c r="O1512" t="s">
        <v>5193</v>
      </c>
      <c r="Q1512" t="s">
        <v>1536</v>
      </c>
      <c r="R1512" t="s">
        <v>1537</v>
      </c>
      <c r="T1512" t="s">
        <v>5</v>
      </c>
      <c r="U1512" s="3" t="str">
        <f>+VLOOKUP(Sites_per_tag[[#This Row],[Activity_tag]],Parameter!$A$24:$B$32,2,0)</f>
        <v>MAM</v>
      </c>
      <c r="W1512">
        <v>47.399349999999998</v>
      </c>
      <c r="X1512">
        <v>-22.341819999999998</v>
      </c>
    </row>
    <row r="1513" spans="1:24" x14ac:dyDescent="0.35">
      <c r="A1513" s="3" t="str">
        <f t="shared" si="23"/>
        <v>MG25217191001001MAM</v>
      </c>
      <c r="B1513" t="s">
        <v>6193</v>
      </c>
      <c r="C1513">
        <f>+VLOOKUP(Sites_per_tag[[#This Row],[Field_office]],Parameter!$A$3:$B$11,2,0)</f>
        <v>4</v>
      </c>
      <c r="E1513" t="s">
        <v>5658</v>
      </c>
      <c r="F1513" t="s">
        <v>5659</v>
      </c>
      <c r="H1513" t="str">
        <f ca="1">PROPER(Sites_per_tag[[#This Row],[Adm2Name]])</f>
        <v>Vondrozo</v>
      </c>
      <c r="I1513" t="s">
        <v>5738</v>
      </c>
      <c r="K1513" t="s">
        <v>3246</v>
      </c>
      <c r="L1513" t="s">
        <v>6078</v>
      </c>
      <c r="N1513" t="s">
        <v>3246</v>
      </c>
      <c r="O1513" t="s">
        <v>5376</v>
      </c>
      <c r="Q1513" t="s">
        <v>3246</v>
      </c>
      <c r="R1513" t="s">
        <v>3247</v>
      </c>
      <c r="T1513" t="s">
        <v>5</v>
      </c>
      <c r="U1513" s="3" t="str">
        <f>+VLOOKUP(Sites_per_tag[[#This Row],[Activity_tag]],Parameter!$A$24:$B$32,2,0)</f>
        <v>MAM</v>
      </c>
      <c r="W1513">
        <v>47.193800000000003</v>
      </c>
      <c r="X1513">
        <v>-22.289180000000002</v>
      </c>
    </row>
    <row r="1514" spans="1:24" x14ac:dyDescent="0.35">
      <c r="A1514" s="3" t="str">
        <f t="shared" si="23"/>
        <v>MG25217191003001MAM</v>
      </c>
      <c r="B1514" t="s">
        <v>6193</v>
      </c>
      <c r="C1514">
        <f>+VLOOKUP(Sites_per_tag[[#This Row],[Field_office]],Parameter!$A$3:$B$11,2,0)</f>
        <v>4</v>
      </c>
      <c r="E1514" t="s">
        <v>5658</v>
      </c>
      <c r="F1514" t="s">
        <v>5659</v>
      </c>
      <c r="H1514" t="str">
        <f ca="1">PROPER(Sites_per_tag[[#This Row],[Adm2Name]])</f>
        <v>Vondrozo</v>
      </c>
      <c r="I1514" t="s">
        <v>5738</v>
      </c>
      <c r="K1514" t="s">
        <v>3246</v>
      </c>
      <c r="L1514" t="s">
        <v>6078</v>
      </c>
      <c r="N1514" t="s">
        <v>1474</v>
      </c>
      <c r="O1514" t="s">
        <v>5377</v>
      </c>
      <c r="Q1514" t="s">
        <v>1474</v>
      </c>
      <c r="R1514" t="s">
        <v>1475</v>
      </c>
      <c r="T1514" t="s">
        <v>5</v>
      </c>
      <c r="U1514" s="3" t="str">
        <f>+VLOOKUP(Sites_per_tag[[#This Row],[Activity_tag]],Parameter!$A$24:$B$32,2,0)</f>
        <v>MAM</v>
      </c>
      <c r="W1514">
        <v>47.258130000000001</v>
      </c>
      <c r="X1514">
        <v>-22.784130000000001</v>
      </c>
    </row>
    <row r="1515" spans="1:24" x14ac:dyDescent="0.35">
      <c r="A1515" s="3" t="str">
        <f t="shared" si="23"/>
        <v>MG25217191005001MAM</v>
      </c>
      <c r="B1515" t="s">
        <v>6193</v>
      </c>
      <c r="C1515">
        <f>+VLOOKUP(Sites_per_tag[[#This Row],[Field_office]],Parameter!$A$3:$B$11,2,0)</f>
        <v>4</v>
      </c>
      <c r="E1515" t="s">
        <v>5658</v>
      </c>
      <c r="F1515" t="s">
        <v>5659</v>
      </c>
      <c r="H1515" t="str">
        <f ca="1">PROPER(Sites_per_tag[[#This Row],[Adm2Name]])</f>
        <v>Vondrozo</v>
      </c>
      <c r="I1515" t="s">
        <v>5738</v>
      </c>
      <c r="K1515" t="s">
        <v>3246</v>
      </c>
      <c r="L1515" t="s">
        <v>6078</v>
      </c>
      <c r="N1515" t="s">
        <v>2357</v>
      </c>
      <c r="O1515" t="s">
        <v>5378</v>
      </c>
      <c r="Q1515" t="s">
        <v>2357</v>
      </c>
      <c r="R1515" t="s">
        <v>2358</v>
      </c>
      <c r="T1515" t="s">
        <v>5</v>
      </c>
      <c r="U1515" s="3" t="str">
        <f>+VLOOKUP(Sites_per_tag[[#This Row],[Activity_tag]],Parameter!$A$24:$B$32,2,0)</f>
        <v>MAM</v>
      </c>
      <c r="W1515">
        <v>47.246270000000003</v>
      </c>
      <c r="X1515">
        <v>-22.30575</v>
      </c>
    </row>
    <row r="1516" spans="1:24" x14ac:dyDescent="0.35">
      <c r="A1516" s="3" t="str">
        <f t="shared" si="23"/>
        <v>MG25217192001001MAM</v>
      </c>
      <c r="B1516" t="s">
        <v>6193</v>
      </c>
      <c r="C1516">
        <f>+VLOOKUP(Sites_per_tag[[#This Row],[Field_office]],Parameter!$A$3:$B$11,2,0)</f>
        <v>4</v>
      </c>
      <c r="E1516" t="s">
        <v>5658</v>
      </c>
      <c r="F1516" t="s">
        <v>5659</v>
      </c>
      <c r="H1516" t="str">
        <f ca="1">PROPER(Sites_per_tag[[#This Row],[Adm2Name]])</f>
        <v>Vondrozo</v>
      </c>
      <c r="I1516" t="s">
        <v>5738</v>
      </c>
      <c r="K1516" t="s">
        <v>3893</v>
      </c>
      <c r="L1516" t="s">
        <v>6159</v>
      </c>
      <c r="N1516" t="s">
        <v>3893</v>
      </c>
      <c r="O1516" t="s">
        <v>5564</v>
      </c>
      <c r="Q1516" t="s">
        <v>3893</v>
      </c>
      <c r="R1516" t="s">
        <v>3894</v>
      </c>
      <c r="T1516" t="s">
        <v>5</v>
      </c>
      <c r="U1516" s="3" t="str">
        <f>+VLOOKUP(Sites_per_tag[[#This Row],[Activity_tag]],Parameter!$A$24:$B$32,2,0)</f>
        <v>MAM</v>
      </c>
      <c r="W1516">
        <v>47.31532</v>
      </c>
      <c r="X1516">
        <v>-22.325749999999999</v>
      </c>
    </row>
    <row r="1517" spans="1:24" x14ac:dyDescent="0.35">
      <c r="A1517" s="3" t="str">
        <f t="shared" si="23"/>
        <v>MG25217192002001MAM</v>
      </c>
      <c r="B1517" t="s">
        <v>6193</v>
      </c>
      <c r="C1517">
        <f>+VLOOKUP(Sites_per_tag[[#This Row],[Field_office]],Parameter!$A$3:$B$11,2,0)</f>
        <v>4</v>
      </c>
      <c r="E1517" t="s">
        <v>5658</v>
      </c>
      <c r="F1517" t="s">
        <v>5659</v>
      </c>
      <c r="H1517" t="str">
        <f ca="1">PROPER(Sites_per_tag[[#This Row],[Adm2Name]])</f>
        <v>Vondrozo</v>
      </c>
      <c r="I1517" t="s">
        <v>5738</v>
      </c>
      <c r="K1517" t="s">
        <v>3893</v>
      </c>
      <c r="L1517" t="s">
        <v>6159</v>
      </c>
      <c r="N1517" t="s">
        <v>679</v>
      </c>
      <c r="O1517" t="s">
        <v>5565</v>
      </c>
      <c r="Q1517" t="s">
        <v>679</v>
      </c>
      <c r="R1517" t="s">
        <v>680</v>
      </c>
      <c r="T1517" t="s">
        <v>5</v>
      </c>
      <c r="U1517" s="3" t="str">
        <f>+VLOOKUP(Sites_per_tag[[#This Row],[Activity_tag]],Parameter!$A$24:$B$32,2,0)</f>
        <v>MAM</v>
      </c>
      <c r="W1517">
        <v>47.268970000000003</v>
      </c>
      <c r="X1517">
        <v>-22.317879999999999</v>
      </c>
    </row>
    <row r="1518" spans="1:24" x14ac:dyDescent="0.35">
      <c r="A1518" s="3" t="str">
        <f t="shared" si="23"/>
        <v>MG25217192003001MAM</v>
      </c>
      <c r="B1518" t="s">
        <v>6193</v>
      </c>
      <c r="C1518">
        <f>+VLOOKUP(Sites_per_tag[[#This Row],[Field_office]],Parameter!$A$3:$B$11,2,0)</f>
        <v>4</v>
      </c>
      <c r="E1518" t="s">
        <v>5658</v>
      </c>
      <c r="F1518" t="s">
        <v>5659</v>
      </c>
      <c r="H1518" t="str">
        <f ca="1">PROPER(Sites_per_tag[[#This Row],[Adm2Name]])</f>
        <v>Vondrozo</v>
      </c>
      <c r="I1518" t="s">
        <v>5738</v>
      </c>
      <c r="K1518" t="s">
        <v>3893</v>
      </c>
      <c r="L1518" t="s">
        <v>6159</v>
      </c>
      <c r="N1518" t="s">
        <v>2967</v>
      </c>
      <c r="O1518" t="s">
        <v>5566</v>
      </c>
      <c r="Q1518" t="s">
        <v>2967</v>
      </c>
      <c r="R1518" t="s">
        <v>2968</v>
      </c>
      <c r="T1518" t="s">
        <v>5</v>
      </c>
      <c r="U1518" s="3" t="str">
        <f>+VLOOKUP(Sites_per_tag[[#This Row],[Activity_tag]],Parameter!$A$24:$B$32,2,0)</f>
        <v>MAM</v>
      </c>
      <c r="W1518">
        <v>47.260420000000003</v>
      </c>
      <c r="X1518">
        <v>-22.352499999999999</v>
      </c>
    </row>
    <row r="1519" spans="1:24" x14ac:dyDescent="0.35">
      <c r="A1519" s="3" t="str">
        <f t="shared" si="23"/>
        <v>MG25217192004001MAM</v>
      </c>
      <c r="B1519" t="s">
        <v>6193</v>
      </c>
      <c r="C1519">
        <f>+VLOOKUP(Sites_per_tag[[#This Row],[Field_office]],Parameter!$A$3:$B$11,2,0)</f>
        <v>4</v>
      </c>
      <c r="E1519" t="s">
        <v>5658</v>
      </c>
      <c r="F1519" t="s">
        <v>5659</v>
      </c>
      <c r="H1519" t="str">
        <f ca="1">PROPER(Sites_per_tag[[#This Row],[Adm2Name]])</f>
        <v>Vondrozo</v>
      </c>
      <c r="I1519" t="s">
        <v>5738</v>
      </c>
      <c r="K1519" t="s">
        <v>3893</v>
      </c>
      <c r="L1519" t="s">
        <v>6159</v>
      </c>
      <c r="N1519" t="s">
        <v>3278</v>
      </c>
      <c r="O1519" t="s">
        <v>5567</v>
      </c>
      <c r="Q1519" t="s">
        <v>3278</v>
      </c>
      <c r="R1519" t="s">
        <v>3279</v>
      </c>
      <c r="T1519" t="s">
        <v>5</v>
      </c>
      <c r="U1519" s="3" t="str">
        <f>+VLOOKUP(Sites_per_tag[[#This Row],[Activity_tag]],Parameter!$A$24:$B$32,2,0)</f>
        <v>MAM</v>
      </c>
      <c r="W1519">
        <v>47.317129999999999</v>
      </c>
      <c r="X1519">
        <v>-22.346150000000002</v>
      </c>
    </row>
    <row r="1520" spans="1:24" x14ac:dyDescent="0.35">
      <c r="A1520" s="3" t="str">
        <f t="shared" si="23"/>
        <v>MG25222011008001MAM</v>
      </c>
      <c r="B1520" t="s">
        <v>6193</v>
      </c>
      <c r="C1520">
        <f>+VLOOKUP(Sites_per_tag[[#This Row],[Field_office]],Parameter!$A$3:$B$11,2,0)</f>
        <v>4</v>
      </c>
      <c r="E1520" t="s">
        <v>5658</v>
      </c>
      <c r="F1520" t="s">
        <v>5659</v>
      </c>
      <c r="H1520" t="str">
        <f ca="1">PROPER(Sites_per_tag[[#This Row],[Adm2Name]])</f>
        <v>Befotaka</v>
      </c>
      <c r="I1520" t="s">
        <v>5680</v>
      </c>
      <c r="K1520" t="s">
        <v>5886</v>
      </c>
      <c r="L1520" t="s">
        <v>5887</v>
      </c>
      <c r="N1520" t="s">
        <v>1757</v>
      </c>
      <c r="O1520" t="s">
        <v>4748</v>
      </c>
      <c r="Q1520" t="s">
        <v>1757</v>
      </c>
      <c r="R1520" t="s">
        <v>1758</v>
      </c>
      <c r="T1520" t="s">
        <v>5</v>
      </c>
      <c r="U1520" s="3" t="str">
        <f>+VLOOKUP(Sites_per_tag[[#This Row],[Activity_tag]],Parameter!$A$24:$B$32,2,0)</f>
        <v>MAM</v>
      </c>
      <c r="W1520">
        <v>46.986170000000001</v>
      </c>
      <c r="X1520">
        <v>-23.82368</v>
      </c>
    </row>
    <row r="1521" spans="1:24" x14ac:dyDescent="0.35">
      <c r="A1521" s="3" t="str">
        <f t="shared" si="23"/>
        <v>MG25222012002001MAM</v>
      </c>
      <c r="B1521" t="s">
        <v>6193</v>
      </c>
      <c r="C1521">
        <f>+VLOOKUP(Sites_per_tag[[#This Row],[Field_office]],Parameter!$A$3:$B$11,2,0)</f>
        <v>4</v>
      </c>
      <c r="E1521" t="s">
        <v>5658</v>
      </c>
      <c r="F1521" t="s">
        <v>5659</v>
      </c>
      <c r="H1521" t="str">
        <f ca="1">PROPER(Sites_per_tag[[#This Row],[Adm2Name]])</f>
        <v>Befotaka</v>
      </c>
      <c r="I1521" t="s">
        <v>5680</v>
      </c>
      <c r="K1521" t="s">
        <v>1554</v>
      </c>
      <c r="L1521" t="s">
        <v>5869</v>
      </c>
      <c r="N1521" t="s">
        <v>222</v>
      </c>
      <c r="O1521" t="s">
        <v>4732</v>
      </c>
      <c r="Q1521" t="s">
        <v>232</v>
      </c>
      <c r="R1521" t="s">
        <v>233</v>
      </c>
      <c r="T1521" t="s">
        <v>5</v>
      </c>
      <c r="U1521" s="3" t="str">
        <f>+VLOOKUP(Sites_per_tag[[#This Row],[Activity_tag]],Parameter!$A$24:$B$32,2,0)</f>
        <v>MAM</v>
      </c>
      <c r="W1521">
        <v>47.094411999999998</v>
      </c>
      <c r="X1521">
        <v>-23.865410000000001</v>
      </c>
    </row>
    <row r="1522" spans="1:24" x14ac:dyDescent="0.35">
      <c r="A1522" s="3" t="str">
        <f t="shared" si="23"/>
        <v>MG25222012006001MAM</v>
      </c>
      <c r="B1522" t="s">
        <v>6193</v>
      </c>
      <c r="C1522">
        <f>+VLOOKUP(Sites_per_tag[[#This Row],[Field_office]],Parameter!$A$3:$B$11,2,0)</f>
        <v>4</v>
      </c>
      <c r="E1522" t="s">
        <v>5658</v>
      </c>
      <c r="F1522" t="s">
        <v>5659</v>
      </c>
      <c r="H1522" t="str">
        <f ca="1">PROPER(Sites_per_tag[[#This Row],[Adm2Name]])</f>
        <v>Befotaka</v>
      </c>
      <c r="I1522" t="s">
        <v>5680</v>
      </c>
      <c r="K1522" t="s">
        <v>1554</v>
      </c>
      <c r="L1522" t="s">
        <v>5869</v>
      </c>
      <c r="N1522" t="s">
        <v>1554</v>
      </c>
      <c r="O1522" t="s">
        <v>4733</v>
      </c>
      <c r="Q1522" t="s">
        <v>1556</v>
      </c>
      <c r="R1522" t="s">
        <v>1557</v>
      </c>
      <c r="T1522" t="s">
        <v>5</v>
      </c>
      <c r="U1522" s="3" t="str">
        <f>+VLOOKUP(Sites_per_tag[[#This Row],[Activity_tag]],Parameter!$A$24:$B$32,2,0)</f>
        <v>MAM</v>
      </c>
      <c r="W1522">
        <v>47.558729999999997</v>
      </c>
      <c r="X1522">
        <v>-22.859829999999999</v>
      </c>
    </row>
    <row r="1523" spans="1:24" x14ac:dyDescent="0.35">
      <c r="A1523" s="3" t="str">
        <f t="shared" si="23"/>
        <v>MG25222031001001MAM</v>
      </c>
      <c r="B1523" t="s">
        <v>6193</v>
      </c>
      <c r="C1523">
        <f>+VLOOKUP(Sites_per_tag[[#This Row],[Field_office]],Parameter!$A$3:$B$11,2,0)</f>
        <v>4</v>
      </c>
      <c r="E1523" t="s">
        <v>5658</v>
      </c>
      <c r="F1523" t="s">
        <v>5659</v>
      </c>
      <c r="H1523" t="str">
        <f ca="1">PROPER(Sites_per_tag[[#This Row],[Adm2Name]])</f>
        <v>Befotaka</v>
      </c>
      <c r="I1523" t="s">
        <v>5680</v>
      </c>
      <c r="K1523" t="s">
        <v>3113</v>
      </c>
      <c r="L1523" t="s">
        <v>6056</v>
      </c>
      <c r="N1523" t="s">
        <v>3113</v>
      </c>
      <c r="O1523" t="s">
        <v>5349</v>
      </c>
      <c r="Q1523" t="s">
        <v>3113</v>
      </c>
      <c r="R1523" t="s">
        <v>3114</v>
      </c>
      <c r="T1523" t="s">
        <v>5</v>
      </c>
      <c r="U1523" s="3" t="str">
        <f>+VLOOKUP(Sites_per_tag[[#This Row],[Activity_tag]],Parameter!$A$24:$B$32,2,0)</f>
        <v>MAM</v>
      </c>
      <c r="W1523">
        <v>46.918669999999999</v>
      </c>
      <c r="X1523">
        <v>-24.060680000000001</v>
      </c>
    </row>
    <row r="1524" spans="1:24" x14ac:dyDescent="0.35">
      <c r="A1524" s="3" t="str">
        <f t="shared" si="23"/>
        <v>MG25222031002001MAM</v>
      </c>
      <c r="B1524" t="s">
        <v>6193</v>
      </c>
      <c r="C1524">
        <f>+VLOOKUP(Sites_per_tag[[#This Row],[Field_office]],Parameter!$A$3:$B$11,2,0)</f>
        <v>4</v>
      </c>
      <c r="E1524" t="s">
        <v>5658</v>
      </c>
      <c r="F1524" t="s">
        <v>5659</v>
      </c>
      <c r="H1524" t="str">
        <f ca="1">PROPER(Sites_per_tag[[#This Row],[Adm2Name]])</f>
        <v>Befotaka</v>
      </c>
      <c r="I1524" t="s">
        <v>5680</v>
      </c>
      <c r="K1524" t="s">
        <v>1551</v>
      </c>
      <c r="L1524" t="s">
        <v>5866</v>
      </c>
      <c r="N1524" t="s">
        <v>1551</v>
      </c>
      <c r="O1524" t="s">
        <v>4728</v>
      </c>
      <c r="Q1524" t="s">
        <v>1551</v>
      </c>
      <c r="R1524" t="s">
        <v>1552</v>
      </c>
      <c r="T1524" t="s">
        <v>5</v>
      </c>
      <c r="U1524" s="3" t="str">
        <f>+VLOOKUP(Sites_per_tag[[#This Row],[Activity_tag]],Parameter!$A$24:$B$32,2,0)</f>
        <v>MAM</v>
      </c>
      <c r="W1524">
        <v>46.779249999999998</v>
      </c>
      <c r="X1524">
        <v>-23.963229999999999</v>
      </c>
    </row>
    <row r="1525" spans="1:24" x14ac:dyDescent="0.35">
      <c r="A1525" s="3" t="str">
        <f t="shared" si="23"/>
        <v>MG25222031004001MAM</v>
      </c>
      <c r="B1525" t="s">
        <v>6210</v>
      </c>
      <c r="C1525">
        <f>+VLOOKUP(Sites_per_tag[[#This Row],[Field_office]],Parameter!$A$3:$B$11,2,0)</f>
        <v>10</v>
      </c>
      <c r="E1525" t="s">
        <v>5650</v>
      </c>
      <c r="F1525" t="s">
        <v>5654</v>
      </c>
      <c r="H1525" t="str">
        <f ca="1">PROPER(Sites_per_tag[[#This Row],[Adm2Name]])</f>
        <v>Betioky Atsimo</v>
      </c>
      <c r="I1525" t="s">
        <v>5688</v>
      </c>
      <c r="K1525" t="s">
        <v>1691</v>
      </c>
      <c r="L1525" t="s">
        <v>5879</v>
      </c>
      <c r="N1525" t="s">
        <v>3167</v>
      </c>
      <c r="O1525" t="s">
        <v>4736</v>
      </c>
      <c r="Q1525" t="s">
        <v>3175</v>
      </c>
      <c r="R1525" t="s">
        <v>3176</v>
      </c>
      <c r="T1525" t="s">
        <v>5</v>
      </c>
      <c r="U1525" s="3" t="str">
        <f>+VLOOKUP(Sites_per_tag[[#This Row],[Activity_tag]],Parameter!$A$24:$B$32,2,0)</f>
        <v>MAM</v>
      </c>
      <c r="W1525">
        <v>44.360436</v>
      </c>
      <c r="X1525">
        <v>-23.804224999999999</v>
      </c>
    </row>
    <row r="1526" spans="1:24" x14ac:dyDescent="0.35">
      <c r="A1526" s="3" t="str">
        <f t="shared" si="23"/>
        <v>MG25222032005001MAM</v>
      </c>
      <c r="B1526" t="s">
        <v>6193</v>
      </c>
      <c r="C1526">
        <f>+VLOOKUP(Sites_per_tag[[#This Row],[Field_office]],Parameter!$A$3:$B$11,2,0)</f>
        <v>4</v>
      </c>
      <c r="E1526" t="s">
        <v>5658</v>
      </c>
      <c r="F1526" t="s">
        <v>5659</v>
      </c>
      <c r="H1526" t="str">
        <f ca="1">PROPER(Sites_per_tag[[#This Row],[Adm2Name]])</f>
        <v>Befotaka</v>
      </c>
      <c r="I1526" t="s">
        <v>5680</v>
      </c>
      <c r="K1526" t="s">
        <v>1788</v>
      </c>
      <c r="L1526" t="s">
        <v>5891</v>
      </c>
      <c r="N1526" t="s">
        <v>1788</v>
      </c>
      <c r="O1526" t="s">
        <v>4762</v>
      </c>
      <c r="Q1526" t="s">
        <v>1788</v>
      </c>
      <c r="R1526" t="s">
        <v>1789</v>
      </c>
      <c r="T1526" t="s">
        <v>5</v>
      </c>
      <c r="U1526" s="3" t="str">
        <f>+VLOOKUP(Sites_per_tag[[#This Row],[Activity_tag]],Parameter!$A$24:$B$32,2,0)</f>
        <v>MAM</v>
      </c>
      <c r="W1526">
        <v>46.777988000000001</v>
      </c>
      <c r="X1526">
        <v>-23.8674</v>
      </c>
    </row>
    <row r="1527" spans="1:24" x14ac:dyDescent="0.35">
      <c r="A1527" s="3" t="str">
        <f t="shared" si="23"/>
        <v>MG25222051001001MAM</v>
      </c>
      <c r="B1527" t="s">
        <v>6193</v>
      </c>
      <c r="C1527">
        <f>+VLOOKUP(Sites_per_tag[[#This Row],[Field_office]],Parameter!$A$3:$B$11,2,0)</f>
        <v>4</v>
      </c>
      <c r="E1527" t="s">
        <v>5658</v>
      </c>
      <c r="F1527" t="s">
        <v>5659</v>
      </c>
      <c r="H1527" t="str">
        <f ca="1">PROPER(Sites_per_tag[[#This Row],[Adm2Name]])</f>
        <v>Befotaka</v>
      </c>
      <c r="I1527" t="s">
        <v>5680</v>
      </c>
      <c r="K1527" t="s">
        <v>3324</v>
      </c>
      <c r="L1527" t="s">
        <v>6089</v>
      </c>
      <c r="N1527" t="s">
        <v>3324</v>
      </c>
      <c r="O1527" t="s">
        <v>5402</v>
      </c>
      <c r="Q1527" t="s">
        <v>3324</v>
      </c>
      <c r="R1527" t="s">
        <v>3325</v>
      </c>
      <c r="T1527" t="s">
        <v>5</v>
      </c>
      <c r="U1527" s="3" t="str">
        <f>+VLOOKUP(Sites_per_tag[[#This Row],[Activity_tag]],Parameter!$A$24:$B$32,2,0)</f>
        <v>MAM</v>
      </c>
      <c r="W1527">
        <v>46.649880000000003</v>
      </c>
      <c r="X1527">
        <v>-23.731280000000002</v>
      </c>
    </row>
    <row r="1528" spans="1:24" x14ac:dyDescent="0.35">
      <c r="A1528" s="3" t="str">
        <f t="shared" si="23"/>
        <v>MG25222051003001MAM</v>
      </c>
      <c r="B1528" t="s">
        <v>6193</v>
      </c>
      <c r="C1528">
        <f>+VLOOKUP(Sites_per_tag[[#This Row],[Field_office]],Parameter!$A$3:$B$11,2,0)</f>
        <v>4</v>
      </c>
      <c r="E1528" t="s">
        <v>5658</v>
      </c>
      <c r="F1528" t="s">
        <v>5659</v>
      </c>
      <c r="H1528" t="str">
        <f ca="1">PROPER(Sites_per_tag[[#This Row],[Adm2Name]])</f>
        <v>Befotaka</v>
      </c>
      <c r="I1528" t="s">
        <v>5680</v>
      </c>
      <c r="K1528" t="s">
        <v>2597</v>
      </c>
      <c r="L1528" t="s">
        <v>5976</v>
      </c>
      <c r="N1528" t="s">
        <v>2597</v>
      </c>
      <c r="O1528" t="s">
        <v>5094</v>
      </c>
      <c r="Q1528" t="s">
        <v>2597</v>
      </c>
      <c r="R1528" t="s">
        <v>2598</v>
      </c>
      <c r="T1528" t="s">
        <v>5</v>
      </c>
      <c r="U1528" s="3" t="str">
        <f>+VLOOKUP(Sites_per_tag[[#This Row],[Activity_tag]],Parameter!$A$24:$B$32,2,0)</f>
        <v>MAM</v>
      </c>
      <c r="W1528">
        <v>46.820630000000001</v>
      </c>
      <c r="X1528">
        <v>-23.838480000000001</v>
      </c>
    </row>
    <row r="1529" spans="1:24" x14ac:dyDescent="0.35">
      <c r="A1529" s="3" t="str">
        <f t="shared" si="23"/>
        <v>MG25222052003001MAM</v>
      </c>
      <c r="B1529" t="s">
        <v>6193</v>
      </c>
      <c r="C1529">
        <f>+VLOOKUP(Sites_per_tag[[#This Row],[Field_office]],Parameter!$A$3:$B$11,2,0)</f>
        <v>4</v>
      </c>
      <c r="E1529" t="s">
        <v>5658</v>
      </c>
      <c r="F1529" t="s">
        <v>5659</v>
      </c>
      <c r="H1529" t="str">
        <f ca="1">PROPER(Sites_per_tag[[#This Row],[Adm2Name]])</f>
        <v>Befotaka</v>
      </c>
      <c r="I1529" t="s">
        <v>5680</v>
      </c>
      <c r="K1529" t="s">
        <v>1788</v>
      </c>
      <c r="L1529" t="s">
        <v>5891</v>
      </c>
      <c r="N1529" t="s">
        <v>1134</v>
      </c>
      <c r="O1529" t="s">
        <v>4763</v>
      </c>
      <c r="Q1529" t="s">
        <v>1134</v>
      </c>
      <c r="R1529" t="s">
        <v>1135</v>
      </c>
      <c r="T1529" t="s">
        <v>5</v>
      </c>
      <c r="U1529" s="3" t="str">
        <f>+VLOOKUP(Sites_per_tag[[#This Row],[Activity_tag]],Parameter!$A$24:$B$32,2,0)</f>
        <v>MAM</v>
      </c>
      <c r="W1529">
        <v>46.761369999999999</v>
      </c>
      <c r="X1529">
        <v>-23.801600000000001</v>
      </c>
    </row>
    <row r="1530" spans="1:24" x14ac:dyDescent="0.35">
      <c r="A1530" s="3" t="str">
        <f t="shared" si="23"/>
        <v>MG25222053002001MAM</v>
      </c>
      <c r="B1530" t="s">
        <v>6193</v>
      </c>
      <c r="C1530">
        <f>+VLOOKUP(Sites_per_tag[[#This Row],[Field_office]],Parameter!$A$3:$B$11,2,0)</f>
        <v>4</v>
      </c>
      <c r="E1530" t="s">
        <v>5658</v>
      </c>
      <c r="F1530" t="s">
        <v>5659</v>
      </c>
      <c r="H1530" t="str">
        <f ca="1">PROPER(Sites_per_tag[[#This Row],[Adm2Name]])</f>
        <v>Befotaka</v>
      </c>
      <c r="I1530" t="s">
        <v>5680</v>
      </c>
      <c r="K1530" t="s">
        <v>5899</v>
      </c>
      <c r="L1530" t="s">
        <v>5900</v>
      </c>
      <c r="N1530" t="s">
        <v>1857</v>
      </c>
      <c r="O1530" t="s">
        <v>4781</v>
      </c>
      <c r="Q1530" t="s">
        <v>1859</v>
      </c>
      <c r="R1530" t="s">
        <v>1860</v>
      </c>
      <c r="T1530" t="s">
        <v>5</v>
      </c>
      <c r="U1530" s="3" t="str">
        <f>+VLOOKUP(Sites_per_tag[[#This Row],[Activity_tag]],Parameter!$A$24:$B$32,2,0)</f>
        <v>MAM</v>
      </c>
      <c r="W1530">
        <v>46.937567999999999</v>
      </c>
      <c r="X1530">
        <v>-23.831295000000001</v>
      </c>
    </row>
    <row r="1531" spans="1:24" x14ac:dyDescent="0.35">
      <c r="A1531" s="3" t="str">
        <f t="shared" si="23"/>
        <v>MG31306010017001STUNT</v>
      </c>
      <c r="B1531" t="s">
        <v>6267</v>
      </c>
      <c r="C1531">
        <f>+VLOOKUP(Sites_per_tag[[#This Row],[Field_office]],Parameter!$A$3:$B$11,2,0)</f>
        <v>9</v>
      </c>
      <c r="E1531" t="s">
        <v>5650</v>
      </c>
      <c r="F1531" t="s">
        <v>5654</v>
      </c>
      <c r="H1531" t="str">
        <f ca="1">PROPER(Sites_per_tag[[#This Row],[Adm2Name]])</f>
        <v>Ampanihy Ouest</v>
      </c>
      <c r="I1531" t="s">
        <v>5660</v>
      </c>
      <c r="K1531" t="s">
        <v>5783</v>
      </c>
      <c r="L1531" t="s">
        <v>5784</v>
      </c>
      <c r="N1531" t="s">
        <v>3594</v>
      </c>
      <c r="O1531" t="s">
        <v>4026</v>
      </c>
      <c r="Q1531" t="s">
        <v>3594</v>
      </c>
      <c r="R1531" t="s">
        <v>3595</v>
      </c>
      <c r="T1531" t="s">
        <v>50</v>
      </c>
      <c r="U1531" s="3" t="str">
        <f>+VLOOKUP(Sites_per_tag[[#This Row],[Activity_tag]],Parameter!$A$24:$B$32,2,0)</f>
        <v>STUNT</v>
      </c>
      <c r="V1531" t="s">
        <v>6437</v>
      </c>
      <c r="W1531">
        <v>44.92062</v>
      </c>
      <c r="X1531">
        <v>-24.04252</v>
      </c>
    </row>
    <row r="1532" spans="1:24" x14ac:dyDescent="0.35">
      <c r="A1532" s="3" t="str">
        <f t="shared" si="23"/>
        <v>MG31306010017002MAM</v>
      </c>
      <c r="B1532" t="s">
        <v>6267</v>
      </c>
      <c r="C1532">
        <f>+VLOOKUP(Sites_per_tag[[#This Row],[Field_office]],Parameter!$A$3:$B$11,2,0)</f>
        <v>9</v>
      </c>
      <c r="E1532" t="s">
        <v>5650</v>
      </c>
      <c r="F1532" t="s">
        <v>5654</v>
      </c>
      <c r="H1532" t="str">
        <f ca="1">PROPER(Sites_per_tag[[#This Row],[Adm2Name]])</f>
        <v>Ampanihy Ouest</v>
      </c>
      <c r="I1532" t="s">
        <v>5660</v>
      </c>
      <c r="K1532" t="s">
        <v>5783</v>
      </c>
      <c r="L1532" t="s">
        <v>5784</v>
      </c>
      <c r="N1532" t="s">
        <v>3594</v>
      </c>
      <c r="O1532" t="s">
        <v>4026</v>
      </c>
      <c r="Q1532" t="s">
        <v>3596</v>
      </c>
      <c r="R1532" t="s">
        <v>3597</v>
      </c>
      <c r="T1532" t="s">
        <v>5</v>
      </c>
      <c r="U1532" s="3" t="str">
        <f>+VLOOKUP(Sites_per_tag[[#This Row],[Activity_tag]],Parameter!$A$24:$B$32,2,0)</f>
        <v>MAM</v>
      </c>
      <c r="W1532">
        <v>44.92062</v>
      </c>
      <c r="X1532">
        <v>-24.04252</v>
      </c>
    </row>
    <row r="1533" spans="1:24" x14ac:dyDescent="0.35">
      <c r="A1533" s="3" t="str">
        <f t="shared" si="23"/>
        <v>MG31306050007001MAM</v>
      </c>
      <c r="B1533" t="s">
        <v>6193</v>
      </c>
      <c r="C1533">
        <f>+VLOOKUP(Sites_per_tag[[#This Row],[Field_office]],Parameter!$A$3:$B$11,2,0)</f>
        <v>4</v>
      </c>
      <c r="E1533" t="s">
        <v>5658</v>
      </c>
      <c r="F1533" t="s">
        <v>5659</v>
      </c>
      <c r="H1533" t="str">
        <f ca="1">PROPER(Sites_per_tag[[#This Row],[Adm2Name]])</f>
        <v>Farafangana</v>
      </c>
      <c r="I1533" t="s">
        <v>5694</v>
      </c>
      <c r="K1533" t="s">
        <v>1602</v>
      </c>
      <c r="L1533" t="s">
        <v>5874</v>
      </c>
      <c r="N1533" t="s">
        <v>1602</v>
      </c>
      <c r="O1533" t="s">
        <v>4735</v>
      </c>
      <c r="Q1533" t="s">
        <v>1602</v>
      </c>
      <c r="R1533" t="s">
        <v>1603</v>
      </c>
      <c r="T1533" t="s">
        <v>5</v>
      </c>
      <c r="U1533" s="3" t="str">
        <f>+VLOOKUP(Sites_per_tag[[#This Row],[Activity_tag]],Parameter!$A$24:$B$32,2,0)</f>
        <v>MAM</v>
      </c>
      <c r="W1533">
        <v>47.646700000000003</v>
      </c>
      <c r="X1533">
        <v>-23.170999999999999</v>
      </c>
    </row>
    <row r="1534" spans="1:24" x14ac:dyDescent="0.35">
      <c r="A1534" s="3" t="str">
        <f t="shared" si="23"/>
        <v>MG31306070016001MAM</v>
      </c>
      <c r="B1534" t="s">
        <v>6267</v>
      </c>
      <c r="C1534">
        <f>+VLOOKUP(Sites_per_tag[[#This Row],[Field_office]],Parameter!$A$3:$B$11,2,0)</f>
        <v>9</v>
      </c>
      <c r="E1534" t="s">
        <v>5650</v>
      </c>
      <c r="F1534" t="s">
        <v>5654</v>
      </c>
      <c r="H1534" t="str">
        <f ca="1">PROPER(Sites_per_tag[[#This Row],[Adm2Name]])</f>
        <v>Ampanihy Ouest</v>
      </c>
      <c r="I1534" t="s">
        <v>5660</v>
      </c>
      <c r="K1534" t="s">
        <v>2914</v>
      </c>
      <c r="L1534" t="s">
        <v>6034</v>
      </c>
      <c r="N1534" t="s">
        <v>307</v>
      </c>
      <c r="O1534" t="s">
        <v>5233</v>
      </c>
      <c r="Q1534" t="s">
        <v>307</v>
      </c>
      <c r="R1534" t="s">
        <v>308</v>
      </c>
      <c r="T1534" t="s">
        <v>5</v>
      </c>
      <c r="U1534" s="3" t="str">
        <f>+VLOOKUP(Sites_per_tag[[#This Row],[Activity_tag]],Parameter!$A$24:$B$32,2,0)</f>
        <v>MAM</v>
      </c>
      <c r="W1534">
        <v>44.884279999999997</v>
      </c>
      <c r="X1534">
        <v>-24.59103</v>
      </c>
    </row>
    <row r="1535" spans="1:24" x14ac:dyDescent="0.35">
      <c r="A1535" s="3" t="str">
        <f t="shared" si="23"/>
        <v>MG31307070008001MAM</v>
      </c>
      <c r="B1535" t="s">
        <v>6193</v>
      </c>
      <c r="C1535">
        <f>+VLOOKUP(Sites_per_tag[[#This Row],[Field_office]],Parameter!$A$3:$B$11,2,0)</f>
        <v>4</v>
      </c>
      <c r="E1535" t="s">
        <v>5658</v>
      </c>
      <c r="F1535" t="s">
        <v>5659</v>
      </c>
      <c r="H1535" t="str">
        <f ca="1">PROPER(Sites_per_tag[[#This Row],[Adm2Name]])</f>
        <v>Vondrozo</v>
      </c>
      <c r="I1535" t="s">
        <v>5738</v>
      </c>
      <c r="K1535" t="s">
        <v>2621</v>
      </c>
      <c r="L1535" t="s">
        <v>5986</v>
      </c>
      <c r="N1535" t="s">
        <v>2621</v>
      </c>
      <c r="O1535" t="s">
        <v>5133</v>
      </c>
      <c r="Q1535" t="s">
        <v>2621</v>
      </c>
      <c r="R1535" t="s">
        <v>2623</v>
      </c>
      <c r="T1535" t="s">
        <v>5</v>
      </c>
      <c r="U1535" s="3" t="str">
        <f>+VLOOKUP(Sites_per_tag[[#This Row],[Activity_tag]],Parameter!$A$24:$B$32,2,0)</f>
        <v>MAM</v>
      </c>
      <c r="W1535">
        <v>47.27373</v>
      </c>
      <c r="X1535">
        <v>-22.431480000000001</v>
      </c>
    </row>
    <row r="1536" spans="1:24" x14ac:dyDescent="0.35">
      <c r="A1536" s="3" t="str">
        <f t="shared" si="23"/>
        <v>MG31307151013001MAM</v>
      </c>
      <c r="B1536" t="s">
        <v>6193</v>
      </c>
      <c r="C1536">
        <f>+VLOOKUP(Sites_per_tag[[#This Row],[Field_office]],Parameter!$A$3:$B$11,2,0)</f>
        <v>4</v>
      </c>
      <c r="E1536" t="s">
        <v>5658</v>
      </c>
      <c r="F1536" t="s">
        <v>5659</v>
      </c>
      <c r="H1536" t="str">
        <f ca="1">PROPER(Sites_per_tag[[#This Row],[Adm2Name]])</f>
        <v>Farafangana</v>
      </c>
      <c r="I1536" t="s">
        <v>5694</v>
      </c>
      <c r="K1536" t="s">
        <v>582</v>
      </c>
      <c r="L1536" t="s">
        <v>5768</v>
      </c>
      <c r="N1536" t="s">
        <v>3077</v>
      </c>
      <c r="O1536" t="s">
        <v>4510</v>
      </c>
      <c r="Q1536" t="s">
        <v>3077</v>
      </c>
      <c r="R1536" t="s">
        <v>3078</v>
      </c>
      <c r="T1536" t="s">
        <v>5</v>
      </c>
      <c r="U1536" s="3" t="str">
        <f>+VLOOKUP(Sites_per_tag[[#This Row],[Activity_tag]],Parameter!$A$24:$B$32,2,0)</f>
        <v>MAM</v>
      </c>
      <c r="W1536">
        <v>47.867629999999998</v>
      </c>
      <c r="X1536">
        <v>-22.491579999999999</v>
      </c>
    </row>
    <row r="1537" spans="1:24" x14ac:dyDescent="0.35">
      <c r="A1537" s="3" t="str">
        <f t="shared" si="23"/>
        <v>MG31309050006001STUNT</v>
      </c>
      <c r="B1537" t="s">
        <v>6193</v>
      </c>
      <c r="C1537">
        <f>+VLOOKUP(Sites_per_tag[[#This Row],[Field_office]],Parameter!$A$3:$B$11,2,0)</f>
        <v>4</v>
      </c>
      <c r="E1537" t="s">
        <v>5678</v>
      </c>
      <c r="F1537" t="s">
        <v>5679</v>
      </c>
      <c r="H1537" t="str">
        <f ca="1">PROPER(Sites_per_tag[[#This Row],[Adm2Name]])</f>
        <v>Mananjary</v>
      </c>
      <c r="I1537" t="s">
        <v>5705</v>
      </c>
      <c r="K1537" t="s">
        <v>3729</v>
      </c>
      <c r="L1537" t="s">
        <v>6143</v>
      </c>
      <c r="N1537" t="s">
        <v>538</v>
      </c>
      <c r="O1537" t="s">
        <v>4027</v>
      </c>
      <c r="Q1537" t="s">
        <v>538</v>
      </c>
      <c r="R1537" t="s">
        <v>539</v>
      </c>
      <c r="T1537" t="s">
        <v>50</v>
      </c>
      <c r="U1537" s="3" t="str">
        <f>+VLOOKUP(Sites_per_tag[[#This Row],[Activity_tag]],Parameter!$A$24:$B$32,2,0)</f>
        <v>STUNT</v>
      </c>
      <c r="V1537" t="s">
        <v>6438</v>
      </c>
      <c r="W1537">
        <v>48.270049999999998</v>
      </c>
      <c r="X1537">
        <v>-21.231850000000001</v>
      </c>
    </row>
    <row r="1538" spans="1:24" x14ac:dyDescent="0.35">
      <c r="A1538" s="3" t="str">
        <f t="shared" si="23"/>
        <v>MG31309050012001MAM</v>
      </c>
      <c r="B1538" t="s">
        <v>6193</v>
      </c>
      <c r="C1538">
        <f>+VLOOKUP(Sites_per_tag[[#This Row],[Field_office]],Parameter!$A$3:$B$11,2,0)</f>
        <v>4</v>
      </c>
      <c r="E1538" t="s">
        <v>5678</v>
      </c>
      <c r="F1538" t="s">
        <v>5679</v>
      </c>
      <c r="H1538" t="str">
        <f ca="1">PROPER(Sites_per_tag[[#This Row],[Adm2Name]])</f>
        <v>Ikongo</v>
      </c>
      <c r="I1538" t="s">
        <v>5699</v>
      </c>
      <c r="K1538" t="s">
        <v>5769</v>
      </c>
      <c r="L1538" t="s">
        <v>6023</v>
      </c>
      <c r="N1538" t="s">
        <v>367</v>
      </c>
      <c r="O1538" t="s">
        <v>5225</v>
      </c>
      <c r="Q1538" t="s">
        <v>367</v>
      </c>
      <c r="R1538" t="s">
        <v>368</v>
      </c>
      <c r="T1538" t="s">
        <v>5</v>
      </c>
      <c r="U1538" s="3" t="str">
        <f>+VLOOKUP(Sites_per_tag[[#This Row],[Activity_tag]],Parameter!$A$24:$B$32,2,0)</f>
        <v>MAM</v>
      </c>
      <c r="W1538">
        <v>47.56523</v>
      </c>
      <c r="X1538">
        <v>-21.64255</v>
      </c>
    </row>
    <row r="1539" spans="1:24" x14ac:dyDescent="0.35">
      <c r="A1539" s="3" t="str">
        <f t="shared" ref="A1539:A1602" si="24">+R1539&amp;U1539</f>
        <v>MG31309050014001MAM</v>
      </c>
      <c r="B1539" t="s">
        <v>6193</v>
      </c>
      <c r="C1539">
        <f>+VLOOKUP(Sites_per_tag[[#This Row],[Field_office]],Parameter!$A$3:$B$11,2,0)</f>
        <v>4</v>
      </c>
      <c r="E1539" t="s">
        <v>5658</v>
      </c>
      <c r="F1539" t="s">
        <v>5659</v>
      </c>
      <c r="H1539" t="str">
        <f ca="1">PROPER(Sites_per_tag[[#This Row],[Adm2Name]])</f>
        <v>Vangaindrano</v>
      </c>
      <c r="I1539" t="s">
        <v>5734</v>
      </c>
      <c r="K1539" t="s">
        <v>219</v>
      </c>
      <c r="L1539" t="s">
        <v>5684</v>
      </c>
      <c r="N1539" t="s">
        <v>219</v>
      </c>
      <c r="O1539" t="s">
        <v>4298</v>
      </c>
      <c r="Q1539" t="s">
        <v>219</v>
      </c>
      <c r="R1539" t="s">
        <v>220</v>
      </c>
      <c r="T1539" t="s">
        <v>5</v>
      </c>
      <c r="U1539" s="3" t="str">
        <f>+VLOOKUP(Sites_per_tag[[#This Row],[Activity_tag]],Parameter!$A$24:$B$32,2,0)</f>
        <v>MAM</v>
      </c>
      <c r="W1539">
        <v>47.287799999999997</v>
      </c>
      <c r="X1539">
        <v>-23.572389999999999</v>
      </c>
    </row>
    <row r="1540" spans="1:24" x14ac:dyDescent="0.35">
      <c r="A1540" s="3" t="str">
        <f t="shared" si="24"/>
        <v>MG31309050022001MAM</v>
      </c>
      <c r="B1540" t="s">
        <v>6211</v>
      </c>
      <c r="C1540">
        <f>+VLOOKUP(Sites_per_tag[[#This Row],[Field_office]],Parameter!$A$3:$B$11,2,0)</f>
        <v>6</v>
      </c>
      <c r="E1540" t="s">
        <v>1448</v>
      </c>
      <c r="F1540" t="s">
        <v>5651</v>
      </c>
      <c r="H1540" t="str">
        <f ca="1">PROPER(Sites_per_tag[[#This Row],[Adm2Name]])</f>
        <v>Amboasary-Atsimo</v>
      </c>
      <c r="I1540" t="s">
        <v>5641</v>
      </c>
      <c r="K1540" t="s">
        <v>2744</v>
      </c>
      <c r="L1540" t="s">
        <v>6005</v>
      </c>
      <c r="N1540" t="s">
        <v>328</v>
      </c>
      <c r="O1540" t="s">
        <v>5183</v>
      </c>
      <c r="Q1540" t="s">
        <v>328</v>
      </c>
      <c r="R1540" t="s">
        <v>329</v>
      </c>
      <c r="T1540" t="s">
        <v>5</v>
      </c>
      <c r="U1540" s="3" t="str">
        <f>+VLOOKUP(Sites_per_tag[[#This Row],[Activity_tag]],Parameter!$A$24:$B$32,2,0)</f>
        <v>MAM</v>
      </c>
      <c r="W1540">
        <v>46.305892</v>
      </c>
      <c r="X1540">
        <v>-24.274450999999999</v>
      </c>
    </row>
    <row r="1541" spans="1:24" x14ac:dyDescent="0.35">
      <c r="A1541" s="3" t="str">
        <f t="shared" si="24"/>
        <v>MG31309050023001STUNT</v>
      </c>
      <c r="B1541" t="s">
        <v>6193</v>
      </c>
      <c r="C1541">
        <f>+VLOOKUP(Sites_per_tag[[#This Row],[Field_office]],Parameter!$A$3:$B$11,2,0)</f>
        <v>4</v>
      </c>
      <c r="E1541" t="s">
        <v>5678</v>
      </c>
      <c r="F1541" t="s">
        <v>5679</v>
      </c>
      <c r="H1541" t="str">
        <f ca="1">PROPER(Sites_per_tag[[#This Row],[Adm2Name]])</f>
        <v>Mananjary</v>
      </c>
      <c r="I1541" t="s">
        <v>5705</v>
      </c>
      <c r="K1541" t="s">
        <v>3756</v>
      </c>
      <c r="L1541" t="s">
        <v>6146</v>
      </c>
      <c r="N1541" t="s">
        <v>995</v>
      </c>
      <c r="O1541" t="s">
        <v>4028</v>
      </c>
      <c r="Q1541" t="s">
        <v>995</v>
      </c>
      <c r="R1541" t="s">
        <v>997</v>
      </c>
      <c r="T1541" t="s">
        <v>50</v>
      </c>
      <c r="U1541" s="3" t="str">
        <f>+VLOOKUP(Sites_per_tag[[#This Row],[Activity_tag]],Parameter!$A$24:$B$32,2,0)</f>
        <v>STUNT</v>
      </c>
      <c r="V1541" t="s">
        <v>6439</v>
      </c>
      <c r="W1541">
        <v>48.252549999999999</v>
      </c>
      <c r="X1541">
        <v>-21.109020000000001</v>
      </c>
    </row>
    <row r="1542" spans="1:24" x14ac:dyDescent="0.35">
      <c r="A1542" s="3" t="str">
        <f t="shared" si="24"/>
        <v>MG31310130010001MAM</v>
      </c>
      <c r="B1542" t="s">
        <v>6193</v>
      </c>
      <c r="C1542">
        <f>+VLOOKUP(Sites_per_tag[[#This Row],[Field_office]],Parameter!$A$3:$B$11,2,0)</f>
        <v>4</v>
      </c>
      <c r="E1542" t="s">
        <v>5678</v>
      </c>
      <c r="F1542" t="s">
        <v>5679</v>
      </c>
      <c r="H1542" t="str">
        <f ca="1">PROPER(Sites_per_tag[[#This Row],[Adm2Name]])</f>
        <v>Ikongo</v>
      </c>
      <c r="I1542" t="s">
        <v>5699</v>
      </c>
      <c r="K1542" t="s">
        <v>4025</v>
      </c>
      <c r="L1542" t="s">
        <v>5681</v>
      </c>
      <c r="N1542" t="s">
        <v>4297</v>
      </c>
      <c r="O1542" t="s">
        <v>4296</v>
      </c>
      <c r="Q1542" t="s">
        <v>114</v>
      </c>
      <c r="R1542" t="s">
        <v>115</v>
      </c>
      <c r="T1542" t="s">
        <v>5</v>
      </c>
      <c r="U1542" s="3" t="str">
        <f>+VLOOKUP(Sites_per_tag[[#This Row],[Activity_tag]],Parameter!$A$24:$B$32,2,0)</f>
        <v>MAM</v>
      </c>
      <c r="W1542">
        <v>47.47972</v>
      </c>
      <c r="X1542">
        <v>-21.805</v>
      </c>
    </row>
    <row r="1543" spans="1:24" x14ac:dyDescent="0.35">
      <c r="A1543" s="3" t="str">
        <f t="shared" si="24"/>
        <v>MG32315010005001MAM</v>
      </c>
      <c r="B1543" t="s">
        <v>6193</v>
      </c>
      <c r="C1543">
        <f>+VLOOKUP(Sites_per_tag[[#This Row],[Field_office]],Parameter!$A$3:$B$11,2,0)</f>
        <v>4</v>
      </c>
      <c r="E1543" t="s">
        <v>5658</v>
      </c>
      <c r="F1543" t="s">
        <v>5659</v>
      </c>
      <c r="H1543" t="str">
        <f ca="1">PROPER(Sites_per_tag[[#This Row],[Adm2Name]])</f>
        <v>Farafangana</v>
      </c>
      <c r="I1543" t="s">
        <v>5694</v>
      </c>
      <c r="K1543" t="s">
        <v>3901</v>
      </c>
      <c r="L1543" t="s">
        <v>6162</v>
      </c>
      <c r="N1543" t="s">
        <v>3901</v>
      </c>
      <c r="O1543" t="s">
        <v>5572</v>
      </c>
      <c r="Q1543" t="s">
        <v>3901</v>
      </c>
      <c r="R1543" t="s">
        <v>3902</v>
      </c>
      <c r="T1543" t="s">
        <v>5</v>
      </c>
      <c r="U1543" s="3" t="str">
        <f>+VLOOKUP(Sites_per_tag[[#This Row],[Activity_tag]],Parameter!$A$24:$B$32,2,0)</f>
        <v>MAM</v>
      </c>
      <c r="W1543">
        <v>47.695180000000001</v>
      </c>
      <c r="X1543">
        <v>-22.544519999999999</v>
      </c>
    </row>
    <row r="1544" spans="1:24" x14ac:dyDescent="0.35">
      <c r="A1544" s="3" t="str">
        <f t="shared" si="24"/>
        <v>MG32315030006001STUNT</v>
      </c>
      <c r="B1544" t="s">
        <v>6440</v>
      </c>
      <c r="C1544">
        <f>+VLOOKUP(Sites_per_tag[[#This Row],[Field_office]],Parameter!$A$3:$B$11,2,0)</f>
        <v>2</v>
      </c>
      <c r="E1544" t="s">
        <v>1448</v>
      </c>
      <c r="F1544" t="s">
        <v>5651</v>
      </c>
      <c r="H1544" t="str">
        <f ca="1">PROPER(Sites_per_tag[[#This Row],[Adm2Name]])</f>
        <v>Amboasary-Atsimo</v>
      </c>
      <c r="I1544" t="s">
        <v>5641</v>
      </c>
      <c r="K1544" t="s">
        <v>5828</v>
      </c>
      <c r="L1544" t="s">
        <v>6128</v>
      </c>
      <c r="N1544" t="s">
        <v>3876</v>
      </c>
      <c r="O1544" t="s">
        <v>4029</v>
      </c>
      <c r="Q1544" t="s">
        <v>3878</v>
      </c>
      <c r="R1544" t="s">
        <v>3879</v>
      </c>
      <c r="T1544" t="s">
        <v>50</v>
      </c>
      <c r="U1544" s="3" t="str">
        <f>+VLOOKUP(Sites_per_tag[[#This Row],[Activity_tag]],Parameter!$A$24:$B$32,2,0)</f>
        <v>STUNT</v>
      </c>
      <c r="V1544" t="s">
        <v>6441</v>
      </c>
      <c r="W1544">
        <v>46.496343000000003</v>
      </c>
      <c r="X1544">
        <v>-25.079796000000002</v>
      </c>
    </row>
    <row r="1545" spans="1:24" x14ac:dyDescent="0.35">
      <c r="A1545" s="3" t="str">
        <f t="shared" si="24"/>
        <v>MG32315030006002MAM</v>
      </c>
      <c r="B1545" t="s">
        <v>6211</v>
      </c>
      <c r="C1545">
        <f>+VLOOKUP(Sites_per_tag[[#This Row],[Field_office]],Parameter!$A$3:$B$11,2,0)</f>
        <v>6</v>
      </c>
      <c r="E1545" t="s">
        <v>1448</v>
      </c>
      <c r="F1545" t="s">
        <v>5651</v>
      </c>
      <c r="H1545" t="str">
        <f ca="1">PROPER(Sites_per_tag[[#This Row],[Adm2Name]])</f>
        <v>Amboasary-Atsimo</v>
      </c>
      <c r="I1545" t="s">
        <v>5641</v>
      </c>
      <c r="K1545" t="s">
        <v>5828</v>
      </c>
      <c r="L1545" t="s">
        <v>6128</v>
      </c>
      <c r="N1545" t="s">
        <v>3876</v>
      </c>
      <c r="O1545" t="s">
        <v>4029</v>
      </c>
      <c r="Q1545" t="s">
        <v>3876</v>
      </c>
      <c r="R1545" t="s">
        <v>3877</v>
      </c>
      <c r="T1545" t="s">
        <v>5</v>
      </c>
      <c r="U1545" s="3" t="str">
        <f>+VLOOKUP(Sites_per_tag[[#This Row],[Activity_tag]],Parameter!$A$24:$B$32,2,0)</f>
        <v>MAM</v>
      </c>
      <c r="W1545">
        <v>46.4711</v>
      </c>
      <c r="X1545">
        <v>-25.15362</v>
      </c>
    </row>
    <row r="1546" spans="1:24" x14ac:dyDescent="0.35">
      <c r="A1546" s="3" t="str">
        <f t="shared" si="24"/>
        <v>MG33312071005001MAM</v>
      </c>
      <c r="B1546" t="s">
        <v>6211</v>
      </c>
      <c r="C1546">
        <f>+VLOOKUP(Sites_per_tag[[#This Row],[Field_office]],Parameter!$A$3:$B$11,2,0)</f>
        <v>6</v>
      </c>
      <c r="E1546" t="s">
        <v>5646</v>
      </c>
      <c r="F1546" t="s">
        <v>5647</v>
      </c>
      <c r="H1546" t="str">
        <f ca="1">PROPER(Sites_per_tag[[#This Row],[Adm2Name]])</f>
        <v>Bekily</v>
      </c>
      <c r="I1546" t="s">
        <v>5683</v>
      </c>
      <c r="K1546" t="s">
        <v>1004</v>
      </c>
      <c r="L1546" t="s">
        <v>5812</v>
      </c>
      <c r="N1546" t="s">
        <v>1502</v>
      </c>
      <c r="O1546" t="s">
        <v>4590</v>
      </c>
      <c r="Q1546" t="s">
        <v>1502</v>
      </c>
      <c r="R1546" t="s">
        <v>1503</v>
      </c>
      <c r="T1546" t="s">
        <v>5</v>
      </c>
      <c r="U1546" s="3" t="str">
        <f>+VLOOKUP(Sites_per_tag[[#This Row],[Activity_tag]],Parameter!$A$24:$B$32,2,0)</f>
        <v>MAM</v>
      </c>
      <c r="W1546">
        <v>45.62003</v>
      </c>
      <c r="X1546">
        <v>-24.353249999999999</v>
      </c>
    </row>
    <row r="1547" spans="1:24" x14ac:dyDescent="0.35">
      <c r="A1547" s="3" t="str">
        <f t="shared" si="24"/>
        <v>MG33312152007001MAM</v>
      </c>
      <c r="B1547" t="s">
        <v>6211</v>
      </c>
      <c r="C1547">
        <f>+VLOOKUP(Sites_per_tag[[#This Row],[Field_office]],Parameter!$A$3:$B$11,2,0)</f>
        <v>6</v>
      </c>
      <c r="E1547" t="s">
        <v>5646</v>
      </c>
      <c r="F1547" t="s">
        <v>5647</v>
      </c>
      <c r="H1547" t="str">
        <f ca="1">PROPER(Sites_per_tag[[#This Row],[Adm2Name]])</f>
        <v>Ambovombe-Androy</v>
      </c>
      <c r="I1547" t="s">
        <v>5655</v>
      </c>
      <c r="K1547" t="s">
        <v>6258</v>
      </c>
      <c r="L1547" t="s">
        <v>6054</v>
      </c>
      <c r="N1547" t="s">
        <v>5335</v>
      </c>
      <c r="O1547" t="s">
        <v>5334</v>
      </c>
      <c r="Q1547" t="s">
        <v>296</v>
      </c>
      <c r="R1547" t="s">
        <v>297</v>
      </c>
      <c r="T1547" t="s">
        <v>5</v>
      </c>
      <c r="U1547" s="3" t="str">
        <f>+VLOOKUP(Sites_per_tag[[#This Row],[Activity_tag]],Parameter!$A$24:$B$32,2,0)</f>
        <v>MAM</v>
      </c>
      <c r="W1547">
        <v>45.68383</v>
      </c>
      <c r="X1547">
        <v>-25.201799999999999</v>
      </c>
    </row>
    <row r="1548" spans="1:24" x14ac:dyDescent="0.35">
      <c r="A1548" s="3" t="str">
        <f t="shared" si="24"/>
        <v>MG33312152009001MAM</v>
      </c>
      <c r="B1548" t="s">
        <v>6210</v>
      </c>
      <c r="C1548">
        <f>+VLOOKUP(Sites_per_tag[[#This Row],[Field_office]],Parameter!$A$3:$B$11,2,0)</f>
        <v>10</v>
      </c>
      <c r="E1548" t="s">
        <v>5650</v>
      </c>
      <c r="F1548" t="s">
        <v>5654</v>
      </c>
      <c r="H1548" t="str">
        <f ca="1">PROPER(Sites_per_tag[[#This Row],[Adm2Name]])</f>
        <v>Betioky Atsimo</v>
      </c>
      <c r="I1548" t="s">
        <v>5688</v>
      </c>
      <c r="K1548" t="s">
        <v>5615</v>
      </c>
      <c r="L1548" t="s">
        <v>5928</v>
      </c>
      <c r="N1548" t="s">
        <v>91</v>
      </c>
      <c r="O1548" t="s">
        <v>4892</v>
      </c>
      <c r="Q1548" t="s">
        <v>91</v>
      </c>
      <c r="R1548" t="s">
        <v>92</v>
      </c>
      <c r="T1548" t="s">
        <v>5</v>
      </c>
      <c r="U1548" s="3" t="str">
        <f>+VLOOKUP(Sites_per_tag[[#This Row],[Activity_tag]],Parameter!$A$24:$B$32,2,0)</f>
        <v>MAM</v>
      </c>
      <c r="W1548">
        <v>44.382950000000001</v>
      </c>
      <c r="X1548">
        <v>-23.720030000000001</v>
      </c>
    </row>
    <row r="1549" spans="1:24" x14ac:dyDescent="0.35">
      <c r="A1549" s="3" t="str">
        <f t="shared" si="24"/>
        <v>MG33312152011001STUNT</v>
      </c>
      <c r="B1549" t="s">
        <v>6193</v>
      </c>
      <c r="C1549">
        <f>+VLOOKUP(Sites_per_tag[[#This Row],[Field_office]],Parameter!$A$3:$B$11,2,0)</f>
        <v>4</v>
      </c>
      <c r="E1549" t="s">
        <v>5678</v>
      </c>
      <c r="F1549" t="s">
        <v>5679</v>
      </c>
      <c r="H1549" t="str">
        <f ca="1">PROPER(Sites_per_tag[[#This Row],[Adm2Name]])</f>
        <v>Mananjary</v>
      </c>
      <c r="I1549" t="s">
        <v>5705</v>
      </c>
      <c r="K1549" t="s">
        <v>3756</v>
      </c>
      <c r="L1549" t="s">
        <v>6146</v>
      </c>
      <c r="N1549" t="s">
        <v>1145</v>
      </c>
      <c r="O1549" t="s">
        <v>4030</v>
      </c>
      <c r="Q1549" t="s">
        <v>1145</v>
      </c>
      <c r="R1549" t="s">
        <v>1147</v>
      </c>
      <c r="T1549" t="s">
        <v>50</v>
      </c>
      <c r="U1549" s="3" t="str">
        <f>+VLOOKUP(Sites_per_tag[[#This Row],[Activity_tag]],Parameter!$A$24:$B$32,2,0)</f>
        <v>STUNT</v>
      </c>
      <c r="V1549" t="s">
        <v>6442</v>
      </c>
      <c r="W1549">
        <v>48.231349999999999</v>
      </c>
      <c r="X1549">
        <v>-21.156829999999999</v>
      </c>
    </row>
    <row r="1550" spans="1:24" x14ac:dyDescent="0.35">
      <c r="A1550" s="3" t="str">
        <f t="shared" si="24"/>
        <v>MG33313151006001STUNT</v>
      </c>
      <c r="B1550" t="s">
        <v>6193</v>
      </c>
      <c r="C1550">
        <f>+VLOOKUP(Sites_per_tag[[#This Row],[Field_office]],Parameter!$A$3:$B$11,2,0)</f>
        <v>4</v>
      </c>
      <c r="E1550" t="s">
        <v>5678</v>
      </c>
      <c r="F1550" t="s">
        <v>5679</v>
      </c>
      <c r="H1550" t="str">
        <f ca="1">PROPER(Sites_per_tag[[#This Row],[Adm2Name]])</f>
        <v>Mananjary</v>
      </c>
      <c r="I1550" t="s">
        <v>5705</v>
      </c>
      <c r="K1550" t="s">
        <v>3756</v>
      </c>
      <c r="L1550" t="s">
        <v>6146</v>
      </c>
      <c r="N1550" t="s">
        <v>378</v>
      </c>
      <c r="O1550" t="s">
        <v>4031</v>
      </c>
      <c r="Q1550" t="s">
        <v>378</v>
      </c>
      <c r="R1550" t="s">
        <v>379</v>
      </c>
      <c r="T1550" t="s">
        <v>50</v>
      </c>
      <c r="U1550" s="3" t="str">
        <f>+VLOOKUP(Sites_per_tag[[#This Row],[Activity_tag]],Parameter!$A$24:$B$32,2,0)</f>
        <v>STUNT</v>
      </c>
      <c r="V1550" t="s">
        <v>6443</v>
      </c>
      <c r="W1550">
        <v>48.188830000000003</v>
      </c>
      <c r="X1550">
        <v>-21.190370000000001</v>
      </c>
    </row>
    <row r="1551" spans="1:24" x14ac:dyDescent="0.35">
      <c r="A1551" s="3" t="str">
        <f t="shared" si="24"/>
        <v>MG33313194001001MAM</v>
      </c>
      <c r="B1551" t="s">
        <v>6193</v>
      </c>
      <c r="C1551">
        <f>+VLOOKUP(Sites_per_tag[[#This Row],[Field_office]],Parameter!$A$3:$B$11,2,0)</f>
        <v>4</v>
      </c>
      <c r="E1551" t="s">
        <v>5678</v>
      </c>
      <c r="F1551" t="s">
        <v>5679</v>
      </c>
      <c r="H1551" t="str">
        <f ca="1">PROPER(Sites_per_tag[[#This Row],[Adm2Name]])</f>
        <v>Ikongo</v>
      </c>
      <c r="I1551" t="s">
        <v>5699</v>
      </c>
      <c r="K1551" t="s">
        <v>5621</v>
      </c>
      <c r="L1551" t="s">
        <v>5973</v>
      </c>
      <c r="N1551" t="s">
        <v>5086</v>
      </c>
      <c r="O1551" t="s">
        <v>5085</v>
      </c>
      <c r="Q1551" t="s">
        <v>968</v>
      </c>
      <c r="R1551" t="s">
        <v>969</v>
      </c>
      <c r="T1551" t="s">
        <v>5</v>
      </c>
      <c r="U1551" s="3" t="str">
        <f>+VLOOKUP(Sites_per_tag[[#This Row],[Activity_tag]],Parameter!$A$24:$B$32,2,0)</f>
        <v>MAM</v>
      </c>
      <c r="W1551">
        <v>47.483370000000001</v>
      </c>
      <c r="X1551">
        <v>-21.880549999999999</v>
      </c>
    </row>
    <row r="1552" spans="1:24" x14ac:dyDescent="0.35">
      <c r="A1552" s="3" t="str">
        <f t="shared" si="24"/>
        <v>MG33314092002001MAM</v>
      </c>
      <c r="B1552" t="s">
        <v>6211</v>
      </c>
      <c r="C1552">
        <f>+VLOOKUP(Sites_per_tag[[#This Row],[Field_office]],Parameter!$A$3:$B$11,2,0)</f>
        <v>6</v>
      </c>
      <c r="E1552" t="s">
        <v>1448</v>
      </c>
      <c r="F1552" t="s">
        <v>5651</v>
      </c>
      <c r="H1552" t="str">
        <f ca="1">PROPER(Sites_per_tag[[#This Row],[Adm2Name]])</f>
        <v>Amboasary-Atsimo</v>
      </c>
      <c r="I1552" t="s">
        <v>5641</v>
      </c>
      <c r="K1552" t="s">
        <v>1986</v>
      </c>
      <c r="L1552" t="s">
        <v>5918</v>
      </c>
      <c r="N1552" t="s">
        <v>1986</v>
      </c>
      <c r="O1552" t="s">
        <v>4869</v>
      </c>
      <c r="Q1552" t="s">
        <v>1986</v>
      </c>
      <c r="R1552" t="s">
        <v>1987</v>
      </c>
      <c r="T1552" t="s">
        <v>5</v>
      </c>
      <c r="U1552" s="3" t="str">
        <f>+VLOOKUP(Sites_per_tag[[#This Row],[Activity_tag]],Parameter!$A$24:$B$32,2,0)</f>
        <v>MAM</v>
      </c>
      <c r="W1552">
        <v>46.394750000000002</v>
      </c>
      <c r="X1552">
        <v>-25.129049999999999</v>
      </c>
    </row>
    <row r="1553" spans="1:24" x14ac:dyDescent="0.35">
      <c r="A1553" s="3" t="str">
        <f t="shared" si="24"/>
        <v>MG33316052004001MAM</v>
      </c>
      <c r="B1553" t="s">
        <v>6211</v>
      </c>
      <c r="C1553">
        <f>+VLOOKUP(Sites_per_tag[[#This Row],[Field_office]],Parameter!$A$3:$B$11,2,0)</f>
        <v>6</v>
      </c>
      <c r="E1553" t="s">
        <v>5646</v>
      </c>
      <c r="F1553" t="s">
        <v>5647</v>
      </c>
      <c r="H1553" t="str">
        <f ca="1">PROPER(Sites_per_tag[[#This Row],[Adm2Name]])</f>
        <v>Bekily</v>
      </c>
      <c r="I1553" t="s">
        <v>5683</v>
      </c>
      <c r="K1553" t="s">
        <v>6351</v>
      </c>
      <c r="L1553" t="s">
        <v>6076</v>
      </c>
      <c r="N1553" t="s">
        <v>2989</v>
      </c>
      <c r="O1553" t="s">
        <v>5368</v>
      </c>
      <c r="Q1553" t="s">
        <v>2989</v>
      </c>
      <c r="R1553" t="s">
        <v>2990</v>
      </c>
      <c r="T1553" t="s">
        <v>5</v>
      </c>
      <c r="U1553" s="3" t="str">
        <f>+VLOOKUP(Sites_per_tag[[#This Row],[Activity_tag]],Parameter!$A$24:$B$32,2,0)</f>
        <v>MAM</v>
      </c>
      <c r="W1553">
        <v>45.279350000000001</v>
      </c>
      <c r="X1553">
        <v>-24.240670000000001</v>
      </c>
    </row>
    <row r="1554" spans="1:24" x14ac:dyDescent="0.35">
      <c r="A1554" s="3" t="str">
        <f t="shared" si="24"/>
        <v>MG41403050001001MAM</v>
      </c>
      <c r="B1554" t="s">
        <v>6211</v>
      </c>
      <c r="C1554">
        <f>+VLOOKUP(Sites_per_tag[[#This Row],[Field_office]],Parameter!$A$3:$B$11,2,0)</f>
        <v>6</v>
      </c>
      <c r="E1554" t="s">
        <v>5646</v>
      </c>
      <c r="F1554" t="s">
        <v>5647</v>
      </c>
      <c r="H1554" t="str">
        <f ca="1">PROPER(Sites_per_tag[[#This Row],[Adm2Name]])</f>
        <v>Bekily</v>
      </c>
      <c r="I1554" t="s">
        <v>5683</v>
      </c>
      <c r="K1554" t="s">
        <v>6339</v>
      </c>
      <c r="L1554" t="s">
        <v>5907</v>
      </c>
      <c r="N1554" t="s">
        <v>869</v>
      </c>
      <c r="O1554" t="s">
        <v>4819</v>
      </c>
      <c r="Q1554" t="s">
        <v>869</v>
      </c>
      <c r="R1554" t="s">
        <v>870</v>
      </c>
      <c r="T1554" t="s">
        <v>5</v>
      </c>
      <c r="U1554" s="3" t="str">
        <f>+VLOOKUP(Sites_per_tag[[#This Row],[Activity_tag]],Parameter!$A$24:$B$32,2,0)</f>
        <v>MAM</v>
      </c>
      <c r="W1554">
        <v>45.42098</v>
      </c>
      <c r="X1554">
        <v>-24.425419999999999</v>
      </c>
    </row>
    <row r="1555" spans="1:24" x14ac:dyDescent="0.35">
      <c r="A1555" s="3" t="str">
        <f t="shared" si="24"/>
        <v>MG41403050016001MAM</v>
      </c>
      <c r="B1555" t="s">
        <v>6211</v>
      </c>
      <c r="C1555">
        <f>+VLOOKUP(Sites_per_tag[[#This Row],[Field_office]],Parameter!$A$3:$B$11,2,0)</f>
        <v>6</v>
      </c>
      <c r="E1555" t="s">
        <v>1448</v>
      </c>
      <c r="F1555" t="s">
        <v>5651</v>
      </c>
      <c r="H1555" t="str">
        <f ca="1">PROPER(Sites_per_tag[[#This Row],[Adm2Name]])</f>
        <v>Betroka</v>
      </c>
      <c r="I1555" t="s">
        <v>5691</v>
      </c>
      <c r="K1555" t="s">
        <v>6401</v>
      </c>
      <c r="L1555" t="s">
        <v>6092</v>
      </c>
      <c r="N1555" t="s">
        <v>773</v>
      </c>
      <c r="O1555" t="s">
        <v>5403</v>
      </c>
      <c r="Q1555" t="s">
        <v>776</v>
      </c>
      <c r="R1555" t="s">
        <v>777</v>
      </c>
      <c r="T1555" t="s">
        <v>5</v>
      </c>
      <c r="U1555" s="3" t="str">
        <f>+VLOOKUP(Sites_per_tag[[#This Row],[Activity_tag]],Parameter!$A$24:$B$32,2,0)</f>
        <v>MAM</v>
      </c>
      <c r="W1555">
        <v>45.474699999999999</v>
      </c>
      <c r="X1555">
        <v>-23.078970000000002</v>
      </c>
    </row>
    <row r="1556" spans="1:24" x14ac:dyDescent="0.35">
      <c r="A1556" s="3" t="str">
        <f t="shared" si="24"/>
        <v>MG41405090003001MAM</v>
      </c>
      <c r="B1556" t="s">
        <v>6193</v>
      </c>
      <c r="C1556">
        <f>+VLOOKUP(Sites_per_tag[[#This Row],[Field_office]],Parameter!$A$3:$B$11,2,0)</f>
        <v>4</v>
      </c>
      <c r="E1556" t="s">
        <v>5658</v>
      </c>
      <c r="F1556" t="s">
        <v>5659</v>
      </c>
      <c r="H1556" t="str">
        <f ca="1">PROPER(Sites_per_tag[[#This Row],[Adm2Name]])</f>
        <v>Vondrozo</v>
      </c>
      <c r="I1556" t="s">
        <v>5738</v>
      </c>
      <c r="K1556" t="s">
        <v>710</v>
      </c>
      <c r="L1556" t="s">
        <v>5785</v>
      </c>
      <c r="N1556" t="s">
        <v>95</v>
      </c>
      <c r="O1556" t="s">
        <v>4534</v>
      </c>
      <c r="Q1556" t="s">
        <v>95</v>
      </c>
      <c r="R1556" t="s">
        <v>96</v>
      </c>
      <c r="T1556" t="s">
        <v>5</v>
      </c>
      <c r="U1556" s="3" t="str">
        <f>+VLOOKUP(Sites_per_tag[[#This Row],[Activity_tag]],Parameter!$A$24:$B$32,2,0)</f>
        <v>MAM</v>
      </c>
      <c r="W1556">
        <v>47.52413</v>
      </c>
      <c r="X1556">
        <v>-22.562670000000001</v>
      </c>
    </row>
    <row r="1557" spans="1:24" x14ac:dyDescent="0.35">
      <c r="A1557" s="3" t="str">
        <f t="shared" si="24"/>
        <v>MG41405150001001MAM</v>
      </c>
      <c r="B1557" t="s">
        <v>6211</v>
      </c>
      <c r="C1557">
        <f>+VLOOKUP(Sites_per_tag[[#This Row],[Field_office]],Parameter!$A$3:$B$11,2,0)</f>
        <v>6</v>
      </c>
      <c r="E1557" t="s">
        <v>5646</v>
      </c>
      <c r="F1557" t="s">
        <v>5647</v>
      </c>
      <c r="H1557" t="str">
        <f ca="1">PROPER(Sites_per_tag[[#This Row],[Adm2Name]])</f>
        <v>Bekily</v>
      </c>
      <c r="I1557" t="s">
        <v>5683</v>
      </c>
      <c r="K1557" t="s">
        <v>6351</v>
      </c>
      <c r="L1557" t="s">
        <v>6076</v>
      </c>
      <c r="N1557" t="s">
        <v>851</v>
      </c>
      <c r="O1557" t="s">
        <v>5369</v>
      </c>
      <c r="Q1557" t="s">
        <v>851</v>
      </c>
      <c r="R1557" t="s">
        <v>852</v>
      </c>
      <c r="T1557" t="s">
        <v>5</v>
      </c>
      <c r="U1557" s="3" t="str">
        <f>+VLOOKUP(Sites_per_tag[[#This Row],[Activity_tag]],Parameter!$A$24:$B$32,2,0)</f>
        <v>MAM</v>
      </c>
      <c r="W1557">
        <v>45.316679999999998</v>
      </c>
      <c r="X1557">
        <v>-24.225680000000001</v>
      </c>
    </row>
    <row r="1558" spans="1:24" x14ac:dyDescent="0.35">
      <c r="A1558" s="3" t="str">
        <f t="shared" si="24"/>
        <v>MG41405150010001MAM</v>
      </c>
      <c r="B1558" t="s">
        <v>6193</v>
      </c>
      <c r="C1558">
        <f>+VLOOKUP(Sites_per_tag[[#This Row],[Field_office]],Parameter!$A$3:$B$11,2,0)</f>
        <v>4</v>
      </c>
      <c r="E1558" t="s">
        <v>5658</v>
      </c>
      <c r="F1558" t="s">
        <v>5659</v>
      </c>
      <c r="H1558" t="str">
        <f ca="1">PROPER(Sites_per_tag[[#This Row],[Adm2Name]])</f>
        <v>Vondrozo</v>
      </c>
      <c r="I1558" t="s">
        <v>5738</v>
      </c>
      <c r="K1558" t="s">
        <v>773</v>
      </c>
      <c r="L1558" t="s">
        <v>5794</v>
      </c>
      <c r="N1558" t="s">
        <v>3155</v>
      </c>
      <c r="O1558" t="s">
        <v>4552</v>
      </c>
      <c r="Q1558" t="s">
        <v>3155</v>
      </c>
      <c r="R1558" t="s">
        <v>3156</v>
      </c>
      <c r="T1558" t="s">
        <v>5</v>
      </c>
      <c r="U1558" s="3" t="str">
        <f>+VLOOKUP(Sites_per_tag[[#This Row],[Activity_tag]],Parameter!$A$24:$B$32,2,0)</f>
        <v>MAM</v>
      </c>
      <c r="W1558">
        <v>47.36468</v>
      </c>
      <c r="X1558">
        <v>-22.800470000000001</v>
      </c>
    </row>
    <row r="1559" spans="1:24" x14ac:dyDescent="0.35">
      <c r="A1559" s="3" t="str">
        <f t="shared" si="24"/>
        <v>MG41406010003001STUNT</v>
      </c>
      <c r="B1559" t="s">
        <v>6440</v>
      </c>
      <c r="C1559">
        <f>+VLOOKUP(Sites_per_tag[[#This Row],[Field_office]],Parameter!$A$3:$B$11,2,0)</f>
        <v>2</v>
      </c>
      <c r="E1559" t="s">
        <v>1448</v>
      </c>
      <c r="F1559" t="s">
        <v>5651</v>
      </c>
      <c r="H1559" t="str">
        <f ca="1">PROPER(Sites_per_tag[[#This Row],[Adm2Name]])</f>
        <v>Amboasary-Atsimo</v>
      </c>
      <c r="I1559" t="s">
        <v>5641</v>
      </c>
      <c r="K1559" t="s">
        <v>3836</v>
      </c>
      <c r="L1559" t="s">
        <v>6151</v>
      </c>
      <c r="N1559" t="s">
        <v>2209</v>
      </c>
      <c r="O1559" t="s">
        <v>4032</v>
      </c>
      <c r="Q1559" t="s">
        <v>2209</v>
      </c>
      <c r="R1559" t="s">
        <v>2210</v>
      </c>
      <c r="T1559" t="s">
        <v>50</v>
      </c>
      <c r="U1559" s="3" t="str">
        <f>+VLOOKUP(Sites_per_tag[[#This Row],[Activity_tag]],Parameter!$A$24:$B$32,2,0)</f>
        <v>STUNT</v>
      </c>
      <c r="V1559" t="s">
        <v>6444</v>
      </c>
      <c r="W1559">
        <v>45.948329999999999</v>
      </c>
      <c r="X1559">
        <v>-24.12068</v>
      </c>
    </row>
    <row r="1560" spans="1:24" x14ac:dyDescent="0.35">
      <c r="A1560" s="3" t="str">
        <f t="shared" si="24"/>
        <v>MG41407091005001MAM</v>
      </c>
      <c r="B1560" t="s">
        <v>6267</v>
      </c>
      <c r="C1560">
        <f>+VLOOKUP(Sites_per_tag[[#This Row],[Field_office]],Parameter!$A$3:$B$11,2,0)</f>
        <v>9</v>
      </c>
      <c r="E1560" t="s">
        <v>5650</v>
      </c>
      <c r="F1560" t="s">
        <v>5654</v>
      </c>
      <c r="H1560" t="str">
        <f ca="1">PROPER(Sites_per_tag[[#This Row],[Adm2Name]])</f>
        <v>Ampanihy Ouest</v>
      </c>
      <c r="I1560" t="s">
        <v>5660</v>
      </c>
      <c r="K1560" t="s">
        <v>457</v>
      </c>
      <c r="L1560" t="s">
        <v>5748</v>
      </c>
      <c r="N1560" t="s">
        <v>1210</v>
      </c>
      <c r="O1560" t="s">
        <v>4383</v>
      </c>
      <c r="Q1560" t="s">
        <v>1210</v>
      </c>
      <c r="R1560" t="s">
        <v>1211</v>
      </c>
      <c r="T1560" t="s">
        <v>5</v>
      </c>
      <c r="U1560" s="3" t="str">
        <f>+VLOOKUP(Sites_per_tag[[#This Row],[Activity_tag]],Parameter!$A$24:$B$32,2,0)</f>
        <v>MAM</v>
      </c>
      <c r="W1560">
        <v>44.962780000000002</v>
      </c>
      <c r="X1560">
        <v>-24.580169999999999</v>
      </c>
    </row>
    <row r="1561" spans="1:24" x14ac:dyDescent="0.35">
      <c r="A1561" s="3" t="str">
        <f t="shared" si="24"/>
        <v>MG41415032001001MAM</v>
      </c>
      <c r="B1561" t="s">
        <v>6267</v>
      </c>
      <c r="C1561">
        <f>+VLOOKUP(Sites_per_tag[[#This Row],[Field_office]],Parameter!$A$3:$B$11,2,0)</f>
        <v>9</v>
      </c>
      <c r="E1561" t="s">
        <v>5650</v>
      </c>
      <c r="F1561" t="s">
        <v>5654</v>
      </c>
      <c r="H1561" t="str">
        <f ca="1">PROPER(Sites_per_tag[[#This Row],[Adm2Name]])</f>
        <v>Ampanihy Ouest</v>
      </c>
      <c r="I1561" t="s">
        <v>5660</v>
      </c>
      <c r="K1561" t="s">
        <v>2914</v>
      </c>
      <c r="L1561" t="s">
        <v>6034</v>
      </c>
      <c r="N1561" t="s">
        <v>2137</v>
      </c>
      <c r="O1561" t="s">
        <v>5234</v>
      </c>
      <c r="Q1561" t="s">
        <v>2137</v>
      </c>
      <c r="R1561" t="s">
        <v>2138</v>
      </c>
      <c r="T1561" t="s">
        <v>5</v>
      </c>
      <c r="U1561" s="3" t="str">
        <f>+VLOOKUP(Sites_per_tag[[#This Row],[Activity_tag]],Parameter!$A$24:$B$32,2,0)</f>
        <v>MAM</v>
      </c>
      <c r="W1561">
        <v>44.872929999999997</v>
      </c>
      <c r="X1561">
        <v>-24.46538</v>
      </c>
    </row>
    <row r="1562" spans="1:24" x14ac:dyDescent="0.35">
      <c r="A1562" s="3" t="str">
        <f t="shared" si="24"/>
        <v>MG42409150006001MAM</v>
      </c>
      <c r="B1562" t="s">
        <v>6211</v>
      </c>
      <c r="C1562">
        <f>+VLOOKUP(Sites_per_tag[[#This Row],[Field_office]],Parameter!$A$3:$B$11,2,0)</f>
        <v>6</v>
      </c>
      <c r="E1562" t="s">
        <v>5646</v>
      </c>
      <c r="F1562" t="s">
        <v>5647</v>
      </c>
      <c r="H1562" t="str">
        <f ca="1">PROPER(Sites_per_tag[[#This Row],[Adm2Name]])</f>
        <v>Bekily</v>
      </c>
      <c r="I1562" t="s">
        <v>5683</v>
      </c>
      <c r="K1562" t="s">
        <v>3587</v>
      </c>
      <c r="L1562" t="s">
        <v>6123</v>
      </c>
      <c r="N1562" t="s">
        <v>675</v>
      </c>
      <c r="O1562" t="s">
        <v>5468</v>
      </c>
      <c r="Q1562" t="s">
        <v>675</v>
      </c>
      <c r="R1562" t="s">
        <v>676</v>
      </c>
      <c r="T1562" t="s">
        <v>5</v>
      </c>
      <c r="U1562" s="3" t="str">
        <f>+VLOOKUP(Sites_per_tag[[#This Row],[Activity_tag]],Parameter!$A$24:$B$32,2,0)</f>
        <v>MAM</v>
      </c>
      <c r="W1562">
        <v>45.443570000000001</v>
      </c>
      <c r="X1562">
        <v>-24.190180000000002</v>
      </c>
    </row>
    <row r="1563" spans="1:24" x14ac:dyDescent="0.35">
      <c r="A1563" s="3" t="str">
        <f t="shared" si="24"/>
        <v>MG42410191005001MAM</v>
      </c>
      <c r="B1563" t="s">
        <v>6211</v>
      </c>
      <c r="C1563">
        <f>+VLOOKUP(Sites_per_tag[[#This Row],[Field_office]],Parameter!$A$3:$B$11,2,0)</f>
        <v>6</v>
      </c>
      <c r="E1563" t="s">
        <v>5646</v>
      </c>
      <c r="F1563" t="s">
        <v>5647</v>
      </c>
      <c r="H1563" t="str">
        <f ca="1">PROPER(Sites_per_tag[[#This Row],[Adm2Name]])</f>
        <v>Ambovombe-Androy</v>
      </c>
      <c r="I1563" t="s">
        <v>5655</v>
      </c>
      <c r="K1563" t="s">
        <v>5682</v>
      </c>
      <c r="L1563" t="s">
        <v>6099</v>
      </c>
      <c r="N1563" t="s">
        <v>2921</v>
      </c>
      <c r="O1563" t="s">
        <v>5426</v>
      </c>
      <c r="Q1563" t="s">
        <v>2921</v>
      </c>
      <c r="R1563" t="s">
        <v>2922</v>
      </c>
      <c r="T1563" t="s">
        <v>5</v>
      </c>
      <c r="U1563" s="3" t="str">
        <f>+VLOOKUP(Sites_per_tag[[#This Row],[Activity_tag]],Parameter!$A$24:$B$32,2,0)</f>
        <v>MAM</v>
      </c>
      <c r="W1563">
        <v>45.752969999999998</v>
      </c>
      <c r="X1563">
        <v>-25.253270000000001</v>
      </c>
    </row>
    <row r="1564" spans="1:24" x14ac:dyDescent="0.35">
      <c r="A1564" s="3" t="str">
        <f t="shared" si="24"/>
        <v>MG42411170013001MAM</v>
      </c>
      <c r="B1564" t="s">
        <v>6211</v>
      </c>
      <c r="C1564">
        <f>+VLOOKUP(Sites_per_tag[[#This Row],[Field_office]],Parameter!$A$3:$B$11,2,0)</f>
        <v>6</v>
      </c>
      <c r="E1564" t="s">
        <v>5646</v>
      </c>
      <c r="F1564" t="s">
        <v>5647</v>
      </c>
      <c r="H1564" t="str">
        <f ca="1">PROPER(Sites_per_tag[[#This Row],[Adm2Name]])</f>
        <v>Tsihombe</v>
      </c>
      <c r="I1564" t="s">
        <v>5731</v>
      </c>
      <c r="K1564" t="s">
        <v>3101</v>
      </c>
      <c r="L1564" t="s">
        <v>6053</v>
      </c>
      <c r="N1564" t="s">
        <v>3101</v>
      </c>
      <c r="O1564" t="s">
        <v>5325</v>
      </c>
      <c r="Q1564" t="s">
        <v>3101</v>
      </c>
      <c r="R1564" t="s">
        <v>3102</v>
      </c>
      <c r="T1564" t="s">
        <v>5</v>
      </c>
      <c r="U1564" s="3" t="str">
        <f>+VLOOKUP(Sites_per_tag[[#This Row],[Activity_tag]],Parameter!$A$24:$B$32,2,0)</f>
        <v>MAM</v>
      </c>
      <c r="W1564">
        <v>45.277470000000001</v>
      </c>
      <c r="X1564">
        <v>-25.532250000000001</v>
      </c>
    </row>
    <row r="1565" spans="1:24" x14ac:dyDescent="0.35">
      <c r="A1565" s="3" t="str">
        <f t="shared" si="24"/>
        <v>MG42413110014001STUNT</v>
      </c>
      <c r="B1565" t="s">
        <v>6440</v>
      </c>
      <c r="C1565">
        <f>+VLOOKUP(Sites_per_tag[[#This Row],[Field_office]],Parameter!$A$3:$B$11,2,0)</f>
        <v>2</v>
      </c>
      <c r="E1565" t="s">
        <v>1448</v>
      </c>
      <c r="F1565" t="s">
        <v>5651</v>
      </c>
      <c r="H1565" t="str">
        <f ca="1">PROPER(Sites_per_tag[[#This Row],[Adm2Name]])</f>
        <v>Amboasary-Atsimo</v>
      </c>
      <c r="I1565" t="s">
        <v>5641</v>
      </c>
      <c r="K1565" t="s">
        <v>1986</v>
      </c>
      <c r="L1565" t="s">
        <v>5918</v>
      </c>
      <c r="N1565" t="s">
        <v>758</v>
      </c>
      <c r="O1565" t="s">
        <v>4033</v>
      </c>
      <c r="Q1565" t="s">
        <v>758</v>
      </c>
      <c r="R1565" t="s">
        <v>759</v>
      </c>
      <c r="T1565" t="s">
        <v>50</v>
      </c>
      <c r="U1565" s="3" t="str">
        <f>+VLOOKUP(Sites_per_tag[[#This Row],[Activity_tag]],Parameter!$A$24:$B$32,2,0)</f>
        <v>STUNT</v>
      </c>
      <c r="V1565" t="s">
        <v>6445</v>
      </c>
      <c r="W1565">
        <v>46.406730000000003</v>
      </c>
      <c r="X1565">
        <v>-25.145900000000001</v>
      </c>
    </row>
    <row r="1566" spans="1:24" x14ac:dyDescent="0.35">
      <c r="A1566" s="3" t="str">
        <f t="shared" si="24"/>
        <v>MG43404070006001MAM</v>
      </c>
      <c r="B1566" t="s">
        <v>6193</v>
      </c>
      <c r="C1566">
        <f>+VLOOKUP(Sites_per_tag[[#This Row],[Field_office]],Parameter!$A$3:$B$11,2,0)</f>
        <v>4</v>
      </c>
      <c r="E1566" t="s">
        <v>5658</v>
      </c>
      <c r="F1566" t="s">
        <v>5659</v>
      </c>
      <c r="H1566" t="str">
        <f ca="1">PROPER(Sites_per_tag[[#This Row],[Adm2Name]])</f>
        <v>Vondrozo</v>
      </c>
      <c r="I1566" t="s">
        <v>5738</v>
      </c>
      <c r="K1566" t="s">
        <v>5617</v>
      </c>
      <c r="L1566" t="s">
        <v>6172</v>
      </c>
      <c r="N1566" t="s">
        <v>1084</v>
      </c>
      <c r="O1566" t="s">
        <v>5603</v>
      </c>
      <c r="Q1566" t="s">
        <v>1084</v>
      </c>
      <c r="R1566" t="s">
        <v>1085</v>
      </c>
      <c r="T1566" t="s">
        <v>5</v>
      </c>
      <c r="U1566" s="3" t="str">
        <f>+VLOOKUP(Sites_per_tag[[#This Row],[Activity_tag]],Parameter!$A$24:$B$32,2,0)</f>
        <v>MAM</v>
      </c>
      <c r="W1566">
        <v>47.322769999999998</v>
      </c>
      <c r="X1566">
        <v>-22.820499999999999</v>
      </c>
    </row>
    <row r="1567" spans="1:24" x14ac:dyDescent="0.35">
      <c r="A1567" s="3" t="str">
        <f t="shared" si="24"/>
        <v>MG43404171013001MAM</v>
      </c>
      <c r="B1567" t="s">
        <v>6267</v>
      </c>
      <c r="C1567">
        <f>+VLOOKUP(Sites_per_tag[[#This Row],[Field_office]],Parameter!$A$3:$B$11,2,0)</f>
        <v>9</v>
      </c>
      <c r="E1567" t="s">
        <v>5650</v>
      </c>
      <c r="F1567" t="s">
        <v>5654</v>
      </c>
      <c r="H1567" t="str">
        <f ca="1">PROPER(Sites_per_tag[[#This Row],[Adm2Name]])</f>
        <v>Ampanihy Ouest</v>
      </c>
      <c r="I1567" t="s">
        <v>5660</v>
      </c>
      <c r="K1567" t="s">
        <v>3938</v>
      </c>
      <c r="L1567" t="s">
        <v>6169</v>
      </c>
      <c r="N1567" t="s">
        <v>268</v>
      </c>
      <c r="O1567" t="s">
        <v>5587</v>
      </c>
      <c r="Q1567" t="s">
        <v>268</v>
      </c>
      <c r="R1567" t="s">
        <v>269</v>
      </c>
      <c r="T1567" t="s">
        <v>5</v>
      </c>
      <c r="U1567" s="3" t="str">
        <f>+VLOOKUP(Sites_per_tag[[#This Row],[Activity_tag]],Parameter!$A$24:$B$32,2,0)</f>
        <v>MAM</v>
      </c>
      <c r="W1567">
        <v>44.599670000000003</v>
      </c>
      <c r="X1567">
        <v>-24.191420000000001</v>
      </c>
    </row>
    <row r="1568" spans="1:24" x14ac:dyDescent="0.35">
      <c r="A1568" s="3" t="str">
        <f t="shared" si="24"/>
        <v>MG43404173004001MAM</v>
      </c>
      <c r="B1568" t="s">
        <v>6211</v>
      </c>
      <c r="C1568">
        <f>+VLOOKUP(Sites_per_tag[[#This Row],[Field_office]],Parameter!$A$3:$B$11,2,0)</f>
        <v>6</v>
      </c>
      <c r="E1568" t="s">
        <v>5646</v>
      </c>
      <c r="F1568" t="s">
        <v>5647</v>
      </c>
      <c r="H1568" t="str">
        <f ca="1">PROPER(Sites_per_tag[[#This Row],[Adm2Name]])</f>
        <v>Bekily</v>
      </c>
      <c r="I1568" t="s">
        <v>5683</v>
      </c>
      <c r="K1568" t="s">
        <v>1976</v>
      </c>
      <c r="L1568" t="s">
        <v>5917</v>
      </c>
      <c r="N1568" t="s">
        <v>333</v>
      </c>
      <c r="O1568" t="s">
        <v>4861</v>
      </c>
      <c r="Q1568" t="s">
        <v>333</v>
      </c>
      <c r="R1568" t="s">
        <v>334</v>
      </c>
      <c r="T1568" t="s">
        <v>5</v>
      </c>
      <c r="U1568" s="3" t="str">
        <f>+VLOOKUP(Sites_per_tag[[#This Row],[Activity_tag]],Parameter!$A$24:$B$32,2,0)</f>
        <v>MAM</v>
      </c>
      <c r="W1568">
        <v>45.687379999999997</v>
      </c>
      <c r="X1568">
        <v>-24.130420000000001</v>
      </c>
    </row>
    <row r="1569" spans="1:24" x14ac:dyDescent="0.35">
      <c r="A1569" s="3" t="str">
        <f t="shared" si="24"/>
        <v>MG43408150022001MAM</v>
      </c>
      <c r="B1569" t="s">
        <v>6193</v>
      </c>
      <c r="C1569">
        <f>+VLOOKUP(Sites_per_tag[[#This Row],[Field_office]],Parameter!$A$3:$B$11,2,0)</f>
        <v>4</v>
      </c>
      <c r="E1569" t="s">
        <v>5658</v>
      </c>
      <c r="F1569" t="s">
        <v>5659</v>
      </c>
      <c r="H1569" t="str">
        <f ca="1">PROPER(Sites_per_tag[[#This Row],[Adm2Name]])</f>
        <v>Vangaindrano</v>
      </c>
      <c r="I1569" t="s">
        <v>5734</v>
      </c>
      <c r="K1569" t="s">
        <v>6058</v>
      </c>
      <c r="L1569" t="s">
        <v>6059</v>
      </c>
      <c r="N1569" t="s">
        <v>3289</v>
      </c>
      <c r="O1569" t="s">
        <v>5362</v>
      </c>
      <c r="Q1569" t="s">
        <v>3289</v>
      </c>
      <c r="R1569" t="s">
        <v>3290</v>
      </c>
      <c r="T1569" t="s">
        <v>5</v>
      </c>
      <c r="U1569" s="3" t="str">
        <f>+VLOOKUP(Sites_per_tag[[#This Row],[Activity_tag]],Parameter!$A$24:$B$32,2,0)</f>
        <v>MAM</v>
      </c>
      <c r="W1569">
        <v>47.554850000000002</v>
      </c>
      <c r="X1569">
        <v>-23.558499999999999</v>
      </c>
    </row>
    <row r="1570" spans="1:24" x14ac:dyDescent="0.35">
      <c r="A1570" s="3" t="str">
        <f t="shared" si="24"/>
        <v>MG43408150044001MAM</v>
      </c>
      <c r="B1570" t="s">
        <v>6193</v>
      </c>
      <c r="C1570">
        <f>+VLOOKUP(Sites_per_tag[[#This Row],[Field_office]],Parameter!$A$3:$B$11,2,0)</f>
        <v>4</v>
      </c>
      <c r="E1570" t="s">
        <v>5658</v>
      </c>
      <c r="F1570" t="s">
        <v>5659</v>
      </c>
      <c r="H1570" t="str">
        <f ca="1">PROPER(Sites_per_tag[[#This Row],[Adm2Name]])</f>
        <v>Farafangana</v>
      </c>
      <c r="I1570" t="s">
        <v>5694</v>
      </c>
      <c r="K1570" t="s">
        <v>3632</v>
      </c>
      <c r="L1570" t="s">
        <v>6129</v>
      </c>
      <c r="N1570" t="s">
        <v>3632</v>
      </c>
      <c r="O1570" t="s">
        <v>5475</v>
      </c>
      <c r="Q1570" t="s">
        <v>3632</v>
      </c>
      <c r="R1570" t="s">
        <v>3633</v>
      </c>
      <c r="T1570" t="s">
        <v>5</v>
      </c>
      <c r="U1570" s="3" t="str">
        <f>+VLOOKUP(Sites_per_tag[[#This Row],[Activity_tag]],Parameter!$A$24:$B$32,2,0)</f>
        <v>MAM</v>
      </c>
      <c r="W1570">
        <v>47.706879999999998</v>
      </c>
      <c r="X1570">
        <v>-22.669119999999999</v>
      </c>
    </row>
    <row r="1571" spans="1:24" x14ac:dyDescent="0.35">
      <c r="A1571" s="3" t="str">
        <f t="shared" si="24"/>
        <v>MG44402072009001MAM</v>
      </c>
      <c r="B1571" t="s">
        <v>6210</v>
      </c>
      <c r="C1571">
        <f>+VLOOKUP(Sites_per_tag[[#This Row],[Field_office]],Parameter!$A$3:$B$11,2,0)</f>
        <v>10</v>
      </c>
      <c r="E1571" t="s">
        <v>5650</v>
      </c>
      <c r="F1571" t="s">
        <v>5654</v>
      </c>
      <c r="H1571" t="str">
        <f ca="1">PROPER(Sites_per_tag[[#This Row],[Adm2Name]])</f>
        <v>Betioky Atsimo</v>
      </c>
      <c r="I1571" t="s">
        <v>5688</v>
      </c>
      <c r="K1571" t="s">
        <v>3549</v>
      </c>
      <c r="L1571" t="s">
        <v>6117</v>
      </c>
      <c r="N1571" t="s">
        <v>1954</v>
      </c>
      <c r="O1571" t="s">
        <v>5462</v>
      </c>
      <c r="Q1571" t="s">
        <v>1954</v>
      </c>
      <c r="R1571" t="s">
        <v>1955</v>
      </c>
      <c r="T1571" t="s">
        <v>5</v>
      </c>
      <c r="U1571" s="3" t="str">
        <f>+VLOOKUP(Sites_per_tag[[#This Row],[Activity_tag]],Parameter!$A$24:$B$32,2,0)</f>
        <v>MAM</v>
      </c>
      <c r="W1571">
        <v>44.294150000000002</v>
      </c>
      <c r="X1571">
        <v>-23.57422</v>
      </c>
    </row>
    <row r="1572" spans="1:24" x14ac:dyDescent="0.35">
      <c r="A1572" s="3" t="str">
        <f t="shared" si="24"/>
        <v>MG44417031003001MAM</v>
      </c>
      <c r="B1572" t="s">
        <v>6267</v>
      </c>
      <c r="C1572">
        <f>+VLOOKUP(Sites_per_tag[[#This Row],[Field_office]],Parameter!$A$3:$B$11,2,0)</f>
        <v>9</v>
      </c>
      <c r="E1572" t="s">
        <v>5650</v>
      </c>
      <c r="F1572" t="s">
        <v>5654</v>
      </c>
      <c r="H1572" t="str">
        <f ca="1">PROPER(Sites_per_tag[[#This Row],[Adm2Name]])</f>
        <v>Ampanihy Ouest</v>
      </c>
      <c r="I1572" t="s">
        <v>5660</v>
      </c>
      <c r="K1572" t="s">
        <v>5607</v>
      </c>
      <c r="L1572" t="s">
        <v>5760</v>
      </c>
      <c r="N1572" t="s">
        <v>1362</v>
      </c>
      <c r="O1572" t="s">
        <v>4479</v>
      </c>
      <c r="Q1572" t="s">
        <v>1362</v>
      </c>
      <c r="R1572" t="s">
        <v>1363</v>
      </c>
      <c r="T1572" t="s">
        <v>5</v>
      </c>
      <c r="U1572" s="3" t="str">
        <f>+VLOOKUP(Sites_per_tag[[#This Row],[Activity_tag]],Parameter!$A$24:$B$32,2,0)</f>
        <v>MAM</v>
      </c>
      <c r="W1572">
        <v>44.507919999999999</v>
      </c>
      <c r="X1572">
        <v>-24.783770000000001</v>
      </c>
    </row>
    <row r="1573" spans="1:24" x14ac:dyDescent="0.35">
      <c r="A1573" s="3" t="str">
        <f t="shared" si="24"/>
        <v>MG44421110003001MAM</v>
      </c>
      <c r="B1573" t="s">
        <v>6210</v>
      </c>
      <c r="C1573">
        <f>+VLOOKUP(Sites_per_tag[[#This Row],[Field_office]],Parameter!$A$3:$B$11,2,0)</f>
        <v>10</v>
      </c>
      <c r="E1573" t="s">
        <v>5650</v>
      </c>
      <c r="F1573" t="s">
        <v>5654</v>
      </c>
      <c r="H1573" t="str">
        <f ca="1">PROPER(Sites_per_tag[[#This Row],[Adm2Name]])</f>
        <v>Betioky Atsimo</v>
      </c>
      <c r="I1573" t="s">
        <v>5688</v>
      </c>
      <c r="K1573" t="s">
        <v>1959</v>
      </c>
      <c r="L1573" t="s">
        <v>5914</v>
      </c>
      <c r="N1573" t="s">
        <v>2181</v>
      </c>
      <c r="O1573" t="s">
        <v>4843</v>
      </c>
      <c r="Q1573" t="s">
        <v>2181</v>
      </c>
      <c r="R1573" t="s">
        <v>2182</v>
      </c>
      <c r="T1573" t="s">
        <v>5</v>
      </c>
      <c r="U1573" s="3" t="str">
        <f>+VLOOKUP(Sites_per_tag[[#This Row],[Activity_tag]],Parameter!$A$24:$B$32,2,0)</f>
        <v>MAM</v>
      </c>
      <c r="W1573">
        <v>45.078398999999997</v>
      </c>
      <c r="X1573">
        <v>-23.336701000000001</v>
      </c>
    </row>
    <row r="1574" spans="1:24" x14ac:dyDescent="0.35">
      <c r="A1574" s="3" t="str">
        <f t="shared" si="24"/>
        <v>MG44421194001001STUNT</v>
      </c>
      <c r="B1574" t="s">
        <v>6267</v>
      </c>
      <c r="C1574">
        <f>+VLOOKUP(Sites_per_tag[[#This Row],[Field_office]],Parameter!$A$3:$B$11,2,0)</f>
        <v>9</v>
      </c>
      <c r="E1574" t="s">
        <v>5650</v>
      </c>
      <c r="F1574" t="s">
        <v>5654</v>
      </c>
      <c r="H1574" t="str">
        <f ca="1">PROPER(Sites_per_tag[[#This Row],[Adm2Name]])</f>
        <v>Ampanihy Ouest</v>
      </c>
      <c r="I1574" t="s">
        <v>5660</v>
      </c>
      <c r="K1574" t="s">
        <v>5719</v>
      </c>
      <c r="L1574" t="s">
        <v>5983</v>
      </c>
      <c r="N1574" t="s">
        <v>909</v>
      </c>
      <c r="O1574" t="s">
        <v>4034</v>
      </c>
      <c r="Q1574" t="s">
        <v>909</v>
      </c>
      <c r="R1574" t="s">
        <v>910</v>
      </c>
      <c r="T1574" t="s">
        <v>50</v>
      </c>
      <c r="U1574" s="3" t="str">
        <f>+VLOOKUP(Sites_per_tag[[#This Row],[Activity_tag]],Parameter!$A$24:$B$32,2,0)</f>
        <v>STUNT</v>
      </c>
      <c r="V1574" t="s">
        <v>6446</v>
      </c>
      <c r="W1574">
        <v>43.849580000000003</v>
      </c>
      <c r="X1574">
        <v>-24.500820000000001</v>
      </c>
    </row>
    <row r="1575" spans="1:24" x14ac:dyDescent="0.35">
      <c r="A1575" s="3" t="str">
        <f t="shared" si="24"/>
        <v>MG51501001003001MAM</v>
      </c>
      <c r="B1575" t="s">
        <v>6210</v>
      </c>
      <c r="C1575">
        <f>+VLOOKUP(Sites_per_tag[[#This Row],[Field_office]],Parameter!$A$3:$B$11,2,0)</f>
        <v>10</v>
      </c>
      <c r="E1575" t="s">
        <v>5650</v>
      </c>
      <c r="F1575" t="s">
        <v>5654</v>
      </c>
      <c r="H1575" t="str">
        <f ca="1">PROPER(Sites_per_tag[[#This Row],[Adm2Name]])</f>
        <v>Toliary-I</v>
      </c>
      <c r="I1575" t="s">
        <v>5726</v>
      </c>
      <c r="K1575" t="s">
        <v>6132</v>
      </c>
      <c r="L1575" t="s">
        <v>6133</v>
      </c>
      <c r="N1575" t="s">
        <v>5477</v>
      </c>
      <c r="O1575" t="s">
        <v>5476</v>
      </c>
      <c r="Q1575" t="s">
        <v>3676</v>
      </c>
      <c r="R1575" t="s">
        <v>3677</v>
      </c>
      <c r="T1575" t="s">
        <v>5</v>
      </c>
      <c r="U1575" s="3" t="str">
        <f>+VLOOKUP(Sites_per_tag[[#This Row],[Activity_tag]],Parameter!$A$24:$B$32,2,0)</f>
        <v>MAM</v>
      </c>
      <c r="W1575">
        <v>43.687629999999999</v>
      </c>
      <c r="X1575">
        <v>-23.357749999999999</v>
      </c>
    </row>
    <row r="1576" spans="1:24" x14ac:dyDescent="0.35">
      <c r="A1576" s="3" t="str">
        <f t="shared" si="24"/>
        <v>MG51501005001001MAM</v>
      </c>
      <c r="B1576" t="s">
        <v>6210</v>
      </c>
      <c r="C1576">
        <f>+VLOOKUP(Sites_per_tag[[#This Row],[Field_office]],Parameter!$A$3:$B$11,2,0)</f>
        <v>10</v>
      </c>
      <c r="E1576" t="s">
        <v>5650</v>
      </c>
      <c r="F1576" t="s">
        <v>5654</v>
      </c>
      <c r="H1576" t="str">
        <f ca="1">PROPER(Sites_per_tag[[#This Row],[Adm2Name]])</f>
        <v>Toliary-I</v>
      </c>
      <c r="I1576" t="s">
        <v>5726</v>
      </c>
      <c r="K1576" t="s">
        <v>6132</v>
      </c>
      <c r="L1576" t="s">
        <v>6133</v>
      </c>
      <c r="N1576" t="s">
        <v>5479</v>
      </c>
      <c r="O1576" t="s">
        <v>5478</v>
      </c>
      <c r="Q1576" t="s">
        <v>2106</v>
      </c>
      <c r="R1576" t="s">
        <v>2107</v>
      </c>
      <c r="T1576" t="s">
        <v>5</v>
      </c>
      <c r="U1576" s="3" t="str">
        <f>+VLOOKUP(Sites_per_tag[[#This Row],[Activity_tag]],Parameter!$A$24:$B$32,2,0)</f>
        <v>MAM</v>
      </c>
      <c r="W1576">
        <v>43.680880000000002</v>
      </c>
      <c r="X1576">
        <v>-23.34413</v>
      </c>
    </row>
    <row r="1577" spans="1:24" x14ac:dyDescent="0.35">
      <c r="A1577" s="3" t="str">
        <f t="shared" si="24"/>
        <v>MG51501006001001MAM</v>
      </c>
      <c r="B1577" t="s">
        <v>6193</v>
      </c>
      <c r="C1577">
        <f>+VLOOKUP(Sites_per_tag[[#This Row],[Field_office]],Parameter!$A$3:$B$11,2,0)</f>
        <v>4</v>
      </c>
      <c r="E1577" t="s">
        <v>5658</v>
      </c>
      <c r="F1577" t="s">
        <v>5659</v>
      </c>
      <c r="H1577" t="str">
        <f ca="1">PROPER(Sites_per_tag[[#This Row],[Adm2Name]])</f>
        <v>Befotaka</v>
      </c>
      <c r="I1577" t="s">
        <v>5680</v>
      </c>
      <c r="K1577" t="s">
        <v>1512</v>
      </c>
      <c r="L1577" t="s">
        <v>5857</v>
      </c>
      <c r="N1577" t="s">
        <v>1512</v>
      </c>
      <c r="O1577" t="s">
        <v>4715</v>
      </c>
      <c r="Q1577" t="s">
        <v>1512</v>
      </c>
      <c r="R1577" t="s">
        <v>1513</v>
      </c>
      <c r="T1577" t="s">
        <v>5</v>
      </c>
      <c r="U1577" s="3" t="str">
        <f>+VLOOKUP(Sites_per_tag[[#This Row],[Activity_tag]],Parameter!$A$24:$B$32,2,0)</f>
        <v>MAM</v>
      </c>
      <c r="W1577">
        <v>46.713239000000002</v>
      </c>
      <c r="X1577">
        <v>-23.771491000000001</v>
      </c>
    </row>
    <row r="1578" spans="1:24" x14ac:dyDescent="0.35">
      <c r="A1578" s="3" t="str">
        <f t="shared" si="24"/>
        <v>MG51501006010001MAM</v>
      </c>
      <c r="B1578" t="s">
        <v>6211</v>
      </c>
      <c r="C1578">
        <f>+VLOOKUP(Sites_per_tag[[#This Row],[Field_office]],Parameter!$A$3:$B$11,2,0)</f>
        <v>6</v>
      </c>
      <c r="E1578" t="s">
        <v>5646</v>
      </c>
      <c r="F1578" t="s">
        <v>5647</v>
      </c>
      <c r="H1578" t="str">
        <f ca="1">PROPER(Sites_per_tag[[#This Row],[Adm2Name]])</f>
        <v>Tsihombe</v>
      </c>
      <c r="I1578" t="s">
        <v>5731</v>
      </c>
      <c r="K1578" t="s">
        <v>5961</v>
      </c>
      <c r="L1578" t="s">
        <v>6082</v>
      </c>
      <c r="N1578" t="s">
        <v>2017</v>
      </c>
      <c r="O1578" t="s">
        <v>5384</v>
      </c>
      <c r="Q1578" t="s">
        <v>2038</v>
      </c>
      <c r="R1578" t="s">
        <v>2039</v>
      </c>
      <c r="T1578" t="s">
        <v>5</v>
      </c>
      <c r="U1578" s="3" t="str">
        <f>+VLOOKUP(Sites_per_tag[[#This Row],[Activity_tag]],Parameter!$A$24:$B$32,2,0)</f>
        <v>MAM</v>
      </c>
      <c r="W1578">
        <v>45.425511999999998</v>
      </c>
      <c r="X1578">
        <v>-25.357258999999999</v>
      </c>
    </row>
    <row r="1579" spans="1:24" x14ac:dyDescent="0.35">
      <c r="A1579" s="3" t="str">
        <f t="shared" si="24"/>
        <v>MG51503011004001MAM</v>
      </c>
      <c r="B1579" t="s">
        <v>6193</v>
      </c>
      <c r="C1579">
        <f>+VLOOKUP(Sites_per_tag[[#This Row],[Field_office]],Parameter!$A$3:$B$11,2,0)</f>
        <v>4</v>
      </c>
      <c r="E1579" t="s">
        <v>5658</v>
      </c>
      <c r="F1579" t="s">
        <v>5659</v>
      </c>
      <c r="H1579" t="str">
        <f ca="1">PROPER(Sites_per_tag[[#This Row],[Adm2Name]])</f>
        <v>Farafangana</v>
      </c>
      <c r="I1579" t="s">
        <v>5694</v>
      </c>
      <c r="K1579" t="s">
        <v>129</v>
      </c>
      <c r="L1579" t="s">
        <v>5670</v>
      </c>
      <c r="N1579" t="s">
        <v>129</v>
      </c>
      <c r="O1579" t="s">
        <v>4284</v>
      </c>
      <c r="Q1579" t="s">
        <v>129</v>
      </c>
      <c r="R1579" t="s">
        <v>130</v>
      </c>
      <c r="T1579" t="s">
        <v>5</v>
      </c>
      <c r="U1579" s="3" t="str">
        <f>+VLOOKUP(Sites_per_tag[[#This Row],[Activity_tag]],Parameter!$A$24:$B$32,2,0)</f>
        <v>MAM</v>
      </c>
      <c r="W1579">
        <v>47.591715999999998</v>
      </c>
      <c r="X1579">
        <v>-22.644012</v>
      </c>
    </row>
    <row r="1580" spans="1:24" x14ac:dyDescent="0.35">
      <c r="A1580" s="3" t="str">
        <f t="shared" si="24"/>
        <v>MG51504010003001MAM</v>
      </c>
      <c r="B1580" t="s">
        <v>6211</v>
      </c>
      <c r="C1580">
        <f>+VLOOKUP(Sites_per_tag[[#This Row],[Field_office]],Parameter!$A$3:$B$11,2,0)</f>
        <v>6</v>
      </c>
      <c r="E1580" t="s">
        <v>5646</v>
      </c>
      <c r="F1580" t="s">
        <v>5647</v>
      </c>
      <c r="H1580" t="str">
        <f ca="1">PROPER(Sites_per_tag[[#This Row],[Adm2Name]])</f>
        <v>Tsihombe</v>
      </c>
      <c r="I1580" t="s">
        <v>5731</v>
      </c>
      <c r="K1580" t="s">
        <v>3101</v>
      </c>
      <c r="L1580" t="s">
        <v>6053</v>
      </c>
      <c r="N1580" t="s">
        <v>1922</v>
      </c>
      <c r="O1580" t="s">
        <v>5326</v>
      </c>
      <c r="Q1580" t="s">
        <v>1922</v>
      </c>
      <c r="R1580" t="s">
        <v>1923</v>
      </c>
      <c r="T1580" t="s">
        <v>5</v>
      </c>
      <c r="U1580" s="3" t="str">
        <f>+VLOOKUP(Sites_per_tag[[#This Row],[Activity_tag]],Parameter!$A$24:$B$32,2,0)</f>
        <v>MAM</v>
      </c>
      <c r="W1580">
        <v>45.224558999999999</v>
      </c>
      <c r="X1580">
        <v>-25.514385999999998</v>
      </c>
    </row>
    <row r="1581" spans="1:24" x14ac:dyDescent="0.35">
      <c r="A1581" s="3" t="str">
        <f t="shared" si="24"/>
        <v>MG51504010007001MAM</v>
      </c>
      <c r="B1581" t="s">
        <v>6211</v>
      </c>
      <c r="C1581">
        <f>+VLOOKUP(Sites_per_tag[[#This Row],[Field_office]],Parameter!$A$3:$B$11,2,0)</f>
        <v>6</v>
      </c>
      <c r="E1581" t="s">
        <v>5646</v>
      </c>
      <c r="F1581" t="s">
        <v>5647</v>
      </c>
      <c r="H1581" t="str">
        <f ca="1">PROPER(Sites_per_tag[[#This Row],[Adm2Name]])</f>
        <v>Tsihombe</v>
      </c>
      <c r="I1581" t="s">
        <v>5731</v>
      </c>
      <c r="K1581" t="s">
        <v>5610</v>
      </c>
      <c r="L1581" t="s">
        <v>6147</v>
      </c>
      <c r="N1581" t="s">
        <v>1641</v>
      </c>
      <c r="O1581" t="s">
        <v>5531</v>
      </c>
      <c r="Q1581" t="s">
        <v>1641</v>
      </c>
      <c r="R1581" t="s">
        <v>1642</v>
      </c>
      <c r="T1581" t="s">
        <v>5</v>
      </c>
      <c r="U1581" s="3" t="str">
        <f>+VLOOKUP(Sites_per_tag[[#This Row],[Activity_tag]],Parameter!$A$24:$B$32,2,0)</f>
        <v>MAM</v>
      </c>
      <c r="W1581">
        <v>45.415934999999998</v>
      </c>
      <c r="X1581">
        <v>-25.227115999999999</v>
      </c>
    </row>
    <row r="1582" spans="1:24" x14ac:dyDescent="0.35">
      <c r="A1582" s="3" t="str">
        <f t="shared" si="24"/>
        <v>MG51505050005001MAM</v>
      </c>
      <c r="B1582" t="s">
        <v>6210</v>
      </c>
      <c r="C1582">
        <f>+VLOOKUP(Sites_per_tag[[#This Row],[Field_office]],Parameter!$A$3:$B$11,2,0)</f>
        <v>10</v>
      </c>
      <c r="E1582" t="s">
        <v>5650</v>
      </c>
      <c r="F1582" t="s">
        <v>5654</v>
      </c>
      <c r="H1582" t="str">
        <f ca="1">PROPER(Sites_per_tag[[#This Row],[Adm2Name]])</f>
        <v>Betioky Atsimo</v>
      </c>
      <c r="I1582" t="s">
        <v>5688</v>
      </c>
      <c r="K1582" t="s">
        <v>5772</v>
      </c>
      <c r="L1582" t="s">
        <v>5835</v>
      </c>
      <c r="N1582" t="s">
        <v>2795</v>
      </c>
      <c r="O1582" t="s">
        <v>4035</v>
      </c>
      <c r="Q1582" t="s">
        <v>2802</v>
      </c>
      <c r="R1582" t="s">
        <v>2803</v>
      </c>
      <c r="T1582" t="s">
        <v>5</v>
      </c>
      <c r="U1582" s="3" t="str">
        <f>+VLOOKUP(Sites_per_tag[[#This Row],[Activity_tag]],Parameter!$A$24:$B$32,2,0)</f>
        <v>MAM</v>
      </c>
      <c r="W1582">
        <v>44.573515999999998</v>
      </c>
      <c r="X1582">
        <v>-23.655821</v>
      </c>
    </row>
    <row r="1583" spans="1:24" x14ac:dyDescent="0.35">
      <c r="A1583" s="3" t="str">
        <f t="shared" si="24"/>
        <v>MG51505050005002STUNT</v>
      </c>
      <c r="B1583" t="s">
        <v>6210</v>
      </c>
      <c r="C1583">
        <f>+VLOOKUP(Sites_per_tag[[#This Row],[Field_office]],Parameter!$A$3:$B$11,2,0)</f>
        <v>10</v>
      </c>
      <c r="E1583" t="s">
        <v>5650</v>
      </c>
      <c r="F1583" t="s">
        <v>5654</v>
      </c>
      <c r="H1583" t="str">
        <f ca="1">PROPER(Sites_per_tag[[#This Row],[Adm2Name]])</f>
        <v>Betioky Atsimo</v>
      </c>
      <c r="I1583" t="s">
        <v>5688</v>
      </c>
      <c r="K1583" t="s">
        <v>5772</v>
      </c>
      <c r="L1583" t="s">
        <v>5835</v>
      </c>
      <c r="N1583" t="s">
        <v>2795</v>
      </c>
      <c r="O1583" t="s">
        <v>4035</v>
      </c>
      <c r="Q1583" t="s">
        <v>2795</v>
      </c>
      <c r="R1583" t="s">
        <v>2796</v>
      </c>
      <c r="T1583" t="s">
        <v>50</v>
      </c>
      <c r="U1583" s="3" t="str">
        <f>+VLOOKUP(Sites_per_tag[[#This Row],[Activity_tag]],Parameter!$A$24:$B$32,2,0)</f>
        <v>STUNT</v>
      </c>
      <c r="V1583" t="s">
        <v>6447</v>
      </c>
      <c r="W1583">
        <v>44.573515999999998</v>
      </c>
      <c r="X1583">
        <v>-23.655821</v>
      </c>
    </row>
    <row r="1584" spans="1:24" x14ac:dyDescent="0.35">
      <c r="A1584" s="3" t="str">
        <f t="shared" si="24"/>
        <v>MG51505071019001MAM</v>
      </c>
      <c r="B1584" t="s">
        <v>6211</v>
      </c>
      <c r="C1584">
        <f>+VLOOKUP(Sites_per_tag[[#This Row],[Field_office]],Parameter!$A$3:$B$11,2,0)</f>
        <v>6</v>
      </c>
      <c r="E1584" t="s">
        <v>1448</v>
      </c>
      <c r="F1584" t="s">
        <v>5651</v>
      </c>
      <c r="H1584" t="str">
        <f ca="1">PROPER(Sites_per_tag[[#This Row],[Adm2Name]])</f>
        <v>Amboasary-Atsimo</v>
      </c>
      <c r="I1584" t="s">
        <v>5641</v>
      </c>
      <c r="K1584" t="s">
        <v>2348</v>
      </c>
      <c r="L1584" t="s">
        <v>5944</v>
      </c>
      <c r="N1584" t="s">
        <v>1942</v>
      </c>
      <c r="O1584" t="s">
        <v>4968</v>
      </c>
      <c r="Q1584" t="s">
        <v>1942</v>
      </c>
      <c r="R1584" t="s">
        <v>1943</v>
      </c>
      <c r="T1584" t="s">
        <v>5</v>
      </c>
      <c r="U1584" s="3" t="str">
        <f>+VLOOKUP(Sites_per_tag[[#This Row],[Activity_tag]],Parameter!$A$24:$B$32,2,0)</f>
        <v>MAM</v>
      </c>
      <c r="W1584">
        <v>46.163941000000001</v>
      </c>
      <c r="X1584">
        <v>-24.707948999999999</v>
      </c>
    </row>
    <row r="1585" spans="1:24" x14ac:dyDescent="0.35">
      <c r="A1585" s="3" t="str">
        <f t="shared" si="24"/>
        <v>MG51506011002001MAM</v>
      </c>
      <c r="B1585" t="s">
        <v>6210</v>
      </c>
      <c r="C1585">
        <f>+VLOOKUP(Sites_per_tag[[#This Row],[Field_office]],Parameter!$A$3:$B$11,2,0)</f>
        <v>10</v>
      </c>
      <c r="E1585" t="s">
        <v>5650</v>
      </c>
      <c r="F1585" t="s">
        <v>5654</v>
      </c>
      <c r="H1585" t="str">
        <f ca="1">PROPER(Sites_per_tag[[#This Row],[Adm2Name]])</f>
        <v>Betioky Atsimo</v>
      </c>
      <c r="I1585" t="s">
        <v>5688</v>
      </c>
      <c r="K1585" t="s">
        <v>5615</v>
      </c>
      <c r="L1585" t="s">
        <v>5928</v>
      </c>
      <c r="N1585" t="s">
        <v>490</v>
      </c>
      <c r="O1585" t="s">
        <v>4893</v>
      </c>
      <c r="Q1585" t="s">
        <v>490</v>
      </c>
      <c r="R1585" t="s">
        <v>491</v>
      </c>
      <c r="T1585" t="s">
        <v>5</v>
      </c>
      <c r="U1585" s="3" t="str">
        <f>+VLOOKUP(Sites_per_tag[[#This Row],[Activity_tag]],Parameter!$A$24:$B$32,2,0)</f>
        <v>MAM</v>
      </c>
      <c r="W1585">
        <v>44.310519999999997</v>
      </c>
      <c r="X1585">
        <v>-23.746200000000002</v>
      </c>
    </row>
    <row r="1586" spans="1:24" x14ac:dyDescent="0.35">
      <c r="A1586" s="3" t="str">
        <f t="shared" si="24"/>
        <v>MG51506011003001MAM</v>
      </c>
      <c r="B1586" t="s">
        <v>6210</v>
      </c>
      <c r="C1586">
        <f>+VLOOKUP(Sites_per_tag[[#This Row],[Field_office]],Parameter!$A$3:$B$11,2,0)</f>
        <v>10</v>
      </c>
      <c r="E1586" t="s">
        <v>5650</v>
      </c>
      <c r="F1586" t="s">
        <v>5654</v>
      </c>
      <c r="H1586" t="str">
        <f ca="1">PROPER(Sites_per_tag[[#This Row],[Adm2Name]])</f>
        <v>Betioky Atsimo</v>
      </c>
      <c r="I1586" t="s">
        <v>5688</v>
      </c>
      <c r="K1586" t="s">
        <v>5615</v>
      </c>
      <c r="L1586" t="s">
        <v>5928</v>
      </c>
      <c r="N1586" t="s">
        <v>3317</v>
      </c>
      <c r="O1586" t="s">
        <v>4894</v>
      </c>
      <c r="Q1586" t="s">
        <v>3317</v>
      </c>
      <c r="R1586" t="s">
        <v>3318</v>
      </c>
      <c r="T1586" t="s">
        <v>5</v>
      </c>
      <c r="U1586" s="3" t="str">
        <f>+VLOOKUP(Sites_per_tag[[#This Row],[Activity_tag]],Parameter!$A$24:$B$32,2,0)</f>
        <v>MAM</v>
      </c>
      <c r="W1586">
        <v>44.308579999999999</v>
      </c>
      <c r="X1586">
        <v>-23.732299999999999</v>
      </c>
    </row>
    <row r="1587" spans="1:24" x14ac:dyDescent="0.35">
      <c r="A1587" s="3" t="str">
        <f t="shared" si="24"/>
        <v>MG51506011004001MAM</v>
      </c>
      <c r="B1587" t="s">
        <v>6210</v>
      </c>
      <c r="C1587">
        <f>+VLOOKUP(Sites_per_tag[[#This Row],[Field_office]],Parameter!$A$3:$B$11,2,0)</f>
        <v>10</v>
      </c>
      <c r="E1587" t="s">
        <v>5650</v>
      </c>
      <c r="F1587" t="s">
        <v>5654</v>
      </c>
      <c r="H1587" t="str">
        <f ca="1">PROPER(Sites_per_tag[[#This Row],[Adm2Name]])</f>
        <v>Betioky Atsimo</v>
      </c>
      <c r="I1587" t="s">
        <v>5688</v>
      </c>
      <c r="K1587" t="s">
        <v>5615</v>
      </c>
      <c r="L1587" t="s">
        <v>5928</v>
      </c>
      <c r="N1587" t="s">
        <v>2122</v>
      </c>
      <c r="O1587" t="s">
        <v>4895</v>
      </c>
      <c r="Q1587" t="s">
        <v>2122</v>
      </c>
      <c r="R1587" t="s">
        <v>2123</v>
      </c>
      <c r="T1587" t="s">
        <v>5</v>
      </c>
      <c r="U1587" s="3" t="str">
        <f>+VLOOKUP(Sites_per_tag[[#This Row],[Activity_tag]],Parameter!$A$24:$B$32,2,0)</f>
        <v>MAM</v>
      </c>
      <c r="W1587">
        <v>44.370269999999998</v>
      </c>
      <c r="X1587">
        <v>-23.719149999999999</v>
      </c>
    </row>
    <row r="1588" spans="1:24" x14ac:dyDescent="0.35">
      <c r="A1588" s="3" t="str">
        <f t="shared" si="24"/>
        <v>MG51506011006001MAM</v>
      </c>
      <c r="B1588" t="s">
        <v>6210</v>
      </c>
      <c r="C1588">
        <f>+VLOOKUP(Sites_per_tag[[#This Row],[Field_office]],Parameter!$A$3:$B$11,2,0)</f>
        <v>10</v>
      </c>
      <c r="E1588" t="s">
        <v>5650</v>
      </c>
      <c r="F1588" t="s">
        <v>5654</v>
      </c>
      <c r="H1588" t="str">
        <f ca="1">PROPER(Sites_per_tag[[#This Row],[Adm2Name]])</f>
        <v>Betioky Atsimo</v>
      </c>
      <c r="I1588" t="s">
        <v>5688</v>
      </c>
      <c r="K1588" t="s">
        <v>5615</v>
      </c>
      <c r="L1588" t="s">
        <v>5928</v>
      </c>
      <c r="N1588" t="s">
        <v>536</v>
      </c>
      <c r="O1588" t="s">
        <v>4896</v>
      </c>
      <c r="Q1588" t="s">
        <v>536</v>
      </c>
      <c r="R1588" t="s">
        <v>537</v>
      </c>
      <c r="T1588" t="s">
        <v>5</v>
      </c>
      <c r="U1588" s="3" t="str">
        <f>+VLOOKUP(Sites_per_tag[[#This Row],[Activity_tag]],Parameter!$A$24:$B$32,2,0)</f>
        <v>MAM</v>
      </c>
      <c r="W1588">
        <v>44.37312</v>
      </c>
      <c r="X1588">
        <v>-23.73152</v>
      </c>
    </row>
    <row r="1589" spans="1:24" x14ac:dyDescent="0.35">
      <c r="A1589" s="3" t="str">
        <f t="shared" si="24"/>
        <v>MG51506011007001MAM</v>
      </c>
      <c r="B1589" t="s">
        <v>6210</v>
      </c>
      <c r="C1589">
        <f>+VLOOKUP(Sites_per_tag[[#This Row],[Field_office]],Parameter!$A$3:$B$11,2,0)</f>
        <v>10</v>
      </c>
      <c r="E1589" t="s">
        <v>5650</v>
      </c>
      <c r="F1589" t="s">
        <v>5654</v>
      </c>
      <c r="H1589" t="str">
        <f ca="1">PROPER(Sites_per_tag[[#This Row],[Adm2Name]])</f>
        <v>Betioky Atsimo</v>
      </c>
      <c r="I1589" t="s">
        <v>5688</v>
      </c>
      <c r="K1589" t="s">
        <v>5615</v>
      </c>
      <c r="L1589" t="s">
        <v>5928</v>
      </c>
      <c r="N1589" t="s">
        <v>1575</v>
      </c>
      <c r="O1589" t="s">
        <v>4897</v>
      </c>
      <c r="Q1589" t="s">
        <v>1575</v>
      </c>
      <c r="R1589" t="s">
        <v>1576</v>
      </c>
      <c r="T1589" t="s">
        <v>5</v>
      </c>
      <c r="U1589" s="3" t="str">
        <f>+VLOOKUP(Sites_per_tag[[#This Row],[Activity_tag]],Parameter!$A$24:$B$32,2,0)</f>
        <v>MAM</v>
      </c>
      <c r="W1589">
        <v>44.378970000000002</v>
      </c>
      <c r="X1589">
        <v>-23.719280000000001</v>
      </c>
    </row>
    <row r="1590" spans="1:24" x14ac:dyDescent="0.35">
      <c r="A1590" s="3" t="str">
        <f t="shared" si="24"/>
        <v>MG51506011008001MAM</v>
      </c>
      <c r="B1590" t="s">
        <v>6210</v>
      </c>
      <c r="C1590">
        <f>+VLOOKUP(Sites_per_tag[[#This Row],[Field_office]],Parameter!$A$3:$B$11,2,0)</f>
        <v>10</v>
      </c>
      <c r="E1590" t="s">
        <v>5650</v>
      </c>
      <c r="F1590" t="s">
        <v>5654</v>
      </c>
      <c r="H1590" t="str">
        <f ca="1">PROPER(Sites_per_tag[[#This Row],[Adm2Name]])</f>
        <v>Betioky Atsimo</v>
      </c>
      <c r="I1590" t="s">
        <v>5688</v>
      </c>
      <c r="K1590" t="s">
        <v>5615</v>
      </c>
      <c r="L1590" t="s">
        <v>5928</v>
      </c>
      <c r="N1590" t="s">
        <v>1208</v>
      </c>
      <c r="O1590" t="s">
        <v>4898</v>
      </c>
      <c r="Q1590" t="s">
        <v>1208</v>
      </c>
      <c r="R1590" t="s">
        <v>1209</v>
      </c>
      <c r="T1590" t="s">
        <v>5</v>
      </c>
      <c r="U1590" s="3" t="str">
        <f>+VLOOKUP(Sites_per_tag[[#This Row],[Activity_tag]],Parameter!$A$24:$B$32,2,0)</f>
        <v>MAM</v>
      </c>
      <c r="W1590">
        <v>44.380029999999998</v>
      </c>
      <c r="X1590">
        <v>-23.714880000000001</v>
      </c>
    </row>
    <row r="1591" spans="1:24" x14ac:dyDescent="0.35">
      <c r="A1591" s="3" t="str">
        <f t="shared" si="24"/>
        <v>MG51506011009001MAM</v>
      </c>
      <c r="B1591" t="s">
        <v>6210</v>
      </c>
      <c r="C1591">
        <f>+VLOOKUP(Sites_per_tag[[#This Row],[Field_office]],Parameter!$A$3:$B$11,2,0)</f>
        <v>10</v>
      </c>
      <c r="E1591" t="s">
        <v>5650</v>
      </c>
      <c r="F1591" t="s">
        <v>5654</v>
      </c>
      <c r="H1591" t="str">
        <f ca="1">PROPER(Sites_per_tag[[#This Row],[Adm2Name]])</f>
        <v>Betioky Atsimo</v>
      </c>
      <c r="I1591" t="s">
        <v>5688</v>
      </c>
      <c r="K1591" t="s">
        <v>5615</v>
      </c>
      <c r="L1591" t="s">
        <v>5928</v>
      </c>
      <c r="N1591" t="s">
        <v>1316</v>
      </c>
      <c r="O1591" t="s">
        <v>4899</v>
      </c>
      <c r="Q1591" t="s">
        <v>1322</v>
      </c>
      <c r="R1591" t="s">
        <v>1323</v>
      </c>
      <c r="T1591" t="s">
        <v>5</v>
      </c>
      <c r="U1591" s="3" t="str">
        <f>+VLOOKUP(Sites_per_tag[[#This Row],[Activity_tag]],Parameter!$A$24:$B$32,2,0)</f>
        <v>MAM</v>
      </c>
      <c r="W1591">
        <v>44.327454000000003</v>
      </c>
      <c r="X1591">
        <v>-23.726907000000001</v>
      </c>
    </row>
    <row r="1592" spans="1:24" x14ac:dyDescent="0.35">
      <c r="A1592" s="3" t="str">
        <f t="shared" si="24"/>
        <v>MG51506011010001MAM</v>
      </c>
      <c r="B1592" t="s">
        <v>6210</v>
      </c>
      <c r="C1592">
        <f>+VLOOKUP(Sites_per_tag[[#This Row],[Field_office]],Parameter!$A$3:$B$11,2,0)</f>
        <v>10</v>
      </c>
      <c r="E1592" t="s">
        <v>5650</v>
      </c>
      <c r="F1592" t="s">
        <v>5654</v>
      </c>
      <c r="H1592" t="str">
        <f ca="1">PROPER(Sites_per_tag[[#This Row],[Adm2Name]])</f>
        <v>Betioky Atsimo</v>
      </c>
      <c r="I1592" t="s">
        <v>5688</v>
      </c>
      <c r="K1592" t="s">
        <v>5615</v>
      </c>
      <c r="L1592" t="s">
        <v>5928</v>
      </c>
      <c r="N1592" t="s">
        <v>1327</v>
      </c>
      <c r="O1592" t="s">
        <v>4900</v>
      </c>
      <c r="Q1592" t="s">
        <v>1327</v>
      </c>
      <c r="R1592" t="s">
        <v>1328</v>
      </c>
      <c r="T1592" t="s">
        <v>5</v>
      </c>
      <c r="U1592" s="3" t="str">
        <f>+VLOOKUP(Sites_per_tag[[#This Row],[Activity_tag]],Parameter!$A$24:$B$32,2,0)</f>
        <v>MAM</v>
      </c>
      <c r="W1592">
        <v>44.380929999999999</v>
      </c>
      <c r="X1592">
        <v>-23.723020000000002</v>
      </c>
    </row>
    <row r="1593" spans="1:24" x14ac:dyDescent="0.35">
      <c r="A1593" s="3" t="str">
        <f t="shared" si="24"/>
        <v>MG51506011022001MAM</v>
      </c>
      <c r="B1593" t="s">
        <v>6210</v>
      </c>
      <c r="C1593">
        <f>+VLOOKUP(Sites_per_tag[[#This Row],[Field_office]],Parameter!$A$3:$B$11,2,0)</f>
        <v>10</v>
      </c>
      <c r="E1593" t="s">
        <v>5650</v>
      </c>
      <c r="F1593" t="s">
        <v>5654</v>
      </c>
      <c r="H1593" t="str">
        <f ca="1">PROPER(Sites_per_tag[[#This Row],[Adm2Name]])</f>
        <v>Betioky Atsimo</v>
      </c>
      <c r="I1593" t="s">
        <v>5688</v>
      </c>
      <c r="K1593" t="s">
        <v>3370</v>
      </c>
      <c r="L1593" t="s">
        <v>6093</v>
      </c>
      <c r="N1593" t="s">
        <v>5413</v>
      </c>
      <c r="O1593" t="s">
        <v>5412</v>
      </c>
      <c r="Q1593" t="s">
        <v>3759</v>
      </c>
      <c r="R1593" t="s">
        <v>3760</v>
      </c>
      <c r="T1593" t="s">
        <v>5</v>
      </c>
      <c r="U1593" s="3" t="str">
        <f>+VLOOKUP(Sites_per_tag[[#This Row],[Activity_tag]],Parameter!$A$24:$B$32,2,0)</f>
        <v>MAM</v>
      </c>
      <c r="W1593">
        <v>44.621899999999997</v>
      </c>
      <c r="X1593">
        <v>-23.84928</v>
      </c>
    </row>
    <row r="1594" spans="1:24" x14ac:dyDescent="0.35">
      <c r="A1594" s="3" t="str">
        <f t="shared" si="24"/>
        <v>MG51506011023001MAM</v>
      </c>
      <c r="B1594" t="s">
        <v>6267</v>
      </c>
      <c r="C1594">
        <f>+VLOOKUP(Sites_per_tag[[#This Row],[Field_office]],Parameter!$A$3:$B$11,2,0)</f>
        <v>9</v>
      </c>
      <c r="E1594" t="s">
        <v>5650</v>
      </c>
      <c r="F1594" t="s">
        <v>5654</v>
      </c>
      <c r="H1594" t="str">
        <f ca="1">PROPER(Sites_per_tag[[#This Row],[Adm2Name]])</f>
        <v>Ampanihy Ouest</v>
      </c>
      <c r="I1594" t="s">
        <v>5660</v>
      </c>
      <c r="K1594" t="s">
        <v>457</v>
      </c>
      <c r="L1594" t="s">
        <v>5748</v>
      </c>
      <c r="N1594" t="s">
        <v>1877</v>
      </c>
      <c r="O1594" t="s">
        <v>4384</v>
      </c>
      <c r="Q1594" t="s">
        <v>1877</v>
      </c>
      <c r="R1594" t="s">
        <v>1878</v>
      </c>
      <c r="T1594" t="s">
        <v>5</v>
      </c>
      <c r="U1594" s="3" t="str">
        <f>+VLOOKUP(Sites_per_tag[[#This Row],[Activity_tag]],Parameter!$A$24:$B$32,2,0)</f>
        <v>MAM</v>
      </c>
      <c r="W1594">
        <v>44.933157000000001</v>
      </c>
      <c r="X1594">
        <v>-24.710844999999999</v>
      </c>
    </row>
    <row r="1595" spans="1:24" x14ac:dyDescent="0.35">
      <c r="A1595" s="3" t="str">
        <f t="shared" si="24"/>
        <v>MG51506012001PREV</v>
      </c>
      <c r="B1595" t="s">
        <v>6210</v>
      </c>
      <c r="C1595">
        <f>+VLOOKUP(Sites_per_tag[[#This Row],[Field_office]],Parameter!$A$3:$B$11,2,0)</f>
        <v>10</v>
      </c>
      <c r="E1595" t="s">
        <v>5650</v>
      </c>
      <c r="F1595" t="s">
        <v>5654</v>
      </c>
      <c r="H1595" t="str">
        <f ca="1">PROPER(Sites_per_tag[[#This Row],[Adm2Name]])</f>
        <v>Betioky Atsimo</v>
      </c>
      <c r="I1595" t="s">
        <v>5688</v>
      </c>
      <c r="K1595" t="s">
        <v>3370</v>
      </c>
      <c r="L1595" t="s">
        <v>6093</v>
      </c>
      <c r="N1595" t="s">
        <v>3372</v>
      </c>
      <c r="Q1595" t="s">
        <v>3372</v>
      </c>
      <c r="R1595" t="s">
        <v>3373</v>
      </c>
      <c r="T1595" t="s">
        <v>32</v>
      </c>
      <c r="U1595" s="3" t="str">
        <f>+VLOOKUP(Sites_per_tag[[#This Row],[Activity_tag]],Parameter!$A$24:$B$32,2,0)</f>
        <v>PREV</v>
      </c>
      <c r="W1595">
        <v>44.645850000000003</v>
      </c>
      <c r="X1595">
        <v>-23.880330000000001</v>
      </c>
    </row>
    <row r="1596" spans="1:24" x14ac:dyDescent="0.35">
      <c r="A1596" s="3" t="str">
        <f t="shared" si="24"/>
        <v>MG51506012002001MAM</v>
      </c>
      <c r="B1596" t="s">
        <v>6210</v>
      </c>
      <c r="C1596">
        <f>+VLOOKUP(Sites_per_tag[[#This Row],[Field_office]],Parameter!$A$3:$B$11,2,0)</f>
        <v>10</v>
      </c>
      <c r="E1596" t="s">
        <v>5650</v>
      </c>
      <c r="F1596" t="s">
        <v>5654</v>
      </c>
      <c r="H1596" t="str">
        <f ca="1">PROPER(Sites_per_tag[[#This Row],[Adm2Name]])</f>
        <v>Betioky Atsimo</v>
      </c>
      <c r="I1596" t="s">
        <v>5688</v>
      </c>
      <c r="K1596" t="s">
        <v>5915</v>
      </c>
      <c r="L1596" t="s">
        <v>5916</v>
      </c>
      <c r="N1596" t="s">
        <v>2082</v>
      </c>
      <c r="O1596" t="s">
        <v>4854</v>
      </c>
      <c r="Q1596" t="s">
        <v>2082</v>
      </c>
      <c r="R1596" t="s">
        <v>2083</v>
      </c>
      <c r="T1596" t="s">
        <v>5</v>
      </c>
      <c r="U1596" s="3" t="str">
        <f>+VLOOKUP(Sites_per_tag[[#This Row],[Activity_tag]],Parameter!$A$24:$B$32,2,0)</f>
        <v>MAM</v>
      </c>
      <c r="W1596">
        <v>44.717100000000002</v>
      </c>
      <c r="X1596">
        <v>-23.855180000000001</v>
      </c>
    </row>
    <row r="1597" spans="1:24" x14ac:dyDescent="0.35">
      <c r="A1597" s="3" t="str">
        <f t="shared" si="24"/>
        <v>MG51506012003001MAM</v>
      </c>
      <c r="B1597" t="s">
        <v>6210</v>
      </c>
      <c r="C1597">
        <f>+VLOOKUP(Sites_per_tag[[#This Row],[Field_office]],Parameter!$A$3:$B$11,2,0)</f>
        <v>10</v>
      </c>
      <c r="E1597" t="s">
        <v>5650</v>
      </c>
      <c r="F1597" t="s">
        <v>5654</v>
      </c>
      <c r="H1597" t="str">
        <f ca="1">PROPER(Sites_per_tag[[#This Row],[Adm2Name]])</f>
        <v>Betioky Atsimo</v>
      </c>
      <c r="I1597" t="s">
        <v>5688</v>
      </c>
      <c r="K1597" t="s">
        <v>3370</v>
      </c>
      <c r="L1597" t="s">
        <v>6093</v>
      </c>
      <c r="N1597" t="s">
        <v>1667</v>
      </c>
      <c r="O1597" t="s">
        <v>1668</v>
      </c>
      <c r="Q1597" t="s">
        <v>1667</v>
      </c>
      <c r="R1597" t="s">
        <v>1669</v>
      </c>
      <c r="T1597" t="s">
        <v>5</v>
      </c>
      <c r="U1597" s="3" t="str">
        <f>+VLOOKUP(Sites_per_tag[[#This Row],[Activity_tag]],Parameter!$A$24:$B$32,2,0)</f>
        <v>MAM</v>
      </c>
      <c r="W1597">
        <v>44.659170000000003</v>
      </c>
      <c r="X1597">
        <v>-23.756019999999999</v>
      </c>
    </row>
    <row r="1598" spans="1:24" x14ac:dyDescent="0.35">
      <c r="A1598" s="3" t="str">
        <f t="shared" si="24"/>
        <v>MG51506012003PREV</v>
      </c>
      <c r="B1598" t="s">
        <v>6267</v>
      </c>
      <c r="C1598">
        <f>+VLOOKUP(Sites_per_tag[[#This Row],[Field_office]],Parameter!$A$3:$B$11,2,0)</f>
        <v>9</v>
      </c>
      <c r="E1598" t="s">
        <v>5650</v>
      </c>
      <c r="F1598" t="s">
        <v>5654</v>
      </c>
      <c r="H1598" t="str">
        <f ca="1">PROPER(Sites_per_tag[[#This Row],[Adm2Name]])</f>
        <v>Ampanihy Ouest</v>
      </c>
      <c r="I1598" t="s">
        <v>5660</v>
      </c>
      <c r="K1598" t="s">
        <v>5746</v>
      </c>
      <c r="L1598" t="s">
        <v>5960</v>
      </c>
      <c r="N1598" t="s">
        <v>4270</v>
      </c>
      <c r="Q1598" t="s">
        <v>1667</v>
      </c>
      <c r="R1598" t="s">
        <v>1668</v>
      </c>
      <c r="T1598" t="s">
        <v>32</v>
      </c>
      <c r="U1598" s="3" t="str">
        <f>+VLOOKUP(Sites_per_tag[[#This Row],[Activity_tag]],Parameter!$A$24:$B$32,2,0)</f>
        <v>PREV</v>
      </c>
      <c r="W1598">
        <v>45.063997000000001</v>
      </c>
      <c r="X1598">
        <v>-24.050851999999999</v>
      </c>
    </row>
    <row r="1599" spans="1:24" x14ac:dyDescent="0.35">
      <c r="A1599" s="3" t="str">
        <f t="shared" si="24"/>
        <v>MG51506012004001STUNT</v>
      </c>
      <c r="B1599" t="s">
        <v>6210</v>
      </c>
      <c r="C1599">
        <f>+VLOOKUP(Sites_per_tag[[#This Row],[Field_office]],Parameter!$A$3:$B$11,2,0)</f>
        <v>10</v>
      </c>
      <c r="E1599" t="s">
        <v>5650</v>
      </c>
      <c r="F1599" t="s">
        <v>5654</v>
      </c>
      <c r="H1599" t="str">
        <f ca="1">PROPER(Sites_per_tag[[#This Row],[Adm2Name]])</f>
        <v>Betioky Atsimo</v>
      </c>
      <c r="I1599" t="s">
        <v>5688</v>
      </c>
      <c r="K1599" t="s">
        <v>3370</v>
      </c>
      <c r="L1599" t="s">
        <v>6093</v>
      </c>
      <c r="N1599" t="s">
        <v>1464</v>
      </c>
      <c r="O1599" t="s">
        <v>4036</v>
      </c>
      <c r="Q1599" t="s">
        <v>1464</v>
      </c>
      <c r="R1599" t="s">
        <v>1465</v>
      </c>
      <c r="T1599" t="s">
        <v>50</v>
      </c>
      <c r="U1599" s="3" t="str">
        <f>+VLOOKUP(Sites_per_tag[[#This Row],[Activity_tag]],Parameter!$A$24:$B$32,2,0)</f>
        <v>STUNT</v>
      </c>
      <c r="V1599" t="s">
        <v>6448</v>
      </c>
      <c r="W1599">
        <v>44.681429999999999</v>
      </c>
      <c r="X1599">
        <v>-23.7866</v>
      </c>
    </row>
    <row r="1600" spans="1:24" x14ac:dyDescent="0.35">
      <c r="A1600" s="3" t="str">
        <f t="shared" si="24"/>
        <v>MG51506012005001MAM</v>
      </c>
      <c r="B1600" t="s">
        <v>6210</v>
      </c>
      <c r="C1600">
        <f>+VLOOKUP(Sites_per_tag[[#This Row],[Field_office]],Parameter!$A$3:$B$11,2,0)</f>
        <v>10</v>
      </c>
      <c r="E1600" t="s">
        <v>5650</v>
      </c>
      <c r="F1600" t="s">
        <v>5654</v>
      </c>
      <c r="H1600" t="str">
        <f ca="1">PROPER(Sites_per_tag[[#This Row],[Adm2Name]])</f>
        <v>Betioky Atsimo</v>
      </c>
      <c r="I1600" t="s">
        <v>5688</v>
      </c>
      <c r="K1600" t="s">
        <v>5915</v>
      </c>
      <c r="L1600" t="s">
        <v>5916</v>
      </c>
      <c r="N1600" t="s">
        <v>4856</v>
      </c>
      <c r="O1600" t="s">
        <v>4855</v>
      </c>
      <c r="Q1600" t="s">
        <v>3942</v>
      </c>
      <c r="R1600" t="s">
        <v>3943</v>
      </c>
      <c r="T1600" t="s">
        <v>5</v>
      </c>
      <c r="U1600" s="3" t="str">
        <f>+VLOOKUP(Sites_per_tag[[#This Row],[Activity_tag]],Parameter!$A$24:$B$32,2,0)</f>
        <v>MAM</v>
      </c>
      <c r="W1600">
        <v>44.721820000000001</v>
      </c>
      <c r="X1600">
        <v>-23.82152</v>
      </c>
    </row>
    <row r="1601" spans="1:24" x14ac:dyDescent="0.35">
      <c r="A1601" s="3" t="str">
        <f t="shared" si="24"/>
        <v>MG51506012007001MAM</v>
      </c>
      <c r="B1601" t="s">
        <v>6210</v>
      </c>
      <c r="C1601">
        <f>+VLOOKUP(Sites_per_tag[[#This Row],[Field_office]],Parameter!$A$3:$B$11,2,0)</f>
        <v>10</v>
      </c>
      <c r="E1601" t="s">
        <v>5650</v>
      </c>
      <c r="F1601" t="s">
        <v>5654</v>
      </c>
      <c r="H1601" t="str">
        <f ca="1">PROPER(Sites_per_tag[[#This Row],[Adm2Name]])</f>
        <v>Betioky Atsimo</v>
      </c>
      <c r="I1601" t="s">
        <v>5688</v>
      </c>
      <c r="K1601" t="s">
        <v>5915</v>
      </c>
      <c r="L1601" t="s">
        <v>5916</v>
      </c>
      <c r="N1601" t="s">
        <v>4858</v>
      </c>
      <c r="O1601" t="s">
        <v>4857</v>
      </c>
      <c r="Q1601" t="s">
        <v>1688</v>
      </c>
      <c r="R1601" t="s">
        <v>1689</v>
      </c>
      <c r="T1601" t="s">
        <v>5</v>
      </c>
      <c r="U1601" s="3" t="str">
        <f>+VLOOKUP(Sites_per_tag[[#This Row],[Activity_tag]],Parameter!$A$24:$B$32,2,0)</f>
        <v>MAM</v>
      </c>
      <c r="W1601">
        <v>44.667169999999999</v>
      </c>
      <c r="X1601">
        <v>-23.832270000000001</v>
      </c>
    </row>
    <row r="1602" spans="1:24" x14ac:dyDescent="0.35">
      <c r="A1602" s="3" t="str">
        <f t="shared" si="24"/>
        <v>MG51506012011001MAM</v>
      </c>
      <c r="B1602" t="s">
        <v>6210</v>
      </c>
      <c r="C1602">
        <f>+VLOOKUP(Sites_per_tag[[#This Row],[Field_office]],Parameter!$A$3:$B$11,2,0)</f>
        <v>10</v>
      </c>
      <c r="E1602" t="s">
        <v>5650</v>
      </c>
      <c r="F1602" t="s">
        <v>5654</v>
      </c>
      <c r="H1602" t="str">
        <f ca="1">PROPER(Sites_per_tag[[#This Row],[Adm2Name]])</f>
        <v>Betioky Atsimo</v>
      </c>
      <c r="I1602" t="s">
        <v>5688</v>
      </c>
      <c r="K1602" t="s">
        <v>5915</v>
      </c>
      <c r="L1602" t="s">
        <v>5916</v>
      </c>
      <c r="N1602" t="s">
        <v>1966</v>
      </c>
      <c r="O1602" t="s">
        <v>4859</v>
      </c>
      <c r="Q1602" t="s">
        <v>1966</v>
      </c>
      <c r="R1602" t="s">
        <v>1967</v>
      </c>
      <c r="T1602" t="s">
        <v>5</v>
      </c>
      <c r="U1602" s="3" t="str">
        <f>+VLOOKUP(Sites_per_tag[[#This Row],[Activity_tag]],Parameter!$A$24:$B$32,2,0)</f>
        <v>MAM</v>
      </c>
      <c r="W1602">
        <v>44.690370000000001</v>
      </c>
      <c r="X1602">
        <v>-23.885950000000001</v>
      </c>
    </row>
    <row r="1603" spans="1:24" x14ac:dyDescent="0.35">
      <c r="A1603" s="3" t="str">
        <f t="shared" ref="A1603:A1666" si="25">+R1603&amp;U1603</f>
        <v>MG51506012012PREV</v>
      </c>
      <c r="B1603" t="s">
        <v>6210</v>
      </c>
      <c r="C1603">
        <f>+VLOOKUP(Sites_per_tag[[#This Row],[Field_office]],Parameter!$A$3:$B$11,2,0)</f>
        <v>10</v>
      </c>
      <c r="E1603" t="s">
        <v>5650</v>
      </c>
      <c r="F1603" t="s">
        <v>5654</v>
      </c>
      <c r="H1603" t="str">
        <f ca="1">PROPER(Sites_per_tag[[#This Row],[Adm2Name]])</f>
        <v>Betioky Atsimo</v>
      </c>
      <c r="I1603" t="s">
        <v>5688</v>
      </c>
      <c r="K1603" t="s">
        <v>2694</v>
      </c>
      <c r="L1603" t="s">
        <v>5996</v>
      </c>
      <c r="N1603" t="s">
        <v>2694</v>
      </c>
      <c r="Q1603" t="s">
        <v>2694</v>
      </c>
      <c r="R1603" t="s">
        <v>2695</v>
      </c>
      <c r="T1603" t="s">
        <v>32</v>
      </c>
      <c r="U1603" s="3" t="str">
        <f>+VLOOKUP(Sites_per_tag[[#This Row],[Activity_tag]],Parameter!$A$24:$B$32,2,0)</f>
        <v>PREV</v>
      </c>
      <c r="W1603">
        <v>44.638449999999999</v>
      </c>
      <c r="X1603">
        <v>-23.894369999999999</v>
      </c>
    </row>
    <row r="1604" spans="1:24" x14ac:dyDescent="0.35">
      <c r="A1604" s="3" t="str">
        <f t="shared" si="25"/>
        <v>MG51506012017001MAM</v>
      </c>
      <c r="B1604" t="s">
        <v>6210</v>
      </c>
      <c r="C1604">
        <f>+VLOOKUP(Sites_per_tag[[#This Row],[Field_office]],Parameter!$A$3:$B$11,2,0)</f>
        <v>10</v>
      </c>
      <c r="E1604" t="s">
        <v>5650</v>
      </c>
      <c r="F1604" t="s">
        <v>5654</v>
      </c>
      <c r="H1604" t="str">
        <f ca="1">PROPER(Sites_per_tag[[#This Row],[Adm2Name]])</f>
        <v>Betioky Atsimo</v>
      </c>
      <c r="I1604" t="s">
        <v>5688</v>
      </c>
      <c r="K1604" t="s">
        <v>5915</v>
      </c>
      <c r="L1604" t="s">
        <v>5916</v>
      </c>
      <c r="N1604" t="s">
        <v>522</v>
      </c>
      <c r="O1604" t="s">
        <v>4860</v>
      </c>
      <c r="Q1604" t="s">
        <v>522</v>
      </c>
      <c r="R1604" t="s">
        <v>523</v>
      </c>
      <c r="T1604" t="s">
        <v>5</v>
      </c>
      <c r="U1604" s="3" t="str">
        <f>+VLOOKUP(Sites_per_tag[[#This Row],[Activity_tag]],Parameter!$A$24:$B$32,2,0)</f>
        <v>MAM</v>
      </c>
      <c r="W1604">
        <v>44.662880000000001</v>
      </c>
      <c r="X1604">
        <v>-23.957850000000001</v>
      </c>
    </row>
    <row r="1605" spans="1:24" x14ac:dyDescent="0.35">
      <c r="A1605" s="3" t="str">
        <f t="shared" si="25"/>
        <v>MG51506012018PREV</v>
      </c>
      <c r="B1605" t="s">
        <v>6210</v>
      </c>
      <c r="C1605">
        <f>+VLOOKUP(Sites_per_tag[[#This Row],[Field_office]],Parameter!$A$3:$B$11,2,0)</f>
        <v>10</v>
      </c>
      <c r="E1605" t="s">
        <v>5650</v>
      </c>
      <c r="F1605" t="s">
        <v>5654</v>
      </c>
      <c r="H1605" t="str">
        <f ca="1">PROPER(Sites_per_tag[[#This Row],[Adm2Name]])</f>
        <v>Betioky Atsimo</v>
      </c>
      <c r="I1605" t="s">
        <v>5688</v>
      </c>
      <c r="K1605" t="s">
        <v>3370</v>
      </c>
      <c r="L1605" t="s">
        <v>6093</v>
      </c>
      <c r="N1605" t="s">
        <v>197</v>
      </c>
      <c r="Q1605" t="s">
        <v>197</v>
      </c>
      <c r="R1605" t="s">
        <v>198</v>
      </c>
      <c r="T1605" t="s">
        <v>32</v>
      </c>
      <c r="U1605" s="3" t="str">
        <f>+VLOOKUP(Sites_per_tag[[#This Row],[Activity_tag]],Parameter!$A$24:$B$32,2,0)</f>
        <v>PREV</v>
      </c>
      <c r="W1605">
        <v>44.602200000000003</v>
      </c>
      <c r="X1605">
        <v>-23.972049999999999</v>
      </c>
    </row>
    <row r="1606" spans="1:24" x14ac:dyDescent="0.35">
      <c r="A1606" s="3" t="str">
        <f t="shared" si="25"/>
        <v>MG51506012065001MAM</v>
      </c>
      <c r="B1606" t="s">
        <v>6210</v>
      </c>
      <c r="C1606">
        <f>+VLOOKUP(Sites_per_tag[[#This Row],[Field_office]],Parameter!$A$3:$B$11,2,0)</f>
        <v>10</v>
      </c>
      <c r="E1606" t="s">
        <v>5650</v>
      </c>
      <c r="F1606" t="s">
        <v>5654</v>
      </c>
      <c r="H1606" t="str">
        <f ca="1">PROPER(Sites_per_tag[[#This Row],[Adm2Name]])</f>
        <v>Betioky Atsimo</v>
      </c>
      <c r="I1606" t="s">
        <v>5688</v>
      </c>
      <c r="K1606" t="s">
        <v>3370</v>
      </c>
      <c r="L1606" t="s">
        <v>6093</v>
      </c>
      <c r="N1606" t="s">
        <v>2014</v>
      </c>
      <c r="O1606" t="s">
        <v>5414</v>
      </c>
      <c r="Q1606" t="s">
        <v>2014</v>
      </c>
      <c r="R1606" t="s">
        <v>2015</v>
      </c>
      <c r="T1606" t="s">
        <v>5</v>
      </c>
      <c r="U1606" s="3" t="str">
        <f>+VLOOKUP(Sites_per_tag[[#This Row],[Activity_tag]],Parameter!$A$24:$B$32,2,0)</f>
        <v>MAM</v>
      </c>
      <c r="W1606">
        <v>44.695480000000003</v>
      </c>
      <c r="X1606">
        <v>-23.727979999999999</v>
      </c>
    </row>
    <row r="1607" spans="1:24" x14ac:dyDescent="0.35">
      <c r="A1607" s="3" t="str">
        <f t="shared" si="25"/>
        <v>MG51506012067001MAM</v>
      </c>
      <c r="B1607" t="s">
        <v>6210</v>
      </c>
      <c r="C1607">
        <f>+VLOOKUP(Sites_per_tag[[#This Row],[Field_office]],Parameter!$A$3:$B$11,2,0)</f>
        <v>10</v>
      </c>
      <c r="E1607" t="s">
        <v>5650</v>
      </c>
      <c r="F1607" t="s">
        <v>5654</v>
      </c>
      <c r="H1607" t="str">
        <f ca="1">PROPER(Sites_per_tag[[#This Row],[Adm2Name]])</f>
        <v>Betioky Atsimo</v>
      </c>
      <c r="I1607" t="s">
        <v>5688</v>
      </c>
      <c r="K1607" t="s">
        <v>3370</v>
      </c>
      <c r="L1607" t="s">
        <v>6093</v>
      </c>
      <c r="N1607" t="s">
        <v>1464</v>
      </c>
      <c r="O1607" t="s">
        <v>5415</v>
      </c>
      <c r="Q1607" t="s">
        <v>1466</v>
      </c>
      <c r="R1607" t="s">
        <v>1467</v>
      </c>
      <c r="T1607" t="s">
        <v>5</v>
      </c>
      <c r="U1607" s="3" t="str">
        <f>+VLOOKUP(Sites_per_tag[[#This Row],[Activity_tag]],Parameter!$A$24:$B$32,2,0)</f>
        <v>MAM</v>
      </c>
      <c r="W1607">
        <v>44.681429999999999</v>
      </c>
      <c r="X1607">
        <v>-23.7866</v>
      </c>
    </row>
    <row r="1608" spans="1:24" x14ac:dyDescent="0.35">
      <c r="A1608" s="3" t="str">
        <f t="shared" si="25"/>
        <v>MG51506013001001MAM</v>
      </c>
      <c r="B1608" t="s">
        <v>6210</v>
      </c>
      <c r="C1608">
        <f>+VLOOKUP(Sites_per_tag[[#This Row],[Field_office]],Parameter!$A$3:$B$11,2,0)</f>
        <v>10</v>
      </c>
      <c r="E1608" t="s">
        <v>5650</v>
      </c>
      <c r="F1608" t="s">
        <v>5654</v>
      </c>
      <c r="H1608" t="str">
        <f ca="1">PROPER(Sites_per_tag[[#This Row],[Adm2Name]])</f>
        <v>Betioky Atsimo</v>
      </c>
      <c r="I1608" t="s">
        <v>5688</v>
      </c>
      <c r="K1608" t="s">
        <v>283</v>
      </c>
      <c r="L1608" t="s">
        <v>5700</v>
      </c>
      <c r="N1608" t="s">
        <v>283</v>
      </c>
      <c r="O1608" t="s">
        <v>4309</v>
      </c>
      <c r="Q1608" t="s">
        <v>283</v>
      </c>
      <c r="R1608" t="s">
        <v>284</v>
      </c>
      <c r="T1608" t="s">
        <v>5</v>
      </c>
      <c r="U1608" s="3" t="str">
        <f>+VLOOKUP(Sites_per_tag[[#This Row],[Activity_tag]],Parameter!$A$24:$B$32,2,0)</f>
        <v>MAM</v>
      </c>
      <c r="W1608">
        <v>44.41827</v>
      </c>
      <c r="X1608">
        <v>-23.85</v>
      </c>
    </row>
    <row r="1609" spans="1:24" x14ac:dyDescent="0.35">
      <c r="A1609" s="3" t="str">
        <f t="shared" si="25"/>
        <v>MG51506013002001MAM</v>
      </c>
      <c r="B1609" t="s">
        <v>6210</v>
      </c>
      <c r="C1609">
        <f>+VLOOKUP(Sites_per_tag[[#This Row],[Field_office]],Parameter!$A$3:$B$11,2,0)</f>
        <v>10</v>
      </c>
      <c r="E1609" t="s">
        <v>5650</v>
      </c>
      <c r="F1609" t="s">
        <v>5654</v>
      </c>
      <c r="H1609" t="str">
        <f ca="1">PROPER(Sites_per_tag[[#This Row],[Adm2Name]])</f>
        <v>Betioky Atsimo</v>
      </c>
      <c r="I1609" t="s">
        <v>5688</v>
      </c>
      <c r="K1609" t="s">
        <v>283</v>
      </c>
      <c r="L1609" t="s">
        <v>5700</v>
      </c>
      <c r="N1609" t="s">
        <v>831</v>
      </c>
      <c r="O1609" t="s">
        <v>4310</v>
      </c>
      <c r="Q1609" t="s">
        <v>831</v>
      </c>
      <c r="R1609" t="s">
        <v>832</v>
      </c>
      <c r="T1609" t="s">
        <v>5</v>
      </c>
      <c r="U1609" s="3" t="str">
        <f>+VLOOKUP(Sites_per_tag[[#This Row],[Activity_tag]],Parameter!$A$24:$B$32,2,0)</f>
        <v>MAM</v>
      </c>
      <c r="W1609">
        <v>44.434950000000001</v>
      </c>
      <c r="X1609">
        <v>-23.83127</v>
      </c>
    </row>
    <row r="1610" spans="1:24" x14ac:dyDescent="0.35">
      <c r="A1610" s="3" t="str">
        <f t="shared" si="25"/>
        <v>MG51506013003001MAM</v>
      </c>
      <c r="B1610" t="s">
        <v>6210</v>
      </c>
      <c r="C1610">
        <f>+VLOOKUP(Sites_per_tag[[#This Row],[Field_office]],Parameter!$A$3:$B$11,2,0)</f>
        <v>10</v>
      </c>
      <c r="E1610" t="s">
        <v>5650</v>
      </c>
      <c r="F1610" t="s">
        <v>5654</v>
      </c>
      <c r="H1610" t="str">
        <f ca="1">PROPER(Sites_per_tag[[#This Row],[Adm2Name]])</f>
        <v>Betioky Atsimo</v>
      </c>
      <c r="I1610" t="s">
        <v>5688</v>
      </c>
      <c r="K1610" t="s">
        <v>283</v>
      </c>
      <c r="L1610" t="s">
        <v>5700</v>
      </c>
      <c r="N1610" t="s">
        <v>898</v>
      </c>
      <c r="O1610" t="s">
        <v>4311</v>
      </c>
      <c r="Q1610" t="s">
        <v>898</v>
      </c>
      <c r="R1610" t="s">
        <v>899</v>
      </c>
      <c r="T1610" t="s">
        <v>5</v>
      </c>
      <c r="U1610" s="3" t="str">
        <f>+VLOOKUP(Sites_per_tag[[#This Row],[Activity_tag]],Parameter!$A$24:$B$32,2,0)</f>
        <v>MAM</v>
      </c>
      <c r="W1610">
        <v>44.452120000000001</v>
      </c>
      <c r="X1610">
        <v>-23.864979999999999</v>
      </c>
    </row>
    <row r="1611" spans="1:24" x14ac:dyDescent="0.35">
      <c r="A1611" s="3" t="str">
        <f t="shared" si="25"/>
        <v>MG51506013004001MAM</v>
      </c>
      <c r="B1611" t="s">
        <v>6210</v>
      </c>
      <c r="C1611">
        <f>+VLOOKUP(Sites_per_tag[[#This Row],[Field_office]],Parameter!$A$3:$B$11,2,0)</f>
        <v>10</v>
      </c>
      <c r="E1611" t="s">
        <v>5650</v>
      </c>
      <c r="F1611" t="s">
        <v>5654</v>
      </c>
      <c r="H1611" t="str">
        <f ca="1">PROPER(Sites_per_tag[[#This Row],[Adm2Name]])</f>
        <v>Betioky Atsimo</v>
      </c>
      <c r="I1611" t="s">
        <v>5688</v>
      </c>
      <c r="K1611" t="s">
        <v>283</v>
      </c>
      <c r="L1611" t="s">
        <v>5700</v>
      </c>
      <c r="N1611" t="s">
        <v>281</v>
      </c>
      <c r="O1611" t="s">
        <v>4312</v>
      </c>
      <c r="Q1611" t="s">
        <v>281</v>
      </c>
      <c r="R1611" t="s">
        <v>282</v>
      </c>
      <c r="T1611" t="s">
        <v>5</v>
      </c>
      <c r="U1611" s="3" t="str">
        <f>+VLOOKUP(Sites_per_tag[[#This Row],[Activity_tag]],Parameter!$A$24:$B$32,2,0)</f>
        <v>MAM</v>
      </c>
      <c r="W1611">
        <v>44.430500000000002</v>
      </c>
      <c r="X1611">
        <v>-23.878869999999999</v>
      </c>
    </row>
    <row r="1612" spans="1:24" x14ac:dyDescent="0.35">
      <c r="A1612" s="3" t="str">
        <f t="shared" si="25"/>
        <v>MG51506013006001MAM</v>
      </c>
      <c r="B1612" t="s">
        <v>6210</v>
      </c>
      <c r="C1612">
        <f>+VLOOKUP(Sites_per_tag[[#This Row],[Field_office]],Parameter!$A$3:$B$11,2,0)</f>
        <v>10</v>
      </c>
      <c r="E1612" t="s">
        <v>5650</v>
      </c>
      <c r="F1612" t="s">
        <v>5654</v>
      </c>
      <c r="H1612" t="str">
        <f ca="1">PROPER(Sites_per_tag[[#This Row],[Adm2Name]])</f>
        <v>Betioky Atsimo</v>
      </c>
      <c r="I1612" t="s">
        <v>5688</v>
      </c>
      <c r="K1612" t="s">
        <v>283</v>
      </c>
      <c r="L1612" t="s">
        <v>5700</v>
      </c>
      <c r="N1612" t="s">
        <v>3784</v>
      </c>
      <c r="O1612" t="s">
        <v>4313</v>
      </c>
      <c r="Q1612" t="s">
        <v>3784</v>
      </c>
      <c r="R1612" t="s">
        <v>3785</v>
      </c>
      <c r="T1612" t="s">
        <v>5</v>
      </c>
      <c r="U1612" s="3" t="str">
        <f>+VLOOKUP(Sites_per_tag[[#This Row],[Activity_tag]],Parameter!$A$24:$B$32,2,0)</f>
        <v>MAM</v>
      </c>
      <c r="W1612">
        <v>44.38653</v>
      </c>
      <c r="X1612">
        <v>-23.903199999999998</v>
      </c>
    </row>
    <row r="1613" spans="1:24" x14ac:dyDescent="0.35">
      <c r="A1613" s="3" t="str">
        <f t="shared" si="25"/>
        <v>MG51506013007001MAM</v>
      </c>
      <c r="B1613" t="s">
        <v>6211</v>
      </c>
      <c r="C1613">
        <f>+VLOOKUP(Sites_per_tag[[#This Row],[Field_office]],Parameter!$A$3:$B$11,2,0)</f>
        <v>6</v>
      </c>
      <c r="E1613" t="s">
        <v>5646</v>
      </c>
      <c r="F1613" t="s">
        <v>5647</v>
      </c>
      <c r="H1613" t="str">
        <f ca="1">PROPER(Sites_per_tag[[#This Row],[Adm2Name]])</f>
        <v>Bekily</v>
      </c>
      <c r="I1613" t="s">
        <v>5683</v>
      </c>
      <c r="K1613" t="s">
        <v>6328</v>
      </c>
      <c r="L1613" t="s">
        <v>5695</v>
      </c>
      <c r="N1613" t="s">
        <v>592</v>
      </c>
      <c r="O1613" t="s">
        <v>4304</v>
      </c>
      <c r="Q1613" t="s">
        <v>592</v>
      </c>
      <c r="R1613" t="s">
        <v>593</v>
      </c>
      <c r="T1613" t="s">
        <v>5</v>
      </c>
      <c r="U1613" s="3" t="str">
        <f>+VLOOKUP(Sites_per_tag[[#This Row],[Activity_tag]],Parameter!$A$24:$B$32,2,0)</f>
        <v>MAM</v>
      </c>
      <c r="W1613">
        <v>45.424320999999999</v>
      </c>
      <c r="X1613">
        <v>-24.059446000000001</v>
      </c>
    </row>
    <row r="1614" spans="1:24" x14ac:dyDescent="0.35">
      <c r="A1614" s="3" t="str">
        <f t="shared" si="25"/>
        <v>MG51506013009001MAM</v>
      </c>
      <c r="B1614" t="s">
        <v>6210</v>
      </c>
      <c r="C1614">
        <f>+VLOOKUP(Sites_per_tag[[#This Row],[Field_office]],Parameter!$A$3:$B$11,2,0)</f>
        <v>10</v>
      </c>
      <c r="E1614" t="s">
        <v>5650</v>
      </c>
      <c r="F1614" t="s">
        <v>5654</v>
      </c>
      <c r="H1614" t="str">
        <f ca="1">PROPER(Sites_per_tag[[#This Row],[Adm2Name]])</f>
        <v>Betioky Atsimo</v>
      </c>
      <c r="I1614" t="s">
        <v>5688</v>
      </c>
      <c r="K1614" t="s">
        <v>283</v>
      </c>
      <c r="L1614" t="s">
        <v>5700</v>
      </c>
      <c r="N1614" t="s">
        <v>4315</v>
      </c>
      <c r="O1614" t="s">
        <v>4314</v>
      </c>
      <c r="Q1614" t="s">
        <v>279</v>
      </c>
      <c r="R1614" t="s">
        <v>280</v>
      </c>
      <c r="T1614" t="s">
        <v>5</v>
      </c>
      <c r="U1614" s="3" t="str">
        <f>+VLOOKUP(Sites_per_tag[[#This Row],[Activity_tag]],Parameter!$A$24:$B$32,2,0)</f>
        <v>MAM</v>
      </c>
      <c r="W1614">
        <v>44.408119999999997</v>
      </c>
      <c r="X1614">
        <v>-23.853850000000001</v>
      </c>
    </row>
    <row r="1615" spans="1:24" x14ac:dyDescent="0.35">
      <c r="A1615" s="3" t="str">
        <f t="shared" si="25"/>
        <v>MG51506013010001MAM</v>
      </c>
      <c r="B1615" t="s">
        <v>6210</v>
      </c>
      <c r="C1615">
        <f>+VLOOKUP(Sites_per_tag[[#This Row],[Field_office]],Parameter!$A$3:$B$11,2,0)</f>
        <v>10</v>
      </c>
      <c r="E1615" t="s">
        <v>5650</v>
      </c>
      <c r="F1615" t="s">
        <v>5654</v>
      </c>
      <c r="H1615" t="str">
        <f ca="1">PROPER(Sites_per_tag[[#This Row],[Adm2Name]])</f>
        <v>Betioky Atsimo</v>
      </c>
      <c r="I1615" t="s">
        <v>5688</v>
      </c>
      <c r="K1615" t="s">
        <v>283</v>
      </c>
      <c r="L1615" t="s">
        <v>5700</v>
      </c>
      <c r="N1615" t="s">
        <v>4317</v>
      </c>
      <c r="O1615" t="s">
        <v>4316</v>
      </c>
      <c r="Q1615" t="s">
        <v>285</v>
      </c>
      <c r="R1615" t="s">
        <v>286</v>
      </c>
      <c r="T1615" t="s">
        <v>5</v>
      </c>
      <c r="U1615" s="3" t="str">
        <f>+VLOOKUP(Sites_per_tag[[#This Row],[Activity_tag]],Parameter!$A$24:$B$32,2,0)</f>
        <v>MAM</v>
      </c>
      <c r="W1615">
        <v>44.4161</v>
      </c>
      <c r="X1615">
        <v>-23.856120000000001</v>
      </c>
    </row>
    <row r="1616" spans="1:24" x14ac:dyDescent="0.35">
      <c r="A1616" s="3" t="str">
        <f t="shared" si="25"/>
        <v>MG51506013011001MAM</v>
      </c>
      <c r="B1616" t="s">
        <v>6210</v>
      </c>
      <c r="C1616">
        <f>+VLOOKUP(Sites_per_tag[[#This Row],[Field_office]],Parameter!$A$3:$B$11,2,0)</f>
        <v>10</v>
      </c>
      <c r="E1616" t="s">
        <v>5650</v>
      </c>
      <c r="F1616" t="s">
        <v>5654</v>
      </c>
      <c r="H1616" t="str">
        <f ca="1">PROPER(Sites_per_tag[[#This Row],[Adm2Name]])</f>
        <v>Betioky Atsimo</v>
      </c>
      <c r="I1616" t="s">
        <v>5688</v>
      </c>
      <c r="K1616" t="s">
        <v>283</v>
      </c>
      <c r="L1616" t="s">
        <v>5700</v>
      </c>
      <c r="N1616" t="s">
        <v>4319</v>
      </c>
      <c r="O1616" t="s">
        <v>4318</v>
      </c>
      <c r="Q1616" t="s">
        <v>2733</v>
      </c>
      <c r="R1616" t="s">
        <v>2734</v>
      </c>
      <c r="T1616" t="s">
        <v>5</v>
      </c>
      <c r="U1616" s="3" t="str">
        <f>+VLOOKUP(Sites_per_tag[[#This Row],[Activity_tag]],Parameter!$A$24:$B$32,2,0)</f>
        <v>MAM</v>
      </c>
      <c r="W1616">
        <v>44.41827</v>
      </c>
      <c r="X1616">
        <v>-23.85</v>
      </c>
    </row>
    <row r="1617" spans="1:24" x14ac:dyDescent="0.35">
      <c r="A1617" s="3" t="str">
        <f t="shared" si="25"/>
        <v>MG51506013057001MAM</v>
      </c>
      <c r="B1617" t="s">
        <v>6210</v>
      </c>
      <c r="C1617">
        <f>+VLOOKUP(Sites_per_tag[[#This Row],[Field_office]],Parameter!$A$3:$B$11,2,0)</f>
        <v>10</v>
      </c>
      <c r="E1617" t="s">
        <v>5650</v>
      </c>
      <c r="F1617" t="s">
        <v>5654</v>
      </c>
      <c r="H1617" t="str">
        <f ca="1">PROPER(Sites_per_tag[[#This Row],[Adm2Name]])</f>
        <v>Betioky Atsimo</v>
      </c>
      <c r="I1617" t="s">
        <v>5688</v>
      </c>
      <c r="K1617" t="s">
        <v>283</v>
      </c>
      <c r="L1617" t="s">
        <v>5700</v>
      </c>
      <c r="N1617" t="s">
        <v>2032</v>
      </c>
      <c r="O1617" t="s">
        <v>4320</v>
      </c>
      <c r="Q1617" t="s">
        <v>2034</v>
      </c>
      <c r="R1617" t="s">
        <v>2035</v>
      </c>
      <c r="T1617" t="s">
        <v>5</v>
      </c>
      <c r="U1617" s="3" t="str">
        <f>+VLOOKUP(Sites_per_tag[[#This Row],[Activity_tag]],Parameter!$A$24:$B$32,2,0)</f>
        <v>MAM</v>
      </c>
      <c r="W1617">
        <v>44.403770000000002</v>
      </c>
      <c r="X1617">
        <v>-23.906120000000001</v>
      </c>
    </row>
    <row r="1618" spans="1:24" x14ac:dyDescent="0.35">
      <c r="A1618" s="3" t="str">
        <f t="shared" si="25"/>
        <v>MG51506014001001MAM</v>
      </c>
      <c r="B1618" t="s">
        <v>6210</v>
      </c>
      <c r="C1618">
        <f>+VLOOKUP(Sites_per_tag[[#This Row],[Field_office]],Parameter!$A$3:$B$11,2,0)</f>
        <v>10</v>
      </c>
      <c r="E1618" t="s">
        <v>5650</v>
      </c>
      <c r="F1618" t="s">
        <v>5654</v>
      </c>
      <c r="H1618" t="str">
        <f ca="1">PROPER(Sites_per_tag[[#This Row],[Adm2Name]])</f>
        <v>Betioky Atsimo</v>
      </c>
      <c r="I1618" t="s">
        <v>5688</v>
      </c>
      <c r="K1618" t="s">
        <v>1184</v>
      </c>
      <c r="L1618" t="s">
        <v>5834</v>
      </c>
      <c r="N1618" t="s">
        <v>1184</v>
      </c>
      <c r="O1618" t="s">
        <v>1185</v>
      </c>
      <c r="Q1618" t="s">
        <v>1186</v>
      </c>
      <c r="R1618" t="s">
        <v>1187</v>
      </c>
      <c r="T1618" t="s">
        <v>5</v>
      </c>
      <c r="U1618" s="3" t="str">
        <f>+VLOOKUP(Sites_per_tag[[#This Row],[Activity_tag]],Parameter!$A$24:$B$32,2,0)</f>
        <v>MAM</v>
      </c>
      <c r="W1618">
        <v>44.134619999999998</v>
      </c>
      <c r="X1618">
        <v>-23.653420000000001</v>
      </c>
    </row>
    <row r="1619" spans="1:24" x14ac:dyDescent="0.35">
      <c r="A1619" s="3" t="str">
        <f t="shared" si="25"/>
        <v>MG51506014001PREV</v>
      </c>
      <c r="B1619" t="s">
        <v>6210</v>
      </c>
      <c r="C1619">
        <f>+VLOOKUP(Sites_per_tag[[#This Row],[Field_office]],Parameter!$A$3:$B$11,2,0)</f>
        <v>10</v>
      </c>
      <c r="E1619" t="s">
        <v>5650</v>
      </c>
      <c r="F1619" t="s">
        <v>5654</v>
      </c>
      <c r="H1619" t="str">
        <f ca="1">PROPER(Sites_per_tag[[#This Row],[Adm2Name]])</f>
        <v>Betioky Atsimo</v>
      </c>
      <c r="I1619" t="s">
        <v>5688</v>
      </c>
      <c r="K1619" t="s">
        <v>1184</v>
      </c>
      <c r="L1619" t="s">
        <v>5834</v>
      </c>
      <c r="N1619" t="s">
        <v>1184</v>
      </c>
      <c r="Q1619" t="s">
        <v>1184</v>
      </c>
      <c r="R1619" t="s">
        <v>1185</v>
      </c>
      <c r="T1619" t="s">
        <v>32</v>
      </c>
      <c r="U1619" s="3" t="str">
        <f>+VLOOKUP(Sites_per_tag[[#This Row],[Activity_tag]],Parameter!$A$24:$B$32,2,0)</f>
        <v>PREV</v>
      </c>
      <c r="W1619">
        <v>44.134619999999998</v>
      </c>
      <c r="X1619">
        <v>-23.653420000000001</v>
      </c>
    </row>
    <row r="1620" spans="1:24" x14ac:dyDescent="0.35">
      <c r="A1620" s="3" t="str">
        <f t="shared" si="25"/>
        <v>MG51506014002001MAM</v>
      </c>
      <c r="B1620" t="s">
        <v>6210</v>
      </c>
      <c r="C1620">
        <f>+VLOOKUP(Sites_per_tag[[#This Row],[Field_office]],Parameter!$A$3:$B$11,2,0)</f>
        <v>10</v>
      </c>
      <c r="E1620" t="s">
        <v>5650</v>
      </c>
      <c r="F1620" t="s">
        <v>5654</v>
      </c>
      <c r="H1620" t="str">
        <f ca="1">PROPER(Sites_per_tag[[#This Row],[Adm2Name]])</f>
        <v>Betioky Atsimo</v>
      </c>
      <c r="I1620" t="s">
        <v>5688</v>
      </c>
      <c r="K1620" t="s">
        <v>1184</v>
      </c>
      <c r="L1620" t="s">
        <v>5834</v>
      </c>
      <c r="N1620" t="s">
        <v>3994</v>
      </c>
      <c r="O1620" t="s">
        <v>4625</v>
      </c>
      <c r="Q1620" t="s">
        <v>3994</v>
      </c>
      <c r="R1620" t="s">
        <v>3995</v>
      </c>
      <c r="T1620" t="s">
        <v>5</v>
      </c>
      <c r="U1620" s="3" t="str">
        <f>+VLOOKUP(Sites_per_tag[[#This Row],[Activity_tag]],Parameter!$A$24:$B$32,2,0)</f>
        <v>MAM</v>
      </c>
      <c r="W1620">
        <v>44.08663</v>
      </c>
      <c r="X1620">
        <v>-23.6356</v>
      </c>
    </row>
    <row r="1621" spans="1:24" x14ac:dyDescent="0.35">
      <c r="A1621" s="3" t="str">
        <f t="shared" si="25"/>
        <v>MG51506014003001MAM</v>
      </c>
      <c r="B1621" t="s">
        <v>6210</v>
      </c>
      <c r="C1621">
        <f>+VLOOKUP(Sites_per_tag[[#This Row],[Field_office]],Parameter!$A$3:$B$11,2,0)</f>
        <v>10</v>
      </c>
      <c r="E1621" t="s">
        <v>5650</v>
      </c>
      <c r="F1621" t="s">
        <v>5654</v>
      </c>
      <c r="H1621" t="str">
        <f ca="1">PROPER(Sites_per_tag[[#This Row],[Adm2Name]])</f>
        <v>Betioky Atsimo</v>
      </c>
      <c r="I1621" t="s">
        <v>5688</v>
      </c>
      <c r="K1621" t="s">
        <v>1184</v>
      </c>
      <c r="L1621" t="s">
        <v>5834</v>
      </c>
      <c r="N1621" t="s">
        <v>3183</v>
      </c>
      <c r="O1621" t="s">
        <v>4626</v>
      </c>
      <c r="Q1621" t="s">
        <v>3183</v>
      </c>
      <c r="R1621" t="s">
        <v>3184</v>
      </c>
      <c r="T1621" t="s">
        <v>5</v>
      </c>
      <c r="U1621" s="3" t="str">
        <f>+VLOOKUP(Sites_per_tag[[#This Row],[Activity_tag]],Parameter!$A$24:$B$32,2,0)</f>
        <v>MAM</v>
      </c>
      <c r="W1621">
        <v>44.045070000000003</v>
      </c>
      <c r="X1621">
        <v>-23.633220000000001</v>
      </c>
    </row>
    <row r="1622" spans="1:24" x14ac:dyDescent="0.35">
      <c r="A1622" s="3" t="str">
        <f t="shared" si="25"/>
        <v>MG51506014004001MAM</v>
      </c>
      <c r="B1622" t="s">
        <v>6210</v>
      </c>
      <c r="C1622">
        <f>+VLOOKUP(Sites_per_tag[[#This Row],[Field_office]],Parameter!$A$3:$B$11,2,0)</f>
        <v>10</v>
      </c>
      <c r="E1622" t="s">
        <v>5650</v>
      </c>
      <c r="F1622" t="s">
        <v>5654</v>
      </c>
      <c r="H1622" t="str">
        <f ca="1">PROPER(Sites_per_tag[[#This Row],[Adm2Name]])</f>
        <v>Betioky Atsimo</v>
      </c>
      <c r="I1622" t="s">
        <v>5688</v>
      </c>
      <c r="K1622" t="s">
        <v>1184</v>
      </c>
      <c r="L1622" t="s">
        <v>5834</v>
      </c>
      <c r="N1622" t="s">
        <v>3226</v>
      </c>
      <c r="O1622" t="s">
        <v>4627</v>
      </c>
      <c r="Q1622" t="s">
        <v>3240</v>
      </c>
      <c r="R1622" t="s">
        <v>3241</v>
      </c>
      <c r="T1622" t="s">
        <v>5</v>
      </c>
      <c r="U1622" s="3" t="str">
        <f>+VLOOKUP(Sites_per_tag[[#This Row],[Activity_tag]],Parameter!$A$24:$B$32,2,0)</f>
        <v>MAM</v>
      </c>
      <c r="W1622">
        <v>44.224432999999998</v>
      </c>
      <c r="X1622">
        <v>-23.665469999999999</v>
      </c>
    </row>
    <row r="1623" spans="1:24" x14ac:dyDescent="0.35">
      <c r="A1623" s="3" t="str">
        <f t="shared" si="25"/>
        <v>MG51506014005001MAM</v>
      </c>
      <c r="B1623" t="s">
        <v>6210</v>
      </c>
      <c r="C1623">
        <f>+VLOOKUP(Sites_per_tag[[#This Row],[Field_office]],Parameter!$A$3:$B$11,2,0)</f>
        <v>10</v>
      </c>
      <c r="E1623" t="s">
        <v>5650</v>
      </c>
      <c r="F1623" t="s">
        <v>5654</v>
      </c>
      <c r="H1623" t="str">
        <f ca="1">PROPER(Sites_per_tag[[#This Row],[Adm2Name]])</f>
        <v>Betioky Atsimo</v>
      </c>
      <c r="I1623" t="s">
        <v>5688</v>
      </c>
      <c r="K1623" t="s">
        <v>1184</v>
      </c>
      <c r="L1623" t="s">
        <v>5834</v>
      </c>
      <c r="N1623" t="s">
        <v>793</v>
      </c>
      <c r="O1623" t="s">
        <v>4628</v>
      </c>
      <c r="Q1623" t="s">
        <v>793</v>
      </c>
      <c r="R1623" t="s">
        <v>794</v>
      </c>
      <c r="T1623" t="s">
        <v>5</v>
      </c>
      <c r="U1623" s="3" t="str">
        <f>+VLOOKUP(Sites_per_tag[[#This Row],[Activity_tag]],Parameter!$A$24:$B$32,2,0)</f>
        <v>MAM</v>
      </c>
      <c r="W1623">
        <v>44.150120000000001</v>
      </c>
      <c r="X1623">
        <v>-23.649100000000001</v>
      </c>
    </row>
    <row r="1624" spans="1:24" x14ac:dyDescent="0.35">
      <c r="A1624" s="3" t="str">
        <f t="shared" si="25"/>
        <v>MG51506014006001MAM</v>
      </c>
      <c r="B1624" t="s">
        <v>6210</v>
      </c>
      <c r="C1624">
        <f>+VLOOKUP(Sites_per_tag[[#This Row],[Field_office]],Parameter!$A$3:$B$11,2,0)</f>
        <v>10</v>
      </c>
      <c r="E1624" t="s">
        <v>5650</v>
      </c>
      <c r="F1624" t="s">
        <v>5654</v>
      </c>
      <c r="H1624" t="str">
        <f ca="1">PROPER(Sites_per_tag[[#This Row],[Adm2Name]])</f>
        <v>Betioky Atsimo</v>
      </c>
      <c r="I1624" t="s">
        <v>5688</v>
      </c>
      <c r="K1624" t="s">
        <v>1184</v>
      </c>
      <c r="L1624" t="s">
        <v>5834</v>
      </c>
      <c r="N1624" t="s">
        <v>3672</v>
      </c>
      <c r="O1624" t="s">
        <v>4629</v>
      </c>
      <c r="Q1624" t="s">
        <v>3672</v>
      </c>
      <c r="R1624" t="s">
        <v>3673</v>
      </c>
      <c r="T1624" t="s">
        <v>5</v>
      </c>
      <c r="U1624" s="3" t="str">
        <f>+VLOOKUP(Sites_per_tag[[#This Row],[Activity_tag]],Parameter!$A$24:$B$32,2,0)</f>
        <v>MAM</v>
      </c>
      <c r="W1624">
        <v>44.037849999999999</v>
      </c>
      <c r="X1624">
        <v>-23.666820000000001</v>
      </c>
    </row>
    <row r="1625" spans="1:24" x14ac:dyDescent="0.35">
      <c r="A1625" s="3" t="str">
        <f t="shared" si="25"/>
        <v>MG51506014007001MAM</v>
      </c>
      <c r="B1625" t="s">
        <v>6210</v>
      </c>
      <c r="C1625">
        <f>+VLOOKUP(Sites_per_tag[[#This Row],[Field_office]],Parameter!$A$3:$B$11,2,0)</f>
        <v>10</v>
      </c>
      <c r="E1625" t="s">
        <v>5650</v>
      </c>
      <c r="F1625" t="s">
        <v>5654</v>
      </c>
      <c r="H1625" t="str">
        <f ca="1">PROPER(Sites_per_tag[[#This Row],[Adm2Name]])</f>
        <v>Betioky Atsimo</v>
      </c>
      <c r="I1625" t="s">
        <v>5688</v>
      </c>
      <c r="K1625" t="s">
        <v>1184</v>
      </c>
      <c r="L1625" t="s">
        <v>5834</v>
      </c>
      <c r="N1625" t="s">
        <v>3986</v>
      </c>
      <c r="O1625" t="s">
        <v>4630</v>
      </c>
      <c r="Q1625" t="s">
        <v>3986</v>
      </c>
      <c r="R1625" t="s">
        <v>3987</v>
      </c>
      <c r="T1625" t="s">
        <v>5</v>
      </c>
      <c r="U1625" s="3" t="str">
        <f>+VLOOKUP(Sites_per_tag[[#This Row],[Activity_tag]],Parameter!$A$24:$B$32,2,0)</f>
        <v>MAM</v>
      </c>
      <c r="W1625">
        <v>44.16713</v>
      </c>
      <c r="X1625">
        <v>-23.676600000000001</v>
      </c>
    </row>
    <row r="1626" spans="1:24" x14ac:dyDescent="0.35">
      <c r="A1626" s="3" t="str">
        <f t="shared" si="25"/>
        <v>MG51506014008001MAM</v>
      </c>
      <c r="B1626" t="s">
        <v>6210</v>
      </c>
      <c r="C1626">
        <f>+VLOOKUP(Sites_per_tag[[#This Row],[Field_office]],Parameter!$A$3:$B$11,2,0)</f>
        <v>10</v>
      </c>
      <c r="E1626" t="s">
        <v>5650</v>
      </c>
      <c r="F1626" t="s">
        <v>5654</v>
      </c>
      <c r="H1626" t="str">
        <f ca="1">PROPER(Sites_per_tag[[#This Row],[Adm2Name]])</f>
        <v>Betioky Atsimo</v>
      </c>
      <c r="I1626" t="s">
        <v>5688</v>
      </c>
      <c r="K1626" t="s">
        <v>1184</v>
      </c>
      <c r="L1626" t="s">
        <v>5834</v>
      </c>
      <c r="N1626" t="s">
        <v>2161</v>
      </c>
      <c r="O1626" t="s">
        <v>4631</v>
      </c>
      <c r="Q1626" t="s">
        <v>2165</v>
      </c>
      <c r="R1626" t="s">
        <v>2166</v>
      </c>
      <c r="T1626" t="s">
        <v>5</v>
      </c>
      <c r="U1626" s="3" t="str">
        <f>+VLOOKUP(Sites_per_tag[[#This Row],[Activity_tag]],Parameter!$A$24:$B$32,2,0)</f>
        <v>MAM</v>
      </c>
      <c r="W1626">
        <v>44.192019999999999</v>
      </c>
      <c r="X1626">
        <v>-23.70628</v>
      </c>
    </row>
    <row r="1627" spans="1:24" x14ac:dyDescent="0.35">
      <c r="A1627" s="3" t="str">
        <f t="shared" si="25"/>
        <v>MG51506014009001MAM</v>
      </c>
      <c r="B1627" t="s">
        <v>6210</v>
      </c>
      <c r="C1627">
        <f>+VLOOKUP(Sites_per_tag[[#This Row],[Field_office]],Parameter!$A$3:$B$11,2,0)</f>
        <v>10</v>
      </c>
      <c r="E1627" t="s">
        <v>5650</v>
      </c>
      <c r="F1627" t="s">
        <v>5654</v>
      </c>
      <c r="H1627" t="str">
        <f ca="1">PROPER(Sites_per_tag[[#This Row],[Adm2Name]])</f>
        <v>Betioky Atsimo</v>
      </c>
      <c r="I1627" t="s">
        <v>5688</v>
      </c>
      <c r="K1627" t="s">
        <v>1184</v>
      </c>
      <c r="L1627" t="s">
        <v>5834</v>
      </c>
      <c r="N1627" t="s">
        <v>3981</v>
      </c>
      <c r="O1627" t="s">
        <v>4632</v>
      </c>
      <c r="Q1627" t="s">
        <v>3981</v>
      </c>
      <c r="R1627" t="s">
        <v>3982</v>
      </c>
      <c r="T1627" t="s">
        <v>5</v>
      </c>
      <c r="U1627" s="3" t="str">
        <f>+VLOOKUP(Sites_per_tag[[#This Row],[Activity_tag]],Parameter!$A$24:$B$32,2,0)</f>
        <v>MAM</v>
      </c>
      <c r="W1627">
        <v>44.076650000000001</v>
      </c>
      <c r="X1627">
        <v>-23.703250000000001</v>
      </c>
    </row>
    <row r="1628" spans="1:24" x14ac:dyDescent="0.35">
      <c r="A1628" s="3" t="str">
        <f t="shared" si="25"/>
        <v>MG51506014010001MAM</v>
      </c>
      <c r="B1628" t="s">
        <v>6210</v>
      </c>
      <c r="C1628">
        <f>+VLOOKUP(Sites_per_tag[[#This Row],[Field_office]],Parameter!$A$3:$B$11,2,0)</f>
        <v>10</v>
      </c>
      <c r="E1628" t="s">
        <v>5650</v>
      </c>
      <c r="F1628" t="s">
        <v>5654</v>
      </c>
      <c r="H1628" t="str">
        <f ca="1">PROPER(Sites_per_tag[[#This Row],[Adm2Name]])</f>
        <v>Betioky Atsimo</v>
      </c>
      <c r="I1628" t="s">
        <v>5688</v>
      </c>
      <c r="K1628" t="s">
        <v>1184</v>
      </c>
      <c r="L1628" t="s">
        <v>5834</v>
      </c>
      <c r="N1628" t="s">
        <v>1105</v>
      </c>
      <c r="O1628" t="s">
        <v>4633</v>
      </c>
      <c r="Q1628" t="s">
        <v>1105</v>
      </c>
      <c r="R1628" t="s">
        <v>1106</v>
      </c>
      <c r="T1628" t="s">
        <v>5</v>
      </c>
      <c r="U1628" s="3" t="str">
        <f>+VLOOKUP(Sites_per_tag[[#This Row],[Activity_tag]],Parameter!$A$24:$B$32,2,0)</f>
        <v>MAM</v>
      </c>
      <c r="W1628">
        <v>44.098770000000002</v>
      </c>
      <c r="X1628">
        <v>-23.72317</v>
      </c>
    </row>
    <row r="1629" spans="1:24" x14ac:dyDescent="0.35">
      <c r="A1629" s="3" t="str">
        <f t="shared" si="25"/>
        <v>MG51506014056001MAM</v>
      </c>
      <c r="B1629" t="s">
        <v>6210</v>
      </c>
      <c r="C1629">
        <f>+VLOOKUP(Sites_per_tag[[#This Row],[Field_office]],Parameter!$A$3:$B$11,2,0)</f>
        <v>10</v>
      </c>
      <c r="E1629" t="s">
        <v>5650</v>
      </c>
      <c r="F1629" t="s">
        <v>5654</v>
      </c>
      <c r="H1629" t="str">
        <f ca="1">PROPER(Sites_per_tag[[#This Row],[Adm2Name]])</f>
        <v>Betioky Atsimo</v>
      </c>
      <c r="I1629" t="s">
        <v>5688</v>
      </c>
      <c r="K1629" t="s">
        <v>1184</v>
      </c>
      <c r="L1629" t="s">
        <v>5834</v>
      </c>
      <c r="N1629" t="s">
        <v>1182</v>
      </c>
      <c r="O1629" t="s">
        <v>4634</v>
      </c>
      <c r="Q1629" t="s">
        <v>1188</v>
      </c>
      <c r="R1629" t="s">
        <v>1189</v>
      </c>
      <c r="T1629" t="s">
        <v>5</v>
      </c>
      <c r="U1629" s="3" t="str">
        <f>+VLOOKUP(Sites_per_tag[[#This Row],[Activity_tag]],Parameter!$A$24:$B$32,2,0)</f>
        <v>MAM</v>
      </c>
      <c r="W1629">
        <v>44.068942</v>
      </c>
      <c r="X1629">
        <v>-23.683827999999998</v>
      </c>
    </row>
    <row r="1630" spans="1:24" x14ac:dyDescent="0.35">
      <c r="A1630" s="3" t="str">
        <f t="shared" si="25"/>
        <v>MG51506015001PREV</v>
      </c>
      <c r="B1630" t="s">
        <v>6210</v>
      </c>
      <c r="C1630">
        <f>+VLOOKUP(Sites_per_tag[[#This Row],[Field_office]],Parameter!$A$3:$B$11,2,0)</f>
        <v>10</v>
      </c>
      <c r="E1630" t="s">
        <v>5650</v>
      </c>
      <c r="F1630" t="s">
        <v>5654</v>
      </c>
      <c r="H1630" t="str">
        <f ca="1">PROPER(Sites_per_tag[[#This Row],[Adm2Name]])</f>
        <v>Betioky Atsimo</v>
      </c>
      <c r="I1630" t="s">
        <v>5688</v>
      </c>
      <c r="K1630" t="s">
        <v>5798</v>
      </c>
      <c r="L1630" t="s">
        <v>6041</v>
      </c>
      <c r="N1630" t="s">
        <v>2975</v>
      </c>
      <c r="Q1630" t="s">
        <v>2975</v>
      </c>
      <c r="R1630" t="s">
        <v>2976</v>
      </c>
      <c r="T1630" t="s">
        <v>32</v>
      </c>
      <c r="U1630" s="3" t="str">
        <f>+VLOOKUP(Sites_per_tag[[#This Row],[Activity_tag]],Parameter!$A$24:$B$32,2,0)</f>
        <v>PREV</v>
      </c>
      <c r="W1630">
        <v>44.100279999999998</v>
      </c>
      <c r="X1630">
        <v>-23.81147</v>
      </c>
    </row>
    <row r="1631" spans="1:24" x14ac:dyDescent="0.35">
      <c r="A1631" s="3" t="str">
        <f t="shared" si="25"/>
        <v>MG51506015002001MAM</v>
      </c>
      <c r="B1631" t="s">
        <v>6210</v>
      </c>
      <c r="C1631">
        <f>+VLOOKUP(Sites_per_tag[[#This Row],[Field_office]],Parameter!$A$3:$B$11,2,0)</f>
        <v>10</v>
      </c>
      <c r="E1631" t="s">
        <v>5650</v>
      </c>
      <c r="F1631" t="s">
        <v>5654</v>
      </c>
      <c r="H1631" t="str">
        <f ca="1">PROPER(Sites_per_tag[[#This Row],[Adm2Name]])</f>
        <v>Betioky Atsimo</v>
      </c>
      <c r="I1631" t="s">
        <v>5688</v>
      </c>
      <c r="K1631" t="s">
        <v>5798</v>
      </c>
      <c r="L1631" t="s">
        <v>6041</v>
      </c>
      <c r="N1631" t="s">
        <v>818</v>
      </c>
      <c r="O1631" t="s">
        <v>5293</v>
      </c>
      <c r="Q1631" t="s">
        <v>818</v>
      </c>
      <c r="R1631" t="s">
        <v>819</v>
      </c>
      <c r="T1631" t="s">
        <v>5</v>
      </c>
      <c r="U1631" s="3" t="str">
        <f>+VLOOKUP(Sites_per_tag[[#This Row],[Activity_tag]],Parameter!$A$24:$B$32,2,0)</f>
        <v>MAM</v>
      </c>
      <c r="W1631">
        <v>44.046280000000003</v>
      </c>
      <c r="X1631">
        <v>-23.70495</v>
      </c>
    </row>
    <row r="1632" spans="1:24" x14ac:dyDescent="0.35">
      <c r="A1632" s="3" t="str">
        <f t="shared" si="25"/>
        <v>MG51506015003001MAM</v>
      </c>
      <c r="B1632" t="s">
        <v>6210</v>
      </c>
      <c r="C1632">
        <f>+VLOOKUP(Sites_per_tag[[#This Row],[Field_office]],Parameter!$A$3:$B$11,2,0)</f>
        <v>10</v>
      </c>
      <c r="E1632" t="s">
        <v>5650</v>
      </c>
      <c r="F1632" t="s">
        <v>5654</v>
      </c>
      <c r="H1632" t="str">
        <f ca="1">PROPER(Sites_per_tag[[#This Row],[Adm2Name]])</f>
        <v>Betioky Atsimo</v>
      </c>
      <c r="I1632" t="s">
        <v>5688</v>
      </c>
      <c r="K1632" t="s">
        <v>5798</v>
      </c>
      <c r="L1632" t="s">
        <v>6041</v>
      </c>
      <c r="N1632" t="s">
        <v>202</v>
      </c>
      <c r="O1632" t="s">
        <v>5294</v>
      </c>
      <c r="Q1632" t="s">
        <v>202</v>
      </c>
      <c r="R1632" t="s">
        <v>203</v>
      </c>
      <c r="T1632" t="s">
        <v>5</v>
      </c>
      <c r="U1632" s="3" t="str">
        <f>+VLOOKUP(Sites_per_tag[[#This Row],[Activity_tag]],Parameter!$A$24:$B$32,2,0)</f>
        <v>MAM</v>
      </c>
      <c r="W1632">
        <v>44.071069999999999</v>
      </c>
      <c r="X1632">
        <v>-23.75243</v>
      </c>
    </row>
    <row r="1633" spans="1:24" x14ac:dyDescent="0.35">
      <c r="A1633" s="3" t="str">
        <f t="shared" si="25"/>
        <v>MG51506015004001MAM</v>
      </c>
      <c r="B1633" t="s">
        <v>6210</v>
      </c>
      <c r="C1633">
        <f>+VLOOKUP(Sites_per_tag[[#This Row],[Field_office]],Parameter!$A$3:$B$11,2,0)</f>
        <v>10</v>
      </c>
      <c r="E1633" t="s">
        <v>5650</v>
      </c>
      <c r="F1633" t="s">
        <v>5654</v>
      </c>
      <c r="H1633" t="str">
        <f ca="1">PROPER(Sites_per_tag[[#This Row],[Adm2Name]])</f>
        <v>Betioky Atsimo</v>
      </c>
      <c r="I1633" t="s">
        <v>5688</v>
      </c>
      <c r="K1633" t="s">
        <v>5798</v>
      </c>
      <c r="L1633" t="s">
        <v>6041</v>
      </c>
      <c r="N1633" t="s">
        <v>623</v>
      </c>
      <c r="O1633" t="s">
        <v>5295</v>
      </c>
      <c r="Q1633" t="s">
        <v>623</v>
      </c>
      <c r="R1633" t="s">
        <v>624</v>
      </c>
      <c r="T1633" t="s">
        <v>5</v>
      </c>
      <c r="U1633" s="3" t="str">
        <f>+VLOOKUP(Sites_per_tag[[#This Row],[Activity_tag]],Parameter!$A$24:$B$32,2,0)</f>
        <v>MAM</v>
      </c>
      <c r="W1633">
        <v>44.111130000000003</v>
      </c>
      <c r="X1633">
        <v>-23.776879999999998</v>
      </c>
    </row>
    <row r="1634" spans="1:24" x14ac:dyDescent="0.35">
      <c r="A1634" s="3" t="str">
        <f t="shared" si="25"/>
        <v>MG51506015005001MAM</v>
      </c>
      <c r="B1634" t="s">
        <v>6210</v>
      </c>
      <c r="C1634">
        <f>+VLOOKUP(Sites_per_tag[[#This Row],[Field_office]],Parameter!$A$3:$B$11,2,0)</f>
        <v>10</v>
      </c>
      <c r="E1634" t="s">
        <v>5650</v>
      </c>
      <c r="F1634" t="s">
        <v>5654</v>
      </c>
      <c r="H1634" t="str">
        <f ca="1">PROPER(Sites_per_tag[[#This Row],[Adm2Name]])</f>
        <v>Betioky Atsimo</v>
      </c>
      <c r="I1634" t="s">
        <v>5688</v>
      </c>
      <c r="K1634" t="s">
        <v>5798</v>
      </c>
      <c r="L1634" t="s">
        <v>6041</v>
      </c>
      <c r="N1634" t="s">
        <v>2977</v>
      </c>
      <c r="O1634" t="s">
        <v>5292</v>
      </c>
      <c r="Q1634" t="s">
        <v>2973</v>
      </c>
      <c r="R1634" t="s">
        <v>2974</v>
      </c>
      <c r="T1634" t="s">
        <v>5</v>
      </c>
      <c r="U1634" s="3" t="str">
        <f>+VLOOKUP(Sites_per_tag[[#This Row],[Activity_tag]],Parameter!$A$24:$B$32,2,0)</f>
        <v>MAM</v>
      </c>
      <c r="W1634">
        <v>44.117469999999997</v>
      </c>
      <c r="X1634">
        <v>-23.822150000000001</v>
      </c>
    </row>
    <row r="1635" spans="1:24" x14ac:dyDescent="0.35">
      <c r="A1635" s="3" t="str">
        <f t="shared" si="25"/>
        <v>MG51506015005002MAM</v>
      </c>
      <c r="B1635" t="s">
        <v>6210</v>
      </c>
      <c r="C1635">
        <f>+VLOOKUP(Sites_per_tag[[#This Row],[Field_office]],Parameter!$A$3:$B$11,2,0)</f>
        <v>10</v>
      </c>
      <c r="E1635" t="s">
        <v>5650</v>
      </c>
      <c r="F1635" t="s">
        <v>5654</v>
      </c>
      <c r="H1635" t="str">
        <f ca="1">PROPER(Sites_per_tag[[#This Row],[Adm2Name]])</f>
        <v>Betioky Atsimo</v>
      </c>
      <c r="I1635" t="s">
        <v>5688</v>
      </c>
      <c r="K1635" t="s">
        <v>5798</v>
      </c>
      <c r="L1635" t="s">
        <v>6041</v>
      </c>
      <c r="N1635" t="s">
        <v>2977</v>
      </c>
      <c r="O1635" t="s">
        <v>5292</v>
      </c>
      <c r="Q1635" t="s">
        <v>2977</v>
      </c>
      <c r="R1635" t="s">
        <v>2978</v>
      </c>
      <c r="T1635" t="s">
        <v>5</v>
      </c>
      <c r="U1635" s="3" t="str">
        <f>+VLOOKUP(Sites_per_tag[[#This Row],[Activity_tag]],Parameter!$A$24:$B$32,2,0)</f>
        <v>MAM</v>
      </c>
      <c r="W1635">
        <v>44.117469999999997</v>
      </c>
      <c r="X1635">
        <v>-23.822150000000001</v>
      </c>
    </row>
    <row r="1636" spans="1:24" x14ac:dyDescent="0.35">
      <c r="A1636" s="3" t="str">
        <f t="shared" si="25"/>
        <v>MG51506015007001MAM</v>
      </c>
      <c r="B1636" t="s">
        <v>6210</v>
      </c>
      <c r="C1636">
        <f>+VLOOKUP(Sites_per_tag[[#This Row],[Field_office]],Parameter!$A$3:$B$11,2,0)</f>
        <v>10</v>
      </c>
      <c r="E1636" t="s">
        <v>5650</v>
      </c>
      <c r="F1636" t="s">
        <v>5654</v>
      </c>
      <c r="H1636" t="str">
        <f ca="1">PROPER(Sites_per_tag[[#This Row],[Adm2Name]])</f>
        <v>Betioky Atsimo</v>
      </c>
      <c r="I1636" t="s">
        <v>5688</v>
      </c>
      <c r="K1636" t="s">
        <v>5798</v>
      </c>
      <c r="L1636" t="s">
        <v>6041</v>
      </c>
      <c r="N1636" t="s">
        <v>1334</v>
      </c>
      <c r="O1636" t="s">
        <v>5296</v>
      </c>
      <c r="Q1636" t="s">
        <v>1334</v>
      </c>
      <c r="R1636" t="s">
        <v>1335</v>
      </c>
      <c r="T1636" t="s">
        <v>5</v>
      </c>
      <c r="U1636" s="3" t="str">
        <f>+VLOOKUP(Sites_per_tag[[#This Row],[Activity_tag]],Parameter!$A$24:$B$32,2,0)</f>
        <v>MAM</v>
      </c>
      <c r="W1636">
        <v>44.133879999999998</v>
      </c>
      <c r="X1636">
        <v>-23.96527</v>
      </c>
    </row>
    <row r="1637" spans="1:24" x14ac:dyDescent="0.35">
      <c r="A1637" s="3" t="str">
        <f t="shared" si="25"/>
        <v>MG51506015008001MAM</v>
      </c>
      <c r="B1637" t="s">
        <v>6210</v>
      </c>
      <c r="C1637">
        <f>+VLOOKUP(Sites_per_tag[[#This Row],[Field_office]],Parameter!$A$3:$B$11,2,0)</f>
        <v>10</v>
      </c>
      <c r="E1637" t="s">
        <v>5650</v>
      </c>
      <c r="F1637" t="s">
        <v>5654</v>
      </c>
      <c r="H1637" t="str">
        <f ca="1">PROPER(Sites_per_tag[[#This Row],[Adm2Name]])</f>
        <v>Betioky Atsimo</v>
      </c>
      <c r="I1637" t="s">
        <v>5688</v>
      </c>
      <c r="K1637" t="s">
        <v>5798</v>
      </c>
      <c r="L1637" t="s">
        <v>6041</v>
      </c>
      <c r="N1637" t="s">
        <v>464</v>
      </c>
      <c r="O1637" t="s">
        <v>5297</v>
      </c>
      <c r="Q1637" t="s">
        <v>464</v>
      </c>
      <c r="R1637" t="s">
        <v>465</v>
      </c>
      <c r="T1637" t="s">
        <v>5</v>
      </c>
      <c r="U1637" s="3" t="str">
        <f>+VLOOKUP(Sites_per_tag[[#This Row],[Activity_tag]],Parameter!$A$24:$B$32,2,0)</f>
        <v>MAM</v>
      </c>
      <c r="W1637">
        <v>44.136429999999997</v>
      </c>
      <c r="X1637">
        <v>-23.966370000000001</v>
      </c>
    </row>
    <row r="1638" spans="1:24" x14ac:dyDescent="0.35">
      <c r="A1638" s="3" t="str">
        <f t="shared" si="25"/>
        <v>MG51506015009001MAM</v>
      </c>
      <c r="B1638" t="s">
        <v>6210</v>
      </c>
      <c r="C1638">
        <f>+VLOOKUP(Sites_per_tag[[#This Row],[Field_office]],Parameter!$A$3:$B$11,2,0)</f>
        <v>10</v>
      </c>
      <c r="E1638" t="s">
        <v>5650</v>
      </c>
      <c r="F1638" t="s">
        <v>5654</v>
      </c>
      <c r="H1638" t="str">
        <f ca="1">PROPER(Sites_per_tag[[#This Row],[Adm2Name]])</f>
        <v>Betioky Atsimo</v>
      </c>
      <c r="I1638" t="s">
        <v>5688</v>
      </c>
      <c r="K1638" t="s">
        <v>5798</v>
      </c>
      <c r="L1638" t="s">
        <v>6041</v>
      </c>
      <c r="N1638" t="s">
        <v>933</v>
      </c>
      <c r="O1638" t="s">
        <v>5298</v>
      </c>
      <c r="Q1638" t="s">
        <v>933</v>
      </c>
      <c r="R1638" t="s">
        <v>934</v>
      </c>
      <c r="T1638" t="s">
        <v>5</v>
      </c>
      <c r="U1638" s="3" t="str">
        <f>+VLOOKUP(Sites_per_tag[[#This Row],[Activity_tag]],Parameter!$A$24:$B$32,2,0)</f>
        <v>MAM</v>
      </c>
      <c r="W1638">
        <v>44.157350000000001</v>
      </c>
      <c r="X1638">
        <v>-23.975169999999999</v>
      </c>
    </row>
    <row r="1639" spans="1:24" x14ac:dyDescent="0.35">
      <c r="A1639" s="3" t="str">
        <f t="shared" si="25"/>
        <v>MG51506015011PREV</v>
      </c>
      <c r="B1639" t="s">
        <v>6210</v>
      </c>
      <c r="C1639">
        <f>+VLOOKUP(Sites_per_tag[[#This Row],[Field_office]],Parameter!$A$3:$B$11,2,0)</f>
        <v>10</v>
      </c>
      <c r="E1639" t="s">
        <v>5650</v>
      </c>
      <c r="F1639" t="s">
        <v>5654</v>
      </c>
      <c r="H1639" t="str">
        <f ca="1">PROPER(Sites_per_tag[[#This Row],[Adm2Name]])</f>
        <v>Betioky Atsimo</v>
      </c>
      <c r="I1639" t="s">
        <v>5688</v>
      </c>
      <c r="K1639" t="s">
        <v>5798</v>
      </c>
      <c r="L1639" t="s">
        <v>6041</v>
      </c>
      <c r="N1639" t="s">
        <v>927</v>
      </c>
      <c r="Q1639" t="s">
        <v>927</v>
      </c>
      <c r="R1639" t="s">
        <v>928</v>
      </c>
      <c r="T1639" t="s">
        <v>32</v>
      </c>
      <c r="U1639" s="3" t="str">
        <f>+VLOOKUP(Sites_per_tag[[#This Row],[Activity_tag]],Parameter!$A$24:$B$32,2,0)</f>
        <v>PREV</v>
      </c>
      <c r="W1639">
        <v>44.205370000000002</v>
      </c>
      <c r="X1639">
        <v>-23.971879999999999</v>
      </c>
    </row>
    <row r="1640" spans="1:24" x14ac:dyDescent="0.35">
      <c r="A1640" s="3" t="str">
        <f t="shared" si="25"/>
        <v>MG51506015012001MAM</v>
      </c>
      <c r="B1640" t="s">
        <v>6210</v>
      </c>
      <c r="C1640">
        <f>+VLOOKUP(Sites_per_tag[[#This Row],[Field_office]],Parameter!$A$3:$B$11,2,0)</f>
        <v>10</v>
      </c>
      <c r="E1640" t="s">
        <v>5650</v>
      </c>
      <c r="F1640" t="s">
        <v>5654</v>
      </c>
      <c r="H1640" t="str">
        <f ca="1">PROPER(Sites_per_tag[[#This Row],[Adm2Name]])</f>
        <v>Betioky Atsimo</v>
      </c>
      <c r="I1640" t="s">
        <v>5688</v>
      </c>
      <c r="K1640" t="s">
        <v>5798</v>
      </c>
      <c r="L1640" t="s">
        <v>6041</v>
      </c>
      <c r="N1640" t="s">
        <v>931</v>
      </c>
      <c r="O1640" t="s">
        <v>5299</v>
      </c>
      <c r="Q1640" t="s">
        <v>931</v>
      </c>
      <c r="R1640" t="s">
        <v>932</v>
      </c>
      <c r="T1640" t="s">
        <v>5</v>
      </c>
      <c r="U1640" s="3" t="str">
        <f>+VLOOKUP(Sites_per_tag[[#This Row],[Activity_tag]],Parameter!$A$24:$B$32,2,0)</f>
        <v>MAM</v>
      </c>
      <c r="W1640">
        <v>44.2029</v>
      </c>
      <c r="X1640">
        <v>-23.978899999999999</v>
      </c>
    </row>
    <row r="1641" spans="1:24" x14ac:dyDescent="0.35">
      <c r="A1641" s="3" t="str">
        <f t="shared" si="25"/>
        <v>MG51506015013001MAM</v>
      </c>
      <c r="B1641" t="s">
        <v>6210</v>
      </c>
      <c r="C1641">
        <f>+VLOOKUP(Sites_per_tag[[#This Row],[Field_office]],Parameter!$A$3:$B$11,2,0)</f>
        <v>10</v>
      </c>
      <c r="E1641" t="s">
        <v>5650</v>
      </c>
      <c r="F1641" t="s">
        <v>5654</v>
      </c>
      <c r="H1641" t="str">
        <f ca="1">PROPER(Sites_per_tag[[#This Row],[Adm2Name]])</f>
        <v>Betioky Atsimo</v>
      </c>
      <c r="I1641" t="s">
        <v>5688</v>
      </c>
      <c r="K1641" t="s">
        <v>5798</v>
      </c>
      <c r="L1641" t="s">
        <v>6041</v>
      </c>
      <c r="N1641" t="s">
        <v>929</v>
      </c>
      <c r="O1641" t="s">
        <v>5300</v>
      </c>
      <c r="Q1641" t="s">
        <v>929</v>
      </c>
      <c r="R1641" t="s">
        <v>930</v>
      </c>
      <c r="T1641" t="s">
        <v>5</v>
      </c>
      <c r="U1641" s="3" t="str">
        <f>+VLOOKUP(Sites_per_tag[[#This Row],[Activity_tag]],Parameter!$A$24:$B$32,2,0)</f>
        <v>MAM</v>
      </c>
      <c r="W1641">
        <v>44.235979999999998</v>
      </c>
      <c r="X1641">
        <v>-24.001819999999999</v>
      </c>
    </row>
    <row r="1642" spans="1:24" x14ac:dyDescent="0.35">
      <c r="A1642" s="3" t="str">
        <f t="shared" si="25"/>
        <v>MG51506030001001MAM</v>
      </c>
      <c r="B1642" t="s">
        <v>6210</v>
      </c>
      <c r="C1642">
        <f>+VLOOKUP(Sites_per_tag[[#This Row],[Field_office]],Parameter!$A$3:$B$11,2,0)</f>
        <v>10</v>
      </c>
      <c r="E1642" t="s">
        <v>5650</v>
      </c>
      <c r="F1642" t="s">
        <v>5654</v>
      </c>
      <c r="H1642" t="str">
        <f ca="1">PROPER(Sites_per_tag[[#This Row],[Adm2Name]])</f>
        <v>Betioky Atsimo</v>
      </c>
      <c r="I1642" t="s">
        <v>5688</v>
      </c>
      <c r="K1642" t="s">
        <v>1691</v>
      </c>
      <c r="L1642" t="s">
        <v>5879</v>
      </c>
      <c r="N1642" t="s">
        <v>1439</v>
      </c>
      <c r="O1642" t="s">
        <v>4737</v>
      </c>
      <c r="Q1642" t="s">
        <v>1439</v>
      </c>
      <c r="R1642" t="s">
        <v>1440</v>
      </c>
      <c r="T1642" t="s">
        <v>5</v>
      </c>
      <c r="U1642" s="3" t="str">
        <f>+VLOOKUP(Sites_per_tag[[#This Row],[Activity_tag]],Parameter!$A$24:$B$32,2,0)</f>
        <v>MAM</v>
      </c>
      <c r="W1642">
        <v>44.30433</v>
      </c>
      <c r="X1642">
        <v>-23.760629999999999</v>
      </c>
    </row>
    <row r="1643" spans="1:24" x14ac:dyDescent="0.35">
      <c r="A1643" s="3" t="str">
        <f t="shared" si="25"/>
        <v>MG51506030002001MAM</v>
      </c>
      <c r="B1643" t="s">
        <v>6210</v>
      </c>
      <c r="C1643">
        <f>+VLOOKUP(Sites_per_tag[[#This Row],[Field_office]],Parameter!$A$3:$B$11,2,0)</f>
        <v>10</v>
      </c>
      <c r="E1643" t="s">
        <v>5650</v>
      </c>
      <c r="F1643" t="s">
        <v>5654</v>
      </c>
      <c r="H1643" t="str">
        <f ca="1">PROPER(Sites_per_tag[[#This Row],[Adm2Name]])</f>
        <v>Betioky Atsimo</v>
      </c>
      <c r="I1643" t="s">
        <v>5688</v>
      </c>
      <c r="K1643" t="s">
        <v>1691</v>
      </c>
      <c r="L1643" t="s">
        <v>5879</v>
      </c>
      <c r="N1643" t="s">
        <v>1256</v>
      </c>
      <c r="O1643" t="s">
        <v>4738</v>
      </c>
      <c r="Q1643" t="s">
        <v>1258</v>
      </c>
      <c r="R1643" t="s">
        <v>1259</v>
      </c>
      <c r="T1643" t="s">
        <v>5</v>
      </c>
      <c r="U1643" s="3" t="str">
        <f>+VLOOKUP(Sites_per_tag[[#This Row],[Activity_tag]],Parameter!$A$24:$B$32,2,0)</f>
        <v>MAM</v>
      </c>
      <c r="W1643">
        <v>44.383130000000001</v>
      </c>
      <c r="X1643">
        <v>-23.776620000000001</v>
      </c>
    </row>
    <row r="1644" spans="1:24" x14ac:dyDescent="0.35">
      <c r="A1644" s="3" t="str">
        <f t="shared" si="25"/>
        <v>MG51506030004001MAM</v>
      </c>
      <c r="B1644" t="s">
        <v>6210</v>
      </c>
      <c r="C1644">
        <f>+VLOOKUP(Sites_per_tag[[#This Row],[Field_office]],Parameter!$A$3:$B$11,2,0)</f>
        <v>10</v>
      </c>
      <c r="E1644" t="s">
        <v>5650</v>
      </c>
      <c r="F1644" t="s">
        <v>5654</v>
      </c>
      <c r="H1644" t="str">
        <f ca="1">PROPER(Sites_per_tag[[#This Row],[Adm2Name]])</f>
        <v>Betioky Atsimo</v>
      </c>
      <c r="I1644" t="s">
        <v>5688</v>
      </c>
      <c r="K1644" t="s">
        <v>1691</v>
      </c>
      <c r="L1644" t="s">
        <v>5879</v>
      </c>
      <c r="N1644" t="s">
        <v>1036</v>
      </c>
      <c r="O1644" t="s">
        <v>4739</v>
      </c>
      <c r="Q1644" t="s">
        <v>1036</v>
      </c>
      <c r="R1644" t="s">
        <v>1037</v>
      </c>
      <c r="T1644" t="s">
        <v>5</v>
      </c>
      <c r="U1644" s="3" t="str">
        <f>+VLOOKUP(Sites_per_tag[[#This Row],[Activity_tag]],Parameter!$A$24:$B$32,2,0)</f>
        <v>MAM</v>
      </c>
      <c r="W1644">
        <v>44.405729999999998</v>
      </c>
      <c r="X1644">
        <v>-23.821179999999998</v>
      </c>
    </row>
    <row r="1645" spans="1:24" x14ac:dyDescent="0.35">
      <c r="A1645" s="3" t="str">
        <f t="shared" si="25"/>
        <v>MG51506030006001MAM</v>
      </c>
      <c r="B1645" t="s">
        <v>6210</v>
      </c>
      <c r="C1645">
        <f>+VLOOKUP(Sites_per_tag[[#This Row],[Field_office]],Parameter!$A$3:$B$11,2,0)</f>
        <v>10</v>
      </c>
      <c r="E1645" t="s">
        <v>5650</v>
      </c>
      <c r="F1645" t="s">
        <v>5654</v>
      </c>
      <c r="H1645" t="str">
        <f ca="1">PROPER(Sites_per_tag[[#This Row],[Adm2Name]])</f>
        <v>Betioky Atsimo</v>
      </c>
      <c r="I1645" t="s">
        <v>5688</v>
      </c>
      <c r="K1645" t="s">
        <v>1691</v>
      </c>
      <c r="L1645" t="s">
        <v>5879</v>
      </c>
      <c r="N1645" t="s">
        <v>1722</v>
      </c>
      <c r="O1645" t="s">
        <v>4740</v>
      </c>
      <c r="Q1645" t="s">
        <v>1722</v>
      </c>
      <c r="R1645" t="s">
        <v>1723</v>
      </c>
      <c r="T1645" t="s">
        <v>5</v>
      </c>
      <c r="U1645" s="3" t="str">
        <f>+VLOOKUP(Sites_per_tag[[#This Row],[Activity_tag]],Parameter!$A$24:$B$32,2,0)</f>
        <v>MAM</v>
      </c>
      <c r="W1645">
        <v>44.364750000000001</v>
      </c>
      <c r="X1645">
        <v>-23.865600000000001</v>
      </c>
    </row>
    <row r="1646" spans="1:24" x14ac:dyDescent="0.35">
      <c r="A1646" s="3" t="str">
        <f t="shared" si="25"/>
        <v>MG51506030007001MAM</v>
      </c>
      <c r="B1646" t="s">
        <v>6210</v>
      </c>
      <c r="C1646">
        <f>+VLOOKUP(Sites_per_tag[[#This Row],[Field_office]],Parameter!$A$3:$B$11,2,0)</f>
        <v>10</v>
      </c>
      <c r="E1646" t="s">
        <v>5650</v>
      </c>
      <c r="F1646" t="s">
        <v>5654</v>
      </c>
      <c r="H1646" t="str">
        <f ca="1">PROPER(Sites_per_tag[[#This Row],[Adm2Name]])</f>
        <v>Betioky Atsimo</v>
      </c>
      <c r="I1646" t="s">
        <v>5688</v>
      </c>
      <c r="K1646" t="s">
        <v>1691</v>
      </c>
      <c r="L1646" t="s">
        <v>5879</v>
      </c>
      <c r="N1646" t="s">
        <v>2398</v>
      </c>
      <c r="O1646" t="s">
        <v>4741</v>
      </c>
      <c r="Q1646" t="s">
        <v>2398</v>
      </c>
      <c r="R1646" t="s">
        <v>2399</v>
      </c>
      <c r="T1646" t="s">
        <v>5</v>
      </c>
      <c r="U1646" s="3" t="str">
        <f>+VLOOKUP(Sites_per_tag[[#This Row],[Activity_tag]],Parameter!$A$24:$B$32,2,0)</f>
        <v>MAM</v>
      </c>
      <c r="W1646">
        <v>44.281930000000003</v>
      </c>
      <c r="X1646">
        <v>-23.840150000000001</v>
      </c>
    </row>
    <row r="1647" spans="1:24" x14ac:dyDescent="0.35">
      <c r="A1647" s="3" t="str">
        <f t="shared" si="25"/>
        <v>MG51506030008001MAM</v>
      </c>
      <c r="B1647" t="s">
        <v>6210</v>
      </c>
      <c r="C1647">
        <f>+VLOOKUP(Sites_per_tag[[#This Row],[Field_office]],Parameter!$A$3:$B$11,2,0)</f>
        <v>10</v>
      </c>
      <c r="E1647" t="s">
        <v>5650</v>
      </c>
      <c r="F1647" t="s">
        <v>5654</v>
      </c>
      <c r="H1647" t="str">
        <f ca="1">PROPER(Sites_per_tag[[#This Row],[Adm2Name]])</f>
        <v>Betioky Atsimo</v>
      </c>
      <c r="I1647" t="s">
        <v>5688</v>
      </c>
      <c r="K1647" t="s">
        <v>1691</v>
      </c>
      <c r="L1647" t="s">
        <v>5879</v>
      </c>
      <c r="N1647" t="s">
        <v>1428</v>
      </c>
      <c r="O1647" t="s">
        <v>4742</v>
      </c>
      <c r="Q1647" t="s">
        <v>1428</v>
      </c>
      <c r="R1647" t="s">
        <v>1429</v>
      </c>
      <c r="T1647" t="s">
        <v>5</v>
      </c>
      <c r="U1647" s="3" t="str">
        <f>+VLOOKUP(Sites_per_tag[[#This Row],[Activity_tag]],Parameter!$A$24:$B$32,2,0)</f>
        <v>MAM</v>
      </c>
      <c r="W1647">
        <v>44.336350000000003</v>
      </c>
      <c r="X1647">
        <v>-23.831700000000001</v>
      </c>
    </row>
    <row r="1648" spans="1:24" x14ac:dyDescent="0.35">
      <c r="A1648" s="3" t="str">
        <f t="shared" si="25"/>
        <v>MG51506030009001MAM</v>
      </c>
      <c r="B1648" t="s">
        <v>6210</v>
      </c>
      <c r="C1648">
        <f>+VLOOKUP(Sites_per_tag[[#This Row],[Field_office]],Parameter!$A$3:$B$11,2,0)</f>
        <v>10</v>
      </c>
      <c r="E1648" t="s">
        <v>5650</v>
      </c>
      <c r="F1648" t="s">
        <v>5654</v>
      </c>
      <c r="H1648" t="str">
        <f ca="1">PROPER(Sites_per_tag[[#This Row],[Adm2Name]])</f>
        <v>Betioky Atsimo</v>
      </c>
      <c r="I1648" t="s">
        <v>5688</v>
      </c>
      <c r="K1648" t="s">
        <v>1691</v>
      </c>
      <c r="L1648" t="s">
        <v>5879</v>
      </c>
      <c r="N1648" t="s">
        <v>1691</v>
      </c>
      <c r="O1648" t="s">
        <v>4743</v>
      </c>
      <c r="Q1648" t="s">
        <v>1691</v>
      </c>
      <c r="R1648" t="s">
        <v>1692</v>
      </c>
      <c r="T1648" t="s">
        <v>5</v>
      </c>
      <c r="U1648" s="3" t="str">
        <f>+VLOOKUP(Sites_per_tag[[#This Row],[Activity_tag]],Parameter!$A$24:$B$32,2,0)</f>
        <v>MAM</v>
      </c>
      <c r="W1648">
        <v>44.310020000000002</v>
      </c>
      <c r="X1648">
        <v>-23.800519999999999</v>
      </c>
    </row>
    <row r="1649" spans="1:24" x14ac:dyDescent="0.35">
      <c r="A1649" s="3" t="str">
        <f t="shared" si="25"/>
        <v>MG51506030010001MAM</v>
      </c>
      <c r="B1649" t="s">
        <v>6210</v>
      </c>
      <c r="C1649">
        <f>+VLOOKUP(Sites_per_tag[[#This Row],[Field_office]],Parameter!$A$3:$B$11,2,0)</f>
        <v>10</v>
      </c>
      <c r="E1649" t="s">
        <v>5650</v>
      </c>
      <c r="F1649" t="s">
        <v>5654</v>
      </c>
      <c r="H1649" t="str">
        <f ca="1">PROPER(Sites_per_tag[[#This Row],[Adm2Name]])</f>
        <v>Betioky Atsimo</v>
      </c>
      <c r="I1649" t="s">
        <v>5688</v>
      </c>
      <c r="K1649" t="s">
        <v>1691</v>
      </c>
      <c r="L1649" t="s">
        <v>5879</v>
      </c>
      <c r="N1649" t="s">
        <v>1280</v>
      </c>
      <c r="O1649" t="s">
        <v>4744</v>
      </c>
      <c r="Q1649" t="s">
        <v>1280</v>
      </c>
      <c r="R1649" t="s">
        <v>1281</v>
      </c>
      <c r="T1649" t="s">
        <v>5</v>
      </c>
      <c r="U1649" s="3" t="str">
        <f>+VLOOKUP(Sites_per_tag[[#This Row],[Activity_tag]],Parameter!$A$24:$B$32,2,0)</f>
        <v>MAM</v>
      </c>
      <c r="W1649">
        <v>44.314749999999997</v>
      </c>
      <c r="X1649">
        <v>-23.801670000000001</v>
      </c>
    </row>
    <row r="1650" spans="1:24" x14ac:dyDescent="0.35">
      <c r="A1650" s="3" t="str">
        <f t="shared" si="25"/>
        <v>MG51506030046001MAM</v>
      </c>
      <c r="B1650" t="s">
        <v>6210</v>
      </c>
      <c r="C1650">
        <f>+VLOOKUP(Sites_per_tag[[#This Row],[Field_office]],Parameter!$A$3:$B$11,2,0)</f>
        <v>10</v>
      </c>
      <c r="E1650" t="s">
        <v>5650</v>
      </c>
      <c r="F1650" t="s">
        <v>5654</v>
      </c>
      <c r="H1650" t="str">
        <f ca="1">PROPER(Sites_per_tag[[#This Row],[Adm2Name]])</f>
        <v>Betioky Atsimo</v>
      </c>
      <c r="I1650" t="s">
        <v>5688</v>
      </c>
      <c r="K1650" t="s">
        <v>1691</v>
      </c>
      <c r="L1650" t="s">
        <v>5879</v>
      </c>
      <c r="N1650" t="s">
        <v>2052</v>
      </c>
      <c r="O1650" t="s">
        <v>4745</v>
      </c>
      <c r="Q1650" t="s">
        <v>2052</v>
      </c>
      <c r="R1650" t="s">
        <v>2053</v>
      </c>
      <c r="T1650" t="s">
        <v>5</v>
      </c>
      <c r="U1650" s="3" t="str">
        <f>+VLOOKUP(Sites_per_tag[[#This Row],[Activity_tag]],Parameter!$A$24:$B$32,2,0)</f>
        <v>MAM</v>
      </c>
      <c r="W1650">
        <v>44.543680000000002</v>
      </c>
      <c r="X1650">
        <v>-23.393630000000002</v>
      </c>
    </row>
    <row r="1651" spans="1:24" x14ac:dyDescent="0.35">
      <c r="A1651" s="3" t="str">
        <f t="shared" si="25"/>
        <v>MG51506050001001MAM</v>
      </c>
      <c r="B1651" t="s">
        <v>6210</v>
      </c>
      <c r="C1651">
        <f>+VLOOKUP(Sites_per_tag[[#This Row],[Field_office]],Parameter!$A$3:$B$11,2,0)</f>
        <v>10</v>
      </c>
      <c r="E1651" t="s">
        <v>5650</v>
      </c>
      <c r="F1651" t="s">
        <v>5654</v>
      </c>
      <c r="H1651" t="str">
        <f ca="1">PROPER(Sites_per_tag[[#This Row],[Adm2Name]])</f>
        <v>Betioky Atsimo</v>
      </c>
      <c r="I1651" t="s">
        <v>5688</v>
      </c>
      <c r="K1651" t="s">
        <v>3126</v>
      </c>
      <c r="L1651" t="s">
        <v>6057</v>
      </c>
      <c r="N1651" t="s">
        <v>3126</v>
      </c>
      <c r="O1651" t="s">
        <v>4037</v>
      </c>
      <c r="Q1651" t="s">
        <v>3128</v>
      </c>
      <c r="R1651" t="s">
        <v>3129</v>
      </c>
      <c r="T1651" t="s">
        <v>5</v>
      </c>
      <c r="U1651" s="3" t="str">
        <f>+VLOOKUP(Sites_per_tag[[#This Row],[Activity_tag]],Parameter!$A$24:$B$32,2,0)</f>
        <v>MAM</v>
      </c>
      <c r="W1651">
        <v>44.471580000000003</v>
      </c>
      <c r="X1651">
        <v>-23.904399999999999</v>
      </c>
    </row>
    <row r="1652" spans="1:24" x14ac:dyDescent="0.35">
      <c r="A1652" s="3" t="str">
        <f t="shared" si="25"/>
        <v>MG51506050001002STUNT</v>
      </c>
      <c r="B1652" t="s">
        <v>6210</v>
      </c>
      <c r="C1652">
        <f>+VLOOKUP(Sites_per_tag[[#This Row],[Field_office]],Parameter!$A$3:$B$11,2,0)</f>
        <v>10</v>
      </c>
      <c r="E1652" t="s">
        <v>5650</v>
      </c>
      <c r="F1652" t="s">
        <v>5654</v>
      </c>
      <c r="H1652" t="str">
        <f ca="1">PROPER(Sites_per_tag[[#This Row],[Adm2Name]])</f>
        <v>Betioky Atsimo</v>
      </c>
      <c r="I1652" t="s">
        <v>5688</v>
      </c>
      <c r="K1652" t="s">
        <v>3126</v>
      </c>
      <c r="L1652" t="s">
        <v>6057</v>
      </c>
      <c r="N1652" t="s">
        <v>3126</v>
      </c>
      <c r="O1652" t="s">
        <v>4037</v>
      </c>
      <c r="Q1652" t="s">
        <v>3126</v>
      </c>
      <c r="R1652" t="s">
        <v>3127</v>
      </c>
      <c r="T1652" t="s">
        <v>50</v>
      </c>
      <c r="U1652" s="3" t="str">
        <f>+VLOOKUP(Sites_per_tag[[#This Row],[Activity_tag]],Parameter!$A$24:$B$32,2,0)</f>
        <v>STUNT</v>
      </c>
      <c r="V1652" t="s">
        <v>6449</v>
      </c>
      <c r="W1652">
        <v>44.471580000000003</v>
      </c>
      <c r="X1652">
        <v>-23.904399999999999</v>
      </c>
    </row>
    <row r="1653" spans="1:24" x14ac:dyDescent="0.35">
      <c r="A1653" s="3" t="str">
        <f t="shared" si="25"/>
        <v>MG51506050003001MAM</v>
      </c>
      <c r="B1653" t="s">
        <v>6210</v>
      </c>
      <c r="C1653">
        <f>+VLOOKUP(Sites_per_tag[[#This Row],[Field_office]],Parameter!$A$3:$B$11,2,0)</f>
        <v>10</v>
      </c>
      <c r="E1653" t="s">
        <v>5650</v>
      </c>
      <c r="F1653" t="s">
        <v>5654</v>
      </c>
      <c r="H1653" t="str">
        <f ca="1">PROPER(Sites_per_tag[[#This Row],[Adm2Name]])</f>
        <v>Betioky Atsimo</v>
      </c>
      <c r="I1653" t="s">
        <v>5688</v>
      </c>
      <c r="K1653" t="s">
        <v>3126</v>
      </c>
      <c r="L1653" t="s">
        <v>6057</v>
      </c>
      <c r="N1653" t="s">
        <v>1837</v>
      </c>
      <c r="O1653" t="s">
        <v>5350</v>
      </c>
      <c r="Q1653" t="s">
        <v>1837</v>
      </c>
      <c r="R1653" t="s">
        <v>1838</v>
      </c>
      <c r="T1653" t="s">
        <v>5</v>
      </c>
      <c r="U1653" s="3" t="str">
        <f>+VLOOKUP(Sites_per_tag[[#This Row],[Activity_tag]],Parameter!$A$24:$B$32,2,0)</f>
        <v>MAM</v>
      </c>
      <c r="W1653">
        <v>44.483469999999997</v>
      </c>
      <c r="X1653">
        <v>-23.87567</v>
      </c>
    </row>
    <row r="1654" spans="1:24" x14ac:dyDescent="0.35">
      <c r="A1654" s="3" t="str">
        <f t="shared" si="25"/>
        <v>MG51506050005001MAM</v>
      </c>
      <c r="B1654" t="s">
        <v>6210</v>
      </c>
      <c r="C1654">
        <f>+VLOOKUP(Sites_per_tag[[#This Row],[Field_office]],Parameter!$A$3:$B$11,2,0)</f>
        <v>10</v>
      </c>
      <c r="E1654" t="s">
        <v>5650</v>
      </c>
      <c r="F1654" t="s">
        <v>5654</v>
      </c>
      <c r="H1654" t="str">
        <f ca="1">PROPER(Sites_per_tag[[#This Row],[Adm2Name]])</f>
        <v>Betioky Atsimo</v>
      </c>
      <c r="I1654" t="s">
        <v>5688</v>
      </c>
      <c r="K1654" t="s">
        <v>283</v>
      </c>
      <c r="L1654" t="s">
        <v>5700</v>
      </c>
      <c r="N1654" t="s">
        <v>4322</v>
      </c>
      <c r="O1654" t="s">
        <v>4321</v>
      </c>
      <c r="Q1654" t="s">
        <v>2030</v>
      </c>
      <c r="R1654" t="s">
        <v>2031</v>
      </c>
      <c r="T1654" t="s">
        <v>5</v>
      </c>
      <c r="U1654" s="3" t="str">
        <f>+VLOOKUP(Sites_per_tag[[#This Row],[Activity_tag]],Parameter!$A$24:$B$32,2,0)</f>
        <v>MAM</v>
      </c>
      <c r="W1654">
        <v>44.421579999999999</v>
      </c>
      <c r="X1654">
        <v>-23.891780000000001</v>
      </c>
    </row>
    <row r="1655" spans="1:24" x14ac:dyDescent="0.35">
      <c r="A1655" s="3" t="str">
        <f t="shared" si="25"/>
        <v>MG51506050008001MAM</v>
      </c>
      <c r="B1655" t="s">
        <v>6210</v>
      </c>
      <c r="C1655">
        <f>+VLOOKUP(Sites_per_tag[[#This Row],[Field_office]],Parameter!$A$3:$B$11,2,0)</f>
        <v>10</v>
      </c>
      <c r="E1655" t="s">
        <v>5650</v>
      </c>
      <c r="F1655" t="s">
        <v>5654</v>
      </c>
      <c r="H1655" t="str">
        <f ca="1">PROPER(Sites_per_tag[[#This Row],[Adm2Name]])</f>
        <v>Betioky Atsimo</v>
      </c>
      <c r="I1655" t="s">
        <v>5688</v>
      </c>
      <c r="K1655" t="s">
        <v>3126</v>
      </c>
      <c r="L1655" t="s">
        <v>6057</v>
      </c>
      <c r="N1655" t="s">
        <v>1038</v>
      </c>
      <c r="O1655" t="s">
        <v>5351</v>
      </c>
      <c r="Q1655" t="s">
        <v>1038</v>
      </c>
      <c r="R1655" t="s">
        <v>1039</v>
      </c>
      <c r="T1655" t="s">
        <v>5</v>
      </c>
      <c r="U1655" s="3" t="str">
        <f>+VLOOKUP(Sites_per_tag[[#This Row],[Activity_tag]],Parameter!$A$24:$B$32,2,0)</f>
        <v>MAM</v>
      </c>
      <c r="W1655">
        <v>44.427480000000003</v>
      </c>
      <c r="X1655">
        <v>-23.927579999999999</v>
      </c>
    </row>
    <row r="1656" spans="1:24" x14ac:dyDescent="0.35">
      <c r="A1656" s="3" t="str">
        <f t="shared" si="25"/>
        <v>MG51506050009001MAM</v>
      </c>
      <c r="B1656" t="s">
        <v>6210</v>
      </c>
      <c r="C1656">
        <f>+VLOOKUP(Sites_per_tag[[#This Row],[Field_office]],Parameter!$A$3:$B$11,2,0)</f>
        <v>10</v>
      </c>
      <c r="E1656" t="s">
        <v>5650</v>
      </c>
      <c r="F1656" t="s">
        <v>5654</v>
      </c>
      <c r="H1656" t="str">
        <f ca="1">PROPER(Sites_per_tag[[#This Row],[Adm2Name]])</f>
        <v>Betioky Atsimo</v>
      </c>
      <c r="I1656" t="s">
        <v>5688</v>
      </c>
      <c r="K1656" t="s">
        <v>3126</v>
      </c>
      <c r="L1656" t="s">
        <v>6057</v>
      </c>
      <c r="N1656" t="s">
        <v>1040</v>
      </c>
      <c r="O1656" t="s">
        <v>5352</v>
      </c>
      <c r="Q1656" t="s">
        <v>1040</v>
      </c>
      <c r="R1656" t="s">
        <v>1041</v>
      </c>
      <c r="T1656" t="s">
        <v>5</v>
      </c>
      <c r="U1656" s="3" t="str">
        <f>+VLOOKUP(Sites_per_tag[[#This Row],[Activity_tag]],Parameter!$A$24:$B$32,2,0)</f>
        <v>MAM</v>
      </c>
      <c r="W1656">
        <v>44.402349999999998</v>
      </c>
      <c r="X1656">
        <v>-23.9468</v>
      </c>
    </row>
    <row r="1657" spans="1:24" x14ac:dyDescent="0.35">
      <c r="A1657" s="3" t="str">
        <f t="shared" si="25"/>
        <v>MG51506050010001MAM</v>
      </c>
      <c r="B1657" t="s">
        <v>6210</v>
      </c>
      <c r="C1657">
        <f>+VLOOKUP(Sites_per_tag[[#This Row],[Field_office]],Parameter!$A$3:$B$11,2,0)</f>
        <v>10</v>
      </c>
      <c r="E1657" t="s">
        <v>5650</v>
      </c>
      <c r="F1657" t="s">
        <v>5654</v>
      </c>
      <c r="H1657" t="str">
        <f ca="1">PROPER(Sites_per_tag[[#This Row],[Adm2Name]])</f>
        <v>Betioky Atsimo</v>
      </c>
      <c r="I1657" t="s">
        <v>5688</v>
      </c>
      <c r="K1657" t="s">
        <v>3126</v>
      </c>
      <c r="L1657" t="s">
        <v>6057</v>
      </c>
      <c r="N1657" t="s">
        <v>3618</v>
      </c>
      <c r="O1657" t="s">
        <v>5353</v>
      </c>
      <c r="Q1657" t="s">
        <v>3625</v>
      </c>
      <c r="R1657" t="s">
        <v>3626</v>
      </c>
      <c r="T1657" t="s">
        <v>5</v>
      </c>
      <c r="U1657" s="3" t="str">
        <f>+VLOOKUP(Sites_per_tag[[#This Row],[Activity_tag]],Parameter!$A$24:$B$32,2,0)</f>
        <v>MAM</v>
      </c>
      <c r="W1657">
        <v>44.326250000000002</v>
      </c>
      <c r="X1657">
        <v>-23.981079999999999</v>
      </c>
    </row>
    <row r="1658" spans="1:24" x14ac:dyDescent="0.35">
      <c r="A1658" s="3" t="str">
        <f t="shared" si="25"/>
        <v>MG51506050011001MAM</v>
      </c>
      <c r="B1658" t="s">
        <v>6210</v>
      </c>
      <c r="C1658">
        <f>+VLOOKUP(Sites_per_tag[[#This Row],[Field_office]],Parameter!$A$3:$B$11,2,0)</f>
        <v>10</v>
      </c>
      <c r="E1658" t="s">
        <v>5650</v>
      </c>
      <c r="F1658" t="s">
        <v>5654</v>
      </c>
      <c r="H1658" t="str">
        <f ca="1">PROPER(Sites_per_tag[[#This Row],[Adm2Name]])</f>
        <v>Betioky Atsimo</v>
      </c>
      <c r="I1658" t="s">
        <v>5688</v>
      </c>
      <c r="K1658" t="s">
        <v>3126</v>
      </c>
      <c r="L1658" t="s">
        <v>6057</v>
      </c>
      <c r="N1658" t="s">
        <v>894</v>
      </c>
      <c r="O1658" t="s">
        <v>4038</v>
      </c>
      <c r="Q1658" t="s">
        <v>896</v>
      </c>
      <c r="R1658" t="s">
        <v>897</v>
      </c>
      <c r="T1658" t="s">
        <v>5</v>
      </c>
      <c r="U1658" s="3" t="str">
        <f>+VLOOKUP(Sites_per_tag[[#This Row],[Activity_tag]],Parameter!$A$24:$B$32,2,0)</f>
        <v>MAM</v>
      </c>
      <c r="W1658">
        <v>44.3932</v>
      </c>
      <c r="X1658">
        <v>-23.964400000000001</v>
      </c>
    </row>
    <row r="1659" spans="1:24" x14ac:dyDescent="0.35">
      <c r="A1659" s="3" t="str">
        <f t="shared" si="25"/>
        <v>MG51506050011002STUNT</v>
      </c>
      <c r="B1659" t="s">
        <v>6210</v>
      </c>
      <c r="C1659">
        <f>+VLOOKUP(Sites_per_tag[[#This Row],[Field_office]],Parameter!$A$3:$B$11,2,0)</f>
        <v>10</v>
      </c>
      <c r="E1659" t="s">
        <v>5650</v>
      </c>
      <c r="F1659" t="s">
        <v>5654</v>
      </c>
      <c r="H1659" t="str">
        <f ca="1">PROPER(Sites_per_tag[[#This Row],[Adm2Name]])</f>
        <v>Betioky Atsimo</v>
      </c>
      <c r="I1659" t="s">
        <v>5688</v>
      </c>
      <c r="K1659" t="s">
        <v>3126</v>
      </c>
      <c r="L1659" t="s">
        <v>6057</v>
      </c>
      <c r="N1659" t="s">
        <v>894</v>
      </c>
      <c r="O1659" t="s">
        <v>4038</v>
      </c>
      <c r="Q1659" t="s">
        <v>894</v>
      </c>
      <c r="R1659" t="s">
        <v>895</v>
      </c>
      <c r="T1659" t="s">
        <v>50</v>
      </c>
      <c r="U1659" s="3" t="str">
        <f>+VLOOKUP(Sites_per_tag[[#This Row],[Activity_tag]],Parameter!$A$24:$B$32,2,0)</f>
        <v>STUNT</v>
      </c>
      <c r="V1659" t="s">
        <v>6450</v>
      </c>
      <c r="W1659">
        <v>44.3932</v>
      </c>
      <c r="X1659">
        <v>-23.964400000000001</v>
      </c>
    </row>
    <row r="1660" spans="1:24" x14ac:dyDescent="0.35">
      <c r="A1660" s="3" t="str">
        <f t="shared" si="25"/>
        <v>MG51506050014001MAM</v>
      </c>
      <c r="B1660" t="s">
        <v>6210</v>
      </c>
      <c r="C1660">
        <f>+VLOOKUP(Sites_per_tag[[#This Row],[Field_office]],Parameter!$A$3:$B$11,2,0)</f>
        <v>10</v>
      </c>
      <c r="E1660" t="s">
        <v>5650</v>
      </c>
      <c r="F1660" t="s">
        <v>5654</v>
      </c>
      <c r="H1660" t="str">
        <f ca="1">PROPER(Sites_per_tag[[#This Row],[Adm2Name]])</f>
        <v>Betioky Atsimo</v>
      </c>
      <c r="I1660" t="s">
        <v>5688</v>
      </c>
      <c r="K1660" t="s">
        <v>3126</v>
      </c>
      <c r="L1660" t="s">
        <v>6057</v>
      </c>
      <c r="N1660" t="s">
        <v>1096</v>
      </c>
      <c r="O1660" t="s">
        <v>5354</v>
      </c>
      <c r="Q1660" t="s">
        <v>1096</v>
      </c>
      <c r="R1660" t="s">
        <v>1097</v>
      </c>
      <c r="T1660" t="s">
        <v>5</v>
      </c>
      <c r="U1660" s="3" t="str">
        <f>+VLOOKUP(Sites_per_tag[[#This Row],[Activity_tag]],Parameter!$A$24:$B$32,2,0)</f>
        <v>MAM</v>
      </c>
      <c r="W1660">
        <v>44.410150000000002</v>
      </c>
      <c r="X1660">
        <v>-24.00442</v>
      </c>
    </row>
    <row r="1661" spans="1:24" x14ac:dyDescent="0.35">
      <c r="A1661" s="3" t="str">
        <f t="shared" si="25"/>
        <v>MG51506050018001MAM</v>
      </c>
      <c r="B1661" t="s">
        <v>6210</v>
      </c>
      <c r="C1661">
        <f>+VLOOKUP(Sites_per_tag[[#This Row],[Field_office]],Parameter!$A$3:$B$11,2,0)</f>
        <v>10</v>
      </c>
      <c r="E1661" t="s">
        <v>5650</v>
      </c>
      <c r="F1661" t="s">
        <v>5654</v>
      </c>
      <c r="H1661" t="str">
        <f ca="1">PROPER(Sites_per_tag[[#This Row],[Adm2Name]])</f>
        <v>Betioky Atsimo</v>
      </c>
      <c r="I1661" t="s">
        <v>5688</v>
      </c>
      <c r="K1661" t="s">
        <v>3126</v>
      </c>
      <c r="L1661" t="s">
        <v>6057</v>
      </c>
      <c r="N1661" t="s">
        <v>211</v>
      </c>
      <c r="O1661" t="s">
        <v>5355</v>
      </c>
      <c r="Q1661" t="s">
        <v>211</v>
      </c>
      <c r="R1661" t="s">
        <v>212</v>
      </c>
      <c r="T1661" t="s">
        <v>5</v>
      </c>
      <c r="U1661" s="3" t="str">
        <f>+VLOOKUP(Sites_per_tag[[#This Row],[Activity_tag]],Parameter!$A$24:$B$32,2,0)</f>
        <v>MAM</v>
      </c>
      <c r="W1661">
        <v>44.503929999999997</v>
      </c>
      <c r="X1661">
        <v>-23.93873</v>
      </c>
    </row>
    <row r="1662" spans="1:24" x14ac:dyDescent="0.35">
      <c r="A1662" s="3" t="str">
        <f t="shared" si="25"/>
        <v>MG51506050020001MAM</v>
      </c>
      <c r="B1662" t="s">
        <v>6267</v>
      </c>
      <c r="C1662">
        <f>+VLOOKUP(Sites_per_tag[[#This Row],[Field_office]],Parameter!$A$3:$B$11,2,0)</f>
        <v>9</v>
      </c>
      <c r="E1662" t="s">
        <v>5650</v>
      </c>
      <c r="F1662" t="s">
        <v>5654</v>
      </c>
      <c r="H1662" t="str">
        <f ca="1">PROPER(Sites_per_tag[[#This Row],[Adm2Name]])</f>
        <v>Ampanihy Ouest</v>
      </c>
      <c r="I1662" t="s">
        <v>5660</v>
      </c>
      <c r="K1662" t="s">
        <v>5607</v>
      </c>
      <c r="L1662" t="s">
        <v>5760</v>
      </c>
      <c r="N1662" t="s">
        <v>118</v>
      </c>
      <c r="O1662" t="s">
        <v>4480</v>
      </c>
      <c r="Q1662" t="s">
        <v>118</v>
      </c>
      <c r="R1662" t="s">
        <v>119</v>
      </c>
      <c r="T1662" t="s">
        <v>5</v>
      </c>
      <c r="U1662" s="3" t="str">
        <f>+VLOOKUP(Sites_per_tag[[#This Row],[Activity_tag]],Parameter!$A$24:$B$32,2,0)</f>
        <v>MAM</v>
      </c>
      <c r="W1662">
        <v>44.761012999999998</v>
      </c>
      <c r="X1662">
        <v>-24.866166</v>
      </c>
    </row>
    <row r="1663" spans="1:24" x14ac:dyDescent="0.35">
      <c r="A1663" s="3" t="str">
        <f t="shared" si="25"/>
        <v>MG51506050022001MAM</v>
      </c>
      <c r="B1663" t="s">
        <v>6210</v>
      </c>
      <c r="C1663">
        <f>+VLOOKUP(Sites_per_tag[[#This Row],[Field_office]],Parameter!$A$3:$B$11,2,0)</f>
        <v>10</v>
      </c>
      <c r="E1663" t="s">
        <v>5650</v>
      </c>
      <c r="F1663" t="s">
        <v>5654</v>
      </c>
      <c r="H1663" t="str">
        <f ca="1">PROPER(Sites_per_tag[[#This Row],[Adm2Name]])</f>
        <v>Betioky Atsimo</v>
      </c>
      <c r="I1663" t="s">
        <v>5688</v>
      </c>
      <c r="K1663" t="s">
        <v>3126</v>
      </c>
      <c r="L1663" t="s">
        <v>6057</v>
      </c>
      <c r="N1663" t="s">
        <v>1518</v>
      </c>
      <c r="O1663" t="s">
        <v>4039</v>
      </c>
      <c r="Q1663" t="s">
        <v>1520</v>
      </c>
      <c r="R1663" t="s">
        <v>1521</v>
      </c>
      <c r="T1663" t="s">
        <v>5</v>
      </c>
      <c r="U1663" s="3" t="str">
        <f>+VLOOKUP(Sites_per_tag[[#This Row],[Activity_tag]],Parameter!$A$24:$B$32,2,0)</f>
        <v>MAM</v>
      </c>
      <c r="W1663">
        <v>44.556220000000003</v>
      </c>
      <c r="X1663">
        <v>-23.9757</v>
      </c>
    </row>
    <row r="1664" spans="1:24" x14ac:dyDescent="0.35">
      <c r="A1664" s="3" t="str">
        <f t="shared" si="25"/>
        <v>MG51506050022002STUNT</v>
      </c>
      <c r="B1664" t="s">
        <v>6210</v>
      </c>
      <c r="C1664">
        <f>+VLOOKUP(Sites_per_tag[[#This Row],[Field_office]],Parameter!$A$3:$B$11,2,0)</f>
        <v>10</v>
      </c>
      <c r="E1664" t="s">
        <v>5650</v>
      </c>
      <c r="F1664" t="s">
        <v>5654</v>
      </c>
      <c r="H1664" t="str">
        <f ca="1">PROPER(Sites_per_tag[[#This Row],[Adm2Name]])</f>
        <v>Betioky Atsimo</v>
      </c>
      <c r="I1664" t="s">
        <v>5688</v>
      </c>
      <c r="K1664" t="s">
        <v>3126</v>
      </c>
      <c r="L1664" t="s">
        <v>6057</v>
      </c>
      <c r="N1664" t="s">
        <v>1518</v>
      </c>
      <c r="O1664" t="s">
        <v>4039</v>
      </c>
      <c r="Q1664" t="s">
        <v>1518</v>
      </c>
      <c r="R1664" t="s">
        <v>1519</v>
      </c>
      <c r="T1664" t="s">
        <v>50</v>
      </c>
      <c r="U1664" s="3" t="str">
        <f>+VLOOKUP(Sites_per_tag[[#This Row],[Activity_tag]],Parameter!$A$24:$B$32,2,0)</f>
        <v>STUNT</v>
      </c>
      <c r="V1664" t="s">
        <v>6451</v>
      </c>
      <c r="W1664">
        <v>44.556220000000003</v>
      </c>
      <c r="X1664">
        <v>-23.9757</v>
      </c>
    </row>
    <row r="1665" spans="1:24" x14ac:dyDescent="0.35">
      <c r="A1665" s="3" t="str">
        <f t="shared" si="25"/>
        <v>MG51506050024001MAM</v>
      </c>
      <c r="B1665" t="s">
        <v>6210</v>
      </c>
      <c r="C1665">
        <f>+VLOOKUP(Sites_per_tag[[#This Row],[Field_office]],Parameter!$A$3:$B$11,2,0)</f>
        <v>10</v>
      </c>
      <c r="E1665" t="s">
        <v>5650</v>
      </c>
      <c r="F1665" t="s">
        <v>5654</v>
      </c>
      <c r="H1665" t="str">
        <f ca="1">PROPER(Sites_per_tag[[#This Row],[Adm2Name]])</f>
        <v>Betioky Atsimo</v>
      </c>
      <c r="I1665" t="s">
        <v>5688</v>
      </c>
      <c r="K1665" t="s">
        <v>3126</v>
      </c>
      <c r="L1665" t="s">
        <v>6057</v>
      </c>
      <c r="N1665" t="s">
        <v>3010</v>
      </c>
      <c r="O1665" t="s">
        <v>5356</v>
      </c>
      <c r="Q1665" t="s">
        <v>3010</v>
      </c>
      <c r="R1665" t="s">
        <v>3011</v>
      </c>
      <c r="T1665" t="s">
        <v>5</v>
      </c>
      <c r="U1665" s="3" t="str">
        <f>+VLOOKUP(Sites_per_tag[[#This Row],[Activity_tag]],Parameter!$A$24:$B$32,2,0)</f>
        <v>MAM</v>
      </c>
      <c r="W1665">
        <v>44.457279999999997</v>
      </c>
      <c r="X1665">
        <v>-23.938829999999999</v>
      </c>
    </row>
    <row r="1666" spans="1:24" x14ac:dyDescent="0.35">
      <c r="A1666" s="3" t="str">
        <f t="shared" si="25"/>
        <v>MG51506090001001MAM</v>
      </c>
      <c r="B1666" t="s">
        <v>6210</v>
      </c>
      <c r="C1666">
        <f>+VLOOKUP(Sites_per_tag[[#This Row],[Field_office]],Parameter!$A$3:$B$11,2,0)</f>
        <v>10</v>
      </c>
      <c r="E1666" t="s">
        <v>5650</v>
      </c>
      <c r="F1666" t="s">
        <v>5654</v>
      </c>
      <c r="H1666" t="str">
        <f ca="1">PROPER(Sites_per_tag[[#This Row],[Adm2Name]])</f>
        <v>Betioky Atsimo</v>
      </c>
      <c r="I1666" t="s">
        <v>5688</v>
      </c>
      <c r="K1666" t="s">
        <v>3549</v>
      </c>
      <c r="L1666" t="s">
        <v>6117</v>
      </c>
      <c r="N1666" t="s">
        <v>3549</v>
      </c>
      <c r="O1666" t="s">
        <v>3550</v>
      </c>
      <c r="Q1666" t="s">
        <v>3549</v>
      </c>
      <c r="R1666" t="s">
        <v>3551</v>
      </c>
      <c r="T1666" t="s">
        <v>5</v>
      </c>
      <c r="U1666" s="3" t="str">
        <f>+VLOOKUP(Sites_per_tag[[#This Row],[Activity_tag]],Parameter!$A$24:$B$32,2,0)</f>
        <v>MAM</v>
      </c>
      <c r="W1666">
        <v>44.30097</v>
      </c>
      <c r="X1666">
        <v>-23.544820000000001</v>
      </c>
    </row>
    <row r="1667" spans="1:24" x14ac:dyDescent="0.35">
      <c r="A1667" s="3" t="str">
        <f t="shared" ref="A1667:A1730" si="26">+R1667&amp;U1667</f>
        <v>MG51506090001PREV</v>
      </c>
      <c r="B1667" t="s">
        <v>6210</v>
      </c>
      <c r="C1667">
        <f>+VLOOKUP(Sites_per_tag[[#This Row],[Field_office]],Parameter!$A$3:$B$11,2,0)</f>
        <v>10</v>
      </c>
      <c r="E1667" t="s">
        <v>5650</v>
      </c>
      <c r="F1667" t="s">
        <v>5654</v>
      </c>
      <c r="H1667" t="str">
        <f ca="1">PROPER(Sites_per_tag[[#This Row],[Adm2Name]])</f>
        <v>Betioky Atsimo</v>
      </c>
      <c r="I1667" t="s">
        <v>5688</v>
      </c>
      <c r="K1667" t="s">
        <v>3549</v>
      </c>
      <c r="L1667" t="s">
        <v>6117</v>
      </c>
      <c r="N1667" t="s">
        <v>3549</v>
      </c>
      <c r="Q1667" t="s">
        <v>3549</v>
      </c>
      <c r="R1667" t="s">
        <v>3550</v>
      </c>
      <c r="T1667" t="s">
        <v>32</v>
      </c>
      <c r="U1667" s="3" t="str">
        <f>+VLOOKUP(Sites_per_tag[[#This Row],[Activity_tag]],Parameter!$A$24:$B$32,2,0)</f>
        <v>PREV</v>
      </c>
      <c r="W1667">
        <v>44.30097</v>
      </c>
      <c r="X1667">
        <v>-23.544820000000001</v>
      </c>
    </row>
    <row r="1668" spans="1:24" x14ac:dyDescent="0.35">
      <c r="A1668" s="3" t="str">
        <f t="shared" si="26"/>
        <v>MG51506090004PREV</v>
      </c>
      <c r="B1668" t="s">
        <v>6210</v>
      </c>
      <c r="C1668">
        <f>+VLOOKUP(Sites_per_tag[[#This Row],[Field_office]],Parameter!$A$3:$B$11,2,0)</f>
        <v>10</v>
      </c>
      <c r="E1668" t="s">
        <v>5650</v>
      </c>
      <c r="F1668" t="s">
        <v>5654</v>
      </c>
      <c r="H1668" t="str">
        <f ca="1">PROPER(Sites_per_tag[[#This Row],[Adm2Name]])</f>
        <v>Betioky Atsimo</v>
      </c>
      <c r="I1668" t="s">
        <v>5688</v>
      </c>
      <c r="K1668" t="s">
        <v>3549</v>
      </c>
      <c r="L1668" t="s">
        <v>6117</v>
      </c>
      <c r="N1668" t="s">
        <v>3563</v>
      </c>
      <c r="Q1668" t="s">
        <v>3563</v>
      </c>
      <c r="R1668" t="s">
        <v>3564</v>
      </c>
      <c r="T1668" t="s">
        <v>32</v>
      </c>
      <c r="U1668" s="3" t="str">
        <f>+VLOOKUP(Sites_per_tag[[#This Row],[Activity_tag]],Parameter!$A$24:$B$32,2,0)</f>
        <v>PREV</v>
      </c>
      <c r="W1668">
        <v>44.294150000000002</v>
      </c>
      <c r="X1668">
        <v>-23.57422</v>
      </c>
    </row>
    <row r="1669" spans="1:24" x14ac:dyDescent="0.35">
      <c r="A1669" s="3" t="str">
        <f t="shared" si="26"/>
        <v>MG51506090007001MAM</v>
      </c>
      <c r="B1669" t="s">
        <v>6210</v>
      </c>
      <c r="C1669">
        <f>+VLOOKUP(Sites_per_tag[[#This Row],[Field_office]],Parameter!$A$3:$B$11,2,0)</f>
        <v>10</v>
      </c>
      <c r="E1669" t="s">
        <v>5650</v>
      </c>
      <c r="F1669" t="s">
        <v>5654</v>
      </c>
      <c r="H1669" t="str">
        <f ca="1">PROPER(Sites_per_tag[[#This Row],[Adm2Name]])</f>
        <v>Betioky Atsimo</v>
      </c>
      <c r="I1669" t="s">
        <v>5688</v>
      </c>
      <c r="K1669" t="s">
        <v>3549</v>
      </c>
      <c r="L1669" t="s">
        <v>6117</v>
      </c>
      <c r="N1669" t="s">
        <v>2239</v>
      </c>
      <c r="O1669" t="s">
        <v>5463</v>
      </c>
      <c r="Q1669" t="s">
        <v>2239</v>
      </c>
      <c r="R1669" t="s">
        <v>2240</v>
      </c>
      <c r="T1669" t="s">
        <v>5</v>
      </c>
      <c r="U1669" s="3" t="str">
        <f>+VLOOKUP(Sites_per_tag[[#This Row],[Activity_tag]],Parameter!$A$24:$B$32,2,0)</f>
        <v>MAM</v>
      </c>
      <c r="W1669">
        <v>44.267980000000001</v>
      </c>
      <c r="X1669">
        <v>-23.612400000000001</v>
      </c>
    </row>
    <row r="1670" spans="1:24" x14ac:dyDescent="0.35">
      <c r="A1670" s="3" t="str">
        <f t="shared" si="26"/>
        <v>MG51506090008001MAM</v>
      </c>
      <c r="B1670" t="s">
        <v>6210</v>
      </c>
      <c r="C1670">
        <f>+VLOOKUP(Sites_per_tag[[#This Row],[Field_office]],Parameter!$A$3:$B$11,2,0)</f>
        <v>10</v>
      </c>
      <c r="E1670" t="s">
        <v>5650</v>
      </c>
      <c r="F1670" t="s">
        <v>5654</v>
      </c>
      <c r="H1670" t="str">
        <f ca="1">PROPER(Sites_per_tag[[#This Row],[Adm2Name]])</f>
        <v>Betioky Atsimo</v>
      </c>
      <c r="I1670" t="s">
        <v>5688</v>
      </c>
      <c r="K1670" t="s">
        <v>1184</v>
      </c>
      <c r="L1670" t="s">
        <v>5834</v>
      </c>
      <c r="N1670" t="s">
        <v>1168</v>
      </c>
      <c r="O1670" t="s">
        <v>4635</v>
      </c>
      <c r="Q1670" t="s">
        <v>1168</v>
      </c>
      <c r="R1670" t="s">
        <v>1169</v>
      </c>
      <c r="T1670" t="s">
        <v>5</v>
      </c>
      <c r="U1670" s="3" t="str">
        <f>+VLOOKUP(Sites_per_tag[[#This Row],[Activity_tag]],Parameter!$A$24:$B$32,2,0)</f>
        <v>MAM</v>
      </c>
      <c r="W1670">
        <v>44.208820000000003</v>
      </c>
      <c r="X1670">
        <v>-23.54522</v>
      </c>
    </row>
    <row r="1671" spans="1:24" x14ac:dyDescent="0.35">
      <c r="A1671" s="3" t="str">
        <f t="shared" si="26"/>
        <v>MG51506090010PREV</v>
      </c>
      <c r="B1671" t="s">
        <v>6210</v>
      </c>
      <c r="C1671">
        <f>+VLOOKUP(Sites_per_tag[[#This Row],[Field_office]],Parameter!$A$3:$B$11,2,0)</f>
        <v>10</v>
      </c>
      <c r="E1671" t="s">
        <v>5650</v>
      </c>
      <c r="F1671" t="s">
        <v>5654</v>
      </c>
      <c r="H1671" t="str">
        <f ca="1">PROPER(Sites_per_tag[[#This Row],[Adm2Name]])</f>
        <v>Betioky Atsimo</v>
      </c>
      <c r="I1671" t="s">
        <v>5688</v>
      </c>
      <c r="K1671" t="s">
        <v>3549</v>
      </c>
      <c r="L1671" t="s">
        <v>6117</v>
      </c>
      <c r="N1671" t="s">
        <v>779</v>
      </c>
      <c r="Q1671" t="s">
        <v>779</v>
      </c>
      <c r="R1671" t="s">
        <v>780</v>
      </c>
      <c r="T1671" t="s">
        <v>32</v>
      </c>
      <c r="U1671" s="3" t="str">
        <f>+VLOOKUP(Sites_per_tag[[#This Row],[Activity_tag]],Parameter!$A$24:$B$32,2,0)</f>
        <v>PREV</v>
      </c>
      <c r="W1671">
        <v>44.348230000000001</v>
      </c>
      <c r="X1671">
        <v>-23.66197</v>
      </c>
    </row>
    <row r="1672" spans="1:24" x14ac:dyDescent="0.35">
      <c r="A1672" s="3" t="str">
        <f t="shared" si="26"/>
        <v>MG51506090011001MAM</v>
      </c>
      <c r="B1672" t="s">
        <v>6211</v>
      </c>
      <c r="C1672">
        <f>+VLOOKUP(Sites_per_tag[[#This Row],[Field_office]],Parameter!$A$3:$B$11,2,0)</f>
        <v>6</v>
      </c>
      <c r="E1672" t="s">
        <v>1448</v>
      </c>
      <c r="F1672" t="s">
        <v>5651</v>
      </c>
      <c r="H1672" t="str">
        <f ca="1">PROPER(Sites_per_tag[[#This Row],[Adm2Name]])</f>
        <v>Betroka</v>
      </c>
      <c r="I1672" t="s">
        <v>5691</v>
      </c>
      <c r="K1672" t="s">
        <v>2542</v>
      </c>
      <c r="L1672" t="s">
        <v>5968</v>
      </c>
      <c r="N1672" t="s">
        <v>1312</v>
      </c>
      <c r="O1672" t="s">
        <v>5030</v>
      </c>
      <c r="Q1672" t="s">
        <v>1314</v>
      </c>
      <c r="R1672" t="s">
        <v>1315</v>
      </c>
      <c r="T1672" t="s">
        <v>5</v>
      </c>
      <c r="U1672" s="3" t="str">
        <f>+VLOOKUP(Sites_per_tag[[#This Row],[Activity_tag]],Parameter!$A$24:$B$32,2,0)</f>
        <v>MAM</v>
      </c>
      <c r="W1672">
        <v>45.452393999999998</v>
      </c>
      <c r="X1672">
        <v>-23.367182</v>
      </c>
    </row>
    <row r="1673" spans="1:24" x14ac:dyDescent="0.35">
      <c r="A1673" s="3" t="str">
        <f t="shared" si="26"/>
        <v>MG51506090012001MAM</v>
      </c>
      <c r="B1673" t="s">
        <v>6210</v>
      </c>
      <c r="C1673">
        <f>+VLOOKUP(Sites_per_tag[[#This Row],[Field_office]],Parameter!$A$3:$B$11,2,0)</f>
        <v>10</v>
      </c>
      <c r="E1673" t="s">
        <v>5650</v>
      </c>
      <c r="F1673" t="s">
        <v>5654</v>
      </c>
      <c r="H1673" t="str">
        <f ca="1">PROPER(Sites_per_tag[[#This Row],[Adm2Name]])</f>
        <v>Betioky Atsimo</v>
      </c>
      <c r="I1673" t="s">
        <v>5688</v>
      </c>
      <c r="K1673" t="s">
        <v>3549</v>
      </c>
      <c r="L1673" t="s">
        <v>6117</v>
      </c>
      <c r="N1673" t="s">
        <v>2676</v>
      </c>
      <c r="O1673" t="s">
        <v>2677</v>
      </c>
      <c r="Q1673" t="s">
        <v>2676</v>
      </c>
      <c r="R1673" t="s">
        <v>2678</v>
      </c>
      <c r="T1673" t="s">
        <v>5</v>
      </c>
      <c r="U1673" s="3" t="str">
        <f>+VLOOKUP(Sites_per_tag[[#This Row],[Activity_tag]],Parameter!$A$24:$B$32,2,0)</f>
        <v>MAM</v>
      </c>
      <c r="W1673">
        <v>44.2896</v>
      </c>
      <c r="X1673">
        <v>-23.666029999999999</v>
      </c>
    </row>
    <row r="1674" spans="1:24" x14ac:dyDescent="0.35">
      <c r="A1674" s="3" t="str">
        <f t="shared" si="26"/>
        <v>MG51506090012PREV</v>
      </c>
      <c r="B1674" t="s">
        <v>6210</v>
      </c>
      <c r="C1674">
        <f>+VLOOKUP(Sites_per_tag[[#This Row],[Field_office]],Parameter!$A$3:$B$11,2,0)</f>
        <v>10</v>
      </c>
      <c r="E1674" t="s">
        <v>5650</v>
      </c>
      <c r="F1674" t="s">
        <v>5654</v>
      </c>
      <c r="H1674" t="str">
        <f ca="1">PROPER(Sites_per_tag[[#This Row],[Adm2Name]])</f>
        <v>Betioky Atsimo</v>
      </c>
      <c r="I1674" t="s">
        <v>5688</v>
      </c>
      <c r="K1674" t="s">
        <v>3549</v>
      </c>
      <c r="L1674" t="s">
        <v>6117</v>
      </c>
      <c r="N1674" t="s">
        <v>2676</v>
      </c>
      <c r="Q1674" t="s">
        <v>2676</v>
      </c>
      <c r="R1674" t="s">
        <v>2677</v>
      </c>
      <c r="T1674" t="s">
        <v>32</v>
      </c>
      <c r="U1674" s="3" t="str">
        <f>+VLOOKUP(Sites_per_tag[[#This Row],[Activity_tag]],Parameter!$A$24:$B$32,2,0)</f>
        <v>PREV</v>
      </c>
      <c r="W1674">
        <v>44.290500000000002</v>
      </c>
      <c r="X1674">
        <v>-23.669329999999999</v>
      </c>
    </row>
    <row r="1675" spans="1:24" x14ac:dyDescent="0.35">
      <c r="A1675" s="3" t="str">
        <f t="shared" si="26"/>
        <v>MG51506111001001MAM</v>
      </c>
      <c r="B1675" t="s">
        <v>6210</v>
      </c>
      <c r="C1675">
        <f>+VLOOKUP(Sites_per_tag[[#This Row],[Field_office]],Parameter!$A$3:$B$11,2,0)</f>
        <v>10</v>
      </c>
      <c r="E1675" t="s">
        <v>5650</v>
      </c>
      <c r="F1675" t="s">
        <v>5654</v>
      </c>
      <c r="H1675" t="str">
        <f ca="1">PROPER(Sites_per_tag[[#This Row],[Adm2Name]])</f>
        <v>Betioky Atsimo</v>
      </c>
      <c r="I1675" t="s">
        <v>5688</v>
      </c>
      <c r="K1675" t="s">
        <v>3691</v>
      </c>
      <c r="L1675" t="s">
        <v>6136</v>
      </c>
      <c r="N1675" t="s">
        <v>3691</v>
      </c>
      <c r="O1675" t="s">
        <v>5481</v>
      </c>
      <c r="Q1675" t="s">
        <v>3691</v>
      </c>
      <c r="R1675" t="s">
        <v>3692</v>
      </c>
      <c r="T1675" t="s">
        <v>5</v>
      </c>
      <c r="U1675" s="3" t="str">
        <f>+VLOOKUP(Sites_per_tag[[#This Row],[Activity_tag]],Parameter!$A$24:$B$32,2,0)</f>
        <v>MAM</v>
      </c>
      <c r="W1675">
        <v>44.318950000000001</v>
      </c>
      <c r="X1675">
        <v>-23.531230000000001</v>
      </c>
    </row>
    <row r="1676" spans="1:24" x14ac:dyDescent="0.35">
      <c r="A1676" s="3" t="str">
        <f t="shared" si="26"/>
        <v>MG51506111015001MAM</v>
      </c>
      <c r="B1676" t="s">
        <v>6210</v>
      </c>
      <c r="C1676">
        <f>+VLOOKUP(Sites_per_tag[[#This Row],[Field_office]],Parameter!$A$3:$B$11,2,0)</f>
        <v>10</v>
      </c>
      <c r="E1676" t="s">
        <v>5650</v>
      </c>
      <c r="F1676" t="s">
        <v>5654</v>
      </c>
      <c r="H1676" t="str">
        <f ca="1">PROPER(Sites_per_tag[[#This Row],[Adm2Name]])</f>
        <v>Betioky Atsimo</v>
      </c>
      <c r="I1676" t="s">
        <v>5688</v>
      </c>
      <c r="K1676" t="s">
        <v>3691</v>
      </c>
      <c r="L1676" t="s">
        <v>6136</v>
      </c>
      <c r="N1676" t="s">
        <v>3882</v>
      </c>
      <c r="O1676" t="s">
        <v>5482</v>
      </c>
      <c r="Q1676" t="s">
        <v>3882</v>
      </c>
      <c r="R1676" t="s">
        <v>3883</v>
      </c>
      <c r="T1676" t="s">
        <v>5</v>
      </c>
      <c r="U1676" s="3" t="str">
        <f>+VLOOKUP(Sites_per_tag[[#This Row],[Activity_tag]],Parameter!$A$24:$B$32,2,0)</f>
        <v>MAM</v>
      </c>
      <c r="W1676">
        <v>44.374319999999997</v>
      </c>
      <c r="X1676">
        <v>-23.519169999999999</v>
      </c>
    </row>
    <row r="1677" spans="1:24" x14ac:dyDescent="0.35">
      <c r="A1677" s="3" t="str">
        <f t="shared" si="26"/>
        <v>MG51506111017001MAM</v>
      </c>
      <c r="B1677" t="s">
        <v>6210</v>
      </c>
      <c r="C1677">
        <f>+VLOOKUP(Sites_per_tag[[#This Row],[Field_office]],Parameter!$A$3:$B$11,2,0)</f>
        <v>10</v>
      </c>
      <c r="E1677" t="s">
        <v>5650</v>
      </c>
      <c r="F1677" t="s">
        <v>5654</v>
      </c>
      <c r="H1677" t="str">
        <f ca="1">PROPER(Sites_per_tag[[#This Row],[Adm2Name]])</f>
        <v>Betioky Atsimo</v>
      </c>
      <c r="I1677" t="s">
        <v>5688</v>
      </c>
      <c r="K1677" t="s">
        <v>3691</v>
      </c>
      <c r="L1677" t="s">
        <v>6136</v>
      </c>
      <c r="N1677" t="s">
        <v>2581</v>
      </c>
      <c r="O1677" t="s">
        <v>5483</v>
      </c>
      <c r="Q1677" t="s">
        <v>2581</v>
      </c>
      <c r="R1677" t="s">
        <v>2582</v>
      </c>
      <c r="T1677" t="s">
        <v>5</v>
      </c>
      <c r="U1677" s="3" t="str">
        <f>+VLOOKUP(Sites_per_tag[[#This Row],[Activity_tag]],Parameter!$A$24:$B$32,2,0)</f>
        <v>MAM</v>
      </c>
      <c r="W1677">
        <v>44.329169999999998</v>
      </c>
      <c r="X1677">
        <v>-23.513380000000002</v>
      </c>
    </row>
    <row r="1678" spans="1:24" x14ac:dyDescent="0.35">
      <c r="A1678" s="3" t="str">
        <f t="shared" si="26"/>
        <v>MG51506111018001MAM</v>
      </c>
      <c r="B1678" t="s">
        <v>6210</v>
      </c>
      <c r="C1678">
        <f>+VLOOKUP(Sites_per_tag[[#This Row],[Field_office]],Parameter!$A$3:$B$11,2,0)</f>
        <v>10</v>
      </c>
      <c r="E1678" t="s">
        <v>5650</v>
      </c>
      <c r="F1678" t="s">
        <v>5654</v>
      </c>
      <c r="H1678" t="str">
        <f ca="1">PROPER(Sites_per_tag[[#This Row],[Adm2Name]])</f>
        <v>Betioky Atsimo</v>
      </c>
      <c r="I1678" t="s">
        <v>5688</v>
      </c>
      <c r="K1678" t="s">
        <v>3691</v>
      </c>
      <c r="L1678" t="s">
        <v>6136</v>
      </c>
      <c r="N1678" t="s">
        <v>796</v>
      </c>
      <c r="O1678" t="s">
        <v>5484</v>
      </c>
      <c r="Q1678" t="s">
        <v>796</v>
      </c>
      <c r="R1678" t="s">
        <v>797</v>
      </c>
      <c r="T1678" t="s">
        <v>5</v>
      </c>
      <c r="U1678" s="3" t="str">
        <f>+VLOOKUP(Sites_per_tag[[#This Row],[Activity_tag]],Parameter!$A$24:$B$32,2,0)</f>
        <v>MAM</v>
      </c>
      <c r="W1678">
        <v>44.320369999999997</v>
      </c>
      <c r="X1678">
        <v>-23.52215</v>
      </c>
    </row>
    <row r="1679" spans="1:24" x14ac:dyDescent="0.35">
      <c r="A1679" s="3" t="str">
        <f t="shared" si="26"/>
        <v>MG51506130001001STUNT</v>
      </c>
      <c r="B1679" t="s">
        <v>6210</v>
      </c>
      <c r="C1679">
        <f>+VLOOKUP(Sites_per_tag[[#This Row],[Field_office]],Parameter!$A$3:$B$11,2,0)</f>
        <v>10</v>
      </c>
      <c r="E1679" t="s">
        <v>5650</v>
      </c>
      <c r="F1679" t="s">
        <v>5654</v>
      </c>
      <c r="H1679" t="str">
        <f ca="1">PROPER(Sites_per_tag[[#This Row],[Adm2Name]])</f>
        <v>Betioky Atsimo</v>
      </c>
      <c r="I1679" t="s">
        <v>5688</v>
      </c>
      <c r="K1679" t="s">
        <v>5772</v>
      </c>
      <c r="L1679" t="s">
        <v>5835</v>
      </c>
      <c r="N1679" t="s">
        <v>1698</v>
      </c>
      <c r="O1679" t="s">
        <v>1699</v>
      </c>
      <c r="Q1679" t="s">
        <v>1698</v>
      </c>
      <c r="R1679" t="s">
        <v>1700</v>
      </c>
      <c r="T1679" t="s">
        <v>50</v>
      </c>
      <c r="U1679" s="3" t="str">
        <f>+VLOOKUP(Sites_per_tag[[#This Row],[Activity_tag]],Parameter!$A$24:$B$32,2,0)</f>
        <v>STUNT</v>
      </c>
      <c r="V1679" t="s">
        <v>6452</v>
      </c>
      <c r="W1679">
        <v>44.697670000000002</v>
      </c>
      <c r="X1679">
        <v>-23.654</v>
      </c>
    </row>
    <row r="1680" spans="1:24" x14ac:dyDescent="0.35">
      <c r="A1680" s="3" t="str">
        <f t="shared" si="26"/>
        <v>MG51506130001002MAM</v>
      </c>
      <c r="B1680" t="s">
        <v>6210</v>
      </c>
      <c r="C1680">
        <f>+VLOOKUP(Sites_per_tag[[#This Row],[Field_office]],Parameter!$A$3:$B$11,2,0)</f>
        <v>10</v>
      </c>
      <c r="E1680" t="s">
        <v>5650</v>
      </c>
      <c r="F1680" t="s">
        <v>5654</v>
      </c>
      <c r="H1680" t="str">
        <f ca="1">PROPER(Sites_per_tag[[#This Row],[Adm2Name]])</f>
        <v>Betioky Atsimo</v>
      </c>
      <c r="I1680" t="s">
        <v>5688</v>
      </c>
      <c r="K1680" t="s">
        <v>5772</v>
      </c>
      <c r="L1680" t="s">
        <v>5835</v>
      </c>
      <c r="N1680" t="s">
        <v>1698</v>
      </c>
      <c r="O1680" t="s">
        <v>1699</v>
      </c>
      <c r="Q1680" t="s">
        <v>1706</v>
      </c>
      <c r="R1680" t="s">
        <v>1707</v>
      </c>
      <c r="T1680" t="s">
        <v>5</v>
      </c>
      <c r="U1680" s="3" t="str">
        <f>+VLOOKUP(Sites_per_tag[[#This Row],[Activity_tag]],Parameter!$A$24:$B$32,2,0)</f>
        <v>MAM</v>
      </c>
      <c r="W1680">
        <v>44.697670000000002</v>
      </c>
      <c r="X1680">
        <v>-23.654</v>
      </c>
    </row>
    <row r="1681" spans="1:24" x14ac:dyDescent="0.35">
      <c r="A1681" s="3" t="str">
        <f t="shared" si="26"/>
        <v>MG51506130001PREV</v>
      </c>
      <c r="B1681" t="s">
        <v>6210</v>
      </c>
      <c r="C1681">
        <f>+VLOOKUP(Sites_per_tag[[#This Row],[Field_office]],Parameter!$A$3:$B$11,2,0)</f>
        <v>10</v>
      </c>
      <c r="E1681" t="s">
        <v>5650</v>
      </c>
      <c r="F1681" t="s">
        <v>5654</v>
      </c>
      <c r="H1681" t="str">
        <f ca="1">PROPER(Sites_per_tag[[#This Row],[Adm2Name]])</f>
        <v>Betioky Atsimo</v>
      </c>
      <c r="I1681" t="s">
        <v>5688</v>
      </c>
      <c r="K1681" t="s">
        <v>5772</v>
      </c>
      <c r="L1681" t="s">
        <v>5835</v>
      </c>
      <c r="N1681" t="s">
        <v>1698</v>
      </c>
      <c r="Q1681" t="s">
        <v>1698</v>
      </c>
      <c r="R1681" t="s">
        <v>1699</v>
      </c>
      <c r="T1681" t="s">
        <v>32</v>
      </c>
      <c r="U1681" s="3" t="str">
        <f>+VLOOKUP(Sites_per_tag[[#This Row],[Activity_tag]],Parameter!$A$24:$B$32,2,0)</f>
        <v>PREV</v>
      </c>
      <c r="W1681">
        <v>44.689250000000001</v>
      </c>
      <c r="X1681">
        <v>-23.59018</v>
      </c>
    </row>
    <row r="1682" spans="1:24" x14ac:dyDescent="0.35">
      <c r="A1682" s="3" t="str">
        <f t="shared" si="26"/>
        <v>MG51506130002001MAM</v>
      </c>
      <c r="B1682" t="s">
        <v>6210</v>
      </c>
      <c r="C1682">
        <f>+VLOOKUP(Sites_per_tag[[#This Row],[Field_office]],Parameter!$A$3:$B$11,2,0)</f>
        <v>10</v>
      </c>
      <c r="E1682" t="s">
        <v>5650</v>
      </c>
      <c r="F1682" t="s">
        <v>5654</v>
      </c>
      <c r="H1682" t="str">
        <f ca="1">PROPER(Sites_per_tag[[#This Row],[Adm2Name]])</f>
        <v>Betioky Atsimo</v>
      </c>
      <c r="I1682" t="s">
        <v>5688</v>
      </c>
      <c r="K1682" t="s">
        <v>5772</v>
      </c>
      <c r="L1682" t="s">
        <v>5835</v>
      </c>
      <c r="N1682" t="s">
        <v>2780</v>
      </c>
      <c r="O1682" t="s">
        <v>4637</v>
      </c>
      <c r="Q1682" t="s">
        <v>2780</v>
      </c>
      <c r="R1682" t="s">
        <v>2781</v>
      </c>
      <c r="T1682" t="s">
        <v>5</v>
      </c>
      <c r="U1682" s="3" t="str">
        <f>+VLOOKUP(Sites_per_tag[[#This Row],[Activity_tag]],Parameter!$A$24:$B$32,2,0)</f>
        <v>MAM</v>
      </c>
      <c r="W1682">
        <v>44.719270000000002</v>
      </c>
      <c r="X1682">
        <v>-23.619330000000001</v>
      </c>
    </row>
    <row r="1683" spans="1:24" x14ac:dyDescent="0.35">
      <c r="A1683" s="3" t="str">
        <f t="shared" si="26"/>
        <v>MG51506130004001MAM</v>
      </c>
      <c r="B1683" t="s">
        <v>6210</v>
      </c>
      <c r="C1683">
        <f>+VLOOKUP(Sites_per_tag[[#This Row],[Field_office]],Parameter!$A$3:$B$11,2,0)</f>
        <v>10</v>
      </c>
      <c r="E1683" t="s">
        <v>5650</v>
      </c>
      <c r="F1683" t="s">
        <v>5654</v>
      </c>
      <c r="H1683" t="str">
        <f ca="1">PROPER(Sites_per_tag[[#This Row],[Adm2Name]])</f>
        <v>Betioky Atsimo</v>
      </c>
      <c r="I1683" t="s">
        <v>5688</v>
      </c>
      <c r="K1683" t="s">
        <v>5772</v>
      </c>
      <c r="L1683" t="s">
        <v>5835</v>
      </c>
      <c r="N1683" t="s">
        <v>3181</v>
      </c>
      <c r="O1683" t="s">
        <v>4638</v>
      </c>
      <c r="Q1683" t="s">
        <v>3181</v>
      </c>
      <c r="R1683" t="s">
        <v>3182</v>
      </c>
      <c r="T1683" t="s">
        <v>5</v>
      </c>
      <c r="U1683" s="3" t="str">
        <f>+VLOOKUP(Sites_per_tag[[#This Row],[Activity_tag]],Parameter!$A$24:$B$32,2,0)</f>
        <v>MAM</v>
      </c>
      <c r="W1683">
        <v>44.580219999999997</v>
      </c>
      <c r="X1683">
        <v>-23.55423</v>
      </c>
    </row>
    <row r="1684" spans="1:24" x14ac:dyDescent="0.35">
      <c r="A1684" s="3" t="str">
        <f t="shared" si="26"/>
        <v>MG51506130005001STUNT</v>
      </c>
      <c r="B1684" t="s">
        <v>6210</v>
      </c>
      <c r="C1684">
        <f>+VLOOKUP(Sites_per_tag[[#This Row],[Field_office]],Parameter!$A$3:$B$11,2,0)</f>
        <v>10</v>
      </c>
      <c r="E1684" t="s">
        <v>5650</v>
      </c>
      <c r="F1684" t="s">
        <v>5654</v>
      </c>
      <c r="H1684" t="str">
        <f ca="1">PROPER(Sites_per_tag[[#This Row],[Adm2Name]])</f>
        <v>Betioky Atsimo</v>
      </c>
      <c r="I1684" t="s">
        <v>5688</v>
      </c>
      <c r="K1684" t="s">
        <v>5772</v>
      </c>
      <c r="L1684" t="s">
        <v>5835</v>
      </c>
      <c r="N1684" t="s">
        <v>2854</v>
      </c>
      <c r="O1684" t="s">
        <v>4040</v>
      </c>
      <c r="Q1684" t="s">
        <v>2854</v>
      </c>
      <c r="R1684" t="s">
        <v>2855</v>
      </c>
      <c r="T1684" t="s">
        <v>50</v>
      </c>
      <c r="U1684" s="3" t="str">
        <f>+VLOOKUP(Sites_per_tag[[#This Row],[Activity_tag]],Parameter!$A$24:$B$32,2,0)</f>
        <v>STUNT</v>
      </c>
      <c r="V1684" t="s">
        <v>6453</v>
      </c>
      <c r="W1684">
        <v>44.612119999999997</v>
      </c>
      <c r="X1684">
        <v>-23.614699999999999</v>
      </c>
    </row>
    <row r="1685" spans="1:24" x14ac:dyDescent="0.35">
      <c r="A1685" s="3" t="str">
        <f t="shared" si="26"/>
        <v>MG51506130005002MAM</v>
      </c>
      <c r="B1685" t="s">
        <v>6210</v>
      </c>
      <c r="C1685">
        <f>+VLOOKUP(Sites_per_tag[[#This Row],[Field_office]],Parameter!$A$3:$B$11,2,0)</f>
        <v>10</v>
      </c>
      <c r="E1685" t="s">
        <v>5650</v>
      </c>
      <c r="F1685" t="s">
        <v>5654</v>
      </c>
      <c r="H1685" t="str">
        <f ca="1">PROPER(Sites_per_tag[[#This Row],[Adm2Name]])</f>
        <v>Betioky Atsimo</v>
      </c>
      <c r="I1685" t="s">
        <v>5688</v>
      </c>
      <c r="K1685" t="s">
        <v>5772</v>
      </c>
      <c r="L1685" t="s">
        <v>5835</v>
      </c>
      <c r="N1685" t="s">
        <v>2854</v>
      </c>
      <c r="O1685" t="s">
        <v>4040</v>
      </c>
      <c r="Q1685" t="s">
        <v>2856</v>
      </c>
      <c r="R1685" t="s">
        <v>2857</v>
      </c>
      <c r="T1685" t="s">
        <v>5</v>
      </c>
      <c r="U1685" s="3" t="str">
        <f>+VLOOKUP(Sites_per_tag[[#This Row],[Activity_tag]],Parameter!$A$24:$B$32,2,0)</f>
        <v>MAM</v>
      </c>
      <c r="W1685">
        <v>44.612119999999997</v>
      </c>
      <c r="X1685">
        <v>-23.614699999999999</v>
      </c>
    </row>
    <row r="1686" spans="1:24" x14ac:dyDescent="0.35">
      <c r="A1686" s="3" t="str">
        <f t="shared" si="26"/>
        <v>MG51506130008001MAM</v>
      </c>
      <c r="B1686" t="s">
        <v>6210</v>
      </c>
      <c r="C1686">
        <f>+VLOOKUP(Sites_per_tag[[#This Row],[Field_office]],Parameter!$A$3:$B$11,2,0)</f>
        <v>10</v>
      </c>
      <c r="E1686" t="s">
        <v>5650</v>
      </c>
      <c r="F1686" t="s">
        <v>5654</v>
      </c>
      <c r="H1686" t="str">
        <f ca="1">PROPER(Sites_per_tag[[#This Row],[Adm2Name]])</f>
        <v>Betioky Atsimo</v>
      </c>
      <c r="I1686" t="s">
        <v>5688</v>
      </c>
      <c r="K1686" t="s">
        <v>5772</v>
      </c>
      <c r="L1686" t="s">
        <v>5835</v>
      </c>
      <c r="N1686" t="s">
        <v>4640</v>
      </c>
      <c r="O1686" t="s">
        <v>4639</v>
      </c>
      <c r="Q1686" t="s">
        <v>2220</v>
      </c>
      <c r="R1686" t="s">
        <v>2221</v>
      </c>
      <c r="T1686" t="s">
        <v>5</v>
      </c>
      <c r="U1686" s="3" t="str">
        <f>+VLOOKUP(Sites_per_tag[[#This Row],[Activity_tag]],Parameter!$A$24:$B$32,2,0)</f>
        <v>MAM</v>
      </c>
      <c r="W1686">
        <v>44.678379999999997</v>
      </c>
      <c r="X1686">
        <v>-23.613769999999999</v>
      </c>
    </row>
    <row r="1687" spans="1:24" x14ac:dyDescent="0.35">
      <c r="A1687" s="3" t="str">
        <f t="shared" si="26"/>
        <v>MG51506130009001MAM</v>
      </c>
      <c r="B1687" t="s">
        <v>6210</v>
      </c>
      <c r="C1687">
        <f>+VLOOKUP(Sites_per_tag[[#This Row],[Field_office]],Parameter!$A$3:$B$11,2,0)</f>
        <v>10</v>
      </c>
      <c r="E1687" t="s">
        <v>5650</v>
      </c>
      <c r="F1687" t="s">
        <v>5654</v>
      </c>
      <c r="H1687" t="str">
        <f ca="1">PROPER(Sites_per_tag[[#This Row],[Adm2Name]])</f>
        <v>Betioky Atsimo</v>
      </c>
      <c r="I1687" t="s">
        <v>5688</v>
      </c>
      <c r="K1687" t="s">
        <v>5772</v>
      </c>
      <c r="L1687" t="s">
        <v>5835</v>
      </c>
      <c r="N1687" t="s">
        <v>1817</v>
      </c>
      <c r="O1687" t="s">
        <v>4641</v>
      </c>
      <c r="Q1687" t="s">
        <v>1817</v>
      </c>
      <c r="R1687" t="s">
        <v>1818</v>
      </c>
      <c r="T1687" t="s">
        <v>5</v>
      </c>
      <c r="U1687" s="3" t="str">
        <f>+VLOOKUP(Sites_per_tag[[#This Row],[Activity_tag]],Parameter!$A$24:$B$32,2,0)</f>
        <v>MAM</v>
      </c>
      <c r="W1687">
        <v>44.666600000000003</v>
      </c>
      <c r="X1687">
        <v>-23.628319999999999</v>
      </c>
    </row>
    <row r="1688" spans="1:24" x14ac:dyDescent="0.35">
      <c r="A1688" s="3" t="str">
        <f t="shared" si="26"/>
        <v>MG51506130010001MAM</v>
      </c>
      <c r="B1688" t="s">
        <v>6210</v>
      </c>
      <c r="C1688">
        <f>+VLOOKUP(Sites_per_tag[[#This Row],[Field_office]],Parameter!$A$3:$B$11,2,0)</f>
        <v>10</v>
      </c>
      <c r="E1688" t="s">
        <v>5650</v>
      </c>
      <c r="F1688" t="s">
        <v>5654</v>
      </c>
      <c r="H1688" t="str">
        <f ca="1">PROPER(Sites_per_tag[[#This Row],[Adm2Name]])</f>
        <v>Betioky Atsimo</v>
      </c>
      <c r="I1688" t="s">
        <v>5688</v>
      </c>
      <c r="K1688" t="s">
        <v>5772</v>
      </c>
      <c r="L1688" t="s">
        <v>5835</v>
      </c>
      <c r="N1688" t="s">
        <v>603</v>
      </c>
      <c r="O1688" t="s">
        <v>4642</v>
      </c>
      <c r="Q1688" t="s">
        <v>603</v>
      </c>
      <c r="R1688" t="s">
        <v>604</v>
      </c>
      <c r="T1688" t="s">
        <v>5</v>
      </c>
      <c r="U1688" s="3" t="str">
        <f>+VLOOKUP(Sites_per_tag[[#This Row],[Activity_tag]],Parameter!$A$24:$B$32,2,0)</f>
        <v>MAM</v>
      </c>
      <c r="W1688">
        <v>44.651969999999999</v>
      </c>
      <c r="X1688">
        <v>-23.654050000000002</v>
      </c>
    </row>
    <row r="1689" spans="1:24" x14ac:dyDescent="0.35">
      <c r="A1689" s="3" t="str">
        <f t="shared" si="26"/>
        <v>MG51506130011001MAM</v>
      </c>
      <c r="B1689" t="s">
        <v>6210</v>
      </c>
      <c r="C1689">
        <f>+VLOOKUP(Sites_per_tag[[#This Row],[Field_office]],Parameter!$A$3:$B$11,2,0)</f>
        <v>10</v>
      </c>
      <c r="E1689" t="s">
        <v>5650</v>
      </c>
      <c r="F1689" t="s">
        <v>5654</v>
      </c>
      <c r="H1689" t="str">
        <f ca="1">PROPER(Sites_per_tag[[#This Row],[Adm2Name]])</f>
        <v>Betioky Atsimo</v>
      </c>
      <c r="I1689" t="s">
        <v>5688</v>
      </c>
      <c r="K1689" t="s">
        <v>5772</v>
      </c>
      <c r="L1689" t="s">
        <v>5835</v>
      </c>
      <c r="N1689" t="s">
        <v>314</v>
      </c>
      <c r="O1689" t="s">
        <v>4643</v>
      </c>
      <c r="Q1689" t="s">
        <v>316</v>
      </c>
      <c r="R1689" t="s">
        <v>317</v>
      </c>
      <c r="T1689" t="s">
        <v>5</v>
      </c>
      <c r="U1689" s="3" t="str">
        <f>+VLOOKUP(Sites_per_tag[[#This Row],[Activity_tag]],Parameter!$A$24:$B$32,2,0)</f>
        <v>MAM</v>
      </c>
      <c r="W1689">
        <v>44.64443</v>
      </c>
      <c r="X1689">
        <v>-23.66535</v>
      </c>
    </row>
    <row r="1690" spans="1:24" x14ac:dyDescent="0.35">
      <c r="A1690" s="3" t="str">
        <f t="shared" si="26"/>
        <v>MG51506130012001MAM</v>
      </c>
      <c r="B1690" t="s">
        <v>6210</v>
      </c>
      <c r="C1690">
        <f>+VLOOKUP(Sites_per_tag[[#This Row],[Field_office]],Parameter!$A$3:$B$11,2,0)</f>
        <v>10</v>
      </c>
      <c r="E1690" t="s">
        <v>5650</v>
      </c>
      <c r="F1690" t="s">
        <v>5654</v>
      </c>
      <c r="H1690" t="str">
        <f ca="1">PROPER(Sites_per_tag[[#This Row],[Adm2Name]])</f>
        <v>Betioky Atsimo</v>
      </c>
      <c r="I1690" t="s">
        <v>5688</v>
      </c>
      <c r="K1690" t="s">
        <v>5772</v>
      </c>
      <c r="L1690" t="s">
        <v>5835</v>
      </c>
      <c r="N1690" t="s">
        <v>2098</v>
      </c>
      <c r="O1690" t="s">
        <v>4644</v>
      </c>
      <c r="Q1690" t="s">
        <v>2098</v>
      </c>
      <c r="R1690" t="s">
        <v>2099</v>
      </c>
      <c r="T1690" t="s">
        <v>5</v>
      </c>
      <c r="U1690" s="3" t="str">
        <f>+VLOOKUP(Sites_per_tag[[#This Row],[Activity_tag]],Parameter!$A$24:$B$32,2,0)</f>
        <v>MAM</v>
      </c>
      <c r="W1690">
        <v>44.711449999999999</v>
      </c>
      <c r="X1690">
        <v>-23.727820000000001</v>
      </c>
    </row>
    <row r="1691" spans="1:24" x14ac:dyDescent="0.35">
      <c r="A1691" s="3" t="str">
        <f t="shared" si="26"/>
        <v>MG51506130014001MAM</v>
      </c>
      <c r="B1691" t="s">
        <v>6210</v>
      </c>
      <c r="C1691">
        <f>+VLOOKUP(Sites_per_tag[[#This Row],[Field_office]],Parameter!$A$3:$B$11,2,0)</f>
        <v>10</v>
      </c>
      <c r="E1691" t="s">
        <v>5650</v>
      </c>
      <c r="F1691" t="s">
        <v>5654</v>
      </c>
      <c r="H1691" t="str">
        <f ca="1">PROPER(Sites_per_tag[[#This Row],[Adm2Name]])</f>
        <v>Betioky Atsimo</v>
      </c>
      <c r="I1691" t="s">
        <v>5688</v>
      </c>
      <c r="K1691" t="s">
        <v>5798</v>
      </c>
      <c r="L1691" t="s">
        <v>6041</v>
      </c>
      <c r="N1691" t="s">
        <v>1569</v>
      </c>
      <c r="O1691" t="s">
        <v>5301</v>
      </c>
      <c r="Q1691" t="s">
        <v>1569</v>
      </c>
      <c r="R1691" t="s">
        <v>1570</v>
      </c>
      <c r="T1691" t="s">
        <v>5</v>
      </c>
      <c r="U1691" s="3" t="str">
        <f>+VLOOKUP(Sites_per_tag[[#This Row],[Activity_tag]],Parameter!$A$24:$B$32,2,0)</f>
        <v>MAM</v>
      </c>
      <c r="W1691">
        <v>44.453580000000002</v>
      </c>
      <c r="X1691">
        <v>-23.673629999999999</v>
      </c>
    </row>
    <row r="1692" spans="1:24" x14ac:dyDescent="0.35">
      <c r="A1692" s="3" t="str">
        <f t="shared" si="26"/>
        <v>MG51506130015001STUNT</v>
      </c>
      <c r="B1692" t="s">
        <v>6210</v>
      </c>
      <c r="C1692">
        <f>+VLOOKUP(Sites_per_tag[[#This Row],[Field_office]],Parameter!$A$3:$B$11,2,0)</f>
        <v>10</v>
      </c>
      <c r="E1692" t="s">
        <v>5650</v>
      </c>
      <c r="F1692" t="s">
        <v>5654</v>
      </c>
      <c r="H1692" t="str">
        <f ca="1">PROPER(Sites_per_tag[[#This Row],[Adm2Name]])</f>
        <v>Betioky Atsimo</v>
      </c>
      <c r="I1692" t="s">
        <v>5688</v>
      </c>
      <c r="K1692" t="s">
        <v>5772</v>
      </c>
      <c r="L1692" t="s">
        <v>5835</v>
      </c>
      <c r="N1692" t="s">
        <v>2065</v>
      </c>
      <c r="O1692" t="s">
        <v>2066</v>
      </c>
      <c r="Q1692" t="s">
        <v>2065</v>
      </c>
      <c r="R1692" t="s">
        <v>2067</v>
      </c>
      <c r="T1692" t="s">
        <v>50</v>
      </c>
      <c r="U1692" s="3" t="str">
        <f>+VLOOKUP(Sites_per_tag[[#This Row],[Activity_tag]],Parameter!$A$24:$B$32,2,0)</f>
        <v>STUNT</v>
      </c>
      <c r="V1692" t="s">
        <v>6454</v>
      </c>
      <c r="W1692">
        <v>44.440179999999998</v>
      </c>
      <c r="X1692">
        <v>-23.700849999999999</v>
      </c>
    </row>
    <row r="1693" spans="1:24" x14ac:dyDescent="0.35">
      <c r="A1693" s="3" t="str">
        <f t="shared" si="26"/>
        <v>MG51506130015PREV</v>
      </c>
      <c r="B1693" t="s">
        <v>6210</v>
      </c>
      <c r="C1693">
        <f>+VLOOKUP(Sites_per_tag[[#This Row],[Field_office]],Parameter!$A$3:$B$11,2,0)</f>
        <v>10</v>
      </c>
      <c r="E1693" t="s">
        <v>5650</v>
      </c>
      <c r="F1693" t="s">
        <v>5654</v>
      </c>
      <c r="H1693" t="str">
        <f ca="1">PROPER(Sites_per_tag[[#This Row],[Adm2Name]])</f>
        <v>Betioky Atsimo</v>
      </c>
      <c r="I1693" t="s">
        <v>5688</v>
      </c>
      <c r="K1693" t="s">
        <v>5772</v>
      </c>
      <c r="L1693" t="s">
        <v>5835</v>
      </c>
      <c r="N1693" t="s">
        <v>2065</v>
      </c>
      <c r="Q1693" t="s">
        <v>2065</v>
      </c>
      <c r="R1693" t="s">
        <v>2066</v>
      </c>
      <c r="T1693" t="s">
        <v>32</v>
      </c>
      <c r="U1693" s="3" t="str">
        <f>+VLOOKUP(Sites_per_tag[[#This Row],[Activity_tag]],Parameter!$A$24:$B$32,2,0)</f>
        <v>PREV</v>
      </c>
      <c r="W1693">
        <v>44.442450000000001</v>
      </c>
      <c r="X1693">
        <v>-23.711120000000001</v>
      </c>
    </row>
    <row r="1694" spans="1:24" x14ac:dyDescent="0.35">
      <c r="A1694" s="3" t="str">
        <f t="shared" si="26"/>
        <v>MG51506130016001MAM</v>
      </c>
      <c r="B1694" t="s">
        <v>6210</v>
      </c>
      <c r="C1694">
        <f>+VLOOKUP(Sites_per_tag[[#This Row],[Field_office]],Parameter!$A$3:$B$11,2,0)</f>
        <v>10</v>
      </c>
      <c r="E1694" t="s">
        <v>5650</v>
      </c>
      <c r="F1694" t="s">
        <v>5654</v>
      </c>
      <c r="H1694" t="str">
        <f ca="1">PROPER(Sites_per_tag[[#This Row],[Adm2Name]])</f>
        <v>Betioky Atsimo</v>
      </c>
      <c r="I1694" t="s">
        <v>5688</v>
      </c>
      <c r="K1694" t="s">
        <v>1691</v>
      </c>
      <c r="L1694" t="s">
        <v>5879</v>
      </c>
      <c r="N1694" t="s">
        <v>542</v>
      </c>
      <c r="O1694" t="s">
        <v>4746</v>
      </c>
      <c r="Q1694" t="s">
        <v>542</v>
      </c>
      <c r="R1694" t="s">
        <v>543</v>
      </c>
      <c r="T1694" t="s">
        <v>5</v>
      </c>
      <c r="U1694" s="3" t="str">
        <f>+VLOOKUP(Sites_per_tag[[#This Row],[Activity_tag]],Parameter!$A$24:$B$32,2,0)</f>
        <v>MAM</v>
      </c>
      <c r="W1694">
        <v>44.339407999999999</v>
      </c>
      <c r="X1694">
        <v>-23.781766999999999</v>
      </c>
    </row>
    <row r="1695" spans="1:24" x14ac:dyDescent="0.35">
      <c r="A1695" s="3" t="str">
        <f t="shared" si="26"/>
        <v>MG51506130017001MAM</v>
      </c>
      <c r="B1695" t="s">
        <v>6210</v>
      </c>
      <c r="C1695">
        <f>+VLOOKUP(Sites_per_tag[[#This Row],[Field_office]],Parameter!$A$3:$B$11,2,0)</f>
        <v>10</v>
      </c>
      <c r="E1695" t="s">
        <v>5650</v>
      </c>
      <c r="F1695" t="s">
        <v>5654</v>
      </c>
      <c r="H1695" t="str">
        <f ca="1">PROPER(Sites_per_tag[[#This Row],[Adm2Name]])</f>
        <v>Betioky Atsimo</v>
      </c>
      <c r="I1695" t="s">
        <v>5688</v>
      </c>
      <c r="K1695" t="s">
        <v>5772</v>
      </c>
      <c r="L1695" t="s">
        <v>5835</v>
      </c>
      <c r="N1695" t="s">
        <v>516</v>
      </c>
      <c r="O1695" t="s">
        <v>4645</v>
      </c>
      <c r="Q1695" t="s">
        <v>516</v>
      </c>
      <c r="R1695" t="s">
        <v>517</v>
      </c>
      <c r="T1695" t="s">
        <v>5</v>
      </c>
      <c r="U1695" s="3" t="str">
        <f>+VLOOKUP(Sites_per_tag[[#This Row],[Activity_tag]],Parameter!$A$24:$B$32,2,0)</f>
        <v>MAM</v>
      </c>
      <c r="W1695">
        <v>44.605719999999998</v>
      </c>
      <c r="X1695">
        <v>-23.725149999999999</v>
      </c>
    </row>
    <row r="1696" spans="1:24" x14ac:dyDescent="0.35">
      <c r="A1696" s="3" t="str">
        <f t="shared" si="26"/>
        <v>MG51506130032001MAM</v>
      </c>
      <c r="B1696" t="s">
        <v>6193</v>
      </c>
      <c r="C1696">
        <f>+VLOOKUP(Sites_per_tag[[#This Row],[Field_office]],Parameter!$A$3:$B$11,2,0)</f>
        <v>4</v>
      </c>
      <c r="E1696" t="s">
        <v>5658</v>
      </c>
      <c r="F1696" t="s">
        <v>5659</v>
      </c>
      <c r="H1696" t="str">
        <f ca="1">PROPER(Sites_per_tag[[#This Row],[Adm2Name]])</f>
        <v>Vangaindrano</v>
      </c>
      <c r="I1696" t="s">
        <v>5734</v>
      </c>
      <c r="K1696" t="s">
        <v>5618</v>
      </c>
      <c r="L1696" t="s">
        <v>6152</v>
      </c>
      <c r="N1696" t="s">
        <v>3852</v>
      </c>
      <c r="O1696" t="s">
        <v>5562</v>
      </c>
      <c r="Q1696" t="s">
        <v>3852</v>
      </c>
      <c r="R1696" t="s">
        <v>3853</v>
      </c>
      <c r="T1696" t="s">
        <v>5</v>
      </c>
      <c r="U1696" s="3" t="str">
        <f>+VLOOKUP(Sites_per_tag[[#This Row],[Activity_tag]],Parameter!$A$24:$B$32,2,0)</f>
        <v>MAM</v>
      </c>
      <c r="W1696">
        <v>47.60783</v>
      </c>
      <c r="X1696">
        <v>-23.352</v>
      </c>
    </row>
    <row r="1697" spans="1:24" x14ac:dyDescent="0.35">
      <c r="A1697" s="3" t="str">
        <f t="shared" si="26"/>
        <v>MG51506130033001MAM</v>
      </c>
      <c r="B1697" t="s">
        <v>6193</v>
      </c>
      <c r="C1697">
        <f>+VLOOKUP(Sites_per_tag[[#This Row],[Field_office]],Parameter!$A$3:$B$11,2,0)</f>
        <v>4</v>
      </c>
      <c r="E1697" t="s">
        <v>5658</v>
      </c>
      <c r="F1697" t="s">
        <v>5659</v>
      </c>
      <c r="H1697" t="str">
        <f ca="1">PROPER(Sites_per_tag[[#This Row],[Adm2Name]])</f>
        <v>Vangaindrano</v>
      </c>
      <c r="I1697" t="s">
        <v>5734</v>
      </c>
      <c r="K1697" t="s">
        <v>6153</v>
      </c>
      <c r="L1697" t="s">
        <v>6154</v>
      </c>
      <c r="N1697" t="s">
        <v>3058</v>
      </c>
      <c r="O1697" t="s">
        <v>5563</v>
      </c>
      <c r="Q1697" t="s">
        <v>3058</v>
      </c>
      <c r="R1697" t="s">
        <v>3059</v>
      </c>
      <c r="T1697" t="s">
        <v>5</v>
      </c>
      <c r="U1697" s="3" t="str">
        <f>+VLOOKUP(Sites_per_tag[[#This Row],[Activity_tag]],Parameter!$A$24:$B$32,2,0)</f>
        <v>MAM</v>
      </c>
      <c r="W1697">
        <v>47.638829999999999</v>
      </c>
      <c r="X1697">
        <v>-23.357479999999999</v>
      </c>
    </row>
    <row r="1698" spans="1:24" x14ac:dyDescent="0.35">
      <c r="A1698" s="3" t="str">
        <f t="shared" si="26"/>
        <v>MG51506130045001STUNT</v>
      </c>
      <c r="B1698" t="s">
        <v>6210</v>
      </c>
      <c r="C1698">
        <f>+VLOOKUP(Sites_per_tag[[#This Row],[Field_office]],Parameter!$A$3:$B$11,2,0)</f>
        <v>10</v>
      </c>
      <c r="E1698" t="s">
        <v>5650</v>
      </c>
      <c r="F1698" t="s">
        <v>5654</v>
      </c>
      <c r="H1698" t="str">
        <f ca="1">PROPER(Sites_per_tag[[#This Row],[Adm2Name]])</f>
        <v>Betioky Atsimo</v>
      </c>
      <c r="I1698" t="s">
        <v>5688</v>
      </c>
      <c r="K1698" t="s">
        <v>5772</v>
      </c>
      <c r="L1698" t="s">
        <v>5835</v>
      </c>
      <c r="N1698" t="s">
        <v>2061</v>
      </c>
      <c r="O1698" t="s">
        <v>4041</v>
      </c>
      <c r="Q1698" t="s">
        <v>2061</v>
      </c>
      <c r="R1698" t="s">
        <v>2062</v>
      </c>
      <c r="T1698" t="s">
        <v>50</v>
      </c>
      <c r="U1698" s="3" t="str">
        <f>+VLOOKUP(Sites_per_tag[[#This Row],[Activity_tag]],Parameter!$A$24:$B$32,2,0)</f>
        <v>STUNT</v>
      </c>
      <c r="V1698" t="s">
        <v>6455</v>
      </c>
      <c r="W1698">
        <v>44.689250000000001</v>
      </c>
      <c r="X1698">
        <v>-23.59018</v>
      </c>
    </row>
    <row r="1699" spans="1:24" x14ac:dyDescent="0.35">
      <c r="A1699" s="3" t="str">
        <f t="shared" si="26"/>
        <v>MG51506150001001MAM</v>
      </c>
      <c r="B1699" t="s">
        <v>6210</v>
      </c>
      <c r="C1699">
        <f>+VLOOKUP(Sites_per_tag[[#This Row],[Field_office]],Parameter!$A$3:$B$11,2,0)</f>
        <v>10</v>
      </c>
      <c r="E1699" t="s">
        <v>5650</v>
      </c>
      <c r="F1699" t="s">
        <v>5654</v>
      </c>
      <c r="H1699" t="str">
        <f ca="1">PROPER(Sites_per_tag[[#This Row],[Adm2Name]])</f>
        <v>Betioky Atsimo</v>
      </c>
      <c r="I1699" t="s">
        <v>5688</v>
      </c>
      <c r="K1699" t="s">
        <v>5934</v>
      </c>
      <c r="L1699" t="s">
        <v>5935</v>
      </c>
      <c r="N1699" t="s">
        <v>2212</v>
      </c>
      <c r="O1699" t="s">
        <v>4911</v>
      </c>
      <c r="Q1699" t="s">
        <v>2212</v>
      </c>
      <c r="R1699" t="s">
        <v>2213</v>
      </c>
      <c r="T1699" t="s">
        <v>5</v>
      </c>
      <c r="U1699" s="3" t="str">
        <f>+VLOOKUP(Sites_per_tag[[#This Row],[Activity_tag]],Parameter!$A$24:$B$32,2,0)</f>
        <v>MAM</v>
      </c>
      <c r="W1699">
        <v>44.499119999999998</v>
      </c>
      <c r="X1699">
        <v>-23.497969999999999</v>
      </c>
    </row>
    <row r="1700" spans="1:24" x14ac:dyDescent="0.35">
      <c r="A1700" s="3" t="str">
        <f t="shared" si="26"/>
        <v>MG51506150011001MAM</v>
      </c>
      <c r="B1700" t="s">
        <v>6210</v>
      </c>
      <c r="C1700">
        <f>+VLOOKUP(Sites_per_tag[[#This Row],[Field_office]],Parameter!$A$3:$B$11,2,0)</f>
        <v>10</v>
      </c>
      <c r="E1700" t="s">
        <v>5650</v>
      </c>
      <c r="F1700" t="s">
        <v>5654</v>
      </c>
      <c r="H1700" t="str">
        <f ca="1">PROPER(Sites_per_tag[[#This Row],[Adm2Name]])</f>
        <v>Betioky Atsimo</v>
      </c>
      <c r="I1700" t="s">
        <v>5688</v>
      </c>
      <c r="K1700" t="s">
        <v>5934</v>
      </c>
      <c r="L1700" t="s">
        <v>5935</v>
      </c>
      <c r="N1700" t="s">
        <v>4913</v>
      </c>
      <c r="O1700" t="s">
        <v>4912</v>
      </c>
      <c r="Q1700" t="s">
        <v>2218</v>
      </c>
      <c r="R1700" t="s">
        <v>2219</v>
      </c>
      <c r="T1700" t="s">
        <v>5</v>
      </c>
      <c r="U1700" s="3" t="str">
        <f>+VLOOKUP(Sites_per_tag[[#This Row],[Activity_tag]],Parameter!$A$24:$B$32,2,0)</f>
        <v>MAM</v>
      </c>
      <c r="W1700">
        <v>44.503399999999999</v>
      </c>
      <c r="X1700">
        <v>-23.494599999999998</v>
      </c>
    </row>
    <row r="1701" spans="1:24" x14ac:dyDescent="0.35">
      <c r="A1701" s="3" t="str">
        <f t="shared" si="26"/>
        <v>MG51506150012001MAM</v>
      </c>
      <c r="B1701" t="s">
        <v>6210</v>
      </c>
      <c r="C1701">
        <f>+VLOOKUP(Sites_per_tag[[#This Row],[Field_office]],Parameter!$A$3:$B$11,2,0)</f>
        <v>10</v>
      </c>
      <c r="E1701" t="s">
        <v>5650</v>
      </c>
      <c r="F1701" t="s">
        <v>5654</v>
      </c>
      <c r="H1701" t="str">
        <f ca="1">PROPER(Sites_per_tag[[#This Row],[Adm2Name]])</f>
        <v>Betioky Atsimo</v>
      </c>
      <c r="I1701" t="s">
        <v>5688</v>
      </c>
      <c r="K1701" t="s">
        <v>5934</v>
      </c>
      <c r="L1701" t="s">
        <v>5935</v>
      </c>
      <c r="N1701" t="s">
        <v>2214</v>
      </c>
      <c r="O1701" t="s">
        <v>4914</v>
      </c>
      <c r="Q1701" t="s">
        <v>2214</v>
      </c>
      <c r="R1701" t="s">
        <v>2215</v>
      </c>
      <c r="T1701" t="s">
        <v>5</v>
      </c>
      <c r="U1701" s="3" t="str">
        <f>+VLOOKUP(Sites_per_tag[[#This Row],[Activity_tag]],Parameter!$A$24:$B$32,2,0)</f>
        <v>MAM</v>
      </c>
      <c r="W1701">
        <v>44.499369999999999</v>
      </c>
      <c r="X1701">
        <v>-23.492280000000001</v>
      </c>
    </row>
    <row r="1702" spans="1:24" x14ac:dyDescent="0.35">
      <c r="A1702" s="3" t="str">
        <f t="shared" si="26"/>
        <v>MG51506150013001MAM</v>
      </c>
      <c r="B1702" t="s">
        <v>6210</v>
      </c>
      <c r="C1702">
        <f>+VLOOKUP(Sites_per_tag[[#This Row],[Field_office]],Parameter!$A$3:$B$11,2,0)</f>
        <v>10</v>
      </c>
      <c r="E1702" t="s">
        <v>5650</v>
      </c>
      <c r="F1702" t="s">
        <v>5654</v>
      </c>
      <c r="H1702" t="str">
        <f ca="1">PROPER(Sites_per_tag[[#This Row],[Adm2Name]])</f>
        <v>Betioky Atsimo</v>
      </c>
      <c r="I1702" t="s">
        <v>5688</v>
      </c>
      <c r="K1702" t="s">
        <v>5934</v>
      </c>
      <c r="L1702" t="s">
        <v>5935</v>
      </c>
      <c r="N1702" t="s">
        <v>4916</v>
      </c>
      <c r="O1702" t="s">
        <v>4915</v>
      </c>
      <c r="Q1702" t="s">
        <v>2216</v>
      </c>
      <c r="R1702" t="s">
        <v>2217</v>
      </c>
      <c r="T1702" t="s">
        <v>5</v>
      </c>
      <c r="U1702" s="3" t="str">
        <f>+VLOOKUP(Sites_per_tag[[#This Row],[Activity_tag]],Parameter!$A$24:$B$32,2,0)</f>
        <v>MAM</v>
      </c>
      <c r="W1702">
        <v>44.496180000000003</v>
      </c>
      <c r="X1702">
        <v>-23.504480000000001</v>
      </c>
    </row>
    <row r="1703" spans="1:24" x14ac:dyDescent="0.35">
      <c r="A1703" s="3" t="str">
        <f t="shared" si="26"/>
        <v>MG51506150019001MAM</v>
      </c>
      <c r="B1703" t="s">
        <v>6210</v>
      </c>
      <c r="C1703">
        <f>+VLOOKUP(Sites_per_tag[[#This Row],[Field_office]],Parameter!$A$3:$B$11,2,0)</f>
        <v>10</v>
      </c>
      <c r="E1703" t="s">
        <v>5650</v>
      </c>
      <c r="F1703" t="s">
        <v>5654</v>
      </c>
      <c r="H1703" t="str">
        <f ca="1">PROPER(Sites_per_tag[[#This Row],[Adm2Name]])</f>
        <v>Betioky Atsimo</v>
      </c>
      <c r="I1703" t="s">
        <v>5688</v>
      </c>
      <c r="K1703" t="s">
        <v>5934</v>
      </c>
      <c r="L1703" t="s">
        <v>5935</v>
      </c>
      <c r="N1703" t="s">
        <v>3188</v>
      </c>
      <c r="O1703" t="s">
        <v>4917</v>
      </c>
      <c r="Q1703" t="s">
        <v>3188</v>
      </c>
      <c r="R1703" t="s">
        <v>3189</v>
      </c>
      <c r="T1703" t="s">
        <v>5</v>
      </c>
      <c r="U1703" s="3" t="str">
        <f>+VLOOKUP(Sites_per_tag[[#This Row],[Activity_tag]],Parameter!$A$24:$B$32,2,0)</f>
        <v>MAM</v>
      </c>
      <c r="W1703">
        <v>44.453899999999997</v>
      </c>
      <c r="X1703">
        <v>-23.51587</v>
      </c>
    </row>
    <row r="1704" spans="1:24" x14ac:dyDescent="0.35">
      <c r="A1704" s="3" t="str">
        <f t="shared" si="26"/>
        <v>MG51506150020001MAM</v>
      </c>
      <c r="B1704" t="s">
        <v>6267</v>
      </c>
      <c r="C1704">
        <f>+VLOOKUP(Sites_per_tag[[#This Row],[Field_office]],Parameter!$A$3:$B$11,2,0)</f>
        <v>9</v>
      </c>
      <c r="E1704" t="s">
        <v>5650</v>
      </c>
      <c r="F1704" t="s">
        <v>5654</v>
      </c>
      <c r="H1704" t="str">
        <f ca="1">PROPER(Sites_per_tag[[#This Row],[Adm2Name]])</f>
        <v>Ampanihy Ouest</v>
      </c>
      <c r="I1704" t="s">
        <v>5660</v>
      </c>
      <c r="K1704" t="s">
        <v>5607</v>
      </c>
      <c r="L1704" t="s">
        <v>5760</v>
      </c>
      <c r="N1704" t="s">
        <v>1763</v>
      </c>
      <c r="O1704" t="s">
        <v>4481</v>
      </c>
      <c r="Q1704" t="s">
        <v>1763</v>
      </c>
      <c r="R1704" t="s">
        <v>1764</v>
      </c>
      <c r="T1704" t="s">
        <v>5</v>
      </c>
      <c r="U1704" s="3" t="str">
        <f>+VLOOKUP(Sites_per_tag[[#This Row],[Activity_tag]],Parameter!$A$24:$B$32,2,0)</f>
        <v>MAM</v>
      </c>
      <c r="W1704">
        <v>44.739403000000003</v>
      </c>
      <c r="X1704">
        <v>-24.884395000000001</v>
      </c>
    </row>
    <row r="1705" spans="1:24" x14ac:dyDescent="0.35">
      <c r="A1705" s="3" t="str">
        <f t="shared" si="26"/>
        <v>MG51506170001001MAM</v>
      </c>
      <c r="B1705" t="s">
        <v>6210</v>
      </c>
      <c r="C1705">
        <f>+VLOOKUP(Sites_per_tag[[#This Row],[Field_office]],Parameter!$A$3:$B$11,2,0)</f>
        <v>10</v>
      </c>
      <c r="E1705" t="s">
        <v>5650</v>
      </c>
      <c r="F1705" t="s">
        <v>5654</v>
      </c>
      <c r="H1705" t="str">
        <f ca="1">PROPER(Sites_per_tag[[#This Row],[Adm2Name]])</f>
        <v>Betioky Atsimo</v>
      </c>
      <c r="I1705" t="s">
        <v>5688</v>
      </c>
      <c r="K1705" t="s">
        <v>2841</v>
      </c>
      <c r="L1705" t="s">
        <v>6016</v>
      </c>
      <c r="N1705" t="s">
        <v>2841</v>
      </c>
      <c r="O1705" t="s">
        <v>5209</v>
      </c>
      <c r="Q1705" t="s">
        <v>2841</v>
      </c>
      <c r="R1705" t="s">
        <v>2842</v>
      </c>
      <c r="T1705" t="s">
        <v>5</v>
      </c>
      <c r="U1705" s="3" t="str">
        <f>+VLOOKUP(Sites_per_tag[[#This Row],[Activity_tag]],Parameter!$A$24:$B$32,2,0)</f>
        <v>MAM</v>
      </c>
      <c r="W1705">
        <v>44.564920000000001</v>
      </c>
      <c r="X1705">
        <v>-23.43487</v>
      </c>
    </row>
    <row r="1706" spans="1:24" x14ac:dyDescent="0.35">
      <c r="A1706" s="3" t="str">
        <f t="shared" si="26"/>
        <v>MG51506170009001MAM</v>
      </c>
      <c r="B1706" t="s">
        <v>6210</v>
      </c>
      <c r="C1706">
        <f>+VLOOKUP(Sites_per_tag[[#This Row],[Field_office]],Parameter!$A$3:$B$11,2,0)</f>
        <v>10</v>
      </c>
      <c r="E1706" t="s">
        <v>5650</v>
      </c>
      <c r="F1706" t="s">
        <v>5654</v>
      </c>
      <c r="H1706" t="str">
        <f ca="1">PROPER(Sites_per_tag[[#This Row],[Adm2Name]])</f>
        <v>Betioky Atsimo</v>
      </c>
      <c r="I1706" t="s">
        <v>5688</v>
      </c>
      <c r="K1706" t="s">
        <v>2841</v>
      </c>
      <c r="L1706" t="s">
        <v>6016</v>
      </c>
      <c r="N1706" t="s">
        <v>1316</v>
      </c>
      <c r="O1706" t="s">
        <v>5210</v>
      </c>
      <c r="Q1706" t="s">
        <v>1316</v>
      </c>
      <c r="R1706" t="s">
        <v>1317</v>
      </c>
      <c r="T1706" t="s">
        <v>5</v>
      </c>
      <c r="U1706" s="3" t="str">
        <f>+VLOOKUP(Sites_per_tag[[#This Row],[Activity_tag]],Parameter!$A$24:$B$32,2,0)</f>
        <v>MAM</v>
      </c>
      <c r="W1706">
        <v>44.550648000000002</v>
      </c>
      <c r="X1706">
        <v>-23.466118000000002</v>
      </c>
    </row>
    <row r="1707" spans="1:24" x14ac:dyDescent="0.35">
      <c r="A1707" s="3" t="str">
        <f t="shared" si="26"/>
        <v>MG51506191001001MAM</v>
      </c>
      <c r="B1707" t="s">
        <v>6210</v>
      </c>
      <c r="C1707">
        <f>+VLOOKUP(Sites_per_tag[[#This Row],[Field_office]],Parameter!$A$3:$B$11,2,0)</f>
        <v>10</v>
      </c>
      <c r="E1707" t="s">
        <v>5650</v>
      </c>
      <c r="F1707" t="s">
        <v>5654</v>
      </c>
      <c r="H1707" t="str">
        <f ca="1">PROPER(Sites_per_tag[[#This Row],[Adm2Name]])</f>
        <v>Betioky Atsimo</v>
      </c>
      <c r="I1707" t="s">
        <v>5688</v>
      </c>
      <c r="K1707" t="s">
        <v>855</v>
      </c>
      <c r="L1707" t="s">
        <v>5805</v>
      </c>
      <c r="N1707" t="s">
        <v>855</v>
      </c>
      <c r="O1707" t="s">
        <v>4564</v>
      </c>
      <c r="Q1707" t="s">
        <v>855</v>
      </c>
      <c r="R1707" t="s">
        <v>856</v>
      </c>
      <c r="T1707" t="s">
        <v>5</v>
      </c>
      <c r="U1707" s="3" t="str">
        <f>+VLOOKUP(Sites_per_tag[[#This Row],[Activity_tag]],Parameter!$A$24:$B$32,2,0)</f>
        <v>MAM</v>
      </c>
      <c r="W1707">
        <v>44.527569999999997</v>
      </c>
      <c r="X1707">
        <v>-23.378820000000001</v>
      </c>
    </row>
    <row r="1708" spans="1:24" x14ac:dyDescent="0.35">
      <c r="A1708" s="3" t="str">
        <f t="shared" si="26"/>
        <v>MG51506191005001MAM</v>
      </c>
      <c r="B1708" t="s">
        <v>6210</v>
      </c>
      <c r="C1708">
        <f>+VLOOKUP(Sites_per_tag[[#This Row],[Field_office]],Parameter!$A$3:$B$11,2,0)</f>
        <v>10</v>
      </c>
      <c r="E1708" t="s">
        <v>5650</v>
      </c>
      <c r="F1708" t="s">
        <v>5654</v>
      </c>
      <c r="H1708" t="str">
        <f ca="1">PROPER(Sites_per_tag[[#This Row],[Adm2Name]])</f>
        <v>Betioky Atsimo</v>
      </c>
      <c r="I1708" t="s">
        <v>5688</v>
      </c>
      <c r="K1708" t="s">
        <v>855</v>
      </c>
      <c r="L1708" t="s">
        <v>5805</v>
      </c>
      <c r="N1708" t="s">
        <v>2729</v>
      </c>
      <c r="O1708" t="s">
        <v>4565</v>
      </c>
      <c r="Q1708" t="s">
        <v>2729</v>
      </c>
      <c r="R1708" t="s">
        <v>2730</v>
      </c>
      <c r="T1708" t="s">
        <v>5</v>
      </c>
      <c r="U1708" s="3" t="str">
        <f>+VLOOKUP(Sites_per_tag[[#This Row],[Activity_tag]],Parameter!$A$24:$B$32,2,0)</f>
        <v>MAM</v>
      </c>
      <c r="W1708">
        <v>44.572099999999999</v>
      </c>
      <c r="X1708">
        <v>-23.361719999999998</v>
      </c>
    </row>
    <row r="1709" spans="1:24" x14ac:dyDescent="0.35">
      <c r="A1709" s="3" t="str">
        <f t="shared" si="26"/>
        <v>MG51506191008001MAM</v>
      </c>
      <c r="B1709" t="s">
        <v>6210</v>
      </c>
      <c r="C1709">
        <f>+VLOOKUP(Sites_per_tag[[#This Row],[Field_office]],Parameter!$A$3:$B$11,2,0)</f>
        <v>10</v>
      </c>
      <c r="E1709" t="s">
        <v>5650</v>
      </c>
      <c r="F1709" t="s">
        <v>5654</v>
      </c>
      <c r="H1709" t="str">
        <f ca="1">PROPER(Sites_per_tag[[#This Row],[Adm2Name]])</f>
        <v>Betioky Atsimo</v>
      </c>
      <c r="I1709" t="s">
        <v>5688</v>
      </c>
      <c r="K1709" t="s">
        <v>855</v>
      </c>
      <c r="L1709" t="s">
        <v>5805</v>
      </c>
      <c r="N1709" t="s">
        <v>1757</v>
      </c>
      <c r="O1709" t="s">
        <v>4566</v>
      </c>
      <c r="Q1709" t="s">
        <v>1759</v>
      </c>
      <c r="R1709" t="s">
        <v>1760</v>
      </c>
      <c r="T1709" t="s">
        <v>5</v>
      </c>
      <c r="U1709" s="3" t="str">
        <f>+VLOOKUP(Sites_per_tag[[#This Row],[Activity_tag]],Parameter!$A$24:$B$32,2,0)</f>
        <v>MAM</v>
      </c>
      <c r="W1709">
        <v>44.516620000000003</v>
      </c>
      <c r="X1709">
        <v>-23.393550000000001</v>
      </c>
    </row>
    <row r="1710" spans="1:24" x14ac:dyDescent="0.35">
      <c r="A1710" s="3" t="str">
        <f t="shared" si="26"/>
        <v>MG51506191009001MAM</v>
      </c>
      <c r="B1710" t="s">
        <v>6210</v>
      </c>
      <c r="C1710">
        <f>+VLOOKUP(Sites_per_tag[[#This Row],[Field_office]],Parameter!$A$3:$B$11,2,0)</f>
        <v>10</v>
      </c>
      <c r="E1710" t="s">
        <v>5650</v>
      </c>
      <c r="F1710" t="s">
        <v>5654</v>
      </c>
      <c r="H1710" t="str">
        <f ca="1">PROPER(Sites_per_tag[[#This Row],[Adm2Name]])</f>
        <v>Betioky Atsimo</v>
      </c>
      <c r="I1710" t="s">
        <v>5688</v>
      </c>
      <c r="K1710" t="s">
        <v>855</v>
      </c>
      <c r="L1710" t="s">
        <v>5805</v>
      </c>
      <c r="N1710" t="s">
        <v>2052</v>
      </c>
      <c r="O1710" t="s">
        <v>4567</v>
      </c>
      <c r="Q1710" t="s">
        <v>2056</v>
      </c>
      <c r="R1710" t="s">
        <v>2057</v>
      </c>
      <c r="T1710" t="s">
        <v>5</v>
      </c>
      <c r="U1710" s="3" t="str">
        <f>+VLOOKUP(Sites_per_tag[[#This Row],[Activity_tag]],Parameter!$A$24:$B$32,2,0)</f>
        <v>MAM</v>
      </c>
      <c r="W1710">
        <v>44.543680000000002</v>
      </c>
      <c r="X1710">
        <v>-23.393630000000002</v>
      </c>
    </row>
    <row r="1711" spans="1:24" x14ac:dyDescent="0.35">
      <c r="A1711" s="3" t="str">
        <f t="shared" si="26"/>
        <v>MG51506191011001MAM</v>
      </c>
      <c r="B1711" t="s">
        <v>6210</v>
      </c>
      <c r="C1711">
        <f>+VLOOKUP(Sites_per_tag[[#This Row],[Field_office]],Parameter!$A$3:$B$11,2,0)</f>
        <v>10</v>
      </c>
      <c r="E1711" t="s">
        <v>5650</v>
      </c>
      <c r="F1711" t="s">
        <v>5654</v>
      </c>
      <c r="H1711" t="str">
        <f ca="1">PROPER(Sites_per_tag[[#This Row],[Adm2Name]])</f>
        <v>Betioky Atsimo</v>
      </c>
      <c r="I1711" t="s">
        <v>5688</v>
      </c>
      <c r="K1711" t="s">
        <v>855</v>
      </c>
      <c r="L1711" t="s">
        <v>5805</v>
      </c>
      <c r="N1711" t="s">
        <v>168</v>
      </c>
      <c r="O1711" t="s">
        <v>4568</v>
      </c>
      <c r="Q1711" t="s">
        <v>168</v>
      </c>
      <c r="R1711" t="s">
        <v>169</v>
      </c>
      <c r="T1711" t="s">
        <v>5</v>
      </c>
      <c r="U1711" s="3" t="str">
        <f>+VLOOKUP(Sites_per_tag[[#This Row],[Activity_tag]],Parameter!$A$24:$B$32,2,0)</f>
        <v>MAM</v>
      </c>
      <c r="W1711">
        <v>44.512250000000002</v>
      </c>
      <c r="X1711">
        <v>-23.39818</v>
      </c>
    </row>
    <row r="1712" spans="1:24" x14ac:dyDescent="0.35">
      <c r="A1712" s="3" t="str">
        <f t="shared" si="26"/>
        <v>MG51506191012001MAM</v>
      </c>
      <c r="B1712" t="s">
        <v>6211</v>
      </c>
      <c r="C1712">
        <f>+VLOOKUP(Sites_per_tag[[#This Row],[Field_office]],Parameter!$A$3:$B$11,2,0)</f>
        <v>6</v>
      </c>
      <c r="E1712" t="s">
        <v>5646</v>
      </c>
      <c r="F1712" t="s">
        <v>5647</v>
      </c>
      <c r="H1712" t="str">
        <f ca="1">PROPER(Sites_per_tag[[#This Row],[Adm2Name]])</f>
        <v>Bekily</v>
      </c>
      <c r="I1712" t="s">
        <v>5683</v>
      </c>
      <c r="K1712" t="s">
        <v>6351</v>
      </c>
      <c r="L1712" t="s">
        <v>6076</v>
      </c>
      <c r="N1712" t="s">
        <v>3196</v>
      </c>
      <c r="O1712" t="s">
        <v>5370</v>
      </c>
      <c r="Q1712" t="s">
        <v>3196</v>
      </c>
      <c r="R1712" t="s">
        <v>3197</v>
      </c>
      <c r="T1712" t="s">
        <v>5</v>
      </c>
      <c r="U1712" s="3" t="str">
        <f>+VLOOKUP(Sites_per_tag[[#This Row],[Activity_tag]],Parameter!$A$24:$B$32,2,0)</f>
        <v>MAM</v>
      </c>
      <c r="W1712">
        <v>45.316039000000004</v>
      </c>
      <c r="X1712">
        <v>-24.240085000000001</v>
      </c>
    </row>
    <row r="1713" spans="1:24" x14ac:dyDescent="0.35">
      <c r="A1713" s="3" t="str">
        <f t="shared" si="26"/>
        <v>MG51506191013001MAM</v>
      </c>
      <c r="B1713" t="s">
        <v>6210</v>
      </c>
      <c r="C1713">
        <f>+VLOOKUP(Sites_per_tag[[#This Row],[Field_office]],Parameter!$A$3:$B$11,2,0)</f>
        <v>10</v>
      </c>
      <c r="E1713" t="s">
        <v>5650</v>
      </c>
      <c r="F1713" t="s">
        <v>5654</v>
      </c>
      <c r="H1713" t="str">
        <f ca="1">PROPER(Sites_per_tag[[#This Row],[Adm2Name]])</f>
        <v>Betioky Atsimo</v>
      </c>
      <c r="I1713" t="s">
        <v>5688</v>
      </c>
      <c r="K1713" t="s">
        <v>855</v>
      </c>
      <c r="L1713" t="s">
        <v>5805</v>
      </c>
      <c r="N1713" t="s">
        <v>3567</v>
      </c>
      <c r="O1713" t="s">
        <v>4569</v>
      </c>
      <c r="Q1713" t="s">
        <v>3567</v>
      </c>
      <c r="R1713" t="s">
        <v>3568</v>
      </c>
      <c r="T1713" t="s">
        <v>5</v>
      </c>
      <c r="U1713" s="3" t="str">
        <f>+VLOOKUP(Sites_per_tag[[#This Row],[Activity_tag]],Parameter!$A$24:$B$32,2,0)</f>
        <v>MAM</v>
      </c>
      <c r="W1713">
        <v>44.504649999999998</v>
      </c>
      <c r="X1713">
        <v>-23.414770000000001</v>
      </c>
    </row>
    <row r="1714" spans="1:24" x14ac:dyDescent="0.35">
      <c r="A1714" s="3" t="str">
        <f t="shared" si="26"/>
        <v>MG51506191014001MAM</v>
      </c>
      <c r="B1714" t="s">
        <v>6210</v>
      </c>
      <c r="C1714">
        <f>+VLOOKUP(Sites_per_tag[[#This Row],[Field_office]],Parameter!$A$3:$B$11,2,0)</f>
        <v>10</v>
      </c>
      <c r="E1714" t="s">
        <v>5650</v>
      </c>
      <c r="F1714" t="s">
        <v>5654</v>
      </c>
      <c r="H1714" t="str">
        <f ca="1">PROPER(Sites_per_tag[[#This Row],[Adm2Name]])</f>
        <v>Betioky Atsimo</v>
      </c>
      <c r="I1714" t="s">
        <v>5688</v>
      </c>
      <c r="K1714" t="s">
        <v>855</v>
      </c>
      <c r="L1714" t="s">
        <v>5805</v>
      </c>
      <c r="N1714" t="s">
        <v>2464</v>
      </c>
      <c r="O1714" t="s">
        <v>4570</v>
      </c>
      <c r="Q1714" t="s">
        <v>2464</v>
      </c>
      <c r="R1714" t="s">
        <v>2465</v>
      </c>
      <c r="T1714" t="s">
        <v>5</v>
      </c>
      <c r="U1714" s="3" t="str">
        <f>+VLOOKUP(Sites_per_tag[[#This Row],[Activity_tag]],Parameter!$A$24:$B$32,2,0)</f>
        <v>MAM</v>
      </c>
      <c r="W1714">
        <v>44.494520000000001</v>
      </c>
      <c r="X1714">
        <v>-23.427379999999999</v>
      </c>
    </row>
    <row r="1715" spans="1:24" x14ac:dyDescent="0.35">
      <c r="A1715" s="3" t="str">
        <f t="shared" si="26"/>
        <v>MG51506191015001MAM</v>
      </c>
      <c r="B1715" t="s">
        <v>6210</v>
      </c>
      <c r="C1715">
        <f>+VLOOKUP(Sites_per_tag[[#This Row],[Field_office]],Parameter!$A$3:$B$11,2,0)</f>
        <v>10</v>
      </c>
      <c r="E1715" t="s">
        <v>5650</v>
      </c>
      <c r="F1715" t="s">
        <v>5654</v>
      </c>
      <c r="H1715" t="str">
        <f ca="1">PROPER(Sites_per_tag[[#This Row],[Adm2Name]])</f>
        <v>Betioky Atsimo</v>
      </c>
      <c r="I1715" t="s">
        <v>5688</v>
      </c>
      <c r="K1715" t="s">
        <v>855</v>
      </c>
      <c r="L1715" t="s">
        <v>5805</v>
      </c>
      <c r="N1715" t="s">
        <v>2852</v>
      </c>
      <c r="O1715" t="s">
        <v>4571</v>
      </c>
      <c r="Q1715" t="s">
        <v>2852</v>
      </c>
      <c r="R1715" t="s">
        <v>2853</v>
      </c>
      <c r="T1715" t="s">
        <v>5</v>
      </c>
      <c r="U1715" s="3" t="str">
        <f>+VLOOKUP(Sites_per_tag[[#This Row],[Activity_tag]],Parameter!$A$24:$B$32,2,0)</f>
        <v>MAM</v>
      </c>
      <c r="W1715">
        <v>44.505270000000003</v>
      </c>
      <c r="X1715">
        <v>-23.439350000000001</v>
      </c>
    </row>
    <row r="1716" spans="1:24" x14ac:dyDescent="0.35">
      <c r="A1716" s="3" t="str">
        <f t="shared" si="26"/>
        <v>MG51506191058001MAM</v>
      </c>
      <c r="B1716" t="s">
        <v>6210</v>
      </c>
      <c r="C1716">
        <f>+VLOOKUP(Sites_per_tag[[#This Row],[Field_office]],Parameter!$A$3:$B$11,2,0)</f>
        <v>10</v>
      </c>
      <c r="E1716" t="s">
        <v>5650</v>
      </c>
      <c r="F1716" t="s">
        <v>5654</v>
      </c>
      <c r="H1716" t="str">
        <f ca="1">PROPER(Sites_per_tag[[#This Row],[Adm2Name]])</f>
        <v>Betioky Atsimo</v>
      </c>
      <c r="I1716" t="s">
        <v>5688</v>
      </c>
      <c r="K1716" t="s">
        <v>855</v>
      </c>
      <c r="L1716" t="s">
        <v>5805</v>
      </c>
      <c r="N1716" t="s">
        <v>3196</v>
      </c>
      <c r="O1716" t="s">
        <v>4572</v>
      </c>
      <c r="Q1716" t="s">
        <v>3206</v>
      </c>
      <c r="R1716" t="s">
        <v>3207</v>
      </c>
      <c r="T1716" t="s">
        <v>5</v>
      </c>
      <c r="U1716" s="3" t="str">
        <f>+VLOOKUP(Sites_per_tag[[#This Row],[Activity_tag]],Parameter!$A$24:$B$32,2,0)</f>
        <v>MAM</v>
      </c>
      <c r="W1716">
        <v>44.478029999999997</v>
      </c>
      <c r="X1716">
        <v>-23.393170000000001</v>
      </c>
    </row>
    <row r="1717" spans="1:24" x14ac:dyDescent="0.35">
      <c r="A1717" s="3" t="str">
        <f t="shared" si="26"/>
        <v>MG51506192003001MAM</v>
      </c>
      <c r="B1717" t="s">
        <v>6210</v>
      </c>
      <c r="C1717">
        <f>+VLOOKUP(Sites_per_tag[[#This Row],[Field_office]],Parameter!$A$3:$B$11,2,0)</f>
        <v>10</v>
      </c>
      <c r="E1717" t="s">
        <v>5650</v>
      </c>
      <c r="F1717" t="s">
        <v>5654</v>
      </c>
      <c r="H1717" t="str">
        <f ca="1">PROPER(Sites_per_tag[[#This Row],[Adm2Name]])</f>
        <v>Betioky Atsimo</v>
      </c>
      <c r="I1717" t="s">
        <v>5688</v>
      </c>
      <c r="K1717" t="s">
        <v>5811</v>
      </c>
      <c r="L1717" t="s">
        <v>6107</v>
      </c>
      <c r="N1717" t="s">
        <v>1998</v>
      </c>
      <c r="O1717" t="s">
        <v>5452</v>
      </c>
      <c r="Q1717" t="s">
        <v>1998</v>
      </c>
      <c r="R1717" t="s">
        <v>1999</v>
      </c>
      <c r="T1717" t="s">
        <v>5</v>
      </c>
      <c r="U1717" s="3" t="str">
        <f>+VLOOKUP(Sites_per_tag[[#This Row],[Activity_tag]],Parameter!$A$24:$B$32,2,0)</f>
        <v>MAM</v>
      </c>
      <c r="W1717">
        <v>45.027484000000001</v>
      </c>
      <c r="X1717">
        <v>-23.456804999999999</v>
      </c>
    </row>
    <row r="1718" spans="1:24" x14ac:dyDescent="0.35">
      <c r="A1718" s="3" t="str">
        <f t="shared" si="26"/>
        <v>MG51506210001001MAM</v>
      </c>
      <c r="B1718" t="s">
        <v>6210</v>
      </c>
      <c r="C1718">
        <f>+VLOOKUP(Sites_per_tag[[#This Row],[Field_office]],Parameter!$A$3:$B$11,2,0)</f>
        <v>10</v>
      </c>
      <c r="E1718" t="s">
        <v>5650</v>
      </c>
      <c r="F1718" t="s">
        <v>5654</v>
      </c>
      <c r="H1718" t="str">
        <f ca="1">PROPER(Sites_per_tag[[#This Row],[Adm2Name]])</f>
        <v>Betioky Atsimo</v>
      </c>
      <c r="I1718" t="s">
        <v>5688</v>
      </c>
      <c r="K1718" t="s">
        <v>5811</v>
      </c>
      <c r="L1718" t="s">
        <v>6107</v>
      </c>
      <c r="N1718" t="s">
        <v>3493</v>
      </c>
      <c r="O1718" t="s">
        <v>5453</v>
      </c>
      <c r="Q1718" t="s">
        <v>3493</v>
      </c>
      <c r="R1718" t="s">
        <v>3494</v>
      </c>
      <c r="T1718" t="s">
        <v>5</v>
      </c>
      <c r="U1718" s="3" t="str">
        <f>+VLOOKUP(Sites_per_tag[[#This Row],[Activity_tag]],Parameter!$A$24:$B$32,2,0)</f>
        <v>MAM</v>
      </c>
      <c r="W1718">
        <v>44.770569999999999</v>
      </c>
      <c r="X1718">
        <v>-23.87452</v>
      </c>
    </row>
    <row r="1719" spans="1:24" x14ac:dyDescent="0.35">
      <c r="A1719" s="3" t="str">
        <f t="shared" si="26"/>
        <v>MG51506210002001MAM</v>
      </c>
      <c r="B1719" t="s">
        <v>6210</v>
      </c>
      <c r="C1719">
        <f>+VLOOKUP(Sites_per_tag[[#This Row],[Field_office]],Parameter!$A$3:$B$11,2,0)</f>
        <v>10</v>
      </c>
      <c r="E1719" t="s">
        <v>5650</v>
      </c>
      <c r="F1719" t="s">
        <v>5654</v>
      </c>
      <c r="H1719" t="str">
        <f ca="1">PROPER(Sites_per_tag[[#This Row],[Adm2Name]])</f>
        <v>Betioky Atsimo</v>
      </c>
      <c r="I1719" t="s">
        <v>5688</v>
      </c>
      <c r="K1719" t="s">
        <v>5811</v>
      </c>
      <c r="L1719" t="s">
        <v>6107</v>
      </c>
      <c r="N1719" t="s">
        <v>222</v>
      </c>
      <c r="O1719" t="s">
        <v>5454</v>
      </c>
      <c r="Q1719" t="s">
        <v>222</v>
      </c>
      <c r="R1719" t="s">
        <v>223</v>
      </c>
      <c r="T1719" t="s">
        <v>5</v>
      </c>
      <c r="U1719" s="3" t="str">
        <f>+VLOOKUP(Sites_per_tag[[#This Row],[Activity_tag]],Parameter!$A$24:$B$32,2,0)</f>
        <v>MAM</v>
      </c>
      <c r="W1719">
        <v>44.727606999999999</v>
      </c>
      <c r="X1719">
        <v>-23.889344999999999</v>
      </c>
    </row>
    <row r="1720" spans="1:24" x14ac:dyDescent="0.35">
      <c r="A1720" s="3" t="str">
        <f t="shared" si="26"/>
        <v>MG51506210008001MAM</v>
      </c>
      <c r="B1720" t="s">
        <v>6210</v>
      </c>
      <c r="C1720">
        <f>+VLOOKUP(Sites_per_tag[[#This Row],[Field_office]],Parameter!$A$3:$B$11,2,0)</f>
        <v>10</v>
      </c>
      <c r="E1720" t="s">
        <v>5650</v>
      </c>
      <c r="F1720" t="s">
        <v>5654</v>
      </c>
      <c r="H1720" t="str">
        <f ca="1">PROPER(Sites_per_tag[[#This Row],[Adm2Name]])</f>
        <v>Betioky Atsimo</v>
      </c>
      <c r="I1720" t="s">
        <v>5688</v>
      </c>
      <c r="K1720" t="s">
        <v>855</v>
      </c>
      <c r="L1720" t="s">
        <v>5805</v>
      </c>
      <c r="N1720" t="s">
        <v>3391</v>
      </c>
      <c r="O1720" t="s">
        <v>4573</v>
      </c>
      <c r="Q1720" t="s">
        <v>3391</v>
      </c>
      <c r="R1720" t="s">
        <v>3392</v>
      </c>
      <c r="T1720" t="s">
        <v>5</v>
      </c>
      <c r="U1720" s="3" t="str">
        <f>+VLOOKUP(Sites_per_tag[[#This Row],[Activity_tag]],Parameter!$A$24:$B$32,2,0)</f>
        <v>MAM</v>
      </c>
      <c r="W1720">
        <v>44.866169999999997</v>
      </c>
      <c r="X1720">
        <v>-23.872920000000001</v>
      </c>
    </row>
    <row r="1721" spans="1:24" x14ac:dyDescent="0.35">
      <c r="A1721" s="3" t="str">
        <f t="shared" si="26"/>
        <v>MG51506210010001MAM</v>
      </c>
      <c r="B1721" t="s">
        <v>6210</v>
      </c>
      <c r="C1721">
        <f>+VLOOKUP(Sites_per_tag[[#This Row],[Field_office]],Parameter!$A$3:$B$11,2,0)</f>
        <v>10</v>
      </c>
      <c r="E1721" t="s">
        <v>5650</v>
      </c>
      <c r="F1721" t="s">
        <v>5654</v>
      </c>
      <c r="H1721" t="str">
        <f ca="1">PROPER(Sites_per_tag[[#This Row],[Adm2Name]])</f>
        <v>Betioky Atsimo</v>
      </c>
      <c r="I1721" t="s">
        <v>5688</v>
      </c>
      <c r="K1721" t="s">
        <v>5811</v>
      </c>
      <c r="L1721" t="s">
        <v>6107</v>
      </c>
      <c r="N1721" t="s">
        <v>2017</v>
      </c>
      <c r="O1721" t="s">
        <v>2018</v>
      </c>
      <c r="Q1721" t="s">
        <v>2040</v>
      </c>
      <c r="R1721" t="s">
        <v>2041</v>
      </c>
      <c r="T1721" t="s">
        <v>5</v>
      </c>
      <c r="U1721" s="3" t="str">
        <f>+VLOOKUP(Sites_per_tag[[#This Row],[Activity_tag]],Parameter!$A$24:$B$32,2,0)</f>
        <v>MAM</v>
      </c>
      <c r="W1721">
        <v>44.744630000000001</v>
      </c>
      <c r="X1721">
        <v>-23.906264</v>
      </c>
    </row>
    <row r="1722" spans="1:24" x14ac:dyDescent="0.35">
      <c r="A1722" s="3" t="str">
        <f t="shared" si="26"/>
        <v>MG51506210010PREV</v>
      </c>
      <c r="B1722" t="s">
        <v>6210</v>
      </c>
      <c r="C1722">
        <f>+VLOOKUP(Sites_per_tag[[#This Row],[Field_office]],Parameter!$A$3:$B$11,2,0)</f>
        <v>10</v>
      </c>
      <c r="E1722" t="s">
        <v>5650</v>
      </c>
      <c r="F1722" t="s">
        <v>5654</v>
      </c>
      <c r="H1722" t="str">
        <f ca="1">PROPER(Sites_per_tag[[#This Row],[Adm2Name]])</f>
        <v>Betioky Atsimo</v>
      </c>
      <c r="I1722" t="s">
        <v>5688</v>
      </c>
      <c r="K1722" t="s">
        <v>5811</v>
      </c>
      <c r="L1722" t="s">
        <v>6107</v>
      </c>
      <c r="N1722" t="s">
        <v>2017</v>
      </c>
      <c r="Q1722" t="s">
        <v>2017</v>
      </c>
      <c r="R1722" t="s">
        <v>2018</v>
      </c>
      <c r="T1722" t="s">
        <v>32</v>
      </c>
      <c r="U1722" s="3" t="str">
        <f>+VLOOKUP(Sites_per_tag[[#This Row],[Activity_tag]],Parameter!$A$24:$B$32,2,0)</f>
        <v>PREV</v>
      </c>
      <c r="W1722">
        <v>44.813020000000002</v>
      </c>
      <c r="X1722">
        <v>-23.874569999999999</v>
      </c>
    </row>
    <row r="1723" spans="1:24" x14ac:dyDescent="0.35">
      <c r="A1723" s="3" t="str">
        <f t="shared" si="26"/>
        <v>MG51506210011PREV</v>
      </c>
      <c r="B1723" t="s">
        <v>6210</v>
      </c>
      <c r="C1723">
        <f>+VLOOKUP(Sites_per_tag[[#This Row],[Field_office]],Parameter!$A$3:$B$11,2,0)</f>
        <v>10</v>
      </c>
      <c r="E1723" t="s">
        <v>5650</v>
      </c>
      <c r="F1723" t="s">
        <v>5654</v>
      </c>
      <c r="H1723" t="str">
        <f ca="1">PROPER(Sites_per_tag[[#This Row],[Adm2Name]])</f>
        <v>Betioky Atsimo</v>
      </c>
      <c r="I1723" t="s">
        <v>5688</v>
      </c>
      <c r="K1723" t="s">
        <v>5811</v>
      </c>
      <c r="L1723" t="s">
        <v>6107</v>
      </c>
      <c r="N1723" t="s">
        <v>3491</v>
      </c>
      <c r="Q1723" t="s">
        <v>3491</v>
      </c>
      <c r="R1723" t="s">
        <v>3492</v>
      </c>
      <c r="T1723" t="s">
        <v>32</v>
      </c>
      <c r="U1723" s="3" t="str">
        <f>+VLOOKUP(Sites_per_tag[[#This Row],[Activity_tag]],Parameter!$A$24:$B$32,2,0)</f>
        <v>PREV</v>
      </c>
      <c r="W1723">
        <v>44.791849999999997</v>
      </c>
      <c r="X1723">
        <v>-23.877970000000001</v>
      </c>
    </row>
    <row r="1724" spans="1:24" x14ac:dyDescent="0.35">
      <c r="A1724" s="3" t="str">
        <f t="shared" si="26"/>
        <v>MG51506210022PREV</v>
      </c>
      <c r="B1724" t="s">
        <v>6210</v>
      </c>
      <c r="C1724">
        <f>+VLOOKUP(Sites_per_tag[[#This Row],[Field_office]],Parameter!$A$3:$B$11,2,0)</f>
        <v>10</v>
      </c>
      <c r="E1724" t="s">
        <v>5650</v>
      </c>
      <c r="F1724" t="s">
        <v>5654</v>
      </c>
      <c r="H1724" t="str">
        <f ca="1">PROPER(Sites_per_tag[[#This Row],[Adm2Name]])</f>
        <v>Betioky Atsimo</v>
      </c>
      <c r="I1724" t="s">
        <v>5688</v>
      </c>
      <c r="K1724" t="s">
        <v>5811</v>
      </c>
      <c r="L1724" t="s">
        <v>6107</v>
      </c>
      <c r="N1724" t="s">
        <v>4273</v>
      </c>
      <c r="Q1724" t="s">
        <v>228</v>
      </c>
      <c r="R1724" t="s">
        <v>229</v>
      </c>
      <c r="T1724" t="s">
        <v>32</v>
      </c>
      <c r="U1724" s="3" t="str">
        <f>+VLOOKUP(Sites_per_tag[[#This Row],[Activity_tag]],Parameter!$A$24:$B$32,2,0)</f>
        <v>PREV</v>
      </c>
      <c r="W1724">
        <v>44.826929999999997</v>
      </c>
      <c r="X1724">
        <v>-23.918900000000001</v>
      </c>
    </row>
    <row r="1725" spans="1:24" x14ac:dyDescent="0.35">
      <c r="A1725" s="3" t="str">
        <f t="shared" si="26"/>
        <v>MG51506210023PREV</v>
      </c>
      <c r="B1725" t="s">
        <v>6210</v>
      </c>
      <c r="C1725">
        <f>+VLOOKUP(Sites_per_tag[[#This Row],[Field_office]],Parameter!$A$3:$B$11,2,0)</f>
        <v>10</v>
      </c>
      <c r="E1725" t="s">
        <v>5650</v>
      </c>
      <c r="F1725" t="s">
        <v>5654</v>
      </c>
      <c r="H1725" t="str">
        <f ca="1">PROPER(Sites_per_tag[[#This Row],[Adm2Name]])</f>
        <v>Betioky Atsimo</v>
      </c>
      <c r="I1725" t="s">
        <v>5688</v>
      </c>
      <c r="K1725" t="s">
        <v>5811</v>
      </c>
      <c r="L1725" t="s">
        <v>6107</v>
      </c>
      <c r="N1725" t="s">
        <v>3931</v>
      </c>
      <c r="Q1725" t="s">
        <v>3931</v>
      </c>
      <c r="R1725" t="s">
        <v>3932</v>
      </c>
      <c r="T1725" t="s">
        <v>32</v>
      </c>
      <c r="U1725" s="3" t="str">
        <f>+VLOOKUP(Sites_per_tag[[#This Row],[Activity_tag]],Parameter!$A$24:$B$32,2,0)</f>
        <v>PREV</v>
      </c>
      <c r="W1725">
        <v>44.713479999999997</v>
      </c>
      <c r="X1725">
        <v>-23.922899999999998</v>
      </c>
    </row>
    <row r="1726" spans="1:24" x14ac:dyDescent="0.35">
      <c r="A1726" s="3" t="str">
        <f t="shared" si="26"/>
        <v>MG51506210026001MAM</v>
      </c>
      <c r="B1726" t="s">
        <v>6210</v>
      </c>
      <c r="C1726">
        <f>+VLOOKUP(Sites_per_tag[[#This Row],[Field_office]],Parameter!$A$3:$B$11,2,0)</f>
        <v>10</v>
      </c>
      <c r="E1726" t="s">
        <v>5650</v>
      </c>
      <c r="F1726" t="s">
        <v>5654</v>
      </c>
      <c r="H1726" t="str">
        <f ca="1">PROPER(Sites_per_tag[[#This Row],[Adm2Name]])</f>
        <v>Betioky Atsimo</v>
      </c>
      <c r="I1726" t="s">
        <v>5688</v>
      </c>
      <c r="K1726" t="s">
        <v>5811</v>
      </c>
      <c r="L1726" t="s">
        <v>6107</v>
      </c>
      <c r="N1726" t="s">
        <v>3933</v>
      </c>
      <c r="O1726" t="s">
        <v>5455</v>
      </c>
      <c r="Q1726" t="s">
        <v>3933</v>
      </c>
      <c r="R1726" t="s">
        <v>3934</v>
      </c>
      <c r="T1726" t="s">
        <v>5</v>
      </c>
      <c r="U1726" s="3" t="str">
        <f>+VLOOKUP(Sites_per_tag[[#This Row],[Activity_tag]],Parameter!$A$24:$B$32,2,0)</f>
        <v>MAM</v>
      </c>
      <c r="W1726">
        <v>44.713320000000003</v>
      </c>
      <c r="X1726">
        <v>-23.929189999999998</v>
      </c>
    </row>
    <row r="1727" spans="1:24" x14ac:dyDescent="0.35">
      <c r="A1727" s="3" t="str">
        <f t="shared" si="26"/>
        <v>MG51506210030001MAM</v>
      </c>
      <c r="B1727" t="s">
        <v>6210</v>
      </c>
      <c r="C1727">
        <f>+VLOOKUP(Sites_per_tag[[#This Row],[Field_office]],Parameter!$A$3:$B$11,2,0)</f>
        <v>10</v>
      </c>
      <c r="E1727" t="s">
        <v>5650</v>
      </c>
      <c r="F1727" t="s">
        <v>5654</v>
      </c>
      <c r="H1727" t="str">
        <f ca="1">PROPER(Sites_per_tag[[#This Row],[Adm2Name]])</f>
        <v>Betioky Atsimo</v>
      </c>
      <c r="I1727" t="s">
        <v>5688</v>
      </c>
      <c r="K1727" t="s">
        <v>5811</v>
      </c>
      <c r="L1727" t="s">
        <v>6107</v>
      </c>
      <c r="N1727" t="s">
        <v>3935</v>
      </c>
      <c r="O1727" t="s">
        <v>5456</v>
      </c>
      <c r="Q1727" t="s">
        <v>3935</v>
      </c>
      <c r="R1727" t="s">
        <v>3936</v>
      </c>
      <c r="T1727" t="s">
        <v>5</v>
      </c>
      <c r="U1727" s="3" t="str">
        <f>+VLOOKUP(Sites_per_tag[[#This Row],[Activity_tag]],Parameter!$A$24:$B$32,2,0)</f>
        <v>MAM</v>
      </c>
      <c r="W1727">
        <v>44.713320000000003</v>
      </c>
      <c r="X1727">
        <v>-23.929189999999998</v>
      </c>
    </row>
    <row r="1728" spans="1:24" x14ac:dyDescent="0.35">
      <c r="A1728" s="3" t="str">
        <f t="shared" si="26"/>
        <v>MG51506252002001MAM</v>
      </c>
      <c r="B1728" t="s">
        <v>6210</v>
      </c>
      <c r="C1728">
        <f>+VLOOKUP(Sites_per_tag[[#This Row],[Field_office]],Parameter!$A$3:$B$11,2,0)</f>
        <v>10</v>
      </c>
      <c r="E1728" t="s">
        <v>5650</v>
      </c>
      <c r="F1728" t="s">
        <v>5654</v>
      </c>
      <c r="H1728" t="str">
        <f ca="1">PROPER(Sites_per_tag[[#This Row],[Adm2Name]])</f>
        <v>Betioky Atsimo</v>
      </c>
      <c r="I1728" t="s">
        <v>5688</v>
      </c>
      <c r="K1728" t="s">
        <v>5811</v>
      </c>
      <c r="L1728" t="s">
        <v>6107</v>
      </c>
      <c r="N1728" t="s">
        <v>2573</v>
      </c>
      <c r="O1728" t="s">
        <v>5457</v>
      </c>
      <c r="Q1728" t="s">
        <v>2573</v>
      </c>
      <c r="R1728" t="s">
        <v>2574</v>
      </c>
      <c r="T1728" t="s">
        <v>5</v>
      </c>
      <c r="U1728" s="3" t="str">
        <f>+VLOOKUP(Sites_per_tag[[#This Row],[Activity_tag]],Parameter!$A$24:$B$32,2,0)</f>
        <v>MAM</v>
      </c>
      <c r="W1728">
        <v>44.804749999999999</v>
      </c>
      <c r="X1728">
        <v>-23.761880000000001</v>
      </c>
    </row>
    <row r="1729" spans="1:24" x14ac:dyDescent="0.35">
      <c r="A1729" s="3" t="str">
        <f t="shared" si="26"/>
        <v>MG51506252004001MAM</v>
      </c>
      <c r="B1729" t="s">
        <v>6210</v>
      </c>
      <c r="C1729">
        <f>+VLOOKUP(Sites_per_tag[[#This Row],[Field_office]],Parameter!$A$3:$B$11,2,0)</f>
        <v>10</v>
      </c>
      <c r="E1729" t="s">
        <v>5650</v>
      </c>
      <c r="F1729" t="s">
        <v>5654</v>
      </c>
      <c r="H1729" t="str">
        <f ca="1">PROPER(Sites_per_tag[[#This Row],[Adm2Name]])</f>
        <v>Betioky Atsimo</v>
      </c>
      <c r="I1729" t="s">
        <v>5688</v>
      </c>
      <c r="K1729" t="s">
        <v>5811</v>
      </c>
      <c r="L1729" t="s">
        <v>6107</v>
      </c>
      <c r="N1729" t="s">
        <v>2575</v>
      </c>
      <c r="O1729" t="s">
        <v>5458</v>
      </c>
      <c r="Q1729" t="s">
        <v>2575</v>
      </c>
      <c r="R1729" t="s">
        <v>2576</v>
      </c>
      <c r="T1729" t="s">
        <v>5</v>
      </c>
      <c r="U1729" s="3" t="str">
        <f>+VLOOKUP(Sites_per_tag[[#This Row],[Activity_tag]],Parameter!$A$24:$B$32,2,0)</f>
        <v>MAM</v>
      </c>
      <c r="W1729">
        <v>44.79515</v>
      </c>
      <c r="X1729">
        <v>-23.776669999999999</v>
      </c>
    </row>
    <row r="1730" spans="1:24" x14ac:dyDescent="0.35">
      <c r="A1730" s="3" t="str">
        <f t="shared" si="26"/>
        <v>MG51506252005001MAM</v>
      </c>
      <c r="B1730" t="s">
        <v>6211</v>
      </c>
      <c r="C1730">
        <f>+VLOOKUP(Sites_per_tag[[#This Row],[Field_office]],Parameter!$A$3:$B$11,2,0)</f>
        <v>6</v>
      </c>
      <c r="E1730" t="s">
        <v>5646</v>
      </c>
      <c r="F1730" t="s">
        <v>5647</v>
      </c>
      <c r="H1730" t="str">
        <f ca="1">PROPER(Sites_per_tag[[#This Row],[Adm2Name]])</f>
        <v>Bekily</v>
      </c>
      <c r="I1730" t="s">
        <v>5683</v>
      </c>
      <c r="K1730" t="s">
        <v>1976</v>
      </c>
      <c r="L1730" t="s">
        <v>5917</v>
      </c>
      <c r="N1730" t="s">
        <v>514</v>
      </c>
      <c r="O1730" t="s">
        <v>4862</v>
      </c>
      <c r="Q1730" t="s">
        <v>514</v>
      </c>
      <c r="R1730" t="s">
        <v>515</v>
      </c>
      <c r="T1730" t="s">
        <v>5</v>
      </c>
      <c r="U1730" s="3" t="str">
        <f>+VLOOKUP(Sites_per_tag[[#This Row],[Activity_tag]],Parameter!$A$24:$B$32,2,0)</f>
        <v>MAM</v>
      </c>
      <c r="W1730">
        <v>45.589742000000001</v>
      </c>
      <c r="X1730">
        <v>-24.136054999999999</v>
      </c>
    </row>
    <row r="1731" spans="1:24" x14ac:dyDescent="0.35">
      <c r="A1731" s="3" t="str">
        <f t="shared" ref="A1731:A1794" si="27">+R1731&amp;U1731</f>
        <v>MG51506252006PREV</v>
      </c>
      <c r="B1731" t="s">
        <v>6210</v>
      </c>
      <c r="C1731">
        <f>+VLOOKUP(Sites_per_tag[[#This Row],[Field_office]],Parameter!$A$3:$B$11,2,0)</f>
        <v>10</v>
      </c>
      <c r="E1731" t="s">
        <v>5650</v>
      </c>
      <c r="F1731" t="s">
        <v>5654</v>
      </c>
      <c r="H1731" t="str">
        <f ca="1">PROPER(Sites_per_tag[[#This Row],[Adm2Name]])</f>
        <v>Betioky Atsimo</v>
      </c>
      <c r="I1731" t="s">
        <v>5688</v>
      </c>
      <c r="K1731" t="s">
        <v>5811</v>
      </c>
      <c r="L1731" t="s">
        <v>6107</v>
      </c>
      <c r="N1731" t="s">
        <v>2912</v>
      </c>
      <c r="Q1731" t="s">
        <v>2912</v>
      </c>
      <c r="R1731" t="s">
        <v>2913</v>
      </c>
      <c r="T1731" t="s">
        <v>32</v>
      </c>
      <c r="U1731" s="3" t="str">
        <f>+VLOOKUP(Sites_per_tag[[#This Row],[Activity_tag]],Parameter!$A$24:$B$32,2,0)</f>
        <v>PREV</v>
      </c>
      <c r="W1731">
        <v>44.809750000000001</v>
      </c>
      <c r="X1731">
        <v>-23.823879999999999</v>
      </c>
    </row>
    <row r="1732" spans="1:24" x14ac:dyDescent="0.35">
      <c r="A1732" s="3" t="str">
        <f t="shared" si="27"/>
        <v>MG51506252013001MAM</v>
      </c>
      <c r="B1732" t="s">
        <v>6210</v>
      </c>
      <c r="C1732">
        <f>+VLOOKUP(Sites_per_tag[[#This Row],[Field_office]],Parameter!$A$3:$B$11,2,0)</f>
        <v>10</v>
      </c>
      <c r="E1732" t="s">
        <v>5650</v>
      </c>
      <c r="F1732" t="s">
        <v>5654</v>
      </c>
      <c r="H1732" t="str">
        <f ca="1">PROPER(Sites_per_tag[[#This Row],[Adm2Name]])</f>
        <v>Betioky Atsimo</v>
      </c>
      <c r="I1732" t="s">
        <v>5688</v>
      </c>
      <c r="K1732" t="s">
        <v>5811</v>
      </c>
      <c r="L1732" t="s">
        <v>6107</v>
      </c>
      <c r="N1732" t="s">
        <v>2104</v>
      </c>
      <c r="O1732" t="s">
        <v>5459</v>
      </c>
      <c r="Q1732" t="s">
        <v>2104</v>
      </c>
      <c r="R1732" t="s">
        <v>2105</v>
      </c>
      <c r="T1732" t="s">
        <v>5</v>
      </c>
      <c r="U1732" s="3" t="str">
        <f>+VLOOKUP(Sites_per_tag[[#This Row],[Activity_tag]],Parameter!$A$24:$B$32,2,0)</f>
        <v>MAM</v>
      </c>
      <c r="W1732">
        <v>44.846229999999998</v>
      </c>
      <c r="X1732">
        <v>-23.805949999999999</v>
      </c>
    </row>
    <row r="1733" spans="1:24" x14ac:dyDescent="0.35">
      <c r="A1733" s="3" t="str">
        <f t="shared" si="27"/>
        <v>MG51506270001001MAM</v>
      </c>
      <c r="B1733" t="s">
        <v>6210</v>
      </c>
      <c r="C1733">
        <f>+VLOOKUP(Sites_per_tag[[#This Row],[Field_office]],Parameter!$A$3:$B$11,2,0)</f>
        <v>10</v>
      </c>
      <c r="E1733" t="s">
        <v>5650</v>
      </c>
      <c r="F1733" t="s">
        <v>5654</v>
      </c>
      <c r="H1733" t="str">
        <f ca="1">PROPER(Sites_per_tag[[#This Row],[Adm2Name]])</f>
        <v>Betioky Atsimo</v>
      </c>
      <c r="I1733" t="s">
        <v>5688</v>
      </c>
      <c r="K1733" t="s">
        <v>3398</v>
      </c>
      <c r="L1733" t="s">
        <v>6095</v>
      </c>
      <c r="N1733" t="s">
        <v>3398</v>
      </c>
      <c r="O1733" t="s">
        <v>3399</v>
      </c>
      <c r="Q1733" t="s">
        <v>3398</v>
      </c>
      <c r="R1733" t="s">
        <v>3400</v>
      </c>
      <c r="T1733" t="s">
        <v>5</v>
      </c>
      <c r="U1733" s="3" t="str">
        <f>+VLOOKUP(Sites_per_tag[[#This Row],[Activity_tag]],Parameter!$A$24:$B$32,2,0)</f>
        <v>MAM</v>
      </c>
      <c r="W1733">
        <v>44.7027</v>
      </c>
      <c r="X1733">
        <v>-23.524539999999998</v>
      </c>
    </row>
    <row r="1734" spans="1:24" x14ac:dyDescent="0.35">
      <c r="A1734" s="3" t="str">
        <f t="shared" si="27"/>
        <v>MG51506270001PREV</v>
      </c>
      <c r="B1734" t="s">
        <v>6210</v>
      </c>
      <c r="C1734">
        <f>+VLOOKUP(Sites_per_tag[[#This Row],[Field_office]],Parameter!$A$3:$B$11,2,0)</f>
        <v>10</v>
      </c>
      <c r="E1734" t="s">
        <v>5650</v>
      </c>
      <c r="F1734" t="s">
        <v>5654</v>
      </c>
      <c r="H1734" t="str">
        <f ca="1">PROPER(Sites_per_tag[[#This Row],[Adm2Name]])</f>
        <v>Betioky Atsimo</v>
      </c>
      <c r="I1734" t="s">
        <v>5688</v>
      </c>
      <c r="K1734" t="s">
        <v>3398</v>
      </c>
      <c r="L1734" t="s">
        <v>6095</v>
      </c>
      <c r="N1734" t="s">
        <v>3398</v>
      </c>
      <c r="Q1734" t="s">
        <v>3398</v>
      </c>
      <c r="R1734" t="s">
        <v>3399</v>
      </c>
      <c r="T1734" t="s">
        <v>32</v>
      </c>
      <c r="U1734" s="3" t="str">
        <f>+VLOOKUP(Sites_per_tag[[#This Row],[Activity_tag]],Parameter!$A$24:$B$32,2,0)</f>
        <v>PREV</v>
      </c>
      <c r="W1734">
        <v>44.699280000000002</v>
      </c>
      <c r="X1734">
        <v>-23.526630000000001</v>
      </c>
    </row>
    <row r="1735" spans="1:24" x14ac:dyDescent="0.35">
      <c r="A1735" s="3" t="str">
        <f t="shared" si="27"/>
        <v>MG51506270006001MAM</v>
      </c>
      <c r="B1735" t="s">
        <v>6210</v>
      </c>
      <c r="C1735">
        <f>+VLOOKUP(Sites_per_tag[[#This Row],[Field_office]],Parameter!$A$3:$B$11,2,0)</f>
        <v>10</v>
      </c>
      <c r="E1735" t="s">
        <v>5650</v>
      </c>
      <c r="F1735" t="s">
        <v>5654</v>
      </c>
      <c r="H1735" t="str">
        <f ca="1">PROPER(Sites_per_tag[[#This Row],[Adm2Name]])</f>
        <v>Betioky Atsimo</v>
      </c>
      <c r="I1735" t="s">
        <v>5688</v>
      </c>
      <c r="K1735" t="s">
        <v>3398</v>
      </c>
      <c r="L1735" t="s">
        <v>6095</v>
      </c>
      <c r="N1735" t="s">
        <v>3396</v>
      </c>
      <c r="O1735" t="s">
        <v>5417</v>
      </c>
      <c r="Q1735" t="s">
        <v>3396</v>
      </c>
      <c r="R1735" t="s">
        <v>3397</v>
      </c>
      <c r="T1735" t="s">
        <v>5</v>
      </c>
      <c r="U1735" s="3" t="str">
        <f>+VLOOKUP(Sites_per_tag[[#This Row],[Activity_tag]],Parameter!$A$24:$B$32,2,0)</f>
        <v>MAM</v>
      </c>
      <c r="W1735">
        <v>44.694920000000003</v>
      </c>
      <c r="X1735">
        <v>-23.526319999999998</v>
      </c>
    </row>
    <row r="1736" spans="1:24" x14ac:dyDescent="0.35">
      <c r="A1736" s="3" t="str">
        <f t="shared" si="27"/>
        <v>MG51506290004PREV</v>
      </c>
      <c r="B1736" t="s">
        <v>6210</v>
      </c>
      <c r="C1736">
        <f>+VLOOKUP(Sites_per_tag[[#This Row],[Field_office]],Parameter!$A$3:$B$11,2,0)</f>
        <v>10</v>
      </c>
      <c r="E1736" t="s">
        <v>5650</v>
      </c>
      <c r="F1736" t="s">
        <v>5654</v>
      </c>
      <c r="H1736" t="str">
        <f ca="1">PROPER(Sites_per_tag[[#This Row],[Adm2Name]])</f>
        <v>Betioky Atsimo</v>
      </c>
      <c r="I1736" t="s">
        <v>5688</v>
      </c>
      <c r="K1736" t="s">
        <v>6120</v>
      </c>
      <c r="L1736" t="s">
        <v>6121</v>
      </c>
      <c r="N1736" t="s">
        <v>3560</v>
      </c>
      <c r="Q1736" t="s">
        <v>3560</v>
      </c>
      <c r="R1736" t="s">
        <v>3561</v>
      </c>
      <c r="T1736" t="s">
        <v>32</v>
      </c>
      <c r="U1736" s="3" t="str">
        <f>+VLOOKUP(Sites_per_tag[[#This Row],[Activity_tag]],Parameter!$A$24:$B$32,2,0)</f>
        <v>PREV</v>
      </c>
      <c r="W1736">
        <v>44.738750000000003</v>
      </c>
      <c r="X1736">
        <v>-23.534500000000001</v>
      </c>
    </row>
    <row r="1737" spans="1:24" x14ac:dyDescent="0.35">
      <c r="A1737" s="3" t="str">
        <f t="shared" si="27"/>
        <v>MG51506290008PREV</v>
      </c>
      <c r="B1737" t="s">
        <v>6210</v>
      </c>
      <c r="C1737">
        <f>+VLOOKUP(Sites_per_tag[[#This Row],[Field_office]],Parameter!$A$3:$B$11,2,0)</f>
        <v>10</v>
      </c>
      <c r="E1737" t="s">
        <v>5650</v>
      </c>
      <c r="F1737" t="s">
        <v>5654</v>
      </c>
      <c r="H1737" t="str">
        <f ca="1">PROPER(Sites_per_tag[[#This Row],[Adm2Name]])</f>
        <v>Betioky Atsimo</v>
      </c>
      <c r="I1737" t="s">
        <v>5688</v>
      </c>
      <c r="K1737" t="s">
        <v>6120</v>
      </c>
      <c r="L1737" t="s">
        <v>6121</v>
      </c>
      <c r="N1737" t="s">
        <v>2949</v>
      </c>
      <c r="Q1737" t="s">
        <v>2949</v>
      </c>
      <c r="R1737" t="s">
        <v>2950</v>
      </c>
      <c r="T1737" t="s">
        <v>32</v>
      </c>
      <c r="U1737" s="3" t="str">
        <f>+VLOOKUP(Sites_per_tag[[#This Row],[Activity_tag]],Parameter!$A$24:$B$32,2,0)</f>
        <v>PREV</v>
      </c>
      <c r="W1737">
        <v>44.767479999999999</v>
      </c>
      <c r="X1737">
        <v>-23.553280000000001</v>
      </c>
    </row>
    <row r="1738" spans="1:24" x14ac:dyDescent="0.35">
      <c r="A1738" s="3" t="str">
        <f t="shared" si="27"/>
        <v>MG51506290009001MAM</v>
      </c>
      <c r="B1738" t="s">
        <v>6211</v>
      </c>
      <c r="C1738">
        <f>+VLOOKUP(Sites_per_tag[[#This Row],[Field_office]],Parameter!$A$3:$B$11,2,0)</f>
        <v>6</v>
      </c>
      <c r="E1738" t="s">
        <v>5646</v>
      </c>
      <c r="F1738" t="s">
        <v>5647</v>
      </c>
      <c r="H1738" t="str">
        <f ca="1">PROPER(Sites_per_tag[[#This Row],[Adm2Name]])</f>
        <v>Bekily</v>
      </c>
      <c r="I1738" t="s">
        <v>5683</v>
      </c>
      <c r="K1738" t="s">
        <v>2017</v>
      </c>
      <c r="L1738" t="s">
        <v>5922</v>
      </c>
      <c r="N1738" t="s">
        <v>2468</v>
      </c>
      <c r="O1738" t="s">
        <v>4042</v>
      </c>
      <c r="Q1738" t="s">
        <v>2468</v>
      </c>
      <c r="R1738" t="s">
        <v>2469</v>
      </c>
      <c r="T1738" t="s">
        <v>5</v>
      </c>
      <c r="U1738" s="3" t="str">
        <f>+VLOOKUP(Sites_per_tag[[#This Row],[Activity_tag]],Parameter!$A$24:$B$32,2,0)</f>
        <v>MAM</v>
      </c>
      <c r="W1738">
        <v>45.30536</v>
      </c>
      <c r="X1738">
        <v>-24.153022</v>
      </c>
    </row>
    <row r="1739" spans="1:24" x14ac:dyDescent="0.35">
      <c r="A1739" s="3" t="str">
        <f t="shared" si="27"/>
        <v>MG51506290009002STUNT</v>
      </c>
      <c r="B1739" t="s">
        <v>1837</v>
      </c>
      <c r="C1739">
        <f>+VLOOKUP(Sites_per_tag[[#This Row],[Field_office]],Parameter!$A$3:$B$11,2,0)</f>
        <v>1</v>
      </c>
      <c r="E1739" t="s">
        <v>5646</v>
      </c>
      <c r="F1739" t="s">
        <v>5647</v>
      </c>
      <c r="H1739" t="str">
        <f ca="1">PROPER(Sites_per_tag[[#This Row],[Adm2Name]])</f>
        <v>Bekily</v>
      </c>
      <c r="I1739" t="s">
        <v>5683</v>
      </c>
      <c r="K1739" t="s">
        <v>2017</v>
      </c>
      <c r="L1739" t="s">
        <v>5922</v>
      </c>
      <c r="N1739" t="s">
        <v>2468</v>
      </c>
      <c r="O1739" t="s">
        <v>4042</v>
      </c>
      <c r="Q1739" t="s">
        <v>2470</v>
      </c>
      <c r="R1739" t="s">
        <v>2471</v>
      </c>
      <c r="T1739" t="s">
        <v>50</v>
      </c>
      <c r="U1739" s="3" t="str">
        <f>+VLOOKUP(Sites_per_tag[[#This Row],[Activity_tag]],Parameter!$A$24:$B$32,2,0)</f>
        <v>STUNT</v>
      </c>
      <c r="V1739" t="s">
        <v>6456</v>
      </c>
      <c r="W1739">
        <v>45.306787999999997</v>
      </c>
      <c r="X1739">
        <v>-24.159209000000001</v>
      </c>
    </row>
    <row r="1740" spans="1:24" x14ac:dyDescent="0.35">
      <c r="A1740" s="3" t="str">
        <f t="shared" si="27"/>
        <v>MG51506330017PREV</v>
      </c>
      <c r="B1740" t="s">
        <v>6210</v>
      </c>
      <c r="C1740">
        <f>+VLOOKUP(Sites_per_tag[[#This Row],[Field_office]],Parameter!$A$3:$B$11,2,0)</f>
        <v>10</v>
      </c>
      <c r="E1740" t="s">
        <v>5650</v>
      </c>
      <c r="F1740" t="s">
        <v>5654</v>
      </c>
      <c r="H1740" t="str">
        <f ca="1">PROPER(Sites_per_tag[[#This Row],[Adm2Name]])</f>
        <v>Betioky Atsimo</v>
      </c>
      <c r="I1740" t="s">
        <v>5688</v>
      </c>
      <c r="K1740" t="s">
        <v>2694</v>
      </c>
      <c r="L1740" t="s">
        <v>5996</v>
      </c>
      <c r="N1740" t="s">
        <v>1372</v>
      </c>
      <c r="Q1740" t="s">
        <v>1372</v>
      </c>
      <c r="R1740" t="s">
        <v>1373</v>
      </c>
      <c r="T1740" t="s">
        <v>32</v>
      </c>
      <c r="U1740" s="3" t="str">
        <f>+VLOOKUP(Sites_per_tag[[#This Row],[Activity_tag]],Parameter!$A$24:$B$32,2,0)</f>
        <v>PREV</v>
      </c>
      <c r="W1740">
        <v>45.068550000000002</v>
      </c>
      <c r="X1740">
        <v>-23.810870000000001</v>
      </c>
    </row>
    <row r="1741" spans="1:24" x14ac:dyDescent="0.35">
      <c r="A1741" s="3" t="str">
        <f t="shared" si="27"/>
        <v>MG51506330036PREV</v>
      </c>
      <c r="B1741" t="s">
        <v>6210</v>
      </c>
      <c r="C1741">
        <f>+VLOOKUP(Sites_per_tag[[#This Row],[Field_office]],Parameter!$A$3:$B$11,2,0)</f>
        <v>10</v>
      </c>
      <c r="E1741" t="s">
        <v>5650</v>
      </c>
      <c r="F1741" t="s">
        <v>5654</v>
      </c>
      <c r="H1741" t="str">
        <f ca="1">PROPER(Sites_per_tag[[#This Row],[Adm2Name]])</f>
        <v>Betioky Atsimo</v>
      </c>
      <c r="I1741" t="s">
        <v>5688</v>
      </c>
      <c r="K1741" t="s">
        <v>2694</v>
      </c>
      <c r="L1741" t="s">
        <v>5996</v>
      </c>
      <c r="N1741" t="s">
        <v>2100</v>
      </c>
      <c r="Q1741" t="s">
        <v>2100</v>
      </c>
      <c r="R1741" t="s">
        <v>2101</v>
      </c>
      <c r="T1741" t="s">
        <v>32</v>
      </c>
      <c r="U1741" s="3" t="str">
        <f>+VLOOKUP(Sites_per_tag[[#This Row],[Activity_tag]],Parameter!$A$24:$B$32,2,0)</f>
        <v>PREV</v>
      </c>
      <c r="W1741">
        <v>44.932600000000001</v>
      </c>
      <c r="X1741">
        <v>-23.945070000000001</v>
      </c>
    </row>
    <row r="1742" spans="1:24" x14ac:dyDescent="0.35">
      <c r="A1742" s="3" t="str">
        <f t="shared" si="27"/>
        <v>MG51506330059PREV</v>
      </c>
      <c r="B1742" t="s">
        <v>6211</v>
      </c>
      <c r="C1742">
        <f>+VLOOKUP(Sites_per_tag[[#This Row],[Field_office]],Parameter!$A$3:$B$11,2,0)</f>
        <v>6</v>
      </c>
      <c r="E1742" t="s">
        <v>1448</v>
      </c>
      <c r="F1742" t="s">
        <v>5651</v>
      </c>
      <c r="H1742" t="str">
        <f ca="1">PROPER(Sites_per_tag[[#This Row],[Adm2Name]])</f>
        <v>Amboasary-Atsimo</v>
      </c>
      <c r="I1742" t="s">
        <v>5641</v>
      </c>
      <c r="K1742" t="s">
        <v>2744</v>
      </c>
      <c r="L1742" t="s">
        <v>6005</v>
      </c>
      <c r="N1742" t="s">
        <v>2232</v>
      </c>
      <c r="Q1742" t="s">
        <v>2232</v>
      </c>
      <c r="R1742" t="s">
        <v>2233</v>
      </c>
      <c r="T1742" t="s">
        <v>32</v>
      </c>
      <c r="U1742" s="3" t="str">
        <f>+VLOOKUP(Sites_per_tag[[#This Row],[Activity_tag]],Parameter!$A$24:$B$32,2,0)</f>
        <v>PREV</v>
      </c>
      <c r="W1742">
        <v>46.300150000000002</v>
      </c>
      <c r="X1742">
        <v>-24.210429999999999</v>
      </c>
    </row>
    <row r="1743" spans="1:24" x14ac:dyDescent="0.35">
      <c r="A1743" s="3" t="str">
        <f t="shared" si="27"/>
        <v>MG51507010001001MAM</v>
      </c>
      <c r="B1743" t="s">
        <v>6267</v>
      </c>
      <c r="C1743">
        <f>+VLOOKUP(Sites_per_tag[[#This Row],[Field_office]],Parameter!$A$3:$B$11,2,0)</f>
        <v>9</v>
      </c>
      <c r="E1743" t="s">
        <v>5650</v>
      </c>
      <c r="F1743" t="s">
        <v>5654</v>
      </c>
      <c r="H1743" t="str">
        <f ca="1">PROPER(Sites_per_tag[[#This Row],[Adm2Name]])</f>
        <v>Ampanihy Ouest</v>
      </c>
      <c r="I1743" t="s">
        <v>5660</v>
      </c>
      <c r="K1743" t="s">
        <v>5607</v>
      </c>
      <c r="L1743" t="s">
        <v>5760</v>
      </c>
      <c r="N1743" t="s">
        <v>518</v>
      </c>
      <c r="O1743" t="s">
        <v>519</v>
      </c>
      <c r="Q1743" t="s">
        <v>518</v>
      </c>
      <c r="R1743" t="s">
        <v>520</v>
      </c>
      <c r="T1743" t="s">
        <v>5</v>
      </c>
      <c r="U1743" s="3" t="str">
        <f>+VLOOKUP(Sites_per_tag[[#This Row],[Activity_tag]],Parameter!$A$24:$B$32,2,0)</f>
        <v>MAM</v>
      </c>
      <c r="W1743">
        <v>44.74662</v>
      </c>
      <c r="X1743">
        <v>-24.693529999999999</v>
      </c>
    </row>
    <row r="1744" spans="1:24" x14ac:dyDescent="0.35">
      <c r="A1744" s="3" t="str">
        <f t="shared" si="27"/>
        <v>MG51507010001PREV</v>
      </c>
      <c r="B1744" t="s">
        <v>6267</v>
      </c>
      <c r="C1744">
        <f>+VLOOKUP(Sites_per_tag[[#This Row],[Field_office]],Parameter!$A$3:$B$11,2,0)</f>
        <v>9</v>
      </c>
      <c r="E1744" t="s">
        <v>5650</v>
      </c>
      <c r="F1744" t="s">
        <v>5654</v>
      </c>
      <c r="H1744" t="str">
        <f ca="1">PROPER(Sites_per_tag[[#This Row],[Adm2Name]])</f>
        <v>Ampanihy Ouest</v>
      </c>
      <c r="I1744" t="s">
        <v>5660</v>
      </c>
      <c r="K1744" t="s">
        <v>518</v>
      </c>
      <c r="L1744" t="s">
        <v>5759</v>
      </c>
      <c r="N1744" t="s">
        <v>4240</v>
      </c>
      <c r="Q1744" t="s">
        <v>518</v>
      </c>
      <c r="R1744" t="s">
        <v>519</v>
      </c>
      <c r="T1744" t="s">
        <v>32</v>
      </c>
      <c r="U1744" s="3" t="str">
        <f>+VLOOKUP(Sites_per_tag[[#This Row],[Activity_tag]],Parameter!$A$24:$B$32,2,0)</f>
        <v>PREV</v>
      </c>
      <c r="W1744">
        <v>44.74662</v>
      </c>
      <c r="X1744">
        <v>-24.693529999999999</v>
      </c>
    </row>
    <row r="1745" spans="1:24" x14ac:dyDescent="0.35">
      <c r="A1745" s="3" t="str">
        <f t="shared" si="27"/>
        <v>MG51507010002001MAM</v>
      </c>
      <c r="B1745" t="s">
        <v>6267</v>
      </c>
      <c r="C1745">
        <f>+VLOOKUP(Sites_per_tag[[#This Row],[Field_office]],Parameter!$A$3:$B$11,2,0)</f>
        <v>9</v>
      </c>
      <c r="E1745" t="s">
        <v>5650</v>
      </c>
      <c r="F1745" t="s">
        <v>5654</v>
      </c>
      <c r="H1745" t="str">
        <f ca="1">PROPER(Sites_per_tag[[#This Row],[Adm2Name]])</f>
        <v>Ampanihy Ouest</v>
      </c>
      <c r="I1745" t="s">
        <v>5660</v>
      </c>
      <c r="K1745" t="s">
        <v>5607</v>
      </c>
      <c r="L1745" t="s">
        <v>5760</v>
      </c>
      <c r="N1745" t="s">
        <v>4483</v>
      </c>
      <c r="O1745" t="s">
        <v>4482</v>
      </c>
      <c r="Q1745" t="s">
        <v>3334</v>
      </c>
      <c r="R1745" t="s">
        <v>3335</v>
      </c>
      <c r="T1745" t="s">
        <v>5</v>
      </c>
      <c r="U1745" s="3" t="str">
        <f>+VLOOKUP(Sites_per_tag[[#This Row],[Activity_tag]],Parameter!$A$24:$B$32,2,0)</f>
        <v>MAM</v>
      </c>
      <c r="W1745">
        <v>44.86262</v>
      </c>
      <c r="X1745">
        <v>-24.549620000000001</v>
      </c>
    </row>
    <row r="1746" spans="1:24" x14ac:dyDescent="0.35">
      <c r="A1746" s="3" t="str">
        <f t="shared" si="27"/>
        <v>MG51507010003001MAM</v>
      </c>
      <c r="B1746" t="s">
        <v>6267</v>
      </c>
      <c r="C1746">
        <f>+VLOOKUP(Sites_per_tag[[#This Row],[Field_office]],Parameter!$A$3:$B$11,2,0)</f>
        <v>9</v>
      </c>
      <c r="E1746" t="s">
        <v>5650</v>
      </c>
      <c r="F1746" t="s">
        <v>5654</v>
      </c>
      <c r="H1746" t="str">
        <f ca="1">PROPER(Sites_per_tag[[#This Row],[Adm2Name]])</f>
        <v>Ampanihy Ouest</v>
      </c>
      <c r="I1746" t="s">
        <v>5660</v>
      </c>
      <c r="K1746" t="s">
        <v>5607</v>
      </c>
      <c r="L1746" t="s">
        <v>5760</v>
      </c>
      <c r="N1746" t="s">
        <v>126</v>
      </c>
      <c r="O1746" t="s">
        <v>4484</v>
      </c>
      <c r="Q1746" t="s">
        <v>126</v>
      </c>
      <c r="R1746" t="s">
        <v>127</v>
      </c>
      <c r="T1746" t="s">
        <v>5</v>
      </c>
      <c r="U1746" s="3" t="str">
        <f>+VLOOKUP(Sites_per_tag[[#This Row],[Activity_tag]],Parameter!$A$24:$B$32,2,0)</f>
        <v>MAM</v>
      </c>
      <c r="W1746">
        <v>44.74953</v>
      </c>
      <c r="X1746">
        <v>-24.92</v>
      </c>
    </row>
    <row r="1747" spans="1:24" x14ac:dyDescent="0.35">
      <c r="A1747" s="3" t="str">
        <f t="shared" si="27"/>
        <v>MG51507010004001MAM</v>
      </c>
      <c r="B1747" t="s">
        <v>6267</v>
      </c>
      <c r="C1747">
        <f>+VLOOKUP(Sites_per_tag[[#This Row],[Field_office]],Parameter!$A$3:$B$11,2,0)</f>
        <v>9</v>
      </c>
      <c r="E1747" t="s">
        <v>5650</v>
      </c>
      <c r="F1747" t="s">
        <v>5654</v>
      </c>
      <c r="H1747" t="str">
        <f ca="1">PROPER(Sites_per_tag[[#This Row],[Adm2Name]])</f>
        <v>Ampanihy Ouest</v>
      </c>
      <c r="I1747" t="s">
        <v>5660</v>
      </c>
      <c r="K1747" t="s">
        <v>5607</v>
      </c>
      <c r="L1747" t="s">
        <v>5760</v>
      </c>
      <c r="N1747" t="s">
        <v>2664</v>
      </c>
      <c r="O1747" t="s">
        <v>4485</v>
      </c>
      <c r="Q1747" t="s">
        <v>2664</v>
      </c>
      <c r="R1747" t="s">
        <v>2665</v>
      </c>
      <c r="T1747" t="s">
        <v>5</v>
      </c>
      <c r="U1747" s="3" t="str">
        <f>+VLOOKUP(Sites_per_tag[[#This Row],[Activity_tag]],Parameter!$A$24:$B$32,2,0)</f>
        <v>MAM</v>
      </c>
      <c r="W1747">
        <v>44.816470000000002</v>
      </c>
      <c r="X1747">
        <v>-24.694099999999999</v>
      </c>
    </row>
    <row r="1748" spans="1:24" x14ac:dyDescent="0.35">
      <c r="A1748" s="3" t="str">
        <f t="shared" si="27"/>
        <v>MG51507010006001MAM</v>
      </c>
      <c r="B1748" t="s">
        <v>6267</v>
      </c>
      <c r="C1748">
        <f>+VLOOKUP(Sites_per_tag[[#This Row],[Field_office]],Parameter!$A$3:$B$11,2,0)</f>
        <v>9</v>
      </c>
      <c r="E1748" t="s">
        <v>5650</v>
      </c>
      <c r="F1748" t="s">
        <v>5654</v>
      </c>
      <c r="H1748" t="str">
        <f ca="1">PROPER(Sites_per_tag[[#This Row],[Adm2Name]])</f>
        <v>Ampanihy Ouest</v>
      </c>
      <c r="I1748" t="s">
        <v>5660</v>
      </c>
      <c r="K1748" t="s">
        <v>5607</v>
      </c>
      <c r="L1748" t="s">
        <v>5760</v>
      </c>
      <c r="N1748" t="s">
        <v>1496</v>
      </c>
      <c r="O1748" t="s">
        <v>4486</v>
      </c>
      <c r="Q1748" t="s">
        <v>1486</v>
      </c>
      <c r="R1748" t="s">
        <v>1487</v>
      </c>
      <c r="T1748" t="s">
        <v>5</v>
      </c>
      <c r="U1748" s="3" t="str">
        <f>+VLOOKUP(Sites_per_tag[[#This Row],[Activity_tag]],Parameter!$A$24:$B$32,2,0)</f>
        <v>MAM</v>
      </c>
      <c r="W1748">
        <v>44.837119999999999</v>
      </c>
      <c r="X1748">
        <v>-24.69332</v>
      </c>
    </row>
    <row r="1749" spans="1:24" x14ac:dyDescent="0.35">
      <c r="A1749" s="3" t="str">
        <f t="shared" si="27"/>
        <v>MG51507010007001MAM</v>
      </c>
      <c r="B1749" t="s">
        <v>6267</v>
      </c>
      <c r="C1749">
        <f>+VLOOKUP(Sites_per_tag[[#This Row],[Field_office]],Parameter!$A$3:$B$11,2,0)</f>
        <v>9</v>
      </c>
      <c r="E1749" t="s">
        <v>5650</v>
      </c>
      <c r="F1749" t="s">
        <v>5654</v>
      </c>
      <c r="H1749" t="str">
        <f ca="1">PROPER(Sites_per_tag[[#This Row],[Adm2Name]])</f>
        <v>Ampanihy Ouest</v>
      </c>
      <c r="I1749" t="s">
        <v>5660</v>
      </c>
      <c r="K1749" t="s">
        <v>5607</v>
      </c>
      <c r="L1749" t="s">
        <v>5760</v>
      </c>
      <c r="N1749" t="s">
        <v>364</v>
      </c>
      <c r="O1749" t="s">
        <v>4487</v>
      </c>
      <c r="Q1749" t="s">
        <v>364</v>
      </c>
      <c r="R1749" t="s">
        <v>365</v>
      </c>
      <c r="T1749" t="s">
        <v>5</v>
      </c>
      <c r="U1749" s="3" t="str">
        <f>+VLOOKUP(Sites_per_tag[[#This Row],[Activity_tag]],Parameter!$A$24:$B$32,2,0)</f>
        <v>MAM</v>
      </c>
      <c r="W1749">
        <v>44.74512</v>
      </c>
      <c r="X1749">
        <v>-24.6921</v>
      </c>
    </row>
    <row r="1750" spans="1:24" x14ac:dyDescent="0.35">
      <c r="A1750" s="3" t="str">
        <f t="shared" si="27"/>
        <v>MG51507010010001MAM</v>
      </c>
      <c r="B1750" t="s">
        <v>6267</v>
      </c>
      <c r="C1750">
        <f>+VLOOKUP(Sites_per_tag[[#This Row],[Field_office]],Parameter!$A$3:$B$11,2,0)</f>
        <v>9</v>
      </c>
      <c r="E1750" t="s">
        <v>5650</v>
      </c>
      <c r="F1750" t="s">
        <v>5654</v>
      </c>
      <c r="H1750" t="str">
        <f ca="1">PROPER(Sites_per_tag[[#This Row],[Adm2Name]])</f>
        <v>Ampanihy Ouest</v>
      </c>
      <c r="I1750" t="s">
        <v>5660</v>
      </c>
      <c r="K1750" t="s">
        <v>5607</v>
      </c>
      <c r="L1750" t="s">
        <v>5760</v>
      </c>
      <c r="N1750" t="s">
        <v>3674</v>
      </c>
      <c r="O1750" t="s">
        <v>4488</v>
      </c>
      <c r="Q1750" t="s">
        <v>3674</v>
      </c>
      <c r="R1750" t="s">
        <v>3675</v>
      </c>
      <c r="T1750" t="s">
        <v>5</v>
      </c>
      <c r="U1750" s="3" t="str">
        <f>+VLOOKUP(Sites_per_tag[[#This Row],[Activity_tag]],Parameter!$A$24:$B$32,2,0)</f>
        <v>MAM</v>
      </c>
      <c r="W1750">
        <v>44.764899999999997</v>
      </c>
      <c r="X1750">
        <v>-24.72307</v>
      </c>
    </row>
    <row r="1751" spans="1:24" x14ac:dyDescent="0.35">
      <c r="A1751" s="3" t="str">
        <f t="shared" si="27"/>
        <v>MG51507010011001MAM</v>
      </c>
      <c r="B1751" t="s">
        <v>6267</v>
      </c>
      <c r="C1751">
        <f>+VLOOKUP(Sites_per_tag[[#This Row],[Field_office]],Parameter!$A$3:$B$11,2,0)</f>
        <v>9</v>
      </c>
      <c r="E1751" t="s">
        <v>5650</v>
      </c>
      <c r="F1751" t="s">
        <v>5654</v>
      </c>
      <c r="H1751" t="str">
        <f ca="1">PROPER(Sites_per_tag[[#This Row],[Adm2Name]])</f>
        <v>Ampanihy Ouest</v>
      </c>
      <c r="I1751" t="s">
        <v>5660</v>
      </c>
      <c r="K1751" t="s">
        <v>5607</v>
      </c>
      <c r="L1751" t="s">
        <v>5760</v>
      </c>
      <c r="N1751" t="s">
        <v>2509</v>
      </c>
      <c r="O1751" t="s">
        <v>2510</v>
      </c>
      <c r="Q1751" t="s">
        <v>2509</v>
      </c>
      <c r="R1751" t="s">
        <v>2511</v>
      </c>
      <c r="T1751" t="s">
        <v>5</v>
      </c>
      <c r="U1751" s="3" t="str">
        <f>+VLOOKUP(Sites_per_tag[[#This Row],[Activity_tag]],Parameter!$A$24:$B$32,2,0)</f>
        <v>MAM</v>
      </c>
      <c r="W1751">
        <v>44.804029999999997</v>
      </c>
      <c r="X1751">
        <v>-24.729949999999999</v>
      </c>
    </row>
    <row r="1752" spans="1:24" x14ac:dyDescent="0.35">
      <c r="A1752" s="3" t="str">
        <f t="shared" si="27"/>
        <v>MG51507010011PREV</v>
      </c>
      <c r="B1752" t="s">
        <v>6267</v>
      </c>
      <c r="C1752">
        <f>+VLOOKUP(Sites_per_tag[[#This Row],[Field_office]],Parameter!$A$3:$B$11,2,0)</f>
        <v>9</v>
      </c>
      <c r="E1752" t="s">
        <v>5650</v>
      </c>
      <c r="F1752" t="s">
        <v>5654</v>
      </c>
      <c r="H1752" t="str">
        <f ca="1">PROPER(Sites_per_tag[[#This Row],[Adm2Name]])</f>
        <v>Ampanihy Ouest</v>
      </c>
      <c r="I1752" t="s">
        <v>5660</v>
      </c>
      <c r="K1752" t="s">
        <v>518</v>
      </c>
      <c r="L1752" t="s">
        <v>5759</v>
      </c>
      <c r="N1752" t="s">
        <v>2509</v>
      </c>
      <c r="Q1752" t="s">
        <v>2509</v>
      </c>
      <c r="R1752" t="s">
        <v>2510</v>
      </c>
      <c r="T1752" t="s">
        <v>32</v>
      </c>
      <c r="U1752" s="3" t="str">
        <f>+VLOOKUP(Sites_per_tag[[#This Row],[Activity_tag]],Parameter!$A$24:$B$32,2,0)</f>
        <v>PREV</v>
      </c>
      <c r="W1752">
        <v>44.786569999999998</v>
      </c>
      <c r="X1752">
        <v>-24.711480000000002</v>
      </c>
    </row>
    <row r="1753" spans="1:24" x14ac:dyDescent="0.35">
      <c r="A1753" s="3" t="str">
        <f t="shared" si="27"/>
        <v>MG51507010013001MAM</v>
      </c>
      <c r="B1753" t="s">
        <v>6267</v>
      </c>
      <c r="C1753">
        <f>+VLOOKUP(Sites_per_tag[[#This Row],[Field_office]],Parameter!$A$3:$B$11,2,0)</f>
        <v>9</v>
      </c>
      <c r="E1753" t="s">
        <v>5650</v>
      </c>
      <c r="F1753" t="s">
        <v>5654</v>
      </c>
      <c r="H1753" t="str">
        <f ca="1">PROPER(Sites_per_tag[[#This Row],[Adm2Name]])</f>
        <v>Ampanihy Ouest</v>
      </c>
      <c r="I1753" t="s">
        <v>5660</v>
      </c>
      <c r="K1753" t="s">
        <v>5607</v>
      </c>
      <c r="L1753" t="s">
        <v>5760</v>
      </c>
      <c r="N1753" t="s">
        <v>1587</v>
      </c>
      <c r="O1753" t="s">
        <v>4489</v>
      </c>
      <c r="Q1753" t="s">
        <v>1587</v>
      </c>
      <c r="R1753" t="s">
        <v>1588</v>
      </c>
      <c r="T1753" t="s">
        <v>5</v>
      </c>
      <c r="U1753" s="3" t="str">
        <f>+VLOOKUP(Sites_per_tag[[#This Row],[Activity_tag]],Parameter!$A$24:$B$32,2,0)</f>
        <v>MAM</v>
      </c>
      <c r="W1753">
        <v>44.855119999999999</v>
      </c>
      <c r="X1753">
        <v>-24.841619999999999</v>
      </c>
    </row>
    <row r="1754" spans="1:24" x14ac:dyDescent="0.35">
      <c r="A1754" s="3" t="str">
        <f t="shared" si="27"/>
        <v>MG51507010014001MAM</v>
      </c>
      <c r="B1754" t="s">
        <v>6267</v>
      </c>
      <c r="C1754">
        <f>+VLOOKUP(Sites_per_tag[[#This Row],[Field_office]],Parameter!$A$3:$B$11,2,0)</f>
        <v>9</v>
      </c>
      <c r="E1754" t="s">
        <v>5650</v>
      </c>
      <c r="F1754" t="s">
        <v>5654</v>
      </c>
      <c r="H1754" t="str">
        <f ca="1">PROPER(Sites_per_tag[[#This Row],[Adm2Name]])</f>
        <v>Ampanihy Ouest</v>
      </c>
      <c r="I1754" t="s">
        <v>5660</v>
      </c>
      <c r="K1754" t="s">
        <v>5607</v>
      </c>
      <c r="L1754" t="s">
        <v>5760</v>
      </c>
      <c r="N1754" t="s">
        <v>2141</v>
      </c>
      <c r="O1754" t="s">
        <v>2140</v>
      </c>
      <c r="Q1754" t="s">
        <v>2141</v>
      </c>
      <c r="R1754" t="s">
        <v>2142</v>
      </c>
      <c r="T1754" t="s">
        <v>5</v>
      </c>
      <c r="U1754" s="3" t="str">
        <f>+VLOOKUP(Sites_per_tag[[#This Row],[Activity_tag]],Parameter!$A$24:$B$32,2,0)</f>
        <v>MAM</v>
      </c>
      <c r="W1754">
        <v>44.820369999999997</v>
      </c>
      <c r="X1754">
        <v>-24.735700000000001</v>
      </c>
    </row>
    <row r="1755" spans="1:24" x14ac:dyDescent="0.35">
      <c r="A1755" s="3" t="str">
        <f t="shared" si="27"/>
        <v>MG51507010014PREV</v>
      </c>
      <c r="B1755" t="s">
        <v>6267</v>
      </c>
      <c r="C1755">
        <f>+VLOOKUP(Sites_per_tag[[#This Row],[Field_office]],Parameter!$A$3:$B$11,2,0)</f>
        <v>9</v>
      </c>
      <c r="E1755" t="s">
        <v>5650</v>
      </c>
      <c r="F1755" t="s">
        <v>5654</v>
      </c>
      <c r="H1755" t="str">
        <f ca="1">PROPER(Sites_per_tag[[#This Row],[Adm2Name]])</f>
        <v>Ampanihy Ouest</v>
      </c>
      <c r="I1755" t="s">
        <v>5660</v>
      </c>
      <c r="K1755" t="s">
        <v>518</v>
      </c>
      <c r="L1755" t="s">
        <v>5759</v>
      </c>
      <c r="N1755" t="s">
        <v>2139</v>
      </c>
      <c r="Q1755" t="s">
        <v>2139</v>
      </c>
      <c r="R1755" t="s">
        <v>2140</v>
      </c>
      <c r="T1755" t="s">
        <v>32</v>
      </c>
      <c r="U1755" s="3" t="str">
        <f>+VLOOKUP(Sites_per_tag[[#This Row],[Activity_tag]],Parameter!$A$24:$B$32,2,0)</f>
        <v>PREV</v>
      </c>
      <c r="W1755">
        <v>44.806950000000001</v>
      </c>
      <c r="X1755">
        <v>-24.794219999999999</v>
      </c>
    </row>
    <row r="1756" spans="1:24" x14ac:dyDescent="0.35">
      <c r="A1756" s="3" t="str">
        <f t="shared" si="27"/>
        <v>MG51507010015001MAM</v>
      </c>
      <c r="B1756" t="s">
        <v>6267</v>
      </c>
      <c r="C1756">
        <f>+VLOOKUP(Sites_per_tag[[#This Row],[Field_office]],Parameter!$A$3:$B$11,2,0)</f>
        <v>9</v>
      </c>
      <c r="E1756" t="s">
        <v>5650</v>
      </c>
      <c r="F1756" t="s">
        <v>5654</v>
      </c>
      <c r="H1756" t="str">
        <f ca="1">PROPER(Sites_per_tag[[#This Row],[Adm2Name]])</f>
        <v>Ampanihy Ouest</v>
      </c>
      <c r="I1756" t="s">
        <v>5660</v>
      </c>
      <c r="K1756" t="s">
        <v>5607</v>
      </c>
      <c r="L1756" t="s">
        <v>5760</v>
      </c>
      <c r="N1756" t="s">
        <v>2420</v>
      </c>
      <c r="O1756" t="s">
        <v>2423</v>
      </c>
      <c r="Q1756" t="s">
        <v>2420</v>
      </c>
      <c r="R1756" t="s">
        <v>2421</v>
      </c>
      <c r="T1756" t="s">
        <v>5</v>
      </c>
      <c r="U1756" s="3" t="str">
        <f>+VLOOKUP(Sites_per_tag[[#This Row],[Activity_tag]],Parameter!$A$24:$B$32,2,0)</f>
        <v>MAM</v>
      </c>
      <c r="W1756">
        <v>44.377920000000003</v>
      </c>
      <c r="X1756">
        <v>-24.830670000000001</v>
      </c>
    </row>
    <row r="1757" spans="1:24" x14ac:dyDescent="0.35">
      <c r="A1757" s="3" t="str">
        <f t="shared" si="27"/>
        <v>MG51507010015PREV</v>
      </c>
      <c r="B1757" t="s">
        <v>6267</v>
      </c>
      <c r="C1757">
        <f>+VLOOKUP(Sites_per_tag[[#This Row],[Field_office]],Parameter!$A$3:$B$11,2,0)</f>
        <v>9</v>
      </c>
      <c r="E1757" t="s">
        <v>5650</v>
      </c>
      <c r="F1757" t="s">
        <v>5654</v>
      </c>
      <c r="H1757" t="str">
        <f ca="1">PROPER(Sites_per_tag[[#This Row],[Adm2Name]])</f>
        <v>Ampanihy Ouest</v>
      </c>
      <c r="I1757" t="s">
        <v>5660</v>
      </c>
      <c r="K1757" t="s">
        <v>518</v>
      </c>
      <c r="L1757" t="s">
        <v>5759</v>
      </c>
      <c r="N1757" t="s">
        <v>2422</v>
      </c>
      <c r="Q1757" t="s">
        <v>2422</v>
      </c>
      <c r="R1757" t="s">
        <v>2423</v>
      </c>
      <c r="T1757" t="s">
        <v>32</v>
      </c>
      <c r="U1757" s="3" t="str">
        <f>+VLOOKUP(Sites_per_tag[[#This Row],[Activity_tag]],Parameter!$A$24:$B$32,2,0)</f>
        <v>PREV</v>
      </c>
      <c r="W1757">
        <v>44.496020000000001</v>
      </c>
      <c r="X1757">
        <v>-24.810220000000001</v>
      </c>
    </row>
    <row r="1758" spans="1:24" x14ac:dyDescent="0.35">
      <c r="A1758" s="3" t="str">
        <f t="shared" si="27"/>
        <v>MG51507010016001MAM</v>
      </c>
      <c r="B1758" t="s">
        <v>6267</v>
      </c>
      <c r="C1758">
        <f>+VLOOKUP(Sites_per_tag[[#This Row],[Field_office]],Parameter!$A$3:$B$11,2,0)</f>
        <v>9</v>
      </c>
      <c r="E1758" t="s">
        <v>5650</v>
      </c>
      <c r="F1758" t="s">
        <v>5654</v>
      </c>
      <c r="H1758" t="str">
        <f ca="1">PROPER(Sites_per_tag[[#This Row],[Adm2Name]])</f>
        <v>Ampanihy Ouest</v>
      </c>
      <c r="I1758" t="s">
        <v>5660</v>
      </c>
      <c r="K1758" t="s">
        <v>5607</v>
      </c>
      <c r="L1758" t="s">
        <v>5760</v>
      </c>
      <c r="N1758" t="s">
        <v>2416</v>
      </c>
      <c r="O1758" t="s">
        <v>4490</v>
      </c>
      <c r="Q1758" t="s">
        <v>2416</v>
      </c>
      <c r="R1758" t="s">
        <v>2417</v>
      </c>
      <c r="T1758" t="s">
        <v>5</v>
      </c>
      <c r="U1758" s="3" t="str">
        <f>+VLOOKUP(Sites_per_tag[[#This Row],[Activity_tag]],Parameter!$A$24:$B$32,2,0)</f>
        <v>MAM</v>
      </c>
      <c r="W1758">
        <v>44.65155</v>
      </c>
      <c r="X1758">
        <v>-24.803149999999999</v>
      </c>
    </row>
    <row r="1759" spans="1:24" x14ac:dyDescent="0.35">
      <c r="A1759" s="3" t="str">
        <f t="shared" si="27"/>
        <v>MG51507010017001MAM</v>
      </c>
      <c r="B1759" t="s">
        <v>6267</v>
      </c>
      <c r="C1759">
        <f>+VLOOKUP(Sites_per_tag[[#This Row],[Field_office]],Parameter!$A$3:$B$11,2,0)</f>
        <v>9</v>
      </c>
      <c r="E1759" t="s">
        <v>5650</v>
      </c>
      <c r="F1759" t="s">
        <v>5654</v>
      </c>
      <c r="H1759" t="str">
        <f ca="1">PROPER(Sites_per_tag[[#This Row],[Adm2Name]])</f>
        <v>Ampanihy Ouest</v>
      </c>
      <c r="I1759" t="s">
        <v>5660</v>
      </c>
      <c r="K1759" t="s">
        <v>5607</v>
      </c>
      <c r="L1759" t="s">
        <v>5760</v>
      </c>
      <c r="N1759" t="s">
        <v>3465</v>
      </c>
      <c r="O1759" t="s">
        <v>3466</v>
      </c>
      <c r="Q1759" t="s">
        <v>3465</v>
      </c>
      <c r="R1759" t="s">
        <v>3467</v>
      </c>
      <c r="T1759" t="s">
        <v>5</v>
      </c>
      <c r="U1759" s="3" t="str">
        <f>+VLOOKUP(Sites_per_tag[[#This Row],[Activity_tag]],Parameter!$A$24:$B$32,2,0)</f>
        <v>MAM</v>
      </c>
      <c r="W1759">
        <v>44.560299999999998</v>
      </c>
      <c r="X1759">
        <v>-24.884699999999999</v>
      </c>
    </row>
    <row r="1760" spans="1:24" x14ac:dyDescent="0.35">
      <c r="A1760" s="3" t="str">
        <f t="shared" si="27"/>
        <v>MG51507010017PREV</v>
      </c>
      <c r="B1760" t="s">
        <v>6267</v>
      </c>
      <c r="C1760">
        <f>+VLOOKUP(Sites_per_tag[[#This Row],[Field_office]],Parameter!$A$3:$B$11,2,0)</f>
        <v>9</v>
      </c>
      <c r="E1760" t="s">
        <v>5650</v>
      </c>
      <c r="F1760" t="s">
        <v>5654</v>
      </c>
      <c r="H1760" t="str">
        <f ca="1">PROPER(Sites_per_tag[[#This Row],[Adm2Name]])</f>
        <v>Ampanihy Ouest</v>
      </c>
      <c r="I1760" t="s">
        <v>5660</v>
      </c>
      <c r="K1760" t="s">
        <v>518</v>
      </c>
      <c r="L1760" t="s">
        <v>5759</v>
      </c>
      <c r="N1760" t="s">
        <v>3465</v>
      </c>
      <c r="Q1760" t="s">
        <v>3465</v>
      </c>
      <c r="R1760" t="s">
        <v>3466</v>
      </c>
      <c r="T1760" t="s">
        <v>32</v>
      </c>
      <c r="U1760" s="3" t="str">
        <f>+VLOOKUP(Sites_per_tag[[#This Row],[Activity_tag]],Parameter!$A$24:$B$32,2,0)</f>
        <v>PREV</v>
      </c>
      <c r="W1760">
        <v>44.573329999999999</v>
      </c>
      <c r="X1760">
        <v>-24.833469999999998</v>
      </c>
    </row>
    <row r="1761" spans="1:24" x14ac:dyDescent="0.35">
      <c r="A1761" s="3" t="str">
        <f t="shared" si="27"/>
        <v>MG51507010018001MAM</v>
      </c>
      <c r="B1761" t="s">
        <v>6267</v>
      </c>
      <c r="C1761">
        <f>+VLOOKUP(Sites_per_tag[[#This Row],[Field_office]],Parameter!$A$3:$B$11,2,0)</f>
        <v>9</v>
      </c>
      <c r="E1761" t="s">
        <v>5650</v>
      </c>
      <c r="F1761" t="s">
        <v>5654</v>
      </c>
      <c r="H1761" t="str">
        <f ca="1">PROPER(Sites_per_tag[[#This Row],[Adm2Name]])</f>
        <v>Ampanihy Ouest</v>
      </c>
      <c r="I1761" t="s">
        <v>5660</v>
      </c>
      <c r="K1761" t="s">
        <v>5607</v>
      </c>
      <c r="L1761" t="s">
        <v>5760</v>
      </c>
      <c r="N1761" t="s">
        <v>3661</v>
      </c>
      <c r="O1761" t="s">
        <v>3664</v>
      </c>
      <c r="Q1761" t="s">
        <v>3661</v>
      </c>
      <c r="R1761" t="s">
        <v>3662</v>
      </c>
      <c r="T1761" t="s">
        <v>5</v>
      </c>
      <c r="U1761" s="3" t="str">
        <f>+VLOOKUP(Sites_per_tag[[#This Row],[Activity_tag]],Parameter!$A$24:$B$32,2,0)</f>
        <v>MAM</v>
      </c>
      <c r="W1761">
        <v>44.682630000000003</v>
      </c>
      <c r="X1761">
        <v>-24.927620000000001</v>
      </c>
    </row>
    <row r="1762" spans="1:24" x14ac:dyDescent="0.35">
      <c r="A1762" s="3" t="str">
        <f t="shared" si="27"/>
        <v>MG51507010018PREV</v>
      </c>
      <c r="B1762" t="s">
        <v>6267</v>
      </c>
      <c r="C1762">
        <f>+VLOOKUP(Sites_per_tag[[#This Row],[Field_office]],Parameter!$A$3:$B$11,2,0)</f>
        <v>9</v>
      </c>
      <c r="E1762" t="s">
        <v>5650</v>
      </c>
      <c r="F1762" t="s">
        <v>5654</v>
      </c>
      <c r="H1762" t="str">
        <f ca="1">PROPER(Sites_per_tag[[#This Row],[Adm2Name]])</f>
        <v>Ampanihy Ouest</v>
      </c>
      <c r="I1762" t="s">
        <v>5660</v>
      </c>
      <c r="K1762" t="s">
        <v>518</v>
      </c>
      <c r="L1762" t="s">
        <v>5759</v>
      </c>
      <c r="N1762" t="s">
        <v>3663</v>
      </c>
      <c r="Q1762" t="s">
        <v>3663</v>
      </c>
      <c r="R1762" t="s">
        <v>3664</v>
      </c>
      <c r="T1762" t="s">
        <v>32</v>
      </c>
      <c r="U1762" s="3" t="str">
        <f>+VLOOKUP(Sites_per_tag[[#This Row],[Activity_tag]],Parameter!$A$24:$B$32,2,0)</f>
        <v>PREV</v>
      </c>
      <c r="W1762">
        <v>44.716320000000003</v>
      </c>
      <c r="X1762">
        <v>-24.883320000000001</v>
      </c>
    </row>
    <row r="1763" spans="1:24" x14ac:dyDescent="0.35">
      <c r="A1763" s="3" t="str">
        <f t="shared" si="27"/>
        <v>MG51507010019001MAM</v>
      </c>
      <c r="B1763" t="s">
        <v>6267</v>
      </c>
      <c r="C1763">
        <f>+VLOOKUP(Sites_per_tag[[#This Row],[Field_office]],Parameter!$A$3:$B$11,2,0)</f>
        <v>9</v>
      </c>
      <c r="E1763" t="s">
        <v>5650</v>
      </c>
      <c r="F1763" t="s">
        <v>5654</v>
      </c>
      <c r="H1763" t="str">
        <f ca="1">PROPER(Sites_per_tag[[#This Row],[Adm2Name]])</f>
        <v>Ampanihy Ouest</v>
      </c>
      <c r="I1763" t="s">
        <v>5660</v>
      </c>
      <c r="K1763" t="s">
        <v>5607</v>
      </c>
      <c r="L1763" t="s">
        <v>5760</v>
      </c>
      <c r="N1763" t="s">
        <v>3471</v>
      </c>
      <c r="O1763" t="s">
        <v>3472</v>
      </c>
      <c r="Q1763" t="s">
        <v>3471</v>
      </c>
      <c r="R1763" t="s">
        <v>3473</v>
      </c>
      <c r="T1763" t="s">
        <v>5</v>
      </c>
      <c r="U1763" s="3" t="str">
        <f>+VLOOKUP(Sites_per_tag[[#This Row],[Activity_tag]],Parameter!$A$24:$B$32,2,0)</f>
        <v>MAM</v>
      </c>
      <c r="W1763">
        <v>44.711970000000001</v>
      </c>
      <c r="X1763">
        <v>-24.87548</v>
      </c>
    </row>
    <row r="1764" spans="1:24" x14ac:dyDescent="0.35">
      <c r="A1764" s="3" t="str">
        <f t="shared" si="27"/>
        <v>MG51507010019PREV</v>
      </c>
      <c r="B1764" t="s">
        <v>6267</v>
      </c>
      <c r="C1764">
        <f>+VLOOKUP(Sites_per_tag[[#This Row],[Field_office]],Parameter!$A$3:$B$11,2,0)</f>
        <v>9</v>
      </c>
      <c r="E1764" t="s">
        <v>5650</v>
      </c>
      <c r="F1764" t="s">
        <v>5654</v>
      </c>
      <c r="H1764" t="str">
        <f ca="1">PROPER(Sites_per_tag[[#This Row],[Adm2Name]])</f>
        <v>Ampanihy Ouest</v>
      </c>
      <c r="I1764" t="s">
        <v>5660</v>
      </c>
      <c r="K1764" t="s">
        <v>518</v>
      </c>
      <c r="L1764" t="s">
        <v>5759</v>
      </c>
      <c r="N1764" t="s">
        <v>3471</v>
      </c>
      <c r="Q1764" t="s">
        <v>3471</v>
      </c>
      <c r="R1764" t="s">
        <v>3472</v>
      </c>
      <c r="T1764" t="s">
        <v>32</v>
      </c>
      <c r="U1764" s="3" t="str">
        <f>+VLOOKUP(Sites_per_tag[[#This Row],[Activity_tag]],Parameter!$A$24:$B$32,2,0)</f>
        <v>PREV</v>
      </c>
      <c r="W1764">
        <v>44.648879999999998</v>
      </c>
      <c r="X1764">
        <v>-24.89678</v>
      </c>
    </row>
    <row r="1765" spans="1:24" x14ac:dyDescent="0.35">
      <c r="A1765" s="3" t="str">
        <f t="shared" si="27"/>
        <v>MG51507010021001MAM</v>
      </c>
      <c r="B1765" t="s">
        <v>6267</v>
      </c>
      <c r="C1765">
        <f>+VLOOKUP(Sites_per_tag[[#This Row],[Field_office]],Parameter!$A$3:$B$11,2,0)</f>
        <v>9</v>
      </c>
      <c r="E1765" t="s">
        <v>5650</v>
      </c>
      <c r="F1765" t="s">
        <v>5654</v>
      </c>
      <c r="H1765" t="str">
        <f ca="1">PROPER(Sites_per_tag[[#This Row],[Adm2Name]])</f>
        <v>Ampanihy Ouest</v>
      </c>
      <c r="I1765" t="s">
        <v>5660</v>
      </c>
      <c r="K1765" t="s">
        <v>5607</v>
      </c>
      <c r="L1765" t="s">
        <v>5760</v>
      </c>
      <c r="N1765" t="s">
        <v>2689</v>
      </c>
      <c r="O1765" t="s">
        <v>4491</v>
      </c>
      <c r="Q1765" t="s">
        <v>2689</v>
      </c>
      <c r="R1765" t="s">
        <v>2690</v>
      </c>
      <c r="T1765" t="s">
        <v>5</v>
      </c>
      <c r="U1765" s="3" t="str">
        <f>+VLOOKUP(Sites_per_tag[[#This Row],[Activity_tag]],Parameter!$A$24:$B$32,2,0)</f>
        <v>MAM</v>
      </c>
      <c r="W1765">
        <v>44.667850000000001</v>
      </c>
      <c r="X1765">
        <v>-24.956849999999999</v>
      </c>
    </row>
    <row r="1766" spans="1:24" x14ac:dyDescent="0.35">
      <c r="A1766" s="3" t="str">
        <f t="shared" si="27"/>
        <v>MG51507010022PREV</v>
      </c>
      <c r="B1766" t="s">
        <v>6267</v>
      </c>
      <c r="C1766">
        <f>+VLOOKUP(Sites_per_tag[[#This Row],[Field_office]],Parameter!$A$3:$B$11,2,0)</f>
        <v>9</v>
      </c>
      <c r="E1766" t="s">
        <v>5650</v>
      </c>
      <c r="F1766" t="s">
        <v>5654</v>
      </c>
      <c r="H1766" t="str">
        <f ca="1">PROPER(Sites_per_tag[[#This Row],[Adm2Name]])</f>
        <v>Ampanihy Ouest</v>
      </c>
      <c r="I1766" t="s">
        <v>5660</v>
      </c>
      <c r="K1766" t="s">
        <v>518</v>
      </c>
      <c r="L1766" t="s">
        <v>5759</v>
      </c>
      <c r="N1766" t="s">
        <v>2017</v>
      </c>
      <c r="Q1766" t="s">
        <v>2017</v>
      </c>
      <c r="R1766" t="s">
        <v>2019</v>
      </c>
      <c r="T1766" t="s">
        <v>32</v>
      </c>
      <c r="U1766" s="3" t="str">
        <f>+VLOOKUP(Sites_per_tag[[#This Row],[Activity_tag]],Parameter!$A$24:$B$32,2,0)</f>
        <v>PREV</v>
      </c>
      <c r="W1766">
        <v>44.713320000000003</v>
      </c>
      <c r="X1766">
        <v>-24.96968</v>
      </c>
    </row>
    <row r="1767" spans="1:24" x14ac:dyDescent="0.35">
      <c r="A1767" s="3" t="str">
        <f t="shared" si="27"/>
        <v>MG51507010023001MAM</v>
      </c>
      <c r="B1767" t="s">
        <v>6267</v>
      </c>
      <c r="C1767">
        <f>+VLOOKUP(Sites_per_tag[[#This Row],[Field_office]],Parameter!$A$3:$B$11,2,0)</f>
        <v>9</v>
      </c>
      <c r="E1767" t="s">
        <v>5650</v>
      </c>
      <c r="F1767" t="s">
        <v>5654</v>
      </c>
      <c r="H1767" t="str">
        <f ca="1">PROPER(Sites_per_tag[[#This Row],[Adm2Name]])</f>
        <v>Ampanihy Ouest</v>
      </c>
      <c r="I1767" t="s">
        <v>5660</v>
      </c>
      <c r="K1767" t="s">
        <v>5607</v>
      </c>
      <c r="L1767" t="s">
        <v>5760</v>
      </c>
      <c r="N1767" t="s">
        <v>2435</v>
      </c>
      <c r="O1767" t="s">
        <v>2436</v>
      </c>
      <c r="Q1767" t="s">
        <v>2438</v>
      </c>
      <c r="R1767" t="s">
        <v>2439</v>
      </c>
      <c r="T1767" t="s">
        <v>5</v>
      </c>
      <c r="U1767" s="3" t="str">
        <f>+VLOOKUP(Sites_per_tag[[#This Row],[Activity_tag]],Parameter!$A$24:$B$32,2,0)</f>
        <v>MAM</v>
      </c>
      <c r="W1767">
        <v>44.660699999999999</v>
      </c>
      <c r="X1767">
        <v>-25.00112</v>
      </c>
    </row>
    <row r="1768" spans="1:24" x14ac:dyDescent="0.35">
      <c r="A1768" s="3" t="str">
        <f t="shared" si="27"/>
        <v>MG51507010023PREV</v>
      </c>
      <c r="B1768" t="s">
        <v>6267</v>
      </c>
      <c r="C1768">
        <f>+VLOOKUP(Sites_per_tag[[#This Row],[Field_office]],Parameter!$A$3:$B$11,2,0)</f>
        <v>9</v>
      </c>
      <c r="E1768" t="s">
        <v>5650</v>
      </c>
      <c r="F1768" t="s">
        <v>5654</v>
      </c>
      <c r="H1768" t="str">
        <f ca="1">PROPER(Sites_per_tag[[#This Row],[Adm2Name]])</f>
        <v>Ampanihy Ouest</v>
      </c>
      <c r="I1768" t="s">
        <v>5660</v>
      </c>
      <c r="K1768" t="s">
        <v>518</v>
      </c>
      <c r="L1768" t="s">
        <v>5759</v>
      </c>
      <c r="N1768" t="s">
        <v>2435</v>
      </c>
      <c r="Q1768" t="s">
        <v>2435</v>
      </c>
      <c r="R1768" t="s">
        <v>2436</v>
      </c>
      <c r="T1768" t="s">
        <v>32</v>
      </c>
      <c r="U1768" s="3" t="str">
        <f>+VLOOKUP(Sites_per_tag[[#This Row],[Activity_tag]],Parameter!$A$24:$B$32,2,0)</f>
        <v>PREV</v>
      </c>
      <c r="W1768">
        <v>44.688420000000001</v>
      </c>
      <c r="X1768">
        <v>-25.00515</v>
      </c>
    </row>
    <row r="1769" spans="1:24" x14ac:dyDescent="0.35">
      <c r="A1769" s="3" t="str">
        <f t="shared" si="27"/>
        <v>MG51507010024001MAM</v>
      </c>
      <c r="B1769" t="s">
        <v>6267</v>
      </c>
      <c r="C1769">
        <f>+VLOOKUP(Sites_per_tag[[#This Row],[Field_office]],Parameter!$A$3:$B$11,2,0)</f>
        <v>9</v>
      </c>
      <c r="E1769" t="s">
        <v>5650</v>
      </c>
      <c r="F1769" t="s">
        <v>5654</v>
      </c>
      <c r="H1769" t="str">
        <f ca="1">PROPER(Sites_per_tag[[#This Row],[Adm2Name]])</f>
        <v>Ampanihy Ouest</v>
      </c>
      <c r="I1769" t="s">
        <v>5660</v>
      </c>
      <c r="K1769" t="s">
        <v>5607</v>
      </c>
      <c r="L1769" t="s">
        <v>5760</v>
      </c>
      <c r="N1769" t="s">
        <v>2489</v>
      </c>
      <c r="O1769" t="s">
        <v>2490</v>
      </c>
      <c r="Q1769" t="s">
        <v>2489</v>
      </c>
      <c r="R1769" t="s">
        <v>2491</v>
      </c>
      <c r="T1769" t="s">
        <v>5</v>
      </c>
      <c r="U1769" s="3" t="str">
        <f>+VLOOKUP(Sites_per_tag[[#This Row],[Activity_tag]],Parameter!$A$24:$B$32,2,0)</f>
        <v>MAM</v>
      </c>
      <c r="W1769">
        <v>44.55312</v>
      </c>
      <c r="X1769">
        <v>-25.050329999999999</v>
      </c>
    </row>
    <row r="1770" spans="1:24" x14ac:dyDescent="0.35">
      <c r="A1770" s="3" t="str">
        <f t="shared" si="27"/>
        <v>MG51507010024PREV</v>
      </c>
      <c r="B1770" t="s">
        <v>6267</v>
      </c>
      <c r="C1770">
        <f>+VLOOKUP(Sites_per_tag[[#This Row],[Field_office]],Parameter!$A$3:$B$11,2,0)</f>
        <v>9</v>
      </c>
      <c r="E1770" t="s">
        <v>5650</v>
      </c>
      <c r="F1770" t="s">
        <v>5654</v>
      </c>
      <c r="H1770" t="str">
        <f ca="1">PROPER(Sites_per_tag[[#This Row],[Adm2Name]])</f>
        <v>Ampanihy Ouest</v>
      </c>
      <c r="I1770" t="s">
        <v>5660</v>
      </c>
      <c r="K1770" t="s">
        <v>518</v>
      </c>
      <c r="L1770" t="s">
        <v>5759</v>
      </c>
      <c r="N1770" t="s">
        <v>2489</v>
      </c>
      <c r="Q1770" t="s">
        <v>2489</v>
      </c>
      <c r="R1770" t="s">
        <v>2490</v>
      </c>
      <c r="T1770" t="s">
        <v>32</v>
      </c>
      <c r="U1770" s="3" t="str">
        <f>+VLOOKUP(Sites_per_tag[[#This Row],[Activity_tag]],Parameter!$A$24:$B$32,2,0)</f>
        <v>PREV</v>
      </c>
      <c r="W1770">
        <v>44.612079999999999</v>
      </c>
      <c r="X1770">
        <v>-25.09713</v>
      </c>
    </row>
    <row r="1771" spans="1:24" x14ac:dyDescent="0.35">
      <c r="A1771" s="3" t="str">
        <f t="shared" si="27"/>
        <v>MG51507010025001MAM</v>
      </c>
      <c r="B1771" t="s">
        <v>6267</v>
      </c>
      <c r="C1771">
        <f>+VLOOKUP(Sites_per_tag[[#This Row],[Field_office]],Parameter!$A$3:$B$11,2,0)</f>
        <v>9</v>
      </c>
      <c r="E1771" t="s">
        <v>5650</v>
      </c>
      <c r="F1771" t="s">
        <v>5654</v>
      </c>
      <c r="H1771" t="str">
        <f ca="1">PROPER(Sites_per_tag[[#This Row],[Adm2Name]])</f>
        <v>Ampanihy Ouest</v>
      </c>
      <c r="I1771" t="s">
        <v>5660</v>
      </c>
      <c r="K1771" t="s">
        <v>5607</v>
      </c>
      <c r="L1771" t="s">
        <v>5760</v>
      </c>
      <c r="N1771" t="s">
        <v>907</v>
      </c>
      <c r="O1771" t="s">
        <v>4492</v>
      </c>
      <c r="Q1771" t="s">
        <v>907</v>
      </c>
      <c r="R1771" t="s">
        <v>908</v>
      </c>
      <c r="T1771" t="s">
        <v>5</v>
      </c>
      <c r="U1771" s="3" t="str">
        <f>+VLOOKUP(Sites_per_tag[[#This Row],[Activity_tag]],Parameter!$A$24:$B$32,2,0)</f>
        <v>MAM</v>
      </c>
      <c r="W1771">
        <v>44.397222999999997</v>
      </c>
      <c r="X1771">
        <v>-24.356504999999999</v>
      </c>
    </row>
    <row r="1772" spans="1:24" x14ac:dyDescent="0.35">
      <c r="A1772" s="3" t="str">
        <f t="shared" si="27"/>
        <v>MG51507010026PREV</v>
      </c>
      <c r="B1772" t="s">
        <v>6267</v>
      </c>
      <c r="C1772">
        <f>+VLOOKUP(Sites_per_tag[[#This Row],[Field_office]],Parameter!$A$3:$B$11,2,0)</f>
        <v>9</v>
      </c>
      <c r="E1772" t="s">
        <v>5650</v>
      </c>
      <c r="F1772" t="s">
        <v>5654</v>
      </c>
      <c r="H1772" t="str">
        <f ca="1">PROPER(Sites_per_tag[[#This Row],[Adm2Name]])</f>
        <v>Ampanihy Ouest</v>
      </c>
      <c r="I1772" t="s">
        <v>5660</v>
      </c>
      <c r="K1772" t="s">
        <v>518</v>
      </c>
      <c r="L1772" t="s">
        <v>5759</v>
      </c>
      <c r="N1772" t="s">
        <v>1460</v>
      </c>
      <c r="Q1772" t="s">
        <v>1460</v>
      </c>
      <c r="R1772" t="s">
        <v>1461</v>
      </c>
      <c r="T1772" t="s">
        <v>32</v>
      </c>
      <c r="U1772" s="3" t="str">
        <f>+VLOOKUP(Sites_per_tag[[#This Row],[Activity_tag]],Parameter!$A$24:$B$32,2,0)</f>
        <v>PREV</v>
      </c>
      <c r="W1772">
        <v>44.890129999999999</v>
      </c>
      <c r="X1772">
        <v>-24.40175</v>
      </c>
    </row>
    <row r="1773" spans="1:24" x14ac:dyDescent="0.35">
      <c r="A1773" s="3" t="str">
        <f t="shared" si="27"/>
        <v>MG51507010068PREV</v>
      </c>
      <c r="B1773" t="s">
        <v>6267</v>
      </c>
      <c r="C1773">
        <f>+VLOOKUP(Sites_per_tag[[#This Row],[Field_office]],Parameter!$A$3:$B$11,2,0)</f>
        <v>9</v>
      </c>
      <c r="E1773" t="s">
        <v>5650</v>
      </c>
      <c r="F1773" t="s">
        <v>5654</v>
      </c>
      <c r="H1773" t="str">
        <f ca="1">PROPER(Sites_per_tag[[#This Row],[Adm2Name]])</f>
        <v>Ampanihy Ouest</v>
      </c>
      <c r="I1773" t="s">
        <v>5660</v>
      </c>
      <c r="K1773" t="s">
        <v>518</v>
      </c>
      <c r="L1773" t="s">
        <v>5759</v>
      </c>
      <c r="N1773" t="s">
        <v>960</v>
      </c>
      <c r="Q1773" t="s">
        <v>960</v>
      </c>
      <c r="R1773" t="s">
        <v>961</v>
      </c>
      <c r="T1773" t="s">
        <v>32</v>
      </c>
      <c r="U1773" s="3" t="str">
        <f>+VLOOKUP(Sites_per_tag[[#This Row],[Activity_tag]],Parameter!$A$24:$B$32,2,0)</f>
        <v>PREV</v>
      </c>
      <c r="W1773">
        <v>44.811900000000001</v>
      </c>
      <c r="X1773">
        <v>-24.756769999999999</v>
      </c>
    </row>
    <row r="1774" spans="1:24" x14ac:dyDescent="0.35">
      <c r="A1774" s="3" t="str">
        <f t="shared" si="27"/>
        <v>MG51507010087PREV</v>
      </c>
      <c r="B1774" t="s">
        <v>6267</v>
      </c>
      <c r="C1774">
        <f>+VLOOKUP(Sites_per_tag[[#This Row],[Field_office]],Parameter!$A$3:$B$11,2,0)</f>
        <v>9</v>
      </c>
      <c r="E1774" t="s">
        <v>5650</v>
      </c>
      <c r="F1774" t="s">
        <v>5654</v>
      </c>
      <c r="H1774" t="str">
        <f ca="1">PROPER(Sites_per_tag[[#This Row],[Adm2Name]])</f>
        <v>Ampanihy Ouest</v>
      </c>
      <c r="I1774" t="s">
        <v>5660</v>
      </c>
      <c r="K1774" t="s">
        <v>518</v>
      </c>
      <c r="L1774" t="s">
        <v>5759</v>
      </c>
      <c r="N1774" t="s">
        <v>1763</v>
      </c>
      <c r="Q1774" t="s">
        <v>1763</v>
      </c>
      <c r="R1774" t="s">
        <v>1765</v>
      </c>
      <c r="T1774" t="s">
        <v>32</v>
      </c>
      <c r="U1774" s="3" t="str">
        <f>+VLOOKUP(Sites_per_tag[[#This Row],[Activity_tag]],Parameter!$A$24:$B$32,2,0)</f>
        <v>PREV</v>
      </c>
      <c r="W1774">
        <v>44.768138999999998</v>
      </c>
      <c r="X1774">
        <v>-24.756152</v>
      </c>
    </row>
    <row r="1775" spans="1:24" x14ac:dyDescent="0.35">
      <c r="A1775" s="3" t="str">
        <f t="shared" si="27"/>
        <v>MG51507030001001MAM</v>
      </c>
      <c r="B1775" t="s">
        <v>6267</v>
      </c>
      <c r="C1775">
        <f>+VLOOKUP(Sites_per_tag[[#This Row],[Field_office]],Parameter!$A$3:$B$11,2,0)</f>
        <v>9</v>
      </c>
      <c r="E1775" t="s">
        <v>5650</v>
      </c>
      <c r="F1775" t="s">
        <v>5654</v>
      </c>
      <c r="H1775" t="str">
        <f ca="1">PROPER(Sites_per_tag[[#This Row],[Adm2Name]])</f>
        <v>Ampanihy Ouest</v>
      </c>
      <c r="I1775" t="s">
        <v>5660</v>
      </c>
      <c r="K1775" t="s">
        <v>457</v>
      </c>
      <c r="L1775" t="s">
        <v>5748</v>
      </c>
      <c r="N1775" t="s">
        <v>1244</v>
      </c>
      <c r="O1775" t="s">
        <v>4385</v>
      </c>
      <c r="Q1775" t="s">
        <v>1249</v>
      </c>
      <c r="R1775" t="s">
        <v>1250</v>
      </c>
      <c r="T1775" t="s">
        <v>5</v>
      </c>
      <c r="U1775" s="3" t="str">
        <f>+VLOOKUP(Sites_per_tag[[#This Row],[Activity_tag]],Parameter!$A$24:$B$32,2,0)</f>
        <v>MAM</v>
      </c>
      <c r="W1775">
        <v>44.63165</v>
      </c>
      <c r="X1775">
        <v>-24.77075</v>
      </c>
    </row>
    <row r="1776" spans="1:24" x14ac:dyDescent="0.35">
      <c r="A1776" s="3" t="str">
        <f t="shared" si="27"/>
        <v>MG51507030002001MAM</v>
      </c>
      <c r="B1776" t="s">
        <v>6211</v>
      </c>
      <c r="C1776">
        <f>+VLOOKUP(Sites_per_tag[[#This Row],[Field_office]],Parameter!$A$3:$B$11,2,0)</f>
        <v>6</v>
      </c>
      <c r="E1776" t="s">
        <v>1448</v>
      </c>
      <c r="F1776" t="s">
        <v>5651</v>
      </c>
      <c r="H1776" t="str">
        <f ca="1">PROPER(Sites_per_tag[[#This Row],[Adm2Name]])</f>
        <v>Betroka</v>
      </c>
      <c r="I1776" t="s">
        <v>5691</v>
      </c>
      <c r="K1776" t="s">
        <v>6436</v>
      </c>
      <c r="L1776" t="s">
        <v>5982</v>
      </c>
      <c r="N1776" t="s">
        <v>2082</v>
      </c>
      <c r="O1776" t="s">
        <v>5097</v>
      </c>
      <c r="Q1776" t="s">
        <v>2090</v>
      </c>
      <c r="R1776" t="s">
        <v>2091</v>
      </c>
      <c r="T1776" t="s">
        <v>5</v>
      </c>
      <c r="U1776" s="3" t="str">
        <f>+VLOOKUP(Sites_per_tag[[#This Row],[Activity_tag]],Parameter!$A$24:$B$32,2,0)</f>
        <v>MAM</v>
      </c>
      <c r="W1776">
        <v>45.657963000000002</v>
      </c>
      <c r="X1776">
        <v>-23.810119</v>
      </c>
    </row>
    <row r="1777" spans="1:24" x14ac:dyDescent="0.35">
      <c r="A1777" s="3" t="str">
        <f t="shared" si="27"/>
        <v>MG51507030004001MAM</v>
      </c>
      <c r="B1777" t="s">
        <v>6211</v>
      </c>
      <c r="C1777">
        <f>+VLOOKUP(Sites_per_tag[[#This Row],[Field_office]],Parameter!$A$3:$B$11,2,0)</f>
        <v>6</v>
      </c>
      <c r="E1777" t="s">
        <v>5646</v>
      </c>
      <c r="F1777" t="s">
        <v>5647</v>
      </c>
      <c r="H1777" t="str">
        <f ca="1">PROPER(Sites_per_tag[[#This Row],[Adm2Name]])</f>
        <v>Beloha</v>
      </c>
      <c r="I1777" t="s">
        <v>5685</v>
      </c>
      <c r="K1777" t="s">
        <v>3702</v>
      </c>
      <c r="L1777" t="s">
        <v>6140</v>
      </c>
      <c r="N1777" t="s">
        <v>1728</v>
      </c>
      <c r="O1777" t="s">
        <v>5501</v>
      </c>
      <c r="Q1777" t="s">
        <v>1728</v>
      </c>
      <c r="R1777" t="s">
        <v>1729</v>
      </c>
      <c r="T1777" t="s">
        <v>5</v>
      </c>
      <c r="U1777" s="3" t="str">
        <f>+VLOOKUP(Sites_per_tag[[#This Row],[Activity_tag]],Parameter!$A$24:$B$32,2,0)</f>
        <v>MAM</v>
      </c>
      <c r="W1777">
        <v>44.836412000000003</v>
      </c>
      <c r="X1777">
        <v>-25.1995</v>
      </c>
    </row>
    <row r="1778" spans="1:24" x14ac:dyDescent="0.35">
      <c r="A1778" s="3" t="str">
        <f t="shared" si="27"/>
        <v>MG51507030005001MAM</v>
      </c>
      <c r="B1778" t="s">
        <v>6267</v>
      </c>
      <c r="C1778">
        <f>+VLOOKUP(Sites_per_tag[[#This Row],[Field_office]],Parameter!$A$3:$B$11,2,0)</f>
        <v>9</v>
      </c>
      <c r="E1778" t="s">
        <v>5650</v>
      </c>
      <c r="F1778" t="s">
        <v>5654</v>
      </c>
      <c r="H1778" t="str">
        <f ca="1">PROPER(Sites_per_tag[[#This Row],[Adm2Name]])</f>
        <v>Ampanihy Ouest</v>
      </c>
      <c r="I1778" t="s">
        <v>5660</v>
      </c>
      <c r="K1778" t="s">
        <v>1244</v>
      </c>
      <c r="L1778" t="s">
        <v>5838</v>
      </c>
      <c r="N1778" t="s">
        <v>4650</v>
      </c>
      <c r="O1778" t="s">
        <v>4649</v>
      </c>
      <c r="Q1778" t="s">
        <v>3771</v>
      </c>
      <c r="R1778" t="s">
        <v>3772</v>
      </c>
      <c r="T1778" t="s">
        <v>5</v>
      </c>
      <c r="U1778" s="3" t="str">
        <f>+VLOOKUP(Sites_per_tag[[#This Row],[Activity_tag]],Parameter!$A$24:$B$32,2,0)</f>
        <v>MAM</v>
      </c>
      <c r="W1778">
        <v>44.445830000000001</v>
      </c>
      <c r="X1778">
        <v>-24.621200000000002</v>
      </c>
    </row>
    <row r="1779" spans="1:24" x14ac:dyDescent="0.35">
      <c r="A1779" s="3" t="str">
        <f t="shared" si="27"/>
        <v>MG51507030008001MAM</v>
      </c>
      <c r="B1779" t="s">
        <v>6267</v>
      </c>
      <c r="C1779">
        <f>+VLOOKUP(Sites_per_tag[[#This Row],[Field_office]],Parameter!$A$3:$B$11,2,0)</f>
        <v>9</v>
      </c>
      <c r="E1779" t="s">
        <v>5650</v>
      </c>
      <c r="F1779" t="s">
        <v>5654</v>
      </c>
      <c r="H1779" t="str">
        <f ca="1">PROPER(Sites_per_tag[[#This Row],[Adm2Name]])</f>
        <v>Ampanihy Ouest</v>
      </c>
      <c r="I1779" t="s">
        <v>5660</v>
      </c>
      <c r="K1779" t="s">
        <v>1244</v>
      </c>
      <c r="L1779" t="s">
        <v>5838</v>
      </c>
      <c r="N1779" t="s">
        <v>1442</v>
      </c>
      <c r="O1779" t="s">
        <v>4651</v>
      </c>
      <c r="Q1779" t="s">
        <v>1442</v>
      </c>
      <c r="R1779" t="s">
        <v>1443</v>
      </c>
      <c r="T1779" t="s">
        <v>5</v>
      </c>
      <c r="U1779" s="3" t="str">
        <f>+VLOOKUP(Sites_per_tag[[#This Row],[Activity_tag]],Parameter!$A$24:$B$32,2,0)</f>
        <v>MAM</v>
      </c>
      <c r="W1779">
        <v>44.766869999999997</v>
      </c>
      <c r="X1779">
        <v>-24.657520000000002</v>
      </c>
    </row>
    <row r="1780" spans="1:24" x14ac:dyDescent="0.35">
      <c r="A1780" s="3" t="str">
        <f t="shared" si="27"/>
        <v>MG51507030009001MAM</v>
      </c>
      <c r="B1780" t="s">
        <v>6267</v>
      </c>
      <c r="C1780">
        <f>+VLOOKUP(Sites_per_tag[[#This Row],[Field_office]],Parameter!$A$3:$B$11,2,0)</f>
        <v>9</v>
      </c>
      <c r="E1780" t="s">
        <v>5650</v>
      </c>
      <c r="F1780" t="s">
        <v>5654</v>
      </c>
      <c r="H1780" t="str">
        <f ca="1">PROPER(Sites_per_tag[[#This Row],[Adm2Name]])</f>
        <v>Ampanihy Ouest</v>
      </c>
      <c r="I1780" t="s">
        <v>5660</v>
      </c>
      <c r="K1780" t="s">
        <v>1244</v>
      </c>
      <c r="L1780" t="s">
        <v>5838</v>
      </c>
      <c r="N1780" t="s">
        <v>4653</v>
      </c>
      <c r="O1780" t="s">
        <v>4652</v>
      </c>
      <c r="Q1780" t="s">
        <v>1796</v>
      </c>
      <c r="R1780" t="s">
        <v>1797</v>
      </c>
      <c r="T1780" t="s">
        <v>5</v>
      </c>
      <c r="U1780" s="3" t="str">
        <f>+VLOOKUP(Sites_per_tag[[#This Row],[Activity_tag]],Parameter!$A$24:$B$32,2,0)</f>
        <v>MAM</v>
      </c>
      <c r="W1780">
        <v>44.708950000000002</v>
      </c>
      <c r="X1780">
        <v>-24.658470000000001</v>
      </c>
    </row>
    <row r="1781" spans="1:24" x14ac:dyDescent="0.35">
      <c r="A1781" s="3" t="str">
        <f t="shared" si="27"/>
        <v>MG51507030010001MAM</v>
      </c>
      <c r="B1781" t="s">
        <v>6267</v>
      </c>
      <c r="C1781">
        <f>+VLOOKUP(Sites_per_tag[[#This Row],[Field_office]],Parameter!$A$3:$B$11,2,0)</f>
        <v>9</v>
      </c>
      <c r="E1781" t="s">
        <v>5650</v>
      </c>
      <c r="F1781" t="s">
        <v>5654</v>
      </c>
      <c r="H1781" t="str">
        <f ca="1">PROPER(Sites_per_tag[[#This Row],[Adm2Name]])</f>
        <v>Ampanihy Ouest</v>
      </c>
      <c r="I1781" t="s">
        <v>5660</v>
      </c>
      <c r="K1781" t="s">
        <v>1244</v>
      </c>
      <c r="L1781" t="s">
        <v>5838</v>
      </c>
      <c r="N1781" t="s">
        <v>2414</v>
      </c>
      <c r="O1781" t="s">
        <v>4654</v>
      </c>
      <c r="Q1781" t="s">
        <v>2414</v>
      </c>
      <c r="R1781" t="s">
        <v>2415</v>
      </c>
      <c r="T1781" t="s">
        <v>5</v>
      </c>
      <c r="U1781" s="3" t="str">
        <f>+VLOOKUP(Sites_per_tag[[#This Row],[Activity_tag]],Parameter!$A$24:$B$32,2,0)</f>
        <v>MAM</v>
      </c>
      <c r="W1781">
        <v>44.578830000000004</v>
      </c>
      <c r="X1781">
        <v>-24.693899999999999</v>
      </c>
    </row>
    <row r="1782" spans="1:24" x14ac:dyDescent="0.35">
      <c r="A1782" s="3" t="str">
        <f t="shared" si="27"/>
        <v>MG51507050001001MAM</v>
      </c>
      <c r="B1782" t="s">
        <v>6267</v>
      </c>
      <c r="C1782">
        <f>+VLOOKUP(Sites_per_tag[[#This Row],[Field_office]],Parameter!$A$3:$B$11,2,0)</f>
        <v>9</v>
      </c>
      <c r="E1782" t="s">
        <v>5650</v>
      </c>
      <c r="F1782" t="s">
        <v>5654</v>
      </c>
      <c r="H1782" t="str">
        <f ca="1">PROPER(Sites_per_tag[[#This Row],[Adm2Name]])</f>
        <v>Ampanihy Ouest</v>
      </c>
      <c r="I1782" t="s">
        <v>5660</v>
      </c>
      <c r="K1782" t="s">
        <v>457</v>
      </c>
      <c r="L1782" t="s">
        <v>5748</v>
      </c>
      <c r="N1782" t="s">
        <v>4387</v>
      </c>
      <c r="O1782" t="s">
        <v>4386</v>
      </c>
      <c r="Q1782" t="s">
        <v>460</v>
      </c>
      <c r="R1782" t="s">
        <v>461</v>
      </c>
      <c r="T1782" t="s">
        <v>5</v>
      </c>
      <c r="U1782" s="3" t="str">
        <f>+VLOOKUP(Sites_per_tag[[#This Row],[Activity_tag]],Parameter!$A$24:$B$32,2,0)</f>
        <v>MAM</v>
      </c>
      <c r="W1782">
        <v>44.948500000000003</v>
      </c>
      <c r="X1782">
        <v>-24.682120000000001</v>
      </c>
    </row>
    <row r="1783" spans="1:24" x14ac:dyDescent="0.35">
      <c r="A1783" s="3" t="str">
        <f t="shared" si="27"/>
        <v>MG51507050002001MAM</v>
      </c>
      <c r="B1783" t="s">
        <v>6267</v>
      </c>
      <c r="C1783">
        <f>+VLOOKUP(Sites_per_tag[[#This Row],[Field_office]],Parameter!$A$3:$B$11,2,0)</f>
        <v>9</v>
      </c>
      <c r="E1783" t="s">
        <v>5650</v>
      </c>
      <c r="F1783" t="s">
        <v>5654</v>
      </c>
      <c r="H1783" t="str">
        <f ca="1">PROPER(Sites_per_tag[[#This Row],[Adm2Name]])</f>
        <v>Ampanihy Ouest</v>
      </c>
      <c r="I1783" t="s">
        <v>5660</v>
      </c>
      <c r="K1783" t="s">
        <v>457</v>
      </c>
      <c r="L1783" t="s">
        <v>5748</v>
      </c>
      <c r="N1783" t="s">
        <v>162</v>
      </c>
      <c r="O1783" t="s">
        <v>4388</v>
      </c>
      <c r="Q1783" t="s">
        <v>162</v>
      </c>
      <c r="R1783" t="s">
        <v>163</v>
      </c>
      <c r="T1783" t="s">
        <v>5</v>
      </c>
      <c r="U1783" s="3" t="str">
        <f>+VLOOKUP(Sites_per_tag[[#This Row],[Activity_tag]],Parameter!$A$24:$B$32,2,0)</f>
        <v>MAM</v>
      </c>
      <c r="W1783">
        <v>45.043500000000002</v>
      </c>
      <c r="X1783">
        <v>-24.54917</v>
      </c>
    </row>
    <row r="1784" spans="1:24" x14ac:dyDescent="0.35">
      <c r="A1784" s="3" t="str">
        <f t="shared" si="27"/>
        <v>MG51507050003001MAM</v>
      </c>
      <c r="B1784" t="s">
        <v>6267</v>
      </c>
      <c r="C1784">
        <f>+VLOOKUP(Sites_per_tag[[#This Row],[Field_office]],Parameter!$A$3:$B$11,2,0)</f>
        <v>9</v>
      </c>
      <c r="E1784" t="s">
        <v>5650</v>
      </c>
      <c r="F1784" t="s">
        <v>5654</v>
      </c>
      <c r="H1784" t="str">
        <f ca="1">PROPER(Sites_per_tag[[#This Row],[Adm2Name]])</f>
        <v>Ampanihy Ouest</v>
      </c>
      <c r="I1784" t="s">
        <v>5660</v>
      </c>
      <c r="K1784" t="s">
        <v>457</v>
      </c>
      <c r="L1784" t="s">
        <v>5748</v>
      </c>
      <c r="N1784" t="s">
        <v>4390</v>
      </c>
      <c r="O1784" t="s">
        <v>4389</v>
      </c>
      <c r="Q1784" t="s">
        <v>68</v>
      </c>
      <c r="R1784" t="s">
        <v>69</v>
      </c>
      <c r="T1784" t="s">
        <v>5</v>
      </c>
      <c r="U1784" s="3" t="str">
        <f>+VLOOKUP(Sites_per_tag[[#This Row],[Activity_tag]],Parameter!$A$24:$B$32,2,0)</f>
        <v>MAM</v>
      </c>
      <c r="W1784">
        <v>45.011780000000002</v>
      </c>
      <c r="X1784">
        <v>-24.522570000000002</v>
      </c>
    </row>
    <row r="1785" spans="1:24" x14ac:dyDescent="0.35">
      <c r="A1785" s="3" t="str">
        <f t="shared" si="27"/>
        <v>MG51507050004001MAM</v>
      </c>
      <c r="B1785" t="s">
        <v>6267</v>
      </c>
      <c r="C1785">
        <f>+VLOOKUP(Sites_per_tag[[#This Row],[Field_office]],Parameter!$A$3:$B$11,2,0)</f>
        <v>9</v>
      </c>
      <c r="E1785" t="s">
        <v>5650</v>
      </c>
      <c r="F1785" t="s">
        <v>5654</v>
      </c>
      <c r="H1785" t="str">
        <f ca="1">PROPER(Sites_per_tag[[#This Row],[Adm2Name]])</f>
        <v>Ampanihy Ouest</v>
      </c>
      <c r="I1785" t="s">
        <v>5660</v>
      </c>
      <c r="K1785" t="s">
        <v>457</v>
      </c>
      <c r="L1785" t="s">
        <v>5748</v>
      </c>
      <c r="N1785" t="s">
        <v>240</v>
      </c>
      <c r="O1785" t="s">
        <v>4391</v>
      </c>
      <c r="Q1785" t="s">
        <v>240</v>
      </c>
      <c r="R1785" t="s">
        <v>241</v>
      </c>
      <c r="T1785" t="s">
        <v>5</v>
      </c>
      <c r="U1785" s="3" t="str">
        <f>+VLOOKUP(Sites_per_tag[[#This Row],[Activity_tag]],Parameter!$A$24:$B$32,2,0)</f>
        <v>MAM</v>
      </c>
      <c r="W1785">
        <v>44.979750000000003</v>
      </c>
      <c r="X1785">
        <v>-24.568349999999999</v>
      </c>
    </row>
    <row r="1786" spans="1:24" x14ac:dyDescent="0.35">
      <c r="A1786" s="3" t="str">
        <f t="shared" si="27"/>
        <v>MG51507050005001MAM</v>
      </c>
      <c r="B1786" t="s">
        <v>6267</v>
      </c>
      <c r="C1786">
        <f>+VLOOKUP(Sites_per_tag[[#This Row],[Field_office]],Parameter!$A$3:$B$11,2,0)</f>
        <v>9</v>
      </c>
      <c r="E1786" t="s">
        <v>5650</v>
      </c>
      <c r="F1786" t="s">
        <v>5654</v>
      </c>
      <c r="H1786" t="str">
        <f ca="1">PROPER(Sites_per_tag[[#This Row],[Adm2Name]])</f>
        <v>Ampanihy Ouest</v>
      </c>
      <c r="I1786" t="s">
        <v>5660</v>
      </c>
      <c r="K1786" t="s">
        <v>457</v>
      </c>
      <c r="L1786" t="s">
        <v>5748</v>
      </c>
      <c r="N1786" t="s">
        <v>4393</v>
      </c>
      <c r="O1786" t="s">
        <v>4392</v>
      </c>
      <c r="Q1786" t="s">
        <v>3218</v>
      </c>
      <c r="R1786" t="s">
        <v>3219</v>
      </c>
      <c r="T1786" t="s">
        <v>5</v>
      </c>
      <c r="U1786" s="3" t="str">
        <f>+VLOOKUP(Sites_per_tag[[#This Row],[Activity_tag]],Parameter!$A$24:$B$32,2,0)</f>
        <v>MAM</v>
      </c>
      <c r="W1786">
        <v>44.928919999999998</v>
      </c>
      <c r="X1786">
        <v>-24.56035</v>
      </c>
    </row>
    <row r="1787" spans="1:24" x14ac:dyDescent="0.35">
      <c r="A1787" s="3" t="str">
        <f t="shared" si="27"/>
        <v>MG51507050006001MAM</v>
      </c>
      <c r="B1787" t="s">
        <v>6267</v>
      </c>
      <c r="C1787">
        <f>+VLOOKUP(Sites_per_tag[[#This Row],[Field_office]],Parameter!$A$3:$B$11,2,0)</f>
        <v>9</v>
      </c>
      <c r="E1787" t="s">
        <v>5650</v>
      </c>
      <c r="F1787" t="s">
        <v>5654</v>
      </c>
      <c r="H1787" t="str">
        <f ca="1">PROPER(Sites_per_tag[[#This Row],[Adm2Name]])</f>
        <v>Ampanihy Ouest</v>
      </c>
      <c r="I1787" t="s">
        <v>5660</v>
      </c>
      <c r="K1787" t="s">
        <v>457</v>
      </c>
      <c r="L1787" t="s">
        <v>5748</v>
      </c>
      <c r="N1787" t="s">
        <v>4395</v>
      </c>
      <c r="O1787" t="s">
        <v>4394</v>
      </c>
      <c r="Q1787" t="s">
        <v>1771</v>
      </c>
      <c r="R1787" t="s">
        <v>1772</v>
      </c>
      <c r="T1787" t="s">
        <v>5</v>
      </c>
      <c r="U1787" s="3" t="str">
        <f>+VLOOKUP(Sites_per_tag[[#This Row],[Activity_tag]],Parameter!$A$24:$B$32,2,0)</f>
        <v>MAM</v>
      </c>
      <c r="W1787">
        <v>44.950969999999998</v>
      </c>
      <c r="X1787">
        <v>-24.588280000000001</v>
      </c>
    </row>
    <row r="1788" spans="1:24" x14ac:dyDescent="0.35">
      <c r="A1788" s="3" t="str">
        <f t="shared" si="27"/>
        <v>MG51507050007001MAM</v>
      </c>
      <c r="B1788" t="s">
        <v>6267</v>
      </c>
      <c r="C1788">
        <f>+VLOOKUP(Sites_per_tag[[#This Row],[Field_office]],Parameter!$A$3:$B$11,2,0)</f>
        <v>9</v>
      </c>
      <c r="E1788" t="s">
        <v>5650</v>
      </c>
      <c r="F1788" t="s">
        <v>5654</v>
      </c>
      <c r="H1788" t="str">
        <f ca="1">PROPER(Sites_per_tag[[#This Row],[Adm2Name]])</f>
        <v>Ampanihy Ouest</v>
      </c>
      <c r="I1788" t="s">
        <v>5660</v>
      </c>
      <c r="K1788" t="s">
        <v>457</v>
      </c>
      <c r="L1788" t="s">
        <v>5748</v>
      </c>
      <c r="N1788" t="s">
        <v>4397</v>
      </c>
      <c r="O1788" t="s">
        <v>4396</v>
      </c>
      <c r="Q1788" t="s">
        <v>1773</v>
      </c>
      <c r="R1788" t="s">
        <v>1774</v>
      </c>
      <c r="T1788" t="s">
        <v>5</v>
      </c>
      <c r="U1788" s="3" t="str">
        <f>+VLOOKUP(Sites_per_tag[[#This Row],[Activity_tag]],Parameter!$A$24:$B$32,2,0)</f>
        <v>MAM</v>
      </c>
      <c r="W1788">
        <v>44.927630000000001</v>
      </c>
      <c r="X1788">
        <v>-24.586220000000001</v>
      </c>
    </row>
    <row r="1789" spans="1:24" x14ac:dyDescent="0.35">
      <c r="A1789" s="3" t="str">
        <f t="shared" si="27"/>
        <v>MG51507050009001MAM</v>
      </c>
      <c r="B1789" t="s">
        <v>6267</v>
      </c>
      <c r="C1789">
        <f>+VLOOKUP(Sites_per_tag[[#This Row],[Field_office]],Parameter!$A$3:$B$11,2,0)</f>
        <v>9</v>
      </c>
      <c r="E1789" t="s">
        <v>5650</v>
      </c>
      <c r="F1789" t="s">
        <v>5654</v>
      </c>
      <c r="H1789" t="str">
        <f ca="1">PROPER(Sites_per_tag[[#This Row],[Adm2Name]])</f>
        <v>Ampanihy Ouest</v>
      </c>
      <c r="I1789" t="s">
        <v>5660</v>
      </c>
      <c r="K1789" t="s">
        <v>457</v>
      </c>
      <c r="L1789" t="s">
        <v>5748</v>
      </c>
      <c r="N1789" t="s">
        <v>1305</v>
      </c>
      <c r="O1789" t="s">
        <v>4398</v>
      </c>
      <c r="Q1789" t="s">
        <v>1303</v>
      </c>
      <c r="R1789" t="s">
        <v>1304</v>
      </c>
      <c r="T1789" t="s">
        <v>5</v>
      </c>
      <c r="U1789" s="3" t="str">
        <f>+VLOOKUP(Sites_per_tag[[#This Row],[Activity_tag]],Parameter!$A$24:$B$32,2,0)</f>
        <v>MAM</v>
      </c>
      <c r="W1789">
        <v>45.007199999999997</v>
      </c>
      <c r="X1789">
        <v>-24.614899999999999</v>
      </c>
    </row>
    <row r="1790" spans="1:24" x14ac:dyDescent="0.35">
      <c r="A1790" s="3" t="str">
        <f t="shared" si="27"/>
        <v>MG51507050009002MAM</v>
      </c>
      <c r="B1790" t="s">
        <v>6267</v>
      </c>
      <c r="C1790">
        <f>+VLOOKUP(Sites_per_tag[[#This Row],[Field_office]],Parameter!$A$3:$B$11,2,0)</f>
        <v>9</v>
      </c>
      <c r="E1790" t="s">
        <v>5650</v>
      </c>
      <c r="F1790" t="s">
        <v>5654</v>
      </c>
      <c r="H1790" t="str">
        <f ca="1">PROPER(Sites_per_tag[[#This Row],[Adm2Name]])</f>
        <v>Ampanihy Ouest</v>
      </c>
      <c r="I1790" t="s">
        <v>5660</v>
      </c>
      <c r="K1790" t="s">
        <v>457</v>
      </c>
      <c r="L1790" t="s">
        <v>5748</v>
      </c>
      <c r="N1790" t="s">
        <v>1305</v>
      </c>
      <c r="O1790" t="s">
        <v>4398</v>
      </c>
      <c r="Q1790" t="s">
        <v>1305</v>
      </c>
      <c r="R1790" t="s">
        <v>1306</v>
      </c>
      <c r="T1790" t="s">
        <v>5</v>
      </c>
      <c r="U1790" s="3" t="str">
        <f>+VLOOKUP(Sites_per_tag[[#This Row],[Activity_tag]],Parameter!$A$24:$B$32,2,0)</f>
        <v>MAM</v>
      </c>
      <c r="W1790">
        <v>45.007199999999997</v>
      </c>
      <c r="X1790">
        <v>-24.614899999999999</v>
      </c>
    </row>
    <row r="1791" spans="1:24" x14ac:dyDescent="0.35">
      <c r="A1791" s="3" t="str">
        <f t="shared" si="27"/>
        <v>MG51507050012001MAM</v>
      </c>
      <c r="B1791" t="s">
        <v>6267</v>
      </c>
      <c r="C1791">
        <f>+VLOOKUP(Sites_per_tag[[#This Row],[Field_office]],Parameter!$A$3:$B$11,2,0)</f>
        <v>9</v>
      </c>
      <c r="E1791" t="s">
        <v>5650</v>
      </c>
      <c r="F1791" t="s">
        <v>5654</v>
      </c>
      <c r="H1791" t="str">
        <f ca="1">PROPER(Sites_per_tag[[#This Row],[Adm2Name]])</f>
        <v>Ampanihy Ouest</v>
      </c>
      <c r="I1791" t="s">
        <v>5660</v>
      </c>
      <c r="K1791" t="s">
        <v>457</v>
      </c>
      <c r="L1791" t="s">
        <v>5748</v>
      </c>
      <c r="N1791" t="s">
        <v>1400</v>
      </c>
      <c r="O1791" t="s">
        <v>4399</v>
      </c>
      <c r="Q1791" t="s">
        <v>1400</v>
      </c>
      <c r="R1791" t="s">
        <v>1401</v>
      </c>
      <c r="T1791" t="s">
        <v>5</v>
      </c>
      <c r="U1791" s="3" t="str">
        <f>+VLOOKUP(Sites_per_tag[[#This Row],[Activity_tag]],Parameter!$A$24:$B$32,2,0)</f>
        <v>MAM</v>
      </c>
      <c r="W1791">
        <v>44.979050000000001</v>
      </c>
      <c r="X1791">
        <v>-24.646550000000001</v>
      </c>
    </row>
    <row r="1792" spans="1:24" x14ac:dyDescent="0.35">
      <c r="A1792" s="3" t="str">
        <f t="shared" si="27"/>
        <v>MG51507050013001MAM</v>
      </c>
      <c r="B1792" t="s">
        <v>6267</v>
      </c>
      <c r="C1792">
        <f>+VLOOKUP(Sites_per_tag[[#This Row],[Field_office]],Parameter!$A$3:$B$11,2,0)</f>
        <v>9</v>
      </c>
      <c r="E1792" t="s">
        <v>5650</v>
      </c>
      <c r="F1792" t="s">
        <v>5654</v>
      </c>
      <c r="H1792" t="str">
        <f ca="1">PROPER(Sites_per_tag[[#This Row],[Adm2Name]])</f>
        <v>Ampanihy Ouest</v>
      </c>
      <c r="I1792" t="s">
        <v>5660</v>
      </c>
      <c r="K1792" t="s">
        <v>457</v>
      </c>
      <c r="L1792" t="s">
        <v>5748</v>
      </c>
      <c r="N1792" t="s">
        <v>4401</v>
      </c>
      <c r="O1792" t="s">
        <v>4400</v>
      </c>
      <c r="Q1792" t="s">
        <v>462</v>
      </c>
      <c r="R1792" t="s">
        <v>463</v>
      </c>
      <c r="T1792" t="s">
        <v>5</v>
      </c>
      <c r="U1792" s="3" t="str">
        <f>+VLOOKUP(Sites_per_tag[[#This Row],[Activity_tag]],Parameter!$A$24:$B$32,2,0)</f>
        <v>MAM</v>
      </c>
      <c r="W1792">
        <v>44.947000000000003</v>
      </c>
      <c r="X1792">
        <v>-24.690380000000001</v>
      </c>
    </row>
    <row r="1793" spans="1:24" x14ac:dyDescent="0.35">
      <c r="A1793" s="3" t="str">
        <f t="shared" si="27"/>
        <v>MG51507050015001MAM</v>
      </c>
      <c r="B1793" t="s">
        <v>6267</v>
      </c>
      <c r="C1793">
        <f>+VLOOKUP(Sites_per_tag[[#This Row],[Field_office]],Parameter!$A$3:$B$11,2,0)</f>
        <v>9</v>
      </c>
      <c r="E1793" t="s">
        <v>5650</v>
      </c>
      <c r="F1793" t="s">
        <v>5654</v>
      </c>
      <c r="H1793" t="str">
        <f ca="1">PROPER(Sites_per_tag[[#This Row],[Adm2Name]])</f>
        <v>Ampanihy Ouest</v>
      </c>
      <c r="I1793" t="s">
        <v>5660</v>
      </c>
      <c r="K1793" t="s">
        <v>457</v>
      </c>
      <c r="L1793" t="s">
        <v>5748</v>
      </c>
      <c r="N1793" t="s">
        <v>4403</v>
      </c>
      <c r="O1793" t="s">
        <v>4402</v>
      </c>
      <c r="Q1793" t="s">
        <v>36</v>
      </c>
      <c r="R1793" t="s">
        <v>37</v>
      </c>
      <c r="T1793" t="s">
        <v>5</v>
      </c>
      <c r="U1793" s="3" t="str">
        <f>+VLOOKUP(Sites_per_tag[[#This Row],[Activity_tag]],Parameter!$A$24:$B$32,2,0)</f>
        <v>MAM</v>
      </c>
      <c r="W1793">
        <v>45.022219999999997</v>
      </c>
      <c r="X1793">
        <v>-24.73385</v>
      </c>
    </row>
    <row r="1794" spans="1:24" x14ac:dyDescent="0.35">
      <c r="A1794" s="3" t="str">
        <f t="shared" si="27"/>
        <v>MG51507050015002MAM</v>
      </c>
      <c r="B1794" t="s">
        <v>6267</v>
      </c>
      <c r="C1794">
        <f>+VLOOKUP(Sites_per_tag[[#This Row],[Field_office]],Parameter!$A$3:$B$11,2,0)</f>
        <v>9</v>
      </c>
      <c r="E1794" t="s">
        <v>5650</v>
      </c>
      <c r="F1794" t="s">
        <v>5654</v>
      </c>
      <c r="H1794" t="str">
        <f ca="1">PROPER(Sites_per_tag[[#This Row],[Adm2Name]])</f>
        <v>Ampanihy Ouest</v>
      </c>
      <c r="I1794" t="s">
        <v>5660</v>
      </c>
      <c r="K1794" t="s">
        <v>457</v>
      </c>
      <c r="L1794" t="s">
        <v>5748</v>
      </c>
      <c r="N1794" t="s">
        <v>4403</v>
      </c>
      <c r="O1794" t="s">
        <v>4402</v>
      </c>
      <c r="Q1794" t="s">
        <v>33</v>
      </c>
      <c r="R1794" t="s">
        <v>34</v>
      </c>
      <c r="T1794" t="s">
        <v>5</v>
      </c>
      <c r="U1794" s="3" t="str">
        <f>+VLOOKUP(Sites_per_tag[[#This Row],[Activity_tag]],Parameter!$A$24:$B$32,2,0)</f>
        <v>MAM</v>
      </c>
      <c r="W1794">
        <v>45.022219999999997</v>
      </c>
      <c r="X1794">
        <v>-24.73385</v>
      </c>
    </row>
    <row r="1795" spans="1:24" x14ac:dyDescent="0.35">
      <c r="A1795" s="3" t="str">
        <f t="shared" ref="A1795:A1858" si="28">+R1795&amp;U1795</f>
        <v>MG51507050016001MAM</v>
      </c>
      <c r="B1795" t="s">
        <v>6267</v>
      </c>
      <c r="C1795">
        <f>+VLOOKUP(Sites_per_tag[[#This Row],[Field_office]],Parameter!$A$3:$B$11,2,0)</f>
        <v>9</v>
      </c>
      <c r="E1795" t="s">
        <v>5650</v>
      </c>
      <c r="F1795" t="s">
        <v>5654</v>
      </c>
      <c r="H1795" t="str">
        <f ca="1">PROPER(Sites_per_tag[[#This Row],[Adm2Name]])</f>
        <v>Ampanihy Ouest</v>
      </c>
      <c r="I1795" t="s">
        <v>5660</v>
      </c>
      <c r="K1795" t="s">
        <v>457</v>
      </c>
      <c r="L1795" t="s">
        <v>5748</v>
      </c>
      <c r="N1795" t="s">
        <v>1949</v>
      </c>
      <c r="O1795" t="s">
        <v>4404</v>
      </c>
      <c r="Q1795" t="s">
        <v>1949</v>
      </c>
      <c r="R1795" t="s">
        <v>1950</v>
      </c>
      <c r="T1795" t="s">
        <v>5</v>
      </c>
      <c r="U1795" s="3" t="str">
        <f>+VLOOKUP(Sites_per_tag[[#This Row],[Activity_tag]],Parameter!$A$24:$B$32,2,0)</f>
        <v>MAM</v>
      </c>
      <c r="W1795">
        <v>44.9587</v>
      </c>
      <c r="X1795">
        <v>-24.764399999999998</v>
      </c>
    </row>
    <row r="1796" spans="1:24" x14ac:dyDescent="0.35">
      <c r="A1796" s="3" t="str">
        <f t="shared" si="28"/>
        <v>MG51507050017001MAM</v>
      </c>
      <c r="B1796" t="s">
        <v>6267</v>
      </c>
      <c r="C1796">
        <f>+VLOOKUP(Sites_per_tag[[#This Row],[Field_office]],Parameter!$A$3:$B$11,2,0)</f>
        <v>9</v>
      </c>
      <c r="E1796" t="s">
        <v>5650</v>
      </c>
      <c r="F1796" t="s">
        <v>5654</v>
      </c>
      <c r="H1796" t="str">
        <f ca="1">PROPER(Sites_per_tag[[#This Row],[Adm2Name]])</f>
        <v>Ampanihy Ouest</v>
      </c>
      <c r="I1796" t="s">
        <v>5660</v>
      </c>
      <c r="K1796" t="s">
        <v>457</v>
      </c>
      <c r="L1796" t="s">
        <v>5748</v>
      </c>
      <c r="N1796" t="s">
        <v>3843</v>
      </c>
      <c r="O1796" t="s">
        <v>4405</v>
      </c>
      <c r="Q1796" t="s">
        <v>3843</v>
      </c>
      <c r="R1796" t="s">
        <v>3844</v>
      </c>
      <c r="T1796" t="s">
        <v>5</v>
      </c>
      <c r="U1796" s="3" t="str">
        <f>+VLOOKUP(Sites_per_tag[[#This Row],[Activity_tag]],Parameter!$A$24:$B$32,2,0)</f>
        <v>MAM</v>
      </c>
      <c r="W1796">
        <v>44.975349999999999</v>
      </c>
      <c r="X1796">
        <v>-24.770099999999999</v>
      </c>
    </row>
    <row r="1797" spans="1:24" x14ac:dyDescent="0.35">
      <c r="A1797" s="3" t="str">
        <f t="shared" si="28"/>
        <v>MG51507050018001MAM</v>
      </c>
      <c r="B1797" t="s">
        <v>6267</v>
      </c>
      <c r="C1797">
        <f>+VLOOKUP(Sites_per_tag[[#This Row],[Field_office]],Parameter!$A$3:$B$11,2,0)</f>
        <v>9</v>
      </c>
      <c r="E1797" t="s">
        <v>5650</v>
      </c>
      <c r="F1797" t="s">
        <v>5654</v>
      </c>
      <c r="H1797" t="str">
        <f ca="1">PROPER(Sites_per_tag[[#This Row],[Adm2Name]])</f>
        <v>Ampanihy Ouest</v>
      </c>
      <c r="I1797" t="s">
        <v>5660</v>
      </c>
      <c r="K1797" t="s">
        <v>457</v>
      </c>
      <c r="L1797" t="s">
        <v>5748</v>
      </c>
      <c r="N1797" t="s">
        <v>2001</v>
      </c>
      <c r="O1797" t="s">
        <v>4406</v>
      </c>
      <c r="Q1797" t="s">
        <v>2001</v>
      </c>
      <c r="R1797" t="s">
        <v>2002</v>
      </c>
      <c r="T1797" t="s">
        <v>5</v>
      </c>
      <c r="U1797" s="3" t="str">
        <f>+VLOOKUP(Sites_per_tag[[#This Row],[Activity_tag]],Parameter!$A$24:$B$32,2,0)</f>
        <v>MAM</v>
      </c>
      <c r="W1797">
        <v>45.040280000000003</v>
      </c>
      <c r="X1797">
        <v>-24.638680000000001</v>
      </c>
    </row>
    <row r="1798" spans="1:24" x14ac:dyDescent="0.35">
      <c r="A1798" s="3" t="str">
        <f t="shared" si="28"/>
        <v>MG51507050019001MAM</v>
      </c>
      <c r="B1798" t="s">
        <v>6267</v>
      </c>
      <c r="C1798">
        <f>+VLOOKUP(Sites_per_tag[[#This Row],[Field_office]],Parameter!$A$3:$B$11,2,0)</f>
        <v>9</v>
      </c>
      <c r="E1798" t="s">
        <v>5650</v>
      </c>
      <c r="F1798" t="s">
        <v>5654</v>
      </c>
      <c r="H1798" t="str">
        <f ca="1">PROPER(Sites_per_tag[[#This Row],[Adm2Name]])</f>
        <v>Ampanihy Ouest</v>
      </c>
      <c r="I1798" t="s">
        <v>5660</v>
      </c>
      <c r="K1798" t="s">
        <v>457</v>
      </c>
      <c r="L1798" t="s">
        <v>5748</v>
      </c>
      <c r="N1798" t="s">
        <v>4408</v>
      </c>
      <c r="O1798" t="s">
        <v>4407</v>
      </c>
      <c r="Q1798" t="s">
        <v>1488</v>
      </c>
      <c r="R1798" t="s">
        <v>1489</v>
      </c>
      <c r="T1798" t="s">
        <v>5</v>
      </c>
      <c r="U1798" s="3" t="str">
        <f>+VLOOKUP(Sites_per_tag[[#This Row],[Activity_tag]],Parameter!$A$24:$B$32,2,0)</f>
        <v>MAM</v>
      </c>
      <c r="W1798">
        <v>44.9604</v>
      </c>
      <c r="X1798">
        <v>-24.770630000000001</v>
      </c>
    </row>
    <row r="1799" spans="1:24" x14ac:dyDescent="0.35">
      <c r="A1799" s="3" t="str">
        <f t="shared" si="28"/>
        <v>MG51507050020001MAM</v>
      </c>
      <c r="B1799" t="s">
        <v>6267</v>
      </c>
      <c r="C1799">
        <f>+VLOOKUP(Sites_per_tag[[#This Row],[Field_office]],Parameter!$A$3:$B$11,2,0)</f>
        <v>9</v>
      </c>
      <c r="E1799" t="s">
        <v>5650</v>
      </c>
      <c r="F1799" t="s">
        <v>5654</v>
      </c>
      <c r="H1799" t="str">
        <f ca="1">PROPER(Sites_per_tag[[#This Row],[Adm2Name]])</f>
        <v>Ampanihy Ouest</v>
      </c>
      <c r="I1799" t="s">
        <v>5660</v>
      </c>
      <c r="K1799" t="s">
        <v>457</v>
      </c>
      <c r="L1799" t="s">
        <v>5748</v>
      </c>
      <c r="N1799" t="s">
        <v>4410</v>
      </c>
      <c r="O1799" t="s">
        <v>4409</v>
      </c>
      <c r="Q1799" t="s">
        <v>24</v>
      </c>
      <c r="R1799" t="s">
        <v>25</v>
      </c>
      <c r="T1799" t="s">
        <v>5</v>
      </c>
      <c r="U1799" s="3" t="str">
        <f>+VLOOKUP(Sites_per_tag[[#This Row],[Activity_tag]],Parameter!$A$24:$B$32,2,0)</f>
        <v>MAM</v>
      </c>
      <c r="W1799">
        <v>44.919350000000001</v>
      </c>
      <c r="X1799">
        <v>-24.842099999999999</v>
      </c>
    </row>
    <row r="1800" spans="1:24" x14ac:dyDescent="0.35">
      <c r="A1800" s="3" t="str">
        <f t="shared" si="28"/>
        <v>MG51507050022001MAM</v>
      </c>
      <c r="B1800" t="s">
        <v>6267</v>
      </c>
      <c r="C1800">
        <f>+VLOOKUP(Sites_per_tag[[#This Row],[Field_office]],Parameter!$A$3:$B$11,2,0)</f>
        <v>9</v>
      </c>
      <c r="E1800" t="s">
        <v>5650</v>
      </c>
      <c r="F1800" t="s">
        <v>5654</v>
      </c>
      <c r="H1800" t="str">
        <f ca="1">PROPER(Sites_per_tag[[#This Row],[Adm2Name]])</f>
        <v>Ampanihy Ouest</v>
      </c>
      <c r="I1800" t="s">
        <v>5660</v>
      </c>
      <c r="K1800" t="s">
        <v>457</v>
      </c>
      <c r="L1800" t="s">
        <v>5748</v>
      </c>
      <c r="N1800" t="s">
        <v>4412</v>
      </c>
      <c r="O1800" t="s">
        <v>4411</v>
      </c>
      <c r="Q1800" t="s">
        <v>1887</v>
      </c>
      <c r="R1800" t="s">
        <v>1888</v>
      </c>
      <c r="T1800" t="s">
        <v>5</v>
      </c>
      <c r="U1800" s="3" t="str">
        <f>+VLOOKUP(Sites_per_tag[[#This Row],[Activity_tag]],Parameter!$A$24:$B$32,2,0)</f>
        <v>MAM</v>
      </c>
      <c r="W1800">
        <v>44.898980000000002</v>
      </c>
      <c r="X1800">
        <v>-24.90532</v>
      </c>
    </row>
    <row r="1801" spans="1:24" x14ac:dyDescent="0.35">
      <c r="A1801" s="3" t="str">
        <f t="shared" si="28"/>
        <v>MG51507050024001MAM</v>
      </c>
      <c r="B1801" t="s">
        <v>6267</v>
      </c>
      <c r="C1801">
        <f>+VLOOKUP(Sites_per_tag[[#This Row],[Field_office]],Parameter!$A$3:$B$11,2,0)</f>
        <v>9</v>
      </c>
      <c r="E1801" t="s">
        <v>5650</v>
      </c>
      <c r="F1801" t="s">
        <v>5654</v>
      </c>
      <c r="H1801" t="str">
        <f ca="1">PROPER(Sites_per_tag[[#This Row],[Adm2Name]])</f>
        <v>Ampanihy Ouest</v>
      </c>
      <c r="I1801" t="s">
        <v>5660</v>
      </c>
      <c r="K1801" t="s">
        <v>457</v>
      </c>
      <c r="L1801" t="s">
        <v>5748</v>
      </c>
      <c r="N1801" t="s">
        <v>162</v>
      </c>
      <c r="O1801" t="s">
        <v>4388</v>
      </c>
      <c r="Q1801" t="s">
        <v>294</v>
      </c>
      <c r="R1801" t="s">
        <v>295</v>
      </c>
      <c r="T1801" t="s">
        <v>5</v>
      </c>
      <c r="U1801" s="3" t="str">
        <f>+VLOOKUP(Sites_per_tag[[#This Row],[Activity_tag]],Parameter!$A$24:$B$32,2,0)</f>
        <v>MAM</v>
      </c>
      <c r="W1801">
        <v>45.063249999999996</v>
      </c>
      <c r="X1801">
        <v>-24.57123</v>
      </c>
    </row>
    <row r="1802" spans="1:24" x14ac:dyDescent="0.35">
      <c r="A1802" s="3" t="str">
        <f t="shared" si="28"/>
        <v>MG51507050025001MAM</v>
      </c>
      <c r="B1802" t="s">
        <v>6267</v>
      </c>
      <c r="C1802">
        <f>+VLOOKUP(Sites_per_tag[[#This Row],[Field_office]],Parameter!$A$3:$B$11,2,0)</f>
        <v>9</v>
      </c>
      <c r="E1802" t="s">
        <v>5650</v>
      </c>
      <c r="F1802" t="s">
        <v>5654</v>
      </c>
      <c r="H1802" t="str">
        <f ca="1">PROPER(Sites_per_tag[[#This Row],[Adm2Name]])</f>
        <v>Ampanihy Ouest</v>
      </c>
      <c r="I1802" t="s">
        <v>5660</v>
      </c>
      <c r="K1802" t="s">
        <v>457</v>
      </c>
      <c r="L1802" t="s">
        <v>5748</v>
      </c>
      <c r="N1802" t="s">
        <v>2939</v>
      </c>
      <c r="O1802" t="s">
        <v>4413</v>
      </c>
      <c r="Q1802" t="s">
        <v>2939</v>
      </c>
      <c r="R1802" t="s">
        <v>2940</v>
      </c>
      <c r="T1802" t="s">
        <v>5</v>
      </c>
      <c r="U1802" s="3" t="str">
        <f>+VLOOKUP(Sites_per_tag[[#This Row],[Activity_tag]],Parameter!$A$24:$B$32,2,0)</f>
        <v>MAM</v>
      </c>
      <c r="W1802">
        <v>44.982500000000002</v>
      </c>
      <c r="X1802">
        <v>-24.700230000000001</v>
      </c>
    </row>
    <row r="1803" spans="1:24" x14ac:dyDescent="0.35">
      <c r="A1803" s="3" t="str">
        <f t="shared" si="28"/>
        <v>MG51507050026001MAM</v>
      </c>
      <c r="B1803" t="s">
        <v>6267</v>
      </c>
      <c r="C1803">
        <f>+VLOOKUP(Sites_per_tag[[#This Row],[Field_office]],Parameter!$A$3:$B$11,2,0)</f>
        <v>9</v>
      </c>
      <c r="E1803" t="s">
        <v>5650</v>
      </c>
      <c r="F1803" t="s">
        <v>5654</v>
      </c>
      <c r="H1803" t="str">
        <f ca="1">PROPER(Sites_per_tag[[#This Row],[Adm2Name]])</f>
        <v>Ampanihy Ouest</v>
      </c>
      <c r="I1803" t="s">
        <v>5660</v>
      </c>
      <c r="K1803" t="s">
        <v>457</v>
      </c>
      <c r="L1803" t="s">
        <v>5748</v>
      </c>
      <c r="N1803" t="s">
        <v>938</v>
      </c>
      <c r="O1803" t="s">
        <v>4414</v>
      </c>
      <c r="Q1803" t="s">
        <v>938</v>
      </c>
      <c r="R1803" t="s">
        <v>939</v>
      </c>
      <c r="T1803" t="s">
        <v>5</v>
      </c>
      <c r="U1803" s="3" t="str">
        <f>+VLOOKUP(Sites_per_tag[[#This Row],[Activity_tag]],Parameter!$A$24:$B$32,2,0)</f>
        <v>MAM</v>
      </c>
      <c r="W1803">
        <v>44.849119999999999</v>
      </c>
      <c r="X1803">
        <v>-24.903849999999998</v>
      </c>
    </row>
    <row r="1804" spans="1:24" x14ac:dyDescent="0.35">
      <c r="A1804" s="3" t="str">
        <f t="shared" si="28"/>
        <v>MG51507050027001MAM</v>
      </c>
      <c r="B1804" t="s">
        <v>6267</v>
      </c>
      <c r="C1804">
        <f>+VLOOKUP(Sites_per_tag[[#This Row],[Field_office]],Parameter!$A$3:$B$11,2,0)</f>
        <v>9</v>
      </c>
      <c r="E1804" t="s">
        <v>5650</v>
      </c>
      <c r="F1804" t="s">
        <v>5654</v>
      </c>
      <c r="H1804" t="str">
        <f ca="1">PROPER(Sites_per_tag[[#This Row],[Adm2Name]])</f>
        <v>Ampanihy Ouest</v>
      </c>
      <c r="I1804" t="s">
        <v>5660</v>
      </c>
      <c r="K1804" t="s">
        <v>457</v>
      </c>
      <c r="L1804" t="s">
        <v>5748</v>
      </c>
      <c r="N1804" t="s">
        <v>1964</v>
      </c>
      <c r="O1804" t="s">
        <v>4415</v>
      </c>
      <c r="Q1804" t="s">
        <v>1964</v>
      </c>
      <c r="R1804" t="s">
        <v>1965</v>
      </c>
      <c r="T1804" t="s">
        <v>5</v>
      </c>
      <c r="U1804" s="3" t="str">
        <f>+VLOOKUP(Sites_per_tag[[#This Row],[Activity_tag]],Parameter!$A$24:$B$32,2,0)</f>
        <v>MAM</v>
      </c>
      <c r="W1804">
        <v>45.032380000000003</v>
      </c>
      <c r="X1804">
        <v>-24.6311</v>
      </c>
    </row>
    <row r="1805" spans="1:24" x14ac:dyDescent="0.35">
      <c r="A1805" s="3" t="str">
        <f t="shared" si="28"/>
        <v>MG51507050028001MAM</v>
      </c>
      <c r="B1805" t="s">
        <v>6267</v>
      </c>
      <c r="C1805">
        <f>+VLOOKUP(Sites_per_tag[[#This Row],[Field_office]],Parameter!$A$3:$B$11,2,0)</f>
        <v>9</v>
      </c>
      <c r="E1805" t="s">
        <v>5650</v>
      </c>
      <c r="F1805" t="s">
        <v>5654</v>
      </c>
      <c r="H1805" t="str">
        <f ca="1">PROPER(Sites_per_tag[[#This Row],[Adm2Name]])</f>
        <v>Ampanihy Ouest</v>
      </c>
      <c r="I1805" t="s">
        <v>5660</v>
      </c>
      <c r="K1805" t="s">
        <v>457</v>
      </c>
      <c r="L1805" t="s">
        <v>5748</v>
      </c>
      <c r="N1805" t="s">
        <v>3621</v>
      </c>
      <c r="O1805" t="s">
        <v>4416</v>
      </c>
      <c r="Q1805" t="s">
        <v>3621</v>
      </c>
      <c r="R1805" t="s">
        <v>3622</v>
      </c>
      <c r="T1805" t="s">
        <v>5</v>
      </c>
      <c r="U1805" s="3" t="str">
        <f>+VLOOKUP(Sites_per_tag[[#This Row],[Activity_tag]],Parameter!$A$24:$B$32,2,0)</f>
        <v>MAM</v>
      </c>
      <c r="W1805">
        <v>44.912120000000002</v>
      </c>
      <c r="X1805">
        <v>-24.60707</v>
      </c>
    </row>
    <row r="1806" spans="1:24" x14ac:dyDescent="0.35">
      <c r="A1806" s="3" t="str">
        <f t="shared" si="28"/>
        <v>MG51507050029001MAM</v>
      </c>
      <c r="B1806" t="s">
        <v>6267</v>
      </c>
      <c r="C1806">
        <f>+VLOOKUP(Sites_per_tag[[#This Row],[Field_office]],Parameter!$A$3:$B$11,2,0)</f>
        <v>9</v>
      </c>
      <c r="E1806" t="s">
        <v>5650</v>
      </c>
      <c r="F1806" t="s">
        <v>5654</v>
      </c>
      <c r="H1806" t="str">
        <f ca="1">PROPER(Sites_per_tag[[#This Row],[Adm2Name]])</f>
        <v>Ampanihy Ouest</v>
      </c>
      <c r="I1806" t="s">
        <v>5660</v>
      </c>
      <c r="K1806" t="s">
        <v>457</v>
      </c>
      <c r="L1806" t="s">
        <v>5748</v>
      </c>
      <c r="N1806" t="s">
        <v>1411</v>
      </c>
      <c r="O1806" t="s">
        <v>4417</v>
      </c>
      <c r="Q1806" t="s">
        <v>1411</v>
      </c>
      <c r="R1806" t="s">
        <v>1412</v>
      </c>
      <c r="T1806" t="s">
        <v>5</v>
      </c>
      <c r="U1806" s="3" t="str">
        <f>+VLOOKUP(Sites_per_tag[[#This Row],[Activity_tag]],Parameter!$A$24:$B$32,2,0)</f>
        <v>MAM</v>
      </c>
      <c r="W1806">
        <v>45.045879999999997</v>
      </c>
      <c r="X1806">
        <v>-24.68075</v>
      </c>
    </row>
    <row r="1807" spans="1:24" x14ac:dyDescent="0.35">
      <c r="A1807" s="3" t="str">
        <f t="shared" si="28"/>
        <v>MG51507050030001MAM</v>
      </c>
      <c r="B1807" t="s">
        <v>6267</v>
      </c>
      <c r="C1807">
        <f>+VLOOKUP(Sites_per_tag[[#This Row],[Field_office]],Parameter!$A$3:$B$11,2,0)</f>
        <v>9</v>
      </c>
      <c r="E1807" t="s">
        <v>5650</v>
      </c>
      <c r="F1807" t="s">
        <v>5654</v>
      </c>
      <c r="H1807" t="str">
        <f ca="1">PROPER(Sites_per_tag[[#This Row],[Adm2Name]])</f>
        <v>Ampanihy Ouest</v>
      </c>
      <c r="I1807" t="s">
        <v>5660</v>
      </c>
      <c r="K1807" t="s">
        <v>457</v>
      </c>
      <c r="L1807" t="s">
        <v>5748</v>
      </c>
      <c r="N1807" t="s">
        <v>1221</v>
      </c>
      <c r="O1807" t="s">
        <v>4418</v>
      </c>
      <c r="Q1807" t="s">
        <v>1221</v>
      </c>
      <c r="R1807" t="s">
        <v>1222</v>
      </c>
      <c r="T1807" t="s">
        <v>5</v>
      </c>
      <c r="U1807" s="3" t="str">
        <f>+VLOOKUP(Sites_per_tag[[#This Row],[Activity_tag]],Parameter!$A$24:$B$32,2,0)</f>
        <v>MAM</v>
      </c>
      <c r="W1807">
        <v>45.012970000000003</v>
      </c>
      <c r="X1807">
        <v>-24.668600000000001</v>
      </c>
    </row>
    <row r="1808" spans="1:24" x14ac:dyDescent="0.35">
      <c r="A1808" s="3" t="str">
        <f t="shared" si="28"/>
        <v>MG51507050045001MAM</v>
      </c>
      <c r="B1808" t="s">
        <v>6267</v>
      </c>
      <c r="C1808">
        <f>+VLOOKUP(Sites_per_tag[[#This Row],[Field_office]],Parameter!$A$3:$B$11,2,0)</f>
        <v>9</v>
      </c>
      <c r="E1808" t="s">
        <v>5650</v>
      </c>
      <c r="F1808" t="s">
        <v>5654</v>
      </c>
      <c r="H1808" t="str">
        <f ca="1">PROPER(Sites_per_tag[[#This Row],[Adm2Name]])</f>
        <v>Ampanihy Ouest</v>
      </c>
      <c r="I1808" t="s">
        <v>5660</v>
      </c>
      <c r="K1808" t="s">
        <v>457</v>
      </c>
      <c r="L1808" t="s">
        <v>5748</v>
      </c>
      <c r="N1808" t="s">
        <v>2059</v>
      </c>
      <c r="O1808" t="s">
        <v>4419</v>
      </c>
      <c r="Q1808" t="s">
        <v>2063</v>
      </c>
      <c r="R1808" t="s">
        <v>2064</v>
      </c>
      <c r="T1808" t="s">
        <v>5</v>
      </c>
      <c r="U1808" s="3" t="str">
        <f>+VLOOKUP(Sites_per_tag[[#This Row],[Activity_tag]],Parameter!$A$24:$B$32,2,0)</f>
        <v>MAM</v>
      </c>
      <c r="W1808">
        <v>44.941110999999999</v>
      </c>
      <c r="X1808">
        <v>-24.815466000000001</v>
      </c>
    </row>
    <row r="1809" spans="1:24" x14ac:dyDescent="0.35">
      <c r="A1809" s="3" t="str">
        <f t="shared" si="28"/>
        <v>MG51507050059001MAM</v>
      </c>
      <c r="B1809" t="s">
        <v>6267</v>
      </c>
      <c r="C1809">
        <f>+VLOOKUP(Sites_per_tag[[#This Row],[Field_office]],Parameter!$A$3:$B$11,2,0)</f>
        <v>9</v>
      </c>
      <c r="E1809" t="s">
        <v>5650</v>
      </c>
      <c r="F1809" t="s">
        <v>5654</v>
      </c>
      <c r="H1809" t="str">
        <f ca="1">PROPER(Sites_per_tag[[#This Row],[Adm2Name]])</f>
        <v>Ampanihy Ouest</v>
      </c>
      <c r="I1809" t="s">
        <v>5660</v>
      </c>
      <c r="K1809" t="s">
        <v>457</v>
      </c>
      <c r="L1809" t="s">
        <v>5748</v>
      </c>
      <c r="N1809" t="s">
        <v>4421</v>
      </c>
      <c r="O1809" t="s">
        <v>4420</v>
      </c>
      <c r="Q1809" t="s">
        <v>1173</v>
      </c>
      <c r="R1809" t="s">
        <v>1174</v>
      </c>
      <c r="T1809" t="s">
        <v>5</v>
      </c>
      <c r="U1809" s="3" t="str">
        <f>+VLOOKUP(Sites_per_tag[[#This Row],[Activity_tag]],Parameter!$A$24:$B$32,2,0)</f>
        <v>MAM</v>
      </c>
      <c r="W1809">
        <v>45.014484000000003</v>
      </c>
      <c r="X1809">
        <v>-24.647880000000001</v>
      </c>
    </row>
    <row r="1810" spans="1:24" x14ac:dyDescent="0.35">
      <c r="A1810" s="3" t="str">
        <f t="shared" si="28"/>
        <v>MG51507050067001MAM</v>
      </c>
      <c r="B1810" t="s">
        <v>6267</v>
      </c>
      <c r="C1810">
        <f>+VLOOKUP(Sites_per_tag[[#This Row],[Field_office]],Parameter!$A$3:$B$11,2,0)</f>
        <v>9</v>
      </c>
      <c r="E1810" t="s">
        <v>5650</v>
      </c>
      <c r="F1810" t="s">
        <v>5654</v>
      </c>
      <c r="H1810" t="str">
        <f ca="1">PROPER(Sites_per_tag[[#This Row],[Adm2Name]])</f>
        <v>Ampanihy Ouest</v>
      </c>
      <c r="I1810" t="s">
        <v>5660</v>
      </c>
      <c r="K1810" t="s">
        <v>457</v>
      </c>
      <c r="L1810" t="s">
        <v>5748</v>
      </c>
      <c r="N1810" t="s">
        <v>2957</v>
      </c>
      <c r="O1810" t="s">
        <v>4422</v>
      </c>
      <c r="Q1810" t="s">
        <v>2957</v>
      </c>
      <c r="R1810" t="s">
        <v>2958</v>
      </c>
      <c r="T1810" t="s">
        <v>5</v>
      </c>
      <c r="U1810" s="3" t="str">
        <f>+VLOOKUP(Sites_per_tag[[#This Row],[Activity_tag]],Parameter!$A$24:$B$32,2,0)</f>
        <v>MAM</v>
      </c>
      <c r="W1810">
        <v>45.042079999999999</v>
      </c>
      <c r="X1810">
        <v>-24.69462</v>
      </c>
    </row>
    <row r="1811" spans="1:24" x14ac:dyDescent="0.35">
      <c r="A1811" s="3" t="str">
        <f t="shared" si="28"/>
        <v>MG51507050089001MAM</v>
      </c>
      <c r="B1811" t="s">
        <v>6267</v>
      </c>
      <c r="C1811">
        <f>+VLOOKUP(Sites_per_tag[[#This Row],[Field_office]],Parameter!$A$3:$B$11,2,0)</f>
        <v>9</v>
      </c>
      <c r="E1811" t="s">
        <v>5650</v>
      </c>
      <c r="F1811" t="s">
        <v>5654</v>
      </c>
      <c r="H1811" t="str">
        <f ca="1">PROPER(Sites_per_tag[[#This Row],[Adm2Name]])</f>
        <v>Ampanihy Ouest</v>
      </c>
      <c r="I1811" t="s">
        <v>5660</v>
      </c>
      <c r="K1811" t="s">
        <v>457</v>
      </c>
      <c r="L1811" t="s">
        <v>5748</v>
      </c>
      <c r="N1811" t="s">
        <v>2941</v>
      </c>
      <c r="O1811" t="s">
        <v>4423</v>
      </c>
      <c r="Q1811" t="s">
        <v>2941</v>
      </c>
      <c r="R1811" t="s">
        <v>2942</v>
      </c>
      <c r="T1811" t="s">
        <v>5</v>
      </c>
      <c r="U1811" s="3" t="str">
        <f>+VLOOKUP(Sites_per_tag[[#This Row],[Activity_tag]],Parameter!$A$24:$B$32,2,0)</f>
        <v>MAM</v>
      </c>
      <c r="W1811">
        <v>44.982500000000002</v>
      </c>
      <c r="X1811">
        <v>-24.700230000000001</v>
      </c>
    </row>
    <row r="1812" spans="1:24" x14ac:dyDescent="0.35">
      <c r="A1812" s="3" t="str">
        <f t="shared" si="28"/>
        <v>MG51507050092001MAM</v>
      </c>
      <c r="B1812" t="s">
        <v>6267</v>
      </c>
      <c r="C1812">
        <f>+VLOOKUP(Sites_per_tag[[#This Row],[Field_office]],Parameter!$A$3:$B$11,2,0)</f>
        <v>9</v>
      </c>
      <c r="E1812" t="s">
        <v>5650</v>
      </c>
      <c r="F1812" t="s">
        <v>5654</v>
      </c>
      <c r="H1812" t="str">
        <f ca="1">PROPER(Sites_per_tag[[#This Row],[Adm2Name]])</f>
        <v>Ampanihy Ouest</v>
      </c>
      <c r="I1812" t="s">
        <v>5660</v>
      </c>
      <c r="K1812" t="s">
        <v>457</v>
      </c>
      <c r="L1812" t="s">
        <v>5748</v>
      </c>
      <c r="N1812" t="s">
        <v>1951</v>
      </c>
      <c r="O1812" t="s">
        <v>4424</v>
      </c>
      <c r="Q1812" t="s">
        <v>1951</v>
      </c>
      <c r="R1812" t="s">
        <v>1952</v>
      </c>
      <c r="T1812" t="s">
        <v>5</v>
      </c>
      <c r="U1812" s="3" t="str">
        <f>+VLOOKUP(Sites_per_tag[[#This Row],[Activity_tag]],Parameter!$A$24:$B$32,2,0)</f>
        <v>MAM</v>
      </c>
      <c r="W1812">
        <v>45.021078000000003</v>
      </c>
      <c r="X1812">
        <v>-24.576871000000001</v>
      </c>
    </row>
    <row r="1813" spans="1:24" x14ac:dyDescent="0.35">
      <c r="A1813" s="3" t="str">
        <f t="shared" si="28"/>
        <v>MG51507070002001MAM</v>
      </c>
      <c r="B1813" t="s">
        <v>6267</v>
      </c>
      <c r="C1813">
        <f>+VLOOKUP(Sites_per_tag[[#This Row],[Field_office]],Parameter!$A$3:$B$11,2,0)</f>
        <v>9</v>
      </c>
      <c r="E1813" t="s">
        <v>5650</v>
      </c>
      <c r="F1813" t="s">
        <v>5654</v>
      </c>
      <c r="H1813" t="str">
        <f ca="1">PROPER(Sites_per_tag[[#This Row],[Adm2Name]])</f>
        <v>Ampanihy Ouest</v>
      </c>
      <c r="I1813" t="s">
        <v>5660</v>
      </c>
      <c r="K1813" t="s">
        <v>1375</v>
      </c>
      <c r="L1813" t="s">
        <v>5844</v>
      </c>
      <c r="N1813" t="s">
        <v>631</v>
      </c>
      <c r="O1813" t="s">
        <v>4685</v>
      </c>
      <c r="Q1813" t="s">
        <v>631</v>
      </c>
      <c r="R1813" t="s">
        <v>632</v>
      </c>
      <c r="T1813" t="s">
        <v>5</v>
      </c>
      <c r="U1813" s="3" t="str">
        <f>+VLOOKUP(Sites_per_tag[[#This Row],[Activity_tag]],Parameter!$A$24:$B$32,2,0)</f>
        <v>MAM</v>
      </c>
      <c r="W1813">
        <v>44.823300000000003</v>
      </c>
      <c r="X1813">
        <v>-24.45767</v>
      </c>
    </row>
    <row r="1814" spans="1:24" x14ac:dyDescent="0.35">
      <c r="A1814" s="3" t="str">
        <f t="shared" si="28"/>
        <v>MG51507070004001MAM</v>
      </c>
      <c r="B1814" t="s">
        <v>6267</v>
      </c>
      <c r="C1814">
        <f>+VLOOKUP(Sites_per_tag[[#This Row],[Field_office]],Parameter!$A$3:$B$11,2,0)</f>
        <v>9</v>
      </c>
      <c r="E1814" t="s">
        <v>5650</v>
      </c>
      <c r="F1814" t="s">
        <v>5654</v>
      </c>
      <c r="H1814" t="str">
        <f ca="1">PROPER(Sites_per_tag[[#This Row],[Adm2Name]])</f>
        <v>Ampanihy Ouest</v>
      </c>
      <c r="I1814" t="s">
        <v>5660</v>
      </c>
      <c r="K1814" t="s">
        <v>1244</v>
      </c>
      <c r="L1814" t="s">
        <v>5838</v>
      </c>
      <c r="N1814" t="s">
        <v>4656</v>
      </c>
      <c r="O1814" t="s">
        <v>4655</v>
      </c>
      <c r="Q1814" t="s">
        <v>484</v>
      </c>
      <c r="R1814" t="s">
        <v>485</v>
      </c>
      <c r="T1814" t="s">
        <v>5</v>
      </c>
      <c r="U1814" s="3" t="str">
        <f>+VLOOKUP(Sites_per_tag[[#This Row],[Activity_tag]],Parameter!$A$24:$B$32,2,0)</f>
        <v>MAM</v>
      </c>
      <c r="W1814">
        <v>44.678080000000001</v>
      </c>
      <c r="X1814">
        <v>-24.496169999999999</v>
      </c>
    </row>
    <row r="1815" spans="1:24" x14ac:dyDescent="0.35">
      <c r="A1815" s="3" t="str">
        <f t="shared" si="28"/>
        <v>MG51507070007001MAM</v>
      </c>
      <c r="B1815" t="s">
        <v>6267</v>
      </c>
      <c r="C1815">
        <f>+VLOOKUP(Sites_per_tag[[#This Row],[Field_office]],Parameter!$A$3:$B$11,2,0)</f>
        <v>9</v>
      </c>
      <c r="E1815" t="s">
        <v>5650</v>
      </c>
      <c r="F1815" t="s">
        <v>5654</v>
      </c>
      <c r="H1815" t="str">
        <f ca="1">PROPER(Sites_per_tag[[#This Row],[Adm2Name]])</f>
        <v>Ampanihy Ouest</v>
      </c>
      <c r="I1815" t="s">
        <v>5660</v>
      </c>
      <c r="K1815" t="s">
        <v>1375</v>
      </c>
      <c r="L1815" t="s">
        <v>5844</v>
      </c>
      <c r="N1815" t="s">
        <v>1075</v>
      </c>
      <c r="O1815" t="s">
        <v>4686</v>
      </c>
      <c r="Q1815" t="s">
        <v>1075</v>
      </c>
      <c r="R1815" t="s">
        <v>1076</v>
      </c>
      <c r="T1815" t="s">
        <v>5</v>
      </c>
      <c r="U1815" s="3" t="str">
        <f>+VLOOKUP(Sites_per_tag[[#This Row],[Activity_tag]],Parameter!$A$24:$B$32,2,0)</f>
        <v>MAM</v>
      </c>
      <c r="W1815">
        <v>44.740020000000001</v>
      </c>
      <c r="X1815">
        <v>-24.563030000000001</v>
      </c>
    </row>
    <row r="1816" spans="1:24" x14ac:dyDescent="0.35">
      <c r="A1816" s="3" t="str">
        <f t="shared" si="28"/>
        <v>MG51507070008001MAM</v>
      </c>
      <c r="B1816" t="s">
        <v>6210</v>
      </c>
      <c r="C1816">
        <f>+VLOOKUP(Sites_per_tag[[#This Row],[Field_office]],Parameter!$A$3:$B$11,2,0)</f>
        <v>10</v>
      </c>
      <c r="E1816" t="s">
        <v>5650</v>
      </c>
      <c r="F1816" t="s">
        <v>5654</v>
      </c>
      <c r="H1816" t="str">
        <f ca="1">PROPER(Sites_per_tag[[#This Row],[Adm2Name]])</f>
        <v>Betioky Atsimo</v>
      </c>
      <c r="I1816" t="s">
        <v>5688</v>
      </c>
      <c r="K1816" t="s">
        <v>3370</v>
      </c>
      <c r="L1816" t="s">
        <v>6093</v>
      </c>
      <c r="N1816" t="s">
        <v>3370</v>
      </c>
      <c r="O1816" t="s">
        <v>4043</v>
      </c>
      <c r="Q1816" t="s">
        <v>3378</v>
      </c>
      <c r="R1816" t="s">
        <v>3379</v>
      </c>
      <c r="T1816" t="s">
        <v>5</v>
      </c>
      <c r="U1816" s="3" t="str">
        <f>+VLOOKUP(Sites_per_tag[[#This Row],[Activity_tag]],Parameter!$A$24:$B$32,2,0)</f>
        <v>MAM</v>
      </c>
      <c r="W1816">
        <v>44.662689999999998</v>
      </c>
      <c r="X1816">
        <v>-23.771963</v>
      </c>
    </row>
    <row r="1817" spans="1:24" x14ac:dyDescent="0.35">
      <c r="A1817" s="3" t="str">
        <f t="shared" si="28"/>
        <v>MG51507070008002STUNT</v>
      </c>
      <c r="B1817" t="s">
        <v>6210</v>
      </c>
      <c r="C1817">
        <f>+VLOOKUP(Sites_per_tag[[#This Row],[Field_office]],Parameter!$A$3:$B$11,2,0)</f>
        <v>10</v>
      </c>
      <c r="E1817" t="s">
        <v>5650</v>
      </c>
      <c r="F1817" t="s">
        <v>5654</v>
      </c>
      <c r="H1817" t="str">
        <f ca="1">PROPER(Sites_per_tag[[#This Row],[Adm2Name]])</f>
        <v>Betioky Atsimo</v>
      </c>
      <c r="I1817" t="s">
        <v>5688</v>
      </c>
      <c r="K1817" t="s">
        <v>3370</v>
      </c>
      <c r="L1817" t="s">
        <v>6093</v>
      </c>
      <c r="N1817" t="s">
        <v>3370</v>
      </c>
      <c r="O1817" t="s">
        <v>4043</v>
      </c>
      <c r="Q1817" t="s">
        <v>3370</v>
      </c>
      <c r="R1817" t="s">
        <v>3371</v>
      </c>
      <c r="T1817" t="s">
        <v>50</v>
      </c>
      <c r="U1817" s="3" t="str">
        <f>+VLOOKUP(Sites_per_tag[[#This Row],[Activity_tag]],Parameter!$A$24:$B$32,2,0)</f>
        <v>STUNT</v>
      </c>
      <c r="V1817" t="s">
        <v>6457</v>
      </c>
      <c r="W1817">
        <v>44.662689999999998</v>
      </c>
      <c r="X1817">
        <v>-23.771963</v>
      </c>
    </row>
    <row r="1818" spans="1:24" x14ac:dyDescent="0.35">
      <c r="A1818" s="3" t="str">
        <f t="shared" si="28"/>
        <v>MG51507070042001MAM</v>
      </c>
      <c r="B1818" t="s">
        <v>6267</v>
      </c>
      <c r="C1818">
        <f>+VLOOKUP(Sites_per_tag[[#This Row],[Field_office]],Parameter!$A$3:$B$11,2,0)</f>
        <v>9</v>
      </c>
      <c r="E1818" t="s">
        <v>5650</v>
      </c>
      <c r="F1818" t="s">
        <v>5654</v>
      </c>
      <c r="H1818" t="str">
        <f ca="1">PROPER(Sites_per_tag[[#This Row],[Adm2Name]])</f>
        <v>Ampanihy Ouest</v>
      </c>
      <c r="I1818" t="s">
        <v>5660</v>
      </c>
      <c r="K1818" t="s">
        <v>1375</v>
      </c>
      <c r="L1818" t="s">
        <v>5844</v>
      </c>
      <c r="N1818" t="s">
        <v>839</v>
      </c>
      <c r="O1818" t="s">
        <v>4687</v>
      </c>
      <c r="Q1818" t="s">
        <v>841</v>
      </c>
      <c r="R1818" t="s">
        <v>842</v>
      </c>
      <c r="T1818" t="s">
        <v>5</v>
      </c>
      <c r="U1818" s="3" t="str">
        <f>+VLOOKUP(Sites_per_tag[[#This Row],[Activity_tag]],Parameter!$A$24:$B$32,2,0)</f>
        <v>MAM</v>
      </c>
      <c r="W1818">
        <v>44.912170000000003</v>
      </c>
      <c r="X1818">
        <v>-24.354949999999999</v>
      </c>
    </row>
    <row r="1819" spans="1:24" x14ac:dyDescent="0.35">
      <c r="A1819" s="3" t="str">
        <f t="shared" si="28"/>
        <v>MG51507070051001MAM</v>
      </c>
      <c r="B1819" t="s">
        <v>6267</v>
      </c>
      <c r="C1819">
        <f>+VLOOKUP(Sites_per_tag[[#This Row],[Field_office]],Parameter!$A$3:$B$11,2,0)</f>
        <v>9</v>
      </c>
      <c r="E1819" t="s">
        <v>5650</v>
      </c>
      <c r="F1819" t="s">
        <v>5654</v>
      </c>
      <c r="H1819" t="str">
        <f ca="1">PROPER(Sites_per_tag[[#This Row],[Adm2Name]])</f>
        <v>Ampanihy Ouest</v>
      </c>
      <c r="I1819" t="s">
        <v>5660</v>
      </c>
      <c r="K1819" t="s">
        <v>1349</v>
      </c>
      <c r="L1819" t="s">
        <v>5842</v>
      </c>
      <c r="N1819" t="s">
        <v>3740</v>
      </c>
      <c r="O1819" t="s">
        <v>4669</v>
      </c>
      <c r="Q1819" t="s">
        <v>3740</v>
      </c>
      <c r="R1819" t="s">
        <v>3741</v>
      </c>
      <c r="T1819" t="s">
        <v>5</v>
      </c>
      <c r="U1819" s="3" t="str">
        <f>+VLOOKUP(Sites_per_tag[[#This Row],[Activity_tag]],Parameter!$A$24:$B$32,2,0)</f>
        <v>MAM</v>
      </c>
      <c r="W1819">
        <v>45.026150000000001</v>
      </c>
      <c r="X1819">
        <v>-24.470580000000002</v>
      </c>
    </row>
    <row r="1820" spans="1:24" x14ac:dyDescent="0.35">
      <c r="A1820" s="3" t="str">
        <f t="shared" si="28"/>
        <v>MG51507070057001MAM</v>
      </c>
      <c r="B1820" t="s">
        <v>6267</v>
      </c>
      <c r="C1820">
        <f>+VLOOKUP(Sites_per_tag[[#This Row],[Field_office]],Parameter!$A$3:$B$11,2,0)</f>
        <v>9</v>
      </c>
      <c r="E1820" t="s">
        <v>5650</v>
      </c>
      <c r="F1820" t="s">
        <v>5654</v>
      </c>
      <c r="H1820" t="str">
        <f ca="1">PROPER(Sites_per_tag[[#This Row],[Adm2Name]])</f>
        <v>Ampanihy Ouest</v>
      </c>
      <c r="I1820" t="s">
        <v>5660</v>
      </c>
      <c r="K1820" t="s">
        <v>1349</v>
      </c>
      <c r="L1820" t="s">
        <v>5842</v>
      </c>
      <c r="N1820" t="s">
        <v>38</v>
      </c>
      <c r="O1820" t="s">
        <v>4670</v>
      </c>
      <c r="Q1820" t="s">
        <v>38</v>
      </c>
      <c r="R1820" t="s">
        <v>39</v>
      </c>
      <c r="T1820" t="s">
        <v>5</v>
      </c>
      <c r="U1820" s="3" t="str">
        <f>+VLOOKUP(Sites_per_tag[[#This Row],[Activity_tag]],Parameter!$A$24:$B$32,2,0)</f>
        <v>MAM</v>
      </c>
      <c r="W1820">
        <v>45.048650000000002</v>
      </c>
      <c r="X1820">
        <v>-24.26313</v>
      </c>
    </row>
    <row r="1821" spans="1:24" x14ac:dyDescent="0.35">
      <c r="A1821" s="3" t="str">
        <f t="shared" si="28"/>
        <v>MG51507070058001MAM</v>
      </c>
      <c r="B1821" t="s">
        <v>6267</v>
      </c>
      <c r="C1821">
        <f>+VLOOKUP(Sites_per_tag[[#This Row],[Field_office]],Parameter!$A$3:$B$11,2,0)</f>
        <v>9</v>
      </c>
      <c r="E1821" t="s">
        <v>5650</v>
      </c>
      <c r="F1821" t="s">
        <v>5654</v>
      </c>
      <c r="H1821" t="str">
        <f ca="1">PROPER(Sites_per_tag[[#This Row],[Adm2Name]])</f>
        <v>Ampanihy Ouest</v>
      </c>
      <c r="I1821" t="s">
        <v>5660</v>
      </c>
      <c r="K1821" t="s">
        <v>1349</v>
      </c>
      <c r="L1821" t="s">
        <v>5842</v>
      </c>
      <c r="N1821" t="s">
        <v>1307</v>
      </c>
      <c r="O1821" t="s">
        <v>4671</v>
      </c>
      <c r="Q1821" t="s">
        <v>1307</v>
      </c>
      <c r="R1821" t="s">
        <v>1308</v>
      </c>
      <c r="T1821" t="s">
        <v>5</v>
      </c>
      <c r="U1821" s="3" t="str">
        <f>+VLOOKUP(Sites_per_tag[[#This Row],[Activity_tag]],Parameter!$A$24:$B$32,2,0)</f>
        <v>MAM</v>
      </c>
      <c r="W1821">
        <v>44.948999999999998</v>
      </c>
      <c r="X1821">
        <v>-24.52028</v>
      </c>
    </row>
    <row r="1822" spans="1:24" x14ac:dyDescent="0.35">
      <c r="A1822" s="3" t="str">
        <f t="shared" si="28"/>
        <v>MG51507070059001MAM</v>
      </c>
      <c r="B1822" t="s">
        <v>6267</v>
      </c>
      <c r="C1822">
        <f>+VLOOKUP(Sites_per_tag[[#This Row],[Field_office]],Parameter!$A$3:$B$11,2,0)</f>
        <v>9</v>
      </c>
      <c r="E1822" t="s">
        <v>5650</v>
      </c>
      <c r="F1822" t="s">
        <v>5654</v>
      </c>
      <c r="H1822" t="str">
        <f ca="1">PROPER(Sites_per_tag[[#This Row],[Adm2Name]])</f>
        <v>Ampanihy Ouest</v>
      </c>
      <c r="I1822" t="s">
        <v>5660</v>
      </c>
      <c r="K1822" t="s">
        <v>1349</v>
      </c>
      <c r="L1822" t="s">
        <v>5842</v>
      </c>
      <c r="N1822" t="s">
        <v>3427</v>
      </c>
      <c r="O1822" t="s">
        <v>4672</v>
      </c>
      <c r="Q1822" t="s">
        <v>3427</v>
      </c>
      <c r="R1822" t="s">
        <v>3428</v>
      </c>
      <c r="T1822" t="s">
        <v>5</v>
      </c>
      <c r="U1822" s="3" t="str">
        <f>+VLOOKUP(Sites_per_tag[[#This Row],[Activity_tag]],Parameter!$A$24:$B$32,2,0)</f>
        <v>MAM</v>
      </c>
      <c r="W1822">
        <v>45.050820000000002</v>
      </c>
      <c r="X1822">
        <v>-24.418220000000002</v>
      </c>
    </row>
    <row r="1823" spans="1:24" x14ac:dyDescent="0.35">
      <c r="A1823" s="3" t="str">
        <f t="shared" si="28"/>
        <v>MG51507070076001MAM</v>
      </c>
      <c r="B1823" t="s">
        <v>6267</v>
      </c>
      <c r="C1823">
        <f>+VLOOKUP(Sites_per_tag[[#This Row],[Field_office]],Parameter!$A$3:$B$11,2,0)</f>
        <v>9</v>
      </c>
      <c r="E1823" t="s">
        <v>5650</v>
      </c>
      <c r="F1823" t="s">
        <v>5654</v>
      </c>
      <c r="H1823" t="str">
        <f ca="1">PROPER(Sites_per_tag[[#This Row],[Adm2Name]])</f>
        <v>Ampanihy Ouest</v>
      </c>
      <c r="I1823" t="s">
        <v>5660</v>
      </c>
      <c r="K1823" t="s">
        <v>1244</v>
      </c>
      <c r="L1823" t="s">
        <v>5838</v>
      </c>
      <c r="N1823" t="s">
        <v>40</v>
      </c>
      <c r="O1823" t="s">
        <v>4657</v>
      </c>
      <c r="Q1823" t="s">
        <v>44</v>
      </c>
      <c r="R1823" t="s">
        <v>45</v>
      </c>
      <c r="T1823" t="s">
        <v>5</v>
      </c>
      <c r="U1823" s="3" t="str">
        <f>+VLOOKUP(Sites_per_tag[[#This Row],[Activity_tag]],Parameter!$A$24:$B$32,2,0)</f>
        <v>MAM</v>
      </c>
      <c r="W1823">
        <v>44.719920000000002</v>
      </c>
      <c r="X1823">
        <v>-24.62623</v>
      </c>
    </row>
    <row r="1824" spans="1:24" x14ac:dyDescent="0.35">
      <c r="A1824" s="3" t="str">
        <f t="shared" si="28"/>
        <v>MG51507070077001MAM</v>
      </c>
      <c r="B1824" t="s">
        <v>6267</v>
      </c>
      <c r="C1824">
        <f>+VLOOKUP(Sites_per_tag[[#This Row],[Field_office]],Parameter!$A$3:$B$11,2,0)</f>
        <v>9</v>
      </c>
      <c r="E1824" t="s">
        <v>5650</v>
      </c>
      <c r="F1824" t="s">
        <v>5654</v>
      </c>
      <c r="H1824" t="str">
        <f ca="1">PROPER(Sites_per_tag[[#This Row],[Adm2Name]])</f>
        <v>Ampanihy Ouest</v>
      </c>
      <c r="I1824" t="s">
        <v>5660</v>
      </c>
      <c r="K1824" t="s">
        <v>1244</v>
      </c>
      <c r="L1824" t="s">
        <v>5838</v>
      </c>
      <c r="N1824" t="s">
        <v>742</v>
      </c>
      <c r="O1824" t="s">
        <v>4658</v>
      </c>
      <c r="Q1824" t="s">
        <v>742</v>
      </c>
      <c r="R1824" t="s">
        <v>743</v>
      </c>
      <c r="T1824" t="s">
        <v>5</v>
      </c>
      <c r="U1824" s="3" t="str">
        <f>+VLOOKUP(Sites_per_tag[[#This Row],[Activity_tag]],Parameter!$A$24:$B$32,2,0)</f>
        <v>MAM</v>
      </c>
      <c r="W1824">
        <v>44.537350000000004</v>
      </c>
      <c r="X1824">
        <v>-24.74062</v>
      </c>
    </row>
    <row r="1825" spans="1:24" x14ac:dyDescent="0.35">
      <c r="A1825" s="3" t="str">
        <f t="shared" si="28"/>
        <v>MG51507070078001MAM</v>
      </c>
      <c r="B1825" t="s">
        <v>6267</v>
      </c>
      <c r="C1825">
        <f>+VLOOKUP(Sites_per_tag[[#This Row],[Field_office]],Parameter!$A$3:$B$11,2,0)</f>
        <v>9</v>
      </c>
      <c r="E1825" t="s">
        <v>5650</v>
      </c>
      <c r="F1825" t="s">
        <v>5654</v>
      </c>
      <c r="H1825" t="str">
        <f ca="1">PROPER(Sites_per_tag[[#This Row],[Adm2Name]])</f>
        <v>Ampanihy Ouest</v>
      </c>
      <c r="I1825" t="s">
        <v>5660</v>
      </c>
      <c r="K1825" t="s">
        <v>1244</v>
      </c>
      <c r="L1825" t="s">
        <v>5838</v>
      </c>
      <c r="N1825" t="s">
        <v>1043</v>
      </c>
      <c r="O1825" t="s">
        <v>4659</v>
      </c>
      <c r="Q1825" t="s">
        <v>1043</v>
      </c>
      <c r="R1825" t="s">
        <v>1044</v>
      </c>
      <c r="T1825" t="s">
        <v>5</v>
      </c>
      <c r="U1825" s="3" t="str">
        <f>+VLOOKUP(Sites_per_tag[[#This Row],[Activity_tag]],Parameter!$A$24:$B$32,2,0)</f>
        <v>MAM</v>
      </c>
      <c r="W1825">
        <v>44.746470000000002</v>
      </c>
      <c r="X1825">
        <v>-24.61713</v>
      </c>
    </row>
    <row r="1826" spans="1:24" x14ac:dyDescent="0.35">
      <c r="A1826" s="3" t="str">
        <f t="shared" si="28"/>
        <v>MG51507070079001MAM</v>
      </c>
      <c r="B1826" t="s">
        <v>6267</v>
      </c>
      <c r="C1826">
        <f>+VLOOKUP(Sites_per_tag[[#This Row],[Field_office]],Parameter!$A$3:$B$11,2,0)</f>
        <v>9</v>
      </c>
      <c r="E1826" t="s">
        <v>5650</v>
      </c>
      <c r="F1826" t="s">
        <v>5654</v>
      </c>
      <c r="H1826" t="str">
        <f ca="1">PROPER(Sites_per_tag[[#This Row],[Adm2Name]])</f>
        <v>Ampanihy Ouest</v>
      </c>
      <c r="I1826" t="s">
        <v>5660</v>
      </c>
      <c r="K1826" t="s">
        <v>1244</v>
      </c>
      <c r="L1826" t="s">
        <v>5838</v>
      </c>
      <c r="N1826" t="s">
        <v>2343</v>
      </c>
      <c r="O1826" t="s">
        <v>4660</v>
      </c>
      <c r="Q1826" t="s">
        <v>2343</v>
      </c>
      <c r="R1826" t="s">
        <v>2344</v>
      </c>
      <c r="T1826" t="s">
        <v>5</v>
      </c>
      <c r="U1826" s="3" t="str">
        <f>+VLOOKUP(Sites_per_tag[[#This Row],[Activity_tag]],Parameter!$A$24:$B$32,2,0)</f>
        <v>MAM</v>
      </c>
      <c r="W1826">
        <v>44.537350000000004</v>
      </c>
      <c r="X1826">
        <v>-24.74062</v>
      </c>
    </row>
    <row r="1827" spans="1:24" x14ac:dyDescent="0.35">
      <c r="A1827" s="3" t="str">
        <f t="shared" si="28"/>
        <v>MG51507070080001MAM</v>
      </c>
      <c r="B1827" t="s">
        <v>6267</v>
      </c>
      <c r="C1827">
        <f>+VLOOKUP(Sites_per_tag[[#This Row],[Field_office]],Parameter!$A$3:$B$11,2,0)</f>
        <v>9</v>
      </c>
      <c r="E1827" t="s">
        <v>5650</v>
      </c>
      <c r="F1827" t="s">
        <v>5654</v>
      </c>
      <c r="H1827" t="str">
        <f ca="1">PROPER(Sites_per_tag[[#This Row],[Adm2Name]])</f>
        <v>Ampanihy Ouest</v>
      </c>
      <c r="I1827" t="s">
        <v>5660</v>
      </c>
      <c r="K1827" t="s">
        <v>1244</v>
      </c>
      <c r="L1827" t="s">
        <v>5838</v>
      </c>
      <c r="N1827" t="s">
        <v>2352</v>
      </c>
      <c r="O1827" t="s">
        <v>4661</v>
      </c>
      <c r="Q1827" t="s">
        <v>2354</v>
      </c>
      <c r="R1827" t="s">
        <v>2355</v>
      </c>
      <c r="T1827" t="s">
        <v>5</v>
      </c>
      <c r="U1827" s="3" t="str">
        <f>+VLOOKUP(Sites_per_tag[[#This Row],[Activity_tag]],Parameter!$A$24:$B$32,2,0)</f>
        <v>MAM</v>
      </c>
      <c r="W1827">
        <v>44.683669999999999</v>
      </c>
      <c r="X1827">
        <v>-24.648900000000001</v>
      </c>
    </row>
    <row r="1828" spans="1:24" x14ac:dyDescent="0.35">
      <c r="A1828" s="3" t="str">
        <f t="shared" si="28"/>
        <v>MG51507070081001MAM</v>
      </c>
      <c r="B1828" t="s">
        <v>6267</v>
      </c>
      <c r="C1828">
        <f>+VLOOKUP(Sites_per_tag[[#This Row],[Field_office]],Parameter!$A$3:$B$11,2,0)</f>
        <v>9</v>
      </c>
      <c r="E1828" t="s">
        <v>5650</v>
      </c>
      <c r="F1828" t="s">
        <v>5654</v>
      </c>
      <c r="H1828" t="str">
        <f ca="1">PROPER(Sites_per_tag[[#This Row],[Adm2Name]])</f>
        <v>Ampanihy Ouest</v>
      </c>
      <c r="I1828" t="s">
        <v>5660</v>
      </c>
      <c r="K1828" t="s">
        <v>1244</v>
      </c>
      <c r="L1828" t="s">
        <v>5838</v>
      </c>
      <c r="N1828" t="s">
        <v>3328</v>
      </c>
      <c r="O1828" t="s">
        <v>4662</v>
      </c>
      <c r="Q1828" t="s">
        <v>3328</v>
      </c>
      <c r="R1828" t="s">
        <v>3329</v>
      </c>
      <c r="T1828" t="s">
        <v>5</v>
      </c>
      <c r="U1828" s="3" t="str">
        <f>+VLOOKUP(Sites_per_tag[[#This Row],[Activity_tag]],Parameter!$A$24:$B$32,2,0)</f>
        <v>MAM</v>
      </c>
      <c r="W1828">
        <v>44.569929999999999</v>
      </c>
      <c r="X1828">
        <v>-24.680420000000002</v>
      </c>
    </row>
    <row r="1829" spans="1:24" x14ac:dyDescent="0.35">
      <c r="A1829" s="3" t="str">
        <f t="shared" si="28"/>
        <v>MG51507070082001MAM</v>
      </c>
      <c r="B1829" t="s">
        <v>6267</v>
      </c>
      <c r="C1829">
        <f>+VLOOKUP(Sites_per_tag[[#This Row],[Field_office]],Parameter!$A$3:$B$11,2,0)</f>
        <v>9</v>
      </c>
      <c r="E1829" t="s">
        <v>5650</v>
      </c>
      <c r="F1829" t="s">
        <v>5654</v>
      </c>
      <c r="H1829" t="str">
        <f ca="1">PROPER(Sites_per_tag[[#This Row],[Adm2Name]])</f>
        <v>Ampanihy Ouest</v>
      </c>
      <c r="I1829" t="s">
        <v>5660</v>
      </c>
      <c r="K1829" t="s">
        <v>1244</v>
      </c>
      <c r="L1829" t="s">
        <v>5838</v>
      </c>
      <c r="N1829" t="s">
        <v>3332</v>
      </c>
      <c r="O1829" t="s">
        <v>4663</v>
      </c>
      <c r="Q1829" t="s">
        <v>3332</v>
      </c>
      <c r="R1829" t="s">
        <v>3333</v>
      </c>
      <c r="T1829" t="s">
        <v>5</v>
      </c>
      <c r="U1829" s="3" t="str">
        <f>+VLOOKUP(Sites_per_tag[[#This Row],[Activity_tag]],Parameter!$A$24:$B$32,2,0)</f>
        <v>MAM</v>
      </c>
      <c r="W1829">
        <v>44.730319999999999</v>
      </c>
      <c r="X1829">
        <v>-24.73565</v>
      </c>
    </row>
    <row r="1830" spans="1:24" x14ac:dyDescent="0.35">
      <c r="A1830" s="3" t="str">
        <f t="shared" si="28"/>
        <v>MG51507090001001MAM</v>
      </c>
      <c r="B1830" t="s">
        <v>6267</v>
      </c>
      <c r="C1830">
        <f>+VLOOKUP(Sites_per_tag[[#This Row],[Field_office]],Parameter!$A$3:$B$11,2,0)</f>
        <v>9</v>
      </c>
      <c r="E1830" t="s">
        <v>5650</v>
      </c>
      <c r="F1830" t="s">
        <v>5654</v>
      </c>
      <c r="H1830" t="str">
        <f ca="1">PROPER(Sites_per_tag[[#This Row],[Adm2Name]])</f>
        <v>Ampanihy Ouest</v>
      </c>
      <c r="I1830" t="s">
        <v>5660</v>
      </c>
      <c r="K1830" t="s">
        <v>2914</v>
      </c>
      <c r="L1830" t="s">
        <v>6034</v>
      </c>
      <c r="N1830" t="s">
        <v>2914</v>
      </c>
      <c r="O1830" t="s">
        <v>5235</v>
      </c>
      <c r="Q1830" t="s">
        <v>2914</v>
      </c>
      <c r="R1830" t="s">
        <v>2915</v>
      </c>
      <c r="T1830" t="s">
        <v>5</v>
      </c>
      <c r="U1830" s="3" t="str">
        <f>+VLOOKUP(Sites_per_tag[[#This Row],[Activity_tag]],Parameter!$A$24:$B$32,2,0)</f>
        <v>MAM</v>
      </c>
      <c r="W1830">
        <v>44.813200000000002</v>
      </c>
      <c r="X1830">
        <v>-24.523869999999999</v>
      </c>
    </row>
    <row r="1831" spans="1:24" x14ac:dyDescent="0.35">
      <c r="A1831" s="3" t="str">
        <f t="shared" si="28"/>
        <v>MG51507090002001MAM</v>
      </c>
      <c r="B1831" t="s">
        <v>6267</v>
      </c>
      <c r="C1831">
        <f>+VLOOKUP(Sites_per_tag[[#This Row],[Field_office]],Parameter!$A$3:$B$11,2,0)</f>
        <v>9</v>
      </c>
      <c r="E1831" t="s">
        <v>5650</v>
      </c>
      <c r="F1831" t="s">
        <v>5654</v>
      </c>
      <c r="H1831" t="str">
        <f ca="1">PROPER(Sites_per_tag[[#This Row],[Adm2Name]])</f>
        <v>Ampanihy Ouest</v>
      </c>
      <c r="I1831" t="s">
        <v>5660</v>
      </c>
      <c r="K1831" t="s">
        <v>2914</v>
      </c>
      <c r="L1831" t="s">
        <v>6034</v>
      </c>
      <c r="N1831" t="s">
        <v>2042</v>
      </c>
      <c r="O1831" t="s">
        <v>5236</v>
      </c>
      <c r="Q1831" t="s">
        <v>2042</v>
      </c>
      <c r="R1831" t="s">
        <v>2043</v>
      </c>
      <c r="T1831" t="s">
        <v>5</v>
      </c>
      <c r="U1831" s="3" t="str">
        <f>+VLOOKUP(Sites_per_tag[[#This Row],[Activity_tag]],Parameter!$A$24:$B$32,2,0)</f>
        <v>MAM</v>
      </c>
      <c r="W1831">
        <v>44.974879999999999</v>
      </c>
      <c r="X1831">
        <v>-24.35838</v>
      </c>
    </row>
    <row r="1832" spans="1:24" x14ac:dyDescent="0.35">
      <c r="A1832" s="3" t="str">
        <f t="shared" si="28"/>
        <v>MG51507090004001MAM</v>
      </c>
      <c r="B1832" t="s">
        <v>6267</v>
      </c>
      <c r="C1832">
        <f>+VLOOKUP(Sites_per_tag[[#This Row],[Field_office]],Parameter!$A$3:$B$11,2,0)</f>
        <v>9</v>
      </c>
      <c r="E1832" t="s">
        <v>5650</v>
      </c>
      <c r="F1832" t="s">
        <v>5654</v>
      </c>
      <c r="H1832" t="str">
        <f ca="1">PROPER(Sites_per_tag[[#This Row],[Adm2Name]])</f>
        <v>Ampanihy Ouest</v>
      </c>
      <c r="I1832" t="s">
        <v>5660</v>
      </c>
      <c r="K1832" t="s">
        <v>2914</v>
      </c>
      <c r="L1832" t="s">
        <v>6034</v>
      </c>
      <c r="N1832" t="s">
        <v>1336</v>
      </c>
      <c r="O1832" t="s">
        <v>5237</v>
      </c>
      <c r="Q1832" t="s">
        <v>1336</v>
      </c>
      <c r="R1832" t="s">
        <v>1337</v>
      </c>
      <c r="T1832" t="s">
        <v>5</v>
      </c>
      <c r="U1832" s="3" t="str">
        <f>+VLOOKUP(Sites_per_tag[[#This Row],[Activity_tag]],Parameter!$A$24:$B$32,2,0)</f>
        <v>MAM</v>
      </c>
      <c r="W1832">
        <v>44.851730000000003</v>
      </c>
      <c r="X1832">
        <v>-24.45908</v>
      </c>
    </row>
    <row r="1833" spans="1:24" x14ac:dyDescent="0.35">
      <c r="A1833" s="3" t="str">
        <f t="shared" si="28"/>
        <v>MG51507090006001MAM</v>
      </c>
      <c r="B1833" t="s">
        <v>6267</v>
      </c>
      <c r="C1833">
        <f>+VLOOKUP(Sites_per_tag[[#This Row],[Field_office]],Parameter!$A$3:$B$11,2,0)</f>
        <v>9</v>
      </c>
      <c r="E1833" t="s">
        <v>5650</v>
      </c>
      <c r="F1833" t="s">
        <v>5654</v>
      </c>
      <c r="H1833" t="str">
        <f ca="1">PROPER(Sites_per_tag[[#This Row],[Adm2Name]])</f>
        <v>Ampanihy Ouest</v>
      </c>
      <c r="I1833" t="s">
        <v>5660</v>
      </c>
      <c r="K1833" t="s">
        <v>2914</v>
      </c>
      <c r="L1833" t="s">
        <v>6034</v>
      </c>
      <c r="N1833" t="s">
        <v>2223</v>
      </c>
      <c r="O1833" t="s">
        <v>5238</v>
      </c>
      <c r="Q1833" t="s">
        <v>2223</v>
      </c>
      <c r="R1833" t="s">
        <v>2224</v>
      </c>
      <c r="T1833" t="s">
        <v>5</v>
      </c>
      <c r="U1833" s="3" t="str">
        <f>+VLOOKUP(Sites_per_tag[[#This Row],[Activity_tag]],Parameter!$A$24:$B$32,2,0)</f>
        <v>MAM</v>
      </c>
      <c r="W1833">
        <v>44.912080000000003</v>
      </c>
      <c r="X1833">
        <v>-24.46735</v>
      </c>
    </row>
    <row r="1834" spans="1:24" x14ac:dyDescent="0.35">
      <c r="A1834" s="3" t="str">
        <f t="shared" si="28"/>
        <v>MG51507090009001MAM</v>
      </c>
      <c r="B1834" t="s">
        <v>6267</v>
      </c>
      <c r="C1834">
        <f>+VLOOKUP(Sites_per_tag[[#This Row],[Field_office]],Parameter!$A$3:$B$11,2,0)</f>
        <v>9</v>
      </c>
      <c r="E1834" t="s">
        <v>5650</v>
      </c>
      <c r="F1834" t="s">
        <v>5654</v>
      </c>
      <c r="H1834" t="str">
        <f ca="1">PROPER(Sites_per_tag[[#This Row],[Adm2Name]])</f>
        <v>Ampanihy Ouest</v>
      </c>
      <c r="I1834" t="s">
        <v>5660</v>
      </c>
      <c r="K1834" t="s">
        <v>2914</v>
      </c>
      <c r="L1834" t="s">
        <v>6034</v>
      </c>
      <c r="N1834" t="s">
        <v>3750</v>
      </c>
      <c r="O1834" t="s">
        <v>5239</v>
      </c>
      <c r="Q1834" t="s">
        <v>3750</v>
      </c>
      <c r="R1834" t="s">
        <v>3751</v>
      </c>
      <c r="T1834" t="s">
        <v>5</v>
      </c>
      <c r="U1834" s="3" t="str">
        <f>+VLOOKUP(Sites_per_tag[[#This Row],[Activity_tag]],Parameter!$A$24:$B$32,2,0)</f>
        <v>MAM</v>
      </c>
      <c r="W1834">
        <v>44.887779999999999</v>
      </c>
      <c r="X1834">
        <v>-24.546679999999999</v>
      </c>
    </row>
    <row r="1835" spans="1:24" x14ac:dyDescent="0.35">
      <c r="A1835" s="3" t="str">
        <f t="shared" si="28"/>
        <v>MG51507090010001MAM</v>
      </c>
      <c r="B1835" t="s">
        <v>6267</v>
      </c>
      <c r="C1835">
        <f>+VLOOKUP(Sites_per_tag[[#This Row],[Field_office]],Parameter!$A$3:$B$11,2,0)</f>
        <v>9</v>
      </c>
      <c r="E1835" t="s">
        <v>5650</v>
      </c>
      <c r="F1835" t="s">
        <v>5654</v>
      </c>
      <c r="H1835" t="str">
        <f ca="1">PROPER(Sites_per_tag[[#This Row],[Adm2Name]])</f>
        <v>Ampanihy Ouest</v>
      </c>
      <c r="I1835" t="s">
        <v>5660</v>
      </c>
      <c r="K1835" t="s">
        <v>2914</v>
      </c>
      <c r="L1835" t="s">
        <v>6034</v>
      </c>
      <c r="N1835" t="s">
        <v>3895</v>
      </c>
      <c r="O1835" t="s">
        <v>5240</v>
      </c>
      <c r="Q1835" t="s">
        <v>3895</v>
      </c>
      <c r="R1835" t="s">
        <v>3896</v>
      </c>
      <c r="T1835" t="s">
        <v>5</v>
      </c>
      <c r="U1835" s="3" t="str">
        <f>+VLOOKUP(Sites_per_tag[[#This Row],[Activity_tag]],Parameter!$A$24:$B$32,2,0)</f>
        <v>MAM</v>
      </c>
      <c r="W1835">
        <v>44.917299999999997</v>
      </c>
      <c r="X1835">
        <v>-24.54693</v>
      </c>
    </row>
    <row r="1836" spans="1:24" x14ac:dyDescent="0.35">
      <c r="A1836" s="3" t="str">
        <f t="shared" si="28"/>
        <v>MG51507090011001MAM</v>
      </c>
      <c r="B1836" t="s">
        <v>6267</v>
      </c>
      <c r="C1836">
        <f>+VLOOKUP(Sites_per_tag[[#This Row],[Field_office]],Parameter!$A$3:$B$11,2,0)</f>
        <v>9</v>
      </c>
      <c r="E1836" t="s">
        <v>5650</v>
      </c>
      <c r="F1836" t="s">
        <v>5654</v>
      </c>
      <c r="H1836" t="str">
        <f ca="1">PROPER(Sites_per_tag[[#This Row],[Adm2Name]])</f>
        <v>Ampanihy Ouest</v>
      </c>
      <c r="I1836" t="s">
        <v>5660</v>
      </c>
      <c r="K1836" t="s">
        <v>2914</v>
      </c>
      <c r="L1836" t="s">
        <v>6034</v>
      </c>
      <c r="N1836" t="s">
        <v>76</v>
      </c>
      <c r="O1836" t="s">
        <v>5241</v>
      </c>
      <c r="Q1836" t="s">
        <v>76</v>
      </c>
      <c r="R1836" t="s">
        <v>77</v>
      </c>
      <c r="T1836" t="s">
        <v>5</v>
      </c>
      <c r="U1836" s="3" t="str">
        <f>+VLOOKUP(Sites_per_tag[[#This Row],[Activity_tag]],Parameter!$A$24:$B$32,2,0)</f>
        <v>MAM</v>
      </c>
      <c r="W1836">
        <v>44.843670000000003</v>
      </c>
      <c r="X1836">
        <v>-24.55902</v>
      </c>
    </row>
    <row r="1837" spans="1:24" x14ac:dyDescent="0.35">
      <c r="A1837" s="3" t="str">
        <f t="shared" si="28"/>
        <v>MG51507090012001MAM</v>
      </c>
      <c r="B1837" t="s">
        <v>6267</v>
      </c>
      <c r="C1837">
        <f>+VLOOKUP(Sites_per_tag[[#This Row],[Field_office]],Parameter!$A$3:$B$11,2,0)</f>
        <v>9</v>
      </c>
      <c r="E1837" t="s">
        <v>5650</v>
      </c>
      <c r="F1837" t="s">
        <v>5654</v>
      </c>
      <c r="H1837" t="str">
        <f ca="1">PROPER(Sites_per_tag[[#This Row],[Adm2Name]])</f>
        <v>Ampanihy Ouest</v>
      </c>
      <c r="I1837" t="s">
        <v>5660</v>
      </c>
      <c r="K1837" t="s">
        <v>2914</v>
      </c>
      <c r="L1837" t="s">
        <v>6034</v>
      </c>
      <c r="N1837" t="s">
        <v>2329</v>
      </c>
      <c r="O1837" t="s">
        <v>5242</v>
      </c>
      <c r="Q1837" t="s">
        <v>2329</v>
      </c>
      <c r="R1837" t="s">
        <v>2330</v>
      </c>
      <c r="T1837" t="s">
        <v>5</v>
      </c>
      <c r="U1837" s="3" t="str">
        <f>+VLOOKUP(Sites_per_tag[[#This Row],[Activity_tag]],Parameter!$A$24:$B$32,2,0)</f>
        <v>MAM</v>
      </c>
      <c r="W1837">
        <v>44.903849999999998</v>
      </c>
      <c r="X1837">
        <v>-24.591100000000001</v>
      </c>
    </row>
    <row r="1838" spans="1:24" x14ac:dyDescent="0.35">
      <c r="A1838" s="3" t="str">
        <f t="shared" si="28"/>
        <v>MG51507090013001MAM</v>
      </c>
      <c r="B1838" t="s">
        <v>6267</v>
      </c>
      <c r="C1838">
        <f>+VLOOKUP(Sites_per_tag[[#This Row],[Field_office]],Parameter!$A$3:$B$11,2,0)</f>
        <v>9</v>
      </c>
      <c r="E1838" t="s">
        <v>5650</v>
      </c>
      <c r="F1838" t="s">
        <v>5654</v>
      </c>
      <c r="H1838" t="str">
        <f ca="1">PROPER(Sites_per_tag[[#This Row],[Adm2Name]])</f>
        <v>Ampanihy Ouest</v>
      </c>
      <c r="I1838" t="s">
        <v>5660</v>
      </c>
      <c r="K1838" t="s">
        <v>2914</v>
      </c>
      <c r="L1838" t="s">
        <v>6034</v>
      </c>
      <c r="N1838" t="s">
        <v>1761</v>
      </c>
      <c r="O1838" t="s">
        <v>5243</v>
      </c>
      <c r="Q1838" t="s">
        <v>1761</v>
      </c>
      <c r="R1838" t="s">
        <v>1762</v>
      </c>
      <c r="T1838" t="s">
        <v>5</v>
      </c>
      <c r="U1838" s="3" t="str">
        <f>+VLOOKUP(Sites_per_tag[[#This Row],[Activity_tag]],Parameter!$A$24:$B$32,2,0)</f>
        <v>MAM</v>
      </c>
      <c r="W1838">
        <v>44.884279999999997</v>
      </c>
      <c r="X1838">
        <v>-24.59103</v>
      </c>
    </row>
    <row r="1839" spans="1:24" x14ac:dyDescent="0.35">
      <c r="A1839" s="3" t="str">
        <f t="shared" si="28"/>
        <v>MG51507090015001MAM</v>
      </c>
      <c r="B1839" t="s">
        <v>6267</v>
      </c>
      <c r="C1839">
        <f>+VLOOKUP(Sites_per_tag[[#This Row],[Field_office]],Parameter!$A$3:$B$11,2,0)</f>
        <v>9</v>
      </c>
      <c r="E1839" t="s">
        <v>5650</v>
      </c>
      <c r="F1839" t="s">
        <v>5654</v>
      </c>
      <c r="H1839" t="str">
        <f ca="1">PROPER(Sites_per_tag[[#This Row],[Adm2Name]])</f>
        <v>Ampanihy Ouest</v>
      </c>
      <c r="I1839" t="s">
        <v>5660</v>
      </c>
      <c r="K1839" t="s">
        <v>2914</v>
      </c>
      <c r="L1839" t="s">
        <v>6034</v>
      </c>
      <c r="N1839" t="s">
        <v>1114</v>
      </c>
      <c r="O1839" t="s">
        <v>5244</v>
      </c>
      <c r="Q1839" t="s">
        <v>1114</v>
      </c>
      <c r="R1839" t="s">
        <v>1115</v>
      </c>
      <c r="T1839" t="s">
        <v>5</v>
      </c>
      <c r="U1839" s="3" t="str">
        <f>+VLOOKUP(Sites_per_tag[[#This Row],[Activity_tag]],Parameter!$A$24:$B$32,2,0)</f>
        <v>MAM</v>
      </c>
      <c r="W1839">
        <v>44.834800000000001</v>
      </c>
      <c r="X1839">
        <v>-24.480070000000001</v>
      </c>
    </row>
    <row r="1840" spans="1:24" x14ac:dyDescent="0.35">
      <c r="A1840" s="3" t="str">
        <f t="shared" si="28"/>
        <v>MG51507110a_12001MAM</v>
      </c>
      <c r="B1840" t="s">
        <v>6210</v>
      </c>
      <c r="C1840">
        <f>+VLOOKUP(Sites_per_tag[[#This Row],[Field_office]],Parameter!$A$3:$B$11,2,0)</f>
        <v>10</v>
      </c>
      <c r="E1840" t="s">
        <v>5650</v>
      </c>
      <c r="F1840" t="s">
        <v>5654</v>
      </c>
      <c r="H1840" t="str">
        <f ca="1">PROPER(Sites_per_tag[[#This Row],[Adm2Name]])</f>
        <v>Betioky Atsimo</v>
      </c>
      <c r="I1840" t="s">
        <v>5688</v>
      </c>
      <c r="K1840" t="s">
        <v>5798</v>
      </c>
      <c r="L1840" t="s">
        <v>6041</v>
      </c>
      <c r="N1840" t="s">
        <v>925</v>
      </c>
      <c r="O1840" t="s">
        <v>5302</v>
      </c>
      <c r="Q1840" t="s">
        <v>925</v>
      </c>
      <c r="R1840" t="s">
        <v>926</v>
      </c>
      <c r="T1840" t="s">
        <v>5</v>
      </c>
      <c r="U1840" s="3" t="str">
        <f>+VLOOKUP(Sites_per_tag[[#This Row],[Activity_tag]],Parameter!$A$24:$B$32,2,0)</f>
        <v>MAM</v>
      </c>
      <c r="W1840">
        <v>44.205370000000002</v>
      </c>
      <c r="X1840">
        <v>-23.971879999999999</v>
      </c>
    </row>
    <row r="1841" spans="1:24" x14ac:dyDescent="0.35">
      <c r="A1841" s="3" t="str">
        <f t="shared" si="28"/>
        <v>MG51507130001001MAM</v>
      </c>
      <c r="B1841" t="s">
        <v>6267</v>
      </c>
      <c r="C1841">
        <f>+VLOOKUP(Sites_per_tag[[#This Row],[Field_office]],Parameter!$A$3:$B$11,2,0)</f>
        <v>9</v>
      </c>
      <c r="E1841" t="s">
        <v>5650</v>
      </c>
      <c r="F1841" t="s">
        <v>5654</v>
      </c>
      <c r="H1841" t="str">
        <f ca="1">PROPER(Sites_per_tag[[#This Row],[Adm2Name]])</f>
        <v>Ampanihy Ouest</v>
      </c>
      <c r="I1841" t="s">
        <v>5660</v>
      </c>
      <c r="K1841" t="s">
        <v>1349</v>
      </c>
      <c r="L1841" t="s">
        <v>5842</v>
      </c>
      <c r="N1841" t="s">
        <v>1349</v>
      </c>
      <c r="O1841" t="s">
        <v>4673</v>
      </c>
      <c r="Q1841" t="s">
        <v>1349</v>
      </c>
      <c r="R1841" t="s">
        <v>1350</v>
      </c>
      <c r="T1841" t="s">
        <v>5</v>
      </c>
      <c r="U1841" s="3" t="str">
        <f>+VLOOKUP(Sites_per_tag[[#This Row],[Activity_tag]],Parameter!$A$24:$B$32,2,0)</f>
        <v>MAM</v>
      </c>
      <c r="W1841">
        <v>44.948999999999998</v>
      </c>
      <c r="X1841">
        <v>-24.52028</v>
      </c>
    </row>
    <row r="1842" spans="1:24" x14ac:dyDescent="0.35">
      <c r="A1842" s="3" t="str">
        <f t="shared" si="28"/>
        <v>MG51507130002001MAM</v>
      </c>
      <c r="B1842" t="s">
        <v>6267</v>
      </c>
      <c r="C1842">
        <f>+VLOOKUP(Sites_per_tag[[#This Row],[Field_office]],Parameter!$A$3:$B$11,2,0)</f>
        <v>9</v>
      </c>
      <c r="E1842" t="s">
        <v>5650</v>
      </c>
      <c r="F1842" t="s">
        <v>5654</v>
      </c>
      <c r="H1842" t="str">
        <f ca="1">PROPER(Sites_per_tag[[#This Row],[Adm2Name]])</f>
        <v>Ampanihy Ouest</v>
      </c>
      <c r="I1842" t="s">
        <v>5660</v>
      </c>
      <c r="K1842" t="s">
        <v>2914</v>
      </c>
      <c r="L1842" t="s">
        <v>6034</v>
      </c>
      <c r="N1842" t="s">
        <v>1034</v>
      </c>
      <c r="O1842" t="s">
        <v>5245</v>
      </c>
      <c r="Q1842" t="s">
        <v>1034</v>
      </c>
      <c r="R1842" t="s">
        <v>1035</v>
      </c>
      <c r="T1842" t="s">
        <v>5</v>
      </c>
      <c r="U1842" s="3" t="str">
        <f>+VLOOKUP(Sites_per_tag[[#This Row],[Activity_tag]],Parameter!$A$24:$B$32,2,0)</f>
        <v>MAM</v>
      </c>
      <c r="W1842">
        <v>45.048650000000002</v>
      </c>
      <c r="X1842">
        <v>-24.26313</v>
      </c>
    </row>
    <row r="1843" spans="1:24" x14ac:dyDescent="0.35">
      <c r="A1843" s="3" t="str">
        <f t="shared" si="28"/>
        <v>MG51507130004001MAM</v>
      </c>
      <c r="B1843" t="s">
        <v>6267</v>
      </c>
      <c r="C1843">
        <f>+VLOOKUP(Sites_per_tag[[#This Row],[Field_office]],Parameter!$A$3:$B$11,2,0)</f>
        <v>9</v>
      </c>
      <c r="E1843" t="s">
        <v>5650</v>
      </c>
      <c r="F1843" t="s">
        <v>5654</v>
      </c>
      <c r="H1843" t="str">
        <f ca="1">PROPER(Sites_per_tag[[#This Row],[Adm2Name]])</f>
        <v>Ampanihy Ouest</v>
      </c>
      <c r="I1843" t="s">
        <v>5660</v>
      </c>
      <c r="K1843" t="s">
        <v>1349</v>
      </c>
      <c r="L1843" t="s">
        <v>5842</v>
      </c>
      <c r="N1843" t="s">
        <v>1728</v>
      </c>
      <c r="O1843" t="s">
        <v>4674</v>
      </c>
      <c r="Q1843" t="s">
        <v>1732</v>
      </c>
      <c r="R1843" t="s">
        <v>1733</v>
      </c>
      <c r="T1843" t="s">
        <v>5</v>
      </c>
      <c r="U1843" s="3" t="str">
        <f>+VLOOKUP(Sites_per_tag[[#This Row],[Activity_tag]],Parameter!$A$24:$B$32,2,0)</f>
        <v>MAM</v>
      </c>
      <c r="W1843">
        <v>44.686030000000002</v>
      </c>
      <c r="X1843">
        <v>-24.623670000000001</v>
      </c>
    </row>
    <row r="1844" spans="1:24" x14ac:dyDescent="0.35">
      <c r="A1844" s="3" t="str">
        <f t="shared" si="28"/>
        <v>MG51507130005001MAM</v>
      </c>
      <c r="B1844" t="s">
        <v>6267</v>
      </c>
      <c r="C1844">
        <f>+VLOOKUP(Sites_per_tag[[#This Row],[Field_office]],Parameter!$A$3:$B$11,2,0)</f>
        <v>9</v>
      </c>
      <c r="E1844" t="s">
        <v>5650</v>
      </c>
      <c r="F1844" t="s">
        <v>5654</v>
      </c>
      <c r="H1844" t="str">
        <f ca="1">PROPER(Sites_per_tag[[#This Row],[Adm2Name]])</f>
        <v>Ampanihy Ouest</v>
      </c>
      <c r="I1844" t="s">
        <v>5660</v>
      </c>
      <c r="K1844" t="s">
        <v>1349</v>
      </c>
      <c r="L1844" t="s">
        <v>5842</v>
      </c>
      <c r="N1844" t="s">
        <v>4668</v>
      </c>
      <c r="O1844" t="s">
        <v>4667</v>
      </c>
      <c r="Q1844" t="s">
        <v>3020</v>
      </c>
      <c r="R1844" t="s">
        <v>3021</v>
      </c>
      <c r="T1844" t="s">
        <v>5</v>
      </c>
      <c r="U1844" s="3" t="str">
        <f>+VLOOKUP(Sites_per_tag[[#This Row],[Activity_tag]],Parameter!$A$24:$B$32,2,0)</f>
        <v>MAM</v>
      </c>
      <c r="W1844">
        <v>44.970469999999999</v>
      </c>
      <c r="X1844">
        <v>-24.412500000000001</v>
      </c>
    </row>
    <row r="1845" spans="1:24" x14ac:dyDescent="0.35">
      <c r="A1845" s="3" t="str">
        <f t="shared" si="28"/>
        <v>MG51507130005002MAM</v>
      </c>
      <c r="B1845" t="s">
        <v>6267</v>
      </c>
      <c r="C1845">
        <f>+VLOOKUP(Sites_per_tag[[#This Row],[Field_office]],Parameter!$A$3:$B$11,2,0)</f>
        <v>9</v>
      </c>
      <c r="E1845" t="s">
        <v>5650</v>
      </c>
      <c r="F1845" t="s">
        <v>5654</v>
      </c>
      <c r="H1845" t="str">
        <f ca="1">PROPER(Sites_per_tag[[#This Row],[Adm2Name]])</f>
        <v>Ampanihy Ouest</v>
      </c>
      <c r="I1845" t="s">
        <v>5660</v>
      </c>
      <c r="K1845" t="s">
        <v>1349</v>
      </c>
      <c r="L1845" t="s">
        <v>5842</v>
      </c>
      <c r="N1845" t="s">
        <v>4668</v>
      </c>
      <c r="O1845" t="s">
        <v>4667</v>
      </c>
      <c r="Q1845" t="s">
        <v>3022</v>
      </c>
      <c r="R1845" t="s">
        <v>3023</v>
      </c>
      <c r="T1845" t="s">
        <v>5</v>
      </c>
      <c r="U1845" s="3" t="str">
        <f>+VLOOKUP(Sites_per_tag[[#This Row],[Activity_tag]],Parameter!$A$24:$B$32,2,0)</f>
        <v>MAM</v>
      </c>
      <c r="W1845">
        <v>44.970469999999999</v>
      </c>
      <c r="X1845">
        <v>-24.412500000000001</v>
      </c>
    </row>
    <row r="1846" spans="1:24" x14ac:dyDescent="0.35">
      <c r="A1846" s="3" t="str">
        <f t="shared" si="28"/>
        <v>MG51507130006001MAM</v>
      </c>
      <c r="B1846" t="s">
        <v>6267</v>
      </c>
      <c r="C1846">
        <f>+VLOOKUP(Sites_per_tag[[#This Row],[Field_office]],Parameter!$A$3:$B$11,2,0)</f>
        <v>9</v>
      </c>
      <c r="E1846" t="s">
        <v>5650</v>
      </c>
      <c r="F1846" t="s">
        <v>5654</v>
      </c>
      <c r="H1846" t="str">
        <f ca="1">PROPER(Sites_per_tag[[#This Row],[Adm2Name]])</f>
        <v>Ampanihy Ouest</v>
      </c>
      <c r="I1846" t="s">
        <v>5660</v>
      </c>
      <c r="K1846" t="s">
        <v>1349</v>
      </c>
      <c r="L1846" t="s">
        <v>5842</v>
      </c>
      <c r="N1846" t="s">
        <v>4676</v>
      </c>
      <c r="O1846" t="s">
        <v>4675</v>
      </c>
      <c r="Q1846" t="s">
        <v>3920</v>
      </c>
      <c r="R1846" t="s">
        <v>3921</v>
      </c>
      <c r="T1846" t="s">
        <v>5</v>
      </c>
      <c r="U1846" s="3" t="str">
        <f>+VLOOKUP(Sites_per_tag[[#This Row],[Activity_tag]],Parameter!$A$24:$B$32,2,0)</f>
        <v>MAM</v>
      </c>
      <c r="W1846">
        <v>44.950220000000002</v>
      </c>
      <c r="X1846">
        <v>-24.423169999999999</v>
      </c>
    </row>
    <row r="1847" spans="1:24" x14ac:dyDescent="0.35">
      <c r="A1847" s="3" t="str">
        <f t="shared" si="28"/>
        <v>MG51507130008001MAM</v>
      </c>
      <c r="B1847" t="s">
        <v>6267</v>
      </c>
      <c r="C1847">
        <f>+VLOOKUP(Sites_per_tag[[#This Row],[Field_office]],Parameter!$A$3:$B$11,2,0)</f>
        <v>9</v>
      </c>
      <c r="E1847" t="s">
        <v>5650</v>
      </c>
      <c r="F1847" t="s">
        <v>5654</v>
      </c>
      <c r="H1847" t="str">
        <f ca="1">PROPER(Sites_per_tag[[#This Row],[Adm2Name]])</f>
        <v>Ampanihy Ouest</v>
      </c>
      <c r="I1847" t="s">
        <v>5660</v>
      </c>
      <c r="K1847" t="s">
        <v>1349</v>
      </c>
      <c r="L1847" t="s">
        <v>5842</v>
      </c>
      <c r="N1847" t="s">
        <v>4678</v>
      </c>
      <c r="O1847" t="s">
        <v>4677</v>
      </c>
      <c r="Q1847" t="s">
        <v>802</v>
      </c>
      <c r="R1847" t="s">
        <v>803</v>
      </c>
      <c r="T1847" t="s">
        <v>5</v>
      </c>
      <c r="U1847" s="3" t="str">
        <f>+VLOOKUP(Sites_per_tag[[#This Row],[Activity_tag]],Parameter!$A$24:$B$32,2,0)</f>
        <v>MAM</v>
      </c>
      <c r="W1847">
        <v>45.019570000000002</v>
      </c>
      <c r="X1847">
        <v>-24.43318</v>
      </c>
    </row>
    <row r="1848" spans="1:24" x14ac:dyDescent="0.35">
      <c r="A1848" s="3" t="str">
        <f t="shared" si="28"/>
        <v>MG51507130009002MAM</v>
      </c>
      <c r="B1848" t="s">
        <v>6267</v>
      </c>
      <c r="C1848">
        <f>+VLOOKUP(Sites_per_tag[[#This Row],[Field_office]],Parameter!$A$3:$B$11,2,0)</f>
        <v>9</v>
      </c>
      <c r="E1848" t="s">
        <v>5650</v>
      </c>
      <c r="F1848" t="s">
        <v>5654</v>
      </c>
      <c r="H1848" t="str">
        <f ca="1">PROPER(Sites_per_tag[[#This Row],[Adm2Name]])</f>
        <v>Ampanihy Ouest</v>
      </c>
      <c r="I1848" t="s">
        <v>5660</v>
      </c>
      <c r="K1848" t="s">
        <v>1349</v>
      </c>
      <c r="L1848" t="s">
        <v>5842</v>
      </c>
      <c r="N1848" t="s">
        <v>4676</v>
      </c>
      <c r="O1848" t="s">
        <v>4675</v>
      </c>
      <c r="Q1848" t="s">
        <v>3922</v>
      </c>
      <c r="R1848" t="s">
        <v>3923</v>
      </c>
      <c r="T1848" t="s">
        <v>5</v>
      </c>
      <c r="U1848" s="3" t="str">
        <f>+VLOOKUP(Sites_per_tag[[#This Row],[Activity_tag]],Parameter!$A$24:$B$32,2,0)</f>
        <v>MAM</v>
      </c>
      <c r="W1848">
        <v>44.950220000000002</v>
      </c>
      <c r="X1848">
        <v>-24.423169999999999</v>
      </c>
    </row>
    <row r="1849" spans="1:24" x14ac:dyDescent="0.35">
      <c r="A1849" s="3" t="str">
        <f t="shared" si="28"/>
        <v>MG51507130010001MAM</v>
      </c>
      <c r="B1849" t="s">
        <v>6267</v>
      </c>
      <c r="C1849">
        <f>+VLOOKUP(Sites_per_tag[[#This Row],[Field_office]],Parameter!$A$3:$B$11,2,0)</f>
        <v>9</v>
      </c>
      <c r="E1849" t="s">
        <v>5650</v>
      </c>
      <c r="F1849" t="s">
        <v>5654</v>
      </c>
      <c r="H1849" t="str">
        <f ca="1">PROPER(Sites_per_tag[[#This Row],[Adm2Name]])</f>
        <v>Ampanihy Ouest</v>
      </c>
      <c r="I1849" t="s">
        <v>5660</v>
      </c>
      <c r="K1849" t="s">
        <v>1349</v>
      </c>
      <c r="L1849" t="s">
        <v>5842</v>
      </c>
      <c r="N1849" t="s">
        <v>215</v>
      </c>
      <c r="O1849" t="s">
        <v>4679</v>
      </c>
      <c r="Q1849" t="s">
        <v>215</v>
      </c>
      <c r="R1849" t="s">
        <v>216</v>
      </c>
      <c r="T1849" t="s">
        <v>5</v>
      </c>
      <c r="U1849" s="3" t="str">
        <f>+VLOOKUP(Sites_per_tag[[#This Row],[Activity_tag]],Parameter!$A$24:$B$32,2,0)</f>
        <v>MAM</v>
      </c>
      <c r="W1849">
        <v>45.0685</v>
      </c>
      <c r="X1849">
        <v>-24.463170000000002</v>
      </c>
    </row>
    <row r="1850" spans="1:24" x14ac:dyDescent="0.35">
      <c r="A1850" s="3" t="str">
        <f t="shared" si="28"/>
        <v>MG51507130011001MAM</v>
      </c>
      <c r="B1850" t="s">
        <v>6267</v>
      </c>
      <c r="C1850">
        <f>+VLOOKUP(Sites_per_tag[[#This Row],[Field_office]],Parameter!$A$3:$B$11,2,0)</f>
        <v>9</v>
      </c>
      <c r="E1850" t="s">
        <v>5650</v>
      </c>
      <c r="F1850" t="s">
        <v>5654</v>
      </c>
      <c r="H1850" t="str">
        <f ca="1">PROPER(Sites_per_tag[[#This Row],[Adm2Name]])</f>
        <v>Ampanihy Ouest</v>
      </c>
      <c r="I1850" t="s">
        <v>5660</v>
      </c>
      <c r="K1850" t="s">
        <v>1349</v>
      </c>
      <c r="L1850" t="s">
        <v>5842</v>
      </c>
      <c r="N1850" t="s">
        <v>3558</v>
      </c>
      <c r="O1850" t="s">
        <v>4680</v>
      </c>
      <c r="Q1850" t="s">
        <v>3558</v>
      </c>
      <c r="R1850" t="s">
        <v>3559</v>
      </c>
      <c r="T1850" t="s">
        <v>5</v>
      </c>
      <c r="U1850" s="3" t="str">
        <f>+VLOOKUP(Sites_per_tag[[#This Row],[Activity_tag]],Parameter!$A$24:$B$32,2,0)</f>
        <v>MAM</v>
      </c>
      <c r="W1850">
        <v>45.020530000000001</v>
      </c>
      <c r="X1850">
        <v>-24.50535</v>
      </c>
    </row>
    <row r="1851" spans="1:24" x14ac:dyDescent="0.35">
      <c r="A1851" s="3" t="str">
        <f t="shared" si="28"/>
        <v>MG51507130012001MAM</v>
      </c>
      <c r="B1851" t="s">
        <v>6267</v>
      </c>
      <c r="C1851">
        <f>+VLOOKUP(Sites_per_tag[[#This Row],[Field_office]],Parameter!$A$3:$B$11,2,0)</f>
        <v>9</v>
      </c>
      <c r="E1851" t="s">
        <v>5650</v>
      </c>
      <c r="F1851" t="s">
        <v>5654</v>
      </c>
      <c r="H1851" t="str">
        <f ca="1">PROPER(Sites_per_tag[[#This Row],[Adm2Name]])</f>
        <v>Ampanihy Ouest</v>
      </c>
      <c r="I1851" t="s">
        <v>5660</v>
      </c>
      <c r="K1851" t="s">
        <v>1349</v>
      </c>
      <c r="L1851" t="s">
        <v>5842</v>
      </c>
      <c r="N1851" t="s">
        <v>320</v>
      </c>
      <c r="O1851" t="s">
        <v>4681</v>
      </c>
      <c r="Q1851" t="s">
        <v>320</v>
      </c>
      <c r="R1851" t="s">
        <v>321</v>
      </c>
      <c r="T1851" t="s">
        <v>5</v>
      </c>
      <c r="U1851" s="3" t="str">
        <f>+VLOOKUP(Sites_per_tag[[#This Row],[Activity_tag]],Parameter!$A$24:$B$32,2,0)</f>
        <v>MAM</v>
      </c>
      <c r="W1851">
        <v>45.008769999999998</v>
      </c>
      <c r="X1851">
        <v>-24.485399999999998</v>
      </c>
    </row>
    <row r="1852" spans="1:24" x14ac:dyDescent="0.35">
      <c r="A1852" s="3" t="str">
        <f t="shared" si="28"/>
        <v>MG51507150001PREV</v>
      </c>
      <c r="B1852" t="s">
        <v>6267</v>
      </c>
      <c r="C1852">
        <f>+VLOOKUP(Sites_per_tag[[#This Row],[Field_office]],Parameter!$A$3:$B$11,2,0)</f>
        <v>9</v>
      </c>
      <c r="E1852" t="s">
        <v>5650</v>
      </c>
      <c r="F1852" t="s">
        <v>5654</v>
      </c>
      <c r="H1852" t="str">
        <f ca="1">PROPER(Sites_per_tag[[#This Row],[Adm2Name]])</f>
        <v>Ampanihy Ouest</v>
      </c>
      <c r="I1852" t="s">
        <v>5660</v>
      </c>
      <c r="K1852" t="s">
        <v>5799</v>
      </c>
      <c r="L1852" t="s">
        <v>5942</v>
      </c>
      <c r="N1852" t="s">
        <v>4262</v>
      </c>
      <c r="Q1852" t="s">
        <v>2338</v>
      </c>
      <c r="R1852" t="s">
        <v>2339</v>
      </c>
      <c r="T1852" t="s">
        <v>32</v>
      </c>
      <c r="U1852" s="3" t="str">
        <f>+VLOOKUP(Sites_per_tag[[#This Row],[Activity_tag]],Parameter!$A$24:$B$32,2,0)</f>
        <v>PREV</v>
      </c>
      <c r="W1852">
        <v>44.515900000000002</v>
      </c>
      <c r="X1852">
        <v>-24.347249999999999</v>
      </c>
    </row>
    <row r="1853" spans="1:24" x14ac:dyDescent="0.35">
      <c r="A1853" s="3" t="str">
        <f t="shared" si="28"/>
        <v>MG51507150005PREV</v>
      </c>
      <c r="B1853" t="s">
        <v>6267</v>
      </c>
      <c r="C1853">
        <f>+VLOOKUP(Sites_per_tag[[#This Row],[Field_office]],Parameter!$A$3:$B$11,2,0)</f>
        <v>9</v>
      </c>
      <c r="E1853" t="s">
        <v>5650</v>
      </c>
      <c r="F1853" t="s">
        <v>5654</v>
      </c>
      <c r="H1853" t="str">
        <f ca="1">PROPER(Sites_per_tag[[#This Row],[Adm2Name]])</f>
        <v>Ampanihy Ouest</v>
      </c>
      <c r="I1853" t="s">
        <v>5660</v>
      </c>
      <c r="K1853" t="s">
        <v>5799</v>
      </c>
      <c r="L1853" t="s">
        <v>5942</v>
      </c>
      <c r="N1853" t="s">
        <v>4266</v>
      </c>
      <c r="Q1853" t="s">
        <v>209</v>
      </c>
      <c r="R1853" t="s">
        <v>210</v>
      </c>
      <c r="T1853" t="s">
        <v>32</v>
      </c>
      <c r="U1853" s="3" t="str">
        <f>+VLOOKUP(Sites_per_tag[[#This Row],[Activity_tag]],Parameter!$A$24:$B$32,2,0)</f>
        <v>PREV</v>
      </c>
      <c r="W1853">
        <v>44.563949999999998</v>
      </c>
      <c r="X1853">
        <v>-24.091280000000001</v>
      </c>
    </row>
    <row r="1854" spans="1:24" x14ac:dyDescent="0.35">
      <c r="A1854" s="3" t="str">
        <f t="shared" si="28"/>
        <v>MG51507150008PREV</v>
      </c>
      <c r="B1854" t="s">
        <v>6267</v>
      </c>
      <c r="C1854">
        <f>+VLOOKUP(Sites_per_tag[[#This Row],[Field_office]],Parameter!$A$3:$B$11,2,0)</f>
        <v>9</v>
      </c>
      <c r="E1854" t="s">
        <v>5650</v>
      </c>
      <c r="F1854" t="s">
        <v>5654</v>
      </c>
      <c r="H1854" t="str">
        <f ca="1">PROPER(Sites_per_tag[[#This Row],[Adm2Name]])</f>
        <v>Ampanihy Ouest</v>
      </c>
      <c r="I1854" t="s">
        <v>5660</v>
      </c>
      <c r="K1854" t="s">
        <v>5799</v>
      </c>
      <c r="L1854" t="s">
        <v>5942</v>
      </c>
      <c r="N1854" t="s">
        <v>4261</v>
      </c>
      <c r="Q1854" t="s">
        <v>1790</v>
      </c>
      <c r="R1854" t="s">
        <v>1791</v>
      </c>
      <c r="T1854" t="s">
        <v>32</v>
      </c>
      <c r="U1854" s="3" t="str">
        <f>+VLOOKUP(Sites_per_tag[[#This Row],[Activity_tag]],Parameter!$A$24:$B$32,2,0)</f>
        <v>PREV</v>
      </c>
      <c r="W1854">
        <v>44.493079999999999</v>
      </c>
      <c r="X1854">
        <v>-24.141300000000001</v>
      </c>
    </row>
    <row r="1855" spans="1:24" x14ac:dyDescent="0.35">
      <c r="A1855" s="3" t="str">
        <f t="shared" si="28"/>
        <v>MG51507150011PREV</v>
      </c>
      <c r="B1855" t="s">
        <v>6267</v>
      </c>
      <c r="C1855">
        <f>+VLOOKUP(Sites_per_tag[[#This Row],[Field_office]],Parameter!$A$3:$B$11,2,0)</f>
        <v>9</v>
      </c>
      <c r="E1855" t="s">
        <v>5650</v>
      </c>
      <c r="F1855" t="s">
        <v>5654</v>
      </c>
      <c r="H1855" t="str">
        <f ca="1">PROPER(Sites_per_tag[[#This Row],[Adm2Name]])</f>
        <v>Ampanihy Ouest</v>
      </c>
      <c r="I1855" t="s">
        <v>5660</v>
      </c>
      <c r="K1855" t="s">
        <v>5799</v>
      </c>
      <c r="L1855" t="s">
        <v>5942</v>
      </c>
      <c r="N1855" t="s">
        <v>4269</v>
      </c>
      <c r="Q1855" t="s">
        <v>268</v>
      </c>
      <c r="R1855" t="s">
        <v>270</v>
      </c>
      <c r="T1855" t="s">
        <v>32</v>
      </c>
      <c r="U1855" s="3" t="str">
        <f>+VLOOKUP(Sites_per_tag[[#This Row],[Activity_tag]],Parameter!$A$24:$B$32,2,0)</f>
        <v>PREV</v>
      </c>
      <c r="W1855">
        <v>44.551769999999998</v>
      </c>
      <c r="X1855">
        <v>-24.21245</v>
      </c>
    </row>
    <row r="1856" spans="1:24" x14ac:dyDescent="0.35">
      <c r="A1856" s="3" t="str">
        <f t="shared" si="28"/>
        <v>MG51507150014PREV</v>
      </c>
      <c r="B1856" t="s">
        <v>6267</v>
      </c>
      <c r="C1856">
        <f>+VLOOKUP(Sites_per_tag[[#This Row],[Field_office]],Parameter!$A$3:$B$11,2,0)</f>
        <v>9</v>
      </c>
      <c r="E1856" t="s">
        <v>5650</v>
      </c>
      <c r="F1856" t="s">
        <v>5654</v>
      </c>
      <c r="H1856" t="str">
        <f ca="1">PROPER(Sites_per_tag[[#This Row],[Adm2Name]])</f>
        <v>Ampanihy Ouest</v>
      </c>
      <c r="I1856" t="s">
        <v>5660</v>
      </c>
      <c r="K1856" t="s">
        <v>5799</v>
      </c>
      <c r="L1856" t="s">
        <v>5942</v>
      </c>
      <c r="N1856" t="s">
        <v>4265</v>
      </c>
      <c r="Q1856" t="s">
        <v>1435</v>
      </c>
      <c r="R1856" t="s">
        <v>1436</v>
      </c>
      <c r="T1856" t="s">
        <v>32</v>
      </c>
      <c r="U1856" s="3" t="str">
        <f>+VLOOKUP(Sites_per_tag[[#This Row],[Activity_tag]],Parameter!$A$24:$B$32,2,0)</f>
        <v>PREV</v>
      </c>
      <c r="W1856">
        <v>44.563800000000001</v>
      </c>
      <c r="X1856">
        <v>-24.253579999999999</v>
      </c>
    </row>
    <row r="1857" spans="1:24" x14ac:dyDescent="0.35">
      <c r="A1857" s="3" t="str">
        <f t="shared" si="28"/>
        <v>MG51507150015PREV</v>
      </c>
      <c r="B1857" t="s">
        <v>6267</v>
      </c>
      <c r="C1857">
        <f>+VLOOKUP(Sites_per_tag[[#This Row],[Field_office]],Parameter!$A$3:$B$11,2,0)</f>
        <v>9</v>
      </c>
      <c r="E1857" t="s">
        <v>5650</v>
      </c>
      <c r="F1857" t="s">
        <v>5654</v>
      </c>
      <c r="H1857" t="str">
        <f ca="1">PROPER(Sites_per_tag[[#This Row],[Adm2Name]])</f>
        <v>Ampanihy Ouest</v>
      </c>
      <c r="I1857" t="s">
        <v>5660</v>
      </c>
      <c r="K1857" t="s">
        <v>5799</v>
      </c>
      <c r="L1857" t="s">
        <v>5942</v>
      </c>
      <c r="N1857" t="s">
        <v>4260</v>
      </c>
      <c r="Q1857" t="s">
        <v>3086</v>
      </c>
      <c r="R1857" t="s">
        <v>3087</v>
      </c>
      <c r="T1857" t="s">
        <v>32</v>
      </c>
      <c r="U1857" s="3" t="str">
        <f>+VLOOKUP(Sites_per_tag[[#This Row],[Activity_tag]],Parameter!$A$24:$B$32,2,0)</f>
        <v>PREV</v>
      </c>
      <c r="W1857">
        <v>44.503869999999999</v>
      </c>
      <c r="X1857">
        <v>-24.268630000000002</v>
      </c>
    </row>
    <row r="1858" spans="1:24" x14ac:dyDescent="0.35">
      <c r="A1858" s="3" t="str">
        <f t="shared" si="28"/>
        <v>MG51507150016PREV</v>
      </c>
      <c r="B1858" t="s">
        <v>6267</v>
      </c>
      <c r="C1858">
        <f>+VLOOKUP(Sites_per_tag[[#This Row],[Field_office]],Parameter!$A$3:$B$11,2,0)</f>
        <v>9</v>
      </c>
      <c r="E1858" t="s">
        <v>5650</v>
      </c>
      <c r="F1858" t="s">
        <v>5654</v>
      </c>
      <c r="H1858" t="str">
        <f ca="1">PROPER(Sites_per_tag[[#This Row],[Adm2Name]])</f>
        <v>Ampanihy Ouest</v>
      </c>
      <c r="I1858" t="s">
        <v>5660</v>
      </c>
      <c r="K1858" t="s">
        <v>5799</v>
      </c>
      <c r="L1858" t="s">
        <v>5942</v>
      </c>
      <c r="N1858" t="s">
        <v>4257</v>
      </c>
      <c r="Q1858" t="s">
        <v>2450</v>
      </c>
      <c r="R1858" t="s">
        <v>2451</v>
      </c>
      <c r="T1858" t="s">
        <v>32</v>
      </c>
      <c r="U1858" s="3" t="str">
        <f>+VLOOKUP(Sites_per_tag[[#This Row],[Activity_tag]],Parameter!$A$24:$B$32,2,0)</f>
        <v>PREV</v>
      </c>
      <c r="W1858">
        <v>44.422620000000002</v>
      </c>
      <c r="X1858">
        <v>-24.284700000000001</v>
      </c>
    </row>
    <row r="1859" spans="1:24" x14ac:dyDescent="0.35">
      <c r="A1859" s="3" t="str">
        <f t="shared" ref="A1859:A1922" si="29">+R1859&amp;U1859</f>
        <v>MG51507150032PREV</v>
      </c>
      <c r="B1859" t="s">
        <v>6267</v>
      </c>
      <c r="C1859">
        <f>+VLOOKUP(Sites_per_tag[[#This Row],[Field_office]],Parameter!$A$3:$B$11,2,0)</f>
        <v>9</v>
      </c>
      <c r="E1859" t="s">
        <v>5650</v>
      </c>
      <c r="F1859" t="s">
        <v>5654</v>
      </c>
      <c r="H1859" t="str">
        <f ca="1">PROPER(Sites_per_tag[[#This Row],[Adm2Name]])</f>
        <v>Ampanihy Ouest</v>
      </c>
      <c r="I1859" t="s">
        <v>5660</v>
      </c>
      <c r="K1859" t="s">
        <v>5799</v>
      </c>
      <c r="L1859" t="s">
        <v>5942</v>
      </c>
      <c r="N1859" t="s">
        <v>4263</v>
      </c>
      <c r="Q1859" t="s">
        <v>1695</v>
      </c>
      <c r="R1859" t="s">
        <v>1696</v>
      </c>
      <c r="T1859" t="s">
        <v>32</v>
      </c>
      <c r="U1859" s="3" t="str">
        <f>+VLOOKUP(Sites_per_tag[[#This Row],[Activity_tag]],Parameter!$A$24:$B$32,2,0)</f>
        <v>PREV</v>
      </c>
      <c r="W1859">
        <v>44.534930000000003</v>
      </c>
      <c r="X1859">
        <v>-24.393899999999999</v>
      </c>
    </row>
    <row r="1860" spans="1:24" x14ac:dyDescent="0.35">
      <c r="A1860" s="3" t="str">
        <f t="shared" si="29"/>
        <v>MG51507150033PREV</v>
      </c>
      <c r="B1860" t="s">
        <v>6267</v>
      </c>
      <c r="C1860">
        <f>+VLOOKUP(Sites_per_tag[[#This Row],[Field_office]],Parameter!$A$3:$B$11,2,0)</f>
        <v>9</v>
      </c>
      <c r="E1860" t="s">
        <v>5650</v>
      </c>
      <c r="F1860" t="s">
        <v>5654</v>
      </c>
      <c r="H1860" t="str">
        <f ca="1">PROPER(Sites_per_tag[[#This Row],[Adm2Name]])</f>
        <v>Ampanihy Ouest</v>
      </c>
      <c r="I1860" t="s">
        <v>5660</v>
      </c>
      <c r="K1860" t="s">
        <v>5799</v>
      </c>
      <c r="L1860" t="s">
        <v>5942</v>
      </c>
      <c r="N1860" t="s">
        <v>4259</v>
      </c>
      <c r="Q1860" t="s">
        <v>3210</v>
      </c>
      <c r="R1860" t="s">
        <v>3211</v>
      </c>
      <c r="T1860" t="s">
        <v>32</v>
      </c>
      <c r="U1860" s="3" t="str">
        <f>+VLOOKUP(Sites_per_tag[[#This Row],[Activity_tag]],Parameter!$A$24:$B$32,2,0)</f>
        <v>PREV</v>
      </c>
      <c r="W1860">
        <v>44.50038</v>
      </c>
      <c r="X1860">
        <v>-24.395869999999999</v>
      </c>
    </row>
    <row r="1861" spans="1:24" x14ac:dyDescent="0.35">
      <c r="A1861" s="3" t="str">
        <f t="shared" si="29"/>
        <v>MG51507150034001MAM</v>
      </c>
      <c r="B1861" t="s">
        <v>6267</v>
      </c>
      <c r="C1861">
        <f>+VLOOKUP(Sites_per_tag[[#This Row],[Field_office]],Parameter!$A$3:$B$11,2,0)</f>
        <v>9</v>
      </c>
      <c r="E1861" t="s">
        <v>5650</v>
      </c>
      <c r="F1861" t="s">
        <v>5654</v>
      </c>
      <c r="H1861" t="str">
        <f ca="1">PROPER(Sites_per_tag[[#This Row],[Adm2Name]])</f>
        <v>Ampanihy Ouest</v>
      </c>
      <c r="I1861" t="s">
        <v>5660</v>
      </c>
      <c r="K1861" t="s">
        <v>5799</v>
      </c>
      <c r="L1861" t="s">
        <v>5942</v>
      </c>
      <c r="N1861" t="s">
        <v>1457</v>
      </c>
      <c r="O1861" t="s">
        <v>4926</v>
      </c>
      <c r="Q1861" t="s">
        <v>1457</v>
      </c>
      <c r="R1861" t="s">
        <v>1458</v>
      </c>
      <c r="T1861" t="s">
        <v>5</v>
      </c>
      <c r="U1861" s="3" t="str">
        <f>+VLOOKUP(Sites_per_tag[[#This Row],[Activity_tag]],Parameter!$A$24:$B$32,2,0)</f>
        <v>MAM</v>
      </c>
      <c r="W1861">
        <v>44.292450000000002</v>
      </c>
      <c r="X1861">
        <v>-24.423819999999999</v>
      </c>
    </row>
    <row r="1862" spans="1:24" x14ac:dyDescent="0.35">
      <c r="A1862" s="3" t="str">
        <f t="shared" si="29"/>
        <v>MG51507150040PREV</v>
      </c>
      <c r="B1862" t="s">
        <v>6267</v>
      </c>
      <c r="C1862">
        <f>+VLOOKUP(Sites_per_tag[[#This Row],[Field_office]],Parameter!$A$3:$B$11,2,0)</f>
        <v>9</v>
      </c>
      <c r="E1862" t="s">
        <v>5650</v>
      </c>
      <c r="F1862" t="s">
        <v>5654</v>
      </c>
      <c r="H1862" t="str">
        <f ca="1">PROPER(Sites_per_tag[[#This Row],[Adm2Name]])</f>
        <v>Ampanihy Ouest</v>
      </c>
      <c r="I1862" t="s">
        <v>5660</v>
      </c>
      <c r="K1862" t="s">
        <v>5799</v>
      </c>
      <c r="L1862" t="s">
        <v>5942</v>
      </c>
      <c r="N1862" t="s">
        <v>4264</v>
      </c>
      <c r="Q1862" t="s">
        <v>2829</v>
      </c>
      <c r="R1862" t="s">
        <v>2830</v>
      </c>
      <c r="T1862" t="s">
        <v>32</v>
      </c>
      <c r="U1862" s="3" t="str">
        <f>+VLOOKUP(Sites_per_tag[[#This Row],[Activity_tag]],Parameter!$A$24:$B$32,2,0)</f>
        <v>PREV</v>
      </c>
      <c r="W1862">
        <v>44.589880000000001</v>
      </c>
      <c r="X1862">
        <v>-24.463200000000001</v>
      </c>
    </row>
    <row r="1863" spans="1:24" x14ac:dyDescent="0.35">
      <c r="A1863" s="3" t="str">
        <f t="shared" si="29"/>
        <v>MG51507150045001MAM</v>
      </c>
      <c r="B1863" t="s">
        <v>6211</v>
      </c>
      <c r="C1863">
        <f>+VLOOKUP(Sites_per_tag[[#This Row],[Field_office]],Parameter!$A$3:$B$11,2,0)</f>
        <v>6</v>
      </c>
      <c r="E1863" t="s">
        <v>5646</v>
      </c>
      <c r="F1863" t="s">
        <v>5647</v>
      </c>
      <c r="H1863" t="str">
        <f ca="1">PROPER(Sites_per_tag[[#This Row],[Adm2Name]])</f>
        <v>Bekily</v>
      </c>
      <c r="I1863" t="s">
        <v>5683</v>
      </c>
      <c r="K1863" t="s">
        <v>1569</v>
      </c>
      <c r="L1863" t="s">
        <v>5871</v>
      </c>
      <c r="N1863" t="s">
        <v>1193</v>
      </c>
      <c r="O1863" t="s">
        <v>1192</v>
      </c>
      <c r="Q1863" t="s">
        <v>1193</v>
      </c>
      <c r="R1863" t="s">
        <v>1194</v>
      </c>
      <c r="T1863" t="s">
        <v>5</v>
      </c>
      <c r="U1863" s="3" t="str">
        <f>+VLOOKUP(Sites_per_tag[[#This Row],[Activity_tag]],Parameter!$A$24:$B$32,2,0)</f>
        <v>MAM</v>
      </c>
      <c r="W1863">
        <v>45.164414999999998</v>
      </c>
      <c r="X1863">
        <v>-24.279131</v>
      </c>
    </row>
    <row r="1864" spans="1:24" x14ac:dyDescent="0.35">
      <c r="A1864" s="3" t="str">
        <f t="shared" si="29"/>
        <v>MG51507150045PREV</v>
      </c>
      <c r="B1864" t="s">
        <v>6267</v>
      </c>
      <c r="C1864">
        <f>+VLOOKUP(Sites_per_tag[[#This Row],[Field_office]],Parameter!$A$3:$B$11,2,0)</f>
        <v>9</v>
      </c>
      <c r="E1864" t="s">
        <v>5650</v>
      </c>
      <c r="F1864" t="s">
        <v>5654</v>
      </c>
      <c r="H1864" t="str">
        <f ca="1">PROPER(Sites_per_tag[[#This Row],[Adm2Name]])</f>
        <v>Ampanihy Ouest</v>
      </c>
      <c r="I1864" t="s">
        <v>5660</v>
      </c>
      <c r="K1864" t="s">
        <v>5799</v>
      </c>
      <c r="L1864" t="s">
        <v>5942</v>
      </c>
      <c r="N1864" t="s">
        <v>4258</v>
      </c>
      <c r="Q1864" t="s">
        <v>1191</v>
      </c>
      <c r="R1864" t="s">
        <v>1192</v>
      </c>
      <c r="T1864" t="s">
        <v>32</v>
      </c>
      <c r="U1864" s="3" t="str">
        <f>+VLOOKUP(Sites_per_tag[[#This Row],[Activity_tag]],Parameter!$A$24:$B$32,2,0)</f>
        <v>PREV</v>
      </c>
      <c r="W1864">
        <v>44.457120000000003</v>
      </c>
      <c r="X1864">
        <v>-24.49935</v>
      </c>
    </row>
    <row r="1865" spans="1:24" x14ac:dyDescent="0.35">
      <c r="A1865" s="3" t="str">
        <f t="shared" si="29"/>
        <v>MG51507150047PREV</v>
      </c>
      <c r="B1865" t="s">
        <v>6267</v>
      </c>
      <c r="C1865">
        <f>+VLOOKUP(Sites_per_tag[[#This Row],[Field_office]],Parameter!$A$3:$B$11,2,0)</f>
        <v>9</v>
      </c>
      <c r="E1865" t="s">
        <v>5650</v>
      </c>
      <c r="F1865" t="s">
        <v>5654</v>
      </c>
      <c r="H1865" t="str">
        <f ca="1">PROPER(Sites_per_tag[[#This Row],[Adm2Name]])</f>
        <v>Ampanihy Ouest</v>
      </c>
      <c r="I1865" t="s">
        <v>5660</v>
      </c>
      <c r="K1865" t="s">
        <v>5799</v>
      </c>
      <c r="L1865" t="s">
        <v>5942</v>
      </c>
      <c r="N1865" t="s">
        <v>4267</v>
      </c>
      <c r="Q1865" t="s">
        <v>2835</v>
      </c>
      <c r="R1865" t="s">
        <v>2836</v>
      </c>
      <c r="T1865" t="s">
        <v>32</v>
      </c>
      <c r="U1865" s="3" t="str">
        <f>+VLOOKUP(Sites_per_tag[[#This Row],[Activity_tag]],Parameter!$A$24:$B$32,2,0)</f>
        <v>PREV</v>
      </c>
      <c r="W1865">
        <v>44.620100000000001</v>
      </c>
      <c r="X1865">
        <v>-24.520499999999998</v>
      </c>
    </row>
    <row r="1866" spans="1:24" x14ac:dyDescent="0.35">
      <c r="A1866" s="3" t="str">
        <f t="shared" si="29"/>
        <v>MG51507150061001MAM</v>
      </c>
      <c r="B1866" t="s">
        <v>6267</v>
      </c>
      <c r="C1866">
        <f>+VLOOKUP(Sites_per_tag[[#This Row],[Field_office]],Parameter!$A$3:$B$11,2,0)</f>
        <v>9</v>
      </c>
      <c r="E1866" t="s">
        <v>5650</v>
      </c>
      <c r="F1866" t="s">
        <v>5654</v>
      </c>
      <c r="H1866" t="str">
        <f ca="1">PROPER(Sites_per_tag[[#This Row],[Adm2Name]])</f>
        <v>Ampanihy Ouest</v>
      </c>
      <c r="I1866" t="s">
        <v>5660</v>
      </c>
      <c r="K1866" t="s">
        <v>5799</v>
      </c>
      <c r="L1866" t="s">
        <v>5942</v>
      </c>
      <c r="N1866" t="s">
        <v>995</v>
      </c>
      <c r="O1866" t="s">
        <v>4927</v>
      </c>
      <c r="Q1866" t="s">
        <v>1008</v>
      </c>
      <c r="R1866" t="s">
        <v>1009</v>
      </c>
      <c r="T1866" t="s">
        <v>5</v>
      </c>
      <c r="U1866" s="3" t="str">
        <f>+VLOOKUP(Sites_per_tag[[#This Row],[Activity_tag]],Parameter!$A$24:$B$32,2,0)</f>
        <v>MAM</v>
      </c>
      <c r="W1866">
        <v>44.525129999999997</v>
      </c>
      <c r="X1866">
        <v>-24.29457</v>
      </c>
    </row>
    <row r="1867" spans="1:24" x14ac:dyDescent="0.35">
      <c r="A1867" s="3" t="str">
        <f t="shared" si="29"/>
        <v>MG51507150062001MAM</v>
      </c>
      <c r="B1867" t="s">
        <v>6267</v>
      </c>
      <c r="C1867">
        <f>+VLOOKUP(Sites_per_tag[[#This Row],[Field_office]],Parameter!$A$3:$B$11,2,0)</f>
        <v>9</v>
      </c>
      <c r="E1867" t="s">
        <v>5650</v>
      </c>
      <c r="F1867" t="s">
        <v>5654</v>
      </c>
      <c r="H1867" t="str">
        <f ca="1">PROPER(Sites_per_tag[[#This Row],[Adm2Name]])</f>
        <v>Ampanihy Ouest</v>
      </c>
      <c r="I1867" t="s">
        <v>5660</v>
      </c>
      <c r="K1867" t="s">
        <v>5799</v>
      </c>
      <c r="L1867" t="s">
        <v>5942</v>
      </c>
      <c r="N1867" t="s">
        <v>207</v>
      </c>
      <c r="O1867" t="s">
        <v>4928</v>
      </c>
      <c r="Q1867" t="s">
        <v>207</v>
      </c>
      <c r="R1867" t="s">
        <v>208</v>
      </c>
      <c r="T1867" t="s">
        <v>5</v>
      </c>
      <c r="U1867" s="3" t="str">
        <f>+VLOOKUP(Sites_per_tag[[#This Row],[Activity_tag]],Parameter!$A$24:$B$32,2,0)</f>
        <v>MAM</v>
      </c>
      <c r="W1867">
        <v>44.563949999999998</v>
      </c>
      <c r="X1867">
        <v>-24.091280000000001</v>
      </c>
    </row>
    <row r="1868" spans="1:24" x14ac:dyDescent="0.35">
      <c r="A1868" s="3" t="str">
        <f t="shared" si="29"/>
        <v>MG51507150063001MAM</v>
      </c>
      <c r="B1868" t="s">
        <v>6267</v>
      </c>
      <c r="C1868">
        <f>+VLOOKUP(Sites_per_tag[[#This Row],[Field_office]],Parameter!$A$3:$B$11,2,0)</f>
        <v>9</v>
      </c>
      <c r="E1868" t="s">
        <v>5650</v>
      </c>
      <c r="F1868" t="s">
        <v>5654</v>
      </c>
      <c r="H1868" t="str">
        <f ca="1">PROPER(Sites_per_tag[[#This Row],[Adm2Name]])</f>
        <v>Ampanihy Ouest</v>
      </c>
      <c r="I1868" t="s">
        <v>5660</v>
      </c>
      <c r="K1868" t="s">
        <v>5799</v>
      </c>
      <c r="L1868" t="s">
        <v>5942</v>
      </c>
      <c r="N1868" t="s">
        <v>268</v>
      </c>
      <c r="O1868" t="s">
        <v>4929</v>
      </c>
      <c r="Q1868" t="s">
        <v>274</v>
      </c>
      <c r="R1868" t="s">
        <v>275</v>
      </c>
      <c r="T1868" t="s">
        <v>5</v>
      </c>
      <c r="U1868" s="3" t="str">
        <f>+VLOOKUP(Sites_per_tag[[#This Row],[Activity_tag]],Parameter!$A$24:$B$32,2,0)</f>
        <v>MAM</v>
      </c>
      <c r="W1868">
        <v>44.551769999999998</v>
      </c>
      <c r="X1868">
        <v>-24.21245</v>
      </c>
    </row>
    <row r="1869" spans="1:24" x14ac:dyDescent="0.35">
      <c r="A1869" s="3" t="str">
        <f t="shared" si="29"/>
        <v>MG51507150064001MAM</v>
      </c>
      <c r="B1869" t="s">
        <v>6267</v>
      </c>
      <c r="C1869">
        <f>+VLOOKUP(Sites_per_tag[[#This Row],[Field_office]],Parameter!$A$3:$B$11,2,0)</f>
        <v>9</v>
      </c>
      <c r="E1869" t="s">
        <v>5650</v>
      </c>
      <c r="F1869" t="s">
        <v>5654</v>
      </c>
      <c r="H1869" t="str">
        <f ca="1">PROPER(Sites_per_tag[[#This Row],[Adm2Name]])</f>
        <v>Ampanihy Ouest</v>
      </c>
      <c r="I1869" t="s">
        <v>5660</v>
      </c>
      <c r="K1869" t="s">
        <v>5799</v>
      </c>
      <c r="L1869" t="s">
        <v>5942</v>
      </c>
      <c r="N1869" t="s">
        <v>314</v>
      </c>
      <c r="O1869" t="s">
        <v>4930</v>
      </c>
      <c r="Q1869" t="s">
        <v>314</v>
      </c>
      <c r="R1869" t="s">
        <v>315</v>
      </c>
      <c r="T1869" t="s">
        <v>5</v>
      </c>
      <c r="U1869" s="3" t="str">
        <f>+VLOOKUP(Sites_per_tag[[#This Row],[Activity_tag]],Parameter!$A$24:$B$32,2,0)</f>
        <v>MAM</v>
      </c>
      <c r="W1869">
        <v>44.517580000000002</v>
      </c>
      <c r="X1869">
        <v>-24.431370000000001</v>
      </c>
    </row>
    <row r="1870" spans="1:24" x14ac:dyDescent="0.35">
      <c r="A1870" s="3" t="str">
        <f t="shared" si="29"/>
        <v>MG51507150065001MAM</v>
      </c>
      <c r="B1870" t="s">
        <v>6267</v>
      </c>
      <c r="C1870">
        <f>+VLOOKUP(Sites_per_tag[[#This Row],[Field_office]],Parameter!$A$3:$B$11,2,0)</f>
        <v>9</v>
      </c>
      <c r="E1870" t="s">
        <v>5650</v>
      </c>
      <c r="F1870" t="s">
        <v>5654</v>
      </c>
      <c r="H1870" t="str">
        <f ca="1">PROPER(Sites_per_tag[[#This Row],[Adm2Name]])</f>
        <v>Ampanihy Ouest</v>
      </c>
      <c r="I1870" t="s">
        <v>5660</v>
      </c>
      <c r="K1870" t="s">
        <v>5799</v>
      </c>
      <c r="L1870" t="s">
        <v>5942</v>
      </c>
      <c r="N1870" t="s">
        <v>773</v>
      </c>
      <c r="O1870" t="s">
        <v>4931</v>
      </c>
      <c r="Q1870" t="s">
        <v>773</v>
      </c>
      <c r="R1870" t="s">
        <v>774</v>
      </c>
      <c r="T1870" t="s">
        <v>5</v>
      </c>
      <c r="U1870" s="3" t="str">
        <f>+VLOOKUP(Sites_per_tag[[#This Row],[Activity_tag]],Parameter!$A$24:$B$32,2,0)</f>
        <v>MAM</v>
      </c>
      <c r="W1870">
        <v>44.519570000000002</v>
      </c>
      <c r="X1870">
        <v>-24.03</v>
      </c>
    </row>
    <row r="1871" spans="1:24" x14ac:dyDescent="0.35">
      <c r="A1871" s="3" t="str">
        <f t="shared" si="29"/>
        <v>MG51507150066001MAM</v>
      </c>
      <c r="B1871" t="s">
        <v>6267</v>
      </c>
      <c r="C1871">
        <f>+VLOOKUP(Sites_per_tag[[#This Row],[Field_office]],Parameter!$A$3:$B$11,2,0)</f>
        <v>9</v>
      </c>
      <c r="E1871" t="s">
        <v>5650</v>
      </c>
      <c r="F1871" t="s">
        <v>5654</v>
      </c>
      <c r="H1871" t="str">
        <f ca="1">PROPER(Sites_per_tag[[#This Row],[Adm2Name]])</f>
        <v>Ampanihy Ouest</v>
      </c>
      <c r="I1871" t="s">
        <v>5660</v>
      </c>
      <c r="K1871" t="s">
        <v>5799</v>
      </c>
      <c r="L1871" t="s">
        <v>5942</v>
      </c>
      <c r="N1871" t="s">
        <v>874</v>
      </c>
      <c r="O1871" t="s">
        <v>4932</v>
      </c>
      <c r="Q1871" t="s">
        <v>874</v>
      </c>
      <c r="R1871" t="s">
        <v>875</v>
      </c>
      <c r="T1871" t="s">
        <v>5</v>
      </c>
      <c r="U1871" s="3" t="str">
        <f>+VLOOKUP(Sites_per_tag[[#This Row],[Activity_tag]],Parameter!$A$24:$B$32,2,0)</f>
        <v>MAM</v>
      </c>
      <c r="W1871">
        <v>44.50712</v>
      </c>
      <c r="X1871">
        <v>-24.284870000000002</v>
      </c>
    </row>
    <row r="1872" spans="1:24" x14ac:dyDescent="0.35">
      <c r="A1872" s="3" t="str">
        <f t="shared" si="29"/>
        <v>MG51507150067001MAM</v>
      </c>
      <c r="B1872" t="s">
        <v>6267</v>
      </c>
      <c r="C1872">
        <f>+VLOOKUP(Sites_per_tag[[#This Row],[Field_office]],Parameter!$A$3:$B$11,2,0)</f>
        <v>9</v>
      </c>
      <c r="E1872" t="s">
        <v>5650</v>
      </c>
      <c r="F1872" t="s">
        <v>5654</v>
      </c>
      <c r="H1872" t="str">
        <f ca="1">PROPER(Sites_per_tag[[#This Row],[Adm2Name]])</f>
        <v>Ampanihy Ouest</v>
      </c>
      <c r="I1872" t="s">
        <v>5660</v>
      </c>
      <c r="K1872" t="s">
        <v>5799</v>
      </c>
      <c r="L1872" t="s">
        <v>5942</v>
      </c>
      <c r="N1872" t="s">
        <v>1330</v>
      </c>
      <c r="O1872" t="s">
        <v>4933</v>
      </c>
      <c r="Q1872" t="s">
        <v>1330</v>
      </c>
      <c r="R1872" t="s">
        <v>1331</v>
      </c>
      <c r="T1872" t="s">
        <v>5</v>
      </c>
      <c r="U1872" s="3" t="str">
        <f>+VLOOKUP(Sites_per_tag[[#This Row],[Activity_tag]],Parameter!$A$24:$B$32,2,0)</f>
        <v>MAM</v>
      </c>
      <c r="W1872">
        <v>44.531370000000003</v>
      </c>
      <c r="X1872">
        <v>-24.027280000000001</v>
      </c>
    </row>
    <row r="1873" spans="1:24" x14ac:dyDescent="0.35">
      <c r="A1873" s="3" t="str">
        <f t="shared" si="29"/>
        <v>MG51507150068001MAM</v>
      </c>
      <c r="B1873" t="s">
        <v>6267</v>
      </c>
      <c r="C1873">
        <f>+VLOOKUP(Sites_per_tag[[#This Row],[Field_office]],Parameter!$A$3:$B$11,2,0)</f>
        <v>9</v>
      </c>
      <c r="E1873" t="s">
        <v>5650</v>
      </c>
      <c r="F1873" t="s">
        <v>5654</v>
      </c>
      <c r="H1873" t="str">
        <f ca="1">PROPER(Sites_per_tag[[#This Row],[Adm2Name]])</f>
        <v>Ampanihy Ouest</v>
      </c>
      <c r="I1873" t="s">
        <v>5660</v>
      </c>
      <c r="K1873" t="s">
        <v>5799</v>
      </c>
      <c r="L1873" t="s">
        <v>5942</v>
      </c>
      <c r="N1873" t="s">
        <v>1437</v>
      </c>
      <c r="O1873" t="s">
        <v>4934</v>
      </c>
      <c r="Q1873" t="s">
        <v>1437</v>
      </c>
      <c r="R1873" t="s">
        <v>1438</v>
      </c>
      <c r="T1873" t="s">
        <v>5</v>
      </c>
      <c r="U1873" s="3" t="str">
        <f>+VLOOKUP(Sites_per_tag[[#This Row],[Activity_tag]],Parameter!$A$24:$B$32,2,0)</f>
        <v>MAM</v>
      </c>
      <c r="W1873">
        <v>44.553730000000002</v>
      </c>
      <c r="X1873">
        <v>-24.1204</v>
      </c>
    </row>
    <row r="1874" spans="1:24" x14ac:dyDescent="0.35">
      <c r="A1874" s="3" t="str">
        <f t="shared" si="29"/>
        <v>MG51507150069001MAM</v>
      </c>
      <c r="B1874" t="s">
        <v>6267</v>
      </c>
      <c r="C1874">
        <f>+VLOOKUP(Sites_per_tag[[#This Row],[Field_office]],Parameter!$A$3:$B$11,2,0)</f>
        <v>9</v>
      </c>
      <c r="E1874" t="s">
        <v>5650</v>
      </c>
      <c r="F1874" t="s">
        <v>5654</v>
      </c>
      <c r="H1874" t="str">
        <f ca="1">PROPER(Sites_per_tag[[#This Row],[Adm2Name]])</f>
        <v>Ampanihy Ouest</v>
      </c>
      <c r="I1874" t="s">
        <v>5660</v>
      </c>
      <c r="K1874" t="s">
        <v>5799</v>
      </c>
      <c r="L1874" t="s">
        <v>5942</v>
      </c>
      <c r="N1874" t="s">
        <v>3616</v>
      </c>
      <c r="O1874" t="s">
        <v>4935</v>
      </c>
      <c r="Q1874" t="s">
        <v>3616</v>
      </c>
      <c r="R1874" t="s">
        <v>3617</v>
      </c>
      <c r="T1874" t="s">
        <v>5</v>
      </c>
      <c r="U1874" s="3" t="str">
        <f>+VLOOKUP(Sites_per_tag[[#This Row],[Activity_tag]],Parameter!$A$24:$B$32,2,0)</f>
        <v>MAM</v>
      </c>
      <c r="W1874">
        <v>44.566870000000002</v>
      </c>
      <c r="X1874">
        <v>-24.111450000000001</v>
      </c>
    </row>
    <row r="1875" spans="1:24" x14ac:dyDescent="0.35">
      <c r="A1875" s="3" t="str">
        <f t="shared" si="29"/>
        <v>MG51507150070001MAM</v>
      </c>
      <c r="B1875" t="s">
        <v>6267</v>
      </c>
      <c r="C1875">
        <f>+VLOOKUP(Sites_per_tag[[#This Row],[Field_office]],Parameter!$A$3:$B$11,2,0)</f>
        <v>9</v>
      </c>
      <c r="E1875" t="s">
        <v>5650</v>
      </c>
      <c r="F1875" t="s">
        <v>5654</v>
      </c>
      <c r="H1875" t="str">
        <f ca="1">PROPER(Sites_per_tag[[#This Row],[Adm2Name]])</f>
        <v>Ampanihy Ouest</v>
      </c>
      <c r="I1875" t="s">
        <v>5660</v>
      </c>
      <c r="K1875" t="s">
        <v>5799</v>
      </c>
      <c r="L1875" t="s">
        <v>5942</v>
      </c>
      <c r="N1875" t="s">
        <v>1693</v>
      </c>
      <c r="O1875" t="s">
        <v>4936</v>
      </c>
      <c r="Q1875" t="s">
        <v>1693</v>
      </c>
      <c r="R1875" t="s">
        <v>1694</v>
      </c>
      <c r="T1875" t="s">
        <v>5</v>
      </c>
      <c r="U1875" s="3" t="str">
        <f>+VLOOKUP(Sites_per_tag[[#This Row],[Activity_tag]],Parameter!$A$24:$B$32,2,0)</f>
        <v>MAM</v>
      </c>
      <c r="W1875">
        <v>44.534930000000003</v>
      </c>
      <c r="X1875">
        <v>-24.393899999999999</v>
      </c>
    </row>
    <row r="1876" spans="1:24" x14ac:dyDescent="0.35">
      <c r="A1876" s="3" t="str">
        <f t="shared" si="29"/>
        <v>MG51507150071001MAM</v>
      </c>
      <c r="B1876" t="s">
        <v>6267</v>
      </c>
      <c r="C1876">
        <f>+VLOOKUP(Sites_per_tag[[#This Row],[Field_office]],Parameter!$A$3:$B$11,2,0)</f>
        <v>9</v>
      </c>
      <c r="E1876" t="s">
        <v>5650</v>
      </c>
      <c r="F1876" t="s">
        <v>5654</v>
      </c>
      <c r="H1876" t="str">
        <f ca="1">PROPER(Sites_per_tag[[#This Row],[Adm2Name]])</f>
        <v>Ampanihy Ouest</v>
      </c>
      <c r="I1876" t="s">
        <v>5660</v>
      </c>
      <c r="K1876" t="s">
        <v>5799</v>
      </c>
      <c r="L1876" t="s">
        <v>5942</v>
      </c>
      <c r="N1876" t="s">
        <v>1718</v>
      </c>
      <c r="O1876" t="s">
        <v>4937</v>
      </c>
      <c r="Q1876" t="s">
        <v>1718</v>
      </c>
      <c r="R1876" t="s">
        <v>1719</v>
      </c>
      <c r="T1876" t="s">
        <v>5</v>
      </c>
      <c r="U1876" s="3" t="str">
        <f>+VLOOKUP(Sites_per_tag[[#This Row],[Activity_tag]],Parameter!$A$24:$B$32,2,0)</f>
        <v>MAM</v>
      </c>
      <c r="W1876">
        <v>44.5227</v>
      </c>
      <c r="X1876">
        <v>-24.385079999999999</v>
      </c>
    </row>
    <row r="1877" spans="1:24" x14ac:dyDescent="0.35">
      <c r="A1877" s="3" t="str">
        <f t="shared" si="29"/>
        <v>MG51507150072001MAM</v>
      </c>
      <c r="B1877" t="s">
        <v>6267</v>
      </c>
      <c r="C1877">
        <f>+VLOOKUP(Sites_per_tag[[#This Row],[Field_office]],Parameter!$A$3:$B$11,2,0)</f>
        <v>9</v>
      </c>
      <c r="E1877" t="s">
        <v>5650</v>
      </c>
      <c r="F1877" t="s">
        <v>5654</v>
      </c>
      <c r="H1877" t="str">
        <f ca="1">PROPER(Sites_per_tag[[#This Row],[Adm2Name]])</f>
        <v>Ampanihy Ouest</v>
      </c>
      <c r="I1877" t="s">
        <v>5660</v>
      </c>
      <c r="K1877" t="s">
        <v>5799</v>
      </c>
      <c r="L1877" t="s">
        <v>5942</v>
      </c>
      <c r="N1877" t="s">
        <v>1792</v>
      </c>
      <c r="O1877" t="s">
        <v>4938</v>
      </c>
      <c r="Q1877" t="s">
        <v>1792</v>
      </c>
      <c r="R1877" t="s">
        <v>1793</v>
      </c>
      <c r="T1877" t="s">
        <v>5</v>
      </c>
      <c r="U1877" s="3" t="str">
        <f>+VLOOKUP(Sites_per_tag[[#This Row],[Activity_tag]],Parameter!$A$24:$B$32,2,0)</f>
        <v>MAM</v>
      </c>
      <c r="W1877">
        <v>44.493079999999999</v>
      </c>
      <c r="X1877">
        <v>-24.141300000000001</v>
      </c>
    </row>
    <row r="1878" spans="1:24" x14ac:dyDescent="0.35">
      <c r="A1878" s="3" t="str">
        <f t="shared" si="29"/>
        <v>MG51507150073001MAM</v>
      </c>
      <c r="B1878" t="s">
        <v>6267</v>
      </c>
      <c r="C1878">
        <f>+VLOOKUP(Sites_per_tag[[#This Row],[Field_office]],Parameter!$A$3:$B$11,2,0)</f>
        <v>9</v>
      </c>
      <c r="E1878" t="s">
        <v>5650</v>
      </c>
      <c r="F1878" t="s">
        <v>5654</v>
      </c>
      <c r="H1878" t="str">
        <f ca="1">PROPER(Sites_per_tag[[#This Row],[Adm2Name]])</f>
        <v>Ampanihy Ouest</v>
      </c>
      <c r="I1878" t="s">
        <v>5660</v>
      </c>
      <c r="K1878" t="s">
        <v>5799</v>
      </c>
      <c r="L1878" t="s">
        <v>5942</v>
      </c>
      <c r="N1878" t="s">
        <v>1794</v>
      </c>
      <c r="O1878" t="s">
        <v>4939</v>
      </c>
      <c r="Q1878" t="s">
        <v>1794</v>
      </c>
      <c r="R1878" t="s">
        <v>1795</v>
      </c>
      <c r="T1878" t="s">
        <v>5</v>
      </c>
      <c r="U1878" s="3" t="str">
        <f>+VLOOKUP(Sites_per_tag[[#This Row],[Activity_tag]],Parameter!$A$24:$B$32,2,0)</f>
        <v>MAM</v>
      </c>
      <c r="W1878">
        <v>44.493020000000001</v>
      </c>
      <c r="X1878">
        <v>-24.141400000000001</v>
      </c>
    </row>
    <row r="1879" spans="1:24" x14ac:dyDescent="0.35">
      <c r="A1879" s="3" t="str">
        <f t="shared" si="29"/>
        <v>MG51507150074001MAM</v>
      </c>
      <c r="B1879" t="s">
        <v>6267</v>
      </c>
      <c r="C1879">
        <f>+VLOOKUP(Sites_per_tag[[#This Row],[Field_office]],Parameter!$A$3:$B$11,2,0)</f>
        <v>9</v>
      </c>
      <c r="E1879" t="s">
        <v>5650</v>
      </c>
      <c r="F1879" t="s">
        <v>5654</v>
      </c>
      <c r="H1879" t="str">
        <f ca="1">PROPER(Sites_per_tag[[#This Row],[Adm2Name]])</f>
        <v>Ampanihy Ouest</v>
      </c>
      <c r="I1879" t="s">
        <v>5660</v>
      </c>
      <c r="K1879" t="s">
        <v>5799</v>
      </c>
      <c r="L1879" t="s">
        <v>5942</v>
      </c>
      <c r="N1879" t="s">
        <v>1799</v>
      </c>
      <c r="O1879" t="s">
        <v>4940</v>
      </c>
      <c r="Q1879" t="s">
        <v>1799</v>
      </c>
      <c r="R1879" t="s">
        <v>1800</v>
      </c>
      <c r="T1879" t="s">
        <v>5</v>
      </c>
      <c r="U1879" s="3" t="str">
        <f>+VLOOKUP(Sites_per_tag[[#This Row],[Activity_tag]],Parameter!$A$24:$B$32,2,0)</f>
        <v>MAM</v>
      </c>
      <c r="W1879">
        <v>44.548250000000003</v>
      </c>
      <c r="X1879">
        <v>-24.096530000000001</v>
      </c>
    </row>
    <row r="1880" spans="1:24" x14ac:dyDescent="0.35">
      <c r="A1880" s="3" t="str">
        <f t="shared" si="29"/>
        <v>MG51507150076001MAM</v>
      </c>
      <c r="B1880" t="s">
        <v>6267</v>
      </c>
      <c r="C1880">
        <f>+VLOOKUP(Sites_per_tag[[#This Row],[Field_office]],Parameter!$A$3:$B$11,2,0)</f>
        <v>9</v>
      </c>
      <c r="E1880" t="s">
        <v>5650</v>
      </c>
      <c r="F1880" t="s">
        <v>5654</v>
      </c>
      <c r="H1880" t="str">
        <f ca="1">PROPER(Sites_per_tag[[#This Row],[Adm2Name]])</f>
        <v>Ampanihy Ouest</v>
      </c>
      <c r="I1880" t="s">
        <v>5660</v>
      </c>
      <c r="K1880" t="s">
        <v>5799</v>
      </c>
      <c r="L1880" t="s">
        <v>5942</v>
      </c>
      <c r="N1880" t="s">
        <v>1808</v>
      </c>
      <c r="O1880" t="s">
        <v>4941</v>
      </c>
      <c r="Q1880" t="s">
        <v>1808</v>
      </c>
      <c r="R1880" t="s">
        <v>1809</v>
      </c>
      <c r="T1880" t="s">
        <v>5</v>
      </c>
      <c r="U1880" s="3" t="str">
        <f>+VLOOKUP(Sites_per_tag[[#This Row],[Activity_tag]],Parameter!$A$24:$B$32,2,0)</f>
        <v>MAM</v>
      </c>
      <c r="W1880">
        <v>44.548119999999997</v>
      </c>
      <c r="X1880">
        <v>-24.393229999999999</v>
      </c>
    </row>
    <row r="1881" spans="1:24" x14ac:dyDescent="0.35">
      <c r="A1881" s="3" t="str">
        <f t="shared" si="29"/>
        <v>MG51507150077001MAM</v>
      </c>
      <c r="B1881" t="s">
        <v>6267</v>
      </c>
      <c r="C1881">
        <f>+VLOOKUP(Sites_per_tag[[#This Row],[Field_office]],Parameter!$A$3:$B$11,2,0)</f>
        <v>9</v>
      </c>
      <c r="E1881" t="s">
        <v>5650</v>
      </c>
      <c r="F1881" t="s">
        <v>5654</v>
      </c>
      <c r="H1881" t="str">
        <f ca="1">PROPER(Sites_per_tag[[#This Row],[Adm2Name]])</f>
        <v>Ampanihy Ouest</v>
      </c>
      <c r="I1881" t="s">
        <v>5660</v>
      </c>
      <c r="K1881" t="s">
        <v>5799</v>
      </c>
      <c r="L1881" t="s">
        <v>5942</v>
      </c>
      <c r="N1881" t="s">
        <v>1833</v>
      </c>
      <c r="O1881" t="s">
        <v>4942</v>
      </c>
      <c r="Q1881" t="s">
        <v>1833</v>
      </c>
      <c r="R1881" t="s">
        <v>1834</v>
      </c>
      <c r="T1881" t="s">
        <v>5</v>
      </c>
      <c r="U1881" s="3" t="str">
        <f>+VLOOKUP(Sites_per_tag[[#This Row],[Activity_tag]],Parameter!$A$24:$B$32,2,0)</f>
        <v>MAM</v>
      </c>
      <c r="W1881">
        <v>44.51135</v>
      </c>
      <c r="X1881">
        <v>-24.34198</v>
      </c>
    </row>
    <row r="1882" spans="1:24" x14ac:dyDescent="0.35">
      <c r="A1882" s="3" t="str">
        <f t="shared" si="29"/>
        <v>MG51507150078001MAM</v>
      </c>
      <c r="B1882" t="s">
        <v>6267</v>
      </c>
      <c r="C1882">
        <f>+VLOOKUP(Sites_per_tag[[#This Row],[Field_office]],Parameter!$A$3:$B$11,2,0)</f>
        <v>9</v>
      </c>
      <c r="E1882" t="s">
        <v>5650</v>
      </c>
      <c r="F1882" t="s">
        <v>5654</v>
      </c>
      <c r="H1882" t="str">
        <f ca="1">PROPER(Sites_per_tag[[#This Row],[Adm2Name]])</f>
        <v>Ampanihy Ouest</v>
      </c>
      <c r="I1882" t="s">
        <v>5660</v>
      </c>
      <c r="K1882" t="s">
        <v>5799</v>
      </c>
      <c r="L1882" t="s">
        <v>5942</v>
      </c>
      <c r="N1882" t="s">
        <v>2028</v>
      </c>
      <c r="O1882" t="s">
        <v>4943</v>
      </c>
      <c r="Q1882" t="s">
        <v>2028</v>
      </c>
      <c r="R1882" t="s">
        <v>2029</v>
      </c>
      <c r="T1882" t="s">
        <v>5</v>
      </c>
      <c r="U1882" s="3" t="str">
        <f>+VLOOKUP(Sites_per_tag[[#This Row],[Activity_tag]],Parameter!$A$24:$B$32,2,0)</f>
        <v>MAM</v>
      </c>
      <c r="W1882">
        <v>44.505279999999999</v>
      </c>
      <c r="X1882">
        <v>-24.365629999999999</v>
      </c>
    </row>
    <row r="1883" spans="1:24" x14ac:dyDescent="0.35">
      <c r="A1883" s="3" t="str">
        <f t="shared" si="29"/>
        <v>MG51507150079001MAM</v>
      </c>
      <c r="B1883" t="s">
        <v>6267</v>
      </c>
      <c r="C1883">
        <f>+VLOOKUP(Sites_per_tag[[#This Row],[Field_office]],Parameter!$A$3:$B$11,2,0)</f>
        <v>9</v>
      </c>
      <c r="E1883" t="s">
        <v>5650</v>
      </c>
      <c r="F1883" t="s">
        <v>5654</v>
      </c>
      <c r="H1883" t="str">
        <f ca="1">PROPER(Sites_per_tag[[#This Row],[Adm2Name]])</f>
        <v>Ampanihy Ouest</v>
      </c>
      <c r="I1883" t="s">
        <v>5660</v>
      </c>
      <c r="K1883" t="s">
        <v>5799</v>
      </c>
      <c r="L1883" t="s">
        <v>5942</v>
      </c>
      <c r="N1883" t="s">
        <v>2190</v>
      </c>
      <c r="O1883" t="s">
        <v>4944</v>
      </c>
      <c r="Q1883" t="s">
        <v>2190</v>
      </c>
      <c r="R1883" t="s">
        <v>2191</v>
      </c>
      <c r="T1883" t="s">
        <v>5</v>
      </c>
      <c r="U1883" s="3" t="str">
        <f>+VLOOKUP(Sites_per_tag[[#This Row],[Activity_tag]],Parameter!$A$24:$B$32,2,0)</f>
        <v>MAM</v>
      </c>
      <c r="W1883">
        <v>44.451970000000003</v>
      </c>
      <c r="X1883">
        <v>-24.34787</v>
      </c>
    </row>
    <row r="1884" spans="1:24" x14ac:dyDescent="0.35">
      <c r="A1884" s="3" t="str">
        <f t="shared" si="29"/>
        <v>MG51507150080001MAM</v>
      </c>
      <c r="B1884" t="s">
        <v>6267</v>
      </c>
      <c r="C1884">
        <f>+VLOOKUP(Sites_per_tag[[#This Row],[Field_office]],Parameter!$A$3:$B$11,2,0)</f>
        <v>9</v>
      </c>
      <c r="E1884" t="s">
        <v>5650</v>
      </c>
      <c r="F1884" t="s">
        <v>5654</v>
      </c>
      <c r="H1884" t="str">
        <f ca="1">PROPER(Sites_per_tag[[#This Row],[Adm2Name]])</f>
        <v>Ampanihy Ouest</v>
      </c>
      <c r="I1884" t="s">
        <v>5660</v>
      </c>
      <c r="K1884" t="s">
        <v>5799</v>
      </c>
      <c r="L1884" t="s">
        <v>5942</v>
      </c>
      <c r="N1884" t="s">
        <v>2192</v>
      </c>
      <c r="O1884" t="s">
        <v>4945</v>
      </c>
      <c r="Q1884" t="s">
        <v>2192</v>
      </c>
      <c r="R1884" t="s">
        <v>2193</v>
      </c>
      <c r="T1884" t="s">
        <v>5</v>
      </c>
      <c r="U1884" s="3" t="str">
        <f>+VLOOKUP(Sites_per_tag[[#This Row],[Activity_tag]],Parameter!$A$24:$B$32,2,0)</f>
        <v>MAM</v>
      </c>
      <c r="W1884">
        <v>44.433970000000002</v>
      </c>
      <c r="X1884">
        <v>-24.361419999999999</v>
      </c>
    </row>
    <row r="1885" spans="1:24" x14ac:dyDescent="0.35">
      <c r="A1885" s="3" t="str">
        <f t="shared" si="29"/>
        <v>MG51507150081001MAM</v>
      </c>
      <c r="B1885" t="s">
        <v>6267</v>
      </c>
      <c r="C1885">
        <f>+VLOOKUP(Sites_per_tag[[#This Row],[Field_office]],Parameter!$A$3:$B$11,2,0)</f>
        <v>9</v>
      </c>
      <c r="E1885" t="s">
        <v>5650</v>
      </c>
      <c r="F1885" t="s">
        <v>5654</v>
      </c>
      <c r="H1885" t="str">
        <f ca="1">PROPER(Sites_per_tag[[#This Row],[Adm2Name]])</f>
        <v>Ampanihy Ouest</v>
      </c>
      <c r="I1885" t="s">
        <v>5660</v>
      </c>
      <c r="K1885" t="s">
        <v>5799</v>
      </c>
      <c r="L1885" t="s">
        <v>5942</v>
      </c>
      <c r="N1885" t="s">
        <v>2338</v>
      </c>
      <c r="O1885" t="s">
        <v>4946</v>
      </c>
      <c r="Q1885" t="s">
        <v>2338</v>
      </c>
      <c r="R1885" t="s">
        <v>2340</v>
      </c>
      <c r="T1885" t="s">
        <v>5</v>
      </c>
      <c r="U1885" s="3" t="str">
        <f>+VLOOKUP(Sites_per_tag[[#This Row],[Activity_tag]],Parameter!$A$24:$B$32,2,0)</f>
        <v>MAM</v>
      </c>
      <c r="W1885">
        <v>44.515900000000002</v>
      </c>
      <c r="X1885">
        <v>-24.347249999999999</v>
      </c>
    </row>
    <row r="1886" spans="1:24" x14ac:dyDescent="0.35">
      <c r="A1886" s="3" t="str">
        <f t="shared" si="29"/>
        <v>MG51507150082001MAM</v>
      </c>
      <c r="B1886" t="s">
        <v>6267</v>
      </c>
      <c r="C1886">
        <f>+VLOOKUP(Sites_per_tag[[#This Row],[Field_office]],Parameter!$A$3:$B$11,2,0)</f>
        <v>9</v>
      </c>
      <c r="E1886" t="s">
        <v>5650</v>
      </c>
      <c r="F1886" t="s">
        <v>5654</v>
      </c>
      <c r="H1886" t="str">
        <f ca="1">PROPER(Sites_per_tag[[#This Row],[Adm2Name]])</f>
        <v>Ampanihy Ouest</v>
      </c>
      <c r="I1886" t="s">
        <v>5660</v>
      </c>
      <c r="K1886" t="s">
        <v>5799</v>
      </c>
      <c r="L1886" t="s">
        <v>5942</v>
      </c>
      <c r="N1886" t="s">
        <v>2341</v>
      </c>
      <c r="O1886" t="s">
        <v>4947</v>
      </c>
      <c r="Q1886" t="s">
        <v>2341</v>
      </c>
      <c r="R1886" t="s">
        <v>2342</v>
      </c>
      <c r="T1886" t="s">
        <v>5</v>
      </c>
      <c r="U1886" s="3" t="str">
        <f>+VLOOKUP(Sites_per_tag[[#This Row],[Activity_tag]],Parameter!$A$24:$B$32,2,0)</f>
        <v>MAM</v>
      </c>
      <c r="W1886">
        <v>44.515450000000001</v>
      </c>
      <c r="X1886">
        <v>-24.348700000000001</v>
      </c>
    </row>
    <row r="1887" spans="1:24" x14ac:dyDescent="0.35">
      <c r="A1887" s="3" t="str">
        <f t="shared" si="29"/>
        <v>MG51507150083001MAM</v>
      </c>
      <c r="B1887" t="s">
        <v>6267</v>
      </c>
      <c r="C1887">
        <f>+VLOOKUP(Sites_per_tag[[#This Row],[Field_office]],Parameter!$A$3:$B$11,2,0)</f>
        <v>9</v>
      </c>
      <c r="E1887" t="s">
        <v>5650</v>
      </c>
      <c r="F1887" t="s">
        <v>5654</v>
      </c>
      <c r="H1887" t="str">
        <f ca="1">PROPER(Sites_per_tag[[#This Row],[Adm2Name]])</f>
        <v>Ampanihy Ouest</v>
      </c>
      <c r="I1887" t="s">
        <v>5660</v>
      </c>
      <c r="K1887" t="s">
        <v>5799</v>
      </c>
      <c r="L1887" t="s">
        <v>5942</v>
      </c>
      <c r="N1887" t="s">
        <v>2364</v>
      </c>
      <c r="O1887" t="s">
        <v>4948</v>
      </c>
      <c r="Q1887" t="s">
        <v>2364</v>
      </c>
      <c r="R1887" t="s">
        <v>2365</v>
      </c>
      <c r="T1887" t="s">
        <v>5</v>
      </c>
      <c r="U1887" s="3" t="str">
        <f>+VLOOKUP(Sites_per_tag[[#This Row],[Activity_tag]],Parameter!$A$24:$B$32,2,0)</f>
        <v>MAM</v>
      </c>
      <c r="W1887">
        <v>44.545569999999998</v>
      </c>
      <c r="X1887">
        <v>-24.330770000000001</v>
      </c>
    </row>
    <row r="1888" spans="1:24" x14ac:dyDescent="0.35">
      <c r="A1888" s="3" t="str">
        <f t="shared" si="29"/>
        <v>MG51507150084001MAM</v>
      </c>
      <c r="B1888" t="s">
        <v>6267</v>
      </c>
      <c r="C1888">
        <f>+VLOOKUP(Sites_per_tag[[#This Row],[Field_office]],Parameter!$A$3:$B$11,2,0)</f>
        <v>9</v>
      </c>
      <c r="E1888" t="s">
        <v>5650</v>
      </c>
      <c r="F1888" t="s">
        <v>5654</v>
      </c>
      <c r="H1888" t="str">
        <f ca="1">PROPER(Sites_per_tag[[#This Row],[Adm2Name]])</f>
        <v>Ampanihy Ouest</v>
      </c>
      <c r="I1888" t="s">
        <v>5660</v>
      </c>
      <c r="K1888" t="s">
        <v>5799</v>
      </c>
      <c r="L1888" t="s">
        <v>5942</v>
      </c>
      <c r="N1888" t="s">
        <v>2409</v>
      </c>
      <c r="O1888" t="s">
        <v>4949</v>
      </c>
      <c r="Q1888" t="s">
        <v>2409</v>
      </c>
      <c r="R1888" t="s">
        <v>2410</v>
      </c>
      <c r="T1888" t="s">
        <v>5</v>
      </c>
      <c r="U1888" s="3" t="str">
        <f>+VLOOKUP(Sites_per_tag[[#This Row],[Activity_tag]],Parameter!$A$24:$B$32,2,0)</f>
        <v>MAM</v>
      </c>
      <c r="W1888">
        <v>44.345869999999998</v>
      </c>
      <c r="X1888">
        <v>-24.304649999999999</v>
      </c>
    </row>
    <row r="1889" spans="1:24" x14ac:dyDescent="0.35">
      <c r="A1889" s="3" t="str">
        <f t="shared" si="29"/>
        <v>MG51507150085001MAM</v>
      </c>
      <c r="B1889" t="s">
        <v>6267</v>
      </c>
      <c r="C1889">
        <f>+VLOOKUP(Sites_per_tag[[#This Row],[Field_office]],Parameter!$A$3:$B$11,2,0)</f>
        <v>9</v>
      </c>
      <c r="E1889" t="s">
        <v>5650</v>
      </c>
      <c r="F1889" t="s">
        <v>5654</v>
      </c>
      <c r="H1889" t="str">
        <f ca="1">PROPER(Sites_per_tag[[#This Row],[Adm2Name]])</f>
        <v>Ampanihy Ouest</v>
      </c>
      <c r="I1889" t="s">
        <v>5660</v>
      </c>
      <c r="K1889" t="s">
        <v>5799</v>
      </c>
      <c r="L1889" t="s">
        <v>5942</v>
      </c>
      <c r="N1889" t="s">
        <v>2418</v>
      </c>
      <c r="O1889" t="s">
        <v>4950</v>
      </c>
      <c r="Q1889" t="s">
        <v>2418</v>
      </c>
      <c r="R1889" t="s">
        <v>2419</v>
      </c>
      <c r="T1889" t="s">
        <v>5</v>
      </c>
      <c r="U1889" s="3" t="str">
        <f>+VLOOKUP(Sites_per_tag[[#This Row],[Activity_tag]],Parameter!$A$24:$B$32,2,0)</f>
        <v>MAM</v>
      </c>
      <c r="W1889">
        <v>44.548380000000002</v>
      </c>
      <c r="X1889">
        <v>-24.49098</v>
      </c>
    </row>
    <row r="1890" spans="1:24" x14ac:dyDescent="0.35">
      <c r="A1890" s="3" t="str">
        <f t="shared" si="29"/>
        <v>MG51507150086001MAM</v>
      </c>
      <c r="B1890" t="s">
        <v>6267</v>
      </c>
      <c r="C1890">
        <f>+VLOOKUP(Sites_per_tag[[#This Row],[Field_office]],Parameter!$A$3:$B$11,2,0)</f>
        <v>9</v>
      </c>
      <c r="E1890" t="s">
        <v>5650</v>
      </c>
      <c r="F1890" t="s">
        <v>5654</v>
      </c>
      <c r="H1890" t="str">
        <f ca="1">PROPER(Sites_per_tag[[#This Row],[Adm2Name]])</f>
        <v>Ampanihy Ouest</v>
      </c>
      <c r="I1890" t="s">
        <v>5660</v>
      </c>
      <c r="K1890" t="s">
        <v>5799</v>
      </c>
      <c r="L1890" t="s">
        <v>5942</v>
      </c>
      <c r="N1890" t="s">
        <v>2440</v>
      </c>
      <c r="O1890" t="s">
        <v>4951</v>
      </c>
      <c r="Q1890" t="s">
        <v>2440</v>
      </c>
      <c r="R1890" t="s">
        <v>2441</v>
      </c>
      <c r="T1890" t="s">
        <v>5</v>
      </c>
      <c r="U1890" s="3" t="str">
        <f>+VLOOKUP(Sites_per_tag[[#This Row],[Activity_tag]],Parameter!$A$24:$B$32,2,0)</f>
        <v>MAM</v>
      </c>
      <c r="W1890">
        <v>44.423299999999998</v>
      </c>
      <c r="X1890">
        <v>-24.305579999999999</v>
      </c>
    </row>
    <row r="1891" spans="1:24" x14ac:dyDescent="0.35">
      <c r="A1891" s="3" t="str">
        <f t="shared" si="29"/>
        <v>MG51507150087001MAM</v>
      </c>
      <c r="B1891" t="s">
        <v>6267</v>
      </c>
      <c r="C1891">
        <f>+VLOOKUP(Sites_per_tag[[#This Row],[Field_office]],Parameter!$A$3:$B$11,2,0)</f>
        <v>9</v>
      </c>
      <c r="E1891" t="s">
        <v>5650</v>
      </c>
      <c r="F1891" t="s">
        <v>5654</v>
      </c>
      <c r="H1891" t="str">
        <f ca="1">PROPER(Sites_per_tag[[#This Row],[Adm2Name]])</f>
        <v>Ampanihy Ouest</v>
      </c>
      <c r="I1891" t="s">
        <v>5660</v>
      </c>
      <c r="K1891" t="s">
        <v>5799</v>
      </c>
      <c r="L1891" t="s">
        <v>5942</v>
      </c>
      <c r="N1891" t="s">
        <v>2450</v>
      </c>
      <c r="O1891" t="s">
        <v>4952</v>
      </c>
      <c r="Q1891" t="s">
        <v>2450</v>
      </c>
      <c r="R1891" t="s">
        <v>2452</v>
      </c>
      <c r="T1891" t="s">
        <v>5</v>
      </c>
      <c r="U1891" s="3" t="str">
        <f>+VLOOKUP(Sites_per_tag[[#This Row],[Activity_tag]],Parameter!$A$24:$B$32,2,0)</f>
        <v>MAM</v>
      </c>
      <c r="W1891">
        <v>44.422620000000002</v>
      </c>
      <c r="X1891">
        <v>-24.284700000000001</v>
      </c>
    </row>
    <row r="1892" spans="1:24" x14ac:dyDescent="0.35">
      <c r="A1892" s="3" t="str">
        <f t="shared" si="29"/>
        <v>MG51507150088001MAM</v>
      </c>
      <c r="B1892" t="s">
        <v>6267</v>
      </c>
      <c r="C1892">
        <f>+VLOOKUP(Sites_per_tag[[#This Row],[Field_office]],Parameter!$A$3:$B$11,2,0)</f>
        <v>9</v>
      </c>
      <c r="E1892" t="s">
        <v>5650</v>
      </c>
      <c r="F1892" t="s">
        <v>5654</v>
      </c>
      <c r="H1892" t="str">
        <f ca="1">PROPER(Sites_per_tag[[#This Row],[Adm2Name]])</f>
        <v>Ampanihy Ouest</v>
      </c>
      <c r="I1892" t="s">
        <v>5660</v>
      </c>
      <c r="K1892" t="s">
        <v>5799</v>
      </c>
      <c r="L1892" t="s">
        <v>5942</v>
      </c>
      <c r="N1892" t="s">
        <v>2831</v>
      </c>
      <c r="O1892" t="s">
        <v>4953</v>
      </c>
      <c r="Q1892" t="s">
        <v>2831</v>
      </c>
      <c r="R1892" t="s">
        <v>2832</v>
      </c>
      <c r="T1892" t="s">
        <v>5</v>
      </c>
      <c r="U1892" s="3" t="str">
        <f>+VLOOKUP(Sites_per_tag[[#This Row],[Activity_tag]],Parameter!$A$24:$B$32,2,0)</f>
        <v>MAM</v>
      </c>
      <c r="W1892">
        <v>44.589880000000001</v>
      </c>
      <c r="X1892">
        <v>-24.463200000000001</v>
      </c>
    </row>
    <row r="1893" spans="1:24" x14ac:dyDescent="0.35">
      <c r="A1893" s="3" t="str">
        <f t="shared" si="29"/>
        <v>MG51507150089001MAM</v>
      </c>
      <c r="B1893" t="s">
        <v>6267</v>
      </c>
      <c r="C1893">
        <f>+VLOOKUP(Sites_per_tag[[#This Row],[Field_office]],Parameter!$A$3:$B$11,2,0)</f>
        <v>9</v>
      </c>
      <c r="E1893" t="s">
        <v>5650</v>
      </c>
      <c r="F1893" t="s">
        <v>5654</v>
      </c>
      <c r="H1893" t="str">
        <f ca="1">PROPER(Sites_per_tag[[#This Row],[Adm2Name]])</f>
        <v>Ampanihy Ouest</v>
      </c>
      <c r="I1893" t="s">
        <v>5660</v>
      </c>
      <c r="K1893" t="s">
        <v>5799</v>
      </c>
      <c r="L1893" t="s">
        <v>5942</v>
      </c>
      <c r="N1893" t="s">
        <v>2833</v>
      </c>
      <c r="O1893" t="s">
        <v>4954</v>
      </c>
      <c r="Q1893" t="s">
        <v>2833</v>
      </c>
      <c r="R1893" t="s">
        <v>2834</v>
      </c>
      <c r="T1893" t="s">
        <v>5</v>
      </c>
      <c r="U1893" s="3" t="str">
        <f>+VLOOKUP(Sites_per_tag[[#This Row],[Activity_tag]],Parameter!$A$24:$B$32,2,0)</f>
        <v>MAM</v>
      </c>
      <c r="W1893">
        <v>44.589840000000002</v>
      </c>
      <c r="X1893">
        <v>-24.463200000000001</v>
      </c>
    </row>
    <row r="1894" spans="1:24" x14ac:dyDescent="0.35">
      <c r="A1894" s="3" t="str">
        <f t="shared" si="29"/>
        <v>MG51507150090001MAM</v>
      </c>
      <c r="B1894" t="s">
        <v>6267</v>
      </c>
      <c r="C1894">
        <f>+VLOOKUP(Sites_per_tag[[#This Row],[Field_office]],Parameter!$A$3:$B$11,2,0)</f>
        <v>9</v>
      </c>
      <c r="E1894" t="s">
        <v>5650</v>
      </c>
      <c r="F1894" t="s">
        <v>5654</v>
      </c>
      <c r="H1894" t="str">
        <f ca="1">PROPER(Sites_per_tag[[#This Row],[Adm2Name]])</f>
        <v>Ampanihy Ouest</v>
      </c>
      <c r="I1894" t="s">
        <v>5660</v>
      </c>
      <c r="K1894" t="s">
        <v>5799</v>
      </c>
      <c r="L1894" t="s">
        <v>5942</v>
      </c>
      <c r="N1894" t="s">
        <v>2835</v>
      </c>
      <c r="O1894" t="s">
        <v>4955</v>
      </c>
      <c r="Q1894" t="s">
        <v>2835</v>
      </c>
      <c r="R1894" t="s">
        <v>2837</v>
      </c>
      <c r="T1894" t="s">
        <v>5</v>
      </c>
      <c r="U1894" s="3" t="str">
        <f>+VLOOKUP(Sites_per_tag[[#This Row],[Activity_tag]],Parameter!$A$24:$B$32,2,0)</f>
        <v>MAM</v>
      </c>
      <c r="W1894">
        <v>44.620100000000001</v>
      </c>
      <c r="X1894">
        <v>-24.520499999999998</v>
      </c>
    </row>
    <row r="1895" spans="1:24" x14ac:dyDescent="0.35">
      <c r="A1895" s="3" t="str">
        <f t="shared" si="29"/>
        <v>MG51507150091001MAM</v>
      </c>
      <c r="B1895" t="s">
        <v>6267</v>
      </c>
      <c r="C1895">
        <f>+VLOOKUP(Sites_per_tag[[#This Row],[Field_office]],Parameter!$A$3:$B$11,2,0)</f>
        <v>9</v>
      </c>
      <c r="E1895" t="s">
        <v>5650</v>
      </c>
      <c r="F1895" t="s">
        <v>5654</v>
      </c>
      <c r="H1895" t="str">
        <f ca="1">PROPER(Sites_per_tag[[#This Row],[Adm2Name]])</f>
        <v>Ampanihy Ouest</v>
      </c>
      <c r="I1895" t="s">
        <v>5660</v>
      </c>
      <c r="K1895" t="s">
        <v>5799</v>
      </c>
      <c r="L1895" t="s">
        <v>5942</v>
      </c>
      <c r="N1895" t="s">
        <v>2883</v>
      </c>
      <c r="O1895" t="s">
        <v>4956</v>
      </c>
      <c r="Q1895" t="s">
        <v>2883</v>
      </c>
      <c r="R1895" t="s">
        <v>2884</v>
      </c>
      <c r="T1895" t="s">
        <v>5</v>
      </c>
      <c r="U1895" s="3" t="str">
        <f>+VLOOKUP(Sites_per_tag[[#This Row],[Activity_tag]],Parameter!$A$24:$B$32,2,0)</f>
        <v>MAM</v>
      </c>
      <c r="W1895">
        <v>44.568530000000003</v>
      </c>
      <c r="X1895">
        <v>-24.501899999999999</v>
      </c>
    </row>
    <row r="1896" spans="1:24" x14ac:dyDescent="0.35">
      <c r="A1896" s="3" t="str">
        <f t="shared" si="29"/>
        <v>MG51507150092001MAM</v>
      </c>
      <c r="B1896" t="s">
        <v>6267</v>
      </c>
      <c r="C1896">
        <f>+VLOOKUP(Sites_per_tag[[#This Row],[Field_office]],Parameter!$A$3:$B$11,2,0)</f>
        <v>9</v>
      </c>
      <c r="E1896" t="s">
        <v>5650</v>
      </c>
      <c r="F1896" t="s">
        <v>5654</v>
      </c>
      <c r="H1896" t="str">
        <f ca="1">PROPER(Sites_per_tag[[#This Row],[Adm2Name]])</f>
        <v>Ampanihy Ouest</v>
      </c>
      <c r="I1896" t="s">
        <v>5660</v>
      </c>
      <c r="K1896" t="s">
        <v>5799</v>
      </c>
      <c r="L1896" t="s">
        <v>5942</v>
      </c>
      <c r="N1896" t="s">
        <v>2885</v>
      </c>
      <c r="O1896" t="s">
        <v>4957</v>
      </c>
      <c r="Q1896" t="s">
        <v>2885</v>
      </c>
      <c r="R1896" t="s">
        <v>2886</v>
      </c>
      <c r="T1896" t="s">
        <v>5</v>
      </c>
      <c r="U1896" s="3" t="str">
        <f>+VLOOKUP(Sites_per_tag[[#This Row],[Activity_tag]],Parameter!$A$24:$B$32,2,0)</f>
        <v>MAM</v>
      </c>
      <c r="W1896">
        <v>44.573399999999999</v>
      </c>
      <c r="X1896">
        <v>-24.489380000000001</v>
      </c>
    </row>
    <row r="1897" spans="1:24" x14ac:dyDescent="0.35">
      <c r="A1897" s="3" t="str">
        <f t="shared" si="29"/>
        <v>MG51507150093001MAM</v>
      </c>
      <c r="B1897" t="s">
        <v>6267</v>
      </c>
      <c r="C1897">
        <f>+VLOOKUP(Sites_per_tag[[#This Row],[Field_office]],Parameter!$A$3:$B$11,2,0)</f>
        <v>9</v>
      </c>
      <c r="E1897" t="s">
        <v>5650</v>
      </c>
      <c r="F1897" t="s">
        <v>5654</v>
      </c>
      <c r="H1897" t="str">
        <f ca="1">PROPER(Sites_per_tag[[#This Row],[Adm2Name]])</f>
        <v>Ampanihy Ouest</v>
      </c>
      <c r="I1897" t="s">
        <v>5660</v>
      </c>
      <c r="K1897" t="s">
        <v>5799</v>
      </c>
      <c r="L1897" t="s">
        <v>5942</v>
      </c>
      <c r="N1897" t="s">
        <v>1608</v>
      </c>
      <c r="O1897" t="s">
        <v>4958</v>
      </c>
      <c r="Q1897" t="s">
        <v>1608</v>
      </c>
      <c r="R1897" t="s">
        <v>1609</v>
      </c>
      <c r="T1897" t="s">
        <v>5</v>
      </c>
      <c r="U1897" s="3" t="str">
        <f>+VLOOKUP(Sites_per_tag[[#This Row],[Activity_tag]],Parameter!$A$24:$B$32,2,0)</f>
        <v>MAM</v>
      </c>
      <c r="W1897">
        <v>44.539279999999998</v>
      </c>
      <c r="X1897">
        <v>-24.351849999999999</v>
      </c>
    </row>
    <row r="1898" spans="1:24" x14ac:dyDescent="0.35">
      <c r="A1898" s="3" t="str">
        <f t="shared" si="29"/>
        <v>MG51507150094001MAM</v>
      </c>
      <c r="B1898" t="s">
        <v>6267</v>
      </c>
      <c r="C1898">
        <f>+VLOOKUP(Sites_per_tag[[#This Row],[Field_office]],Parameter!$A$3:$B$11,2,0)</f>
        <v>9</v>
      </c>
      <c r="E1898" t="s">
        <v>5650</v>
      </c>
      <c r="F1898" t="s">
        <v>5654</v>
      </c>
      <c r="H1898" t="str">
        <f ca="1">PROPER(Sites_per_tag[[#This Row],[Adm2Name]])</f>
        <v>Ampanihy Ouest</v>
      </c>
      <c r="I1898" t="s">
        <v>5660</v>
      </c>
      <c r="K1898" t="s">
        <v>5799</v>
      </c>
      <c r="L1898" t="s">
        <v>5942</v>
      </c>
      <c r="N1898" t="s">
        <v>3086</v>
      </c>
      <c r="O1898" t="s">
        <v>4959</v>
      </c>
      <c r="Q1898" t="s">
        <v>3086</v>
      </c>
      <c r="R1898" t="s">
        <v>3088</v>
      </c>
      <c r="T1898" t="s">
        <v>5</v>
      </c>
      <c r="U1898" s="3" t="str">
        <f>+VLOOKUP(Sites_per_tag[[#This Row],[Activity_tag]],Parameter!$A$24:$B$32,2,0)</f>
        <v>MAM</v>
      </c>
      <c r="W1898">
        <v>44.503869999999999</v>
      </c>
      <c r="X1898">
        <v>-24.268630000000002</v>
      </c>
    </row>
    <row r="1899" spans="1:24" x14ac:dyDescent="0.35">
      <c r="A1899" s="3" t="str">
        <f t="shared" si="29"/>
        <v>MG51507150095001MAM</v>
      </c>
      <c r="B1899" t="s">
        <v>6267</v>
      </c>
      <c r="C1899">
        <f>+VLOOKUP(Sites_per_tag[[#This Row],[Field_office]],Parameter!$A$3:$B$11,2,0)</f>
        <v>9</v>
      </c>
      <c r="E1899" t="s">
        <v>5650</v>
      </c>
      <c r="F1899" t="s">
        <v>5654</v>
      </c>
      <c r="H1899" t="str">
        <f ca="1">PROPER(Sites_per_tag[[#This Row],[Adm2Name]])</f>
        <v>Ampanihy Ouest</v>
      </c>
      <c r="I1899" t="s">
        <v>5660</v>
      </c>
      <c r="K1899" t="s">
        <v>5799</v>
      </c>
      <c r="L1899" t="s">
        <v>5942</v>
      </c>
      <c r="N1899" t="s">
        <v>3185</v>
      </c>
      <c r="O1899" t="s">
        <v>4960</v>
      </c>
      <c r="Q1899" t="s">
        <v>3185</v>
      </c>
      <c r="R1899" t="s">
        <v>3186</v>
      </c>
      <c r="T1899" t="s">
        <v>5</v>
      </c>
      <c r="U1899" s="3" t="str">
        <f>+VLOOKUP(Sites_per_tag[[#This Row],[Activity_tag]],Parameter!$A$24:$B$32,2,0)</f>
        <v>MAM</v>
      </c>
      <c r="W1899">
        <v>44.493130000000001</v>
      </c>
      <c r="X1899">
        <v>-24.368020000000001</v>
      </c>
    </row>
    <row r="1900" spans="1:24" x14ac:dyDescent="0.35">
      <c r="A1900" s="3" t="str">
        <f t="shared" si="29"/>
        <v>MG51507150096001MAM</v>
      </c>
      <c r="B1900" t="s">
        <v>6267</v>
      </c>
      <c r="C1900">
        <f>+VLOOKUP(Sites_per_tag[[#This Row],[Field_office]],Parameter!$A$3:$B$11,2,0)</f>
        <v>9</v>
      </c>
      <c r="E1900" t="s">
        <v>5650</v>
      </c>
      <c r="F1900" t="s">
        <v>5654</v>
      </c>
      <c r="H1900" t="str">
        <f ca="1">PROPER(Sites_per_tag[[#This Row],[Adm2Name]])</f>
        <v>Ampanihy Ouest</v>
      </c>
      <c r="I1900" t="s">
        <v>5660</v>
      </c>
      <c r="K1900" t="s">
        <v>5799</v>
      </c>
      <c r="L1900" t="s">
        <v>5942</v>
      </c>
      <c r="N1900" t="s">
        <v>3210</v>
      </c>
      <c r="O1900" t="s">
        <v>4961</v>
      </c>
      <c r="Q1900" t="s">
        <v>3210</v>
      </c>
      <c r="R1900" t="s">
        <v>3212</v>
      </c>
      <c r="T1900" t="s">
        <v>5</v>
      </c>
      <c r="U1900" s="3" t="str">
        <f>+VLOOKUP(Sites_per_tag[[#This Row],[Activity_tag]],Parameter!$A$24:$B$32,2,0)</f>
        <v>MAM</v>
      </c>
      <c r="W1900">
        <v>44.50038</v>
      </c>
      <c r="X1900">
        <v>-24.395869999999999</v>
      </c>
    </row>
    <row r="1901" spans="1:24" x14ac:dyDescent="0.35">
      <c r="A1901" s="3" t="str">
        <f t="shared" si="29"/>
        <v>MG51507150097001MAM</v>
      </c>
      <c r="B1901" t="s">
        <v>6267</v>
      </c>
      <c r="C1901">
        <f>+VLOOKUP(Sites_per_tag[[#This Row],[Field_office]],Parameter!$A$3:$B$11,2,0)</f>
        <v>9</v>
      </c>
      <c r="E1901" t="s">
        <v>5650</v>
      </c>
      <c r="F1901" t="s">
        <v>5654</v>
      </c>
      <c r="H1901" t="str">
        <f ca="1">PROPER(Sites_per_tag[[#This Row],[Adm2Name]])</f>
        <v>Ampanihy Ouest</v>
      </c>
      <c r="I1901" t="s">
        <v>5660</v>
      </c>
      <c r="K1901" t="s">
        <v>5799</v>
      </c>
      <c r="L1901" t="s">
        <v>5942</v>
      </c>
      <c r="N1901" t="s">
        <v>3348</v>
      </c>
      <c r="O1901" t="s">
        <v>4962</v>
      </c>
      <c r="Q1901" t="s">
        <v>3348</v>
      </c>
      <c r="R1901" t="s">
        <v>3349</v>
      </c>
      <c r="T1901" t="s">
        <v>5</v>
      </c>
      <c r="U1901" s="3" t="str">
        <f>+VLOOKUP(Sites_per_tag[[#This Row],[Activity_tag]],Parameter!$A$24:$B$32,2,0)</f>
        <v>MAM</v>
      </c>
      <c r="W1901">
        <v>44.50705</v>
      </c>
      <c r="X1901">
        <v>-24.45655</v>
      </c>
    </row>
    <row r="1902" spans="1:24" x14ac:dyDescent="0.35">
      <c r="A1902" s="3" t="str">
        <f t="shared" si="29"/>
        <v>MG51507150098001MAM</v>
      </c>
      <c r="B1902" t="s">
        <v>6267</v>
      </c>
      <c r="C1902">
        <f>+VLOOKUP(Sites_per_tag[[#This Row],[Field_office]],Parameter!$A$3:$B$11,2,0)</f>
        <v>9</v>
      </c>
      <c r="E1902" t="s">
        <v>5650</v>
      </c>
      <c r="F1902" t="s">
        <v>5654</v>
      </c>
      <c r="H1902" t="str">
        <f ca="1">PROPER(Sites_per_tag[[#This Row],[Adm2Name]])</f>
        <v>Ampanihy Ouest</v>
      </c>
      <c r="I1902" t="s">
        <v>5660</v>
      </c>
      <c r="K1902" t="s">
        <v>5799</v>
      </c>
      <c r="L1902" t="s">
        <v>5942</v>
      </c>
      <c r="N1902" t="s">
        <v>3451</v>
      </c>
      <c r="O1902" t="s">
        <v>4963</v>
      </c>
      <c r="Q1902" t="s">
        <v>3451</v>
      </c>
      <c r="R1902" t="s">
        <v>3452</v>
      </c>
      <c r="T1902" t="s">
        <v>5</v>
      </c>
      <c r="U1902" s="3" t="str">
        <f>+VLOOKUP(Sites_per_tag[[#This Row],[Activity_tag]],Parameter!$A$24:$B$32,2,0)</f>
        <v>MAM</v>
      </c>
      <c r="W1902">
        <v>44.311950000000003</v>
      </c>
      <c r="X1902">
        <v>-24.28557</v>
      </c>
    </row>
    <row r="1903" spans="1:24" x14ac:dyDescent="0.35">
      <c r="A1903" s="3" t="str">
        <f t="shared" si="29"/>
        <v>MG51507150099001MAM</v>
      </c>
      <c r="B1903" t="s">
        <v>6267</v>
      </c>
      <c r="C1903">
        <f>+VLOOKUP(Sites_per_tag[[#This Row],[Field_office]],Parameter!$A$3:$B$11,2,0)</f>
        <v>9</v>
      </c>
      <c r="E1903" t="s">
        <v>5650</v>
      </c>
      <c r="F1903" t="s">
        <v>5654</v>
      </c>
      <c r="H1903" t="str">
        <f ca="1">PROPER(Sites_per_tag[[#This Row],[Adm2Name]])</f>
        <v>Ampanihy Ouest</v>
      </c>
      <c r="I1903" t="s">
        <v>5660</v>
      </c>
      <c r="K1903" t="s">
        <v>5799</v>
      </c>
      <c r="L1903" t="s">
        <v>5942</v>
      </c>
      <c r="N1903" t="s">
        <v>3587</v>
      </c>
      <c r="O1903" t="s">
        <v>4964</v>
      </c>
      <c r="Q1903" t="s">
        <v>3608</v>
      </c>
      <c r="R1903" t="s">
        <v>3609</v>
      </c>
      <c r="T1903" t="s">
        <v>5</v>
      </c>
      <c r="U1903" s="3" t="str">
        <f>+VLOOKUP(Sites_per_tag[[#This Row],[Activity_tag]],Parameter!$A$24:$B$32,2,0)</f>
        <v>MAM</v>
      </c>
      <c r="W1903">
        <v>44.515529999999998</v>
      </c>
      <c r="X1903">
        <v>-24.35528</v>
      </c>
    </row>
    <row r="1904" spans="1:24" x14ac:dyDescent="0.35">
      <c r="A1904" s="3" t="str">
        <f t="shared" si="29"/>
        <v>MG51507150112001MAM</v>
      </c>
      <c r="B1904" t="s">
        <v>6267</v>
      </c>
      <c r="C1904">
        <f>+VLOOKUP(Sites_per_tag[[#This Row],[Field_office]],Parameter!$A$3:$B$11,2,0)</f>
        <v>9</v>
      </c>
      <c r="E1904" t="s">
        <v>5650</v>
      </c>
      <c r="F1904" t="s">
        <v>5654</v>
      </c>
      <c r="H1904" t="str">
        <f ca="1">PROPER(Sites_per_tag[[#This Row],[Adm2Name]])</f>
        <v>Ampanihy Ouest</v>
      </c>
      <c r="I1904" t="s">
        <v>5660</v>
      </c>
      <c r="K1904" t="s">
        <v>5799</v>
      </c>
      <c r="L1904" t="s">
        <v>5942</v>
      </c>
      <c r="N1904" t="s">
        <v>3801</v>
      </c>
      <c r="O1904" t="s">
        <v>4965</v>
      </c>
      <c r="Q1904" t="s">
        <v>3801</v>
      </c>
      <c r="R1904" t="s">
        <v>3802</v>
      </c>
      <c r="T1904" t="s">
        <v>5</v>
      </c>
      <c r="U1904" s="3" t="str">
        <f>+VLOOKUP(Sites_per_tag[[#This Row],[Activity_tag]],Parameter!$A$24:$B$32,2,0)</f>
        <v>MAM</v>
      </c>
      <c r="W1904">
        <v>44.437220000000003</v>
      </c>
      <c r="X1904">
        <v>-24.37003</v>
      </c>
    </row>
    <row r="1905" spans="1:24" x14ac:dyDescent="0.35">
      <c r="A1905" s="3" t="str">
        <f t="shared" si="29"/>
        <v>MG51507150128001MAM</v>
      </c>
      <c r="B1905" t="s">
        <v>6267</v>
      </c>
      <c r="C1905">
        <f>+VLOOKUP(Sites_per_tag[[#This Row],[Field_office]],Parameter!$A$3:$B$11,2,0)</f>
        <v>9</v>
      </c>
      <c r="E1905" t="s">
        <v>5650</v>
      </c>
      <c r="F1905" t="s">
        <v>5654</v>
      </c>
      <c r="H1905" t="str">
        <f ca="1">PROPER(Sites_per_tag[[#This Row],[Adm2Name]])</f>
        <v>Ampanihy Ouest</v>
      </c>
      <c r="I1905" t="s">
        <v>5660</v>
      </c>
      <c r="K1905" t="s">
        <v>5799</v>
      </c>
      <c r="L1905" t="s">
        <v>5942</v>
      </c>
      <c r="N1905" t="s">
        <v>3840</v>
      </c>
      <c r="O1905" t="s">
        <v>4966</v>
      </c>
      <c r="Q1905" t="s">
        <v>3840</v>
      </c>
      <c r="R1905" t="s">
        <v>3841</v>
      </c>
      <c r="T1905" t="s">
        <v>5</v>
      </c>
      <c r="U1905" s="3" t="str">
        <f>+VLOOKUP(Sites_per_tag[[#This Row],[Activity_tag]],Parameter!$A$24:$B$32,2,0)</f>
        <v>MAM</v>
      </c>
      <c r="W1905">
        <v>44.521329999999999</v>
      </c>
      <c r="X1905">
        <v>-24.219529999999999</v>
      </c>
    </row>
    <row r="1906" spans="1:24" x14ac:dyDescent="0.35">
      <c r="A1906" s="3" t="str">
        <f t="shared" si="29"/>
        <v>MG51507150129001MAM</v>
      </c>
      <c r="B1906" t="s">
        <v>6267</v>
      </c>
      <c r="C1906">
        <f>+VLOOKUP(Sites_per_tag[[#This Row],[Field_office]],Parameter!$A$3:$B$11,2,0)</f>
        <v>9</v>
      </c>
      <c r="E1906" t="s">
        <v>5650</v>
      </c>
      <c r="F1906" t="s">
        <v>5654</v>
      </c>
      <c r="H1906" t="str">
        <f ca="1">PROPER(Sites_per_tag[[#This Row],[Adm2Name]])</f>
        <v>Ampanihy Ouest</v>
      </c>
      <c r="I1906" t="s">
        <v>5660</v>
      </c>
      <c r="K1906" t="s">
        <v>5799</v>
      </c>
      <c r="L1906" t="s">
        <v>5942</v>
      </c>
      <c r="N1906" t="s">
        <v>3773</v>
      </c>
      <c r="O1906" t="s">
        <v>4967</v>
      </c>
      <c r="Q1906" t="s">
        <v>3773</v>
      </c>
      <c r="R1906" t="s">
        <v>3774</v>
      </c>
      <c r="T1906" t="s">
        <v>5</v>
      </c>
      <c r="U1906" s="3" t="str">
        <f>+VLOOKUP(Sites_per_tag[[#This Row],[Activity_tag]],Parameter!$A$24:$B$32,2,0)</f>
        <v>MAM</v>
      </c>
      <c r="W1906">
        <v>44.561250000000001</v>
      </c>
      <c r="X1906">
        <v>-24.111319999999999</v>
      </c>
    </row>
    <row r="1907" spans="1:24" x14ac:dyDescent="0.35">
      <c r="A1907" s="3" t="str">
        <f t="shared" si="29"/>
        <v>MG51507170001001MAM</v>
      </c>
      <c r="B1907" t="s">
        <v>6267</v>
      </c>
      <c r="C1907">
        <f>+VLOOKUP(Sites_per_tag[[#This Row],[Field_office]],Parameter!$A$3:$B$11,2,0)</f>
        <v>9</v>
      </c>
      <c r="E1907" t="s">
        <v>5650</v>
      </c>
      <c r="F1907" t="s">
        <v>5654</v>
      </c>
      <c r="H1907" t="str">
        <f ca="1">PROPER(Sites_per_tag[[#This Row],[Adm2Name]])</f>
        <v>Ampanihy Ouest</v>
      </c>
      <c r="I1907" t="s">
        <v>5660</v>
      </c>
      <c r="K1907" t="s">
        <v>457</v>
      </c>
      <c r="L1907" t="s">
        <v>5748</v>
      </c>
      <c r="N1907" t="s">
        <v>1872</v>
      </c>
      <c r="O1907" t="s">
        <v>4425</v>
      </c>
      <c r="Q1907" t="s">
        <v>1831</v>
      </c>
      <c r="R1907" t="s">
        <v>1832</v>
      </c>
      <c r="T1907" t="s">
        <v>5</v>
      </c>
      <c r="U1907" s="3" t="str">
        <f>+VLOOKUP(Sites_per_tag[[#This Row],[Activity_tag]],Parameter!$A$24:$B$32,2,0)</f>
        <v>MAM</v>
      </c>
      <c r="W1907">
        <v>44.923999999999999</v>
      </c>
      <c r="X1907">
        <v>-24.357119999999998</v>
      </c>
    </row>
    <row r="1908" spans="1:24" x14ac:dyDescent="0.35">
      <c r="A1908" s="3" t="str">
        <f t="shared" si="29"/>
        <v>MG51507170005001MAM</v>
      </c>
      <c r="B1908" t="s">
        <v>6267</v>
      </c>
      <c r="C1908">
        <f>+VLOOKUP(Sites_per_tag[[#This Row],[Field_office]],Parameter!$A$3:$B$11,2,0)</f>
        <v>9</v>
      </c>
      <c r="E1908" t="s">
        <v>5650</v>
      </c>
      <c r="F1908" t="s">
        <v>5654</v>
      </c>
      <c r="H1908" t="str">
        <f ca="1">PROPER(Sites_per_tag[[#This Row],[Adm2Name]])</f>
        <v>Ampanihy Ouest</v>
      </c>
      <c r="I1908" t="s">
        <v>5660</v>
      </c>
      <c r="K1908" t="s">
        <v>1872</v>
      </c>
      <c r="L1908" t="s">
        <v>5902</v>
      </c>
      <c r="N1908" t="s">
        <v>694</v>
      </c>
      <c r="O1908" t="s">
        <v>4792</v>
      </c>
      <c r="Q1908" t="s">
        <v>696</v>
      </c>
      <c r="R1908" t="s">
        <v>697</v>
      </c>
      <c r="T1908" t="s">
        <v>5</v>
      </c>
      <c r="U1908" s="3" t="str">
        <f>+VLOOKUP(Sites_per_tag[[#This Row],[Activity_tag]],Parameter!$A$24:$B$32,2,0)</f>
        <v>MAM</v>
      </c>
      <c r="W1908">
        <v>44.581173999999997</v>
      </c>
      <c r="X1908">
        <v>-24.273769000000001</v>
      </c>
    </row>
    <row r="1909" spans="1:24" x14ac:dyDescent="0.35">
      <c r="A1909" s="3" t="str">
        <f t="shared" si="29"/>
        <v>MG51507170009001MAM</v>
      </c>
      <c r="B1909" t="s">
        <v>6267</v>
      </c>
      <c r="C1909">
        <f>+VLOOKUP(Sites_per_tag[[#This Row],[Field_office]],Parameter!$A$3:$B$11,2,0)</f>
        <v>9</v>
      </c>
      <c r="E1909" t="s">
        <v>5650</v>
      </c>
      <c r="F1909" t="s">
        <v>5654</v>
      </c>
      <c r="H1909" t="str">
        <f ca="1">PROPER(Sites_per_tag[[#This Row],[Adm2Name]])</f>
        <v>Ampanihy Ouest</v>
      </c>
      <c r="I1909" t="s">
        <v>5660</v>
      </c>
      <c r="K1909" t="s">
        <v>1872</v>
      </c>
      <c r="L1909" t="s">
        <v>5902</v>
      </c>
      <c r="N1909" t="s">
        <v>1316</v>
      </c>
      <c r="O1909" t="s">
        <v>4793</v>
      </c>
      <c r="Q1909" t="s">
        <v>1320</v>
      </c>
      <c r="R1909" t="s">
        <v>1321</v>
      </c>
      <c r="T1909" t="s">
        <v>5</v>
      </c>
      <c r="U1909" s="3" t="str">
        <f>+VLOOKUP(Sites_per_tag[[#This Row],[Activity_tag]],Parameter!$A$24:$B$32,2,0)</f>
        <v>MAM</v>
      </c>
      <c r="W1909">
        <v>44.676997</v>
      </c>
      <c r="X1909">
        <v>-24.236944000000001</v>
      </c>
    </row>
    <row r="1910" spans="1:24" x14ac:dyDescent="0.35">
      <c r="A1910" s="3" t="str">
        <f t="shared" si="29"/>
        <v>MG51507170070001MAM</v>
      </c>
      <c r="B1910" t="s">
        <v>6267</v>
      </c>
      <c r="C1910">
        <f>+VLOOKUP(Sites_per_tag[[#This Row],[Field_office]],Parameter!$A$3:$B$11,2,0)</f>
        <v>9</v>
      </c>
      <c r="E1910" t="s">
        <v>5650</v>
      </c>
      <c r="F1910" t="s">
        <v>5654</v>
      </c>
      <c r="H1910" t="str">
        <f ca="1">PROPER(Sites_per_tag[[#This Row],[Adm2Name]])</f>
        <v>Ampanihy Ouest</v>
      </c>
      <c r="I1910" t="s">
        <v>5660</v>
      </c>
      <c r="K1910" t="s">
        <v>1872</v>
      </c>
      <c r="L1910" t="s">
        <v>5902</v>
      </c>
      <c r="N1910" t="s">
        <v>1874</v>
      </c>
      <c r="O1910" t="s">
        <v>4794</v>
      </c>
      <c r="Q1910" t="s">
        <v>1874</v>
      </c>
      <c r="R1910" t="s">
        <v>1875</v>
      </c>
      <c r="T1910" t="s">
        <v>5</v>
      </c>
      <c r="U1910" s="3" t="str">
        <f>+VLOOKUP(Sites_per_tag[[#This Row],[Activity_tag]],Parameter!$A$24:$B$32,2,0)</f>
        <v>MAM</v>
      </c>
      <c r="W1910">
        <v>44.62782</v>
      </c>
      <c r="X1910">
        <v>-24.292870000000001</v>
      </c>
    </row>
    <row r="1911" spans="1:24" x14ac:dyDescent="0.35">
      <c r="A1911" s="3" t="str">
        <f t="shared" si="29"/>
        <v>MG51507170071001MAM</v>
      </c>
      <c r="B1911" t="s">
        <v>6267</v>
      </c>
      <c r="C1911">
        <f>+VLOOKUP(Sites_per_tag[[#This Row],[Field_office]],Parameter!$A$3:$B$11,2,0)</f>
        <v>9</v>
      </c>
      <c r="E1911" t="s">
        <v>5650</v>
      </c>
      <c r="F1911" t="s">
        <v>5654</v>
      </c>
      <c r="H1911" t="str">
        <f ca="1">PROPER(Sites_per_tag[[#This Row],[Adm2Name]])</f>
        <v>Ampanihy Ouest</v>
      </c>
      <c r="I1911" t="s">
        <v>5660</v>
      </c>
      <c r="K1911" t="s">
        <v>1872</v>
      </c>
      <c r="L1911" t="s">
        <v>5902</v>
      </c>
      <c r="N1911" t="s">
        <v>1931</v>
      </c>
      <c r="O1911" t="s">
        <v>4795</v>
      </c>
      <c r="Q1911" t="s">
        <v>1931</v>
      </c>
      <c r="R1911" t="s">
        <v>1932</v>
      </c>
      <c r="T1911" t="s">
        <v>5</v>
      </c>
      <c r="U1911" s="3" t="str">
        <f>+VLOOKUP(Sites_per_tag[[#This Row],[Activity_tag]],Parameter!$A$24:$B$32,2,0)</f>
        <v>MAM</v>
      </c>
      <c r="W1911">
        <v>44.596420000000002</v>
      </c>
      <c r="X1911">
        <v>-24.160820000000001</v>
      </c>
    </row>
    <row r="1912" spans="1:24" x14ac:dyDescent="0.35">
      <c r="A1912" s="3" t="str">
        <f t="shared" si="29"/>
        <v>MG51507170081001MAM</v>
      </c>
      <c r="B1912" t="s">
        <v>6267</v>
      </c>
      <c r="C1912">
        <f>+VLOOKUP(Sites_per_tag[[#This Row],[Field_office]],Parameter!$A$3:$B$11,2,0)</f>
        <v>9</v>
      </c>
      <c r="E1912" t="s">
        <v>5650</v>
      </c>
      <c r="F1912" t="s">
        <v>5654</v>
      </c>
      <c r="H1912" t="str">
        <f ca="1">PROPER(Sites_per_tag[[#This Row],[Adm2Name]])</f>
        <v>Ampanihy Ouest</v>
      </c>
      <c r="I1912" t="s">
        <v>5660</v>
      </c>
      <c r="K1912" t="s">
        <v>1872</v>
      </c>
      <c r="L1912" t="s">
        <v>5902</v>
      </c>
      <c r="N1912" t="s">
        <v>3732</v>
      </c>
      <c r="O1912" t="s">
        <v>4796</v>
      </c>
      <c r="Q1912" t="s">
        <v>3732</v>
      </c>
      <c r="R1912" t="s">
        <v>3733</v>
      </c>
      <c r="T1912" t="s">
        <v>5</v>
      </c>
      <c r="U1912" s="3" t="str">
        <f>+VLOOKUP(Sites_per_tag[[#This Row],[Activity_tag]],Parameter!$A$24:$B$32,2,0)</f>
        <v>MAM</v>
      </c>
      <c r="W1912">
        <v>44.651269999999997</v>
      </c>
      <c r="X1912">
        <v>-24.2395</v>
      </c>
    </row>
    <row r="1913" spans="1:24" x14ac:dyDescent="0.35">
      <c r="A1913" s="3" t="str">
        <f t="shared" si="29"/>
        <v>MG51507170082001MAM</v>
      </c>
      <c r="B1913" t="s">
        <v>6267</v>
      </c>
      <c r="C1913">
        <f>+VLOOKUP(Sites_per_tag[[#This Row],[Field_office]],Parameter!$A$3:$B$11,2,0)</f>
        <v>9</v>
      </c>
      <c r="E1913" t="s">
        <v>5650</v>
      </c>
      <c r="F1913" t="s">
        <v>5654</v>
      </c>
      <c r="H1913" t="str">
        <f ca="1">PROPER(Sites_per_tag[[#This Row],[Adm2Name]])</f>
        <v>Ampanihy Ouest</v>
      </c>
      <c r="I1913" t="s">
        <v>5660</v>
      </c>
      <c r="K1913" t="s">
        <v>1872</v>
      </c>
      <c r="L1913" t="s">
        <v>5902</v>
      </c>
      <c r="N1913" t="s">
        <v>3871</v>
      </c>
      <c r="O1913" t="s">
        <v>4797</v>
      </c>
      <c r="Q1913" t="s">
        <v>3871</v>
      </c>
      <c r="R1913" t="s">
        <v>3872</v>
      </c>
      <c r="T1913" t="s">
        <v>5</v>
      </c>
      <c r="U1913" s="3" t="str">
        <f>+VLOOKUP(Sites_per_tag[[#This Row],[Activity_tag]],Parameter!$A$24:$B$32,2,0)</f>
        <v>MAM</v>
      </c>
      <c r="W1913">
        <v>44.644950000000001</v>
      </c>
      <c r="X1913">
        <v>-24.394629999999999</v>
      </c>
    </row>
    <row r="1914" spans="1:24" x14ac:dyDescent="0.35">
      <c r="A1914" s="3" t="str">
        <f t="shared" si="29"/>
        <v>MG51507170083001MAM</v>
      </c>
      <c r="B1914" t="s">
        <v>6267</v>
      </c>
      <c r="C1914">
        <f>+VLOOKUP(Sites_per_tag[[#This Row],[Field_office]],Parameter!$A$3:$B$11,2,0)</f>
        <v>9</v>
      </c>
      <c r="E1914" t="s">
        <v>5650</v>
      </c>
      <c r="F1914" t="s">
        <v>5654</v>
      </c>
      <c r="H1914" t="str">
        <f ca="1">PROPER(Sites_per_tag[[#This Row],[Adm2Name]])</f>
        <v>Ampanihy Ouest</v>
      </c>
      <c r="I1914" t="s">
        <v>5660</v>
      </c>
      <c r="K1914" t="s">
        <v>1872</v>
      </c>
      <c r="L1914" t="s">
        <v>5902</v>
      </c>
      <c r="N1914" t="s">
        <v>3873</v>
      </c>
      <c r="O1914" t="s">
        <v>4798</v>
      </c>
      <c r="Q1914" t="s">
        <v>3873</v>
      </c>
      <c r="R1914" t="s">
        <v>3874</v>
      </c>
      <c r="T1914" t="s">
        <v>5</v>
      </c>
      <c r="U1914" s="3" t="str">
        <f>+VLOOKUP(Sites_per_tag[[#This Row],[Activity_tag]],Parameter!$A$24:$B$32,2,0)</f>
        <v>MAM</v>
      </c>
      <c r="W1914">
        <v>44.621020000000001</v>
      </c>
      <c r="X1914">
        <v>-24.369869999999999</v>
      </c>
    </row>
    <row r="1915" spans="1:24" x14ac:dyDescent="0.35">
      <c r="A1915" s="3" t="str">
        <f t="shared" si="29"/>
        <v>MG51507190008001MAM</v>
      </c>
      <c r="B1915" t="s">
        <v>6267</v>
      </c>
      <c r="C1915">
        <f>+VLOOKUP(Sites_per_tag[[#This Row],[Field_office]],Parameter!$A$3:$B$11,2,0)</f>
        <v>9</v>
      </c>
      <c r="E1915" t="s">
        <v>5650</v>
      </c>
      <c r="F1915" t="s">
        <v>5654</v>
      </c>
      <c r="H1915" t="str">
        <f ca="1">PROPER(Sites_per_tag[[#This Row],[Adm2Name]])</f>
        <v>Ampanihy Ouest</v>
      </c>
      <c r="I1915" t="s">
        <v>5660</v>
      </c>
      <c r="K1915" t="s">
        <v>1349</v>
      </c>
      <c r="L1915" t="s">
        <v>5842</v>
      </c>
      <c r="N1915" t="s">
        <v>4683</v>
      </c>
      <c r="O1915" t="s">
        <v>4682</v>
      </c>
      <c r="Q1915" t="s">
        <v>40</v>
      </c>
      <c r="R1915" t="s">
        <v>41</v>
      </c>
      <c r="T1915" t="s">
        <v>5</v>
      </c>
      <c r="U1915" s="3" t="str">
        <f>+VLOOKUP(Sites_per_tag[[#This Row],[Activity_tag]],Parameter!$A$24:$B$32,2,0)</f>
        <v>MAM</v>
      </c>
      <c r="W1915">
        <v>45.035209999999999</v>
      </c>
      <c r="X1915">
        <v>-24.450281</v>
      </c>
    </row>
    <row r="1916" spans="1:24" x14ac:dyDescent="0.35">
      <c r="A1916" s="3" t="str">
        <f t="shared" si="29"/>
        <v>MG51507210003001MAM</v>
      </c>
      <c r="B1916" t="s">
        <v>6267</v>
      </c>
      <c r="C1916">
        <f>+VLOOKUP(Sites_per_tag[[#This Row],[Field_office]],Parameter!$A$3:$B$11,2,0)</f>
        <v>9</v>
      </c>
      <c r="E1916" t="s">
        <v>5650</v>
      </c>
      <c r="F1916" t="s">
        <v>5654</v>
      </c>
      <c r="H1916" t="str">
        <f ca="1">PROPER(Sites_per_tag[[#This Row],[Adm2Name]])</f>
        <v>Ampanihy Ouest</v>
      </c>
      <c r="I1916" t="s">
        <v>5660</v>
      </c>
      <c r="K1916" t="s">
        <v>5607</v>
      </c>
      <c r="L1916" t="s">
        <v>5760</v>
      </c>
      <c r="N1916" t="s">
        <v>4494</v>
      </c>
      <c r="O1916" t="s">
        <v>4493</v>
      </c>
      <c r="Q1916" t="s">
        <v>2124</v>
      </c>
      <c r="R1916" t="s">
        <v>2125</v>
      </c>
      <c r="T1916" t="s">
        <v>5</v>
      </c>
      <c r="U1916" s="3" t="str">
        <f>+VLOOKUP(Sites_per_tag[[#This Row],[Activity_tag]],Parameter!$A$24:$B$32,2,0)</f>
        <v>MAM</v>
      </c>
      <c r="W1916">
        <v>44.807070000000003</v>
      </c>
      <c r="X1916">
        <v>-24.18843</v>
      </c>
    </row>
    <row r="1917" spans="1:24" x14ac:dyDescent="0.35">
      <c r="A1917" s="3" t="str">
        <f t="shared" si="29"/>
        <v>MG51507210009001MAM</v>
      </c>
      <c r="B1917" t="s">
        <v>6267</v>
      </c>
      <c r="C1917">
        <f>+VLOOKUP(Sites_per_tag[[#This Row],[Field_office]],Parameter!$A$3:$B$11,2,0)</f>
        <v>9</v>
      </c>
      <c r="E1917" t="s">
        <v>5650</v>
      </c>
      <c r="F1917" t="s">
        <v>5654</v>
      </c>
      <c r="H1917" t="str">
        <f ca="1">PROPER(Sites_per_tag[[#This Row],[Adm2Name]])</f>
        <v>Ampanihy Ouest</v>
      </c>
      <c r="I1917" t="s">
        <v>5660</v>
      </c>
      <c r="K1917" t="s">
        <v>5885</v>
      </c>
      <c r="L1917" t="s">
        <v>5962</v>
      </c>
      <c r="N1917" t="s">
        <v>1316</v>
      </c>
      <c r="O1917" t="s">
        <v>5001</v>
      </c>
      <c r="Q1917" t="s">
        <v>1324</v>
      </c>
      <c r="R1917" t="s">
        <v>1325</v>
      </c>
      <c r="T1917" t="s">
        <v>5</v>
      </c>
      <c r="U1917" s="3" t="str">
        <f>+VLOOKUP(Sites_per_tag[[#This Row],[Activity_tag]],Parameter!$A$24:$B$32,2,0)</f>
        <v>MAM</v>
      </c>
      <c r="W1917">
        <v>44.814529999999998</v>
      </c>
      <c r="X1917">
        <v>-24.255980000000001</v>
      </c>
    </row>
    <row r="1918" spans="1:24" x14ac:dyDescent="0.35">
      <c r="A1918" s="3" t="str">
        <f t="shared" si="29"/>
        <v>MG51507210010001MAM</v>
      </c>
      <c r="B1918" t="s">
        <v>6267</v>
      </c>
      <c r="C1918">
        <f>+VLOOKUP(Sites_per_tag[[#This Row],[Field_office]],Parameter!$A$3:$B$11,2,0)</f>
        <v>9</v>
      </c>
      <c r="E1918" t="s">
        <v>5650</v>
      </c>
      <c r="F1918" t="s">
        <v>5654</v>
      </c>
      <c r="H1918" t="str">
        <f ca="1">PROPER(Sites_per_tag[[#This Row],[Adm2Name]])</f>
        <v>Ampanihy Ouest</v>
      </c>
      <c r="I1918" t="s">
        <v>5660</v>
      </c>
      <c r="K1918" t="s">
        <v>1872</v>
      </c>
      <c r="L1918" t="s">
        <v>5902</v>
      </c>
      <c r="N1918" t="s">
        <v>1662</v>
      </c>
      <c r="O1918" t="s">
        <v>4799</v>
      </c>
      <c r="Q1918" t="s">
        <v>1662</v>
      </c>
      <c r="R1918" t="s">
        <v>1663</v>
      </c>
      <c r="T1918" t="s">
        <v>5</v>
      </c>
      <c r="U1918" s="3" t="str">
        <f>+VLOOKUP(Sites_per_tag[[#This Row],[Activity_tag]],Parameter!$A$24:$B$32,2,0)</f>
        <v>MAM</v>
      </c>
      <c r="W1918">
        <v>44.709099999999999</v>
      </c>
      <c r="X1918">
        <v>-24.244869999999999</v>
      </c>
    </row>
    <row r="1919" spans="1:24" x14ac:dyDescent="0.35">
      <c r="A1919" s="3" t="str">
        <f t="shared" si="29"/>
        <v>MG51507210016001MAM</v>
      </c>
      <c r="B1919" t="s">
        <v>6267</v>
      </c>
      <c r="C1919">
        <f>+VLOOKUP(Sites_per_tag[[#This Row],[Field_office]],Parameter!$A$3:$B$11,2,0)</f>
        <v>9</v>
      </c>
      <c r="E1919" t="s">
        <v>5650</v>
      </c>
      <c r="F1919" t="s">
        <v>5654</v>
      </c>
      <c r="H1919" t="str">
        <f ca="1">PROPER(Sites_per_tag[[#This Row],[Adm2Name]])</f>
        <v>Ampanihy Ouest</v>
      </c>
      <c r="I1919" t="s">
        <v>5660</v>
      </c>
      <c r="K1919" t="s">
        <v>5885</v>
      </c>
      <c r="L1919" t="s">
        <v>5962</v>
      </c>
      <c r="N1919" t="s">
        <v>2507</v>
      </c>
      <c r="O1919" t="s">
        <v>5002</v>
      </c>
      <c r="Q1919" t="s">
        <v>2507</v>
      </c>
      <c r="R1919" t="s">
        <v>2508</v>
      </c>
      <c r="T1919" t="s">
        <v>5</v>
      </c>
      <c r="U1919" s="3" t="str">
        <f>+VLOOKUP(Sites_per_tag[[#This Row],[Activity_tag]],Parameter!$A$24:$B$32,2,0)</f>
        <v>MAM</v>
      </c>
      <c r="W1919">
        <v>44.806319999999999</v>
      </c>
      <c r="X1919">
        <v>-24.282</v>
      </c>
    </row>
    <row r="1920" spans="1:24" x14ac:dyDescent="0.35">
      <c r="A1920" s="3" t="str">
        <f t="shared" si="29"/>
        <v>MG51507210057001MAM</v>
      </c>
      <c r="B1920" t="s">
        <v>6267</v>
      </c>
      <c r="C1920">
        <f>+VLOOKUP(Sites_per_tag[[#This Row],[Field_office]],Parameter!$A$3:$B$11,2,0)</f>
        <v>9</v>
      </c>
      <c r="E1920" t="s">
        <v>5650</v>
      </c>
      <c r="F1920" t="s">
        <v>5654</v>
      </c>
      <c r="H1920" t="str">
        <f ca="1">PROPER(Sites_per_tag[[#This Row],[Adm2Name]])</f>
        <v>Ampanihy Ouest</v>
      </c>
      <c r="I1920" t="s">
        <v>5660</v>
      </c>
      <c r="K1920" t="s">
        <v>5885</v>
      </c>
      <c r="L1920" t="s">
        <v>5962</v>
      </c>
      <c r="N1920" t="s">
        <v>1743</v>
      </c>
      <c r="O1920" t="s">
        <v>5003</v>
      </c>
      <c r="Q1920" t="s">
        <v>1745</v>
      </c>
      <c r="R1920" t="s">
        <v>1746</v>
      </c>
      <c r="T1920" t="s">
        <v>5</v>
      </c>
      <c r="U1920" s="3" t="str">
        <f>+VLOOKUP(Sites_per_tag[[#This Row],[Activity_tag]],Parameter!$A$24:$B$32,2,0)</f>
        <v>MAM</v>
      </c>
      <c r="W1920">
        <v>44.789186000000001</v>
      </c>
      <c r="X1920">
        <v>-24.246435000000002</v>
      </c>
    </row>
    <row r="1921" spans="1:24" x14ac:dyDescent="0.35">
      <c r="A1921" s="3" t="str">
        <f t="shared" si="29"/>
        <v>MG51507210081001MAM</v>
      </c>
      <c r="B1921" t="s">
        <v>6267</v>
      </c>
      <c r="C1921">
        <f>+VLOOKUP(Sites_per_tag[[#This Row],[Field_office]],Parameter!$A$3:$B$11,2,0)</f>
        <v>9</v>
      </c>
      <c r="E1921" t="s">
        <v>5650</v>
      </c>
      <c r="F1921" t="s">
        <v>5654</v>
      </c>
      <c r="H1921" t="str">
        <f ca="1">PROPER(Sites_per_tag[[#This Row],[Adm2Name]])</f>
        <v>Ampanihy Ouest</v>
      </c>
      <c r="I1921" t="s">
        <v>5660</v>
      </c>
      <c r="K1921" t="s">
        <v>5885</v>
      </c>
      <c r="L1921" t="s">
        <v>5962</v>
      </c>
      <c r="N1921" t="s">
        <v>351</v>
      </c>
      <c r="O1921" t="s">
        <v>5004</v>
      </c>
      <c r="Q1921" t="s">
        <v>351</v>
      </c>
      <c r="R1921" t="s">
        <v>352</v>
      </c>
      <c r="T1921" t="s">
        <v>5</v>
      </c>
      <c r="U1921" s="3" t="str">
        <f>+VLOOKUP(Sites_per_tag[[#This Row],[Activity_tag]],Parameter!$A$24:$B$32,2,0)</f>
        <v>MAM</v>
      </c>
      <c r="W1921">
        <v>44.693950000000001</v>
      </c>
      <c r="X1921">
        <v>-24.466280000000001</v>
      </c>
    </row>
    <row r="1922" spans="1:24" x14ac:dyDescent="0.35">
      <c r="A1922" s="3" t="str">
        <f t="shared" si="29"/>
        <v>MG51507210082001MAM</v>
      </c>
      <c r="B1922" t="s">
        <v>6267</v>
      </c>
      <c r="C1922">
        <f>+VLOOKUP(Sites_per_tag[[#This Row],[Field_office]],Parameter!$A$3:$B$11,2,0)</f>
        <v>9</v>
      </c>
      <c r="E1922" t="s">
        <v>5650</v>
      </c>
      <c r="F1922" t="s">
        <v>5654</v>
      </c>
      <c r="H1922" t="str">
        <f ca="1">PROPER(Sites_per_tag[[#This Row],[Adm2Name]])</f>
        <v>Ampanihy Ouest</v>
      </c>
      <c r="I1922" t="s">
        <v>5660</v>
      </c>
      <c r="K1922" t="s">
        <v>5885</v>
      </c>
      <c r="L1922" t="s">
        <v>5962</v>
      </c>
      <c r="N1922" t="s">
        <v>665</v>
      </c>
      <c r="O1922" t="s">
        <v>5005</v>
      </c>
      <c r="Q1922" t="s">
        <v>665</v>
      </c>
      <c r="R1922" t="s">
        <v>666</v>
      </c>
      <c r="T1922" t="s">
        <v>5</v>
      </c>
      <c r="U1922" s="3" t="str">
        <f>+VLOOKUP(Sites_per_tag[[#This Row],[Activity_tag]],Parameter!$A$24:$B$32,2,0)</f>
        <v>MAM</v>
      </c>
      <c r="W1922">
        <v>44.708849999999998</v>
      </c>
      <c r="X1922">
        <v>-24.27825</v>
      </c>
    </row>
    <row r="1923" spans="1:24" x14ac:dyDescent="0.35">
      <c r="A1923" s="3" t="str">
        <f t="shared" ref="A1923:A1986" si="30">+R1923&amp;U1923</f>
        <v>MG51507210083001MAM</v>
      </c>
      <c r="B1923" t="s">
        <v>6267</v>
      </c>
      <c r="C1923">
        <f>+VLOOKUP(Sites_per_tag[[#This Row],[Field_office]],Parameter!$A$3:$B$11,2,0)</f>
        <v>9</v>
      </c>
      <c r="E1923" t="s">
        <v>5650</v>
      </c>
      <c r="F1923" t="s">
        <v>5654</v>
      </c>
      <c r="H1923" t="str">
        <f ca="1">PROPER(Sites_per_tag[[#This Row],[Adm2Name]])</f>
        <v>Ampanihy Ouest</v>
      </c>
      <c r="I1923" t="s">
        <v>5660</v>
      </c>
      <c r="K1923" t="s">
        <v>5885</v>
      </c>
      <c r="L1923" t="s">
        <v>5962</v>
      </c>
      <c r="N1923" t="s">
        <v>1656</v>
      </c>
      <c r="O1923" t="s">
        <v>5006</v>
      </c>
      <c r="Q1923" t="s">
        <v>1656</v>
      </c>
      <c r="R1923" t="s">
        <v>1657</v>
      </c>
      <c r="T1923" t="s">
        <v>5</v>
      </c>
      <c r="U1923" s="3" t="str">
        <f>+VLOOKUP(Sites_per_tag[[#This Row],[Activity_tag]],Parameter!$A$24:$B$32,2,0)</f>
        <v>MAM</v>
      </c>
      <c r="W1923">
        <v>44.709099999999999</v>
      </c>
      <c r="X1923">
        <v>-24.244869999999999</v>
      </c>
    </row>
    <row r="1924" spans="1:24" x14ac:dyDescent="0.35">
      <c r="A1924" s="3" t="str">
        <f t="shared" si="30"/>
        <v>MG51507210084001MAM</v>
      </c>
      <c r="B1924" t="s">
        <v>6267</v>
      </c>
      <c r="C1924">
        <f>+VLOOKUP(Sites_per_tag[[#This Row],[Field_office]],Parameter!$A$3:$B$11,2,0)</f>
        <v>9</v>
      </c>
      <c r="E1924" t="s">
        <v>5650</v>
      </c>
      <c r="F1924" t="s">
        <v>5654</v>
      </c>
      <c r="H1924" t="str">
        <f ca="1">PROPER(Sites_per_tag[[#This Row],[Adm2Name]])</f>
        <v>Ampanihy Ouest</v>
      </c>
      <c r="I1924" t="s">
        <v>5660</v>
      </c>
      <c r="K1924" t="s">
        <v>5885</v>
      </c>
      <c r="L1924" t="s">
        <v>5962</v>
      </c>
      <c r="N1924" t="s">
        <v>1863</v>
      </c>
      <c r="O1924" t="s">
        <v>5007</v>
      </c>
      <c r="Q1924" t="s">
        <v>1863</v>
      </c>
      <c r="R1924" t="s">
        <v>1864</v>
      </c>
      <c r="T1924" t="s">
        <v>5</v>
      </c>
      <c r="U1924" s="3" t="str">
        <f>+VLOOKUP(Sites_per_tag[[#This Row],[Activity_tag]],Parameter!$A$24:$B$32,2,0)</f>
        <v>MAM</v>
      </c>
      <c r="W1924">
        <v>44.770600000000002</v>
      </c>
      <c r="X1924">
        <v>-24.266780000000001</v>
      </c>
    </row>
    <row r="1925" spans="1:24" x14ac:dyDescent="0.35">
      <c r="A1925" s="3" t="str">
        <f t="shared" si="30"/>
        <v>MG51507210085001MAM</v>
      </c>
      <c r="B1925" t="s">
        <v>6267</v>
      </c>
      <c r="C1925">
        <f>+VLOOKUP(Sites_per_tag[[#This Row],[Field_office]],Parameter!$A$3:$B$11,2,0)</f>
        <v>9</v>
      </c>
      <c r="E1925" t="s">
        <v>5650</v>
      </c>
      <c r="F1925" t="s">
        <v>5654</v>
      </c>
      <c r="H1925" t="str">
        <f ca="1">PROPER(Sites_per_tag[[#This Row],[Adm2Name]])</f>
        <v>Ampanihy Ouest</v>
      </c>
      <c r="I1925" t="s">
        <v>5660</v>
      </c>
      <c r="K1925" t="s">
        <v>5885</v>
      </c>
      <c r="L1925" t="s">
        <v>5962</v>
      </c>
      <c r="N1925" t="s">
        <v>1883</v>
      </c>
      <c r="O1925" t="s">
        <v>5008</v>
      </c>
      <c r="Q1925" t="s">
        <v>1883</v>
      </c>
      <c r="R1925" t="s">
        <v>1884</v>
      </c>
      <c r="T1925" t="s">
        <v>5</v>
      </c>
      <c r="U1925" s="3" t="str">
        <f>+VLOOKUP(Sites_per_tag[[#This Row],[Activity_tag]],Parameter!$A$24:$B$32,2,0)</f>
        <v>MAM</v>
      </c>
      <c r="W1925">
        <v>44.735129999999998</v>
      </c>
      <c r="X1925">
        <v>-24.206900000000001</v>
      </c>
    </row>
    <row r="1926" spans="1:24" x14ac:dyDescent="0.35">
      <c r="A1926" s="3" t="str">
        <f t="shared" si="30"/>
        <v>MG51507210086001MAM</v>
      </c>
      <c r="B1926" t="s">
        <v>6267</v>
      </c>
      <c r="C1926">
        <f>+VLOOKUP(Sites_per_tag[[#This Row],[Field_office]],Parameter!$A$3:$B$11,2,0)</f>
        <v>9</v>
      </c>
      <c r="E1926" t="s">
        <v>5650</v>
      </c>
      <c r="F1926" t="s">
        <v>5654</v>
      </c>
      <c r="H1926" t="str">
        <f ca="1">PROPER(Sites_per_tag[[#This Row],[Adm2Name]])</f>
        <v>Ampanihy Ouest</v>
      </c>
      <c r="I1926" t="s">
        <v>5660</v>
      </c>
      <c r="K1926" t="s">
        <v>5885</v>
      </c>
      <c r="L1926" t="s">
        <v>5962</v>
      </c>
      <c r="N1926" t="s">
        <v>3640</v>
      </c>
      <c r="O1926" t="s">
        <v>5009</v>
      </c>
      <c r="Q1926" t="s">
        <v>3640</v>
      </c>
      <c r="R1926" t="s">
        <v>3641</v>
      </c>
      <c r="T1926" t="s">
        <v>5</v>
      </c>
      <c r="U1926" s="3" t="str">
        <f>+VLOOKUP(Sites_per_tag[[#This Row],[Activity_tag]],Parameter!$A$24:$B$32,2,0)</f>
        <v>MAM</v>
      </c>
      <c r="W1926">
        <v>44.747950000000003</v>
      </c>
      <c r="X1926">
        <v>-24.250019999999999</v>
      </c>
    </row>
    <row r="1927" spans="1:24" x14ac:dyDescent="0.35">
      <c r="A1927" s="3" t="str">
        <f t="shared" si="30"/>
        <v>MG51507210087001MAM</v>
      </c>
      <c r="B1927" t="s">
        <v>6267</v>
      </c>
      <c r="C1927">
        <f>+VLOOKUP(Sites_per_tag[[#This Row],[Field_office]],Parameter!$A$3:$B$11,2,0)</f>
        <v>9</v>
      </c>
      <c r="E1927" t="s">
        <v>5650</v>
      </c>
      <c r="F1927" t="s">
        <v>5654</v>
      </c>
      <c r="H1927" t="str">
        <f ca="1">PROPER(Sites_per_tag[[#This Row],[Adm2Name]])</f>
        <v>Ampanihy Ouest</v>
      </c>
      <c r="I1927" t="s">
        <v>5660</v>
      </c>
      <c r="K1927" t="s">
        <v>5885</v>
      </c>
      <c r="L1927" t="s">
        <v>5962</v>
      </c>
      <c r="N1927" t="s">
        <v>3794</v>
      </c>
      <c r="O1927" t="s">
        <v>5010</v>
      </c>
      <c r="Q1927" t="s">
        <v>3794</v>
      </c>
      <c r="R1927" t="s">
        <v>3795</v>
      </c>
      <c r="T1927" t="s">
        <v>5</v>
      </c>
      <c r="U1927" s="3" t="str">
        <f>+VLOOKUP(Sites_per_tag[[#This Row],[Activity_tag]],Parameter!$A$24:$B$32,2,0)</f>
        <v>MAM</v>
      </c>
      <c r="W1927">
        <v>44.725769999999997</v>
      </c>
      <c r="X1927">
        <v>-24.296119999999998</v>
      </c>
    </row>
    <row r="1928" spans="1:24" x14ac:dyDescent="0.35">
      <c r="A1928" s="3" t="str">
        <f t="shared" si="30"/>
        <v>MG51507230001001MAM</v>
      </c>
      <c r="B1928" t="s">
        <v>6267</v>
      </c>
      <c r="C1928">
        <f>+VLOOKUP(Sites_per_tag[[#This Row],[Field_office]],Parameter!$A$3:$B$11,2,0)</f>
        <v>9</v>
      </c>
      <c r="E1928" t="s">
        <v>5650</v>
      </c>
      <c r="F1928" t="s">
        <v>5654</v>
      </c>
      <c r="H1928" t="str">
        <f ca="1">PROPER(Sites_per_tag[[#This Row],[Adm2Name]])</f>
        <v>Ampanihy Ouest</v>
      </c>
      <c r="I1928" t="s">
        <v>5660</v>
      </c>
      <c r="K1928" t="s">
        <v>5103</v>
      </c>
      <c r="L1928" t="s">
        <v>5809</v>
      </c>
      <c r="N1928" t="s">
        <v>964</v>
      </c>
      <c r="O1928" t="s">
        <v>965</v>
      </c>
      <c r="Q1928" t="s">
        <v>964</v>
      </c>
      <c r="R1928" t="s">
        <v>966</v>
      </c>
      <c r="T1928" t="s">
        <v>5</v>
      </c>
      <c r="U1928" s="3" t="str">
        <f>+VLOOKUP(Sites_per_tag[[#This Row],[Activity_tag]],Parameter!$A$24:$B$32,2,0)</f>
        <v>MAM</v>
      </c>
      <c r="W1928">
        <v>44.125999999999998</v>
      </c>
      <c r="X1928">
        <v>-25.009219999999999</v>
      </c>
    </row>
    <row r="1929" spans="1:24" x14ac:dyDescent="0.35">
      <c r="A1929" s="3" t="str">
        <f t="shared" si="30"/>
        <v>MG51507230001PREV</v>
      </c>
      <c r="B1929" t="s">
        <v>6267</v>
      </c>
      <c r="C1929">
        <f>+VLOOKUP(Sites_per_tag[[#This Row],[Field_office]],Parameter!$A$3:$B$11,2,0)</f>
        <v>9</v>
      </c>
      <c r="E1929" t="s">
        <v>5650</v>
      </c>
      <c r="F1929" t="s">
        <v>5654</v>
      </c>
      <c r="H1929" t="str">
        <f ca="1">PROPER(Sites_per_tag[[#This Row],[Adm2Name]])</f>
        <v>Ampanihy Ouest</v>
      </c>
      <c r="I1929" t="s">
        <v>5660</v>
      </c>
      <c r="K1929" t="s">
        <v>5103</v>
      </c>
      <c r="L1929" t="s">
        <v>5809</v>
      </c>
      <c r="N1929" t="s">
        <v>4250</v>
      </c>
      <c r="Q1929" t="s">
        <v>964</v>
      </c>
      <c r="R1929" t="s">
        <v>965</v>
      </c>
      <c r="T1929" t="s">
        <v>32</v>
      </c>
      <c r="U1929" s="3" t="str">
        <f>+VLOOKUP(Sites_per_tag[[#This Row],[Activity_tag]],Parameter!$A$24:$B$32,2,0)</f>
        <v>PREV</v>
      </c>
      <c r="W1929">
        <v>44.125999999999998</v>
      </c>
      <c r="X1929">
        <v>-25.009219999999999</v>
      </c>
    </row>
    <row r="1930" spans="1:24" x14ac:dyDescent="0.35">
      <c r="A1930" s="3" t="str">
        <f t="shared" si="30"/>
        <v>MG51507230005001MAM</v>
      </c>
      <c r="B1930" t="s">
        <v>6267</v>
      </c>
      <c r="C1930">
        <f>+VLOOKUP(Sites_per_tag[[#This Row],[Field_office]],Parameter!$A$3:$B$11,2,0)</f>
        <v>9</v>
      </c>
      <c r="E1930" t="s">
        <v>5650</v>
      </c>
      <c r="F1930" t="s">
        <v>5654</v>
      </c>
      <c r="H1930" t="str">
        <f ca="1">PROPER(Sites_per_tag[[#This Row],[Adm2Name]])</f>
        <v>Ampanihy Ouest</v>
      </c>
      <c r="I1930" t="s">
        <v>5660</v>
      </c>
      <c r="K1930" t="s">
        <v>5103</v>
      </c>
      <c r="L1930" t="s">
        <v>5809</v>
      </c>
      <c r="N1930" t="s">
        <v>1785</v>
      </c>
      <c r="O1930" t="s">
        <v>1786</v>
      </c>
      <c r="Q1930" t="s">
        <v>1785</v>
      </c>
      <c r="R1930" t="s">
        <v>1787</v>
      </c>
      <c r="T1930" t="s">
        <v>5</v>
      </c>
      <c r="U1930" s="3" t="str">
        <f>+VLOOKUP(Sites_per_tag[[#This Row],[Activity_tag]],Parameter!$A$24:$B$32,2,0)</f>
        <v>MAM</v>
      </c>
      <c r="W1930">
        <v>44.248779999999996</v>
      </c>
      <c r="X1930">
        <v>-24.9862</v>
      </c>
    </row>
    <row r="1931" spans="1:24" x14ac:dyDescent="0.35">
      <c r="A1931" s="3" t="str">
        <f t="shared" si="30"/>
        <v>MG51507230005PREV</v>
      </c>
      <c r="B1931" t="s">
        <v>6267</v>
      </c>
      <c r="C1931">
        <f>+VLOOKUP(Sites_per_tag[[#This Row],[Field_office]],Parameter!$A$3:$B$11,2,0)</f>
        <v>9</v>
      </c>
      <c r="E1931" t="s">
        <v>5650</v>
      </c>
      <c r="F1931" t="s">
        <v>5654</v>
      </c>
      <c r="H1931" t="str">
        <f ca="1">PROPER(Sites_per_tag[[#This Row],[Adm2Name]])</f>
        <v>Ampanihy Ouest</v>
      </c>
      <c r="I1931" t="s">
        <v>5660</v>
      </c>
      <c r="K1931" t="s">
        <v>5103</v>
      </c>
      <c r="L1931" t="s">
        <v>5809</v>
      </c>
      <c r="N1931" t="s">
        <v>4251</v>
      </c>
      <c r="Q1931" t="s">
        <v>1785</v>
      </c>
      <c r="R1931" t="s">
        <v>1786</v>
      </c>
      <c r="T1931" t="s">
        <v>32</v>
      </c>
      <c r="U1931" s="3" t="str">
        <f>+VLOOKUP(Sites_per_tag[[#This Row],[Activity_tag]],Parameter!$A$24:$B$32,2,0)</f>
        <v>PREV</v>
      </c>
      <c r="W1931">
        <v>44.2303</v>
      </c>
      <c r="X1931">
        <v>-24.988119999999999</v>
      </c>
    </row>
    <row r="1932" spans="1:24" x14ac:dyDescent="0.35">
      <c r="A1932" s="3" t="str">
        <f t="shared" si="30"/>
        <v>MG51507230007001MAM</v>
      </c>
      <c r="B1932" t="s">
        <v>6267</v>
      </c>
      <c r="C1932">
        <f>+VLOOKUP(Sites_per_tag[[#This Row],[Field_office]],Parameter!$A$3:$B$11,2,0)</f>
        <v>9</v>
      </c>
      <c r="E1932" t="s">
        <v>5650</v>
      </c>
      <c r="F1932" t="s">
        <v>5654</v>
      </c>
      <c r="H1932" t="str">
        <f ca="1">PROPER(Sites_per_tag[[#This Row],[Adm2Name]])</f>
        <v>Ampanihy Ouest</v>
      </c>
      <c r="I1932" t="s">
        <v>5660</v>
      </c>
      <c r="K1932" t="s">
        <v>5103</v>
      </c>
      <c r="L1932" t="s">
        <v>5809</v>
      </c>
      <c r="N1932" t="s">
        <v>1881</v>
      </c>
      <c r="O1932" t="s">
        <v>4581</v>
      </c>
      <c r="Q1932" t="s">
        <v>1881</v>
      </c>
      <c r="R1932" t="s">
        <v>1882</v>
      </c>
      <c r="T1932" t="s">
        <v>5</v>
      </c>
      <c r="U1932" s="3" t="str">
        <f>+VLOOKUP(Sites_per_tag[[#This Row],[Activity_tag]],Parameter!$A$24:$B$32,2,0)</f>
        <v>MAM</v>
      </c>
      <c r="W1932">
        <v>44.089799999999997</v>
      </c>
      <c r="X1932">
        <v>-24.997219999999999</v>
      </c>
    </row>
    <row r="1933" spans="1:24" x14ac:dyDescent="0.35">
      <c r="A1933" s="3" t="str">
        <f t="shared" si="30"/>
        <v>MG51507230008001MAM</v>
      </c>
      <c r="B1933" t="s">
        <v>6267</v>
      </c>
      <c r="C1933">
        <f>+VLOOKUP(Sites_per_tag[[#This Row],[Field_office]],Parameter!$A$3:$B$11,2,0)</f>
        <v>9</v>
      </c>
      <c r="E1933" t="s">
        <v>5650</v>
      </c>
      <c r="F1933" t="s">
        <v>5654</v>
      </c>
      <c r="H1933" t="str">
        <f ca="1">PROPER(Sites_per_tag[[#This Row],[Adm2Name]])</f>
        <v>Ampanihy Ouest</v>
      </c>
      <c r="I1933" t="s">
        <v>5660</v>
      </c>
      <c r="K1933" t="s">
        <v>5103</v>
      </c>
      <c r="L1933" t="s">
        <v>5809</v>
      </c>
      <c r="N1933" t="s">
        <v>1565</v>
      </c>
      <c r="O1933" t="s">
        <v>4582</v>
      </c>
      <c r="Q1933" t="s">
        <v>1565</v>
      </c>
      <c r="R1933" t="s">
        <v>1566</v>
      </c>
      <c r="T1933" t="s">
        <v>5</v>
      </c>
      <c r="U1933" s="3" t="str">
        <f>+VLOOKUP(Sites_per_tag[[#This Row],[Activity_tag]],Parameter!$A$24:$B$32,2,0)</f>
        <v>MAM</v>
      </c>
      <c r="W1933">
        <v>44.076779999999999</v>
      </c>
      <c r="X1933">
        <v>-25.011500000000002</v>
      </c>
    </row>
    <row r="1934" spans="1:24" x14ac:dyDescent="0.35">
      <c r="A1934" s="3" t="str">
        <f t="shared" si="30"/>
        <v>MG51507230011001MAM</v>
      </c>
      <c r="B1934" t="s">
        <v>6267</v>
      </c>
      <c r="C1934">
        <f>+VLOOKUP(Sites_per_tag[[#This Row],[Field_office]],Parameter!$A$3:$B$11,2,0)</f>
        <v>9</v>
      </c>
      <c r="E1934" t="s">
        <v>5650</v>
      </c>
      <c r="F1934" t="s">
        <v>5654</v>
      </c>
      <c r="H1934" t="str">
        <f ca="1">PROPER(Sites_per_tag[[#This Row],[Adm2Name]])</f>
        <v>Ampanihy Ouest</v>
      </c>
      <c r="I1934" t="s">
        <v>5660</v>
      </c>
      <c r="K1934" t="s">
        <v>5103</v>
      </c>
      <c r="L1934" t="s">
        <v>5809</v>
      </c>
      <c r="N1934" t="s">
        <v>3788</v>
      </c>
      <c r="O1934" t="s">
        <v>4583</v>
      </c>
      <c r="Q1934" t="s">
        <v>3788</v>
      </c>
      <c r="R1934" t="s">
        <v>3789</v>
      </c>
      <c r="T1934" t="s">
        <v>5</v>
      </c>
      <c r="U1934" s="3" t="str">
        <f>+VLOOKUP(Sites_per_tag[[#This Row],[Activity_tag]],Parameter!$A$24:$B$32,2,0)</f>
        <v>MAM</v>
      </c>
      <c r="W1934">
        <v>44.135779999999997</v>
      </c>
      <c r="X1934">
        <v>-25.010100000000001</v>
      </c>
    </row>
    <row r="1935" spans="1:24" x14ac:dyDescent="0.35">
      <c r="A1935" s="3" t="str">
        <f t="shared" si="30"/>
        <v>MG51507230012001MAM</v>
      </c>
      <c r="B1935" t="s">
        <v>6267</v>
      </c>
      <c r="C1935">
        <f>+VLOOKUP(Sites_per_tag[[#This Row],[Field_office]],Parameter!$A$3:$B$11,2,0)</f>
        <v>9</v>
      </c>
      <c r="E1935" t="s">
        <v>5650</v>
      </c>
      <c r="F1935" t="s">
        <v>5654</v>
      </c>
      <c r="H1935" t="str">
        <f ca="1">PROPER(Sites_per_tag[[#This Row],[Adm2Name]])</f>
        <v>Ampanihy Ouest</v>
      </c>
      <c r="I1935" t="s">
        <v>5660</v>
      </c>
      <c r="K1935" t="s">
        <v>5103</v>
      </c>
      <c r="L1935" t="s">
        <v>5809</v>
      </c>
      <c r="N1935" t="s">
        <v>962</v>
      </c>
      <c r="O1935" t="s">
        <v>4584</v>
      </c>
      <c r="Q1935" t="s">
        <v>962</v>
      </c>
      <c r="R1935" t="s">
        <v>963</v>
      </c>
      <c r="T1935" t="s">
        <v>5</v>
      </c>
      <c r="U1935" s="3" t="str">
        <f>+VLOOKUP(Sites_per_tag[[#This Row],[Activity_tag]],Parameter!$A$24:$B$32,2,0)</f>
        <v>MAM</v>
      </c>
      <c r="W1935">
        <v>44.071420000000003</v>
      </c>
      <c r="X1935">
        <v>-25.028980000000001</v>
      </c>
    </row>
    <row r="1936" spans="1:24" x14ac:dyDescent="0.35">
      <c r="A1936" s="3" t="str">
        <f t="shared" si="30"/>
        <v>MG51507230015001MAM</v>
      </c>
      <c r="B1936" t="s">
        <v>6267</v>
      </c>
      <c r="C1936">
        <f>+VLOOKUP(Sites_per_tag[[#This Row],[Field_office]],Parameter!$A$3:$B$11,2,0)</f>
        <v>9</v>
      </c>
      <c r="E1936" t="s">
        <v>5650</v>
      </c>
      <c r="F1936" t="s">
        <v>5654</v>
      </c>
      <c r="H1936" t="str">
        <f ca="1">PROPER(Sites_per_tag[[#This Row],[Adm2Name]])</f>
        <v>Ampanihy Ouest</v>
      </c>
      <c r="I1936" t="s">
        <v>5660</v>
      </c>
      <c r="K1936" t="s">
        <v>5103</v>
      </c>
      <c r="L1936" t="s">
        <v>5809</v>
      </c>
      <c r="N1936" t="s">
        <v>2894</v>
      </c>
      <c r="O1936" t="s">
        <v>4585</v>
      </c>
      <c r="Q1936" t="s">
        <v>2894</v>
      </c>
      <c r="R1936" t="s">
        <v>2895</v>
      </c>
      <c r="T1936" t="s">
        <v>5</v>
      </c>
      <c r="U1936" s="3" t="str">
        <f>+VLOOKUP(Sites_per_tag[[#This Row],[Activity_tag]],Parameter!$A$24:$B$32,2,0)</f>
        <v>MAM</v>
      </c>
      <c r="W1936">
        <v>44.162179999999999</v>
      </c>
      <c r="X1936">
        <v>-24.98197</v>
      </c>
    </row>
    <row r="1937" spans="1:24" x14ac:dyDescent="0.35">
      <c r="A1937" s="3" t="str">
        <f t="shared" si="30"/>
        <v>MG51507230017001MAM</v>
      </c>
      <c r="B1937" t="s">
        <v>6267</v>
      </c>
      <c r="C1937">
        <f>+VLOOKUP(Sites_per_tag[[#This Row],[Field_office]],Parameter!$A$3:$B$11,2,0)</f>
        <v>9</v>
      </c>
      <c r="E1937" t="s">
        <v>5650</v>
      </c>
      <c r="F1937" t="s">
        <v>5654</v>
      </c>
      <c r="H1937" t="str">
        <f ca="1">PROPER(Sites_per_tag[[#This Row],[Adm2Name]])</f>
        <v>Ampanihy Ouest</v>
      </c>
      <c r="I1937" t="s">
        <v>5660</v>
      </c>
      <c r="K1937" t="s">
        <v>5103</v>
      </c>
      <c r="L1937" t="s">
        <v>5809</v>
      </c>
      <c r="N1937" t="s">
        <v>355</v>
      </c>
      <c r="O1937" t="s">
        <v>4586</v>
      </c>
      <c r="Q1937" t="s">
        <v>355</v>
      </c>
      <c r="R1937" t="s">
        <v>356</v>
      </c>
      <c r="T1937" t="s">
        <v>5</v>
      </c>
      <c r="U1937" s="3" t="str">
        <f>+VLOOKUP(Sites_per_tag[[#This Row],[Activity_tag]],Parameter!$A$24:$B$32,2,0)</f>
        <v>MAM</v>
      </c>
      <c r="W1937">
        <v>44.114069999999998</v>
      </c>
      <c r="X1937">
        <v>-25.074870000000001</v>
      </c>
    </row>
    <row r="1938" spans="1:24" x14ac:dyDescent="0.35">
      <c r="A1938" s="3" t="str">
        <f t="shared" si="30"/>
        <v>MG51507230018PREV</v>
      </c>
      <c r="B1938" t="s">
        <v>6267</v>
      </c>
      <c r="C1938">
        <f>+VLOOKUP(Sites_per_tag[[#This Row],[Field_office]],Parameter!$A$3:$B$11,2,0)</f>
        <v>9</v>
      </c>
      <c r="E1938" t="s">
        <v>5650</v>
      </c>
      <c r="F1938" t="s">
        <v>5654</v>
      </c>
      <c r="H1938" t="str">
        <f ca="1">PROPER(Sites_per_tag[[#This Row],[Adm2Name]])</f>
        <v>Ampanihy Ouest</v>
      </c>
      <c r="I1938" t="s">
        <v>5660</v>
      </c>
      <c r="K1938" t="s">
        <v>5103</v>
      </c>
      <c r="L1938" t="s">
        <v>5809</v>
      </c>
      <c r="N1938" t="s">
        <v>400</v>
      </c>
      <c r="Q1938" t="s">
        <v>400</v>
      </c>
      <c r="R1938" t="s">
        <v>401</v>
      </c>
      <c r="T1938" t="s">
        <v>32</v>
      </c>
      <c r="U1938" s="3" t="str">
        <f>+VLOOKUP(Sites_per_tag[[#This Row],[Activity_tag]],Parameter!$A$24:$B$32,2,0)</f>
        <v>PREV</v>
      </c>
      <c r="W1938">
        <v>44.43562</v>
      </c>
      <c r="X1938">
        <v>-25.110669999999999</v>
      </c>
    </row>
    <row r="1939" spans="1:24" x14ac:dyDescent="0.35">
      <c r="A1939" s="3" t="str">
        <f t="shared" si="30"/>
        <v>MG51507230019PREV</v>
      </c>
      <c r="B1939" t="s">
        <v>6267</v>
      </c>
      <c r="C1939">
        <f>+VLOOKUP(Sites_per_tag[[#This Row],[Field_office]],Parameter!$A$3:$B$11,2,0)</f>
        <v>9</v>
      </c>
      <c r="E1939" t="s">
        <v>5650</v>
      </c>
      <c r="F1939" t="s">
        <v>5654</v>
      </c>
      <c r="H1939" t="str">
        <f ca="1">PROPER(Sites_per_tag[[#This Row],[Adm2Name]])</f>
        <v>Ampanihy Ouest</v>
      </c>
      <c r="I1939" t="s">
        <v>5660</v>
      </c>
      <c r="K1939" t="s">
        <v>5103</v>
      </c>
      <c r="L1939" t="s">
        <v>5809</v>
      </c>
      <c r="N1939" t="s">
        <v>4252</v>
      </c>
      <c r="Q1939" t="s">
        <v>1704</v>
      </c>
      <c r="R1939" t="s">
        <v>1705</v>
      </c>
      <c r="T1939" t="s">
        <v>32</v>
      </c>
      <c r="U1939" s="3" t="str">
        <f>+VLOOKUP(Sites_per_tag[[#This Row],[Activity_tag]],Parameter!$A$24:$B$32,2,0)</f>
        <v>PREV</v>
      </c>
      <c r="W1939">
        <v>44.393529999999998</v>
      </c>
      <c r="X1939">
        <v>-25.15363</v>
      </c>
    </row>
    <row r="1940" spans="1:24" x14ac:dyDescent="0.35">
      <c r="A1940" s="3" t="str">
        <f t="shared" si="30"/>
        <v>MG51507230023PREV</v>
      </c>
      <c r="B1940" t="s">
        <v>6267</v>
      </c>
      <c r="C1940">
        <f>+VLOOKUP(Sites_per_tag[[#This Row],[Field_office]],Parameter!$A$3:$B$11,2,0)</f>
        <v>9</v>
      </c>
      <c r="E1940" t="s">
        <v>5650</v>
      </c>
      <c r="F1940" t="s">
        <v>5654</v>
      </c>
      <c r="H1940" t="str">
        <f ca="1">PROPER(Sites_per_tag[[#This Row],[Adm2Name]])</f>
        <v>Ampanihy Ouest</v>
      </c>
      <c r="I1940" t="s">
        <v>5660</v>
      </c>
      <c r="K1940" t="s">
        <v>5103</v>
      </c>
      <c r="L1940" t="s">
        <v>5809</v>
      </c>
      <c r="N1940" t="s">
        <v>4253</v>
      </c>
      <c r="Q1940" t="s">
        <v>2766</v>
      </c>
      <c r="R1940" t="s">
        <v>2767</v>
      </c>
      <c r="T1940" t="s">
        <v>32</v>
      </c>
      <c r="U1940" s="3" t="str">
        <f>+VLOOKUP(Sites_per_tag[[#This Row],[Activity_tag]],Parameter!$A$24:$B$32,2,0)</f>
        <v>PREV</v>
      </c>
      <c r="W1940">
        <v>44.480930000000001</v>
      </c>
      <c r="X1940">
        <v>-25.241029999999999</v>
      </c>
    </row>
    <row r="1941" spans="1:24" x14ac:dyDescent="0.35">
      <c r="A1941" s="3" t="str">
        <f t="shared" si="30"/>
        <v>MG51507230050PREV</v>
      </c>
      <c r="B1941" t="s">
        <v>6267</v>
      </c>
      <c r="C1941">
        <f>+VLOOKUP(Sites_per_tag[[#This Row],[Field_office]],Parameter!$A$3:$B$11,2,0)</f>
        <v>9</v>
      </c>
      <c r="E1941" t="s">
        <v>5650</v>
      </c>
      <c r="F1941" t="s">
        <v>5654</v>
      </c>
      <c r="H1941" t="str">
        <f ca="1">PROPER(Sites_per_tag[[#This Row],[Adm2Name]])</f>
        <v>Ampanihy Ouest</v>
      </c>
      <c r="I1941" t="s">
        <v>5660</v>
      </c>
      <c r="K1941" t="s">
        <v>5103</v>
      </c>
      <c r="L1941" t="s">
        <v>5809</v>
      </c>
      <c r="N1941" t="s">
        <v>4256</v>
      </c>
      <c r="Q1941" t="s">
        <v>3998</v>
      </c>
      <c r="R1941" t="s">
        <v>3999</v>
      </c>
      <c r="T1941" t="s">
        <v>32</v>
      </c>
      <c r="U1941" s="3" t="str">
        <f>+VLOOKUP(Sites_per_tag[[#This Row],[Activity_tag]],Parameter!$A$24:$B$32,2,0)</f>
        <v>PREV</v>
      </c>
      <c r="W1941">
        <v>44.18712</v>
      </c>
      <c r="X1941">
        <v>-24.97495</v>
      </c>
    </row>
    <row r="1942" spans="1:24" x14ac:dyDescent="0.35">
      <c r="A1942" s="3" t="str">
        <f t="shared" si="30"/>
        <v>MG51507230059PREV</v>
      </c>
      <c r="B1942" t="s">
        <v>6267</v>
      </c>
      <c r="C1942">
        <f>+VLOOKUP(Sites_per_tag[[#This Row],[Field_office]],Parameter!$A$3:$B$11,2,0)</f>
        <v>9</v>
      </c>
      <c r="E1942" t="s">
        <v>5650</v>
      </c>
      <c r="F1942" t="s">
        <v>5654</v>
      </c>
      <c r="H1942" t="str">
        <f ca="1">PROPER(Sites_per_tag[[#This Row],[Adm2Name]])</f>
        <v>Ampanihy Ouest</v>
      </c>
      <c r="I1942" t="s">
        <v>5660</v>
      </c>
      <c r="K1942" t="s">
        <v>5103</v>
      </c>
      <c r="L1942" t="s">
        <v>5809</v>
      </c>
      <c r="N1942" t="s">
        <v>457</v>
      </c>
      <c r="Q1942" t="s">
        <v>457</v>
      </c>
      <c r="R1942" t="s">
        <v>458</v>
      </c>
      <c r="T1942" t="s">
        <v>32</v>
      </c>
      <c r="U1942" s="3" t="str">
        <f>+VLOOKUP(Sites_per_tag[[#This Row],[Activity_tag]],Parameter!$A$24:$B$32,2,0)</f>
        <v>PREV</v>
      </c>
      <c r="W1942">
        <v>44.312330000000003</v>
      </c>
      <c r="X1942">
        <v>-25.031580000000002</v>
      </c>
    </row>
    <row r="1943" spans="1:24" x14ac:dyDescent="0.35">
      <c r="A1943" s="3" t="str">
        <f t="shared" si="30"/>
        <v>MG51507230065001MAM</v>
      </c>
      <c r="B1943" t="s">
        <v>6267</v>
      </c>
      <c r="C1943">
        <f>+VLOOKUP(Sites_per_tag[[#This Row],[Field_office]],Parameter!$A$3:$B$11,2,0)</f>
        <v>9</v>
      </c>
      <c r="E1943" t="s">
        <v>5650</v>
      </c>
      <c r="F1943" t="s">
        <v>5654</v>
      </c>
      <c r="H1943" t="str">
        <f ca="1">PROPER(Sites_per_tag[[#This Row],[Adm2Name]])</f>
        <v>Ampanihy Ouest</v>
      </c>
      <c r="I1943" t="s">
        <v>5660</v>
      </c>
      <c r="K1943" t="s">
        <v>5103</v>
      </c>
      <c r="L1943" t="s">
        <v>5809</v>
      </c>
      <c r="N1943" t="s">
        <v>3413</v>
      </c>
      <c r="O1943" t="s">
        <v>4587</v>
      </c>
      <c r="Q1943" t="s">
        <v>3413</v>
      </c>
      <c r="R1943" t="s">
        <v>3414</v>
      </c>
      <c r="T1943" t="s">
        <v>5</v>
      </c>
      <c r="U1943" s="3" t="str">
        <f>+VLOOKUP(Sites_per_tag[[#This Row],[Activity_tag]],Parameter!$A$24:$B$32,2,0)</f>
        <v>MAM</v>
      </c>
      <c r="W1943">
        <v>44.14855</v>
      </c>
      <c r="X1943">
        <v>-24.963149999999999</v>
      </c>
    </row>
    <row r="1944" spans="1:24" x14ac:dyDescent="0.35">
      <c r="A1944" s="3" t="str">
        <f t="shared" si="30"/>
        <v>MG51507230067001MAM</v>
      </c>
      <c r="B1944" t="s">
        <v>6267</v>
      </c>
      <c r="C1944">
        <f>+VLOOKUP(Sites_per_tag[[#This Row],[Field_office]],Parameter!$A$3:$B$11,2,0)</f>
        <v>9</v>
      </c>
      <c r="E1944" t="s">
        <v>5650</v>
      </c>
      <c r="F1944" t="s">
        <v>5654</v>
      </c>
      <c r="H1944" t="str">
        <f ca="1">PROPER(Sites_per_tag[[#This Row],[Adm2Name]])</f>
        <v>Ampanihy Ouest</v>
      </c>
      <c r="I1944" t="s">
        <v>5660</v>
      </c>
      <c r="K1944" t="s">
        <v>5103</v>
      </c>
      <c r="L1944" t="s">
        <v>5809</v>
      </c>
      <c r="N1944" t="s">
        <v>3998</v>
      </c>
      <c r="O1944" t="s">
        <v>4588</v>
      </c>
      <c r="Q1944" t="s">
        <v>3998</v>
      </c>
      <c r="R1944" t="s">
        <v>4000</v>
      </c>
      <c r="T1944" t="s">
        <v>5</v>
      </c>
      <c r="U1944" s="3" t="str">
        <f>+VLOOKUP(Sites_per_tag[[#This Row],[Activity_tag]],Parameter!$A$24:$B$32,2,0)</f>
        <v>MAM</v>
      </c>
      <c r="W1944">
        <v>44.18712</v>
      </c>
      <c r="X1944">
        <v>-24.97495</v>
      </c>
    </row>
    <row r="1945" spans="1:24" x14ac:dyDescent="0.35">
      <c r="A1945" s="3" t="str">
        <f t="shared" si="30"/>
        <v>MG51507250003001MAM</v>
      </c>
      <c r="B1945" t="s">
        <v>6267</v>
      </c>
      <c r="C1945">
        <f>+VLOOKUP(Sites_per_tag[[#This Row],[Field_office]],Parameter!$A$3:$B$11,2,0)</f>
        <v>9</v>
      </c>
      <c r="E1945" t="s">
        <v>5650</v>
      </c>
      <c r="F1945" t="s">
        <v>5654</v>
      </c>
      <c r="H1945" t="str">
        <f ca="1">PROPER(Sites_per_tag[[#This Row],[Adm2Name]])</f>
        <v>Ampanihy Ouest</v>
      </c>
      <c r="I1945" t="s">
        <v>5660</v>
      </c>
      <c r="K1945" t="s">
        <v>3938</v>
      </c>
      <c r="L1945" t="s">
        <v>6169</v>
      </c>
      <c r="N1945" t="s">
        <v>2158</v>
      </c>
      <c r="O1945" t="s">
        <v>5588</v>
      </c>
      <c r="Q1945" t="s">
        <v>2158</v>
      </c>
      <c r="R1945" t="s">
        <v>2159</v>
      </c>
      <c r="T1945" t="s">
        <v>5</v>
      </c>
      <c r="U1945" s="3" t="str">
        <f>+VLOOKUP(Sites_per_tag[[#This Row],[Activity_tag]],Parameter!$A$24:$B$32,2,0)</f>
        <v>MAM</v>
      </c>
      <c r="W1945">
        <v>44.785879999999999</v>
      </c>
      <c r="X1945">
        <v>-24.0686</v>
      </c>
    </row>
    <row r="1946" spans="1:24" x14ac:dyDescent="0.35">
      <c r="A1946" s="3" t="str">
        <f t="shared" si="30"/>
        <v>MG51507250005001MAM</v>
      </c>
      <c r="B1946" t="s">
        <v>6267</v>
      </c>
      <c r="C1946">
        <f>+VLOOKUP(Sites_per_tag[[#This Row],[Field_office]],Parameter!$A$3:$B$11,2,0)</f>
        <v>9</v>
      </c>
      <c r="E1946" t="s">
        <v>5650</v>
      </c>
      <c r="F1946" t="s">
        <v>5654</v>
      </c>
      <c r="H1946" t="str">
        <f ca="1">PROPER(Sites_per_tag[[#This Row],[Adm2Name]])</f>
        <v>Ampanihy Ouest</v>
      </c>
      <c r="I1946" t="s">
        <v>5660</v>
      </c>
      <c r="K1946" t="s">
        <v>3938</v>
      </c>
      <c r="L1946" t="s">
        <v>6169</v>
      </c>
      <c r="N1946" t="s">
        <v>195</v>
      </c>
      <c r="O1946" t="s">
        <v>5589</v>
      </c>
      <c r="Q1946" t="s">
        <v>195</v>
      </c>
      <c r="R1946" t="s">
        <v>196</v>
      </c>
      <c r="T1946" t="s">
        <v>5</v>
      </c>
      <c r="U1946" s="3" t="str">
        <f>+VLOOKUP(Sites_per_tag[[#This Row],[Activity_tag]],Parameter!$A$24:$B$32,2,0)</f>
        <v>MAM</v>
      </c>
      <c r="W1946">
        <v>44.628</v>
      </c>
      <c r="X1946">
        <v>-24.128299999999999</v>
      </c>
    </row>
    <row r="1947" spans="1:24" x14ac:dyDescent="0.35">
      <c r="A1947" s="3" t="str">
        <f t="shared" si="30"/>
        <v>MG51507250008001MAM</v>
      </c>
      <c r="B1947" t="s">
        <v>6211</v>
      </c>
      <c r="C1947">
        <f>+VLOOKUP(Sites_per_tag[[#This Row],[Field_office]],Parameter!$A$3:$B$11,2,0)</f>
        <v>6</v>
      </c>
      <c r="E1947" t="s">
        <v>1448</v>
      </c>
      <c r="F1947" t="s">
        <v>5651</v>
      </c>
      <c r="H1947" t="str">
        <f ca="1">PROPER(Sites_per_tag[[#This Row],[Adm2Name]])</f>
        <v>Amboasary-Atsimo</v>
      </c>
      <c r="I1947" t="s">
        <v>5641</v>
      </c>
      <c r="K1947" t="s">
        <v>2561</v>
      </c>
      <c r="L1947" t="s">
        <v>5970</v>
      </c>
      <c r="N1947" t="s">
        <v>1297</v>
      </c>
      <c r="O1947" t="s">
        <v>5047</v>
      </c>
      <c r="Q1947" t="s">
        <v>1300</v>
      </c>
      <c r="R1947" t="s">
        <v>1301</v>
      </c>
      <c r="T1947" t="s">
        <v>5</v>
      </c>
      <c r="U1947" s="3" t="str">
        <f>+VLOOKUP(Sites_per_tag[[#This Row],[Activity_tag]],Parameter!$A$24:$B$32,2,0)</f>
        <v>MAM</v>
      </c>
      <c r="W1947">
        <v>46.132793999999997</v>
      </c>
      <c r="X1947">
        <v>-24.816690999999999</v>
      </c>
    </row>
    <row r="1948" spans="1:24" x14ac:dyDescent="0.35">
      <c r="A1948" s="3" t="str">
        <f t="shared" si="30"/>
        <v>MG51507250015001MAM</v>
      </c>
      <c r="B1948" t="s">
        <v>6267</v>
      </c>
      <c r="C1948">
        <f>+VLOOKUP(Sites_per_tag[[#This Row],[Field_office]],Parameter!$A$3:$B$11,2,0)</f>
        <v>9</v>
      </c>
      <c r="E1948" t="s">
        <v>5650</v>
      </c>
      <c r="F1948" t="s">
        <v>5654</v>
      </c>
      <c r="H1948" t="str">
        <f ca="1">PROPER(Sites_per_tag[[#This Row],[Adm2Name]])</f>
        <v>Ampanihy Ouest</v>
      </c>
      <c r="I1948" t="s">
        <v>5660</v>
      </c>
      <c r="K1948" t="s">
        <v>457</v>
      </c>
      <c r="L1948" t="s">
        <v>5748</v>
      </c>
      <c r="N1948" t="s">
        <v>883</v>
      </c>
      <c r="O1948" t="s">
        <v>881</v>
      </c>
      <c r="Q1948" t="s">
        <v>849</v>
      </c>
      <c r="R1948" t="s">
        <v>850</v>
      </c>
      <c r="T1948" t="s">
        <v>5</v>
      </c>
      <c r="U1948" s="3" t="str">
        <f>+VLOOKUP(Sites_per_tag[[#This Row],[Activity_tag]],Parameter!$A$24:$B$32,2,0)</f>
        <v>MAM</v>
      </c>
      <c r="W1948">
        <v>44.79815</v>
      </c>
      <c r="X1948">
        <v>-24.117049999999999</v>
      </c>
    </row>
    <row r="1949" spans="1:24" x14ac:dyDescent="0.35">
      <c r="A1949" s="3" t="str">
        <f t="shared" si="30"/>
        <v>MG51507250015PREV</v>
      </c>
      <c r="B1949" t="s">
        <v>6267</v>
      </c>
      <c r="C1949">
        <f>+VLOOKUP(Sites_per_tag[[#This Row],[Field_office]],Parameter!$A$3:$B$11,2,0)</f>
        <v>9</v>
      </c>
      <c r="E1949" t="s">
        <v>5650</v>
      </c>
      <c r="F1949" t="s">
        <v>5654</v>
      </c>
      <c r="H1949" t="str">
        <f ca="1">PROPER(Sites_per_tag[[#This Row],[Adm2Name]])</f>
        <v>Ampanihy Ouest</v>
      </c>
      <c r="I1949" t="s">
        <v>5660</v>
      </c>
      <c r="K1949" t="s">
        <v>5746</v>
      </c>
      <c r="L1949" t="s">
        <v>5960</v>
      </c>
      <c r="N1949" t="s">
        <v>4271</v>
      </c>
      <c r="Q1949" t="s">
        <v>880</v>
      </c>
      <c r="R1949" t="s">
        <v>881</v>
      </c>
      <c r="T1949" t="s">
        <v>32</v>
      </c>
      <c r="U1949" s="3" t="str">
        <f>+VLOOKUP(Sites_per_tag[[#This Row],[Activity_tag]],Parameter!$A$24:$B$32,2,0)</f>
        <v>PREV</v>
      </c>
      <c r="W1949">
        <v>44.79815</v>
      </c>
      <c r="X1949">
        <v>-24.117049999999999</v>
      </c>
    </row>
    <row r="1950" spans="1:24" x14ac:dyDescent="0.35">
      <c r="A1950" s="3" t="str">
        <f t="shared" si="30"/>
        <v>MG51507250057001MAM</v>
      </c>
      <c r="B1950" t="s">
        <v>6267</v>
      </c>
      <c r="C1950">
        <f>+VLOOKUP(Sites_per_tag[[#This Row],[Field_office]],Parameter!$A$3:$B$11,2,0)</f>
        <v>9</v>
      </c>
      <c r="E1950" t="s">
        <v>5650</v>
      </c>
      <c r="F1950" t="s">
        <v>5654</v>
      </c>
      <c r="H1950" t="str">
        <f ca="1">PROPER(Sites_per_tag[[#This Row],[Adm2Name]])</f>
        <v>Ampanihy Ouest</v>
      </c>
      <c r="I1950" t="s">
        <v>5660</v>
      </c>
      <c r="K1950" t="s">
        <v>3938</v>
      </c>
      <c r="L1950" t="s">
        <v>6169</v>
      </c>
      <c r="N1950" t="s">
        <v>478</v>
      </c>
      <c r="O1950" t="s">
        <v>5590</v>
      </c>
      <c r="Q1950" t="s">
        <v>478</v>
      </c>
      <c r="R1950" t="s">
        <v>479</v>
      </c>
      <c r="T1950" t="s">
        <v>5</v>
      </c>
      <c r="U1950" s="3" t="str">
        <f>+VLOOKUP(Sites_per_tag[[#This Row],[Activity_tag]],Parameter!$A$24:$B$32,2,0)</f>
        <v>MAM</v>
      </c>
      <c r="W1950">
        <v>44.774929999999998</v>
      </c>
      <c r="X1950">
        <v>-24.14583</v>
      </c>
    </row>
    <row r="1951" spans="1:24" x14ac:dyDescent="0.35">
      <c r="A1951" s="3" t="str">
        <f t="shared" si="30"/>
        <v>MG51507250058001MAM</v>
      </c>
      <c r="B1951" t="s">
        <v>6267</v>
      </c>
      <c r="C1951">
        <f>+VLOOKUP(Sites_per_tag[[#This Row],[Field_office]],Parameter!$A$3:$B$11,2,0)</f>
        <v>9</v>
      </c>
      <c r="E1951" t="s">
        <v>5650</v>
      </c>
      <c r="F1951" t="s">
        <v>5654</v>
      </c>
      <c r="H1951" t="str">
        <f ca="1">PROPER(Sites_per_tag[[#This Row],[Adm2Name]])</f>
        <v>Ampanihy Ouest</v>
      </c>
      <c r="I1951" t="s">
        <v>5660</v>
      </c>
      <c r="K1951" t="s">
        <v>3938</v>
      </c>
      <c r="L1951" t="s">
        <v>6169</v>
      </c>
      <c r="N1951" t="s">
        <v>885</v>
      </c>
      <c r="O1951" t="s">
        <v>5591</v>
      </c>
      <c r="Q1951" t="s">
        <v>885</v>
      </c>
      <c r="R1951" t="s">
        <v>886</v>
      </c>
      <c r="T1951" t="s">
        <v>5</v>
      </c>
      <c r="U1951" s="3" t="str">
        <f>+VLOOKUP(Sites_per_tag[[#This Row],[Activity_tag]],Parameter!$A$24:$B$32,2,0)</f>
        <v>MAM</v>
      </c>
      <c r="W1951">
        <v>44.79815</v>
      </c>
      <c r="X1951">
        <v>-24.117049999999999</v>
      </c>
    </row>
    <row r="1952" spans="1:24" x14ac:dyDescent="0.35">
      <c r="A1952" s="3" t="str">
        <f t="shared" si="30"/>
        <v>MG51507250059001MAM</v>
      </c>
      <c r="B1952" t="s">
        <v>6267</v>
      </c>
      <c r="C1952">
        <f>+VLOOKUP(Sites_per_tag[[#This Row],[Field_office]],Parameter!$A$3:$B$11,2,0)</f>
        <v>9</v>
      </c>
      <c r="E1952" t="s">
        <v>5650</v>
      </c>
      <c r="F1952" t="s">
        <v>5654</v>
      </c>
      <c r="H1952" t="str">
        <f ca="1">PROPER(Sites_per_tag[[#This Row],[Adm2Name]])</f>
        <v>Ampanihy Ouest</v>
      </c>
      <c r="I1952" t="s">
        <v>5660</v>
      </c>
      <c r="K1952" t="s">
        <v>3938</v>
      </c>
      <c r="L1952" t="s">
        <v>6169</v>
      </c>
      <c r="N1952" t="s">
        <v>1297</v>
      </c>
      <c r="O1952" t="s">
        <v>5592</v>
      </c>
      <c r="Q1952" t="s">
        <v>1297</v>
      </c>
      <c r="R1952" t="s">
        <v>1298</v>
      </c>
      <c r="T1952" t="s">
        <v>5</v>
      </c>
      <c r="U1952" s="3" t="str">
        <f>+VLOOKUP(Sites_per_tag[[#This Row],[Activity_tag]],Parameter!$A$24:$B$32,2,0)</f>
        <v>MAM</v>
      </c>
      <c r="W1952">
        <v>44.602919999999997</v>
      </c>
      <c r="X1952">
        <v>-24.14723</v>
      </c>
    </row>
    <row r="1953" spans="1:24" x14ac:dyDescent="0.35">
      <c r="A1953" s="3" t="str">
        <f t="shared" si="30"/>
        <v>MG51507250060001MAM</v>
      </c>
      <c r="B1953" t="s">
        <v>6267</v>
      </c>
      <c r="C1953">
        <f>+VLOOKUP(Sites_per_tag[[#This Row],[Field_office]],Parameter!$A$3:$B$11,2,0)</f>
        <v>9</v>
      </c>
      <c r="E1953" t="s">
        <v>5650</v>
      </c>
      <c r="F1953" t="s">
        <v>5654</v>
      </c>
      <c r="H1953" t="str">
        <f ca="1">PROPER(Sites_per_tag[[#This Row],[Adm2Name]])</f>
        <v>Ampanihy Ouest</v>
      </c>
      <c r="I1953" t="s">
        <v>5660</v>
      </c>
      <c r="K1953" t="s">
        <v>3938</v>
      </c>
      <c r="L1953" t="s">
        <v>6169</v>
      </c>
      <c r="N1953" t="s">
        <v>1711</v>
      </c>
      <c r="O1953" t="s">
        <v>5593</v>
      </c>
      <c r="Q1953" t="s">
        <v>1711</v>
      </c>
      <c r="R1953" t="s">
        <v>1712</v>
      </c>
      <c r="T1953" t="s">
        <v>5</v>
      </c>
      <c r="U1953" s="3" t="str">
        <f>+VLOOKUP(Sites_per_tag[[#This Row],[Activity_tag]],Parameter!$A$24:$B$32,2,0)</f>
        <v>MAM</v>
      </c>
      <c r="W1953">
        <v>44.733849999999997</v>
      </c>
      <c r="X1953">
        <v>-24.11375</v>
      </c>
    </row>
    <row r="1954" spans="1:24" x14ac:dyDescent="0.35">
      <c r="A1954" s="3" t="str">
        <f t="shared" si="30"/>
        <v>MG51507250061001MAM</v>
      </c>
      <c r="B1954" t="s">
        <v>6267</v>
      </c>
      <c r="C1954">
        <f>+VLOOKUP(Sites_per_tag[[#This Row],[Field_office]],Parameter!$A$3:$B$11,2,0)</f>
        <v>9</v>
      </c>
      <c r="E1954" t="s">
        <v>5650</v>
      </c>
      <c r="F1954" t="s">
        <v>5654</v>
      </c>
      <c r="H1954" t="str">
        <f ca="1">PROPER(Sites_per_tag[[#This Row],[Adm2Name]])</f>
        <v>Ampanihy Ouest</v>
      </c>
      <c r="I1954" t="s">
        <v>5660</v>
      </c>
      <c r="K1954" t="s">
        <v>3938</v>
      </c>
      <c r="L1954" t="s">
        <v>6169</v>
      </c>
      <c r="N1954" t="s">
        <v>1933</v>
      </c>
      <c r="O1954" t="s">
        <v>5594</v>
      </c>
      <c r="Q1954" t="s">
        <v>1933</v>
      </c>
      <c r="R1954" t="s">
        <v>1934</v>
      </c>
      <c r="T1954" t="s">
        <v>5</v>
      </c>
      <c r="U1954" s="3" t="str">
        <f>+VLOOKUP(Sites_per_tag[[#This Row],[Activity_tag]],Parameter!$A$24:$B$32,2,0)</f>
        <v>MAM</v>
      </c>
      <c r="W1954">
        <v>44.651949999999999</v>
      </c>
      <c r="X1954">
        <v>-24.176130000000001</v>
      </c>
    </row>
    <row r="1955" spans="1:24" x14ac:dyDescent="0.35">
      <c r="A1955" s="3" t="str">
        <f t="shared" si="30"/>
        <v>MG51507250062001MAM</v>
      </c>
      <c r="B1955" t="s">
        <v>6267</v>
      </c>
      <c r="C1955">
        <f>+VLOOKUP(Sites_per_tag[[#This Row],[Field_office]],Parameter!$A$3:$B$11,2,0)</f>
        <v>9</v>
      </c>
      <c r="E1955" t="s">
        <v>5650</v>
      </c>
      <c r="F1955" t="s">
        <v>5654</v>
      </c>
      <c r="H1955" t="str">
        <f ca="1">PROPER(Sites_per_tag[[#This Row],[Adm2Name]])</f>
        <v>Ampanihy Ouest</v>
      </c>
      <c r="I1955" t="s">
        <v>5660</v>
      </c>
      <c r="K1955" t="s">
        <v>3938</v>
      </c>
      <c r="L1955" t="s">
        <v>6169</v>
      </c>
      <c r="N1955" t="s">
        <v>2654</v>
      </c>
      <c r="O1955" t="s">
        <v>5595</v>
      </c>
      <c r="Q1955" t="s">
        <v>2654</v>
      </c>
      <c r="R1955" t="s">
        <v>2655</v>
      </c>
      <c r="T1955" t="s">
        <v>5</v>
      </c>
      <c r="U1955" s="3" t="str">
        <f>+VLOOKUP(Sites_per_tag[[#This Row],[Activity_tag]],Parameter!$A$24:$B$32,2,0)</f>
        <v>MAM</v>
      </c>
      <c r="W1955">
        <v>44.602350000000001</v>
      </c>
      <c r="X1955">
        <v>-24.180099999999999</v>
      </c>
    </row>
    <row r="1956" spans="1:24" x14ac:dyDescent="0.35">
      <c r="A1956" s="3" t="str">
        <f t="shared" si="30"/>
        <v>MG51507250063001MAM</v>
      </c>
      <c r="B1956" t="s">
        <v>6267</v>
      </c>
      <c r="C1956">
        <f>+VLOOKUP(Sites_per_tag[[#This Row],[Field_office]],Parameter!$A$3:$B$11,2,0)</f>
        <v>9</v>
      </c>
      <c r="E1956" t="s">
        <v>5650</v>
      </c>
      <c r="F1956" t="s">
        <v>5654</v>
      </c>
      <c r="H1956" t="str">
        <f ca="1">PROPER(Sites_per_tag[[#This Row],[Adm2Name]])</f>
        <v>Ampanihy Ouest</v>
      </c>
      <c r="I1956" t="s">
        <v>5660</v>
      </c>
      <c r="K1956" t="s">
        <v>3938</v>
      </c>
      <c r="L1956" t="s">
        <v>6169</v>
      </c>
      <c r="N1956" t="s">
        <v>3495</v>
      </c>
      <c r="O1956" t="s">
        <v>5596</v>
      </c>
      <c r="Q1956" t="s">
        <v>3495</v>
      </c>
      <c r="R1956" t="s">
        <v>3496</v>
      </c>
      <c r="T1956" t="s">
        <v>5</v>
      </c>
      <c r="U1956" s="3" t="str">
        <f>+VLOOKUP(Sites_per_tag[[#This Row],[Activity_tag]],Parameter!$A$24:$B$32,2,0)</f>
        <v>MAM</v>
      </c>
      <c r="W1956">
        <v>44.8307</v>
      </c>
      <c r="X1956">
        <v>-24.1236</v>
      </c>
    </row>
    <row r="1957" spans="1:24" x14ac:dyDescent="0.35">
      <c r="A1957" s="3" t="str">
        <f t="shared" si="30"/>
        <v>MG51507270001001MAM</v>
      </c>
      <c r="B1957" t="s">
        <v>6267</v>
      </c>
      <c r="C1957">
        <f>+VLOOKUP(Sites_per_tag[[#This Row],[Field_office]],Parameter!$A$3:$B$11,2,0)</f>
        <v>9</v>
      </c>
      <c r="E1957" t="s">
        <v>5650</v>
      </c>
      <c r="F1957" t="s">
        <v>5654</v>
      </c>
      <c r="H1957" t="str">
        <f ca="1">PROPER(Sites_per_tag[[#This Row],[Adm2Name]])</f>
        <v>Ampanihy Ouest</v>
      </c>
      <c r="I1957" t="s">
        <v>5660</v>
      </c>
      <c r="K1957" t="s">
        <v>2007</v>
      </c>
      <c r="L1957" t="s">
        <v>5921</v>
      </c>
      <c r="N1957" t="s">
        <v>2007</v>
      </c>
      <c r="O1957" t="s">
        <v>4872</v>
      </c>
      <c r="Q1957" t="s">
        <v>2007</v>
      </c>
      <c r="R1957" t="s">
        <v>2008</v>
      </c>
      <c r="T1957" t="s">
        <v>5</v>
      </c>
      <c r="U1957" s="3" t="str">
        <f>+VLOOKUP(Sites_per_tag[[#This Row],[Activity_tag]],Parameter!$A$24:$B$32,2,0)</f>
        <v>MAM</v>
      </c>
      <c r="W1957">
        <v>44.64085</v>
      </c>
      <c r="X1957">
        <v>-23.99898</v>
      </c>
    </row>
    <row r="1958" spans="1:24" x14ac:dyDescent="0.35">
      <c r="A1958" s="3" t="str">
        <f t="shared" si="30"/>
        <v>MG51507270004PREV</v>
      </c>
      <c r="B1958" t="s">
        <v>6267</v>
      </c>
      <c r="C1958">
        <f>+VLOOKUP(Sites_per_tag[[#This Row],[Field_office]],Parameter!$A$3:$B$11,2,0)</f>
        <v>9</v>
      </c>
      <c r="E1958" t="s">
        <v>5650</v>
      </c>
      <c r="F1958" t="s">
        <v>5654</v>
      </c>
      <c r="H1958" t="str">
        <f ca="1">PROPER(Sites_per_tag[[#This Row],[Adm2Name]])</f>
        <v>Ampanihy Ouest</v>
      </c>
      <c r="I1958" t="s">
        <v>5660</v>
      </c>
      <c r="K1958" t="s">
        <v>5103</v>
      </c>
      <c r="L1958" t="s">
        <v>5809</v>
      </c>
      <c r="N1958" t="s">
        <v>4254</v>
      </c>
      <c r="Q1958" t="s">
        <v>1268</v>
      </c>
      <c r="R1958" t="s">
        <v>1269</v>
      </c>
      <c r="T1958" t="s">
        <v>32</v>
      </c>
      <c r="U1958" s="3" t="str">
        <f>+VLOOKUP(Sites_per_tag[[#This Row],[Activity_tag]],Parameter!$A$24:$B$32,2,0)</f>
        <v>PREV</v>
      </c>
      <c r="W1958">
        <v>44.731430000000003</v>
      </c>
      <c r="X1958">
        <v>-23.971730000000001</v>
      </c>
    </row>
    <row r="1959" spans="1:24" x14ac:dyDescent="0.35">
      <c r="A1959" s="3" t="str">
        <f t="shared" si="30"/>
        <v>MG51507270007001MAM</v>
      </c>
      <c r="B1959" t="s">
        <v>6267</v>
      </c>
      <c r="C1959">
        <f>+VLOOKUP(Sites_per_tag[[#This Row],[Field_office]],Parameter!$A$3:$B$11,2,0)</f>
        <v>9</v>
      </c>
      <c r="E1959" t="s">
        <v>5650</v>
      </c>
      <c r="F1959" t="s">
        <v>5654</v>
      </c>
      <c r="H1959" t="str">
        <f ca="1">PROPER(Sites_per_tag[[#This Row],[Adm2Name]])</f>
        <v>Ampanihy Ouest</v>
      </c>
      <c r="I1959" t="s">
        <v>5660</v>
      </c>
      <c r="K1959" t="s">
        <v>2007</v>
      </c>
      <c r="L1959" t="s">
        <v>5921</v>
      </c>
      <c r="N1959" t="s">
        <v>2009</v>
      </c>
      <c r="O1959" t="s">
        <v>4873</v>
      </c>
      <c r="Q1959" t="s">
        <v>2009</v>
      </c>
      <c r="R1959" t="s">
        <v>2010</v>
      </c>
      <c r="T1959" t="s">
        <v>5</v>
      </c>
      <c r="U1959" s="3" t="str">
        <f>+VLOOKUP(Sites_per_tag[[#This Row],[Activity_tag]],Parameter!$A$24:$B$32,2,0)</f>
        <v>MAM</v>
      </c>
      <c r="W1959">
        <v>44.671320000000001</v>
      </c>
      <c r="X1959">
        <v>-23.996030000000001</v>
      </c>
    </row>
    <row r="1960" spans="1:24" x14ac:dyDescent="0.35">
      <c r="A1960" s="3" t="str">
        <f t="shared" si="30"/>
        <v>MG51507270010001MAM</v>
      </c>
      <c r="B1960" t="s">
        <v>6267</v>
      </c>
      <c r="C1960">
        <f>+VLOOKUP(Sites_per_tag[[#This Row],[Field_office]],Parameter!$A$3:$B$11,2,0)</f>
        <v>9</v>
      </c>
      <c r="E1960" t="s">
        <v>5650</v>
      </c>
      <c r="F1960" t="s">
        <v>5654</v>
      </c>
      <c r="H1960" t="str">
        <f ca="1">PROPER(Sites_per_tag[[#This Row],[Adm2Name]])</f>
        <v>Ampanihy Ouest</v>
      </c>
      <c r="I1960" t="s">
        <v>5660</v>
      </c>
      <c r="K1960" t="s">
        <v>2007</v>
      </c>
      <c r="L1960" t="s">
        <v>5921</v>
      </c>
      <c r="N1960" t="s">
        <v>4875</v>
      </c>
      <c r="O1960" t="s">
        <v>4874</v>
      </c>
      <c r="Q1960" t="s">
        <v>673</v>
      </c>
      <c r="R1960" t="s">
        <v>674</v>
      </c>
      <c r="T1960" t="s">
        <v>5</v>
      </c>
      <c r="U1960" s="3" t="str">
        <f>+VLOOKUP(Sites_per_tag[[#This Row],[Activity_tag]],Parameter!$A$24:$B$32,2,0)</f>
        <v>MAM</v>
      </c>
      <c r="W1960">
        <v>44.673050000000003</v>
      </c>
      <c r="X1960">
        <v>-24.019480000000001</v>
      </c>
    </row>
    <row r="1961" spans="1:24" x14ac:dyDescent="0.35">
      <c r="A1961" s="3" t="str">
        <f t="shared" si="30"/>
        <v>MG51507270011001MAM</v>
      </c>
      <c r="B1961" t="s">
        <v>6267</v>
      </c>
      <c r="C1961">
        <f>+VLOOKUP(Sites_per_tag[[#This Row],[Field_office]],Parameter!$A$3:$B$11,2,0)</f>
        <v>9</v>
      </c>
      <c r="E1961" t="s">
        <v>5650</v>
      </c>
      <c r="F1961" t="s">
        <v>5654</v>
      </c>
      <c r="H1961" t="str">
        <f ca="1">PROPER(Sites_per_tag[[#This Row],[Adm2Name]])</f>
        <v>Ampanihy Ouest</v>
      </c>
      <c r="I1961" t="s">
        <v>5660</v>
      </c>
      <c r="K1961" t="s">
        <v>2007</v>
      </c>
      <c r="L1961" t="s">
        <v>5921</v>
      </c>
      <c r="N1961" t="s">
        <v>1266</v>
      </c>
      <c r="O1961" t="s">
        <v>4876</v>
      </c>
      <c r="Q1961" t="s">
        <v>1272</v>
      </c>
      <c r="R1961" t="s">
        <v>1273</v>
      </c>
      <c r="T1961" t="s">
        <v>5</v>
      </c>
      <c r="U1961" s="3" t="str">
        <f>+VLOOKUP(Sites_per_tag[[#This Row],[Activity_tag]],Parameter!$A$24:$B$32,2,0)</f>
        <v>MAM</v>
      </c>
      <c r="W1961">
        <v>44.675773999999997</v>
      </c>
      <c r="X1961">
        <v>-24.035838999999999</v>
      </c>
    </row>
    <row r="1962" spans="1:24" x14ac:dyDescent="0.35">
      <c r="A1962" s="3" t="str">
        <f t="shared" si="30"/>
        <v>MG51507270012001MAM</v>
      </c>
      <c r="B1962" t="s">
        <v>6267</v>
      </c>
      <c r="C1962">
        <f>+VLOOKUP(Sites_per_tag[[#This Row],[Field_office]],Parameter!$A$3:$B$11,2,0)</f>
        <v>9</v>
      </c>
      <c r="E1962" t="s">
        <v>5650</v>
      </c>
      <c r="F1962" t="s">
        <v>5654</v>
      </c>
      <c r="H1962" t="str">
        <f ca="1">PROPER(Sites_per_tag[[#This Row],[Adm2Name]])</f>
        <v>Ampanihy Ouest</v>
      </c>
      <c r="I1962" t="s">
        <v>5660</v>
      </c>
      <c r="K1962" t="s">
        <v>2007</v>
      </c>
      <c r="L1962" t="s">
        <v>5921</v>
      </c>
      <c r="N1962" t="s">
        <v>3196</v>
      </c>
      <c r="O1962" t="s">
        <v>4877</v>
      </c>
      <c r="Q1962" t="s">
        <v>3208</v>
      </c>
      <c r="R1962" t="s">
        <v>3209</v>
      </c>
      <c r="T1962" t="s">
        <v>5</v>
      </c>
      <c r="U1962" s="3" t="str">
        <f>+VLOOKUP(Sites_per_tag[[#This Row],[Activity_tag]],Parameter!$A$24:$B$32,2,0)</f>
        <v>MAM</v>
      </c>
      <c r="W1962">
        <v>44.704793000000002</v>
      </c>
      <c r="X1962">
        <v>-24.02337</v>
      </c>
    </row>
    <row r="1963" spans="1:24" x14ac:dyDescent="0.35">
      <c r="A1963" s="3" t="str">
        <f t="shared" si="30"/>
        <v>MG51507270014001MAM</v>
      </c>
      <c r="B1963" t="s">
        <v>6267</v>
      </c>
      <c r="C1963">
        <f>+VLOOKUP(Sites_per_tag[[#This Row],[Field_office]],Parameter!$A$3:$B$11,2,0)</f>
        <v>9</v>
      </c>
      <c r="E1963" t="s">
        <v>5650</v>
      </c>
      <c r="F1963" t="s">
        <v>5654</v>
      </c>
      <c r="H1963" t="str">
        <f ca="1">PROPER(Sites_per_tag[[#This Row],[Adm2Name]])</f>
        <v>Ampanihy Ouest</v>
      </c>
      <c r="I1963" t="s">
        <v>5660</v>
      </c>
      <c r="K1963" t="s">
        <v>2007</v>
      </c>
      <c r="L1963" t="s">
        <v>5921</v>
      </c>
      <c r="N1963" t="s">
        <v>3778</v>
      </c>
      <c r="O1963" t="s">
        <v>4878</v>
      </c>
      <c r="Q1963" t="s">
        <v>3778</v>
      </c>
      <c r="R1963" t="s">
        <v>3779</v>
      </c>
      <c r="T1963" t="s">
        <v>5</v>
      </c>
      <c r="U1963" s="3" t="str">
        <f>+VLOOKUP(Sites_per_tag[[#This Row],[Activity_tag]],Parameter!$A$24:$B$32,2,0)</f>
        <v>MAM</v>
      </c>
      <c r="W1963">
        <v>44.699170000000002</v>
      </c>
      <c r="X1963">
        <v>-24.050930000000001</v>
      </c>
    </row>
    <row r="1964" spans="1:24" x14ac:dyDescent="0.35">
      <c r="A1964" s="3" t="str">
        <f t="shared" si="30"/>
        <v>MG51507270016001MAM</v>
      </c>
      <c r="B1964" t="s">
        <v>6267</v>
      </c>
      <c r="C1964">
        <f>+VLOOKUP(Sites_per_tag[[#This Row],[Field_office]],Parameter!$A$3:$B$11,2,0)</f>
        <v>9</v>
      </c>
      <c r="E1964" t="s">
        <v>5650</v>
      </c>
      <c r="F1964" t="s">
        <v>5654</v>
      </c>
      <c r="H1964" t="str">
        <f ca="1">PROPER(Sites_per_tag[[#This Row],[Adm2Name]])</f>
        <v>Ampanihy Ouest</v>
      </c>
      <c r="I1964" t="s">
        <v>5660</v>
      </c>
      <c r="K1964" t="s">
        <v>2007</v>
      </c>
      <c r="L1964" t="s">
        <v>5921</v>
      </c>
      <c r="N1964" t="s">
        <v>3780</v>
      </c>
      <c r="O1964" t="s">
        <v>4879</v>
      </c>
      <c r="Q1964" t="s">
        <v>3780</v>
      </c>
      <c r="R1964" t="s">
        <v>3781</v>
      </c>
      <c r="T1964" t="s">
        <v>5</v>
      </c>
      <c r="U1964" s="3" t="str">
        <f>+VLOOKUP(Sites_per_tag[[#This Row],[Activity_tag]],Parameter!$A$24:$B$32,2,0)</f>
        <v>MAM</v>
      </c>
      <c r="W1964">
        <v>44.741729999999997</v>
      </c>
      <c r="X1964">
        <v>-24.05583</v>
      </c>
    </row>
    <row r="1965" spans="1:24" x14ac:dyDescent="0.35">
      <c r="A1965" s="3" t="str">
        <f t="shared" si="30"/>
        <v>MG51507270017PREV</v>
      </c>
      <c r="B1965" t="s">
        <v>6267</v>
      </c>
      <c r="C1965">
        <f>+VLOOKUP(Sites_per_tag[[#This Row],[Field_office]],Parameter!$A$3:$B$11,2,0)</f>
        <v>9</v>
      </c>
      <c r="E1965" t="s">
        <v>5650</v>
      </c>
      <c r="F1965" t="s">
        <v>5654</v>
      </c>
      <c r="H1965" t="str">
        <f ca="1">PROPER(Sites_per_tag[[#This Row],[Adm2Name]])</f>
        <v>Ampanihy Ouest</v>
      </c>
      <c r="I1965" t="s">
        <v>5660</v>
      </c>
      <c r="K1965" t="s">
        <v>5783</v>
      </c>
      <c r="L1965" t="s">
        <v>5784</v>
      </c>
      <c r="N1965" t="s">
        <v>4241</v>
      </c>
      <c r="Q1965" t="s">
        <v>3504</v>
      </c>
      <c r="R1965" t="s">
        <v>3505</v>
      </c>
      <c r="T1965" t="s">
        <v>32</v>
      </c>
      <c r="U1965" s="3" t="str">
        <f>+VLOOKUP(Sites_per_tag[[#This Row],[Activity_tag]],Parameter!$A$24:$B$32,2,0)</f>
        <v>PREV</v>
      </c>
      <c r="W1965">
        <v>44.849530000000001</v>
      </c>
      <c r="X1965">
        <v>-24.02298</v>
      </c>
    </row>
    <row r="1966" spans="1:24" x14ac:dyDescent="0.35">
      <c r="A1966" s="3" t="str">
        <f t="shared" si="30"/>
        <v>MG51507270020001MAM</v>
      </c>
      <c r="B1966" t="s">
        <v>6267</v>
      </c>
      <c r="C1966">
        <f>+VLOOKUP(Sites_per_tag[[#This Row],[Field_office]],Parameter!$A$3:$B$11,2,0)</f>
        <v>9</v>
      </c>
      <c r="E1966" t="s">
        <v>5650</v>
      </c>
      <c r="F1966" t="s">
        <v>5654</v>
      </c>
      <c r="H1966" t="str">
        <f ca="1">PROPER(Sites_per_tag[[#This Row],[Adm2Name]])</f>
        <v>Ampanihy Ouest</v>
      </c>
      <c r="I1966" t="s">
        <v>5660</v>
      </c>
      <c r="K1966" t="s">
        <v>2007</v>
      </c>
      <c r="L1966" t="s">
        <v>5921</v>
      </c>
      <c r="N1966" t="s">
        <v>2049</v>
      </c>
      <c r="O1966" t="s">
        <v>4880</v>
      </c>
      <c r="Q1966" t="s">
        <v>2049</v>
      </c>
      <c r="R1966" t="s">
        <v>2050</v>
      </c>
      <c r="T1966" t="s">
        <v>5</v>
      </c>
      <c r="U1966" s="3" t="str">
        <f>+VLOOKUP(Sites_per_tag[[#This Row],[Activity_tag]],Parameter!$A$24:$B$32,2,0)</f>
        <v>MAM</v>
      </c>
      <c r="W1966">
        <v>44.80715</v>
      </c>
      <c r="X1966">
        <v>-24.026700000000002</v>
      </c>
    </row>
    <row r="1967" spans="1:24" x14ac:dyDescent="0.35">
      <c r="A1967" s="3" t="str">
        <f t="shared" si="30"/>
        <v>MG51507270021001MAM</v>
      </c>
      <c r="B1967" t="s">
        <v>6267</v>
      </c>
      <c r="C1967">
        <f>+VLOOKUP(Sites_per_tag[[#This Row],[Field_office]],Parameter!$A$3:$B$11,2,0)</f>
        <v>9</v>
      </c>
      <c r="E1967" t="s">
        <v>5650</v>
      </c>
      <c r="F1967" t="s">
        <v>5654</v>
      </c>
      <c r="H1967" t="str">
        <f ca="1">PROPER(Sites_per_tag[[#This Row],[Adm2Name]])</f>
        <v>Ampanihy Ouest</v>
      </c>
      <c r="I1967" t="s">
        <v>5660</v>
      </c>
      <c r="K1967" t="s">
        <v>2007</v>
      </c>
      <c r="L1967" t="s">
        <v>5921</v>
      </c>
      <c r="N1967" t="s">
        <v>1514</v>
      </c>
      <c r="O1967" t="s">
        <v>4881</v>
      </c>
      <c r="Q1967" t="s">
        <v>1514</v>
      </c>
      <c r="R1967" t="s">
        <v>1515</v>
      </c>
      <c r="T1967" t="s">
        <v>5</v>
      </c>
      <c r="U1967" s="3" t="str">
        <f>+VLOOKUP(Sites_per_tag[[#This Row],[Activity_tag]],Parameter!$A$24:$B$32,2,0)</f>
        <v>MAM</v>
      </c>
      <c r="W1967">
        <v>44.665230000000001</v>
      </c>
      <c r="X1967">
        <v>-24.015750000000001</v>
      </c>
    </row>
    <row r="1968" spans="1:24" x14ac:dyDescent="0.35">
      <c r="A1968" s="3" t="str">
        <f t="shared" si="30"/>
        <v>MG51507270022001MAM</v>
      </c>
      <c r="B1968" t="s">
        <v>6267</v>
      </c>
      <c r="C1968">
        <f>+VLOOKUP(Sites_per_tag[[#This Row],[Field_office]],Parameter!$A$3:$B$11,2,0)</f>
        <v>9</v>
      </c>
      <c r="E1968" t="s">
        <v>5650</v>
      </c>
      <c r="F1968" t="s">
        <v>5654</v>
      </c>
      <c r="H1968" t="str">
        <f ca="1">PROPER(Sites_per_tag[[#This Row],[Adm2Name]])</f>
        <v>Ampanihy Ouest</v>
      </c>
      <c r="I1968" t="s">
        <v>5660</v>
      </c>
      <c r="K1968" t="s">
        <v>2007</v>
      </c>
      <c r="L1968" t="s">
        <v>5921</v>
      </c>
      <c r="N1968" t="s">
        <v>4883</v>
      </c>
      <c r="O1968" t="s">
        <v>4882</v>
      </c>
      <c r="Q1968" t="s">
        <v>1928</v>
      </c>
      <c r="R1968" t="s">
        <v>1929</v>
      </c>
      <c r="T1968" t="s">
        <v>5</v>
      </c>
      <c r="U1968" s="3" t="str">
        <f>+VLOOKUP(Sites_per_tag[[#This Row],[Activity_tag]],Parameter!$A$24:$B$32,2,0)</f>
        <v>MAM</v>
      </c>
      <c r="W1968">
        <v>44.665149999999997</v>
      </c>
      <c r="X1968">
        <v>-23.997699999999998</v>
      </c>
    </row>
    <row r="1969" spans="1:24" x14ac:dyDescent="0.35">
      <c r="A1969" s="3" t="str">
        <f t="shared" si="30"/>
        <v>MG51507290001PREV</v>
      </c>
      <c r="B1969" t="s">
        <v>6267</v>
      </c>
      <c r="C1969">
        <f>+VLOOKUP(Sites_per_tag[[#This Row],[Field_office]],Parameter!$A$3:$B$11,2,0)</f>
        <v>9</v>
      </c>
      <c r="E1969" t="s">
        <v>5650</v>
      </c>
      <c r="F1969" t="s">
        <v>5654</v>
      </c>
      <c r="H1969" t="str">
        <f ca="1">PROPER(Sites_per_tag[[#This Row],[Adm2Name]])</f>
        <v>Ampanihy Ouest</v>
      </c>
      <c r="I1969" t="s">
        <v>5660</v>
      </c>
      <c r="K1969" t="s">
        <v>5746</v>
      </c>
      <c r="L1969" t="s">
        <v>5960</v>
      </c>
      <c r="N1969" t="s">
        <v>6458</v>
      </c>
      <c r="Q1969" t="s">
        <v>2498</v>
      </c>
      <c r="R1969" t="s">
        <v>2499</v>
      </c>
      <c r="T1969" t="s">
        <v>32</v>
      </c>
      <c r="U1969" s="3" t="str">
        <f>+VLOOKUP(Sites_per_tag[[#This Row],[Activity_tag]],Parameter!$A$24:$B$32,2,0)</f>
        <v>PREV</v>
      </c>
      <c r="W1969">
        <v>45.01735</v>
      </c>
      <c r="X1969">
        <v>-24.055430000000001</v>
      </c>
    </row>
    <row r="1970" spans="1:24" x14ac:dyDescent="0.35">
      <c r="A1970" s="3" t="str">
        <f t="shared" si="30"/>
        <v>MG51507290003001MAM</v>
      </c>
      <c r="B1970" t="s">
        <v>6267</v>
      </c>
      <c r="C1970">
        <f>+VLOOKUP(Sites_per_tag[[#This Row],[Field_office]],Parameter!$A$3:$B$11,2,0)</f>
        <v>9</v>
      </c>
      <c r="E1970" t="s">
        <v>5650</v>
      </c>
      <c r="F1970" t="s">
        <v>5654</v>
      </c>
      <c r="H1970" t="str">
        <f ca="1">PROPER(Sites_per_tag[[#This Row],[Adm2Name]])</f>
        <v>Ampanihy Ouest</v>
      </c>
      <c r="I1970" t="s">
        <v>5660</v>
      </c>
      <c r="K1970" t="s">
        <v>5746</v>
      </c>
      <c r="L1970" t="s">
        <v>5960</v>
      </c>
      <c r="N1970" t="s">
        <v>1667</v>
      </c>
      <c r="O1970" t="s">
        <v>4991</v>
      </c>
      <c r="Q1970" t="s">
        <v>1674</v>
      </c>
      <c r="R1970" t="s">
        <v>1675</v>
      </c>
      <c r="T1970" t="s">
        <v>5</v>
      </c>
      <c r="U1970" s="3" t="str">
        <f>+VLOOKUP(Sites_per_tag[[#This Row],[Activity_tag]],Parameter!$A$24:$B$32,2,0)</f>
        <v>MAM</v>
      </c>
      <c r="W1970">
        <v>44.939945999999999</v>
      </c>
      <c r="X1970">
        <v>-24.171831000000001</v>
      </c>
    </row>
    <row r="1971" spans="1:24" x14ac:dyDescent="0.35">
      <c r="A1971" s="3" t="str">
        <f t="shared" si="30"/>
        <v>MG51507290004001MAM</v>
      </c>
      <c r="B1971" t="s">
        <v>6267</v>
      </c>
      <c r="C1971">
        <f>+VLOOKUP(Sites_per_tag[[#This Row],[Field_office]],Parameter!$A$3:$B$11,2,0)</f>
        <v>9</v>
      </c>
      <c r="E1971" t="s">
        <v>5650</v>
      </c>
      <c r="F1971" t="s">
        <v>5654</v>
      </c>
      <c r="H1971" t="str">
        <f ca="1">PROPER(Sites_per_tag[[#This Row],[Adm2Name]])</f>
        <v>Ampanihy Ouest</v>
      </c>
      <c r="I1971" t="s">
        <v>5660</v>
      </c>
      <c r="K1971" t="s">
        <v>5783</v>
      </c>
      <c r="L1971" t="s">
        <v>5784</v>
      </c>
      <c r="N1971" t="s">
        <v>2865</v>
      </c>
      <c r="O1971" t="s">
        <v>4526</v>
      </c>
      <c r="Q1971" t="s">
        <v>2865</v>
      </c>
      <c r="R1971" t="s">
        <v>2866</v>
      </c>
      <c r="T1971" t="s">
        <v>5</v>
      </c>
      <c r="U1971" s="3" t="str">
        <f>+VLOOKUP(Sites_per_tag[[#This Row],[Activity_tag]],Parameter!$A$24:$B$32,2,0)</f>
        <v>MAM</v>
      </c>
      <c r="W1971">
        <v>44.892749999999999</v>
      </c>
      <c r="X1971">
        <v>-24.03867</v>
      </c>
    </row>
    <row r="1972" spans="1:24" x14ac:dyDescent="0.35">
      <c r="A1972" s="3" t="str">
        <f t="shared" si="30"/>
        <v>MG51507290006001MAM</v>
      </c>
      <c r="B1972" t="s">
        <v>6267</v>
      </c>
      <c r="C1972">
        <f>+VLOOKUP(Sites_per_tag[[#This Row],[Field_office]],Parameter!$A$3:$B$11,2,0)</f>
        <v>9</v>
      </c>
      <c r="E1972" t="s">
        <v>5650</v>
      </c>
      <c r="F1972" t="s">
        <v>5654</v>
      </c>
      <c r="H1972" t="str">
        <f ca="1">PROPER(Sites_per_tag[[#This Row],[Adm2Name]])</f>
        <v>Ampanihy Ouest</v>
      </c>
      <c r="I1972" t="s">
        <v>5660</v>
      </c>
      <c r="K1972" t="s">
        <v>5783</v>
      </c>
      <c r="L1972" t="s">
        <v>5784</v>
      </c>
      <c r="N1972" t="s">
        <v>1154</v>
      </c>
      <c r="O1972" t="s">
        <v>4527</v>
      </c>
      <c r="Q1972" t="s">
        <v>1158</v>
      </c>
      <c r="R1972" t="s">
        <v>1159</v>
      </c>
      <c r="T1972" t="s">
        <v>5</v>
      </c>
      <c r="U1972" s="3" t="str">
        <f>+VLOOKUP(Sites_per_tag[[#This Row],[Activity_tag]],Parameter!$A$24:$B$32,2,0)</f>
        <v>MAM</v>
      </c>
      <c r="W1972">
        <v>44.892380000000003</v>
      </c>
      <c r="X1972">
        <v>-23.965420000000002</v>
      </c>
    </row>
    <row r="1973" spans="1:24" x14ac:dyDescent="0.35">
      <c r="A1973" s="3" t="str">
        <f t="shared" si="30"/>
        <v>MG51507290008001MAM</v>
      </c>
      <c r="B1973" t="s">
        <v>6267</v>
      </c>
      <c r="C1973">
        <f>+VLOOKUP(Sites_per_tag[[#This Row],[Field_office]],Parameter!$A$3:$B$11,2,0)</f>
        <v>9</v>
      </c>
      <c r="E1973" t="s">
        <v>5650</v>
      </c>
      <c r="F1973" t="s">
        <v>5654</v>
      </c>
      <c r="H1973" t="str">
        <f ca="1">PROPER(Sites_per_tag[[#This Row],[Adm2Name]])</f>
        <v>Ampanihy Ouest</v>
      </c>
      <c r="I1973" t="s">
        <v>5660</v>
      </c>
      <c r="K1973" t="s">
        <v>5783</v>
      </c>
      <c r="L1973" t="s">
        <v>5784</v>
      </c>
      <c r="N1973" t="s">
        <v>699</v>
      </c>
      <c r="O1973" t="s">
        <v>4528</v>
      </c>
      <c r="Q1973" t="s">
        <v>699</v>
      </c>
      <c r="R1973" t="s">
        <v>700</v>
      </c>
      <c r="T1973" t="s">
        <v>5</v>
      </c>
      <c r="U1973" s="3" t="str">
        <f>+VLOOKUP(Sites_per_tag[[#This Row],[Activity_tag]],Parameter!$A$24:$B$32,2,0)</f>
        <v>MAM</v>
      </c>
      <c r="W1973">
        <v>44.95073</v>
      </c>
      <c r="X1973">
        <v>-23.984580000000001</v>
      </c>
    </row>
    <row r="1974" spans="1:24" x14ac:dyDescent="0.35">
      <c r="A1974" s="3" t="str">
        <f t="shared" si="30"/>
        <v>MG51507290010001STUNT</v>
      </c>
      <c r="B1974" t="s">
        <v>6267</v>
      </c>
      <c r="C1974">
        <f>+VLOOKUP(Sites_per_tag[[#This Row],[Field_office]],Parameter!$A$3:$B$11,2,0)</f>
        <v>9</v>
      </c>
      <c r="E1974" t="s">
        <v>5650</v>
      </c>
      <c r="F1974" t="s">
        <v>5654</v>
      </c>
      <c r="H1974" t="str">
        <f ca="1">PROPER(Sites_per_tag[[#This Row],[Adm2Name]])</f>
        <v>Ampanihy Ouest</v>
      </c>
      <c r="I1974" t="s">
        <v>5660</v>
      </c>
      <c r="K1974" t="s">
        <v>5746</v>
      </c>
      <c r="L1974" t="s">
        <v>5960</v>
      </c>
      <c r="N1974" t="s">
        <v>2017</v>
      </c>
      <c r="O1974" t="s">
        <v>4044</v>
      </c>
      <c r="Q1974" t="s">
        <v>2017</v>
      </c>
      <c r="R1974" t="s">
        <v>2020</v>
      </c>
      <c r="T1974" t="s">
        <v>50</v>
      </c>
      <c r="U1974" s="3" t="str">
        <f>+VLOOKUP(Sites_per_tag[[#This Row],[Activity_tag]],Parameter!$A$24:$B$32,2,0)</f>
        <v>STUNT</v>
      </c>
      <c r="V1974" t="s">
        <v>6459</v>
      </c>
      <c r="W1974">
        <v>45.068772000000003</v>
      </c>
      <c r="X1974">
        <v>-24.041001000000001</v>
      </c>
    </row>
    <row r="1975" spans="1:24" x14ac:dyDescent="0.35">
      <c r="A1975" s="3" t="str">
        <f t="shared" si="30"/>
        <v>MG51507290011001MAM</v>
      </c>
      <c r="B1975" t="s">
        <v>6267</v>
      </c>
      <c r="C1975">
        <f>+VLOOKUP(Sites_per_tag[[#This Row],[Field_office]],Parameter!$A$3:$B$11,2,0)</f>
        <v>9</v>
      </c>
      <c r="E1975" t="s">
        <v>5650</v>
      </c>
      <c r="F1975" t="s">
        <v>5654</v>
      </c>
      <c r="H1975" t="str">
        <f ca="1">PROPER(Sites_per_tag[[#This Row],[Adm2Name]])</f>
        <v>Ampanihy Ouest</v>
      </c>
      <c r="I1975" t="s">
        <v>5660</v>
      </c>
      <c r="K1975" t="s">
        <v>5783</v>
      </c>
      <c r="L1975" t="s">
        <v>5784</v>
      </c>
      <c r="N1975" t="s">
        <v>605</v>
      </c>
      <c r="O1975" t="s">
        <v>608</v>
      </c>
      <c r="Q1975" t="s">
        <v>605</v>
      </c>
      <c r="R1975" t="s">
        <v>606</v>
      </c>
      <c r="T1975" t="s">
        <v>5</v>
      </c>
      <c r="U1975" s="3" t="str">
        <f>+VLOOKUP(Sites_per_tag[[#This Row],[Activity_tag]],Parameter!$A$24:$B$32,2,0)</f>
        <v>MAM</v>
      </c>
      <c r="W1975">
        <v>44.95778</v>
      </c>
      <c r="X1975">
        <v>-23.992249999999999</v>
      </c>
    </row>
    <row r="1976" spans="1:24" x14ac:dyDescent="0.35">
      <c r="A1976" s="3" t="str">
        <f t="shared" si="30"/>
        <v>MG51507290011PREV</v>
      </c>
      <c r="B1976" t="s">
        <v>6267</v>
      </c>
      <c r="C1976">
        <f>+VLOOKUP(Sites_per_tag[[#This Row],[Field_office]],Parameter!$A$3:$B$11,2,0)</f>
        <v>9</v>
      </c>
      <c r="E1976" t="s">
        <v>5650</v>
      </c>
      <c r="F1976" t="s">
        <v>5654</v>
      </c>
      <c r="H1976" t="str">
        <f ca="1">PROPER(Sites_per_tag[[#This Row],[Adm2Name]])</f>
        <v>Ampanihy Ouest</v>
      </c>
      <c r="I1976" t="s">
        <v>5660</v>
      </c>
      <c r="K1976" t="s">
        <v>5783</v>
      </c>
      <c r="L1976" t="s">
        <v>5784</v>
      </c>
      <c r="N1976" t="s">
        <v>6460</v>
      </c>
      <c r="Q1976" t="s">
        <v>607</v>
      </c>
      <c r="R1976" t="s">
        <v>608</v>
      </c>
      <c r="T1976" t="s">
        <v>32</v>
      </c>
      <c r="U1976" s="3" t="str">
        <f>+VLOOKUP(Sites_per_tag[[#This Row],[Activity_tag]],Parameter!$A$24:$B$32,2,0)</f>
        <v>PREV</v>
      </c>
      <c r="W1976">
        <v>44.95778</v>
      </c>
      <c r="X1976">
        <v>-23.992249999999999</v>
      </c>
    </row>
    <row r="1977" spans="1:24" x14ac:dyDescent="0.35">
      <c r="A1977" s="3" t="str">
        <f t="shared" si="30"/>
        <v>MG51507290012001STUNT</v>
      </c>
      <c r="B1977" t="s">
        <v>6267</v>
      </c>
      <c r="C1977">
        <f>+VLOOKUP(Sites_per_tag[[#This Row],[Field_office]],Parameter!$A$3:$B$11,2,0)</f>
        <v>9</v>
      </c>
      <c r="E1977" t="s">
        <v>5650</v>
      </c>
      <c r="F1977" t="s">
        <v>5654</v>
      </c>
      <c r="H1977" t="str">
        <f ca="1">PROPER(Sites_per_tag[[#This Row],[Adm2Name]])</f>
        <v>Ampanihy Ouest</v>
      </c>
      <c r="I1977" t="s">
        <v>5660</v>
      </c>
      <c r="K1977" t="s">
        <v>5783</v>
      </c>
      <c r="L1977" t="s">
        <v>5784</v>
      </c>
      <c r="N1977" t="s">
        <v>701</v>
      </c>
      <c r="O1977" t="s">
        <v>702</v>
      </c>
      <c r="Q1977" t="s">
        <v>701</v>
      </c>
      <c r="R1977" t="s">
        <v>703</v>
      </c>
      <c r="T1977" t="s">
        <v>50</v>
      </c>
      <c r="U1977" s="3" t="str">
        <f>+VLOOKUP(Sites_per_tag[[#This Row],[Activity_tag]],Parameter!$A$24:$B$32,2,0)</f>
        <v>STUNT</v>
      </c>
      <c r="V1977" t="s">
        <v>6461</v>
      </c>
      <c r="W1977">
        <v>44.917900000000003</v>
      </c>
      <c r="X1977">
        <v>-23.99755</v>
      </c>
    </row>
    <row r="1978" spans="1:24" x14ac:dyDescent="0.35">
      <c r="A1978" s="3" t="str">
        <f t="shared" si="30"/>
        <v>MG51507290012PREV</v>
      </c>
      <c r="B1978" t="s">
        <v>6267</v>
      </c>
      <c r="C1978">
        <f>+VLOOKUP(Sites_per_tag[[#This Row],[Field_office]],Parameter!$A$3:$B$11,2,0)</f>
        <v>9</v>
      </c>
      <c r="E1978" t="s">
        <v>5650</v>
      </c>
      <c r="F1978" t="s">
        <v>5654</v>
      </c>
      <c r="H1978" t="str">
        <f ca="1">PROPER(Sites_per_tag[[#This Row],[Adm2Name]])</f>
        <v>Ampanihy Ouest</v>
      </c>
      <c r="I1978" t="s">
        <v>5660</v>
      </c>
      <c r="K1978" t="s">
        <v>5783</v>
      </c>
      <c r="L1978" t="s">
        <v>5784</v>
      </c>
      <c r="N1978" t="s">
        <v>6462</v>
      </c>
      <c r="Q1978" t="s">
        <v>701</v>
      </c>
      <c r="R1978" t="s">
        <v>702</v>
      </c>
      <c r="T1978" t="s">
        <v>32</v>
      </c>
      <c r="U1978" s="3" t="str">
        <f>+VLOOKUP(Sites_per_tag[[#This Row],[Activity_tag]],Parameter!$A$24:$B$32,2,0)</f>
        <v>PREV</v>
      </c>
      <c r="W1978">
        <v>44.917900000000003</v>
      </c>
      <c r="X1978">
        <v>-23.99755</v>
      </c>
    </row>
    <row r="1979" spans="1:24" x14ac:dyDescent="0.35">
      <c r="A1979" s="3" t="str">
        <f t="shared" si="30"/>
        <v>MG51507290015001STUNT</v>
      </c>
      <c r="B1979" t="s">
        <v>6267</v>
      </c>
      <c r="C1979">
        <f>+VLOOKUP(Sites_per_tag[[#This Row],[Field_office]],Parameter!$A$3:$B$11,2,0)</f>
        <v>9</v>
      </c>
      <c r="E1979" t="s">
        <v>5650</v>
      </c>
      <c r="F1979" t="s">
        <v>5654</v>
      </c>
      <c r="H1979" t="str">
        <f ca="1">PROPER(Sites_per_tag[[#This Row],[Adm2Name]])</f>
        <v>Ampanihy Ouest</v>
      </c>
      <c r="I1979" t="s">
        <v>5660</v>
      </c>
      <c r="K1979" t="s">
        <v>5746</v>
      </c>
      <c r="L1979" t="s">
        <v>5960</v>
      </c>
      <c r="N1979" t="s">
        <v>883</v>
      </c>
      <c r="O1979" t="s">
        <v>4045</v>
      </c>
      <c r="Q1979" t="s">
        <v>883</v>
      </c>
      <c r="R1979" t="s">
        <v>884</v>
      </c>
      <c r="T1979" t="s">
        <v>50</v>
      </c>
      <c r="U1979" s="3" t="str">
        <f>+VLOOKUP(Sites_per_tag[[#This Row],[Activity_tag]],Parameter!$A$24:$B$32,2,0)</f>
        <v>STUNT</v>
      </c>
      <c r="V1979" t="s">
        <v>6463</v>
      </c>
      <c r="W1979">
        <v>44.79815</v>
      </c>
      <c r="X1979">
        <v>-24.117049999999999</v>
      </c>
    </row>
    <row r="1980" spans="1:24" x14ac:dyDescent="0.35">
      <c r="A1980" s="3" t="str">
        <f t="shared" si="30"/>
        <v>MG51507290017PREV</v>
      </c>
      <c r="B1980" t="s">
        <v>6267</v>
      </c>
      <c r="C1980">
        <f>+VLOOKUP(Sites_per_tag[[#This Row],[Field_office]],Parameter!$A$3:$B$11,2,0)</f>
        <v>9</v>
      </c>
      <c r="E1980" t="s">
        <v>5650</v>
      </c>
      <c r="F1980" t="s">
        <v>5654</v>
      </c>
      <c r="H1980" t="str">
        <f ca="1">PROPER(Sites_per_tag[[#This Row],[Adm2Name]])</f>
        <v>Ampanihy Ouest</v>
      </c>
      <c r="I1980" t="s">
        <v>5660</v>
      </c>
      <c r="K1980" t="s">
        <v>5746</v>
      </c>
      <c r="L1980" t="s">
        <v>5960</v>
      </c>
      <c r="N1980" t="s">
        <v>6464</v>
      </c>
      <c r="Q1980" t="s">
        <v>1914</v>
      </c>
      <c r="R1980" t="s">
        <v>1915</v>
      </c>
      <c r="T1980" t="s">
        <v>32</v>
      </c>
      <c r="U1980" s="3" t="str">
        <f>+VLOOKUP(Sites_per_tag[[#This Row],[Activity_tag]],Parameter!$A$24:$B$32,2,0)</f>
        <v>PREV</v>
      </c>
      <c r="W1980">
        <v>44.992280000000001</v>
      </c>
      <c r="X1980">
        <v>-24.019670000000001</v>
      </c>
    </row>
    <row r="1981" spans="1:24" x14ac:dyDescent="0.35">
      <c r="A1981" s="3" t="str">
        <f t="shared" si="30"/>
        <v>MG51507290018PREV</v>
      </c>
      <c r="B1981" t="s">
        <v>6267</v>
      </c>
      <c r="C1981">
        <f>+VLOOKUP(Sites_per_tag[[#This Row],[Field_office]],Parameter!$A$3:$B$11,2,0)</f>
        <v>9</v>
      </c>
      <c r="E1981" t="s">
        <v>5650</v>
      </c>
      <c r="F1981" t="s">
        <v>5654</v>
      </c>
      <c r="H1981" t="str">
        <f ca="1">PROPER(Sites_per_tag[[#This Row],[Adm2Name]])</f>
        <v>Ampanihy Ouest</v>
      </c>
      <c r="I1981" t="s">
        <v>5660</v>
      </c>
      <c r="K1981" t="s">
        <v>5783</v>
      </c>
      <c r="L1981" t="s">
        <v>5784</v>
      </c>
      <c r="N1981" t="s">
        <v>4243</v>
      </c>
      <c r="Q1981" t="s">
        <v>3592</v>
      </c>
      <c r="R1981" t="s">
        <v>3593</v>
      </c>
      <c r="T1981" t="s">
        <v>32</v>
      </c>
      <c r="U1981" s="3" t="str">
        <f>+VLOOKUP(Sites_per_tag[[#This Row],[Activity_tag]],Parameter!$A$24:$B$32,2,0)</f>
        <v>PREV</v>
      </c>
      <c r="W1981">
        <v>44.92062</v>
      </c>
      <c r="X1981">
        <v>-24.04252</v>
      </c>
    </row>
    <row r="1982" spans="1:24" x14ac:dyDescent="0.35">
      <c r="A1982" s="3" t="str">
        <f t="shared" si="30"/>
        <v>MG51507290020001STUNT</v>
      </c>
      <c r="B1982" t="s">
        <v>6267</v>
      </c>
      <c r="C1982">
        <f>+VLOOKUP(Sites_per_tag[[#This Row],[Field_office]],Parameter!$A$3:$B$11,2,0)</f>
        <v>9</v>
      </c>
      <c r="E1982" t="s">
        <v>5650</v>
      </c>
      <c r="F1982" t="s">
        <v>5654</v>
      </c>
      <c r="H1982" t="str">
        <f ca="1">PROPER(Sites_per_tag[[#This Row],[Adm2Name]])</f>
        <v>Ampanihy Ouest</v>
      </c>
      <c r="I1982" t="s">
        <v>5660</v>
      </c>
      <c r="K1982" t="s">
        <v>5783</v>
      </c>
      <c r="L1982" t="s">
        <v>5784</v>
      </c>
      <c r="N1982" t="s">
        <v>2867</v>
      </c>
      <c r="O1982" t="s">
        <v>2870</v>
      </c>
      <c r="Q1982" t="s">
        <v>2867</v>
      </c>
      <c r="R1982" t="s">
        <v>2868</v>
      </c>
      <c r="T1982" t="s">
        <v>50</v>
      </c>
      <c r="U1982" s="3" t="str">
        <f>+VLOOKUP(Sites_per_tag[[#This Row],[Activity_tag]],Parameter!$A$24:$B$32,2,0)</f>
        <v>STUNT</v>
      </c>
      <c r="V1982" t="s">
        <v>6465</v>
      </c>
      <c r="W1982">
        <v>44.88993</v>
      </c>
      <c r="X1982">
        <v>-24.02955</v>
      </c>
    </row>
    <row r="1983" spans="1:24" x14ac:dyDescent="0.35">
      <c r="A1983" s="3" t="str">
        <f t="shared" si="30"/>
        <v>MG51507290020PREV</v>
      </c>
      <c r="B1983" t="s">
        <v>6267</v>
      </c>
      <c r="C1983">
        <f>+VLOOKUP(Sites_per_tag[[#This Row],[Field_office]],Parameter!$A$3:$B$11,2,0)</f>
        <v>9</v>
      </c>
      <c r="E1983" t="s">
        <v>5650</v>
      </c>
      <c r="F1983" t="s">
        <v>5654</v>
      </c>
      <c r="H1983" t="str">
        <f ca="1">PROPER(Sites_per_tag[[#This Row],[Adm2Name]])</f>
        <v>Ampanihy Ouest</v>
      </c>
      <c r="I1983" t="s">
        <v>5660</v>
      </c>
      <c r="K1983" t="s">
        <v>5783</v>
      </c>
      <c r="L1983" t="s">
        <v>5784</v>
      </c>
      <c r="N1983" t="s">
        <v>4242</v>
      </c>
      <c r="Q1983" t="s">
        <v>2869</v>
      </c>
      <c r="R1983" t="s">
        <v>2870</v>
      </c>
      <c r="T1983" t="s">
        <v>32</v>
      </c>
      <c r="U1983" s="3" t="str">
        <f>+VLOOKUP(Sites_per_tag[[#This Row],[Activity_tag]],Parameter!$A$24:$B$32,2,0)</f>
        <v>PREV</v>
      </c>
      <c r="W1983">
        <v>44.892749999999999</v>
      </c>
      <c r="X1983">
        <v>-24.03867</v>
      </c>
    </row>
    <row r="1984" spans="1:24" x14ac:dyDescent="0.35">
      <c r="A1984" s="3" t="str">
        <f t="shared" si="30"/>
        <v>MG51507290021001STUNT</v>
      </c>
      <c r="B1984" t="s">
        <v>6267</v>
      </c>
      <c r="C1984">
        <f>+VLOOKUP(Sites_per_tag[[#This Row],[Field_office]],Parameter!$A$3:$B$11,2,0)</f>
        <v>9</v>
      </c>
      <c r="E1984" t="s">
        <v>5650</v>
      </c>
      <c r="F1984" t="s">
        <v>5654</v>
      </c>
      <c r="H1984" t="str">
        <f ca="1">PROPER(Sites_per_tag[[#This Row],[Adm2Name]])</f>
        <v>Ampanihy Ouest</v>
      </c>
      <c r="I1984" t="s">
        <v>5660</v>
      </c>
      <c r="K1984" t="s">
        <v>5746</v>
      </c>
      <c r="L1984" t="s">
        <v>5960</v>
      </c>
      <c r="N1984" t="s">
        <v>432</v>
      </c>
      <c r="O1984" t="s">
        <v>4046</v>
      </c>
      <c r="Q1984" t="s">
        <v>432</v>
      </c>
      <c r="R1984" t="s">
        <v>433</v>
      </c>
      <c r="T1984" t="s">
        <v>50</v>
      </c>
      <c r="U1984" s="3" t="str">
        <f>+VLOOKUP(Sites_per_tag[[#This Row],[Activity_tag]],Parameter!$A$24:$B$32,2,0)</f>
        <v>STUNT</v>
      </c>
      <c r="V1984" t="s">
        <v>6466</v>
      </c>
      <c r="W1984">
        <v>44.879800000000003</v>
      </c>
      <c r="X1984">
        <v>-24.058499999999999</v>
      </c>
    </row>
    <row r="1985" spans="1:24" x14ac:dyDescent="0.35">
      <c r="A1985" s="3" t="str">
        <f t="shared" si="30"/>
        <v>MG51507290027001STUNT</v>
      </c>
      <c r="B1985" t="s">
        <v>6267</v>
      </c>
      <c r="C1985">
        <f>+VLOOKUP(Sites_per_tag[[#This Row],[Field_office]],Parameter!$A$3:$B$11,2,0)</f>
        <v>9</v>
      </c>
      <c r="E1985" t="s">
        <v>5650</v>
      </c>
      <c r="F1985" t="s">
        <v>5654</v>
      </c>
      <c r="H1985" t="str">
        <f ca="1">PROPER(Sites_per_tag[[#This Row],[Adm2Name]])</f>
        <v>Ampanihy Ouest</v>
      </c>
      <c r="I1985" t="s">
        <v>5660</v>
      </c>
      <c r="K1985" t="s">
        <v>5746</v>
      </c>
      <c r="L1985" t="s">
        <v>5960</v>
      </c>
      <c r="N1985" t="s">
        <v>2117</v>
      </c>
      <c r="O1985" t="s">
        <v>2118</v>
      </c>
      <c r="Q1985" t="s">
        <v>2117</v>
      </c>
      <c r="R1985" t="s">
        <v>2119</v>
      </c>
      <c r="T1985" t="s">
        <v>50</v>
      </c>
      <c r="U1985" s="3" t="str">
        <f>+VLOOKUP(Sites_per_tag[[#This Row],[Activity_tag]],Parameter!$A$24:$B$32,2,0)</f>
        <v>STUNT</v>
      </c>
      <c r="V1985" t="s">
        <v>6467</v>
      </c>
      <c r="W1985">
        <v>44.983280000000001</v>
      </c>
      <c r="X1985">
        <v>-24.090299999999999</v>
      </c>
    </row>
    <row r="1986" spans="1:24" x14ac:dyDescent="0.35">
      <c r="A1986" s="3" t="str">
        <f t="shared" si="30"/>
        <v>MG51507290027PREV</v>
      </c>
      <c r="B1986" t="s">
        <v>6267</v>
      </c>
      <c r="C1986">
        <f>+VLOOKUP(Sites_per_tag[[#This Row],[Field_office]],Parameter!$A$3:$B$11,2,0)</f>
        <v>9</v>
      </c>
      <c r="E1986" t="s">
        <v>5650</v>
      </c>
      <c r="F1986" t="s">
        <v>5654</v>
      </c>
      <c r="H1986" t="str">
        <f ca="1">PROPER(Sites_per_tag[[#This Row],[Adm2Name]])</f>
        <v>Ampanihy Ouest</v>
      </c>
      <c r="I1986" t="s">
        <v>5660</v>
      </c>
      <c r="K1986" t="s">
        <v>5746</v>
      </c>
      <c r="L1986" t="s">
        <v>5960</v>
      </c>
      <c r="N1986" t="s">
        <v>6468</v>
      </c>
      <c r="Q1986" t="s">
        <v>2117</v>
      </c>
      <c r="R1986" t="s">
        <v>2118</v>
      </c>
      <c r="T1986" t="s">
        <v>32</v>
      </c>
      <c r="U1986" s="3" t="str">
        <f>+VLOOKUP(Sites_per_tag[[#This Row],[Activity_tag]],Parameter!$A$24:$B$32,2,0)</f>
        <v>PREV</v>
      </c>
      <c r="W1986">
        <v>44.977820000000001</v>
      </c>
      <c r="X1986">
        <v>-24.082999999999998</v>
      </c>
    </row>
    <row r="1987" spans="1:24" x14ac:dyDescent="0.35">
      <c r="A1987" s="3" t="str">
        <f t="shared" ref="A1987:A2050" si="31">+R1987&amp;U1987</f>
        <v>MG51507290032001STUNT</v>
      </c>
      <c r="B1987" t="s">
        <v>6267</v>
      </c>
      <c r="C1987">
        <f>+VLOOKUP(Sites_per_tag[[#This Row],[Field_office]],Parameter!$A$3:$B$11,2,0)</f>
        <v>9</v>
      </c>
      <c r="E1987" t="s">
        <v>5650</v>
      </c>
      <c r="F1987" t="s">
        <v>5654</v>
      </c>
      <c r="H1987" t="str">
        <f ca="1">PROPER(Sites_per_tag[[#This Row],[Adm2Name]])</f>
        <v>Ampanihy Ouest</v>
      </c>
      <c r="I1987" t="s">
        <v>5660</v>
      </c>
      <c r="K1987" t="s">
        <v>5746</v>
      </c>
      <c r="L1987" t="s">
        <v>5960</v>
      </c>
      <c r="N1987" t="s">
        <v>3446</v>
      </c>
      <c r="O1987" t="s">
        <v>3445</v>
      </c>
      <c r="Q1987" t="s">
        <v>3446</v>
      </c>
      <c r="R1987" t="s">
        <v>3447</v>
      </c>
      <c r="T1987" t="s">
        <v>50</v>
      </c>
      <c r="U1987" s="3" t="str">
        <f>+VLOOKUP(Sites_per_tag[[#This Row],[Activity_tag]],Parameter!$A$24:$B$32,2,0)</f>
        <v>STUNT</v>
      </c>
      <c r="V1987" t="s">
        <v>6469</v>
      </c>
      <c r="W1987">
        <v>45.041069999999998</v>
      </c>
      <c r="X1987">
        <v>-24.101299999999998</v>
      </c>
    </row>
    <row r="1988" spans="1:24" x14ac:dyDescent="0.35">
      <c r="A1988" s="3" t="str">
        <f t="shared" si="31"/>
        <v>MG51507290032PREV</v>
      </c>
      <c r="B1988" t="s">
        <v>6267</v>
      </c>
      <c r="C1988">
        <f>+VLOOKUP(Sites_per_tag[[#This Row],[Field_office]],Parameter!$A$3:$B$11,2,0)</f>
        <v>9</v>
      </c>
      <c r="E1988" t="s">
        <v>5650</v>
      </c>
      <c r="F1988" t="s">
        <v>5654</v>
      </c>
      <c r="H1988" t="str">
        <f ca="1">PROPER(Sites_per_tag[[#This Row],[Adm2Name]])</f>
        <v>Ampanihy Ouest</v>
      </c>
      <c r="I1988" t="s">
        <v>5660</v>
      </c>
      <c r="K1988" t="s">
        <v>5746</v>
      </c>
      <c r="L1988" t="s">
        <v>5960</v>
      </c>
      <c r="N1988" t="s">
        <v>4272</v>
      </c>
      <c r="Q1988" t="s">
        <v>3444</v>
      </c>
      <c r="R1988" t="s">
        <v>3445</v>
      </c>
      <c r="T1988" t="s">
        <v>32</v>
      </c>
      <c r="U1988" s="3" t="str">
        <f>+VLOOKUP(Sites_per_tag[[#This Row],[Activity_tag]],Parameter!$A$24:$B$32,2,0)</f>
        <v>PREV</v>
      </c>
      <c r="W1988">
        <v>45.024650000000001</v>
      </c>
      <c r="X1988">
        <v>-24.115369999999999</v>
      </c>
    </row>
    <row r="1989" spans="1:24" x14ac:dyDescent="0.35">
      <c r="A1989" s="3" t="str">
        <f t="shared" si="31"/>
        <v>MG51507290034PREV</v>
      </c>
      <c r="B1989" t="s">
        <v>6267</v>
      </c>
      <c r="C1989">
        <f>+VLOOKUP(Sites_per_tag[[#This Row],[Field_office]],Parameter!$A$3:$B$11,2,0)</f>
        <v>9</v>
      </c>
      <c r="E1989" t="s">
        <v>5650</v>
      </c>
      <c r="F1989" t="s">
        <v>5654</v>
      </c>
      <c r="H1989" t="str">
        <f ca="1">PROPER(Sites_per_tag[[#This Row],[Adm2Name]])</f>
        <v>Ampanihy Ouest</v>
      </c>
      <c r="I1989" t="s">
        <v>5660</v>
      </c>
      <c r="K1989" t="s">
        <v>5799</v>
      </c>
      <c r="L1989" t="s">
        <v>5942</v>
      </c>
      <c r="N1989" t="s">
        <v>4268</v>
      </c>
      <c r="Q1989" t="s">
        <v>3773</v>
      </c>
      <c r="R1989" t="s">
        <v>3775</v>
      </c>
      <c r="T1989" t="s">
        <v>32</v>
      </c>
      <c r="U1989" s="3" t="str">
        <f>+VLOOKUP(Sites_per_tag[[#This Row],[Activity_tag]],Parameter!$A$24:$B$32,2,0)</f>
        <v>PREV</v>
      </c>
      <c r="W1989">
        <v>44.85098</v>
      </c>
      <c r="X1989">
        <v>-24.11347</v>
      </c>
    </row>
    <row r="1990" spans="1:24" x14ac:dyDescent="0.35">
      <c r="A1990" s="3" t="str">
        <f t="shared" si="31"/>
        <v>MG51507290037001MAM</v>
      </c>
      <c r="B1990" t="s">
        <v>6267</v>
      </c>
      <c r="C1990">
        <f>+VLOOKUP(Sites_per_tag[[#This Row],[Field_office]],Parameter!$A$3:$B$11,2,0)</f>
        <v>9</v>
      </c>
      <c r="E1990" t="s">
        <v>5650</v>
      </c>
      <c r="F1990" t="s">
        <v>5654</v>
      </c>
      <c r="H1990" t="str">
        <f ca="1">PROPER(Sites_per_tag[[#This Row],[Adm2Name]])</f>
        <v>Ampanihy Ouest</v>
      </c>
      <c r="I1990" t="s">
        <v>5660</v>
      </c>
      <c r="K1990" t="s">
        <v>5746</v>
      </c>
      <c r="L1990" t="s">
        <v>5960</v>
      </c>
      <c r="N1990" t="s">
        <v>3430</v>
      </c>
      <c r="O1990" t="s">
        <v>4992</v>
      </c>
      <c r="Q1990" t="s">
        <v>3430</v>
      </c>
      <c r="R1990" t="s">
        <v>3431</v>
      </c>
      <c r="T1990" t="s">
        <v>5</v>
      </c>
      <c r="U1990" s="3" t="str">
        <f>+VLOOKUP(Sites_per_tag[[#This Row],[Activity_tag]],Parameter!$A$24:$B$32,2,0)</f>
        <v>MAM</v>
      </c>
      <c r="W1990">
        <v>44.970030000000001</v>
      </c>
      <c r="X1990">
        <v>-24.14132</v>
      </c>
    </row>
    <row r="1991" spans="1:24" x14ac:dyDescent="0.35">
      <c r="A1991" s="3" t="str">
        <f t="shared" si="31"/>
        <v>MG51507290041001MAM</v>
      </c>
      <c r="B1991" t="s">
        <v>6267</v>
      </c>
      <c r="C1991">
        <f>+VLOOKUP(Sites_per_tag[[#This Row],[Field_office]],Parameter!$A$3:$B$11,2,0)</f>
        <v>9</v>
      </c>
      <c r="E1991" t="s">
        <v>5650</v>
      </c>
      <c r="F1991" t="s">
        <v>5654</v>
      </c>
      <c r="H1991" t="str">
        <f ca="1">PROPER(Sites_per_tag[[#This Row],[Adm2Name]])</f>
        <v>Ampanihy Ouest</v>
      </c>
      <c r="I1991" t="s">
        <v>5660</v>
      </c>
      <c r="K1991" t="s">
        <v>5746</v>
      </c>
      <c r="L1991" t="s">
        <v>5960</v>
      </c>
      <c r="N1991" t="s">
        <v>599</v>
      </c>
      <c r="O1991" t="s">
        <v>4993</v>
      </c>
      <c r="Q1991" t="s">
        <v>599</v>
      </c>
      <c r="R1991" t="s">
        <v>600</v>
      </c>
      <c r="T1991" t="s">
        <v>5</v>
      </c>
      <c r="U1991" s="3" t="str">
        <f>+VLOOKUP(Sites_per_tag[[#This Row],[Activity_tag]],Parameter!$A$24:$B$32,2,0)</f>
        <v>MAM</v>
      </c>
      <c r="W1991">
        <v>45.052782999999998</v>
      </c>
      <c r="X1991">
        <v>-24.167306</v>
      </c>
    </row>
    <row r="1992" spans="1:24" x14ac:dyDescent="0.35">
      <c r="A1992" s="3" t="str">
        <f t="shared" si="31"/>
        <v>MG51507290044001STUNT</v>
      </c>
      <c r="B1992" t="s">
        <v>6267</v>
      </c>
      <c r="C1992">
        <f>+VLOOKUP(Sites_per_tag[[#This Row],[Field_office]],Parameter!$A$3:$B$11,2,0)</f>
        <v>9</v>
      </c>
      <c r="E1992" t="s">
        <v>5650</v>
      </c>
      <c r="F1992" t="s">
        <v>5654</v>
      </c>
      <c r="H1992" t="str">
        <f ca="1">PROPER(Sites_per_tag[[#This Row],[Adm2Name]])</f>
        <v>Ampanihy Ouest</v>
      </c>
      <c r="I1992" t="s">
        <v>5660</v>
      </c>
      <c r="K1992" t="s">
        <v>5746</v>
      </c>
      <c r="L1992" t="s">
        <v>5960</v>
      </c>
      <c r="N1992" t="s">
        <v>1853</v>
      </c>
      <c r="O1992" t="s">
        <v>1854</v>
      </c>
      <c r="Q1992" t="s">
        <v>1853</v>
      </c>
      <c r="R1992" t="s">
        <v>1855</v>
      </c>
      <c r="T1992" t="s">
        <v>50</v>
      </c>
      <c r="U1992" s="3" t="str">
        <f>+VLOOKUP(Sites_per_tag[[#This Row],[Activity_tag]],Parameter!$A$24:$B$32,2,0)</f>
        <v>STUNT</v>
      </c>
      <c r="V1992" t="s">
        <v>6470</v>
      </c>
      <c r="W1992">
        <v>45.008879999999998</v>
      </c>
      <c r="X1992">
        <v>-24.181819999999998</v>
      </c>
    </row>
    <row r="1993" spans="1:24" x14ac:dyDescent="0.35">
      <c r="A1993" s="3" t="str">
        <f t="shared" si="31"/>
        <v>MG51507290044PREV</v>
      </c>
      <c r="B1993" t="s">
        <v>6267</v>
      </c>
      <c r="C1993">
        <f>+VLOOKUP(Sites_per_tag[[#This Row],[Field_office]],Parameter!$A$3:$B$11,2,0)</f>
        <v>9</v>
      </c>
      <c r="E1993" t="s">
        <v>5650</v>
      </c>
      <c r="F1993" t="s">
        <v>5654</v>
      </c>
      <c r="H1993" t="str">
        <f ca="1">PROPER(Sites_per_tag[[#This Row],[Adm2Name]])</f>
        <v>Ampanihy Ouest</v>
      </c>
      <c r="I1993" t="s">
        <v>5660</v>
      </c>
      <c r="K1993" t="s">
        <v>5746</v>
      </c>
      <c r="L1993" t="s">
        <v>5960</v>
      </c>
      <c r="N1993" t="s">
        <v>6471</v>
      </c>
      <c r="Q1993" t="s">
        <v>1853</v>
      </c>
      <c r="R1993" t="s">
        <v>1854</v>
      </c>
      <c r="T1993" t="s">
        <v>32</v>
      </c>
      <c r="U1993" s="3" t="str">
        <f>+VLOOKUP(Sites_per_tag[[#This Row],[Activity_tag]],Parameter!$A$24:$B$32,2,0)</f>
        <v>PREV</v>
      </c>
      <c r="W1993">
        <v>44.998330000000003</v>
      </c>
      <c r="X1993">
        <v>-24.184850000000001</v>
      </c>
    </row>
    <row r="1994" spans="1:24" x14ac:dyDescent="0.35">
      <c r="A1994" s="3" t="str">
        <f t="shared" si="31"/>
        <v>MG51507290045001MAM</v>
      </c>
      <c r="B1994" t="s">
        <v>6267</v>
      </c>
      <c r="C1994">
        <f>+VLOOKUP(Sites_per_tag[[#This Row],[Field_office]],Parameter!$A$3:$B$11,2,0)</f>
        <v>9</v>
      </c>
      <c r="E1994" t="s">
        <v>5650</v>
      </c>
      <c r="F1994" t="s">
        <v>5654</v>
      </c>
      <c r="H1994" t="str">
        <f ca="1">PROPER(Sites_per_tag[[#This Row],[Adm2Name]])</f>
        <v>Ampanihy Ouest</v>
      </c>
      <c r="I1994" t="s">
        <v>5660</v>
      </c>
      <c r="K1994" t="s">
        <v>5746</v>
      </c>
      <c r="L1994" t="s">
        <v>5960</v>
      </c>
      <c r="N1994" t="s">
        <v>1970</v>
      </c>
      <c r="O1994" t="s">
        <v>4994</v>
      </c>
      <c r="Q1994" t="s">
        <v>1970</v>
      </c>
      <c r="R1994" t="s">
        <v>1971</v>
      </c>
      <c r="T1994" t="s">
        <v>5</v>
      </c>
      <c r="U1994" s="3" t="str">
        <f>+VLOOKUP(Sites_per_tag[[#This Row],[Activity_tag]],Parameter!$A$24:$B$32,2,0)</f>
        <v>MAM</v>
      </c>
      <c r="W1994">
        <v>45.124336999999997</v>
      </c>
      <c r="X1994">
        <v>-24.013417</v>
      </c>
    </row>
    <row r="1995" spans="1:24" x14ac:dyDescent="0.35">
      <c r="A1995" s="3" t="str">
        <f t="shared" si="31"/>
        <v>MG51507290046001STUNT</v>
      </c>
      <c r="B1995" t="s">
        <v>6267</v>
      </c>
      <c r="C1995">
        <f>+VLOOKUP(Sites_per_tag[[#This Row],[Field_office]],Parameter!$A$3:$B$11,2,0)</f>
        <v>9</v>
      </c>
      <c r="E1995" t="s">
        <v>5650</v>
      </c>
      <c r="F1995" t="s">
        <v>5654</v>
      </c>
      <c r="H1995" t="str">
        <f ca="1">PROPER(Sites_per_tag[[#This Row],[Adm2Name]])</f>
        <v>Ampanihy Ouest</v>
      </c>
      <c r="I1995" t="s">
        <v>5660</v>
      </c>
      <c r="K1995" t="s">
        <v>5746</v>
      </c>
      <c r="L1995" t="s">
        <v>5960</v>
      </c>
      <c r="N1995" t="s">
        <v>1002</v>
      </c>
      <c r="O1995" t="s">
        <v>4047</v>
      </c>
      <c r="Q1995" t="s">
        <v>1002</v>
      </c>
      <c r="R1995" t="s">
        <v>1003</v>
      </c>
      <c r="T1995" t="s">
        <v>50</v>
      </c>
      <c r="U1995" s="3" t="str">
        <f>+VLOOKUP(Sites_per_tag[[#This Row],[Activity_tag]],Parameter!$A$24:$B$32,2,0)</f>
        <v>STUNT</v>
      </c>
      <c r="V1995" t="s">
        <v>6472</v>
      </c>
      <c r="W1995">
        <v>45.147419999999997</v>
      </c>
      <c r="X1995">
        <v>-24.165980000000001</v>
      </c>
    </row>
    <row r="1996" spans="1:24" x14ac:dyDescent="0.35">
      <c r="A1996" s="3" t="str">
        <f t="shared" si="31"/>
        <v>MG51507290047001STUNT</v>
      </c>
      <c r="B1996" t="s">
        <v>6267</v>
      </c>
      <c r="C1996">
        <f>+VLOOKUP(Sites_per_tag[[#This Row],[Field_office]],Parameter!$A$3:$B$11,2,0)</f>
        <v>9</v>
      </c>
      <c r="E1996" t="s">
        <v>5650</v>
      </c>
      <c r="F1996" t="s">
        <v>5654</v>
      </c>
      <c r="H1996" t="str">
        <f ca="1">PROPER(Sites_per_tag[[#This Row],[Adm2Name]])</f>
        <v>Ampanihy Ouest</v>
      </c>
      <c r="I1996" t="s">
        <v>5660</v>
      </c>
      <c r="K1996" t="s">
        <v>5746</v>
      </c>
      <c r="L1996" t="s">
        <v>5960</v>
      </c>
      <c r="N1996" t="s">
        <v>301</v>
      </c>
      <c r="O1996" t="s">
        <v>4048</v>
      </c>
      <c r="Q1996" t="s">
        <v>301</v>
      </c>
      <c r="R1996" t="s">
        <v>302</v>
      </c>
      <c r="T1996" t="s">
        <v>50</v>
      </c>
      <c r="U1996" s="3" t="str">
        <f>+VLOOKUP(Sites_per_tag[[#This Row],[Activity_tag]],Parameter!$A$24:$B$32,2,0)</f>
        <v>STUNT</v>
      </c>
      <c r="V1996" t="s">
        <v>6473</v>
      </c>
      <c r="W1996">
        <v>45.020679999999999</v>
      </c>
      <c r="X1996">
        <v>-24.19773</v>
      </c>
    </row>
    <row r="1997" spans="1:24" x14ac:dyDescent="0.35">
      <c r="A1997" s="3" t="str">
        <f t="shared" si="31"/>
        <v>MG51507290050001MAM</v>
      </c>
      <c r="B1997" t="s">
        <v>6267</v>
      </c>
      <c r="C1997">
        <f>+VLOOKUP(Sites_per_tag[[#This Row],[Field_office]],Parameter!$A$3:$B$11,2,0)</f>
        <v>9</v>
      </c>
      <c r="E1997" t="s">
        <v>5650</v>
      </c>
      <c r="F1997" t="s">
        <v>5654</v>
      </c>
      <c r="H1997" t="str">
        <f ca="1">PROPER(Sites_per_tag[[#This Row],[Adm2Name]])</f>
        <v>Ampanihy Ouest</v>
      </c>
      <c r="I1997" t="s">
        <v>5660</v>
      </c>
      <c r="K1997" t="s">
        <v>5783</v>
      </c>
      <c r="L1997" t="s">
        <v>5784</v>
      </c>
      <c r="N1997" t="s">
        <v>244</v>
      </c>
      <c r="O1997" t="s">
        <v>731</v>
      </c>
      <c r="Q1997" t="s">
        <v>244</v>
      </c>
      <c r="R1997" t="s">
        <v>245</v>
      </c>
      <c r="T1997" t="s">
        <v>5</v>
      </c>
      <c r="U1997" s="3" t="str">
        <f>+VLOOKUP(Sites_per_tag[[#This Row],[Activity_tag]],Parameter!$A$24:$B$32,2,0)</f>
        <v>MAM</v>
      </c>
      <c r="W1997">
        <v>44.935699999999997</v>
      </c>
      <c r="X1997">
        <v>-23.983350000000002</v>
      </c>
    </row>
    <row r="1998" spans="1:24" x14ac:dyDescent="0.35">
      <c r="A1998" s="3" t="str">
        <f t="shared" si="31"/>
        <v>MG51507290050PREV</v>
      </c>
      <c r="B1998" t="s">
        <v>6267</v>
      </c>
      <c r="C1998">
        <f>+VLOOKUP(Sites_per_tag[[#This Row],[Field_office]],Parameter!$A$3:$B$11,2,0)</f>
        <v>9</v>
      </c>
      <c r="E1998" t="s">
        <v>5650</v>
      </c>
      <c r="F1998" t="s">
        <v>5654</v>
      </c>
      <c r="H1998" t="str">
        <f ca="1">PROPER(Sites_per_tag[[#This Row],[Adm2Name]])</f>
        <v>Ampanihy Ouest</v>
      </c>
      <c r="I1998" t="s">
        <v>5660</v>
      </c>
      <c r="K1998" t="s">
        <v>5783</v>
      </c>
      <c r="L1998" t="s">
        <v>5784</v>
      </c>
      <c r="N1998" t="s">
        <v>730</v>
      </c>
      <c r="Q1998" t="s">
        <v>730</v>
      </c>
      <c r="R1998" t="s">
        <v>731</v>
      </c>
      <c r="T1998" t="s">
        <v>32</v>
      </c>
      <c r="U1998" s="3" t="str">
        <f>+VLOOKUP(Sites_per_tag[[#This Row],[Activity_tag]],Parameter!$A$24:$B$32,2,0)</f>
        <v>PREV</v>
      </c>
      <c r="W1998">
        <v>44.921573000000002</v>
      </c>
      <c r="X1998">
        <v>-24.127409</v>
      </c>
    </row>
    <row r="1999" spans="1:24" x14ac:dyDescent="0.35">
      <c r="A1999" s="3" t="str">
        <f t="shared" si="31"/>
        <v>MG51507290056001STUNT</v>
      </c>
      <c r="B1999" t="s">
        <v>6267</v>
      </c>
      <c r="C1999">
        <f>+VLOOKUP(Sites_per_tag[[#This Row],[Field_office]],Parameter!$A$3:$B$11,2,0)</f>
        <v>9</v>
      </c>
      <c r="E1999" t="s">
        <v>5650</v>
      </c>
      <c r="F1999" t="s">
        <v>5654</v>
      </c>
      <c r="H1999" t="str">
        <f ca="1">PROPER(Sites_per_tag[[#This Row],[Adm2Name]])</f>
        <v>Ampanihy Ouest</v>
      </c>
      <c r="I1999" t="s">
        <v>5660</v>
      </c>
      <c r="K1999" t="s">
        <v>5746</v>
      </c>
      <c r="L1999" t="s">
        <v>5960</v>
      </c>
      <c r="N1999" t="s">
        <v>688</v>
      </c>
      <c r="O1999" t="s">
        <v>689</v>
      </c>
      <c r="Q1999" t="s">
        <v>688</v>
      </c>
      <c r="R1999" t="s">
        <v>690</v>
      </c>
      <c r="T1999" t="s">
        <v>50</v>
      </c>
      <c r="U1999" s="3" t="str">
        <f>+VLOOKUP(Sites_per_tag[[#This Row],[Activity_tag]],Parameter!$A$24:$B$32,2,0)</f>
        <v>STUNT</v>
      </c>
      <c r="V1999" t="s">
        <v>6474</v>
      </c>
      <c r="W1999">
        <v>45.05603</v>
      </c>
      <c r="X1999">
        <v>-24.257580000000001</v>
      </c>
    </row>
    <row r="2000" spans="1:24" x14ac:dyDescent="0.35">
      <c r="A2000" s="3" t="str">
        <f t="shared" si="31"/>
        <v>MG51507290056PREV</v>
      </c>
      <c r="B2000" t="s">
        <v>6267</v>
      </c>
      <c r="C2000">
        <f>+VLOOKUP(Sites_per_tag[[#This Row],[Field_office]],Parameter!$A$3:$B$11,2,0)</f>
        <v>9</v>
      </c>
      <c r="E2000" t="s">
        <v>5650</v>
      </c>
      <c r="F2000" t="s">
        <v>5654</v>
      </c>
      <c r="H2000" t="str">
        <f ca="1">PROPER(Sites_per_tag[[#This Row],[Adm2Name]])</f>
        <v>Ampanihy Ouest</v>
      </c>
      <c r="I2000" t="s">
        <v>5660</v>
      </c>
      <c r="K2000" t="s">
        <v>5746</v>
      </c>
      <c r="L2000" t="s">
        <v>5960</v>
      </c>
      <c r="N2000" t="s">
        <v>6475</v>
      </c>
      <c r="Q2000" t="s">
        <v>688</v>
      </c>
      <c r="R2000" t="s">
        <v>689</v>
      </c>
      <c r="T2000" t="s">
        <v>32</v>
      </c>
      <c r="U2000" s="3" t="str">
        <f>+VLOOKUP(Sites_per_tag[[#This Row],[Activity_tag]],Parameter!$A$24:$B$32,2,0)</f>
        <v>PREV</v>
      </c>
      <c r="W2000">
        <v>45.05603</v>
      </c>
      <c r="X2000">
        <v>-24.257580000000001</v>
      </c>
    </row>
    <row r="2001" spans="1:24" x14ac:dyDescent="0.35">
      <c r="A2001" s="3" t="str">
        <f t="shared" si="31"/>
        <v>MG51507290058001STUNT</v>
      </c>
      <c r="B2001" t="s">
        <v>6267</v>
      </c>
      <c r="C2001">
        <f>+VLOOKUP(Sites_per_tag[[#This Row],[Field_office]],Parameter!$A$3:$B$11,2,0)</f>
        <v>9</v>
      </c>
      <c r="E2001" t="s">
        <v>5650</v>
      </c>
      <c r="F2001" t="s">
        <v>5654</v>
      </c>
      <c r="H2001" t="str">
        <f ca="1">PROPER(Sites_per_tag[[#This Row],[Adm2Name]])</f>
        <v>Ampanihy Ouest</v>
      </c>
      <c r="I2001" t="s">
        <v>5660</v>
      </c>
      <c r="K2001" t="s">
        <v>5783</v>
      </c>
      <c r="L2001" t="s">
        <v>5784</v>
      </c>
      <c r="N2001" t="s">
        <v>1154</v>
      </c>
      <c r="O2001" t="s">
        <v>4049</v>
      </c>
      <c r="Q2001" t="s">
        <v>1154</v>
      </c>
      <c r="R2001" t="s">
        <v>1155</v>
      </c>
      <c r="T2001" t="s">
        <v>50</v>
      </c>
      <c r="U2001" s="3" t="str">
        <f>+VLOOKUP(Sites_per_tag[[#This Row],[Activity_tag]],Parameter!$A$24:$B$32,2,0)</f>
        <v>STUNT</v>
      </c>
      <c r="V2001" t="s">
        <v>6476</v>
      </c>
      <c r="W2001">
        <v>44.911602999999999</v>
      </c>
      <c r="X2001">
        <v>-24.015529000000001</v>
      </c>
    </row>
    <row r="2002" spans="1:24" x14ac:dyDescent="0.35">
      <c r="A2002" s="3" t="str">
        <f t="shared" si="31"/>
        <v>MG51507290059PREV</v>
      </c>
      <c r="B2002" t="s">
        <v>6267</v>
      </c>
      <c r="C2002">
        <f>+VLOOKUP(Sites_per_tag[[#This Row],[Field_office]],Parameter!$A$3:$B$11,2,0)</f>
        <v>9</v>
      </c>
      <c r="E2002" t="s">
        <v>5650</v>
      </c>
      <c r="F2002" t="s">
        <v>5654</v>
      </c>
      <c r="H2002" t="str">
        <f ca="1">PROPER(Sites_per_tag[[#This Row],[Adm2Name]])</f>
        <v>Ampanihy Ouest</v>
      </c>
      <c r="I2002" t="s">
        <v>5660</v>
      </c>
      <c r="K2002" t="s">
        <v>5746</v>
      </c>
      <c r="L2002" t="s">
        <v>5960</v>
      </c>
      <c r="N2002" t="s">
        <v>6477</v>
      </c>
      <c r="Q2002" t="s">
        <v>1708</v>
      </c>
      <c r="R2002" t="s">
        <v>1709</v>
      </c>
      <c r="T2002" t="s">
        <v>32</v>
      </c>
      <c r="U2002" s="3" t="str">
        <f>+VLOOKUP(Sites_per_tag[[#This Row],[Activity_tag]],Parameter!$A$24:$B$32,2,0)</f>
        <v>PREV</v>
      </c>
      <c r="W2002">
        <v>45.101900000000001</v>
      </c>
      <c r="X2002">
        <v>-23.926649999999999</v>
      </c>
    </row>
    <row r="2003" spans="1:24" x14ac:dyDescent="0.35">
      <c r="A2003" s="3" t="str">
        <f t="shared" si="31"/>
        <v>MG51507290060PREV</v>
      </c>
      <c r="B2003" t="s">
        <v>6267</v>
      </c>
      <c r="C2003">
        <f>+VLOOKUP(Sites_per_tag[[#This Row],[Field_office]],Parameter!$A$3:$B$11,2,0)</f>
        <v>9</v>
      </c>
      <c r="E2003" t="s">
        <v>5650</v>
      </c>
      <c r="F2003" t="s">
        <v>5654</v>
      </c>
      <c r="H2003" t="str">
        <f ca="1">PROPER(Sites_per_tag[[#This Row],[Adm2Name]])</f>
        <v>Ampanihy Ouest</v>
      </c>
      <c r="I2003" t="s">
        <v>5660</v>
      </c>
      <c r="K2003" t="s">
        <v>5746</v>
      </c>
      <c r="L2003" t="s">
        <v>5960</v>
      </c>
      <c r="N2003" t="s">
        <v>6302</v>
      </c>
      <c r="Q2003" t="s">
        <v>902</v>
      </c>
      <c r="R2003" t="s">
        <v>903</v>
      </c>
      <c r="T2003" t="s">
        <v>32</v>
      </c>
      <c r="U2003" s="3" t="str">
        <f>+VLOOKUP(Sites_per_tag[[#This Row],[Activity_tag]],Parameter!$A$24:$B$32,2,0)</f>
        <v>PREV</v>
      </c>
      <c r="W2003">
        <v>44.90737</v>
      </c>
      <c r="X2003">
        <v>-24.217749999999999</v>
      </c>
    </row>
    <row r="2004" spans="1:24" x14ac:dyDescent="0.35">
      <c r="A2004" s="3" t="str">
        <f t="shared" si="31"/>
        <v>MG51507290061PREV</v>
      </c>
      <c r="B2004" t="s">
        <v>6267</v>
      </c>
      <c r="C2004">
        <f>+VLOOKUP(Sites_per_tag[[#This Row],[Field_office]],Parameter!$A$3:$B$11,2,0)</f>
        <v>9</v>
      </c>
      <c r="E2004" t="s">
        <v>5650</v>
      </c>
      <c r="F2004" t="s">
        <v>5654</v>
      </c>
      <c r="H2004" t="str">
        <f ca="1">PROPER(Sites_per_tag[[#This Row],[Adm2Name]])</f>
        <v>Ampanihy Ouest</v>
      </c>
      <c r="I2004" t="s">
        <v>5660</v>
      </c>
      <c r="K2004" t="s">
        <v>5746</v>
      </c>
      <c r="L2004" t="s">
        <v>5960</v>
      </c>
      <c r="N2004" t="s">
        <v>4271</v>
      </c>
      <c r="Q2004" t="s">
        <v>880</v>
      </c>
      <c r="R2004" t="s">
        <v>882</v>
      </c>
      <c r="T2004" t="s">
        <v>32</v>
      </c>
      <c r="U2004" s="3" t="str">
        <f>+VLOOKUP(Sites_per_tag[[#This Row],[Activity_tag]],Parameter!$A$24:$B$32,2,0)</f>
        <v>PREV</v>
      </c>
      <c r="W2004">
        <v>44.913082000000003</v>
      </c>
      <c r="X2004">
        <v>-24.186593999999999</v>
      </c>
    </row>
    <row r="2005" spans="1:24" x14ac:dyDescent="0.35">
      <c r="A2005" s="3" t="str">
        <f t="shared" si="31"/>
        <v>MG51507290067001MAM</v>
      </c>
      <c r="B2005" t="s">
        <v>6267</v>
      </c>
      <c r="C2005">
        <f>+VLOOKUP(Sites_per_tag[[#This Row],[Field_office]],Parameter!$A$3:$B$11,2,0)</f>
        <v>9</v>
      </c>
      <c r="E2005" t="s">
        <v>5650</v>
      </c>
      <c r="F2005" t="s">
        <v>5654</v>
      </c>
      <c r="H2005" t="str">
        <f ca="1">PROPER(Sites_per_tag[[#This Row],[Adm2Name]])</f>
        <v>Ampanihy Ouest</v>
      </c>
      <c r="I2005" t="s">
        <v>5660</v>
      </c>
      <c r="K2005" t="s">
        <v>5746</v>
      </c>
      <c r="L2005" t="s">
        <v>5960</v>
      </c>
      <c r="N2005" t="s">
        <v>432</v>
      </c>
      <c r="O2005" t="s">
        <v>4995</v>
      </c>
      <c r="Q2005" t="s">
        <v>434</v>
      </c>
      <c r="R2005" t="s">
        <v>435</v>
      </c>
      <c r="T2005" t="s">
        <v>5</v>
      </c>
      <c r="U2005" s="3" t="str">
        <f>+VLOOKUP(Sites_per_tag[[#This Row],[Activity_tag]],Parameter!$A$24:$B$32,2,0)</f>
        <v>MAM</v>
      </c>
      <c r="W2005">
        <v>44.879800000000003</v>
      </c>
      <c r="X2005">
        <v>-24.058499999999999</v>
      </c>
    </row>
    <row r="2006" spans="1:24" x14ac:dyDescent="0.35">
      <c r="A2006" s="3" t="str">
        <f t="shared" si="31"/>
        <v>MG51507290068001STUNT</v>
      </c>
      <c r="B2006" t="s">
        <v>6267</v>
      </c>
      <c r="C2006">
        <f>+VLOOKUP(Sites_per_tag[[#This Row],[Field_office]],Parameter!$A$3:$B$11,2,0)</f>
        <v>9</v>
      </c>
      <c r="E2006" t="s">
        <v>5650</v>
      </c>
      <c r="F2006" t="s">
        <v>5654</v>
      </c>
      <c r="H2006" t="str">
        <f ca="1">PROPER(Sites_per_tag[[#This Row],[Adm2Name]])</f>
        <v>Ampanihy Ouest</v>
      </c>
      <c r="I2006" t="s">
        <v>5660</v>
      </c>
      <c r="K2006" t="s">
        <v>5746</v>
      </c>
      <c r="L2006" t="s">
        <v>5960</v>
      </c>
      <c r="N2006" t="s">
        <v>3618</v>
      </c>
      <c r="O2006" t="s">
        <v>4050</v>
      </c>
      <c r="Q2006" t="s">
        <v>3618</v>
      </c>
      <c r="R2006" t="s">
        <v>3619</v>
      </c>
      <c r="T2006" t="s">
        <v>50</v>
      </c>
      <c r="U2006" s="3" t="str">
        <f>+VLOOKUP(Sites_per_tag[[#This Row],[Activity_tag]],Parameter!$A$24:$B$32,2,0)</f>
        <v>STUNT</v>
      </c>
      <c r="V2006" t="s">
        <v>6478</v>
      </c>
      <c r="W2006">
        <v>45.000351000000002</v>
      </c>
      <c r="X2006">
        <v>-24.113973000000001</v>
      </c>
    </row>
    <row r="2007" spans="1:24" x14ac:dyDescent="0.35">
      <c r="A2007" s="3" t="str">
        <f t="shared" si="31"/>
        <v>MG51507290070001STUNT</v>
      </c>
      <c r="B2007" t="s">
        <v>6267</v>
      </c>
      <c r="C2007">
        <f>+VLOOKUP(Sites_per_tag[[#This Row],[Field_office]],Parameter!$A$3:$B$11,2,0)</f>
        <v>9</v>
      </c>
      <c r="E2007" t="s">
        <v>5650</v>
      </c>
      <c r="F2007" t="s">
        <v>5654</v>
      </c>
      <c r="H2007" t="str">
        <f ca="1">PROPER(Sites_per_tag[[#This Row],[Adm2Name]])</f>
        <v>Ampanihy Ouest</v>
      </c>
      <c r="I2007" t="s">
        <v>5660</v>
      </c>
      <c r="K2007" t="s">
        <v>5746</v>
      </c>
      <c r="L2007" t="s">
        <v>5960</v>
      </c>
      <c r="N2007" t="s">
        <v>110</v>
      </c>
      <c r="O2007" t="s">
        <v>4051</v>
      </c>
      <c r="Q2007" t="s">
        <v>110</v>
      </c>
      <c r="R2007" t="s">
        <v>111</v>
      </c>
      <c r="T2007" t="s">
        <v>50</v>
      </c>
      <c r="U2007" s="3" t="str">
        <f>+VLOOKUP(Sites_per_tag[[#This Row],[Activity_tag]],Parameter!$A$24:$B$32,2,0)</f>
        <v>STUNT</v>
      </c>
      <c r="V2007" t="s">
        <v>6479</v>
      </c>
      <c r="W2007">
        <v>44.936461000000001</v>
      </c>
      <c r="X2007">
        <v>-24.121044000000001</v>
      </c>
    </row>
    <row r="2008" spans="1:24" x14ac:dyDescent="0.35">
      <c r="A2008" s="3" t="str">
        <f t="shared" si="31"/>
        <v>MG51507290080001MAM</v>
      </c>
      <c r="B2008" t="s">
        <v>6267</v>
      </c>
      <c r="C2008">
        <f>+VLOOKUP(Sites_per_tag[[#This Row],[Field_office]],Parameter!$A$3:$B$11,2,0)</f>
        <v>9</v>
      </c>
      <c r="E2008" t="s">
        <v>5650</v>
      </c>
      <c r="F2008" t="s">
        <v>5654</v>
      </c>
      <c r="H2008" t="str">
        <f ca="1">PROPER(Sites_per_tag[[#This Row],[Adm2Name]])</f>
        <v>Ampanihy Ouest</v>
      </c>
      <c r="I2008" t="s">
        <v>5660</v>
      </c>
      <c r="K2008" t="s">
        <v>5783</v>
      </c>
      <c r="L2008" t="s">
        <v>5784</v>
      </c>
      <c r="N2008" t="s">
        <v>701</v>
      </c>
      <c r="O2008" t="s">
        <v>4529</v>
      </c>
      <c r="Q2008" t="s">
        <v>704</v>
      </c>
      <c r="R2008" t="s">
        <v>705</v>
      </c>
      <c r="T2008" t="s">
        <v>5</v>
      </c>
      <c r="U2008" s="3" t="str">
        <f>+VLOOKUP(Sites_per_tag[[#This Row],[Activity_tag]],Parameter!$A$24:$B$32,2,0)</f>
        <v>MAM</v>
      </c>
      <c r="W2008">
        <v>44.917900000000003</v>
      </c>
      <c r="X2008">
        <v>-23.99755</v>
      </c>
    </row>
    <row r="2009" spans="1:24" x14ac:dyDescent="0.35">
      <c r="A2009" s="3" t="str">
        <f t="shared" si="31"/>
        <v>MG51507290081001STUNT</v>
      </c>
      <c r="B2009" t="s">
        <v>6267</v>
      </c>
      <c r="C2009">
        <f>+VLOOKUP(Sites_per_tag[[#This Row],[Field_office]],Parameter!$A$3:$B$11,2,0)</f>
        <v>9</v>
      </c>
      <c r="E2009" t="s">
        <v>5650</v>
      </c>
      <c r="F2009" t="s">
        <v>5654</v>
      </c>
      <c r="H2009" t="str">
        <f ca="1">PROPER(Sites_per_tag[[#This Row],[Adm2Name]])</f>
        <v>Ampanihy Ouest</v>
      </c>
      <c r="I2009" t="s">
        <v>5660</v>
      </c>
      <c r="K2009" t="s">
        <v>5746</v>
      </c>
      <c r="L2009" t="s">
        <v>5960</v>
      </c>
      <c r="N2009" t="s">
        <v>1000</v>
      </c>
      <c r="O2009" t="s">
        <v>4052</v>
      </c>
      <c r="Q2009" t="s">
        <v>1000</v>
      </c>
      <c r="R2009" t="s">
        <v>1001</v>
      </c>
      <c r="T2009" t="s">
        <v>50</v>
      </c>
      <c r="U2009" s="3" t="str">
        <f>+VLOOKUP(Sites_per_tag[[#This Row],[Activity_tag]],Parameter!$A$24:$B$32,2,0)</f>
        <v>STUNT</v>
      </c>
      <c r="V2009" t="s">
        <v>6480</v>
      </c>
      <c r="W2009">
        <v>45.130780000000001</v>
      </c>
      <c r="X2009">
        <v>-24.180319999999998</v>
      </c>
    </row>
    <row r="2010" spans="1:24" x14ac:dyDescent="0.35">
      <c r="A2010" s="3" t="str">
        <f t="shared" si="31"/>
        <v>MG51507290082001MAM</v>
      </c>
      <c r="B2010" t="s">
        <v>6267</v>
      </c>
      <c r="C2010">
        <f>+VLOOKUP(Sites_per_tag[[#This Row],[Field_office]],Parameter!$A$3:$B$11,2,0)</f>
        <v>9</v>
      </c>
      <c r="E2010" t="s">
        <v>5650</v>
      </c>
      <c r="F2010" t="s">
        <v>5654</v>
      </c>
      <c r="H2010" t="str">
        <f ca="1">PROPER(Sites_per_tag[[#This Row],[Adm2Name]])</f>
        <v>Ampanihy Ouest</v>
      </c>
      <c r="I2010" t="s">
        <v>5660</v>
      </c>
      <c r="K2010" t="s">
        <v>5746</v>
      </c>
      <c r="L2010" t="s">
        <v>5960</v>
      </c>
      <c r="N2010" t="s">
        <v>1549</v>
      </c>
      <c r="O2010" t="s">
        <v>4996</v>
      </c>
      <c r="Q2010" t="s">
        <v>1549</v>
      </c>
      <c r="R2010" t="s">
        <v>1550</v>
      </c>
      <c r="T2010" t="s">
        <v>5</v>
      </c>
      <c r="U2010" s="3" t="str">
        <f>+VLOOKUP(Sites_per_tag[[#This Row],[Activity_tag]],Parameter!$A$24:$B$32,2,0)</f>
        <v>MAM</v>
      </c>
      <c r="W2010">
        <v>45.049030000000002</v>
      </c>
      <c r="X2010">
        <v>-23.989419999999999</v>
      </c>
    </row>
    <row r="2011" spans="1:24" x14ac:dyDescent="0.35">
      <c r="A2011" s="3" t="str">
        <f t="shared" si="31"/>
        <v>MG51507290083001STUNT</v>
      </c>
      <c r="B2011" t="s">
        <v>6267</v>
      </c>
      <c r="C2011">
        <f>+VLOOKUP(Sites_per_tag[[#This Row],[Field_office]],Parameter!$A$3:$B$11,2,0)</f>
        <v>9</v>
      </c>
      <c r="E2011" t="s">
        <v>5650</v>
      </c>
      <c r="F2011" t="s">
        <v>5654</v>
      </c>
      <c r="H2011" t="str">
        <f ca="1">PROPER(Sites_per_tag[[#This Row],[Adm2Name]])</f>
        <v>Ampanihy Ouest</v>
      </c>
      <c r="I2011" t="s">
        <v>5660</v>
      </c>
      <c r="K2011" t="s">
        <v>5746</v>
      </c>
      <c r="L2011" t="s">
        <v>5960</v>
      </c>
      <c r="N2011" t="s">
        <v>1670</v>
      </c>
      <c r="O2011" t="s">
        <v>4053</v>
      </c>
      <c r="Q2011" t="s">
        <v>1670</v>
      </c>
      <c r="R2011" t="s">
        <v>1671</v>
      </c>
      <c r="T2011" t="s">
        <v>50</v>
      </c>
      <c r="U2011" s="3" t="str">
        <f>+VLOOKUP(Sites_per_tag[[#This Row],[Activity_tag]],Parameter!$A$24:$B$32,2,0)</f>
        <v>STUNT</v>
      </c>
      <c r="V2011" t="s">
        <v>6481</v>
      </c>
      <c r="W2011">
        <v>45.131129999999999</v>
      </c>
      <c r="X2011">
        <v>-23.971219999999999</v>
      </c>
    </row>
    <row r="2012" spans="1:24" x14ac:dyDescent="0.35">
      <c r="A2012" s="3" t="str">
        <f t="shared" si="31"/>
        <v>MG51507290084001STUNT</v>
      </c>
      <c r="B2012" t="s">
        <v>6267</v>
      </c>
      <c r="C2012">
        <f>+VLOOKUP(Sites_per_tag[[#This Row],[Field_office]],Parameter!$A$3:$B$11,2,0)</f>
        <v>9</v>
      </c>
      <c r="E2012" t="s">
        <v>5650</v>
      </c>
      <c r="F2012" t="s">
        <v>5654</v>
      </c>
      <c r="H2012" t="str">
        <f ca="1">PROPER(Sites_per_tag[[#This Row],[Adm2Name]])</f>
        <v>Ampanihy Ouest</v>
      </c>
      <c r="I2012" t="s">
        <v>5660</v>
      </c>
      <c r="K2012" t="s">
        <v>5746</v>
      </c>
      <c r="L2012" t="s">
        <v>5960</v>
      </c>
      <c r="N2012" t="s">
        <v>1708</v>
      </c>
      <c r="O2012" t="s">
        <v>4054</v>
      </c>
      <c r="Q2012" t="s">
        <v>1708</v>
      </c>
      <c r="R2012" t="s">
        <v>1710</v>
      </c>
      <c r="T2012" t="s">
        <v>50</v>
      </c>
      <c r="U2012" s="3" t="str">
        <f>+VLOOKUP(Sites_per_tag[[#This Row],[Activity_tag]],Parameter!$A$24:$B$32,2,0)</f>
        <v>STUNT</v>
      </c>
      <c r="V2012" t="s">
        <v>6482</v>
      </c>
      <c r="W2012">
        <v>45.101900000000001</v>
      </c>
      <c r="X2012">
        <v>-23.926649999999999</v>
      </c>
    </row>
    <row r="2013" spans="1:24" x14ac:dyDescent="0.35">
      <c r="A2013" s="3" t="str">
        <f t="shared" si="31"/>
        <v>MG51507290085001STUNT</v>
      </c>
      <c r="B2013" t="s">
        <v>6267</v>
      </c>
      <c r="C2013">
        <f>+VLOOKUP(Sites_per_tag[[#This Row],[Field_office]],Parameter!$A$3:$B$11,2,0)</f>
        <v>9</v>
      </c>
      <c r="E2013" t="s">
        <v>5650</v>
      </c>
      <c r="F2013" t="s">
        <v>5654</v>
      </c>
      <c r="H2013" t="str">
        <f ca="1">PROPER(Sites_per_tag[[#This Row],[Adm2Name]])</f>
        <v>Ampanihy Ouest</v>
      </c>
      <c r="I2013" t="s">
        <v>5660</v>
      </c>
      <c r="K2013" t="s">
        <v>5746</v>
      </c>
      <c r="L2013" t="s">
        <v>5960</v>
      </c>
      <c r="N2013" t="s">
        <v>1914</v>
      </c>
      <c r="O2013" t="s">
        <v>4055</v>
      </c>
      <c r="Q2013" t="s">
        <v>1914</v>
      </c>
      <c r="R2013" t="s">
        <v>1916</v>
      </c>
      <c r="T2013" t="s">
        <v>50</v>
      </c>
      <c r="U2013" s="3" t="str">
        <f>+VLOOKUP(Sites_per_tag[[#This Row],[Activity_tag]],Parameter!$A$24:$B$32,2,0)</f>
        <v>STUNT</v>
      </c>
      <c r="V2013" t="s">
        <v>6483</v>
      </c>
      <c r="W2013">
        <v>44.992280000000001</v>
      </c>
      <c r="X2013">
        <v>-24.019670000000001</v>
      </c>
    </row>
    <row r="2014" spans="1:24" x14ac:dyDescent="0.35">
      <c r="A2014" s="3" t="str">
        <f t="shared" si="31"/>
        <v>MG51507290086001STUNT</v>
      </c>
      <c r="B2014" t="s">
        <v>6267</v>
      </c>
      <c r="C2014">
        <f>+VLOOKUP(Sites_per_tag[[#This Row],[Field_office]],Parameter!$A$3:$B$11,2,0)</f>
        <v>9</v>
      </c>
      <c r="E2014" t="s">
        <v>5650</v>
      </c>
      <c r="F2014" t="s">
        <v>5654</v>
      </c>
      <c r="H2014" t="str">
        <f ca="1">PROPER(Sites_per_tag[[#This Row],[Adm2Name]])</f>
        <v>Ampanihy Ouest</v>
      </c>
      <c r="I2014" t="s">
        <v>5660</v>
      </c>
      <c r="K2014" t="s">
        <v>5746</v>
      </c>
      <c r="L2014" t="s">
        <v>5960</v>
      </c>
      <c r="N2014" t="s">
        <v>2110</v>
      </c>
      <c r="O2014" t="s">
        <v>4056</v>
      </c>
      <c r="Q2014" t="s">
        <v>2110</v>
      </c>
      <c r="R2014" t="s">
        <v>2111</v>
      </c>
      <c r="T2014" t="s">
        <v>50</v>
      </c>
      <c r="U2014" s="3" t="str">
        <f>+VLOOKUP(Sites_per_tag[[#This Row],[Activity_tag]],Parameter!$A$24:$B$32,2,0)</f>
        <v>STUNT</v>
      </c>
      <c r="V2014" t="s">
        <v>6484</v>
      </c>
      <c r="W2014">
        <v>45.088070000000002</v>
      </c>
      <c r="X2014">
        <v>-24.223230000000001</v>
      </c>
    </row>
    <row r="2015" spans="1:24" x14ac:dyDescent="0.35">
      <c r="A2015" s="3" t="str">
        <f t="shared" si="31"/>
        <v>MG51507290087001MAM</v>
      </c>
      <c r="B2015" t="s">
        <v>6267</v>
      </c>
      <c r="C2015">
        <f>+VLOOKUP(Sites_per_tag[[#This Row],[Field_office]],Parameter!$A$3:$B$11,2,0)</f>
        <v>9</v>
      </c>
      <c r="E2015" t="s">
        <v>5650</v>
      </c>
      <c r="F2015" t="s">
        <v>5654</v>
      </c>
      <c r="H2015" t="str">
        <f ca="1">PROPER(Sites_per_tag[[#This Row],[Adm2Name]])</f>
        <v>Ampanihy Ouest</v>
      </c>
      <c r="I2015" t="s">
        <v>5660</v>
      </c>
      <c r="K2015" t="s">
        <v>5746</v>
      </c>
      <c r="L2015" t="s">
        <v>5960</v>
      </c>
      <c r="N2015" t="s">
        <v>2167</v>
      </c>
      <c r="O2015" t="s">
        <v>4997</v>
      </c>
      <c r="Q2015" t="s">
        <v>2173</v>
      </c>
      <c r="R2015" t="s">
        <v>2174</v>
      </c>
      <c r="T2015" t="s">
        <v>5</v>
      </c>
      <c r="U2015" s="3" t="str">
        <f>+VLOOKUP(Sites_per_tag[[#This Row],[Activity_tag]],Parameter!$A$24:$B$32,2,0)</f>
        <v>MAM</v>
      </c>
      <c r="W2015">
        <v>45.128619999999998</v>
      </c>
      <c r="X2015">
        <v>-24.06053</v>
      </c>
    </row>
    <row r="2016" spans="1:24" x14ac:dyDescent="0.35">
      <c r="A2016" s="3" t="str">
        <f t="shared" si="31"/>
        <v>MG51507290088001STUNT</v>
      </c>
      <c r="B2016" t="s">
        <v>6267</v>
      </c>
      <c r="C2016">
        <f>+VLOOKUP(Sites_per_tag[[#This Row],[Field_office]],Parameter!$A$3:$B$11,2,0)</f>
        <v>9</v>
      </c>
      <c r="E2016" t="s">
        <v>5650</v>
      </c>
      <c r="F2016" t="s">
        <v>5654</v>
      </c>
      <c r="H2016" t="str">
        <f ca="1">PROPER(Sites_per_tag[[#This Row],[Adm2Name]])</f>
        <v>Ampanihy Ouest</v>
      </c>
      <c r="I2016" t="s">
        <v>5660</v>
      </c>
      <c r="K2016" t="s">
        <v>5746</v>
      </c>
      <c r="L2016" t="s">
        <v>5960</v>
      </c>
      <c r="N2016" t="s">
        <v>2498</v>
      </c>
      <c r="O2016" t="s">
        <v>4057</v>
      </c>
      <c r="Q2016" t="s">
        <v>2498</v>
      </c>
      <c r="R2016" t="s">
        <v>2500</v>
      </c>
      <c r="T2016" t="s">
        <v>50</v>
      </c>
      <c r="U2016" s="3" t="str">
        <f>+VLOOKUP(Sites_per_tag[[#This Row],[Activity_tag]],Parameter!$A$24:$B$32,2,0)</f>
        <v>STUNT</v>
      </c>
      <c r="V2016" t="s">
        <v>6485</v>
      </c>
      <c r="W2016">
        <v>45.01735</v>
      </c>
      <c r="X2016">
        <v>-24.055430000000001</v>
      </c>
    </row>
    <row r="2017" spans="1:24" x14ac:dyDescent="0.35">
      <c r="A2017" s="3" t="str">
        <f t="shared" si="31"/>
        <v>MG51507290089001MAM</v>
      </c>
      <c r="B2017" t="s">
        <v>6267</v>
      </c>
      <c r="C2017">
        <f>+VLOOKUP(Sites_per_tag[[#This Row],[Field_office]],Parameter!$A$3:$B$11,2,0)</f>
        <v>9</v>
      </c>
      <c r="E2017" t="s">
        <v>5650</v>
      </c>
      <c r="F2017" t="s">
        <v>5654</v>
      </c>
      <c r="H2017" t="str">
        <f ca="1">PROPER(Sites_per_tag[[#This Row],[Adm2Name]])</f>
        <v>Ampanihy Ouest</v>
      </c>
      <c r="I2017" t="s">
        <v>5660</v>
      </c>
      <c r="K2017" t="s">
        <v>5746</v>
      </c>
      <c r="L2017" t="s">
        <v>5960</v>
      </c>
      <c r="N2017" t="s">
        <v>2498</v>
      </c>
      <c r="O2017" t="s">
        <v>4998</v>
      </c>
      <c r="Q2017" t="s">
        <v>2501</v>
      </c>
      <c r="R2017" t="s">
        <v>2502</v>
      </c>
      <c r="T2017" t="s">
        <v>5</v>
      </c>
      <c r="U2017" s="3" t="str">
        <f>+VLOOKUP(Sites_per_tag[[#This Row],[Activity_tag]],Parameter!$A$24:$B$32,2,0)</f>
        <v>MAM</v>
      </c>
      <c r="W2017">
        <v>45.01735</v>
      </c>
      <c r="X2017">
        <v>-24.055430000000001</v>
      </c>
    </row>
    <row r="2018" spans="1:24" x14ac:dyDescent="0.35">
      <c r="A2018" s="3" t="str">
        <f t="shared" si="31"/>
        <v>MG51507290090001MAM</v>
      </c>
      <c r="B2018" t="s">
        <v>6267</v>
      </c>
      <c r="C2018">
        <f>+VLOOKUP(Sites_per_tag[[#This Row],[Field_office]],Parameter!$A$3:$B$11,2,0)</f>
        <v>9</v>
      </c>
      <c r="E2018" t="s">
        <v>5650</v>
      </c>
      <c r="F2018" t="s">
        <v>5654</v>
      </c>
      <c r="H2018" t="str">
        <f ca="1">PROPER(Sites_per_tag[[#This Row],[Adm2Name]])</f>
        <v>Ampanihy Ouest</v>
      </c>
      <c r="I2018" t="s">
        <v>5660</v>
      </c>
      <c r="K2018" t="s">
        <v>5746</v>
      </c>
      <c r="L2018" t="s">
        <v>5960</v>
      </c>
      <c r="N2018" t="s">
        <v>2503</v>
      </c>
      <c r="O2018" t="s">
        <v>4999</v>
      </c>
      <c r="Q2018" t="s">
        <v>2503</v>
      </c>
      <c r="R2018" t="s">
        <v>2504</v>
      </c>
      <c r="T2018" t="s">
        <v>5</v>
      </c>
      <c r="U2018" s="3" t="str">
        <f>+VLOOKUP(Sites_per_tag[[#This Row],[Activity_tag]],Parameter!$A$24:$B$32,2,0)</f>
        <v>MAM</v>
      </c>
      <c r="W2018">
        <v>45.017449999999997</v>
      </c>
      <c r="X2018">
        <v>-24.056509999999999</v>
      </c>
    </row>
    <row r="2019" spans="1:24" x14ac:dyDescent="0.35">
      <c r="A2019" s="3" t="str">
        <f t="shared" si="31"/>
        <v>MG51507290091001MAM</v>
      </c>
      <c r="B2019" t="s">
        <v>6267</v>
      </c>
      <c r="C2019">
        <f>+VLOOKUP(Sites_per_tag[[#This Row],[Field_office]],Parameter!$A$3:$B$11,2,0)</f>
        <v>9</v>
      </c>
      <c r="E2019" t="s">
        <v>5650</v>
      </c>
      <c r="F2019" t="s">
        <v>5654</v>
      </c>
      <c r="H2019" t="str">
        <f ca="1">PROPER(Sites_per_tag[[#This Row],[Adm2Name]])</f>
        <v>Ampanihy Ouest</v>
      </c>
      <c r="I2019" t="s">
        <v>5660</v>
      </c>
      <c r="K2019" t="s">
        <v>5746</v>
      </c>
      <c r="L2019" t="s">
        <v>5960</v>
      </c>
      <c r="N2019" t="s">
        <v>3448</v>
      </c>
      <c r="O2019" t="s">
        <v>5000</v>
      </c>
      <c r="Q2019" t="s">
        <v>3448</v>
      </c>
      <c r="R2019" t="s">
        <v>3449</v>
      </c>
      <c r="T2019" t="s">
        <v>5</v>
      </c>
      <c r="U2019" s="3" t="str">
        <f>+VLOOKUP(Sites_per_tag[[#This Row],[Activity_tag]],Parameter!$A$24:$B$32,2,0)</f>
        <v>MAM</v>
      </c>
      <c r="W2019">
        <v>45.041049999999998</v>
      </c>
      <c r="X2019">
        <v>-24.101500000000001</v>
      </c>
    </row>
    <row r="2020" spans="1:24" x14ac:dyDescent="0.35">
      <c r="A2020" s="3" t="str">
        <f t="shared" si="31"/>
        <v>MG51507290092001STUNT</v>
      </c>
      <c r="B2020" t="s">
        <v>6267</v>
      </c>
      <c r="C2020">
        <f>+VLOOKUP(Sites_per_tag[[#This Row],[Field_office]],Parameter!$A$3:$B$11,2,0)</f>
        <v>9</v>
      </c>
      <c r="E2020" t="s">
        <v>5650</v>
      </c>
      <c r="F2020" t="s">
        <v>5654</v>
      </c>
      <c r="H2020" t="str">
        <f ca="1">PROPER(Sites_per_tag[[#This Row],[Adm2Name]])</f>
        <v>Ampanihy Ouest</v>
      </c>
      <c r="I2020" t="s">
        <v>5660</v>
      </c>
      <c r="K2020" t="s">
        <v>5746</v>
      </c>
      <c r="L2020" t="s">
        <v>5960</v>
      </c>
      <c r="N2020" t="s">
        <v>3524</v>
      </c>
      <c r="O2020" t="s">
        <v>4058</v>
      </c>
      <c r="Q2020" t="s">
        <v>3524</v>
      </c>
      <c r="R2020" t="s">
        <v>3525</v>
      </c>
      <c r="T2020" t="s">
        <v>50</v>
      </c>
      <c r="U2020" s="3" t="str">
        <f>+VLOOKUP(Sites_per_tag[[#This Row],[Activity_tag]],Parameter!$A$24:$B$32,2,0)</f>
        <v>STUNT</v>
      </c>
      <c r="V2020" t="s">
        <v>6486</v>
      </c>
      <c r="W2020">
        <v>45.024470000000001</v>
      </c>
      <c r="X2020">
        <v>-24.119969999999999</v>
      </c>
    </row>
    <row r="2021" spans="1:24" x14ac:dyDescent="0.35">
      <c r="A2021" s="3" t="str">
        <f t="shared" si="31"/>
        <v>MG51507290093001STUNT</v>
      </c>
      <c r="B2021" t="s">
        <v>6267</v>
      </c>
      <c r="C2021">
        <f>+VLOOKUP(Sites_per_tag[[#This Row],[Field_office]],Parameter!$A$3:$B$11,2,0)</f>
        <v>9</v>
      </c>
      <c r="E2021" t="s">
        <v>5650</v>
      </c>
      <c r="F2021" t="s">
        <v>5654</v>
      </c>
      <c r="H2021" t="str">
        <f ca="1">PROPER(Sites_per_tag[[#This Row],[Adm2Name]])</f>
        <v>Ampanihy Ouest</v>
      </c>
      <c r="I2021" t="s">
        <v>5660</v>
      </c>
      <c r="K2021" t="s">
        <v>5746</v>
      </c>
      <c r="L2021" t="s">
        <v>5960</v>
      </c>
      <c r="N2021" t="s">
        <v>3670</v>
      </c>
      <c r="O2021" t="s">
        <v>4059</v>
      </c>
      <c r="Q2021" t="s">
        <v>3670</v>
      </c>
      <c r="R2021" t="s">
        <v>3671</v>
      </c>
      <c r="T2021" t="s">
        <v>50</v>
      </c>
      <c r="U2021" s="3" t="str">
        <f>+VLOOKUP(Sites_per_tag[[#This Row],[Activity_tag]],Parameter!$A$24:$B$32,2,0)</f>
        <v>STUNT</v>
      </c>
      <c r="V2021" t="s">
        <v>6487</v>
      </c>
      <c r="W2021">
        <v>45.042180000000002</v>
      </c>
      <c r="X2021">
        <v>-24.139230000000001</v>
      </c>
    </row>
    <row r="2022" spans="1:24" x14ac:dyDescent="0.35">
      <c r="A2022" s="3" t="str">
        <f t="shared" si="31"/>
        <v>MG51507310004001STUNT</v>
      </c>
      <c r="B2022" t="s">
        <v>6267</v>
      </c>
      <c r="C2022">
        <f>+VLOOKUP(Sites_per_tag[[#This Row],[Field_office]],Parameter!$A$3:$B$11,2,0)</f>
        <v>9</v>
      </c>
      <c r="E2022" t="s">
        <v>5650</v>
      </c>
      <c r="F2022" t="s">
        <v>5654</v>
      </c>
      <c r="H2022" t="str">
        <f ca="1">PROPER(Sites_per_tag[[#This Row],[Adm2Name]])</f>
        <v>Ampanihy Ouest</v>
      </c>
      <c r="I2022" t="s">
        <v>5660</v>
      </c>
      <c r="K2022" t="s">
        <v>5719</v>
      </c>
      <c r="L2022" t="s">
        <v>5983</v>
      </c>
      <c r="N2022" t="s">
        <v>3636</v>
      </c>
      <c r="O2022" t="s">
        <v>4060</v>
      </c>
      <c r="Q2022" t="s">
        <v>3636</v>
      </c>
      <c r="R2022" t="s">
        <v>3637</v>
      </c>
      <c r="T2022" t="s">
        <v>50</v>
      </c>
      <c r="U2022" s="3" t="str">
        <f>+VLOOKUP(Sites_per_tag[[#This Row],[Activity_tag]],Parameter!$A$24:$B$32,2,0)</f>
        <v>STUNT</v>
      </c>
      <c r="V2022" t="s">
        <v>6488</v>
      </c>
      <c r="W2022">
        <v>43.724029999999999</v>
      </c>
      <c r="X2022">
        <v>-24.318249999999999</v>
      </c>
    </row>
    <row r="2023" spans="1:24" x14ac:dyDescent="0.35">
      <c r="A2023" s="3" t="str">
        <f t="shared" si="31"/>
        <v>MG51507310006001MAM</v>
      </c>
      <c r="B2023" t="s">
        <v>6267</v>
      </c>
      <c r="C2023">
        <f>+VLOOKUP(Sites_per_tag[[#This Row],[Field_office]],Parameter!$A$3:$B$11,2,0)</f>
        <v>9</v>
      </c>
      <c r="E2023" t="s">
        <v>5650</v>
      </c>
      <c r="F2023" t="s">
        <v>5654</v>
      </c>
      <c r="H2023" t="str">
        <f ca="1">PROPER(Sites_per_tag[[#This Row],[Adm2Name]])</f>
        <v>Ampanihy Ouest</v>
      </c>
      <c r="I2023" t="s">
        <v>5660</v>
      </c>
      <c r="K2023" t="s">
        <v>1872</v>
      </c>
      <c r="L2023" t="s">
        <v>5902</v>
      </c>
      <c r="N2023" t="s">
        <v>1357</v>
      </c>
      <c r="O2023" t="s">
        <v>4800</v>
      </c>
      <c r="Q2023" t="s">
        <v>1357</v>
      </c>
      <c r="R2023" t="s">
        <v>1358</v>
      </c>
      <c r="T2023" t="s">
        <v>5</v>
      </c>
      <c r="U2023" s="3" t="str">
        <f>+VLOOKUP(Sites_per_tag[[#This Row],[Activity_tag]],Parameter!$A$24:$B$32,2,0)</f>
        <v>MAM</v>
      </c>
      <c r="W2023">
        <v>43.734380000000002</v>
      </c>
      <c r="X2023">
        <v>-24.370480000000001</v>
      </c>
    </row>
    <row r="2024" spans="1:24" x14ac:dyDescent="0.35">
      <c r="A2024" s="3" t="str">
        <f t="shared" si="31"/>
        <v>MG51507310014001STUNT</v>
      </c>
      <c r="B2024" t="s">
        <v>6267</v>
      </c>
      <c r="C2024">
        <f>+VLOOKUP(Sites_per_tag[[#This Row],[Field_office]],Parameter!$A$3:$B$11,2,0)</f>
        <v>9</v>
      </c>
      <c r="E2024" t="s">
        <v>5650</v>
      </c>
      <c r="F2024" t="s">
        <v>5654</v>
      </c>
      <c r="H2024" t="str">
        <f ca="1">PROPER(Sites_per_tag[[#This Row],[Adm2Name]])</f>
        <v>Ampanihy Ouest</v>
      </c>
      <c r="I2024" t="s">
        <v>5660</v>
      </c>
      <c r="K2024" t="s">
        <v>5719</v>
      </c>
      <c r="L2024" t="s">
        <v>5983</v>
      </c>
      <c r="N2024" t="s">
        <v>3983</v>
      </c>
      <c r="O2024" t="s">
        <v>4061</v>
      </c>
      <c r="Q2024" t="s">
        <v>3983</v>
      </c>
      <c r="R2024" t="s">
        <v>3984</v>
      </c>
      <c r="T2024" t="s">
        <v>50</v>
      </c>
      <c r="U2024" s="3" t="str">
        <f>+VLOOKUP(Sites_per_tag[[#This Row],[Activity_tag]],Parameter!$A$24:$B$32,2,0)</f>
        <v>STUNT</v>
      </c>
      <c r="V2024" t="s">
        <v>6489</v>
      </c>
      <c r="W2024">
        <v>43.80735</v>
      </c>
      <c r="X2024">
        <v>-24.414729999999999</v>
      </c>
    </row>
    <row r="2025" spans="1:24" x14ac:dyDescent="0.35">
      <c r="A2025" s="3" t="str">
        <f t="shared" si="31"/>
        <v>MG51507310017001STUNT</v>
      </c>
      <c r="B2025" t="s">
        <v>6267</v>
      </c>
      <c r="C2025">
        <f>+VLOOKUP(Sites_per_tag[[#This Row],[Field_office]],Parameter!$A$3:$B$11,2,0)</f>
        <v>9</v>
      </c>
      <c r="E2025" t="s">
        <v>5650</v>
      </c>
      <c r="F2025" t="s">
        <v>5654</v>
      </c>
      <c r="H2025" t="str">
        <f ca="1">PROPER(Sites_per_tag[[#This Row],[Adm2Name]])</f>
        <v>Ampanihy Ouest</v>
      </c>
      <c r="I2025" t="s">
        <v>5660</v>
      </c>
      <c r="K2025" t="s">
        <v>5719</v>
      </c>
      <c r="L2025" t="s">
        <v>5983</v>
      </c>
      <c r="N2025" t="s">
        <v>861</v>
      </c>
      <c r="O2025" t="s">
        <v>4062</v>
      </c>
      <c r="Q2025" t="s">
        <v>861</v>
      </c>
      <c r="R2025" t="s">
        <v>862</v>
      </c>
      <c r="T2025" t="s">
        <v>50</v>
      </c>
      <c r="U2025" s="3" t="str">
        <f>+VLOOKUP(Sites_per_tag[[#This Row],[Activity_tag]],Parameter!$A$24:$B$32,2,0)</f>
        <v>STUNT</v>
      </c>
      <c r="V2025" t="s">
        <v>6490</v>
      </c>
      <c r="W2025">
        <v>43.860529999999997</v>
      </c>
      <c r="X2025">
        <v>-24.475819999999999</v>
      </c>
    </row>
    <row r="2026" spans="1:24" x14ac:dyDescent="0.35">
      <c r="A2026" s="3" t="str">
        <f t="shared" si="31"/>
        <v>MG51507310019001MAM</v>
      </c>
      <c r="B2026" t="s">
        <v>6267</v>
      </c>
      <c r="C2026">
        <f>+VLOOKUP(Sites_per_tag[[#This Row],[Field_office]],Parameter!$A$3:$B$11,2,0)</f>
        <v>9</v>
      </c>
      <c r="E2026" t="s">
        <v>5650</v>
      </c>
      <c r="F2026" t="s">
        <v>5654</v>
      </c>
      <c r="H2026" t="str">
        <f ca="1">PROPER(Sites_per_tag[[#This Row],[Adm2Name]])</f>
        <v>Ampanihy Ouest</v>
      </c>
      <c r="I2026" t="s">
        <v>5660</v>
      </c>
      <c r="K2026" t="s">
        <v>5719</v>
      </c>
      <c r="L2026" t="s">
        <v>5983</v>
      </c>
      <c r="N2026" t="s">
        <v>2161</v>
      </c>
      <c r="O2026" t="s">
        <v>5117</v>
      </c>
      <c r="Q2026" t="s">
        <v>2161</v>
      </c>
      <c r="R2026" t="s">
        <v>2162</v>
      </c>
      <c r="T2026" t="s">
        <v>5</v>
      </c>
      <c r="U2026" s="3" t="str">
        <f>+VLOOKUP(Sites_per_tag[[#This Row],[Activity_tag]],Parameter!$A$24:$B$32,2,0)</f>
        <v>MAM</v>
      </c>
      <c r="W2026">
        <v>43.767524000000002</v>
      </c>
      <c r="X2026">
        <v>-24.423687000000001</v>
      </c>
    </row>
    <row r="2027" spans="1:24" x14ac:dyDescent="0.35">
      <c r="A2027" s="3" t="str">
        <f t="shared" si="31"/>
        <v>MG51507310020001STUNT</v>
      </c>
      <c r="B2027" t="s">
        <v>6267</v>
      </c>
      <c r="C2027">
        <f>+VLOOKUP(Sites_per_tag[[#This Row],[Field_office]],Parameter!$A$3:$B$11,2,0)</f>
        <v>9</v>
      </c>
      <c r="E2027" t="s">
        <v>5650</v>
      </c>
      <c r="F2027" t="s">
        <v>5654</v>
      </c>
      <c r="H2027" t="str">
        <f ca="1">PROPER(Sites_per_tag[[#This Row],[Adm2Name]])</f>
        <v>Ampanihy Ouest</v>
      </c>
      <c r="I2027" t="s">
        <v>5660</v>
      </c>
      <c r="K2027" t="s">
        <v>5719</v>
      </c>
      <c r="L2027" t="s">
        <v>5983</v>
      </c>
      <c r="N2027" t="s">
        <v>4064</v>
      </c>
      <c r="O2027" t="s">
        <v>4063</v>
      </c>
      <c r="Q2027" t="s">
        <v>2825</v>
      </c>
      <c r="R2027" t="s">
        <v>2826</v>
      </c>
      <c r="T2027" t="s">
        <v>50</v>
      </c>
      <c r="U2027" s="3" t="str">
        <f>+VLOOKUP(Sites_per_tag[[#This Row],[Activity_tag]],Parameter!$A$24:$B$32,2,0)</f>
        <v>STUNT</v>
      </c>
      <c r="V2027" t="s">
        <v>6491</v>
      </c>
      <c r="W2027">
        <v>43.915730000000003</v>
      </c>
      <c r="X2027">
        <v>-24.580079999999999</v>
      </c>
    </row>
    <row r="2028" spans="1:24" x14ac:dyDescent="0.35">
      <c r="A2028" s="3" t="str">
        <f t="shared" si="31"/>
        <v>MG51507310021001STUNT</v>
      </c>
      <c r="B2028" t="s">
        <v>6267</v>
      </c>
      <c r="C2028">
        <f>+VLOOKUP(Sites_per_tag[[#This Row],[Field_office]],Parameter!$A$3:$B$11,2,0)</f>
        <v>9</v>
      </c>
      <c r="E2028" t="s">
        <v>5650</v>
      </c>
      <c r="F2028" t="s">
        <v>5654</v>
      </c>
      <c r="H2028" t="str">
        <f ca="1">PROPER(Sites_per_tag[[#This Row],[Adm2Name]])</f>
        <v>Ampanihy Ouest</v>
      </c>
      <c r="I2028" t="s">
        <v>5660</v>
      </c>
      <c r="K2028" t="s">
        <v>5719</v>
      </c>
      <c r="L2028" t="s">
        <v>5983</v>
      </c>
      <c r="N2028" t="s">
        <v>3990</v>
      </c>
      <c r="O2028" t="s">
        <v>4065</v>
      </c>
      <c r="Q2028" t="s">
        <v>3990</v>
      </c>
      <c r="R2028" t="s">
        <v>3991</v>
      </c>
      <c r="T2028" t="s">
        <v>50</v>
      </c>
      <c r="U2028" s="3" t="str">
        <f>+VLOOKUP(Sites_per_tag[[#This Row],[Activity_tag]],Parameter!$A$24:$B$32,2,0)</f>
        <v>STUNT</v>
      </c>
      <c r="V2028" t="s">
        <v>6492</v>
      </c>
      <c r="W2028">
        <v>44.205350000000003</v>
      </c>
      <c r="X2028">
        <v>-24.470749999999999</v>
      </c>
    </row>
    <row r="2029" spans="1:24" x14ac:dyDescent="0.35">
      <c r="A2029" s="3" t="str">
        <f t="shared" si="31"/>
        <v>MG51507310023001STUNT</v>
      </c>
      <c r="B2029" t="s">
        <v>6267</v>
      </c>
      <c r="C2029">
        <f>+VLOOKUP(Sites_per_tag[[#This Row],[Field_office]],Parameter!$A$3:$B$11,2,0)</f>
        <v>9</v>
      </c>
      <c r="E2029" t="s">
        <v>5650</v>
      </c>
      <c r="F2029" t="s">
        <v>5654</v>
      </c>
      <c r="H2029" t="str">
        <f ca="1">PROPER(Sites_per_tag[[#This Row],[Adm2Name]])</f>
        <v>Ampanihy Ouest</v>
      </c>
      <c r="I2029" t="s">
        <v>5660</v>
      </c>
      <c r="K2029" t="s">
        <v>5719</v>
      </c>
      <c r="L2029" t="s">
        <v>5983</v>
      </c>
      <c r="N2029" t="s">
        <v>578</v>
      </c>
      <c r="O2029" t="s">
        <v>4066</v>
      </c>
      <c r="Q2029" t="s">
        <v>578</v>
      </c>
      <c r="R2029" t="s">
        <v>579</v>
      </c>
      <c r="T2029" t="s">
        <v>50</v>
      </c>
      <c r="U2029" s="3" t="str">
        <f>+VLOOKUP(Sites_per_tag[[#This Row],[Activity_tag]],Parameter!$A$24:$B$32,2,0)</f>
        <v>STUNT</v>
      </c>
      <c r="V2029" t="s">
        <v>6493</v>
      </c>
      <c r="W2029">
        <v>44.333579999999998</v>
      </c>
      <c r="X2029">
        <v>-24.58792</v>
      </c>
    </row>
    <row r="2030" spans="1:24" x14ac:dyDescent="0.35">
      <c r="A2030" s="3" t="str">
        <f t="shared" si="31"/>
        <v>MG51507310025001STUNT</v>
      </c>
      <c r="B2030" t="s">
        <v>6267</v>
      </c>
      <c r="C2030">
        <f>+VLOOKUP(Sites_per_tag[[#This Row],[Field_office]],Parameter!$A$3:$B$11,2,0)</f>
        <v>9</v>
      </c>
      <c r="E2030" t="s">
        <v>5650</v>
      </c>
      <c r="F2030" t="s">
        <v>5654</v>
      </c>
      <c r="H2030" t="str">
        <f ca="1">PROPER(Sites_per_tag[[#This Row],[Adm2Name]])</f>
        <v>Ampanihy Ouest</v>
      </c>
      <c r="I2030" t="s">
        <v>5660</v>
      </c>
      <c r="K2030" t="s">
        <v>5719</v>
      </c>
      <c r="L2030" t="s">
        <v>5983</v>
      </c>
      <c r="N2030" t="s">
        <v>3686</v>
      </c>
      <c r="O2030" t="s">
        <v>4067</v>
      </c>
      <c r="Q2030" t="s">
        <v>3686</v>
      </c>
      <c r="R2030" t="s">
        <v>3687</v>
      </c>
      <c r="T2030" t="s">
        <v>50</v>
      </c>
      <c r="U2030" s="3" t="str">
        <f>+VLOOKUP(Sites_per_tag[[#This Row],[Activity_tag]],Parameter!$A$24:$B$32,2,0)</f>
        <v>STUNT</v>
      </c>
      <c r="V2030" t="s">
        <v>6494</v>
      </c>
      <c r="W2030">
        <v>43.95675</v>
      </c>
      <c r="X2030">
        <v>-24.75413</v>
      </c>
    </row>
    <row r="2031" spans="1:24" x14ac:dyDescent="0.35">
      <c r="A2031" s="3" t="str">
        <f t="shared" si="31"/>
        <v>MG51507310027001STUNT</v>
      </c>
      <c r="B2031" t="s">
        <v>6267</v>
      </c>
      <c r="C2031">
        <f>+VLOOKUP(Sites_per_tag[[#This Row],[Field_office]],Parameter!$A$3:$B$11,2,0)</f>
        <v>9</v>
      </c>
      <c r="E2031" t="s">
        <v>5650</v>
      </c>
      <c r="F2031" t="s">
        <v>5654</v>
      </c>
      <c r="H2031" t="str">
        <f ca="1">PROPER(Sites_per_tag[[#This Row],[Adm2Name]])</f>
        <v>Ampanihy Ouest</v>
      </c>
      <c r="I2031" t="s">
        <v>5660</v>
      </c>
      <c r="K2031" t="s">
        <v>5719</v>
      </c>
      <c r="L2031" t="s">
        <v>5983</v>
      </c>
      <c r="N2031" t="s">
        <v>81</v>
      </c>
      <c r="O2031" t="s">
        <v>4068</v>
      </c>
      <c r="Q2031" t="s">
        <v>81</v>
      </c>
      <c r="R2031" t="s">
        <v>82</v>
      </c>
      <c r="T2031" t="s">
        <v>50</v>
      </c>
      <c r="U2031" s="3" t="str">
        <f>+VLOOKUP(Sites_per_tag[[#This Row],[Activity_tag]],Parameter!$A$24:$B$32,2,0)</f>
        <v>STUNT</v>
      </c>
      <c r="V2031" t="s">
        <v>6495</v>
      </c>
      <c r="W2031">
        <v>43.980730000000001</v>
      </c>
      <c r="X2031">
        <v>-24.803529999999999</v>
      </c>
    </row>
    <row r="2032" spans="1:24" x14ac:dyDescent="0.35">
      <c r="A2032" s="3" t="str">
        <f t="shared" si="31"/>
        <v>MG51507310030PREV</v>
      </c>
      <c r="B2032" t="s">
        <v>6267</v>
      </c>
      <c r="C2032">
        <f>+VLOOKUP(Sites_per_tag[[#This Row],[Field_office]],Parameter!$A$3:$B$11,2,0)</f>
        <v>9</v>
      </c>
      <c r="E2032" t="s">
        <v>5650</v>
      </c>
      <c r="F2032" t="s">
        <v>5654</v>
      </c>
      <c r="H2032" t="str">
        <f ca="1">PROPER(Sites_per_tag[[#This Row],[Adm2Name]])</f>
        <v>Ampanihy Ouest</v>
      </c>
      <c r="I2032" t="s">
        <v>5660</v>
      </c>
      <c r="K2032" t="s">
        <v>955</v>
      </c>
      <c r="L2032" t="s">
        <v>5808</v>
      </c>
      <c r="N2032" t="s">
        <v>4245</v>
      </c>
      <c r="Q2032" t="s">
        <v>3283</v>
      </c>
      <c r="R2032" t="s">
        <v>3284</v>
      </c>
      <c r="T2032" t="s">
        <v>32</v>
      </c>
      <c r="U2032" s="3" t="str">
        <f>+VLOOKUP(Sites_per_tag[[#This Row],[Activity_tag]],Parameter!$A$24:$B$32,2,0)</f>
        <v>PREV</v>
      </c>
      <c r="W2032">
        <v>44.020470000000003</v>
      </c>
      <c r="X2032">
        <v>-24.823899999999998</v>
      </c>
    </row>
    <row r="2033" spans="1:24" x14ac:dyDescent="0.35">
      <c r="A2033" s="3" t="str">
        <f t="shared" si="31"/>
        <v>MG51507310032001MAM</v>
      </c>
      <c r="B2033" t="s">
        <v>6267</v>
      </c>
      <c r="C2033">
        <f>+VLOOKUP(Sites_per_tag[[#This Row],[Field_office]],Parameter!$A$3:$B$11,2,0)</f>
        <v>9</v>
      </c>
      <c r="E2033" t="s">
        <v>5650</v>
      </c>
      <c r="F2033" t="s">
        <v>5654</v>
      </c>
      <c r="H2033" t="str">
        <f ca="1">PROPER(Sites_per_tag[[#This Row],[Adm2Name]])</f>
        <v>Ampanihy Ouest</v>
      </c>
      <c r="I2033" t="s">
        <v>5660</v>
      </c>
      <c r="K2033" t="s">
        <v>5719</v>
      </c>
      <c r="L2033" t="s">
        <v>5983</v>
      </c>
      <c r="N2033" t="s">
        <v>2070</v>
      </c>
      <c r="O2033" t="s">
        <v>5118</v>
      </c>
      <c r="Q2033" t="s">
        <v>2072</v>
      </c>
      <c r="R2033" t="s">
        <v>2073</v>
      </c>
      <c r="T2033" t="s">
        <v>5</v>
      </c>
      <c r="U2033" s="3" t="str">
        <f>+VLOOKUP(Sites_per_tag[[#This Row],[Activity_tag]],Parameter!$A$24:$B$32,2,0)</f>
        <v>MAM</v>
      </c>
      <c r="W2033">
        <v>44.020769999999999</v>
      </c>
      <c r="X2033">
        <v>-24.837050000000001</v>
      </c>
    </row>
    <row r="2034" spans="1:24" x14ac:dyDescent="0.35">
      <c r="A2034" s="3" t="str">
        <f t="shared" si="31"/>
        <v>MG51507310034001MAM</v>
      </c>
      <c r="B2034" t="s">
        <v>6267</v>
      </c>
      <c r="C2034">
        <f>+VLOOKUP(Sites_per_tag[[#This Row],[Field_office]],Parameter!$A$3:$B$11,2,0)</f>
        <v>9</v>
      </c>
      <c r="E2034" t="s">
        <v>5650</v>
      </c>
      <c r="F2034" t="s">
        <v>5654</v>
      </c>
      <c r="H2034" t="str">
        <f ca="1">PROPER(Sites_per_tag[[#This Row],[Adm2Name]])</f>
        <v>Ampanihy Ouest</v>
      </c>
      <c r="I2034" t="s">
        <v>5660</v>
      </c>
      <c r="K2034" t="s">
        <v>5719</v>
      </c>
      <c r="L2034" t="s">
        <v>5983</v>
      </c>
      <c r="N2034" t="s">
        <v>1753</v>
      </c>
      <c r="O2034" t="s">
        <v>4069</v>
      </c>
      <c r="Q2034" t="s">
        <v>1755</v>
      </c>
      <c r="R2034" t="s">
        <v>1756</v>
      </c>
      <c r="T2034" t="s">
        <v>5</v>
      </c>
      <c r="U2034" s="3" t="str">
        <f>+VLOOKUP(Sites_per_tag[[#This Row],[Activity_tag]],Parameter!$A$24:$B$32,2,0)</f>
        <v>MAM</v>
      </c>
      <c r="W2034">
        <v>44.026620000000001</v>
      </c>
      <c r="X2034">
        <v>-24.862480000000001</v>
      </c>
    </row>
    <row r="2035" spans="1:24" x14ac:dyDescent="0.35">
      <c r="A2035" s="3" t="str">
        <f t="shared" si="31"/>
        <v>MG51507310034002STUNT</v>
      </c>
      <c r="B2035" t="s">
        <v>6267</v>
      </c>
      <c r="C2035">
        <f>+VLOOKUP(Sites_per_tag[[#This Row],[Field_office]],Parameter!$A$3:$B$11,2,0)</f>
        <v>9</v>
      </c>
      <c r="E2035" t="s">
        <v>5650</v>
      </c>
      <c r="F2035" t="s">
        <v>5654</v>
      </c>
      <c r="H2035" t="str">
        <f ca="1">PROPER(Sites_per_tag[[#This Row],[Adm2Name]])</f>
        <v>Ampanihy Ouest</v>
      </c>
      <c r="I2035" t="s">
        <v>5660</v>
      </c>
      <c r="K2035" t="s">
        <v>5719</v>
      </c>
      <c r="L2035" t="s">
        <v>5983</v>
      </c>
      <c r="N2035" t="s">
        <v>1753</v>
      </c>
      <c r="O2035" t="s">
        <v>4069</v>
      </c>
      <c r="Q2035" t="s">
        <v>1753</v>
      </c>
      <c r="R2035" t="s">
        <v>1754</v>
      </c>
      <c r="T2035" t="s">
        <v>50</v>
      </c>
      <c r="U2035" s="3" t="str">
        <f>+VLOOKUP(Sites_per_tag[[#This Row],[Activity_tag]],Parameter!$A$24:$B$32,2,0)</f>
        <v>STUNT</v>
      </c>
      <c r="V2035" t="s">
        <v>6496</v>
      </c>
      <c r="W2035">
        <v>44.026620000000001</v>
      </c>
      <c r="X2035">
        <v>-24.862480000000001</v>
      </c>
    </row>
    <row r="2036" spans="1:24" x14ac:dyDescent="0.35">
      <c r="A2036" s="3" t="str">
        <f t="shared" si="31"/>
        <v>MG51507310036001MAM</v>
      </c>
      <c r="B2036" t="s">
        <v>6267</v>
      </c>
      <c r="C2036">
        <f>+VLOOKUP(Sites_per_tag[[#This Row],[Field_office]],Parameter!$A$3:$B$11,2,0)</f>
        <v>9</v>
      </c>
      <c r="E2036" t="s">
        <v>5650</v>
      </c>
      <c r="F2036" t="s">
        <v>5654</v>
      </c>
      <c r="H2036" t="str">
        <f ca="1">PROPER(Sites_per_tag[[#This Row],[Adm2Name]])</f>
        <v>Ampanihy Ouest</v>
      </c>
      <c r="I2036" t="s">
        <v>5660</v>
      </c>
      <c r="K2036" t="s">
        <v>955</v>
      </c>
      <c r="L2036" t="s">
        <v>5808</v>
      </c>
      <c r="N2036" t="s">
        <v>955</v>
      </c>
      <c r="O2036" t="s">
        <v>956</v>
      </c>
      <c r="Q2036" t="s">
        <v>955</v>
      </c>
      <c r="R2036" t="s">
        <v>957</v>
      </c>
      <c r="T2036" t="s">
        <v>5</v>
      </c>
      <c r="U2036" s="3" t="str">
        <f>+VLOOKUP(Sites_per_tag[[#This Row],[Activity_tag]],Parameter!$A$24:$B$32,2,0)</f>
        <v>MAM</v>
      </c>
      <c r="W2036">
        <v>44.046570000000003</v>
      </c>
      <c r="X2036">
        <v>-24.878299999999999</v>
      </c>
    </row>
    <row r="2037" spans="1:24" x14ac:dyDescent="0.35">
      <c r="A2037" s="3" t="str">
        <f t="shared" si="31"/>
        <v>MG51507310036PREV</v>
      </c>
      <c r="B2037" t="s">
        <v>6267</v>
      </c>
      <c r="C2037">
        <f>+VLOOKUP(Sites_per_tag[[#This Row],[Field_office]],Parameter!$A$3:$B$11,2,0)</f>
        <v>9</v>
      </c>
      <c r="E2037" t="s">
        <v>5650</v>
      </c>
      <c r="F2037" t="s">
        <v>5654</v>
      </c>
      <c r="H2037" t="str">
        <f ca="1">PROPER(Sites_per_tag[[#This Row],[Adm2Name]])</f>
        <v>Ampanihy Ouest</v>
      </c>
      <c r="I2037" t="s">
        <v>5660</v>
      </c>
      <c r="K2037" t="s">
        <v>955</v>
      </c>
      <c r="L2037" t="s">
        <v>5808</v>
      </c>
      <c r="N2037" t="s">
        <v>4246</v>
      </c>
      <c r="Q2037" t="s">
        <v>955</v>
      </c>
      <c r="R2037" t="s">
        <v>956</v>
      </c>
      <c r="T2037" t="s">
        <v>32</v>
      </c>
      <c r="U2037" s="3" t="str">
        <f>+VLOOKUP(Sites_per_tag[[#This Row],[Activity_tag]],Parameter!$A$24:$B$32,2,0)</f>
        <v>PREV</v>
      </c>
      <c r="W2037">
        <v>44.046570000000003</v>
      </c>
      <c r="X2037">
        <v>-24.878299999999999</v>
      </c>
    </row>
    <row r="2038" spans="1:24" x14ac:dyDescent="0.35">
      <c r="A2038" s="3" t="str">
        <f t="shared" si="31"/>
        <v>MG51507310039001STUNT</v>
      </c>
      <c r="B2038" t="s">
        <v>6267</v>
      </c>
      <c r="C2038">
        <f>+VLOOKUP(Sites_per_tag[[#This Row],[Field_office]],Parameter!$A$3:$B$11,2,0)</f>
        <v>9</v>
      </c>
      <c r="E2038" t="s">
        <v>5650</v>
      </c>
      <c r="F2038" t="s">
        <v>5654</v>
      </c>
      <c r="H2038" t="str">
        <f ca="1">PROPER(Sites_per_tag[[#This Row],[Adm2Name]])</f>
        <v>Ampanihy Ouest</v>
      </c>
      <c r="I2038" t="s">
        <v>5660</v>
      </c>
      <c r="K2038" t="s">
        <v>955</v>
      </c>
      <c r="L2038" t="s">
        <v>5808</v>
      </c>
      <c r="N2038" t="s">
        <v>122</v>
      </c>
      <c r="O2038" t="s">
        <v>121</v>
      </c>
      <c r="Q2038" t="s">
        <v>122</v>
      </c>
      <c r="R2038" t="s">
        <v>123</v>
      </c>
      <c r="T2038" t="s">
        <v>50</v>
      </c>
      <c r="U2038" s="3" t="str">
        <f>+VLOOKUP(Sites_per_tag[[#This Row],[Activity_tag]],Parameter!$A$24:$B$32,2,0)</f>
        <v>STUNT</v>
      </c>
      <c r="V2038" t="s">
        <v>6497</v>
      </c>
      <c r="W2038">
        <v>44.097749999999998</v>
      </c>
      <c r="X2038">
        <v>-24.936669999999999</v>
      </c>
    </row>
    <row r="2039" spans="1:24" x14ac:dyDescent="0.35">
      <c r="A2039" s="3" t="str">
        <f t="shared" si="31"/>
        <v>MG51507310039002MAM</v>
      </c>
      <c r="B2039" t="s">
        <v>6267</v>
      </c>
      <c r="C2039">
        <f>+VLOOKUP(Sites_per_tag[[#This Row],[Field_office]],Parameter!$A$3:$B$11,2,0)</f>
        <v>9</v>
      </c>
      <c r="E2039" t="s">
        <v>5650</v>
      </c>
      <c r="F2039" t="s">
        <v>5654</v>
      </c>
      <c r="H2039" t="str">
        <f ca="1">PROPER(Sites_per_tag[[#This Row],[Adm2Name]])</f>
        <v>Ampanihy Ouest</v>
      </c>
      <c r="I2039" t="s">
        <v>5660</v>
      </c>
      <c r="K2039" t="s">
        <v>955</v>
      </c>
      <c r="L2039" t="s">
        <v>5808</v>
      </c>
      <c r="N2039" t="s">
        <v>122</v>
      </c>
      <c r="O2039" t="s">
        <v>121</v>
      </c>
      <c r="Q2039" t="s">
        <v>124</v>
      </c>
      <c r="R2039" t="s">
        <v>125</v>
      </c>
      <c r="T2039" t="s">
        <v>5</v>
      </c>
      <c r="U2039" s="3" t="str">
        <f>+VLOOKUP(Sites_per_tag[[#This Row],[Activity_tag]],Parameter!$A$24:$B$32,2,0)</f>
        <v>MAM</v>
      </c>
      <c r="W2039">
        <v>44.097749999999998</v>
      </c>
      <c r="X2039">
        <v>-24.936669999999999</v>
      </c>
    </row>
    <row r="2040" spans="1:24" x14ac:dyDescent="0.35">
      <c r="A2040" s="3" t="str">
        <f t="shared" si="31"/>
        <v>MG51507310039PREV</v>
      </c>
      <c r="B2040" t="s">
        <v>6267</v>
      </c>
      <c r="C2040">
        <f>+VLOOKUP(Sites_per_tag[[#This Row],[Field_office]],Parameter!$A$3:$B$11,2,0)</f>
        <v>9</v>
      </c>
      <c r="E2040" t="s">
        <v>5650</v>
      </c>
      <c r="F2040" t="s">
        <v>5654</v>
      </c>
      <c r="H2040" t="str">
        <f ca="1">PROPER(Sites_per_tag[[#This Row],[Adm2Name]])</f>
        <v>Ampanihy Ouest</v>
      </c>
      <c r="I2040" t="s">
        <v>5660</v>
      </c>
      <c r="K2040" t="s">
        <v>955</v>
      </c>
      <c r="L2040" t="s">
        <v>5808</v>
      </c>
      <c r="N2040" t="s">
        <v>4247</v>
      </c>
      <c r="Q2040" t="s">
        <v>120</v>
      </c>
      <c r="R2040" t="s">
        <v>121</v>
      </c>
      <c r="T2040" t="s">
        <v>32</v>
      </c>
      <c r="U2040" s="3" t="str">
        <f>+VLOOKUP(Sites_per_tag[[#This Row],[Activity_tag]],Parameter!$A$24:$B$32,2,0)</f>
        <v>PREV</v>
      </c>
      <c r="W2040">
        <v>44.097749999999998</v>
      </c>
      <c r="X2040">
        <v>-24.936669999999999</v>
      </c>
    </row>
    <row r="2041" spans="1:24" x14ac:dyDescent="0.35">
      <c r="A2041" s="3" t="str">
        <f t="shared" si="31"/>
        <v>MG51507310040001MAM</v>
      </c>
      <c r="B2041" t="s">
        <v>6267</v>
      </c>
      <c r="C2041">
        <f>+VLOOKUP(Sites_per_tag[[#This Row],[Field_office]],Parameter!$A$3:$B$11,2,0)</f>
        <v>9</v>
      </c>
      <c r="E2041" t="s">
        <v>5650</v>
      </c>
      <c r="F2041" t="s">
        <v>5654</v>
      </c>
      <c r="H2041" t="str">
        <f ca="1">PROPER(Sites_per_tag[[#This Row],[Adm2Name]])</f>
        <v>Ampanihy Ouest</v>
      </c>
      <c r="I2041" t="s">
        <v>5660</v>
      </c>
      <c r="K2041" t="s">
        <v>955</v>
      </c>
      <c r="L2041" t="s">
        <v>5808</v>
      </c>
      <c r="N2041" t="s">
        <v>4575</v>
      </c>
      <c r="O2041" t="s">
        <v>4574</v>
      </c>
      <c r="Q2041" t="s">
        <v>1098</v>
      </c>
      <c r="R2041" t="s">
        <v>1099</v>
      </c>
      <c r="T2041" t="s">
        <v>5</v>
      </c>
      <c r="U2041" s="3" t="str">
        <f>+VLOOKUP(Sites_per_tag[[#This Row],[Activity_tag]],Parameter!$A$24:$B$32,2,0)</f>
        <v>MAM</v>
      </c>
      <c r="W2041">
        <v>44.116880000000002</v>
      </c>
      <c r="X2041">
        <v>-24.950019999999999</v>
      </c>
    </row>
    <row r="2042" spans="1:24" x14ac:dyDescent="0.35">
      <c r="A2042" s="3" t="str">
        <f t="shared" si="31"/>
        <v>MG51507310041001MAM</v>
      </c>
      <c r="B2042" t="s">
        <v>6267</v>
      </c>
      <c r="C2042">
        <f>+VLOOKUP(Sites_per_tag[[#This Row],[Field_office]],Parameter!$A$3:$B$11,2,0)</f>
        <v>9</v>
      </c>
      <c r="E2042" t="s">
        <v>5650</v>
      </c>
      <c r="F2042" t="s">
        <v>5654</v>
      </c>
      <c r="H2042" t="str">
        <f ca="1">PROPER(Sites_per_tag[[#This Row],[Adm2Name]])</f>
        <v>Ampanihy Ouest</v>
      </c>
      <c r="I2042" t="s">
        <v>5660</v>
      </c>
      <c r="K2042" t="s">
        <v>955</v>
      </c>
      <c r="L2042" t="s">
        <v>5808</v>
      </c>
      <c r="N2042" t="s">
        <v>1100</v>
      </c>
      <c r="O2042" t="s">
        <v>4576</v>
      </c>
      <c r="Q2042" t="s">
        <v>1100</v>
      </c>
      <c r="R2042" t="s">
        <v>1101</v>
      </c>
      <c r="T2042" t="s">
        <v>5</v>
      </c>
      <c r="U2042" s="3" t="str">
        <f>+VLOOKUP(Sites_per_tag[[#This Row],[Activity_tag]],Parameter!$A$24:$B$32,2,0)</f>
        <v>MAM</v>
      </c>
      <c r="W2042">
        <v>44.105879999999999</v>
      </c>
      <c r="X2042">
        <v>-24.946950000000001</v>
      </c>
    </row>
    <row r="2043" spans="1:24" x14ac:dyDescent="0.35">
      <c r="A2043" s="3" t="str">
        <f t="shared" si="31"/>
        <v>MG51507310042001MAM</v>
      </c>
      <c r="B2043" t="s">
        <v>6267</v>
      </c>
      <c r="C2043">
        <f>+VLOOKUP(Sites_per_tag[[#This Row],[Field_office]],Parameter!$A$3:$B$11,2,0)</f>
        <v>9</v>
      </c>
      <c r="E2043" t="s">
        <v>5650</v>
      </c>
      <c r="F2043" t="s">
        <v>5654</v>
      </c>
      <c r="H2043" t="str">
        <f ca="1">PROPER(Sites_per_tag[[#This Row],[Adm2Name]])</f>
        <v>Ampanihy Ouest</v>
      </c>
      <c r="I2043" t="s">
        <v>5660</v>
      </c>
      <c r="K2043" t="s">
        <v>955</v>
      </c>
      <c r="L2043" t="s">
        <v>5808</v>
      </c>
      <c r="N2043" t="s">
        <v>2135</v>
      </c>
      <c r="O2043" t="s">
        <v>4577</v>
      </c>
      <c r="Q2043" t="s">
        <v>2135</v>
      </c>
      <c r="R2043" t="s">
        <v>2136</v>
      </c>
      <c r="T2043" t="s">
        <v>5</v>
      </c>
      <c r="U2043" s="3" t="str">
        <f>+VLOOKUP(Sites_per_tag[[#This Row],[Activity_tag]],Parameter!$A$24:$B$32,2,0)</f>
        <v>MAM</v>
      </c>
      <c r="W2043">
        <v>44.120930000000001</v>
      </c>
      <c r="X2043">
        <v>-24.951879999999999</v>
      </c>
    </row>
    <row r="2044" spans="1:24" x14ac:dyDescent="0.35">
      <c r="A2044" s="3" t="str">
        <f t="shared" si="31"/>
        <v>MG51507310043001MAM</v>
      </c>
      <c r="B2044" t="s">
        <v>6267</v>
      </c>
      <c r="C2044">
        <f>+VLOOKUP(Sites_per_tag[[#This Row],[Field_office]],Parameter!$A$3:$B$11,2,0)</f>
        <v>9</v>
      </c>
      <c r="E2044" t="s">
        <v>5650</v>
      </c>
      <c r="F2044" t="s">
        <v>5654</v>
      </c>
      <c r="H2044" t="str">
        <f ca="1">PROPER(Sites_per_tag[[#This Row],[Adm2Name]])</f>
        <v>Ampanihy Ouest</v>
      </c>
      <c r="I2044" t="s">
        <v>5660</v>
      </c>
      <c r="K2044" t="s">
        <v>955</v>
      </c>
      <c r="L2044" t="s">
        <v>5808</v>
      </c>
      <c r="N2044" t="s">
        <v>87</v>
      </c>
      <c r="O2044" t="s">
        <v>4578</v>
      </c>
      <c r="Q2044" t="s">
        <v>87</v>
      </c>
      <c r="R2044" t="s">
        <v>88</v>
      </c>
      <c r="T2044" t="s">
        <v>5</v>
      </c>
      <c r="U2044" s="3" t="str">
        <f>+VLOOKUP(Sites_per_tag[[#This Row],[Activity_tag]],Parameter!$A$24:$B$32,2,0)</f>
        <v>MAM</v>
      </c>
      <c r="W2044">
        <v>44.13017</v>
      </c>
      <c r="X2044">
        <v>-24.970420000000001</v>
      </c>
    </row>
    <row r="2045" spans="1:24" x14ac:dyDescent="0.35">
      <c r="A2045" s="3" t="str">
        <f t="shared" si="31"/>
        <v>MG51507310044001STUNT</v>
      </c>
      <c r="B2045" t="s">
        <v>6267</v>
      </c>
      <c r="C2045">
        <f>+VLOOKUP(Sites_per_tag[[#This Row],[Field_office]],Parameter!$A$3:$B$11,2,0)</f>
        <v>9</v>
      </c>
      <c r="E2045" t="s">
        <v>5650</v>
      </c>
      <c r="F2045" t="s">
        <v>5654</v>
      </c>
      <c r="H2045" t="str">
        <f ca="1">PROPER(Sites_per_tag[[#This Row],[Adm2Name]])</f>
        <v>Ampanihy Ouest</v>
      </c>
      <c r="I2045" t="s">
        <v>5660</v>
      </c>
      <c r="K2045" t="s">
        <v>955</v>
      </c>
      <c r="L2045" t="s">
        <v>5808</v>
      </c>
      <c r="N2045" t="s">
        <v>3742</v>
      </c>
      <c r="O2045" t="s">
        <v>3743</v>
      </c>
      <c r="Q2045" t="s">
        <v>3742</v>
      </c>
      <c r="R2045" t="s">
        <v>3744</v>
      </c>
      <c r="T2045" t="s">
        <v>50</v>
      </c>
      <c r="U2045" s="3" t="str">
        <f>+VLOOKUP(Sites_per_tag[[#This Row],[Activity_tag]],Parameter!$A$24:$B$32,2,0)</f>
        <v>STUNT</v>
      </c>
      <c r="V2045" t="s">
        <v>6498</v>
      </c>
      <c r="W2045">
        <v>44.094670000000001</v>
      </c>
      <c r="X2045">
        <v>-24.970269999999999</v>
      </c>
    </row>
    <row r="2046" spans="1:24" x14ac:dyDescent="0.35">
      <c r="A2046" s="3" t="str">
        <f t="shared" si="31"/>
        <v>MG51507310044002MAM</v>
      </c>
      <c r="B2046" t="s">
        <v>6267</v>
      </c>
      <c r="C2046">
        <f>+VLOOKUP(Sites_per_tag[[#This Row],[Field_office]],Parameter!$A$3:$B$11,2,0)</f>
        <v>9</v>
      </c>
      <c r="E2046" t="s">
        <v>5650</v>
      </c>
      <c r="F2046" t="s">
        <v>5654</v>
      </c>
      <c r="H2046" t="str">
        <f ca="1">PROPER(Sites_per_tag[[#This Row],[Adm2Name]])</f>
        <v>Ampanihy Ouest</v>
      </c>
      <c r="I2046" t="s">
        <v>5660</v>
      </c>
      <c r="K2046" t="s">
        <v>955</v>
      </c>
      <c r="L2046" t="s">
        <v>5808</v>
      </c>
      <c r="N2046" t="s">
        <v>3742</v>
      </c>
      <c r="O2046" t="s">
        <v>3743</v>
      </c>
      <c r="Q2046" t="s">
        <v>3818</v>
      </c>
      <c r="R2046" t="s">
        <v>3819</v>
      </c>
      <c r="T2046" t="s">
        <v>5</v>
      </c>
      <c r="U2046" s="3" t="str">
        <f>+VLOOKUP(Sites_per_tag[[#This Row],[Activity_tag]],Parameter!$A$24:$B$32,2,0)</f>
        <v>MAM</v>
      </c>
      <c r="W2046">
        <v>44.094670000000001</v>
      </c>
      <c r="X2046">
        <v>-24.970269999999999</v>
      </c>
    </row>
    <row r="2047" spans="1:24" x14ac:dyDescent="0.35">
      <c r="A2047" s="3" t="str">
        <f t="shared" si="31"/>
        <v>MG51507310044PREV</v>
      </c>
      <c r="B2047" t="s">
        <v>6267</v>
      </c>
      <c r="C2047">
        <f>+VLOOKUP(Sites_per_tag[[#This Row],[Field_office]],Parameter!$A$3:$B$11,2,0)</f>
        <v>9</v>
      </c>
      <c r="E2047" t="s">
        <v>5650</v>
      </c>
      <c r="F2047" t="s">
        <v>5654</v>
      </c>
      <c r="H2047" t="str">
        <f ca="1">PROPER(Sites_per_tag[[#This Row],[Adm2Name]])</f>
        <v>Ampanihy Ouest</v>
      </c>
      <c r="I2047" t="s">
        <v>5660</v>
      </c>
      <c r="K2047" t="s">
        <v>955</v>
      </c>
      <c r="L2047" t="s">
        <v>5808</v>
      </c>
      <c r="N2047" t="s">
        <v>6499</v>
      </c>
      <c r="Q2047" t="s">
        <v>3742</v>
      </c>
      <c r="R2047" t="s">
        <v>3743</v>
      </c>
      <c r="T2047" t="s">
        <v>32</v>
      </c>
      <c r="U2047" s="3" t="str">
        <f>+VLOOKUP(Sites_per_tag[[#This Row],[Activity_tag]],Parameter!$A$24:$B$32,2,0)</f>
        <v>PREV</v>
      </c>
      <c r="W2047">
        <v>44.0959</v>
      </c>
      <c r="X2047">
        <v>-24.973379999999999</v>
      </c>
    </row>
    <row r="2048" spans="1:24" x14ac:dyDescent="0.35">
      <c r="A2048" s="3" t="str">
        <f t="shared" si="31"/>
        <v>MG51507310045001MAM</v>
      </c>
      <c r="B2048" t="s">
        <v>6267</v>
      </c>
      <c r="C2048">
        <f>+VLOOKUP(Sites_per_tag[[#This Row],[Field_office]],Parameter!$A$3:$B$11,2,0)</f>
        <v>9</v>
      </c>
      <c r="E2048" t="s">
        <v>5650</v>
      </c>
      <c r="F2048" t="s">
        <v>5654</v>
      </c>
      <c r="H2048" t="str">
        <f ca="1">PROPER(Sites_per_tag[[#This Row],[Adm2Name]])</f>
        <v>Ampanihy Ouest</v>
      </c>
      <c r="I2048" t="s">
        <v>5660</v>
      </c>
      <c r="K2048" t="s">
        <v>955</v>
      </c>
      <c r="L2048" t="s">
        <v>5808</v>
      </c>
      <c r="N2048" t="s">
        <v>1253</v>
      </c>
      <c r="O2048" t="s">
        <v>4579</v>
      </c>
      <c r="Q2048" t="s">
        <v>1253</v>
      </c>
      <c r="R2048" t="s">
        <v>1254</v>
      </c>
      <c r="T2048" t="s">
        <v>5</v>
      </c>
      <c r="U2048" s="3" t="str">
        <f>+VLOOKUP(Sites_per_tag[[#This Row],[Activity_tag]],Parameter!$A$24:$B$32,2,0)</f>
        <v>MAM</v>
      </c>
      <c r="W2048">
        <v>44.112749999999998</v>
      </c>
      <c r="X2048">
        <v>-24.977270000000001</v>
      </c>
    </row>
    <row r="2049" spans="1:24" x14ac:dyDescent="0.35">
      <c r="A2049" s="3" t="str">
        <f t="shared" si="31"/>
        <v>MG51507310046001STUNT</v>
      </c>
      <c r="B2049" t="s">
        <v>6267</v>
      </c>
      <c r="C2049">
        <f>+VLOOKUP(Sites_per_tag[[#This Row],[Field_office]],Parameter!$A$3:$B$11,2,0)</f>
        <v>9</v>
      </c>
      <c r="E2049" t="s">
        <v>5650</v>
      </c>
      <c r="F2049" t="s">
        <v>5654</v>
      </c>
      <c r="H2049" t="str">
        <f ca="1">PROPER(Sites_per_tag[[#This Row],[Adm2Name]])</f>
        <v>Ampanihy Ouest</v>
      </c>
      <c r="I2049" t="s">
        <v>5660</v>
      </c>
      <c r="K2049" t="s">
        <v>955</v>
      </c>
      <c r="L2049" t="s">
        <v>5808</v>
      </c>
      <c r="N2049" t="s">
        <v>2074</v>
      </c>
      <c r="O2049" t="s">
        <v>2075</v>
      </c>
      <c r="Q2049" t="s">
        <v>2074</v>
      </c>
      <c r="R2049" t="s">
        <v>2076</v>
      </c>
      <c r="T2049" t="s">
        <v>50</v>
      </c>
      <c r="U2049" s="3" t="str">
        <f>+VLOOKUP(Sites_per_tag[[#This Row],[Activity_tag]],Parameter!$A$24:$B$32,2,0)</f>
        <v>STUNT</v>
      </c>
      <c r="V2049" t="s">
        <v>6500</v>
      </c>
      <c r="W2049">
        <v>44.107199999999999</v>
      </c>
      <c r="X2049">
        <v>-24.984819999999999</v>
      </c>
    </row>
    <row r="2050" spans="1:24" x14ac:dyDescent="0.35">
      <c r="A2050" s="3" t="str">
        <f t="shared" si="31"/>
        <v>MG51507310046002MAM</v>
      </c>
      <c r="B2050" t="s">
        <v>6267</v>
      </c>
      <c r="C2050">
        <f>+VLOOKUP(Sites_per_tag[[#This Row],[Field_office]],Parameter!$A$3:$B$11,2,0)</f>
        <v>9</v>
      </c>
      <c r="E2050" t="s">
        <v>5650</v>
      </c>
      <c r="F2050" t="s">
        <v>5654</v>
      </c>
      <c r="H2050" t="str">
        <f ca="1">PROPER(Sites_per_tag[[#This Row],[Adm2Name]])</f>
        <v>Ampanihy Ouest</v>
      </c>
      <c r="I2050" t="s">
        <v>5660</v>
      </c>
      <c r="K2050" t="s">
        <v>955</v>
      </c>
      <c r="L2050" t="s">
        <v>5808</v>
      </c>
      <c r="N2050" t="s">
        <v>2074</v>
      </c>
      <c r="O2050" t="s">
        <v>2075</v>
      </c>
      <c r="Q2050" t="s">
        <v>2068</v>
      </c>
      <c r="R2050" t="s">
        <v>2069</v>
      </c>
      <c r="T2050" t="s">
        <v>5</v>
      </c>
      <c r="U2050" s="3" t="str">
        <f>+VLOOKUP(Sites_per_tag[[#This Row],[Activity_tag]],Parameter!$A$24:$B$32,2,0)</f>
        <v>MAM</v>
      </c>
      <c r="W2050">
        <v>44.107199999999999</v>
      </c>
      <c r="X2050">
        <v>-24.984819999999999</v>
      </c>
    </row>
    <row r="2051" spans="1:24" x14ac:dyDescent="0.35">
      <c r="A2051" s="3" t="str">
        <f t="shared" ref="A2051:A2114" si="32">+R2051&amp;U2051</f>
        <v>MG51507310046PREV</v>
      </c>
      <c r="B2051" t="s">
        <v>6267</v>
      </c>
      <c r="C2051">
        <f>+VLOOKUP(Sites_per_tag[[#This Row],[Field_office]],Parameter!$A$3:$B$11,2,0)</f>
        <v>9</v>
      </c>
      <c r="E2051" t="s">
        <v>5650</v>
      </c>
      <c r="F2051" t="s">
        <v>5654</v>
      </c>
      <c r="H2051" t="str">
        <f ca="1">PROPER(Sites_per_tag[[#This Row],[Adm2Name]])</f>
        <v>Ampanihy Ouest</v>
      </c>
      <c r="I2051" t="s">
        <v>5660</v>
      </c>
      <c r="K2051" t="s">
        <v>955</v>
      </c>
      <c r="L2051" t="s">
        <v>5808</v>
      </c>
      <c r="N2051" t="s">
        <v>6501</v>
      </c>
      <c r="Q2051" t="s">
        <v>2074</v>
      </c>
      <c r="R2051" t="s">
        <v>2075</v>
      </c>
      <c r="T2051" t="s">
        <v>32</v>
      </c>
      <c r="U2051" s="3" t="str">
        <f>+VLOOKUP(Sites_per_tag[[#This Row],[Activity_tag]],Parameter!$A$24:$B$32,2,0)</f>
        <v>PREV</v>
      </c>
      <c r="W2051">
        <v>44.107199999999999</v>
      </c>
      <c r="X2051">
        <v>-24.984819999999999</v>
      </c>
    </row>
    <row r="2052" spans="1:24" x14ac:dyDescent="0.35">
      <c r="A2052" s="3" t="str">
        <f t="shared" si="32"/>
        <v>MG51507310058001STUNT</v>
      </c>
      <c r="B2052" t="s">
        <v>6267</v>
      </c>
      <c r="C2052">
        <f>+VLOOKUP(Sites_per_tag[[#This Row],[Field_office]],Parameter!$A$3:$B$11,2,0)</f>
        <v>9</v>
      </c>
      <c r="E2052" t="s">
        <v>5650</v>
      </c>
      <c r="F2052" t="s">
        <v>5654</v>
      </c>
      <c r="H2052" t="str">
        <f ca="1">PROPER(Sites_per_tag[[#This Row],[Adm2Name]])</f>
        <v>Ampanihy Ouest</v>
      </c>
      <c r="I2052" t="s">
        <v>5660</v>
      </c>
      <c r="K2052" t="s">
        <v>955</v>
      </c>
      <c r="L2052" t="s">
        <v>5808</v>
      </c>
      <c r="N2052" t="s">
        <v>953</v>
      </c>
      <c r="O2052" t="s">
        <v>4070</v>
      </c>
      <c r="Q2052" t="s">
        <v>953</v>
      </c>
      <c r="R2052" t="s">
        <v>954</v>
      </c>
      <c r="T2052" t="s">
        <v>50</v>
      </c>
      <c r="U2052" s="3" t="str">
        <f>+VLOOKUP(Sites_per_tag[[#This Row],[Activity_tag]],Parameter!$A$24:$B$32,2,0)</f>
        <v>STUNT</v>
      </c>
      <c r="V2052" t="s">
        <v>6502</v>
      </c>
      <c r="W2052">
        <v>44.046570000000003</v>
      </c>
      <c r="X2052">
        <v>-24.878299999999999</v>
      </c>
    </row>
    <row r="2053" spans="1:24" x14ac:dyDescent="0.35">
      <c r="A2053" s="3" t="str">
        <f t="shared" si="32"/>
        <v>MG51507310060001MAM</v>
      </c>
      <c r="B2053" t="s">
        <v>6267</v>
      </c>
      <c r="C2053">
        <f>+VLOOKUP(Sites_per_tag[[#This Row],[Field_office]],Parameter!$A$3:$B$11,2,0)</f>
        <v>9</v>
      </c>
      <c r="E2053" t="s">
        <v>5650</v>
      </c>
      <c r="F2053" t="s">
        <v>5654</v>
      </c>
      <c r="H2053" t="str">
        <f ca="1">PROPER(Sites_per_tag[[#This Row],[Adm2Name]])</f>
        <v>Ampanihy Ouest</v>
      </c>
      <c r="I2053" t="s">
        <v>5660</v>
      </c>
      <c r="K2053" t="s">
        <v>1872</v>
      </c>
      <c r="L2053" t="s">
        <v>5902</v>
      </c>
      <c r="N2053" t="s">
        <v>272</v>
      </c>
      <c r="O2053" t="s">
        <v>4801</v>
      </c>
      <c r="Q2053" t="s">
        <v>272</v>
      </c>
      <c r="R2053" t="s">
        <v>273</v>
      </c>
      <c r="T2053" t="s">
        <v>5</v>
      </c>
      <c r="U2053" s="3" t="str">
        <f>+VLOOKUP(Sites_per_tag[[#This Row],[Activity_tag]],Parameter!$A$24:$B$32,2,0)</f>
        <v>MAM</v>
      </c>
      <c r="W2053">
        <v>44.595120000000001</v>
      </c>
      <c r="X2053">
        <v>-24.20515</v>
      </c>
    </row>
    <row r="2054" spans="1:24" x14ac:dyDescent="0.35">
      <c r="A2054" s="3" t="str">
        <f t="shared" si="32"/>
        <v>MG51507310061001MAM</v>
      </c>
      <c r="B2054" t="s">
        <v>6267</v>
      </c>
      <c r="C2054">
        <f>+VLOOKUP(Sites_per_tag[[#This Row],[Field_office]],Parameter!$A$3:$B$11,2,0)</f>
        <v>9</v>
      </c>
      <c r="E2054" t="s">
        <v>5650</v>
      </c>
      <c r="F2054" t="s">
        <v>5654</v>
      </c>
      <c r="H2054" t="str">
        <f ca="1">PROPER(Sites_per_tag[[#This Row],[Adm2Name]])</f>
        <v>Ampanihy Ouest</v>
      </c>
      <c r="I2054" t="s">
        <v>5660</v>
      </c>
      <c r="K2054" t="s">
        <v>1872</v>
      </c>
      <c r="L2054" t="s">
        <v>5902</v>
      </c>
      <c r="N2054" t="s">
        <v>493</v>
      </c>
      <c r="O2054" t="s">
        <v>409</v>
      </c>
      <c r="Q2054" t="s">
        <v>493</v>
      </c>
      <c r="R2054" t="s">
        <v>494</v>
      </c>
      <c r="T2054" t="s">
        <v>5</v>
      </c>
      <c r="U2054" s="3" t="str">
        <f>+VLOOKUP(Sites_per_tag[[#This Row],[Activity_tag]],Parameter!$A$24:$B$32,2,0)</f>
        <v>MAM</v>
      </c>
      <c r="W2054">
        <v>44.64873</v>
      </c>
      <c r="X2054">
        <v>-24.261030000000002</v>
      </c>
    </row>
    <row r="2055" spans="1:24" x14ac:dyDescent="0.35">
      <c r="A2055" s="3" t="str">
        <f t="shared" si="32"/>
        <v>MG51507310061PREV</v>
      </c>
      <c r="B2055" t="s">
        <v>6267</v>
      </c>
      <c r="C2055">
        <f>+VLOOKUP(Sites_per_tag[[#This Row],[Field_office]],Parameter!$A$3:$B$11,2,0)</f>
        <v>9</v>
      </c>
      <c r="E2055" t="s">
        <v>5650</v>
      </c>
      <c r="F2055" t="s">
        <v>5654</v>
      </c>
      <c r="H2055" t="str">
        <f ca="1">PROPER(Sites_per_tag[[#This Row],[Adm2Name]])</f>
        <v>Ampanihy Ouest</v>
      </c>
      <c r="I2055" t="s">
        <v>5660</v>
      </c>
      <c r="K2055" t="s">
        <v>955</v>
      </c>
      <c r="L2055" t="s">
        <v>5808</v>
      </c>
      <c r="N2055" t="s">
        <v>4249</v>
      </c>
      <c r="Q2055" t="s">
        <v>408</v>
      </c>
      <c r="R2055" t="s">
        <v>409</v>
      </c>
      <c r="T2055" t="s">
        <v>32</v>
      </c>
      <c r="U2055" s="3" t="str">
        <f>+VLOOKUP(Sites_per_tag[[#This Row],[Activity_tag]],Parameter!$A$24:$B$32,2,0)</f>
        <v>PREV</v>
      </c>
      <c r="W2055">
        <v>44.102150000000002</v>
      </c>
      <c r="X2055">
        <v>-24.957750000000001</v>
      </c>
    </row>
    <row r="2056" spans="1:24" x14ac:dyDescent="0.35">
      <c r="A2056" s="3" t="str">
        <f t="shared" si="32"/>
        <v>MG51507310062001MAM</v>
      </c>
      <c r="B2056" t="s">
        <v>6267</v>
      </c>
      <c r="C2056">
        <f>+VLOOKUP(Sites_per_tag[[#This Row],[Field_office]],Parameter!$A$3:$B$11,2,0)</f>
        <v>9</v>
      </c>
      <c r="E2056" t="s">
        <v>5650</v>
      </c>
      <c r="F2056" t="s">
        <v>5654</v>
      </c>
      <c r="H2056" t="str">
        <f ca="1">PROPER(Sites_per_tag[[#This Row],[Adm2Name]])</f>
        <v>Ampanihy Ouest</v>
      </c>
      <c r="I2056" t="s">
        <v>5660</v>
      </c>
      <c r="K2056" t="s">
        <v>1872</v>
      </c>
      <c r="L2056" t="s">
        <v>5902</v>
      </c>
      <c r="N2056" t="s">
        <v>712</v>
      </c>
      <c r="O2056" t="s">
        <v>4802</v>
      </c>
      <c r="Q2056" t="s">
        <v>712</v>
      </c>
      <c r="R2056" t="s">
        <v>713</v>
      </c>
      <c r="T2056" t="s">
        <v>5</v>
      </c>
      <c r="U2056" s="3" t="str">
        <f>+VLOOKUP(Sites_per_tag[[#This Row],[Activity_tag]],Parameter!$A$24:$B$32,2,0)</f>
        <v>MAM</v>
      </c>
      <c r="W2056">
        <v>44.638469999999998</v>
      </c>
      <c r="X2056">
        <v>-24.354500000000002</v>
      </c>
    </row>
    <row r="2057" spans="1:24" x14ac:dyDescent="0.35">
      <c r="A2057" s="3" t="str">
        <f t="shared" si="32"/>
        <v>MG51507310063001MAM</v>
      </c>
      <c r="B2057" t="s">
        <v>6267</v>
      </c>
      <c r="C2057">
        <f>+VLOOKUP(Sites_per_tag[[#This Row],[Field_office]],Parameter!$A$3:$B$11,2,0)</f>
        <v>9</v>
      </c>
      <c r="E2057" t="s">
        <v>5650</v>
      </c>
      <c r="F2057" t="s">
        <v>5654</v>
      </c>
      <c r="H2057" t="str">
        <f ca="1">PROPER(Sites_per_tag[[#This Row],[Adm2Name]])</f>
        <v>Ampanihy Ouest</v>
      </c>
      <c r="I2057" t="s">
        <v>5660</v>
      </c>
      <c r="K2057" t="s">
        <v>1872</v>
      </c>
      <c r="L2057" t="s">
        <v>5902</v>
      </c>
      <c r="N2057" t="s">
        <v>1654</v>
      </c>
      <c r="O2057" t="s">
        <v>4803</v>
      </c>
      <c r="Q2057" t="s">
        <v>1654</v>
      </c>
      <c r="R2057" t="s">
        <v>1655</v>
      </c>
      <c r="T2057" t="s">
        <v>5</v>
      </c>
      <c r="U2057" s="3" t="str">
        <f>+VLOOKUP(Sites_per_tag[[#This Row],[Activity_tag]],Parameter!$A$24:$B$32,2,0)</f>
        <v>MAM</v>
      </c>
      <c r="W2057">
        <v>44.673670000000001</v>
      </c>
      <c r="X2057">
        <v>-24.229150000000001</v>
      </c>
    </row>
    <row r="2058" spans="1:24" x14ac:dyDescent="0.35">
      <c r="A2058" s="3" t="str">
        <f t="shared" si="32"/>
        <v>MG51507310064001MAM</v>
      </c>
      <c r="B2058" t="s">
        <v>6267</v>
      </c>
      <c r="C2058">
        <f>+VLOOKUP(Sites_per_tag[[#This Row],[Field_office]],Parameter!$A$3:$B$11,2,0)</f>
        <v>9</v>
      </c>
      <c r="E2058" t="s">
        <v>5650</v>
      </c>
      <c r="F2058" t="s">
        <v>5654</v>
      </c>
      <c r="H2058" t="str">
        <f ca="1">PROPER(Sites_per_tag[[#This Row],[Adm2Name]])</f>
        <v>Ampanihy Ouest</v>
      </c>
      <c r="I2058" t="s">
        <v>5660</v>
      </c>
      <c r="K2058" t="s">
        <v>1872</v>
      </c>
      <c r="L2058" t="s">
        <v>5902</v>
      </c>
      <c r="N2058" t="s">
        <v>1384</v>
      </c>
      <c r="O2058" t="s">
        <v>4804</v>
      </c>
      <c r="Q2058" t="s">
        <v>1386</v>
      </c>
      <c r="R2058" t="s">
        <v>1387</v>
      </c>
      <c r="T2058" t="s">
        <v>5</v>
      </c>
      <c r="U2058" s="3" t="str">
        <f>+VLOOKUP(Sites_per_tag[[#This Row],[Activity_tag]],Parameter!$A$24:$B$32,2,0)</f>
        <v>MAM</v>
      </c>
      <c r="W2058">
        <v>44.665419999999997</v>
      </c>
      <c r="X2058">
        <v>-24.276</v>
      </c>
    </row>
    <row r="2059" spans="1:24" x14ac:dyDescent="0.35">
      <c r="A2059" s="3" t="str">
        <f t="shared" si="32"/>
        <v>MG51507310065001MAM</v>
      </c>
      <c r="B2059" t="s">
        <v>6267</v>
      </c>
      <c r="C2059">
        <f>+VLOOKUP(Sites_per_tag[[#This Row],[Field_office]],Parameter!$A$3:$B$11,2,0)</f>
        <v>9</v>
      </c>
      <c r="E2059" t="s">
        <v>5650</v>
      </c>
      <c r="F2059" t="s">
        <v>5654</v>
      </c>
      <c r="H2059" t="str">
        <f ca="1">PROPER(Sites_per_tag[[#This Row],[Adm2Name]])</f>
        <v>Ampanihy Ouest</v>
      </c>
      <c r="I2059" t="s">
        <v>5660</v>
      </c>
      <c r="K2059" t="s">
        <v>1872</v>
      </c>
      <c r="L2059" t="s">
        <v>5902</v>
      </c>
      <c r="N2059" t="s">
        <v>1656</v>
      </c>
      <c r="O2059" t="s">
        <v>4805</v>
      </c>
      <c r="Q2059" t="s">
        <v>1658</v>
      </c>
      <c r="R2059" t="s">
        <v>1659</v>
      </c>
      <c r="T2059" t="s">
        <v>5</v>
      </c>
      <c r="U2059" s="3" t="str">
        <f>+VLOOKUP(Sites_per_tag[[#This Row],[Activity_tag]],Parameter!$A$24:$B$32,2,0)</f>
        <v>MAM</v>
      </c>
      <c r="W2059">
        <v>44.690330000000003</v>
      </c>
      <c r="X2059">
        <v>-24.229150000000001</v>
      </c>
    </row>
    <row r="2060" spans="1:24" x14ac:dyDescent="0.35">
      <c r="A2060" s="3" t="str">
        <f t="shared" si="32"/>
        <v>MG51507310066001MAM</v>
      </c>
      <c r="B2060" t="s">
        <v>6267</v>
      </c>
      <c r="C2060">
        <f>+VLOOKUP(Sites_per_tag[[#This Row],[Field_office]],Parameter!$A$3:$B$11,2,0)</f>
        <v>9</v>
      </c>
      <c r="E2060" t="s">
        <v>5650</v>
      </c>
      <c r="F2060" t="s">
        <v>5654</v>
      </c>
      <c r="H2060" t="str">
        <f ca="1">PROPER(Sites_per_tag[[#This Row],[Adm2Name]])</f>
        <v>Ampanihy Ouest</v>
      </c>
      <c r="I2060" t="s">
        <v>5660</v>
      </c>
      <c r="K2060" t="s">
        <v>1872</v>
      </c>
      <c r="L2060" t="s">
        <v>5902</v>
      </c>
      <c r="N2060" t="s">
        <v>1660</v>
      </c>
      <c r="O2060" t="s">
        <v>4806</v>
      </c>
      <c r="Q2060" t="s">
        <v>1660</v>
      </c>
      <c r="R2060" t="s">
        <v>1661</v>
      </c>
      <c r="T2060" t="s">
        <v>5</v>
      </c>
      <c r="U2060" s="3" t="str">
        <f>+VLOOKUP(Sites_per_tag[[#This Row],[Activity_tag]],Parameter!$A$24:$B$32,2,0)</f>
        <v>MAM</v>
      </c>
      <c r="W2060">
        <v>44.69023</v>
      </c>
      <c r="X2060">
        <v>-24.229150000000001</v>
      </c>
    </row>
    <row r="2061" spans="1:24" x14ac:dyDescent="0.35">
      <c r="A2061" s="3" t="str">
        <f t="shared" si="32"/>
        <v>MG51507310067001MAM</v>
      </c>
      <c r="B2061" t="s">
        <v>6267</v>
      </c>
      <c r="C2061">
        <f>+VLOOKUP(Sites_per_tag[[#This Row],[Field_office]],Parameter!$A$3:$B$11,2,0)</f>
        <v>9</v>
      </c>
      <c r="E2061" t="s">
        <v>5650</v>
      </c>
      <c r="F2061" t="s">
        <v>5654</v>
      </c>
      <c r="H2061" t="str">
        <f ca="1">PROPER(Sites_per_tag[[#This Row],[Adm2Name]])</f>
        <v>Ampanihy Ouest</v>
      </c>
      <c r="I2061" t="s">
        <v>5660</v>
      </c>
      <c r="K2061" t="s">
        <v>1872</v>
      </c>
      <c r="L2061" t="s">
        <v>5902</v>
      </c>
      <c r="N2061" t="s">
        <v>1835</v>
      </c>
      <c r="O2061" t="s">
        <v>4807</v>
      </c>
      <c r="Q2061" t="s">
        <v>1835</v>
      </c>
      <c r="R2061" t="s">
        <v>1836</v>
      </c>
      <c r="T2061" t="s">
        <v>5</v>
      </c>
      <c r="U2061" s="3" t="str">
        <f>+VLOOKUP(Sites_per_tag[[#This Row],[Activity_tag]],Parameter!$A$24:$B$32,2,0)</f>
        <v>MAM</v>
      </c>
      <c r="W2061">
        <v>44.572899999999997</v>
      </c>
      <c r="X2061">
        <v>-24.303249999999998</v>
      </c>
    </row>
    <row r="2062" spans="1:24" x14ac:dyDescent="0.35">
      <c r="A2062" s="3" t="str">
        <f t="shared" si="32"/>
        <v>MG51507310068001MAM</v>
      </c>
      <c r="B2062" t="s">
        <v>6267</v>
      </c>
      <c r="C2062">
        <f>+VLOOKUP(Sites_per_tag[[#This Row],[Field_office]],Parameter!$A$3:$B$11,2,0)</f>
        <v>9</v>
      </c>
      <c r="E2062" t="s">
        <v>5650</v>
      </c>
      <c r="F2062" t="s">
        <v>5654</v>
      </c>
      <c r="H2062" t="str">
        <f ca="1">PROPER(Sites_per_tag[[#This Row],[Adm2Name]])</f>
        <v>Ampanihy Ouest</v>
      </c>
      <c r="I2062" t="s">
        <v>5660</v>
      </c>
      <c r="K2062" t="s">
        <v>1872</v>
      </c>
      <c r="L2062" t="s">
        <v>5902</v>
      </c>
      <c r="N2062" t="s">
        <v>1870</v>
      </c>
      <c r="O2062" t="s">
        <v>4808</v>
      </c>
      <c r="Q2062" t="s">
        <v>1870</v>
      </c>
      <c r="R2062" t="s">
        <v>1871</v>
      </c>
      <c r="T2062" t="s">
        <v>5</v>
      </c>
      <c r="U2062" s="3" t="str">
        <f>+VLOOKUP(Sites_per_tag[[#This Row],[Activity_tag]],Parameter!$A$24:$B$32,2,0)</f>
        <v>MAM</v>
      </c>
      <c r="W2062">
        <v>44.673670000000001</v>
      </c>
      <c r="X2062">
        <v>-24.229150000000001</v>
      </c>
    </row>
    <row r="2063" spans="1:24" x14ac:dyDescent="0.35">
      <c r="A2063" s="3" t="str">
        <f t="shared" si="32"/>
        <v>MG51507310069001MAM</v>
      </c>
      <c r="B2063" t="s">
        <v>6267</v>
      </c>
      <c r="C2063">
        <f>+VLOOKUP(Sites_per_tag[[#This Row],[Field_office]],Parameter!$A$3:$B$11,2,0)</f>
        <v>9</v>
      </c>
      <c r="E2063" t="s">
        <v>5650</v>
      </c>
      <c r="F2063" t="s">
        <v>5654</v>
      </c>
      <c r="H2063" t="str">
        <f ca="1">PROPER(Sites_per_tag[[#This Row],[Adm2Name]])</f>
        <v>Ampanihy Ouest</v>
      </c>
      <c r="I2063" t="s">
        <v>5660</v>
      </c>
      <c r="K2063" t="s">
        <v>1872</v>
      </c>
      <c r="L2063" t="s">
        <v>5902</v>
      </c>
      <c r="N2063" t="s">
        <v>1872</v>
      </c>
      <c r="O2063" t="s">
        <v>4809</v>
      </c>
      <c r="Q2063" t="s">
        <v>1872</v>
      </c>
      <c r="R2063" t="s">
        <v>1873</v>
      </c>
      <c r="T2063" t="s">
        <v>5</v>
      </c>
      <c r="U2063" s="3" t="str">
        <f>+VLOOKUP(Sites_per_tag[[#This Row],[Activity_tag]],Parameter!$A$24:$B$32,2,0)</f>
        <v>MAM</v>
      </c>
      <c r="W2063">
        <v>44.690330000000003</v>
      </c>
      <c r="X2063">
        <v>-24.229150000000001</v>
      </c>
    </row>
    <row r="2064" spans="1:24" x14ac:dyDescent="0.35">
      <c r="A2064" s="3" t="str">
        <f t="shared" si="32"/>
        <v>MG51507310070001MAM</v>
      </c>
      <c r="B2064" t="s">
        <v>6267</v>
      </c>
      <c r="C2064">
        <f>+VLOOKUP(Sites_per_tag[[#This Row],[Field_office]],Parameter!$A$3:$B$11,2,0)</f>
        <v>9</v>
      </c>
      <c r="E2064" t="s">
        <v>5650</v>
      </c>
      <c r="F2064" t="s">
        <v>5654</v>
      </c>
      <c r="H2064" t="str">
        <f ca="1">PROPER(Sites_per_tag[[#This Row],[Adm2Name]])</f>
        <v>Ampanihy Ouest</v>
      </c>
      <c r="I2064" t="s">
        <v>5660</v>
      </c>
      <c r="K2064" t="s">
        <v>5719</v>
      </c>
      <c r="L2064" t="s">
        <v>5983</v>
      </c>
      <c r="N2064" t="s">
        <v>3032</v>
      </c>
      <c r="O2064" t="s">
        <v>5119</v>
      </c>
      <c r="Q2064" t="s">
        <v>3036</v>
      </c>
      <c r="R2064" t="s">
        <v>3037</v>
      </c>
      <c r="T2064" t="s">
        <v>5</v>
      </c>
      <c r="U2064" s="3" t="str">
        <f>+VLOOKUP(Sites_per_tag[[#This Row],[Activity_tag]],Parameter!$A$24:$B$32,2,0)</f>
        <v>MAM</v>
      </c>
      <c r="W2064">
        <v>43.969580000000001</v>
      </c>
      <c r="X2064">
        <v>-24.790780000000002</v>
      </c>
    </row>
    <row r="2065" spans="1:24" x14ac:dyDescent="0.35">
      <c r="A2065" s="3" t="str">
        <f t="shared" si="32"/>
        <v>MG51507310071001STUNT</v>
      </c>
      <c r="B2065" t="s">
        <v>6267</v>
      </c>
      <c r="C2065">
        <f>+VLOOKUP(Sites_per_tag[[#This Row],[Field_office]],Parameter!$A$3:$B$11,2,0)</f>
        <v>9</v>
      </c>
      <c r="E2065" t="s">
        <v>5650</v>
      </c>
      <c r="F2065" t="s">
        <v>5654</v>
      </c>
      <c r="H2065" t="str">
        <f ca="1">PROPER(Sites_per_tag[[#This Row],[Adm2Name]])</f>
        <v>Ampanihy Ouest</v>
      </c>
      <c r="I2065" t="s">
        <v>5660</v>
      </c>
      <c r="K2065" t="s">
        <v>5719</v>
      </c>
      <c r="L2065" t="s">
        <v>5983</v>
      </c>
      <c r="N2065" t="s">
        <v>1266</v>
      </c>
      <c r="O2065" t="s">
        <v>4071</v>
      </c>
      <c r="Q2065" t="s">
        <v>1266</v>
      </c>
      <c r="R2065" t="s">
        <v>1267</v>
      </c>
      <c r="T2065" t="s">
        <v>50</v>
      </c>
      <c r="U2065" s="3" t="str">
        <f>+VLOOKUP(Sites_per_tag[[#This Row],[Activity_tag]],Parameter!$A$24:$B$32,2,0)</f>
        <v>STUNT</v>
      </c>
      <c r="V2065" t="s">
        <v>6503</v>
      </c>
      <c r="W2065">
        <v>43.70655</v>
      </c>
      <c r="X2065">
        <v>-24.303629999999998</v>
      </c>
    </row>
    <row r="2066" spans="1:24" x14ac:dyDescent="0.35">
      <c r="A2066" s="3" t="str">
        <f t="shared" si="32"/>
        <v>MG51507310072001MAM</v>
      </c>
      <c r="B2066" t="s">
        <v>6267</v>
      </c>
      <c r="C2066">
        <f>+VLOOKUP(Sites_per_tag[[#This Row],[Field_office]],Parameter!$A$3:$B$11,2,0)</f>
        <v>9</v>
      </c>
      <c r="E2066" t="s">
        <v>5650</v>
      </c>
      <c r="F2066" t="s">
        <v>5654</v>
      </c>
      <c r="H2066" t="str">
        <f ca="1">PROPER(Sites_per_tag[[#This Row],[Adm2Name]])</f>
        <v>Ampanihy Ouest</v>
      </c>
      <c r="I2066" t="s">
        <v>5660</v>
      </c>
      <c r="K2066" t="s">
        <v>1872</v>
      </c>
      <c r="L2066" t="s">
        <v>5902</v>
      </c>
      <c r="N2066" t="s">
        <v>2225</v>
      </c>
      <c r="O2066" t="s">
        <v>4810</v>
      </c>
      <c r="Q2066" t="s">
        <v>2225</v>
      </c>
      <c r="R2066" t="s">
        <v>2226</v>
      </c>
      <c r="T2066" t="s">
        <v>5</v>
      </c>
      <c r="U2066" s="3" t="str">
        <f>+VLOOKUP(Sites_per_tag[[#This Row],[Activity_tag]],Parameter!$A$24:$B$32,2,0)</f>
        <v>MAM</v>
      </c>
      <c r="W2066">
        <v>44.596429999999998</v>
      </c>
      <c r="X2066">
        <v>-24.160820000000001</v>
      </c>
    </row>
    <row r="2067" spans="1:24" x14ac:dyDescent="0.35">
      <c r="A2067" s="3" t="str">
        <f t="shared" si="32"/>
        <v>MG51507310073001MAM</v>
      </c>
      <c r="B2067" t="s">
        <v>6267</v>
      </c>
      <c r="C2067">
        <f>+VLOOKUP(Sites_per_tag[[#This Row],[Field_office]],Parameter!$A$3:$B$11,2,0)</f>
        <v>9</v>
      </c>
      <c r="E2067" t="s">
        <v>5650</v>
      </c>
      <c r="F2067" t="s">
        <v>5654</v>
      </c>
      <c r="H2067" t="str">
        <f ca="1">PROPER(Sites_per_tag[[#This Row],[Adm2Name]])</f>
        <v>Ampanihy Ouest</v>
      </c>
      <c r="I2067" t="s">
        <v>5660</v>
      </c>
      <c r="K2067" t="s">
        <v>1872</v>
      </c>
      <c r="L2067" t="s">
        <v>5902</v>
      </c>
      <c r="N2067" t="s">
        <v>2516</v>
      </c>
      <c r="O2067" t="s">
        <v>4811</v>
      </c>
      <c r="Q2067" t="s">
        <v>2516</v>
      </c>
      <c r="R2067" t="s">
        <v>2517</v>
      </c>
      <c r="T2067" t="s">
        <v>5</v>
      </c>
      <c r="U2067" s="3" t="str">
        <f>+VLOOKUP(Sites_per_tag[[#This Row],[Activity_tag]],Parameter!$A$24:$B$32,2,0)</f>
        <v>MAM</v>
      </c>
      <c r="W2067">
        <v>44.676220000000001</v>
      </c>
      <c r="X2067">
        <v>-24.227350000000001</v>
      </c>
    </row>
    <row r="2068" spans="1:24" x14ac:dyDescent="0.35">
      <c r="A2068" s="3" t="str">
        <f t="shared" si="32"/>
        <v>MG51507310074001MAM</v>
      </c>
      <c r="B2068" t="s">
        <v>6267</v>
      </c>
      <c r="C2068">
        <f>+VLOOKUP(Sites_per_tag[[#This Row],[Field_office]],Parameter!$A$3:$B$11,2,0)</f>
        <v>9</v>
      </c>
      <c r="E2068" t="s">
        <v>5650</v>
      </c>
      <c r="F2068" t="s">
        <v>5654</v>
      </c>
      <c r="H2068" t="str">
        <f ca="1">PROPER(Sites_per_tag[[#This Row],[Adm2Name]])</f>
        <v>Ampanihy Ouest</v>
      </c>
      <c r="I2068" t="s">
        <v>5660</v>
      </c>
      <c r="K2068" t="s">
        <v>1872</v>
      </c>
      <c r="L2068" t="s">
        <v>5902</v>
      </c>
      <c r="N2068" t="s">
        <v>2670</v>
      </c>
      <c r="O2068" t="s">
        <v>4812</v>
      </c>
      <c r="Q2068" t="s">
        <v>2670</v>
      </c>
      <c r="R2068" t="s">
        <v>2671</v>
      </c>
      <c r="T2068" t="s">
        <v>5</v>
      </c>
      <c r="U2068" s="3" t="str">
        <f>+VLOOKUP(Sites_per_tag[[#This Row],[Activity_tag]],Parameter!$A$24:$B$32,2,0)</f>
        <v>MAM</v>
      </c>
      <c r="W2068">
        <v>44.572899999999997</v>
      </c>
      <c r="X2068">
        <v>-24.303650000000001</v>
      </c>
    </row>
    <row r="2069" spans="1:24" x14ac:dyDescent="0.35">
      <c r="A2069" s="3" t="str">
        <f t="shared" si="32"/>
        <v>MG51507310075001MAM</v>
      </c>
      <c r="B2069" t="s">
        <v>6267</v>
      </c>
      <c r="C2069">
        <f>+VLOOKUP(Sites_per_tag[[#This Row],[Field_office]],Parameter!$A$3:$B$11,2,0)</f>
        <v>9</v>
      </c>
      <c r="E2069" t="s">
        <v>5650</v>
      </c>
      <c r="F2069" t="s">
        <v>5654</v>
      </c>
      <c r="H2069" t="str">
        <f ca="1">PROPER(Sites_per_tag[[#This Row],[Adm2Name]])</f>
        <v>Ampanihy Ouest</v>
      </c>
      <c r="I2069" t="s">
        <v>5660</v>
      </c>
      <c r="K2069" t="s">
        <v>1872</v>
      </c>
      <c r="L2069" t="s">
        <v>5902</v>
      </c>
      <c r="N2069" t="s">
        <v>3167</v>
      </c>
      <c r="O2069" t="s">
        <v>4813</v>
      </c>
      <c r="Q2069" t="s">
        <v>3167</v>
      </c>
      <c r="R2069" t="s">
        <v>3168</v>
      </c>
      <c r="T2069" t="s">
        <v>5</v>
      </c>
      <c r="U2069" s="3" t="str">
        <f>+VLOOKUP(Sites_per_tag[[#This Row],[Activity_tag]],Parameter!$A$24:$B$32,2,0)</f>
        <v>MAM</v>
      </c>
      <c r="W2069">
        <v>44.613480000000003</v>
      </c>
      <c r="X2069">
        <v>-24.29027</v>
      </c>
    </row>
    <row r="2070" spans="1:24" x14ac:dyDescent="0.35">
      <c r="A2070" s="3" t="str">
        <f t="shared" si="32"/>
        <v>MG51507310076001MAM</v>
      </c>
      <c r="B2070" t="s">
        <v>6267</v>
      </c>
      <c r="C2070">
        <f>+VLOOKUP(Sites_per_tag[[#This Row],[Field_office]],Parameter!$A$3:$B$11,2,0)</f>
        <v>9</v>
      </c>
      <c r="E2070" t="s">
        <v>5650</v>
      </c>
      <c r="F2070" t="s">
        <v>5654</v>
      </c>
      <c r="H2070" t="str">
        <f ca="1">PROPER(Sites_per_tag[[#This Row],[Adm2Name]])</f>
        <v>Ampanihy Ouest</v>
      </c>
      <c r="I2070" t="s">
        <v>5660</v>
      </c>
      <c r="K2070" t="s">
        <v>1872</v>
      </c>
      <c r="L2070" t="s">
        <v>5902</v>
      </c>
      <c r="N2070" t="s">
        <v>3254</v>
      </c>
      <c r="O2070" t="s">
        <v>4814</v>
      </c>
      <c r="Q2070" t="s">
        <v>3254</v>
      </c>
      <c r="R2070" t="s">
        <v>3255</v>
      </c>
      <c r="T2070" t="s">
        <v>5</v>
      </c>
      <c r="U2070" s="3" t="str">
        <f>+VLOOKUP(Sites_per_tag[[#This Row],[Activity_tag]],Parameter!$A$24:$B$32,2,0)</f>
        <v>MAM</v>
      </c>
      <c r="W2070">
        <v>44.58408</v>
      </c>
      <c r="X2070">
        <v>-24.353169999999999</v>
      </c>
    </row>
    <row r="2071" spans="1:24" x14ac:dyDescent="0.35">
      <c r="A2071" s="3" t="str">
        <f t="shared" si="32"/>
        <v>MG51507310077001MAM</v>
      </c>
      <c r="B2071" t="s">
        <v>6267</v>
      </c>
      <c r="C2071">
        <f>+VLOOKUP(Sites_per_tag[[#This Row],[Field_office]],Parameter!$A$3:$B$11,2,0)</f>
        <v>9</v>
      </c>
      <c r="E2071" t="s">
        <v>5650</v>
      </c>
      <c r="F2071" t="s">
        <v>5654</v>
      </c>
      <c r="H2071" t="str">
        <f ca="1">PROPER(Sites_per_tag[[#This Row],[Adm2Name]])</f>
        <v>Ampanihy Ouest</v>
      </c>
      <c r="I2071" t="s">
        <v>5660</v>
      </c>
      <c r="K2071" t="s">
        <v>1872</v>
      </c>
      <c r="L2071" t="s">
        <v>5902</v>
      </c>
      <c r="N2071" t="s">
        <v>3256</v>
      </c>
      <c r="O2071" t="s">
        <v>4815</v>
      </c>
      <c r="Q2071" t="s">
        <v>3256</v>
      </c>
      <c r="R2071" t="s">
        <v>3257</v>
      </c>
      <c r="T2071" t="s">
        <v>5</v>
      </c>
      <c r="U2071" s="3" t="str">
        <f>+VLOOKUP(Sites_per_tag[[#This Row],[Activity_tag]],Parameter!$A$24:$B$32,2,0)</f>
        <v>MAM</v>
      </c>
      <c r="W2071">
        <v>44.592579999999998</v>
      </c>
      <c r="X2071">
        <v>-24.363880000000002</v>
      </c>
    </row>
    <row r="2072" spans="1:24" x14ac:dyDescent="0.35">
      <c r="A2072" s="3" t="str">
        <f t="shared" si="32"/>
        <v>MG51507310078001MAM</v>
      </c>
      <c r="B2072" t="s">
        <v>6267</v>
      </c>
      <c r="C2072">
        <f>+VLOOKUP(Sites_per_tag[[#This Row],[Field_office]],Parameter!$A$3:$B$11,2,0)</f>
        <v>9</v>
      </c>
      <c r="E2072" t="s">
        <v>5650</v>
      </c>
      <c r="F2072" t="s">
        <v>5654</v>
      </c>
      <c r="H2072" t="str">
        <f ca="1">PROPER(Sites_per_tag[[#This Row],[Adm2Name]])</f>
        <v>Ampanihy Ouest</v>
      </c>
      <c r="I2072" t="s">
        <v>5660</v>
      </c>
      <c r="K2072" t="s">
        <v>1872</v>
      </c>
      <c r="L2072" t="s">
        <v>5902</v>
      </c>
      <c r="N2072" t="s">
        <v>3258</v>
      </c>
      <c r="O2072" t="s">
        <v>4816</v>
      </c>
      <c r="Q2072" t="s">
        <v>3258</v>
      </c>
      <c r="R2072" t="s">
        <v>3259</v>
      </c>
      <c r="T2072" t="s">
        <v>5</v>
      </c>
      <c r="U2072" s="3" t="str">
        <f>+VLOOKUP(Sites_per_tag[[#This Row],[Activity_tag]],Parameter!$A$24:$B$32,2,0)</f>
        <v>MAM</v>
      </c>
      <c r="W2072">
        <v>44.60192</v>
      </c>
      <c r="X2072">
        <v>-24.359300000000001</v>
      </c>
    </row>
    <row r="2073" spans="1:24" x14ac:dyDescent="0.35">
      <c r="A2073" s="3" t="str">
        <f t="shared" si="32"/>
        <v>MG51507310079001MAM</v>
      </c>
      <c r="B2073" t="s">
        <v>6267</v>
      </c>
      <c r="C2073">
        <f>+VLOOKUP(Sites_per_tag[[#This Row],[Field_office]],Parameter!$A$3:$B$11,2,0)</f>
        <v>9</v>
      </c>
      <c r="E2073" t="s">
        <v>5650</v>
      </c>
      <c r="F2073" t="s">
        <v>5654</v>
      </c>
      <c r="H2073" t="str">
        <f ca="1">PROPER(Sites_per_tag[[#This Row],[Adm2Name]])</f>
        <v>Ampanihy Ouest</v>
      </c>
      <c r="I2073" t="s">
        <v>5660</v>
      </c>
      <c r="K2073" t="s">
        <v>1872</v>
      </c>
      <c r="L2073" t="s">
        <v>5902</v>
      </c>
      <c r="N2073" t="s">
        <v>3319</v>
      </c>
      <c r="O2073" t="s">
        <v>4817</v>
      </c>
      <c r="Q2073" t="s">
        <v>3319</v>
      </c>
      <c r="R2073" t="s">
        <v>3320</v>
      </c>
      <c r="T2073" t="s">
        <v>5</v>
      </c>
      <c r="U2073" s="3" t="str">
        <f>+VLOOKUP(Sites_per_tag[[#This Row],[Activity_tag]],Parameter!$A$24:$B$32,2,0)</f>
        <v>MAM</v>
      </c>
      <c r="W2073">
        <v>44.693069999999999</v>
      </c>
      <c r="X2073">
        <v>-24.237349999999999</v>
      </c>
    </row>
    <row r="2074" spans="1:24" x14ac:dyDescent="0.35">
      <c r="A2074" s="3" t="str">
        <f t="shared" si="32"/>
        <v>MG51507310080001MAM</v>
      </c>
      <c r="B2074" t="s">
        <v>6267</v>
      </c>
      <c r="C2074">
        <f>+VLOOKUP(Sites_per_tag[[#This Row],[Field_office]],Parameter!$A$3:$B$11,2,0)</f>
        <v>9</v>
      </c>
      <c r="E2074" t="s">
        <v>5650</v>
      </c>
      <c r="F2074" t="s">
        <v>5654</v>
      </c>
      <c r="H2074" t="str">
        <f ca="1">PROPER(Sites_per_tag[[#This Row],[Adm2Name]])</f>
        <v>Ampanihy Ouest</v>
      </c>
      <c r="I2074" t="s">
        <v>5660</v>
      </c>
      <c r="K2074" t="s">
        <v>1872</v>
      </c>
      <c r="L2074" t="s">
        <v>5902</v>
      </c>
      <c r="N2074" t="s">
        <v>3638</v>
      </c>
      <c r="O2074" t="s">
        <v>4818</v>
      </c>
      <c r="Q2074" t="s">
        <v>3638</v>
      </c>
      <c r="R2074" t="s">
        <v>3639</v>
      </c>
      <c r="T2074" t="s">
        <v>5</v>
      </c>
      <c r="U2074" s="3" t="str">
        <f>+VLOOKUP(Sites_per_tag[[#This Row],[Activity_tag]],Parameter!$A$24:$B$32,2,0)</f>
        <v>MAM</v>
      </c>
      <c r="W2074">
        <v>44.587800000000001</v>
      </c>
      <c r="X2074">
        <v>-24.247520000000002</v>
      </c>
    </row>
    <row r="2075" spans="1:24" x14ac:dyDescent="0.35">
      <c r="A2075" s="3" t="str">
        <f t="shared" si="32"/>
        <v>MG51507310081001MAM</v>
      </c>
      <c r="B2075" t="s">
        <v>6267</v>
      </c>
      <c r="C2075">
        <f>+VLOOKUP(Sites_per_tag[[#This Row],[Field_office]],Parameter!$A$3:$B$11,2,0)</f>
        <v>9</v>
      </c>
      <c r="E2075" t="s">
        <v>5650</v>
      </c>
      <c r="F2075" t="s">
        <v>5654</v>
      </c>
      <c r="H2075" t="str">
        <f ca="1">PROPER(Sites_per_tag[[#This Row],[Adm2Name]])</f>
        <v>Ampanihy Ouest</v>
      </c>
      <c r="I2075" t="s">
        <v>5660</v>
      </c>
      <c r="K2075" t="s">
        <v>5719</v>
      </c>
      <c r="L2075" t="s">
        <v>5983</v>
      </c>
      <c r="N2075" t="s">
        <v>6504</v>
      </c>
      <c r="O2075" t="s">
        <v>5120</v>
      </c>
      <c r="Q2075" t="s">
        <v>2613</v>
      </c>
      <c r="R2075" t="s">
        <v>2614</v>
      </c>
      <c r="T2075" t="s">
        <v>5</v>
      </c>
      <c r="U2075" s="3" t="str">
        <f>+VLOOKUP(Sites_per_tag[[#This Row],[Activity_tag]],Parameter!$A$24:$B$32,2,0)</f>
        <v>MAM</v>
      </c>
      <c r="W2075">
        <v>43.944130000000001</v>
      </c>
      <c r="X2075">
        <v>-24.686170000000001</v>
      </c>
    </row>
    <row r="2076" spans="1:24" x14ac:dyDescent="0.35">
      <c r="A2076" s="3" t="str">
        <f t="shared" si="32"/>
        <v>MG51507310082001STUNT</v>
      </c>
      <c r="B2076" t="s">
        <v>6267</v>
      </c>
      <c r="C2076">
        <f>+VLOOKUP(Sites_per_tag[[#This Row],[Field_office]],Parameter!$A$3:$B$11,2,0)</f>
        <v>9</v>
      </c>
      <c r="E2076" t="s">
        <v>5650</v>
      </c>
      <c r="F2076" t="s">
        <v>5654</v>
      </c>
      <c r="H2076" t="str">
        <f ca="1">PROPER(Sites_per_tag[[#This Row],[Adm2Name]])</f>
        <v>Ampanihy Ouest</v>
      </c>
      <c r="I2076" t="s">
        <v>5660</v>
      </c>
      <c r="K2076" t="s">
        <v>5719</v>
      </c>
      <c r="L2076" t="s">
        <v>5983</v>
      </c>
      <c r="N2076" t="s">
        <v>2611</v>
      </c>
      <c r="O2076" t="s">
        <v>4072</v>
      </c>
      <c r="Q2076" t="s">
        <v>2611</v>
      </c>
      <c r="R2076" t="s">
        <v>2612</v>
      </c>
      <c r="T2076" t="s">
        <v>50</v>
      </c>
      <c r="U2076" s="3" t="str">
        <f>+VLOOKUP(Sites_per_tag[[#This Row],[Activity_tag]],Parameter!$A$24:$B$32,2,0)</f>
        <v>STUNT</v>
      </c>
      <c r="V2076" t="s">
        <v>6505</v>
      </c>
      <c r="W2076">
        <v>43.944130000000001</v>
      </c>
      <c r="X2076">
        <v>-24.686170000000001</v>
      </c>
    </row>
    <row r="2077" spans="1:24" x14ac:dyDescent="0.35">
      <c r="A2077" s="3" t="str">
        <f t="shared" si="32"/>
        <v>MG51507310083001MAM</v>
      </c>
      <c r="B2077" t="s">
        <v>6267</v>
      </c>
      <c r="C2077">
        <f>+VLOOKUP(Sites_per_tag[[#This Row],[Field_office]],Parameter!$A$3:$B$11,2,0)</f>
        <v>9</v>
      </c>
      <c r="E2077" t="s">
        <v>5650</v>
      </c>
      <c r="F2077" t="s">
        <v>5654</v>
      </c>
      <c r="H2077" t="str">
        <f ca="1">PROPER(Sites_per_tag[[#This Row],[Adm2Name]])</f>
        <v>Ampanihy Ouest</v>
      </c>
      <c r="I2077" t="s">
        <v>5660</v>
      </c>
      <c r="K2077" t="s">
        <v>5719</v>
      </c>
      <c r="L2077" t="s">
        <v>5983</v>
      </c>
      <c r="N2077" t="s">
        <v>3387</v>
      </c>
      <c r="O2077" t="s">
        <v>5121</v>
      </c>
      <c r="Q2077" t="s">
        <v>3387</v>
      </c>
      <c r="R2077" t="s">
        <v>3388</v>
      </c>
      <c r="T2077" t="s">
        <v>5</v>
      </c>
      <c r="U2077" s="3" t="str">
        <f>+VLOOKUP(Sites_per_tag[[#This Row],[Activity_tag]],Parameter!$A$24:$B$32,2,0)</f>
        <v>MAM</v>
      </c>
      <c r="W2077">
        <v>44.002029999999998</v>
      </c>
      <c r="X2077">
        <v>-24.827780000000001</v>
      </c>
    </row>
    <row r="2078" spans="1:24" x14ac:dyDescent="0.35">
      <c r="A2078" s="3" t="str">
        <f t="shared" si="32"/>
        <v>MG51507310084001MAM</v>
      </c>
      <c r="B2078" t="s">
        <v>6267</v>
      </c>
      <c r="C2078">
        <f>+VLOOKUP(Sites_per_tag[[#This Row],[Field_office]],Parameter!$A$3:$B$11,2,0)</f>
        <v>9</v>
      </c>
      <c r="E2078" t="s">
        <v>5650</v>
      </c>
      <c r="F2078" t="s">
        <v>5654</v>
      </c>
      <c r="H2078" t="str">
        <f ca="1">PROPER(Sites_per_tag[[#This Row],[Adm2Name]])</f>
        <v>Ampanihy Ouest</v>
      </c>
      <c r="I2078" t="s">
        <v>5660</v>
      </c>
      <c r="K2078" t="s">
        <v>5719</v>
      </c>
      <c r="L2078" t="s">
        <v>5983</v>
      </c>
      <c r="N2078" t="s">
        <v>3688</v>
      </c>
      <c r="O2078" t="s">
        <v>5122</v>
      </c>
      <c r="Q2078" t="s">
        <v>3688</v>
      </c>
      <c r="R2078" t="s">
        <v>3689</v>
      </c>
      <c r="T2078" t="s">
        <v>5</v>
      </c>
      <c r="U2078" s="3" t="str">
        <f>+VLOOKUP(Sites_per_tag[[#This Row],[Activity_tag]],Parameter!$A$24:$B$32,2,0)</f>
        <v>MAM</v>
      </c>
      <c r="W2078">
        <v>43.961150000000004</v>
      </c>
      <c r="X2078">
        <v>-24.760269999999998</v>
      </c>
    </row>
    <row r="2079" spans="1:24" x14ac:dyDescent="0.35">
      <c r="A2079" s="3" t="str">
        <f t="shared" si="32"/>
        <v>MG51507310085001MAM</v>
      </c>
      <c r="B2079" t="s">
        <v>6267</v>
      </c>
      <c r="C2079">
        <f>+VLOOKUP(Sites_per_tag[[#This Row],[Field_office]],Parameter!$A$3:$B$11,2,0)</f>
        <v>9</v>
      </c>
      <c r="E2079" t="s">
        <v>5650</v>
      </c>
      <c r="F2079" t="s">
        <v>5654</v>
      </c>
      <c r="H2079" t="str">
        <f ca="1">PROPER(Sites_per_tag[[#This Row],[Adm2Name]])</f>
        <v>Ampanihy Ouest</v>
      </c>
      <c r="I2079" t="s">
        <v>5660</v>
      </c>
      <c r="K2079" t="s">
        <v>5719</v>
      </c>
      <c r="L2079" t="s">
        <v>5983</v>
      </c>
      <c r="N2079" t="s">
        <v>3820</v>
      </c>
      <c r="O2079" t="s">
        <v>5123</v>
      </c>
      <c r="Q2079" t="s">
        <v>3820</v>
      </c>
      <c r="R2079" t="s">
        <v>3821</v>
      </c>
      <c r="T2079" t="s">
        <v>5</v>
      </c>
      <c r="U2079" s="3" t="str">
        <f>+VLOOKUP(Sites_per_tag[[#This Row],[Activity_tag]],Parameter!$A$24:$B$32,2,0)</f>
        <v>MAM</v>
      </c>
      <c r="W2079">
        <v>43.994419999999998</v>
      </c>
      <c r="X2079">
        <v>-24.808579999999999</v>
      </c>
    </row>
    <row r="2080" spans="1:24" x14ac:dyDescent="0.35">
      <c r="A2080" s="3" t="str">
        <f t="shared" si="32"/>
        <v>MG51507310089001STUNT</v>
      </c>
      <c r="B2080" t="s">
        <v>6267</v>
      </c>
      <c r="C2080">
        <f>+VLOOKUP(Sites_per_tag[[#This Row],[Field_office]],Parameter!$A$3:$B$11,2,0)</f>
        <v>9</v>
      </c>
      <c r="E2080" t="s">
        <v>5650</v>
      </c>
      <c r="F2080" t="s">
        <v>5654</v>
      </c>
      <c r="H2080" t="str">
        <f ca="1">PROPER(Sites_per_tag[[#This Row],[Adm2Name]])</f>
        <v>Ampanihy Ouest</v>
      </c>
      <c r="I2080" t="s">
        <v>5660</v>
      </c>
      <c r="K2080" t="s">
        <v>955</v>
      </c>
      <c r="L2080" t="s">
        <v>5808</v>
      </c>
      <c r="N2080" t="s">
        <v>402</v>
      </c>
      <c r="O2080" t="s">
        <v>4073</v>
      </c>
      <c r="Q2080" t="s">
        <v>402</v>
      </c>
      <c r="R2080" t="s">
        <v>403</v>
      </c>
      <c r="T2080" t="s">
        <v>50</v>
      </c>
      <c r="U2080" s="3" t="str">
        <f>+VLOOKUP(Sites_per_tag[[#This Row],[Activity_tag]],Parameter!$A$24:$B$32,2,0)</f>
        <v>STUNT</v>
      </c>
      <c r="V2080" t="s">
        <v>6506</v>
      </c>
      <c r="W2080">
        <v>44.13017</v>
      </c>
      <c r="X2080">
        <v>-24.970420000000001</v>
      </c>
    </row>
    <row r="2081" spans="1:24" x14ac:dyDescent="0.35">
      <c r="A2081" s="3" t="str">
        <f t="shared" si="32"/>
        <v>MG51507310090001MAM</v>
      </c>
      <c r="B2081" t="s">
        <v>6267</v>
      </c>
      <c r="C2081">
        <f>+VLOOKUP(Sites_per_tag[[#This Row],[Field_office]],Parameter!$A$3:$B$11,2,0)</f>
        <v>9</v>
      </c>
      <c r="E2081" t="s">
        <v>5650</v>
      </c>
      <c r="F2081" t="s">
        <v>5654</v>
      </c>
      <c r="H2081" t="str">
        <f ca="1">PROPER(Sites_per_tag[[#This Row],[Adm2Name]])</f>
        <v>Ampanihy Ouest</v>
      </c>
      <c r="I2081" t="s">
        <v>5660</v>
      </c>
      <c r="K2081" t="s">
        <v>955</v>
      </c>
      <c r="L2081" t="s">
        <v>5808</v>
      </c>
      <c r="N2081" t="s">
        <v>101</v>
      </c>
      <c r="O2081" t="s">
        <v>4580</v>
      </c>
      <c r="Q2081" t="s">
        <v>101</v>
      </c>
      <c r="R2081" t="s">
        <v>102</v>
      </c>
      <c r="T2081" t="s">
        <v>5</v>
      </c>
      <c r="U2081" s="3" t="str">
        <f>+VLOOKUP(Sites_per_tag[[#This Row],[Activity_tag]],Parameter!$A$24:$B$32,2,0)</f>
        <v>MAM</v>
      </c>
      <c r="W2081">
        <v>44.070149999999998</v>
      </c>
      <c r="X2081">
        <v>-24.91995</v>
      </c>
    </row>
    <row r="2082" spans="1:24" x14ac:dyDescent="0.35">
      <c r="A2082" s="3" t="str">
        <f t="shared" si="32"/>
        <v>MG51507310091001STUNT</v>
      </c>
      <c r="B2082" t="s">
        <v>6267</v>
      </c>
      <c r="C2082">
        <f>+VLOOKUP(Sites_per_tag[[#This Row],[Field_office]],Parameter!$A$3:$B$11,2,0)</f>
        <v>9</v>
      </c>
      <c r="E2082" t="s">
        <v>5650</v>
      </c>
      <c r="F2082" t="s">
        <v>5654</v>
      </c>
      <c r="H2082" t="str">
        <f ca="1">PROPER(Sites_per_tag[[#This Row],[Adm2Name]])</f>
        <v>Ampanihy Ouest</v>
      </c>
      <c r="I2082" t="s">
        <v>5660</v>
      </c>
      <c r="K2082" t="s">
        <v>5719</v>
      </c>
      <c r="L2082" t="s">
        <v>5983</v>
      </c>
      <c r="N2082" t="s">
        <v>3032</v>
      </c>
      <c r="O2082" t="s">
        <v>1907</v>
      </c>
      <c r="Q2082" t="s">
        <v>3032</v>
      </c>
      <c r="R2082" t="s">
        <v>3033</v>
      </c>
      <c r="T2082" t="s">
        <v>50</v>
      </c>
      <c r="U2082" s="3" t="str">
        <f>+VLOOKUP(Sites_per_tag[[#This Row],[Activity_tag]],Parameter!$A$24:$B$32,2,0)</f>
        <v>STUNT</v>
      </c>
      <c r="V2082" t="s">
        <v>6507</v>
      </c>
      <c r="W2082">
        <v>43.969580000000001</v>
      </c>
      <c r="X2082">
        <v>-24.790780000000002</v>
      </c>
    </row>
    <row r="2083" spans="1:24" x14ac:dyDescent="0.35">
      <c r="A2083" s="3" t="str">
        <f t="shared" si="32"/>
        <v>MG51507310091PREV</v>
      </c>
      <c r="B2083" t="s">
        <v>6267</v>
      </c>
      <c r="C2083">
        <f>+VLOOKUP(Sites_per_tag[[#This Row],[Field_office]],Parameter!$A$3:$B$11,2,0)</f>
        <v>9</v>
      </c>
      <c r="E2083" t="s">
        <v>5650</v>
      </c>
      <c r="F2083" t="s">
        <v>5654</v>
      </c>
      <c r="H2083" t="str">
        <f ca="1">PROPER(Sites_per_tag[[#This Row],[Adm2Name]])</f>
        <v>Ampanihy Ouest</v>
      </c>
      <c r="I2083" t="s">
        <v>5660</v>
      </c>
      <c r="K2083" t="s">
        <v>955</v>
      </c>
      <c r="L2083" t="s">
        <v>5808</v>
      </c>
      <c r="N2083" t="s">
        <v>4248</v>
      </c>
      <c r="Q2083" t="s">
        <v>1906</v>
      </c>
      <c r="R2083" t="s">
        <v>1907</v>
      </c>
      <c r="T2083" t="s">
        <v>32</v>
      </c>
      <c r="U2083" s="3" t="str">
        <f>+VLOOKUP(Sites_per_tag[[#This Row],[Activity_tag]],Parameter!$A$24:$B$32,2,0)</f>
        <v>PREV</v>
      </c>
      <c r="W2083">
        <v>44.119</v>
      </c>
      <c r="X2083">
        <v>-24.809419999999999</v>
      </c>
    </row>
    <row r="2084" spans="1:24" x14ac:dyDescent="0.35">
      <c r="A2084" s="3" t="str">
        <f t="shared" si="32"/>
        <v>MG51507310092001STUNT</v>
      </c>
      <c r="B2084" t="s">
        <v>6267</v>
      </c>
      <c r="C2084">
        <f>+VLOOKUP(Sites_per_tag[[#This Row],[Field_office]],Parameter!$A$3:$B$11,2,0)</f>
        <v>9</v>
      </c>
      <c r="E2084" t="s">
        <v>5650</v>
      </c>
      <c r="F2084" t="s">
        <v>5654</v>
      </c>
      <c r="H2084" t="str">
        <f ca="1">PROPER(Sites_per_tag[[#This Row],[Adm2Name]])</f>
        <v>Ampanihy Ouest</v>
      </c>
      <c r="I2084" t="s">
        <v>5660</v>
      </c>
      <c r="K2084" t="s">
        <v>5719</v>
      </c>
      <c r="L2084" t="s">
        <v>5983</v>
      </c>
      <c r="N2084" t="s">
        <v>1016</v>
      </c>
      <c r="O2084" t="s">
        <v>4074</v>
      </c>
      <c r="Q2084" t="s">
        <v>1016</v>
      </c>
      <c r="R2084" t="s">
        <v>1017</v>
      </c>
      <c r="T2084" t="s">
        <v>50</v>
      </c>
      <c r="U2084" s="3" t="str">
        <f>+VLOOKUP(Sites_per_tag[[#This Row],[Activity_tag]],Parameter!$A$24:$B$32,2,0)</f>
        <v>STUNT</v>
      </c>
      <c r="V2084" t="s">
        <v>6508</v>
      </c>
      <c r="W2084">
        <v>43.743980000000001</v>
      </c>
      <c r="X2084">
        <v>-24.38907</v>
      </c>
    </row>
    <row r="2085" spans="1:24" x14ac:dyDescent="0.35">
      <c r="A2085" s="3" t="str">
        <f t="shared" si="32"/>
        <v>MG51507310093001STUNT</v>
      </c>
      <c r="B2085" t="s">
        <v>6267</v>
      </c>
      <c r="C2085">
        <f>+VLOOKUP(Sites_per_tag[[#This Row],[Field_office]],Parameter!$A$3:$B$11,2,0)</f>
        <v>9</v>
      </c>
      <c r="E2085" t="s">
        <v>5650</v>
      </c>
      <c r="F2085" t="s">
        <v>5654</v>
      </c>
      <c r="H2085" t="str">
        <f ca="1">PROPER(Sites_per_tag[[#This Row],[Adm2Name]])</f>
        <v>Ampanihy Ouest</v>
      </c>
      <c r="I2085" t="s">
        <v>5660</v>
      </c>
      <c r="K2085" t="s">
        <v>5719</v>
      </c>
      <c r="L2085" t="s">
        <v>5983</v>
      </c>
      <c r="N2085" t="s">
        <v>4076</v>
      </c>
      <c r="O2085" t="s">
        <v>4075</v>
      </c>
      <c r="Q2085" t="s">
        <v>1359</v>
      </c>
      <c r="R2085" t="s">
        <v>1360</v>
      </c>
      <c r="T2085" t="s">
        <v>50</v>
      </c>
      <c r="U2085" s="3" t="str">
        <f>+VLOOKUP(Sites_per_tag[[#This Row],[Activity_tag]],Parameter!$A$24:$B$32,2,0)</f>
        <v>STUNT</v>
      </c>
      <c r="V2085" t="s">
        <v>6509</v>
      </c>
      <c r="W2085">
        <v>43.733550000000001</v>
      </c>
      <c r="X2085">
        <v>-24.361630000000002</v>
      </c>
    </row>
    <row r="2086" spans="1:24" x14ac:dyDescent="0.35">
      <c r="A2086" s="3" t="str">
        <f t="shared" si="32"/>
        <v>MG51507310094001STUNT</v>
      </c>
      <c r="B2086" t="s">
        <v>6267</v>
      </c>
      <c r="C2086">
        <f>+VLOOKUP(Sites_per_tag[[#This Row],[Field_office]],Parameter!$A$3:$B$11,2,0)</f>
        <v>9</v>
      </c>
      <c r="E2086" t="s">
        <v>5650</v>
      </c>
      <c r="F2086" t="s">
        <v>5654</v>
      </c>
      <c r="H2086" t="str">
        <f ca="1">PROPER(Sites_per_tag[[#This Row],[Adm2Name]])</f>
        <v>Ampanihy Ouest</v>
      </c>
      <c r="I2086" t="s">
        <v>5660</v>
      </c>
      <c r="K2086" t="s">
        <v>5719</v>
      </c>
      <c r="L2086" t="s">
        <v>5983</v>
      </c>
      <c r="N2086" t="s">
        <v>1402</v>
      </c>
      <c r="O2086" t="s">
        <v>4077</v>
      </c>
      <c r="Q2086" t="s">
        <v>1402</v>
      </c>
      <c r="R2086" t="s">
        <v>1403</v>
      </c>
      <c r="T2086" t="s">
        <v>50</v>
      </c>
      <c r="U2086" s="3" t="str">
        <f>+VLOOKUP(Sites_per_tag[[#This Row],[Activity_tag]],Parameter!$A$24:$B$32,2,0)</f>
        <v>STUNT</v>
      </c>
      <c r="V2086" t="s">
        <v>6510</v>
      </c>
      <c r="W2086">
        <v>44.23095</v>
      </c>
      <c r="X2086">
        <v>-24.311630000000001</v>
      </c>
    </row>
    <row r="2087" spans="1:24" x14ac:dyDescent="0.35">
      <c r="A2087" s="3" t="str">
        <f t="shared" si="32"/>
        <v>MG51507310095001MAM</v>
      </c>
      <c r="B2087" t="s">
        <v>6267</v>
      </c>
      <c r="C2087">
        <f>+VLOOKUP(Sites_per_tag[[#This Row],[Field_office]],Parameter!$A$3:$B$11,2,0)</f>
        <v>9</v>
      </c>
      <c r="E2087" t="s">
        <v>5650</v>
      </c>
      <c r="F2087" t="s">
        <v>5654</v>
      </c>
      <c r="H2087" t="str">
        <f ca="1">PROPER(Sites_per_tag[[#This Row],[Adm2Name]])</f>
        <v>Ampanihy Ouest</v>
      </c>
      <c r="I2087" t="s">
        <v>5660</v>
      </c>
      <c r="K2087" t="s">
        <v>5719</v>
      </c>
      <c r="L2087" t="s">
        <v>5983</v>
      </c>
      <c r="N2087" t="s">
        <v>1701</v>
      </c>
      <c r="O2087" t="s">
        <v>5124</v>
      </c>
      <c r="Q2087" t="s">
        <v>1701</v>
      </c>
      <c r="R2087" t="s">
        <v>1702</v>
      </c>
      <c r="T2087" t="s">
        <v>5</v>
      </c>
      <c r="U2087" s="3" t="str">
        <f>+VLOOKUP(Sites_per_tag[[#This Row],[Activity_tag]],Parameter!$A$24:$B$32,2,0)</f>
        <v>MAM</v>
      </c>
      <c r="W2087">
        <v>43.843699999999998</v>
      </c>
      <c r="X2087">
        <v>-24.498999999999999</v>
      </c>
    </row>
    <row r="2088" spans="1:24" x14ac:dyDescent="0.35">
      <c r="A2088" s="3" t="str">
        <f t="shared" si="32"/>
        <v>MG51507310096001MAM</v>
      </c>
      <c r="B2088" t="s">
        <v>6267</v>
      </c>
      <c r="C2088">
        <f>+VLOOKUP(Sites_per_tag[[#This Row],[Field_office]],Parameter!$A$3:$B$11,2,0)</f>
        <v>9</v>
      </c>
      <c r="E2088" t="s">
        <v>5650</v>
      </c>
      <c r="F2088" t="s">
        <v>5654</v>
      </c>
      <c r="H2088" t="str">
        <f ca="1">PROPER(Sites_per_tag[[#This Row],[Adm2Name]])</f>
        <v>Ampanihy Ouest</v>
      </c>
      <c r="I2088" t="s">
        <v>5660</v>
      </c>
      <c r="K2088" t="s">
        <v>5719</v>
      </c>
      <c r="L2088" t="s">
        <v>5983</v>
      </c>
      <c r="N2088" t="s">
        <v>1747</v>
      </c>
      <c r="O2088" t="s">
        <v>5125</v>
      </c>
      <c r="Q2088" t="s">
        <v>1747</v>
      </c>
      <c r="R2088" t="s">
        <v>1748</v>
      </c>
      <c r="T2088" t="s">
        <v>5</v>
      </c>
      <c r="U2088" s="3" t="str">
        <f>+VLOOKUP(Sites_per_tag[[#This Row],[Activity_tag]],Parameter!$A$24:$B$32,2,0)</f>
        <v>MAM</v>
      </c>
      <c r="W2088">
        <v>44.032620000000001</v>
      </c>
      <c r="X2088">
        <v>-24.836829999999999</v>
      </c>
    </row>
    <row r="2089" spans="1:24" x14ac:dyDescent="0.35">
      <c r="A2089" s="3" t="str">
        <f t="shared" si="32"/>
        <v>MG51507310097001STUNT</v>
      </c>
      <c r="B2089" t="s">
        <v>6267</v>
      </c>
      <c r="C2089">
        <f>+VLOOKUP(Sites_per_tag[[#This Row],[Field_office]],Parameter!$A$3:$B$11,2,0)</f>
        <v>9</v>
      </c>
      <c r="E2089" t="s">
        <v>5650</v>
      </c>
      <c r="F2089" t="s">
        <v>5654</v>
      </c>
      <c r="H2089" t="str">
        <f ca="1">PROPER(Sites_per_tag[[#This Row],[Adm2Name]])</f>
        <v>Ampanihy Ouest</v>
      </c>
      <c r="I2089" t="s">
        <v>5660</v>
      </c>
      <c r="K2089" t="s">
        <v>5719</v>
      </c>
      <c r="L2089" t="s">
        <v>5983</v>
      </c>
      <c r="N2089" t="s">
        <v>2070</v>
      </c>
      <c r="O2089" t="s">
        <v>4078</v>
      </c>
      <c r="Q2089" t="s">
        <v>2070</v>
      </c>
      <c r="R2089" t="s">
        <v>2071</v>
      </c>
      <c r="T2089" t="s">
        <v>50</v>
      </c>
      <c r="U2089" s="3" t="str">
        <f>+VLOOKUP(Sites_per_tag[[#This Row],[Activity_tag]],Parameter!$A$24:$B$32,2,0)</f>
        <v>STUNT</v>
      </c>
      <c r="V2089" t="s">
        <v>6511</v>
      </c>
      <c r="W2089">
        <v>44.020769999999999</v>
      </c>
      <c r="X2089">
        <v>-24.837050000000001</v>
      </c>
    </row>
    <row r="2090" spans="1:24" x14ac:dyDescent="0.35">
      <c r="A2090" s="3" t="str">
        <f t="shared" si="32"/>
        <v>MG51507310098001MAM</v>
      </c>
      <c r="B2090" t="s">
        <v>6267</v>
      </c>
      <c r="C2090">
        <f>+VLOOKUP(Sites_per_tag[[#This Row],[Field_office]],Parameter!$A$3:$B$11,2,0)</f>
        <v>9</v>
      </c>
      <c r="E2090" t="s">
        <v>5650</v>
      </c>
      <c r="F2090" t="s">
        <v>5654</v>
      </c>
      <c r="H2090" t="str">
        <f ca="1">PROPER(Sites_per_tag[[#This Row],[Adm2Name]])</f>
        <v>Ampanihy Ouest</v>
      </c>
      <c r="I2090" t="s">
        <v>5660</v>
      </c>
      <c r="K2090" t="s">
        <v>5719</v>
      </c>
      <c r="L2090" t="s">
        <v>5983</v>
      </c>
      <c r="N2090" t="s">
        <v>2609</v>
      </c>
      <c r="O2090" t="s">
        <v>5126</v>
      </c>
      <c r="Q2090" t="s">
        <v>2609</v>
      </c>
      <c r="R2090" t="s">
        <v>2610</v>
      </c>
      <c r="T2090" t="s">
        <v>5</v>
      </c>
      <c r="U2090" s="3" t="str">
        <f>+VLOOKUP(Sites_per_tag[[#This Row],[Activity_tag]],Parameter!$A$24:$B$32,2,0)</f>
        <v>MAM</v>
      </c>
      <c r="W2090">
        <v>43.944130000000001</v>
      </c>
      <c r="X2090">
        <v>-24.686170000000001</v>
      </c>
    </row>
    <row r="2091" spans="1:24" x14ac:dyDescent="0.35">
      <c r="A2091" s="3" t="str">
        <f t="shared" si="32"/>
        <v>MG51512012006001MAM</v>
      </c>
      <c r="B2091" t="s">
        <v>6211</v>
      </c>
      <c r="C2091">
        <f>+VLOOKUP(Sites_per_tag[[#This Row],[Field_office]],Parameter!$A$3:$B$11,2,0)</f>
        <v>6</v>
      </c>
      <c r="E2091" t="s">
        <v>1448</v>
      </c>
      <c r="F2091" t="s">
        <v>5651</v>
      </c>
      <c r="H2091" t="str">
        <f ca="1">PROPER(Sites_per_tag[[#This Row],[Adm2Name]])</f>
        <v>Betroka</v>
      </c>
      <c r="I2091" t="s">
        <v>5691</v>
      </c>
      <c r="K2091" t="s">
        <v>5018</v>
      </c>
      <c r="L2091" t="s">
        <v>5967</v>
      </c>
      <c r="N2091" t="s">
        <v>5016</v>
      </c>
      <c r="O2091" t="s">
        <v>5015</v>
      </c>
      <c r="Q2091" t="s">
        <v>1944</v>
      </c>
      <c r="R2091" t="s">
        <v>1945</v>
      </c>
      <c r="T2091" t="s">
        <v>5</v>
      </c>
      <c r="U2091" s="3" t="str">
        <f>+VLOOKUP(Sites_per_tag[[#This Row],[Activity_tag]],Parameter!$A$24:$B$32,2,0)</f>
        <v>MAM</v>
      </c>
      <c r="W2091">
        <v>45.961150000000004</v>
      </c>
      <c r="X2091">
        <v>-23.573129999999999</v>
      </c>
    </row>
    <row r="2092" spans="1:24" x14ac:dyDescent="0.35">
      <c r="A2092" s="3" t="str">
        <f t="shared" si="32"/>
        <v>MG51512112005001MAM</v>
      </c>
      <c r="B2092" t="s">
        <v>6210</v>
      </c>
      <c r="C2092">
        <f>+VLOOKUP(Sites_per_tag[[#This Row],[Field_office]],Parameter!$A$3:$B$11,2,0)</f>
        <v>10</v>
      </c>
      <c r="E2092" t="s">
        <v>5650</v>
      </c>
      <c r="F2092" t="s">
        <v>5654</v>
      </c>
      <c r="H2092" t="str">
        <f ca="1">PROPER(Sites_per_tag[[#This Row],[Adm2Name]])</f>
        <v>Betioky Atsimo</v>
      </c>
      <c r="I2092" t="s">
        <v>5688</v>
      </c>
      <c r="K2092" t="s">
        <v>3370</v>
      </c>
      <c r="L2092" t="s">
        <v>6093</v>
      </c>
      <c r="N2092" t="s">
        <v>1879</v>
      </c>
      <c r="O2092" t="s">
        <v>5416</v>
      </c>
      <c r="Q2092" t="s">
        <v>1879</v>
      </c>
      <c r="R2092" t="s">
        <v>1880</v>
      </c>
      <c r="T2092" t="s">
        <v>5</v>
      </c>
      <c r="U2092" s="3" t="str">
        <f>+VLOOKUP(Sites_per_tag[[#This Row],[Activity_tag]],Parameter!$A$24:$B$32,2,0)</f>
        <v>MAM</v>
      </c>
      <c r="W2092">
        <v>44.659170000000003</v>
      </c>
      <c r="X2092">
        <v>-23.756019999999999</v>
      </c>
    </row>
    <row r="2093" spans="1:24" x14ac:dyDescent="0.35">
      <c r="A2093" s="3" t="str">
        <f t="shared" si="32"/>
        <v>MG51512130006001MAM</v>
      </c>
      <c r="B2093" t="s">
        <v>6193</v>
      </c>
      <c r="C2093">
        <f>+VLOOKUP(Sites_per_tag[[#This Row],[Field_office]],Parameter!$A$3:$B$11,2,0)</f>
        <v>4</v>
      </c>
      <c r="E2093" t="s">
        <v>5658</v>
      </c>
      <c r="F2093" t="s">
        <v>5659</v>
      </c>
      <c r="H2093" t="str">
        <f ca="1">PROPER(Sites_per_tag[[#This Row],[Adm2Name]])</f>
        <v>Farafangana</v>
      </c>
      <c r="I2093" t="s">
        <v>5694</v>
      </c>
      <c r="K2093" t="s">
        <v>3958</v>
      </c>
      <c r="L2093" t="s">
        <v>6171</v>
      </c>
      <c r="N2093" t="s">
        <v>2527</v>
      </c>
      <c r="O2093" t="s">
        <v>5599</v>
      </c>
      <c r="Q2093" t="s">
        <v>2527</v>
      </c>
      <c r="R2093" t="s">
        <v>2528</v>
      </c>
      <c r="T2093" t="s">
        <v>5</v>
      </c>
      <c r="U2093" s="3" t="str">
        <f>+VLOOKUP(Sites_per_tag[[#This Row],[Activity_tag]],Parameter!$A$24:$B$32,2,0)</f>
        <v>MAM</v>
      </c>
      <c r="W2093">
        <v>47.635081</v>
      </c>
      <c r="X2093">
        <v>-22.794968999999998</v>
      </c>
    </row>
    <row r="2094" spans="1:24" x14ac:dyDescent="0.35">
      <c r="A2094" s="3" t="str">
        <f t="shared" si="32"/>
        <v>MG51512130009001MAM</v>
      </c>
      <c r="B2094" t="s">
        <v>6210</v>
      </c>
      <c r="C2094">
        <f>+VLOOKUP(Sites_per_tag[[#This Row],[Field_office]],Parameter!$A$3:$B$11,2,0)</f>
        <v>10</v>
      </c>
      <c r="E2094" t="s">
        <v>5650</v>
      </c>
      <c r="F2094" t="s">
        <v>5654</v>
      </c>
      <c r="H2094" t="str">
        <f ca="1">PROPER(Sites_per_tag[[#This Row],[Adm2Name]])</f>
        <v>Betioky Atsimo</v>
      </c>
      <c r="I2094" t="s">
        <v>5688</v>
      </c>
      <c r="K2094" t="s">
        <v>1959</v>
      </c>
      <c r="L2094" t="s">
        <v>5914</v>
      </c>
      <c r="N2094" t="s">
        <v>3322</v>
      </c>
      <c r="O2094" t="s">
        <v>4844</v>
      </c>
      <c r="Q2094" t="s">
        <v>3322</v>
      </c>
      <c r="R2094" t="s">
        <v>3323</v>
      </c>
      <c r="T2094" t="s">
        <v>5</v>
      </c>
      <c r="U2094" s="3" t="str">
        <f>+VLOOKUP(Sites_per_tag[[#This Row],[Activity_tag]],Parameter!$A$24:$B$32,2,0)</f>
        <v>MAM</v>
      </c>
      <c r="W2094">
        <v>45.005184999999997</v>
      </c>
      <c r="X2094">
        <v>-23.496934</v>
      </c>
    </row>
    <row r="2095" spans="1:24" x14ac:dyDescent="0.35">
      <c r="A2095" s="3" t="str">
        <f t="shared" si="32"/>
        <v>MG51520170006001MAM</v>
      </c>
      <c r="B2095" t="s">
        <v>6210</v>
      </c>
      <c r="C2095">
        <f>+VLOOKUP(Sites_per_tag[[#This Row],[Field_office]],Parameter!$A$3:$B$11,2,0)</f>
        <v>10</v>
      </c>
      <c r="E2095" t="s">
        <v>5650</v>
      </c>
      <c r="F2095" t="s">
        <v>5654</v>
      </c>
      <c r="H2095" t="str">
        <f ca="1">PROPER(Sites_per_tag[[#This Row],[Adm2Name]])</f>
        <v>Betioky Atsimo</v>
      </c>
      <c r="I2095" t="s">
        <v>5688</v>
      </c>
      <c r="K2095" t="s">
        <v>3126</v>
      </c>
      <c r="L2095" t="s">
        <v>6057</v>
      </c>
      <c r="N2095" t="s">
        <v>1162</v>
      </c>
      <c r="O2095" t="s">
        <v>5357</v>
      </c>
      <c r="Q2095" t="s">
        <v>1162</v>
      </c>
      <c r="R2095" t="s">
        <v>1163</v>
      </c>
      <c r="T2095" t="s">
        <v>5</v>
      </c>
      <c r="U2095" s="3" t="str">
        <f>+VLOOKUP(Sites_per_tag[[#This Row],[Activity_tag]],Parameter!$A$24:$B$32,2,0)</f>
        <v>MAM</v>
      </c>
      <c r="W2095">
        <v>44.456139999999998</v>
      </c>
      <c r="X2095">
        <v>-23.901157999999999</v>
      </c>
    </row>
    <row r="2096" spans="1:24" x14ac:dyDescent="0.35">
      <c r="A2096" s="3" t="str">
        <f t="shared" si="32"/>
        <v>MG51520170012001MAM</v>
      </c>
      <c r="B2096" t="s">
        <v>6211</v>
      </c>
      <c r="C2096">
        <f>+VLOOKUP(Sites_per_tag[[#This Row],[Field_office]],Parameter!$A$3:$B$11,2,0)</f>
        <v>6</v>
      </c>
      <c r="E2096" t="s">
        <v>1448</v>
      </c>
      <c r="F2096" t="s">
        <v>5651</v>
      </c>
      <c r="H2096" t="str">
        <f ca="1">PROPER(Sites_per_tag[[#This Row],[Adm2Name]])</f>
        <v>Amboasary-Atsimo</v>
      </c>
      <c r="I2096" t="s">
        <v>5641</v>
      </c>
      <c r="K2096" t="s">
        <v>3309</v>
      </c>
      <c r="L2096" t="s">
        <v>6085</v>
      </c>
      <c r="N2096" t="s">
        <v>3309</v>
      </c>
      <c r="O2096" t="s">
        <v>5394</v>
      </c>
      <c r="Q2096" t="s">
        <v>3309</v>
      </c>
      <c r="R2096" t="s">
        <v>3310</v>
      </c>
      <c r="T2096" t="s">
        <v>5</v>
      </c>
      <c r="U2096" s="3" t="str">
        <f>+VLOOKUP(Sites_per_tag[[#This Row],[Activity_tag]],Parameter!$A$24:$B$32,2,0)</f>
        <v>MAM</v>
      </c>
      <c r="W2096">
        <v>46.166321000000003</v>
      </c>
      <c r="X2096">
        <v>-24.298984999999998</v>
      </c>
    </row>
    <row r="2097" spans="1:24" x14ac:dyDescent="0.35">
      <c r="A2097" s="3" t="str">
        <f t="shared" si="32"/>
        <v>MG51520170076001MAM</v>
      </c>
      <c r="B2097" t="s">
        <v>6211</v>
      </c>
      <c r="C2097">
        <f>+VLOOKUP(Sites_per_tag[[#This Row],[Field_office]],Parameter!$A$3:$B$11,2,0)</f>
        <v>6</v>
      </c>
      <c r="E2097" t="s">
        <v>1448</v>
      </c>
      <c r="F2097" t="s">
        <v>5651</v>
      </c>
      <c r="H2097" t="str">
        <f ca="1">PROPER(Sites_per_tag[[#This Row],[Adm2Name]])</f>
        <v>Amboasary-Atsimo</v>
      </c>
      <c r="I2097" t="s">
        <v>5641</v>
      </c>
      <c r="K2097" t="s">
        <v>3309</v>
      </c>
      <c r="L2097" t="s">
        <v>6085</v>
      </c>
      <c r="N2097" t="s">
        <v>1775</v>
      </c>
      <c r="O2097" t="s">
        <v>5395</v>
      </c>
      <c r="Q2097" t="s">
        <v>1775</v>
      </c>
      <c r="R2097" t="s">
        <v>1776</v>
      </c>
      <c r="T2097" t="s">
        <v>5</v>
      </c>
      <c r="U2097" s="3" t="str">
        <f>+VLOOKUP(Sites_per_tag[[#This Row],[Activity_tag]],Parameter!$A$24:$B$32,2,0)</f>
        <v>MAM</v>
      </c>
      <c r="W2097">
        <v>46.226170000000003</v>
      </c>
      <c r="X2097">
        <v>-24.30688</v>
      </c>
    </row>
    <row r="2098" spans="1:24" x14ac:dyDescent="0.35">
      <c r="A2098" s="3" t="str">
        <f t="shared" si="32"/>
        <v>MG51520210001001MAM</v>
      </c>
      <c r="B2098" t="s">
        <v>6211</v>
      </c>
      <c r="C2098">
        <f>+VLOOKUP(Sites_per_tag[[#This Row],[Field_office]],Parameter!$A$3:$B$11,2,0)</f>
        <v>6</v>
      </c>
      <c r="E2098" t="s">
        <v>5646</v>
      </c>
      <c r="F2098" t="s">
        <v>5647</v>
      </c>
      <c r="H2098" t="str">
        <f ca="1">PROPER(Sites_per_tag[[#This Row],[Adm2Name]])</f>
        <v>Ambovombe-Androy</v>
      </c>
      <c r="I2098" t="s">
        <v>5655</v>
      </c>
      <c r="K2098" t="s">
        <v>148</v>
      </c>
      <c r="L2098" t="s">
        <v>5673</v>
      </c>
      <c r="N2098" t="s">
        <v>2998</v>
      </c>
      <c r="O2098" t="s">
        <v>4285</v>
      </c>
      <c r="Q2098" t="s">
        <v>2998</v>
      </c>
      <c r="R2098" t="s">
        <v>2999</v>
      </c>
      <c r="T2098" t="s">
        <v>5</v>
      </c>
      <c r="U2098" s="3" t="str">
        <f>+VLOOKUP(Sites_per_tag[[#This Row],[Activity_tag]],Parameter!$A$24:$B$32,2,0)</f>
        <v>MAM</v>
      </c>
      <c r="W2098">
        <v>45.967269000000002</v>
      </c>
      <c r="X2098">
        <v>-24.790752999999999</v>
      </c>
    </row>
    <row r="2099" spans="1:24" x14ac:dyDescent="0.35">
      <c r="A2099" s="3" t="str">
        <f t="shared" si="32"/>
        <v>MG51520270008001MAM</v>
      </c>
      <c r="B2099" t="s">
        <v>6267</v>
      </c>
      <c r="C2099">
        <f>+VLOOKUP(Sites_per_tag[[#This Row],[Field_office]],Parameter!$A$3:$B$11,2,0)</f>
        <v>9</v>
      </c>
      <c r="E2099" t="s">
        <v>5650</v>
      </c>
      <c r="F2099" t="s">
        <v>5654</v>
      </c>
      <c r="H2099" t="str">
        <f ca="1">PROPER(Sites_per_tag[[#This Row],[Adm2Name]])</f>
        <v>Ampanihy Ouest</v>
      </c>
      <c r="I2099" t="s">
        <v>5660</v>
      </c>
      <c r="K2099" t="s">
        <v>5607</v>
      </c>
      <c r="L2099" t="s">
        <v>5760</v>
      </c>
      <c r="N2099" t="s">
        <v>1290</v>
      </c>
      <c r="O2099" t="s">
        <v>4495</v>
      </c>
      <c r="Q2099" t="s">
        <v>1290</v>
      </c>
      <c r="R2099" t="s">
        <v>1291</v>
      </c>
      <c r="T2099" t="s">
        <v>5</v>
      </c>
      <c r="U2099" s="3" t="str">
        <f>+VLOOKUP(Sites_per_tag[[#This Row],[Activity_tag]],Parameter!$A$24:$B$32,2,0)</f>
        <v>MAM</v>
      </c>
      <c r="W2099">
        <v>44.821885999999999</v>
      </c>
      <c r="X2099">
        <v>-24.718475999999999</v>
      </c>
    </row>
    <row r="2100" spans="1:24" x14ac:dyDescent="0.35">
      <c r="A2100" s="3" t="str">
        <f t="shared" si="32"/>
        <v>MG51520310023001MAM</v>
      </c>
      <c r="B2100" t="s">
        <v>6193</v>
      </c>
      <c r="C2100">
        <f>+VLOOKUP(Sites_per_tag[[#This Row],[Field_office]],Parameter!$A$3:$B$11,2,0)</f>
        <v>4</v>
      </c>
      <c r="E2100" t="s">
        <v>5658</v>
      </c>
      <c r="F2100" t="s">
        <v>5659</v>
      </c>
      <c r="H2100" t="str">
        <f ca="1">PROPER(Sites_per_tag[[#This Row],[Adm2Name]])</f>
        <v>Befotaka</v>
      </c>
      <c r="I2100" t="s">
        <v>5680</v>
      </c>
      <c r="K2100" t="s">
        <v>5886</v>
      </c>
      <c r="L2100" t="s">
        <v>5887</v>
      </c>
      <c r="N2100" t="s">
        <v>418</v>
      </c>
      <c r="O2100" t="s">
        <v>4749</v>
      </c>
      <c r="Q2100" t="s">
        <v>418</v>
      </c>
      <c r="R2100" t="s">
        <v>419</v>
      </c>
      <c r="T2100" t="s">
        <v>5</v>
      </c>
      <c r="U2100" s="3" t="str">
        <f>+VLOOKUP(Sites_per_tag[[#This Row],[Activity_tag]],Parameter!$A$24:$B$32,2,0)</f>
        <v>MAM</v>
      </c>
      <c r="W2100">
        <v>46.906325000000002</v>
      </c>
      <c r="X2100">
        <v>-23.854343</v>
      </c>
    </row>
    <row r="2101" spans="1:24" x14ac:dyDescent="0.35">
      <c r="A2101" s="3" t="str">
        <f t="shared" si="32"/>
        <v>MG51520358001001MAM</v>
      </c>
      <c r="B2101" t="s">
        <v>6210</v>
      </c>
      <c r="C2101">
        <f>+VLOOKUP(Sites_per_tag[[#This Row],[Field_office]],Parameter!$A$3:$B$11,2,0)</f>
        <v>10</v>
      </c>
      <c r="E2101" t="s">
        <v>5650</v>
      </c>
      <c r="F2101" t="s">
        <v>5654</v>
      </c>
      <c r="H2101" t="str">
        <f ca="1">PROPER(Sites_per_tag[[#This Row],[Adm2Name]])</f>
        <v>Toliary-Ii</v>
      </c>
      <c r="I2101" t="s">
        <v>5728</v>
      </c>
      <c r="K2101" t="s">
        <v>5708</v>
      </c>
      <c r="L2101" t="s">
        <v>5894</v>
      </c>
      <c r="N2101" t="s">
        <v>1802</v>
      </c>
      <c r="O2101" t="s">
        <v>4765</v>
      </c>
      <c r="Q2101" t="s">
        <v>1802</v>
      </c>
      <c r="R2101" t="s">
        <v>1803</v>
      </c>
      <c r="T2101" t="s">
        <v>5</v>
      </c>
      <c r="U2101" s="3" t="str">
        <f>+VLOOKUP(Sites_per_tag[[#This Row],[Activity_tag]],Parameter!$A$24:$B$32,2,0)</f>
        <v>MAM</v>
      </c>
      <c r="W2101">
        <v>43.672069999999998</v>
      </c>
      <c r="X2101">
        <v>-23.910170000000001</v>
      </c>
    </row>
    <row r="2102" spans="1:24" x14ac:dyDescent="0.35">
      <c r="A2102" s="3" t="str">
        <f t="shared" si="32"/>
        <v>MG51520358002001MAM</v>
      </c>
      <c r="B2102" t="s">
        <v>6210</v>
      </c>
      <c r="C2102">
        <f>+VLOOKUP(Sites_per_tag[[#This Row],[Field_office]],Parameter!$A$3:$B$11,2,0)</f>
        <v>10</v>
      </c>
      <c r="E2102" t="s">
        <v>5650</v>
      </c>
      <c r="F2102" t="s">
        <v>5654</v>
      </c>
      <c r="H2102" t="str">
        <f ca="1">PROPER(Sites_per_tag[[#This Row],[Adm2Name]])</f>
        <v>Toliary-Ii</v>
      </c>
      <c r="I2102" t="s">
        <v>5728</v>
      </c>
      <c r="K2102" t="s">
        <v>5708</v>
      </c>
      <c r="L2102" t="s">
        <v>5894</v>
      </c>
      <c r="N2102" t="s">
        <v>1347</v>
      </c>
      <c r="O2102" t="s">
        <v>4766</v>
      </c>
      <c r="Q2102" t="s">
        <v>1347</v>
      </c>
      <c r="R2102" t="s">
        <v>1348</v>
      </c>
      <c r="T2102" t="s">
        <v>5</v>
      </c>
      <c r="U2102" s="3" t="str">
        <f>+VLOOKUP(Sites_per_tag[[#This Row],[Activity_tag]],Parameter!$A$24:$B$32,2,0)</f>
        <v>MAM</v>
      </c>
      <c r="W2102">
        <v>43.689300000000003</v>
      </c>
      <c r="X2102">
        <v>-23.803899999999999</v>
      </c>
    </row>
    <row r="2103" spans="1:24" x14ac:dyDescent="0.35">
      <c r="A2103" s="3" t="str">
        <f t="shared" si="32"/>
        <v>MG51520358003001MAM</v>
      </c>
      <c r="B2103" t="s">
        <v>6210</v>
      </c>
      <c r="C2103">
        <f>+VLOOKUP(Sites_per_tag[[#This Row],[Field_office]],Parameter!$A$3:$B$11,2,0)</f>
        <v>10</v>
      </c>
      <c r="E2103" t="s">
        <v>5650</v>
      </c>
      <c r="F2103" t="s">
        <v>5654</v>
      </c>
      <c r="H2103" t="str">
        <f ca="1">PROPER(Sites_per_tag[[#This Row],[Adm2Name]])</f>
        <v>Toliary-Ii</v>
      </c>
      <c r="I2103" t="s">
        <v>5728</v>
      </c>
      <c r="K2103" t="s">
        <v>5708</v>
      </c>
      <c r="L2103" t="s">
        <v>5894</v>
      </c>
      <c r="N2103" t="s">
        <v>4390</v>
      </c>
      <c r="O2103" t="s">
        <v>4767</v>
      </c>
      <c r="Q2103" t="s">
        <v>66</v>
      </c>
      <c r="R2103" t="s">
        <v>67</v>
      </c>
      <c r="T2103" t="s">
        <v>5</v>
      </c>
      <c r="U2103" s="3" t="str">
        <f>+VLOOKUP(Sites_per_tag[[#This Row],[Activity_tag]],Parameter!$A$24:$B$32,2,0)</f>
        <v>MAM</v>
      </c>
      <c r="W2103">
        <v>43.673450000000003</v>
      </c>
      <c r="X2103">
        <v>-23.823399999999999</v>
      </c>
    </row>
    <row r="2104" spans="1:24" x14ac:dyDescent="0.35">
      <c r="A2104" s="3" t="str">
        <f t="shared" si="32"/>
        <v>MG51520358004001MAM</v>
      </c>
      <c r="B2104" t="s">
        <v>6210</v>
      </c>
      <c r="C2104">
        <f>+VLOOKUP(Sites_per_tag[[#This Row],[Field_office]],Parameter!$A$3:$B$11,2,0)</f>
        <v>10</v>
      </c>
      <c r="E2104" t="s">
        <v>5650</v>
      </c>
      <c r="F2104" t="s">
        <v>5654</v>
      </c>
      <c r="H2104" t="str">
        <f ca="1">PROPER(Sites_per_tag[[#This Row],[Adm2Name]])</f>
        <v>Toliary-Ii</v>
      </c>
      <c r="I2104" t="s">
        <v>5728</v>
      </c>
      <c r="K2104" t="s">
        <v>1349</v>
      </c>
      <c r="L2104" t="s">
        <v>5842</v>
      </c>
      <c r="N2104" t="s">
        <v>3861</v>
      </c>
      <c r="O2104" t="s">
        <v>4684</v>
      </c>
      <c r="Q2104" t="s">
        <v>3861</v>
      </c>
      <c r="R2104" t="s">
        <v>3862</v>
      </c>
      <c r="T2104" t="s">
        <v>5</v>
      </c>
      <c r="U2104" s="3" t="str">
        <f>+VLOOKUP(Sites_per_tag[[#This Row],[Activity_tag]],Parameter!$A$24:$B$32,2,0)</f>
        <v>MAM</v>
      </c>
      <c r="W2104">
        <v>43.672600000000003</v>
      </c>
      <c r="X2104">
        <v>-23.8553</v>
      </c>
    </row>
    <row r="2105" spans="1:24" x14ac:dyDescent="0.35">
      <c r="A2105" s="3" t="str">
        <f t="shared" si="32"/>
        <v>MG51520358005001MAM</v>
      </c>
      <c r="B2105" t="s">
        <v>6210</v>
      </c>
      <c r="C2105">
        <f>+VLOOKUP(Sites_per_tag[[#This Row],[Field_office]],Parameter!$A$3:$B$11,2,0)</f>
        <v>10</v>
      </c>
      <c r="E2105" t="s">
        <v>5650</v>
      </c>
      <c r="F2105" t="s">
        <v>5654</v>
      </c>
      <c r="H2105" t="str">
        <f ca="1">PROPER(Sites_per_tag[[#This Row],[Adm2Name]])</f>
        <v>Toliary-Ii</v>
      </c>
      <c r="I2105" t="s">
        <v>5728</v>
      </c>
      <c r="K2105" t="s">
        <v>5708</v>
      </c>
      <c r="L2105" t="s">
        <v>5894</v>
      </c>
      <c r="N2105" t="s">
        <v>1804</v>
      </c>
      <c r="O2105" t="s">
        <v>4768</v>
      </c>
      <c r="Q2105" t="s">
        <v>1804</v>
      </c>
      <c r="R2105" t="s">
        <v>1805</v>
      </c>
      <c r="T2105" t="s">
        <v>5</v>
      </c>
      <c r="U2105" s="3" t="str">
        <f>+VLOOKUP(Sites_per_tag[[#This Row],[Activity_tag]],Parameter!$A$24:$B$32,2,0)</f>
        <v>MAM</v>
      </c>
      <c r="W2105">
        <v>43.672969999999999</v>
      </c>
      <c r="X2105">
        <v>-23.911079999999998</v>
      </c>
    </row>
    <row r="2106" spans="1:24" x14ac:dyDescent="0.35">
      <c r="A2106" s="3" t="str">
        <f t="shared" si="32"/>
        <v>MG51520358011001MAM</v>
      </c>
      <c r="B2106" t="s">
        <v>6210</v>
      </c>
      <c r="C2106">
        <f>+VLOOKUP(Sites_per_tag[[#This Row],[Field_office]],Parameter!$A$3:$B$11,2,0)</f>
        <v>10</v>
      </c>
      <c r="E2106" t="s">
        <v>5650</v>
      </c>
      <c r="F2106" t="s">
        <v>5654</v>
      </c>
      <c r="H2106" t="str">
        <f ca="1">PROPER(Sites_per_tag[[#This Row],[Adm2Name]])</f>
        <v>Toliary-Ii</v>
      </c>
      <c r="I2106" t="s">
        <v>5728</v>
      </c>
      <c r="K2106" t="s">
        <v>5708</v>
      </c>
      <c r="L2106" t="s">
        <v>5894</v>
      </c>
      <c r="N2106" t="s">
        <v>1266</v>
      </c>
      <c r="O2106" t="s">
        <v>4769</v>
      </c>
      <c r="Q2106" t="s">
        <v>1270</v>
      </c>
      <c r="R2106" t="s">
        <v>1271</v>
      </c>
      <c r="T2106" t="s">
        <v>5</v>
      </c>
      <c r="U2106" s="3" t="str">
        <f>+VLOOKUP(Sites_per_tag[[#This Row],[Activity_tag]],Parameter!$A$24:$B$32,2,0)</f>
        <v>MAM</v>
      </c>
      <c r="W2106">
        <v>43.693770000000001</v>
      </c>
      <c r="X2106">
        <v>-23.977779999999999</v>
      </c>
    </row>
    <row r="2107" spans="1:24" x14ac:dyDescent="0.35">
      <c r="A2107" s="3" t="str">
        <f t="shared" si="32"/>
        <v>MG51520358015001MAM</v>
      </c>
      <c r="B2107" t="s">
        <v>6210</v>
      </c>
      <c r="C2107">
        <f>+VLOOKUP(Sites_per_tag[[#This Row],[Field_office]],Parameter!$A$3:$B$11,2,0)</f>
        <v>10</v>
      </c>
      <c r="E2107" t="s">
        <v>5650</v>
      </c>
      <c r="F2107" t="s">
        <v>5654</v>
      </c>
      <c r="H2107" t="str">
        <f ca="1">PROPER(Sites_per_tag[[#This Row],[Adm2Name]])</f>
        <v>Toliary-Ii</v>
      </c>
      <c r="I2107" t="s">
        <v>5728</v>
      </c>
      <c r="K2107" t="s">
        <v>2327</v>
      </c>
      <c r="L2107" t="s">
        <v>5939</v>
      </c>
      <c r="N2107" t="s">
        <v>2327</v>
      </c>
      <c r="O2107" t="s">
        <v>4921</v>
      </c>
      <c r="Q2107" t="s">
        <v>2327</v>
      </c>
      <c r="R2107" t="s">
        <v>2328</v>
      </c>
      <c r="T2107" t="s">
        <v>5</v>
      </c>
      <c r="U2107" s="3" t="str">
        <f>+VLOOKUP(Sites_per_tag[[#This Row],[Activity_tag]],Parameter!$A$24:$B$32,2,0)</f>
        <v>MAM</v>
      </c>
      <c r="W2107">
        <v>43.700130000000001</v>
      </c>
      <c r="X2107">
        <v>-24.077870000000001</v>
      </c>
    </row>
    <row r="2108" spans="1:24" x14ac:dyDescent="0.35">
      <c r="A2108" s="3" t="str">
        <f t="shared" si="32"/>
        <v>MG51520358016001MAM</v>
      </c>
      <c r="B2108" t="s">
        <v>6210</v>
      </c>
      <c r="C2108">
        <f>+VLOOKUP(Sites_per_tag[[#This Row],[Field_office]],Parameter!$A$3:$B$11,2,0)</f>
        <v>10</v>
      </c>
      <c r="E2108" t="s">
        <v>5650</v>
      </c>
      <c r="F2108" t="s">
        <v>5654</v>
      </c>
      <c r="H2108" t="str">
        <f ca="1">PROPER(Sites_per_tag[[#This Row],[Adm2Name]])</f>
        <v>Toliary-Ii</v>
      </c>
      <c r="I2108" t="s">
        <v>5728</v>
      </c>
      <c r="K2108" t="s">
        <v>2327</v>
      </c>
      <c r="L2108" t="s">
        <v>5939</v>
      </c>
      <c r="N2108" t="s">
        <v>398</v>
      </c>
      <c r="O2108" t="s">
        <v>4922</v>
      </c>
      <c r="Q2108" t="s">
        <v>398</v>
      </c>
      <c r="R2108" t="s">
        <v>399</v>
      </c>
      <c r="T2108" t="s">
        <v>5</v>
      </c>
      <c r="U2108" s="3" t="str">
        <f>+VLOOKUP(Sites_per_tag[[#This Row],[Activity_tag]],Parameter!$A$24:$B$32,2,0)</f>
        <v>MAM</v>
      </c>
      <c r="W2108">
        <v>43.676569999999998</v>
      </c>
      <c r="X2108">
        <v>-24.0731</v>
      </c>
    </row>
    <row r="2109" spans="1:24" x14ac:dyDescent="0.35">
      <c r="A2109" s="3" t="str">
        <f t="shared" si="32"/>
        <v>MG51520358017001MAM</v>
      </c>
      <c r="B2109" t="s">
        <v>6210</v>
      </c>
      <c r="C2109">
        <f>+VLOOKUP(Sites_per_tag[[#This Row],[Field_office]],Parameter!$A$3:$B$11,2,0)</f>
        <v>10</v>
      </c>
      <c r="E2109" t="s">
        <v>5650</v>
      </c>
      <c r="F2109" t="s">
        <v>5654</v>
      </c>
      <c r="H2109" t="str">
        <f ca="1">PROPER(Sites_per_tag[[#This Row],[Adm2Name]])</f>
        <v>Toliary-Ii</v>
      </c>
      <c r="I2109" t="s">
        <v>5728</v>
      </c>
      <c r="K2109" t="s">
        <v>2327</v>
      </c>
      <c r="L2109" t="s">
        <v>5939</v>
      </c>
      <c r="N2109" t="s">
        <v>3054</v>
      </c>
      <c r="O2109" t="s">
        <v>4923</v>
      </c>
      <c r="Q2109" t="s">
        <v>3054</v>
      </c>
      <c r="R2109" t="s">
        <v>3055</v>
      </c>
      <c r="T2109" t="s">
        <v>5</v>
      </c>
      <c r="U2109" s="3" t="str">
        <f>+VLOOKUP(Sites_per_tag[[#This Row],[Activity_tag]],Parameter!$A$24:$B$32,2,0)</f>
        <v>MAM</v>
      </c>
      <c r="W2109">
        <v>43.717170000000003</v>
      </c>
      <c r="X2109">
        <v>-24.120470000000001</v>
      </c>
    </row>
    <row r="2110" spans="1:24" x14ac:dyDescent="0.35">
      <c r="A2110" s="3" t="str">
        <f t="shared" si="32"/>
        <v>MG51520358a_6001MAM</v>
      </c>
      <c r="B2110" t="s">
        <v>6210</v>
      </c>
      <c r="C2110">
        <f>+VLOOKUP(Sites_per_tag[[#This Row],[Field_office]],Parameter!$A$3:$B$11,2,0)</f>
        <v>10</v>
      </c>
      <c r="E2110" t="s">
        <v>5650</v>
      </c>
      <c r="F2110" t="s">
        <v>5654</v>
      </c>
      <c r="H2110" t="str">
        <f ca="1">PROPER(Sites_per_tag[[#This Row],[Adm2Name]])</f>
        <v>Toliary-Ii</v>
      </c>
      <c r="I2110" t="s">
        <v>5728</v>
      </c>
      <c r="K2110" t="s">
        <v>2327</v>
      </c>
      <c r="L2110" t="s">
        <v>5939</v>
      </c>
      <c r="N2110" t="s">
        <v>2821</v>
      </c>
      <c r="O2110" t="s">
        <v>4924</v>
      </c>
      <c r="Q2110" t="s">
        <v>2821</v>
      </c>
      <c r="R2110" t="s">
        <v>2822</v>
      </c>
      <c r="T2110" t="s">
        <v>5</v>
      </c>
      <c r="U2110" s="3" t="str">
        <f>+VLOOKUP(Sites_per_tag[[#This Row],[Activity_tag]],Parameter!$A$24:$B$32,2,0)</f>
        <v>MAM</v>
      </c>
      <c r="W2110">
        <v>43.695630000000001</v>
      </c>
      <c r="X2110">
        <v>-24.021070000000002</v>
      </c>
    </row>
    <row r="2111" spans="1:24" x14ac:dyDescent="0.35">
      <c r="A2111" s="3" t="str">
        <f t="shared" si="32"/>
        <v>MG51521010001001MAM</v>
      </c>
      <c r="B2111" t="s">
        <v>6210</v>
      </c>
      <c r="C2111">
        <f>+VLOOKUP(Sites_per_tag[[#This Row],[Field_office]],Parameter!$A$3:$B$11,2,0)</f>
        <v>10</v>
      </c>
      <c r="E2111" t="s">
        <v>5650</v>
      </c>
      <c r="F2111" t="s">
        <v>5654</v>
      </c>
      <c r="H2111" t="str">
        <f ca="1">PROPER(Sites_per_tag[[#This Row],[Adm2Name]])</f>
        <v>Betioky Atsimo</v>
      </c>
      <c r="I2111" t="s">
        <v>5688</v>
      </c>
      <c r="K2111" t="s">
        <v>1959</v>
      </c>
      <c r="L2111" t="s">
        <v>5914</v>
      </c>
      <c r="N2111" t="s">
        <v>4846</v>
      </c>
      <c r="O2111" t="s">
        <v>4845</v>
      </c>
      <c r="Q2111" t="s">
        <v>1959</v>
      </c>
      <c r="R2111" t="s">
        <v>1960</v>
      </c>
      <c r="T2111" t="s">
        <v>5</v>
      </c>
      <c r="U2111" s="3" t="str">
        <f>+VLOOKUP(Sites_per_tag[[#This Row],[Activity_tag]],Parameter!$A$24:$B$32,2,0)</f>
        <v>MAM</v>
      </c>
      <c r="W2111">
        <v>45.078580000000002</v>
      </c>
      <c r="X2111">
        <v>-23.448080000000001</v>
      </c>
    </row>
    <row r="2112" spans="1:24" x14ac:dyDescent="0.35">
      <c r="A2112" s="3" t="str">
        <f t="shared" si="32"/>
        <v>MG51521010007001MAM</v>
      </c>
      <c r="B2112" t="s">
        <v>6210</v>
      </c>
      <c r="C2112">
        <f>+VLOOKUP(Sites_per_tag[[#This Row],[Field_office]],Parameter!$A$3:$B$11,2,0)</f>
        <v>10</v>
      </c>
      <c r="E2112" t="s">
        <v>5650</v>
      </c>
      <c r="F2112" t="s">
        <v>5654</v>
      </c>
      <c r="H2112" t="str">
        <f ca="1">PROPER(Sites_per_tag[[#This Row],[Adm2Name]])</f>
        <v>Betioky Atsimo</v>
      </c>
      <c r="I2112" t="s">
        <v>5688</v>
      </c>
      <c r="K2112" t="s">
        <v>1959</v>
      </c>
      <c r="L2112" t="s">
        <v>5914</v>
      </c>
      <c r="N2112" t="s">
        <v>4848</v>
      </c>
      <c r="O2112" t="s">
        <v>4847</v>
      </c>
      <c r="Q2112" t="s">
        <v>1996</v>
      </c>
      <c r="R2112" t="s">
        <v>1997</v>
      </c>
      <c r="T2112" t="s">
        <v>5</v>
      </c>
      <c r="U2112" s="3" t="str">
        <f>+VLOOKUP(Sites_per_tag[[#This Row],[Activity_tag]],Parameter!$A$24:$B$32,2,0)</f>
        <v>MAM</v>
      </c>
      <c r="W2112">
        <v>45.123730000000002</v>
      </c>
      <c r="X2112">
        <v>-23.42492</v>
      </c>
    </row>
    <row r="2113" spans="1:24" x14ac:dyDescent="0.35">
      <c r="A2113" s="3" t="str">
        <f t="shared" si="32"/>
        <v>MG51521010008001MAM</v>
      </c>
      <c r="B2113" t="s">
        <v>6210</v>
      </c>
      <c r="C2113">
        <f>+VLOOKUP(Sites_per_tag[[#This Row],[Field_office]],Parameter!$A$3:$B$11,2,0)</f>
        <v>10</v>
      </c>
      <c r="E2113" t="s">
        <v>5650</v>
      </c>
      <c r="F2113" t="s">
        <v>5654</v>
      </c>
      <c r="H2113" t="str">
        <f ca="1">PROPER(Sites_per_tag[[#This Row],[Adm2Name]])</f>
        <v>Betioky Atsimo</v>
      </c>
      <c r="I2113" t="s">
        <v>5688</v>
      </c>
      <c r="K2113" t="s">
        <v>1959</v>
      </c>
      <c r="L2113" t="s">
        <v>5914</v>
      </c>
      <c r="N2113" t="s">
        <v>4850</v>
      </c>
      <c r="O2113" t="s">
        <v>4849</v>
      </c>
      <c r="Q2113" t="s">
        <v>1978</v>
      </c>
      <c r="R2113" t="s">
        <v>1979</v>
      </c>
      <c r="T2113" t="s">
        <v>5</v>
      </c>
      <c r="U2113" s="3" t="str">
        <f>+VLOOKUP(Sites_per_tag[[#This Row],[Activity_tag]],Parameter!$A$24:$B$32,2,0)</f>
        <v>MAM</v>
      </c>
      <c r="W2113">
        <v>45.121079999999999</v>
      </c>
      <c r="X2113">
        <v>-23.433029999999999</v>
      </c>
    </row>
    <row r="2114" spans="1:24" x14ac:dyDescent="0.35">
      <c r="A2114" s="3" t="str">
        <f t="shared" si="32"/>
        <v>MG51521010009001MAM</v>
      </c>
      <c r="B2114" t="s">
        <v>6210</v>
      </c>
      <c r="C2114">
        <f>+VLOOKUP(Sites_per_tag[[#This Row],[Field_office]],Parameter!$A$3:$B$11,2,0)</f>
        <v>10</v>
      </c>
      <c r="E2114" t="s">
        <v>5650</v>
      </c>
      <c r="F2114" t="s">
        <v>5654</v>
      </c>
      <c r="H2114" t="str">
        <f ca="1">PROPER(Sites_per_tag[[#This Row],[Adm2Name]])</f>
        <v>Betioky Atsimo</v>
      </c>
      <c r="I2114" t="s">
        <v>5688</v>
      </c>
      <c r="K2114" t="s">
        <v>1959</v>
      </c>
      <c r="L2114" t="s">
        <v>5914</v>
      </c>
      <c r="N2114" t="s">
        <v>3627</v>
      </c>
      <c r="O2114" t="s">
        <v>4851</v>
      </c>
      <c r="Q2114" t="s">
        <v>3627</v>
      </c>
      <c r="R2114" t="s">
        <v>3628</v>
      </c>
      <c r="T2114" t="s">
        <v>5</v>
      </c>
      <c r="U2114" s="3" t="str">
        <f>+VLOOKUP(Sites_per_tag[[#This Row],[Activity_tag]],Parameter!$A$24:$B$32,2,0)</f>
        <v>MAM</v>
      </c>
      <c r="W2114">
        <v>45.104370000000003</v>
      </c>
      <c r="X2114">
        <v>-23.427520000000001</v>
      </c>
    </row>
    <row r="2115" spans="1:24" x14ac:dyDescent="0.35">
      <c r="A2115" s="3" t="str">
        <f t="shared" ref="A2115:A2178" si="33">+R2115&amp;U2115</f>
        <v>MG51521010015001MAM</v>
      </c>
      <c r="B2115" t="s">
        <v>6210</v>
      </c>
      <c r="C2115">
        <f>+VLOOKUP(Sites_per_tag[[#This Row],[Field_office]],Parameter!$A$3:$B$11,2,0)</f>
        <v>10</v>
      </c>
      <c r="E2115" t="s">
        <v>5650</v>
      </c>
      <c r="F2115" t="s">
        <v>5654</v>
      </c>
      <c r="H2115" t="str">
        <f ca="1">PROPER(Sites_per_tag[[#This Row],[Adm2Name]])</f>
        <v>Betioky Atsimo</v>
      </c>
      <c r="I2115" t="s">
        <v>5688</v>
      </c>
      <c r="K2115" t="s">
        <v>1959</v>
      </c>
      <c r="L2115" t="s">
        <v>5914</v>
      </c>
      <c r="N2115" t="s">
        <v>3196</v>
      </c>
      <c r="O2115" t="s">
        <v>4852</v>
      </c>
      <c r="Q2115" t="s">
        <v>3202</v>
      </c>
      <c r="R2115" t="s">
        <v>3203</v>
      </c>
      <c r="T2115" t="s">
        <v>5</v>
      </c>
      <c r="U2115" s="3" t="str">
        <f>+VLOOKUP(Sites_per_tag[[#This Row],[Activity_tag]],Parameter!$A$24:$B$32,2,0)</f>
        <v>MAM</v>
      </c>
      <c r="W2115">
        <v>45.006529999999998</v>
      </c>
      <c r="X2115">
        <v>-23.403880000000001</v>
      </c>
    </row>
    <row r="2116" spans="1:24" x14ac:dyDescent="0.35">
      <c r="A2116" s="3" t="str">
        <f t="shared" si="33"/>
        <v>MG51521031003001MAM</v>
      </c>
      <c r="B2116" t="s">
        <v>6193</v>
      </c>
      <c r="C2116">
        <f>+VLOOKUP(Sites_per_tag[[#This Row],[Field_office]],Parameter!$A$3:$B$11,2,0)</f>
        <v>4</v>
      </c>
      <c r="E2116" t="s">
        <v>5658</v>
      </c>
      <c r="F2116" t="s">
        <v>5659</v>
      </c>
      <c r="H2116" t="str">
        <f ca="1">PROPER(Sites_per_tag[[#This Row],[Adm2Name]])</f>
        <v>Farafangana</v>
      </c>
      <c r="I2116" t="s">
        <v>5694</v>
      </c>
      <c r="K2116" t="s">
        <v>2619</v>
      </c>
      <c r="L2116" t="s">
        <v>5984</v>
      </c>
      <c r="N2116" t="s">
        <v>1827</v>
      </c>
      <c r="O2116" t="s">
        <v>5130</v>
      </c>
      <c r="Q2116" t="s">
        <v>1827</v>
      </c>
      <c r="R2116" t="s">
        <v>1828</v>
      </c>
      <c r="T2116" t="s">
        <v>5</v>
      </c>
      <c r="U2116" s="3" t="str">
        <f>+VLOOKUP(Sites_per_tag[[#This Row],[Activity_tag]],Parameter!$A$24:$B$32,2,0)</f>
        <v>MAM</v>
      </c>
      <c r="W2116">
        <v>47.742894999999997</v>
      </c>
      <c r="X2116">
        <v>-22.877568</v>
      </c>
    </row>
    <row r="2117" spans="1:24" x14ac:dyDescent="0.35">
      <c r="A2117" s="3" t="str">
        <f t="shared" si="33"/>
        <v>MG51521031011001MAM</v>
      </c>
      <c r="B2117" t="s">
        <v>6210</v>
      </c>
      <c r="C2117">
        <f>+VLOOKUP(Sites_per_tag[[#This Row],[Field_office]],Parameter!$A$3:$B$11,2,0)</f>
        <v>10</v>
      </c>
      <c r="E2117" t="s">
        <v>5650</v>
      </c>
      <c r="F2117" t="s">
        <v>5654</v>
      </c>
      <c r="H2117" t="str">
        <f ca="1">PROPER(Sites_per_tag[[#This Row],[Adm2Name]])</f>
        <v>Betioky Atsimo</v>
      </c>
      <c r="I2117" t="s">
        <v>5688</v>
      </c>
      <c r="K2117" t="s">
        <v>1312</v>
      </c>
      <c r="L2117" t="s">
        <v>5841</v>
      </c>
      <c r="N2117" t="s">
        <v>1312</v>
      </c>
      <c r="O2117" t="s">
        <v>4666</v>
      </c>
      <c r="Q2117" t="s">
        <v>1312</v>
      </c>
      <c r="R2117" t="s">
        <v>1313</v>
      </c>
      <c r="T2117" t="s">
        <v>5</v>
      </c>
      <c r="U2117" s="3" t="str">
        <f>+VLOOKUP(Sites_per_tag[[#This Row],[Activity_tag]],Parameter!$A$24:$B$32,2,0)</f>
        <v>MAM</v>
      </c>
      <c r="W2117">
        <v>44.358080000000001</v>
      </c>
      <c r="X2117">
        <v>-23.68948</v>
      </c>
    </row>
    <row r="2118" spans="1:24" x14ac:dyDescent="0.35">
      <c r="A2118" s="3" t="str">
        <f t="shared" si="33"/>
        <v>MG51521050002001MAM</v>
      </c>
      <c r="B2118" t="s">
        <v>6211</v>
      </c>
      <c r="C2118">
        <f>+VLOOKUP(Sites_per_tag[[#This Row],[Field_office]],Parameter!$A$3:$B$11,2,0)</f>
        <v>6</v>
      </c>
      <c r="E2118" t="s">
        <v>1448</v>
      </c>
      <c r="F2118" t="s">
        <v>5651</v>
      </c>
      <c r="H2118" t="str">
        <f ca="1">PROPER(Sites_per_tag[[#This Row],[Adm2Name]])</f>
        <v>Amboasary-Atsimo</v>
      </c>
      <c r="I2118" t="s">
        <v>5641</v>
      </c>
      <c r="K2118" t="s">
        <v>2348</v>
      </c>
      <c r="L2118" t="s">
        <v>5944</v>
      </c>
      <c r="N2118" t="s">
        <v>2348</v>
      </c>
      <c r="O2118" t="s">
        <v>4969</v>
      </c>
      <c r="Q2118" t="s">
        <v>2348</v>
      </c>
      <c r="R2118" t="s">
        <v>2349</v>
      </c>
      <c r="T2118" t="s">
        <v>5</v>
      </c>
      <c r="U2118" s="3" t="str">
        <f>+VLOOKUP(Sites_per_tag[[#This Row],[Activity_tag]],Parameter!$A$24:$B$32,2,0)</f>
        <v>MAM</v>
      </c>
      <c r="W2118">
        <v>46.181095999999997</v>
      </c>
      <c r="X2118">
        <v>-24.761856999999999</v>
      </c>
    </row>
    <row r="2119" spans="1:24" x14ac:dyDescent="0.35">
      <c r="A2119" s="3" t="str">
        <f t="shared" si="33"/>
        <v>MG51521050009001MAM</v>
      </c>
      <c r="B2119" t="s">
        <v>6210</v>
      </c>
      <c r="C2119">
        <f>+VLOOKUP(Sites_per_tag[[#This Row],[Field_office]],Parameter!$A$3:$B$11,2,0)</f>
        <v>10</v>
      </c>
      <c r="E2119" t="s">
        <v>5650</v>
      </c>
      <c r="F2119" t="s">
        <v>5654</v>
      </c>
      <c r="H2119" t="str">
        <f ca="1">PROPER(Sites_per_tag[[#This Row],[Adm2Name]])</f>
        <v>Betioky Atsimo</v>
      </c>
      <c r="I2119" t="s">
        <v>5688</v>
      </c>
      <c r="K2119" t="s">
        <v>5940</v>
      </c>
      <c r="L2119" t="s">
        <v>5941</v>
      </c>
      <c r="N2119" t="s">
        <v>638</v>
      </c>
      <c r="O2119" t="s">
        <v>4925</v>
      </c>
      <c r="Q2119" t="s">
        <v>638</v>
      </c>
      <c r="R2119" t="s">
        <v>639</v>
      </c>
      <c r="T2119" t="s">
        <v>5</v>
      </c>
      <c r="U2119" s="3" t="str">
        <f>+VLOOKUP(Sites_per_tag[[#This Row],[Activity_tag]],Parameter!$A$24:$B$32,2,0)</f>
        <v>MAM</v>
      </c>
      <c r="W2119">
        <v>44.901850000000003</v>
      </c>
      <c r="X2119">
        <v>-23.499099999999999</v>
      </c>
    </row>
    <row r="2120" spans="1:24" x14ac:dyDescent="0.35">
      <c r="A2120" s="3" t="str">
        <f t="shared" si="33"/>
        <v>MG52513010002PREV</v>
      </c>
      <c r="B2120" t="s">
        <v>6211</v>
      </c>
      <c r="C2120">
        <f>+VLOOKUP(Sites_per_tag[[#This Row],[Field_office]],Parameter!$A$3:$B$11,2,0)</f>
        <v>6</v>
      </c>
      <c r="E2120" t="s">
        <v>5646</v>
      </c>
      <c r="F2120" t="s">
        <v>5647</v>
      </c>
      <c r="H2120" t="str">
        <f ca="1">PROPER(Sites_per_tag[[#This Row],[Adm2Name]])</f>
        <v>Beloha</v>
      </c>
      <c r="I2120" t="s">
        <v>5685</v>
      </c>
      <c r="K2120" t="s">
        <v>6512</v>
      </c>
      <c r="L2120" t="s">
        <v>6003</v>
      </c>
      <c r="N2120" t="s">
        <v>4233</v>
      </c>
      <c r="Q2120" t="s">
        <v>811</v>
      </c>
      <c r="R2120" t="s">
        <v>812</v>
      </c>
      <c r="T2120" t="s">
        <v>32</v>
      </c>
      <c r="U2120" s="3" t="str">
        <f>+VLOOKUP(Sites_per_tag[[#This Row],[Activity_tag]],Parameter!$A$24:$B$32,2,0)</f>
        <v>PREV</v>
      </c>
      <c r="W2120">
        <v>44.986789999999999</v>
      </c>
      <c r="X2120">
        <v>-24.832685000000001</v>
      </c>
    </row>
    <row r="2121" spans="1:24" x14ac:dyDescent="0.35">
      <c r="A2121" s="3" t="str">
        <f t="shared" si="33"/>
        <v>MG52513010005PREV</v>
      </c>
      <c r="B2121" t="s">
        <v>6211</v>
      </c>
      <c r="C2121">
        <f>+VLOOKUP(Sites_per_tag[[#This Row],[Field_office]],Parameter!$A$3:$B$11,2,0)</f>
        <v>6</v>
      </c>
      <c r="E2121" t="s">
        <v>5646</v>
      </c>
      <c r="F2121" t="s">
        <v>5647</v>
      </c>
      <c r="H2121" t="str">
        <f ca="1">PROPER(Sites_per_tag[[#This Row],[Adm2Name]])</f>
        <v>Beloha</v>
      </c>
      <c r="I2121" t="s">
        <v>5685</v>
      </c>
      <c r="K2121" t="s">
        <v>6512</v>
      </c>
      <c r="L2121" t="s">
        <v>6003</v>
      </c>
      <c r="N2121" t="s">
        <v>4234</v>
      </c>
      <c r="Q2121" t="s">
        <v>619</v>
      </c>
      <c r="R2121" t="s">
        <v>620</v>
      </c>
      <c r="T2121" t="s">
        <v>32</v>
      </c>
      <c r="U2121" s="3" t="str">
        <f>+VLOOKUP(Sites_per_tag[[#This Row],[Activity_tag]],Parameter!$A$24:$B$32,2,0)</f>
        <v>PREV</v>
      </c>
      <c r="W2121">
        <v>45.011380000000003</v>
      </c>
      <c r="X2121">
        <v>-24.884</v>
      </c>
    </row>
    <row r="2122" spans="1:24" x14ac:dyDescent="0.35">
      <c r="A2122" s="3" t="str">
        <f t="shared" si="33"/>
        <v>MG52513010010001MAM</v>
      </c>
      <c r="B2122" t="s">
        <v>6211</v>
      </c>
      <c r="C2122">
        <f>+VLOOKUP(Sites_per_tag[[#This Row],[Field_office]],Parameter!$A$3:$B$11,2,0)</f>
        <v>6</v>
      </c>
      <c r="E2122" t="s">
        <v>5646</v>
      </c>
      <c r="F2122" t="s">
        <v>5647</v>
      </c>
      <c r="H2122" t="str">
        <f ca="1">PROPER(Sites_per_tag[[#This Row],[Adm2Name]])</f>
        <v>Beloha</v>
      </c>
      <c r="I2122" t="s">
        <v>5685</v>
      </c>
      <c r="K2122" t="s">
        <v>5667</v>
      </c>
      <c r="L2122" t="s">
        <v>6003</v>
      </c>
      <c r="N2122" t="s">
        <v>809</v>
      </c>
      <c r="O2122" t="s">
        <v>5178</v>
      </c>
      <c r="Q2122" t="s">
        <v>809</v>
      </c>
      <c r="R2122" t="s">
        <v>810</v>
      </c>
      <c r="T2122" t="s">
        <v>5</v>
      </c>
      <c r="U2122" s="3" t="str">
        <f>+VLOOKUP(Sites_per_tag[[#This Row],[Activity_tag]],Parameter!$A$24:$B$32,2,0)</f>
        <v>MAM</v>
      </c>
      <c r="W2122">
        <v>44.913119999999999</v>
      </c>
      <c r="X2122">
        <v>-24.98488</v>
      </c>
    </row>
    <row r="2123" spans="1:24" x14ac:dyDescent="0.35">
      <c r="A2123" s="3" t="str">
        <f t="shared" si="33"/>
        <v>MG52513010015001MAM</v>
      </c>
      <c r="B2123" t="s">
        <v>6211</v>
      </c>
      <c r="C2123">
        <f>+VLOOKUP(Sites_per_tag[[#This Row],[Field_office]],Parameter!$A$3:$B$11,2,0)</f>
        <v>6</v>
      </c>
      <c r="E2123" t="s">
        <v>5646</v>
      </c>
      <c r="F2123" t="s">
        <v>5647</v>
      </c>
      <c r="H2123" t="str">
        <f ca="1">PROPER(Sites_per_tag[[#This Row],[Adm2Name]])</f>
        <v>Beloha</v>
      </c>
      <c r="I2123" t="s">
        <v>5685</v>
      </c>
      <c r="K2123" t="s">
        <v>5909</v>
      </c>
      <c r="L2123" t="s">
        <v>5910</v>
      </c>
      <c r="N2123" t="s">
        <v>839</v>
      </c>
      <c r="O2123" t="s">
        <v>4825</v>
      </c>
      <c r="Q2123" t="s">
        <v>839</v>
      </c>
      <c r="R2123" t="s">
        <v>840</v>
      </c>
      <c r="T2123" t="s">
        <v>5</v>
      </c>
      <c r="U2123" s="3" t="str">
        <f>+VLOOKUP(Sites_per_tag[[#This Row],[Activity_tag]],Parameter!$A$24:$B$32,2,0)</f>
        <v>MAM</v>
      </c>
      <c r="W2123">
        <v>45.106780000000001</v>
      </c>
      <c r="X2123">
        <v>-25.150480000000002</v>
      </c>
    </row>
    <row r="2124" spans="1:24" x14ac:dyDescent="0.35">
      <c r="A2124" s="3" t="str">
        <f t="shared" si="33"/>
        <v>MG52513010017001MAM</v>
      </c>
      <c r="B2124" t="s">
        <v>6211</v>
      </c>
      <c r="C2124">
        <f>+VLOOKUP(Sites_per_tag[[#This Row],[Field_office]],Parameter!$A$3:$B$11,2,0)</f>
        <v>6</v>
      </c>
      <c r="E2124" t="s">
        <v>5646</v>
      </c>
      <c r="F2124" t="s">
        <v>5647</v>
      </c>
      <c r="H2124" t="str">
        <f ca="1">PROPER(Sites_per_tag[[#This Row],[Adm2Name]])</f>
        <v>Beloha</v>
      </c>
      <c r="I2124" t="s">
        <v>5685</v>
      </c>
      <c r="K2124" t="s">
        <v>5667</v>
      </c>
      <c r="L2124" t="s">
        <v>6003</v>
      </c>
      <c r="N2124" t="s">
        <v>40</v>
      </c>
      <c r="O2124" t="s">
        <v>5179</v>
      </c>
      <c r="Q2124" t="s">
        <v>1462</v>
      </c>
      <c r="R2124" t="s">
        <v>1463</v>
      </c>
      <c r="T2124" t="s">
        <v>5</v>
      </c>
      <c r="U2124" s="3" t="str">
        <f>+VLOOKUP(Sites_per_tag[[#This Row],[Activity_tag]],Parameter!$A$24:$B$32,2,0)</f>
        <v>MAM</v>
      </c>
      <c r="W2124">
        <v>44.971769999999999</v>
      </c>
      <c r="X2124">
        <v>-25.03275</v>
      </c>
    </row>
    <row r="2125" spans="1:24" x14ac:dyDescent="0.35">
      <c r="A2125" s="3" t="str">
        <f t="shared" si="33"/>
        <v>MG52513010021001MAM</v>
      </c>
      <c r="B2125" t="s">
        <v>6211</v>
      </c>
      <c r="C2125">
        <f>+VLOOKUP(Sites_per_tag[[#This Row],[Field_office]],Parameter!$A$3:$B$11,2,0)</f>
        <v>6</v>
      </c>
      <c r="E2125" t="s">
        <v>5646</v>
      </c>
      <c r="F2125" t="s">
        <v>5647</v>
      </c>
      <c r="H2125" t="str">
        <f ca="1">PROPER(Sites_per_tag[[#This Row],[Adm2Name]])</f>
        <v>Beloha</v>
      </c>
      <c r="I2125" t="s">
        <v>5685</v>
      </c>
      <c r="K2125" t="s">
        <v>5909</v>
      </c>
      <c r="L2125" t="s">
        <v>5910</v>
      </c>
      <c r="N2125" t="s">
        <v>3665</v>
      </c>
      <c r="O2125" t="s">
        <v>4826</v>
      </c>
      <c r="Q2125" t="s">
        <v>3665</v>
      </c>
      <c r="R2125" t="s">
        <v>3666</v>
      </c>
      <c r="T2125" t="s">
        <v>5</v>
      </c>
      <c r="U2125" s="3" t="str">
        <f>+VLOOKUP(Sites_per_tag[[#This Row],[Activity_tag]],Parameter!$A$24:$B$32,2,0)</f>
        <v>MAM</v>
      </c>
      <c r="W2125">
        <v>44.948830000000001</v>
      </c>
      <c r="X2125">
        <v>-25.136649999999999</v>
      </c>
    </row>
    <row r="2126" spans="1:24" x14ac:dyDescent="0.35">
      <c r="A2126" s="3" t="str">
        <f t="shared" si="33"/>
        <v>MG52513010027001MAM</v>
      </c>
      <c r="B2126" t="s">
        <v>6211</v>
      </c>
      <c r="C2126">
        <f>+VLOOKUP(Sites_per_tag[[#This Row],[Field_office]],Parameter!$A$3:$B$11,2,0)</f>
        <v>6</v>
      </c>
      <c r="E2126" t="s">
        <v>5646</v>
      </c>
      <c r="F2126" t="s">
        <v>5647</v>
      </c>
      <c r="H2126" t="str">
        <f ca="1">PROPER(Sites_per_tag[[#This Row],[Adm2Name]])</f>
        <v>Beloha</v>
      </c>
      <c r="I2126" t="s">
        <v>5685</v>
      </c>
      <c r="K2126" t="s">
        <v>5909</v>
      </c>
      <c r="L2126" t="s">
        <v>5910</v>
      </c>
      <c r="N2126" t="s">
        <v>3459</v>
      </c>
      <c r="O2126" t="s">
        <v>4827</v>
      </c>
      <c r="Q2126" t="s">
        <v>3459</v>
      </c>
      <c r="R2126" t="s">
        <v>3460</v>
      </c>
      <c r="T2126" t="s">
        <v>5</v>
      </c>
      <c r="U2126" s="3" t="str">
        <f>+VLOOKUP(Sites_per_tag[[#This Row],[Activity_tag]],Parameter!$A$24:$B$32,2,0)</f>
        <v>MAM</v>
      </c>
      <c r="W2126">
        <v>45.130879999999998</v>
      </c>
      <c r="X2126">
        <v>-25.13495</v>
      </c>
    </row>
    <row r="2127" spans="1:24" x14ac:dyDescent="0.35">
      <c r="A2127" s="3" t="str">
        <f t="shared" si="33"/>
        <v>MG52513010076001MAM</v>
      </c>
      <c r="B2127" t="s">
        <v>6211</v>
      </c>
      <c r="C2127">
        <f>+VLOOKUP(Sites_per_tag[[#This Row],[Field_office]],Parameter!$A$3:$B$11,2,0)</f>
        <v>6</v>
      </c>
      <c r="E2127" t="s">
        <v>5646</v>
      </c>
      <c r="F2127" t="s">
        <v>5647</v>
      </c>
      <c r="H2127" t="str">
        <f ca="1">PROPER(Sites_per_tag[[#This Row],[Adm2Name]])</f>
        <v>Beloha</v>
      </c>
      <c r="I2127" t="s">
        <v>5685</v>
      </c>
      <c r="K2127" t="s">
        <v>5909</v>
      </c>
      <c r="L2127" t="s">
        <v>5910</v>
      </c>
      <c r="N2127" t="s">
        <v>395</v>
      </c>
      <c r="O2127" t="s">
        <v>4828</v>
      </c>
      <c r="Q2127" t="s">
        <v>395</v>
      </c>
      <c r="R2127" t="s">
        <v>396</v>
      </c>
      <c r="T2127" t="s">
        <v>5</v>
      </c>
      <c r="U2127" s="3" t="str">
        <f>+VLOOKUP(Sites_per_tag[[#This Row],[Activity_tag]],Parameter!$A$24:$B$32,2,0)</f>
        <v>MAM</v>
      </c>
      <c r="W2127">
        <v>45.037669999999999</v>
      </c>
      <c r="X2127">
        <v>-25.19115</v>
      </c>
    </row>
    <row r="2128" spans="1:24" x14ac:dyDescent="0.35">
      <c r="A2128" s="3" t="str">
        <f t="shared" si="33"/>
        <v>MG52513010077001MAM</v>
      </c>
      <c r="B2128" t="s">
        <v>6211</v>
      </c>
      <c r="C2128">
        <f>+VLOOKUP(Sites_per_tag[[#This Row],[Field_office]],Parameter!$A$3:$B$11,2,0)</f>
        <v>6</v>
      </c>
      <c r="E2128" t="s">
        <v>5646</v>
      </c>
      <c r="F2128" t="s">
        <v>5647</v>
      </c>
      <c r="H2128" t="str">
        <f ca="1">PROPER(Sites_per_tag[[#This Row],[Adm2Name]])</f>
        <v>Beloha</v>
      </c>
      <c r="I2128" t="s">
        <v>5685</v>
      </c>
      <c r="K2128" t="s">
        <v>5909</v>
      </c>
      <c r="L2128" t="s">
        <v>5910</v>
      </c>
      <c r="N2128" t="s">
        <v>990</v>
      </c>
      <c r="O2128" t="s">
        <v>4829</v>
      </c>
      <c r="Q2128" t="s">
        <v>990</v>
      </c>
      <c r="R2128" t="s">
        <v>991</v>
      </c>
      <c r="T2128" t="s">
        <v>5</v>
      </c>
      <c r="U2128" s="3" t="str">
        <f>+VLOOKUP(Sites_per_tag[[#This Row],[Activity_tag]],Parameter!$A$24:$B$32,2,0)</f>
        <v>MAM</v>
      </c>
      <c r="W2128">
        <v>45.038069999999998</v>
      </c>
      <c r="X2128">
        <v>-25.120270000000001</v>
      </c>
    </row>
    <row r="2129" spans="1:24" x14ac:dyDescent="0.35">
      <c r="A2129" s="3" t="str">
        <f t="shared" si="33"/>
        <v>MG52513010078001MAM</v>
      </c>
      <c r="B2129" t="s">
        <v>6211</v>
      </c>
      <c r="C2129">
        <f>+VLOOKUP(Sites_per_tag[[#This Row],[Field_office]],Parameter!$A$3:$B$11,2,0)</f>
        <v>6</v>
      </c>
      <c r="E2129" t="s">
        <v>5646</v>
      </c>
      <c r="F2129" t="s">
        <v>5647</v>
      </c>
      <c r="H2129" t="str">
        <f ca="1">PROPER(Sites_per_tag[[#This Row],[Adm2Name]])</f>
        <v>Beloha</v>
      </c>
      <c r="I2129" t="s">
        <v>5685</v>
      </c>
      <c r="K2129" t="s">
        <v>5909</v>
      </c>
      <c r="L2129" t="s">
        <v>5910</v>
      </c>
      <c r="N2129" t="s">
        <v>3406</v>
      </c>
      <c r="O2129" t="s">
        <v>4830</v>
      </c>
      <c r="Q2129" t="s">
        <v>3406</v>
      </c>
      <c r="R2129" t="s">
        <v>3407</v>
      </c>
      <c r="T2129" t="s">
        <v>5</v>
      </c>
      <c r="U2129" s="3" t="str">
        <f>+VLOOKUP(Sites_per_tag[[#This Row],[Activity_tag]],Parameter!$A$24:$B$32,2,0)</f>
        <v>MAM</v>
      </c>
      <c r="W2129">
        <v>45.022129999999997</v>
      </c>
      <c r="X2129">
        <v>-25.204529999999998</v>
      </c>
    </row>
    <row r="2130" spans="1:24" x14ac:dyDescent="0.35">
      <c r="A2130" s="3" t="str">
        <f t="shared" si="33"/>
        <v>MG52513010079001MAM</v>
      </c>
      <c r="B2130" t="s">
        <v>6211</v>
      </c>
      <c r="C2130">
        <f>+VLOOKUP(Sites_per_tag[[#This Row],[Field_office]],Parameter!$A$3:$B$11,2,0)</f>
        <v>6</v>
      </c>
      <c r="E2130" t="s">
        <v>5646</v>
      </c>
      <c r="F2130" t="s">
        <v>5647</v>
      </c>
      <c r="H2130" t="str">
        <f ca="1">PROPER(Sites_per_tag[[#This Row],[Adm2Name]])</f>
        <v>Beloha</v>
      </c>
      <c r="I2130" t="s">
        <v>5685</v>
      </c>
      <c r="K2130" t="s">
        <v>5909</v>
      </c>
      <c r="L2130" t="s">
        <v>5910</v>
      </c>
      <c r="N2130" t="s">
        <v>3457</v>
      </c>
      <c r="O2130" t="s">
        <v>4831</v>
      </c>
      <c r="Q2130" t="s">
        <v>3457</v>
      </c>
      <c r="R2130" t="s">
        <v>3458</v>
      </c>
      <c r="T2130" t="s">
        <v>5</v>
      </c>
      <c r="U2130" s="3" t="str">
        <f>+VLOOKUP(Sites_per_tag[[#This Row],[Activity_tag]],Parameter!$A$24:$B$32,2,0)</f>
        <v>MAM</v>
      </c>
      <c r="W2130">
        <v>44.988770000000002</v>
      </c>
      <c r="X2130">
        <v>-25.12125</v>
      </c>
    </row>
    <row r="2131" spans="1:24" x14ac:dyDescent="0.35">
      <c r="A2131" s="3" t="str">
        <f t="shared" si="33"/>
        <v>MG52513010080001MAM</v>
      </c>
      <c r="B2131" t="s">
        <v>6211</v>
      </c>
      <c r="C2131">
        <f>+VLOOKUP(Sites_per_tag[[#This Row],[Field_office]],Parameter!$A$3:$B$11,2,0)</f>
        <v>6</v>
      </c>
      <c r="E2131" t="s">
        <v>5646</v>
      </c>
      <c r="F2131" t="s">
        <v>5647</v>
      </c>
      <c r="H2131" t="str">
        <f ca="1">PROPER(Sites_per_tag[[#This Row],[Adm2Name]])</f>
        <v>Beloha</v>
      </c>
      <c r="I2131" t="s">
        <v>5685</v>
      </c>
      <c r="K2131" t="s">
        <v>5909</v>
      </c>
      <c r="L2131" t="s">
        <v>5910</v>
      </c>
      <c r="N2131" t="s">
        <v>3712</v>
      </c>
      <c r="O2131" t="s">
        <v>4832</v>
      </c>
      <c r="Q2131" t="s">
        <v>3712</v>
      </c>
      <c r="R2131" t="s">
        <v>3713</v>
      </c>
      <c r="T2131" t="s">
        <v>5</v>
      </c>
      <c r="U2131" s="3" t="str">
        <f>+VLOOKUP(Sites_per_tag[[#This Row],[Activity_tag]],Parameter!$A$24:$B$32,2,0)</f>
        <v>MAM</v>
      </c>
      <c r="W2131">
        <v>44.902380000000001</v>
      </c>
      <c r="X2131">
        <v>-25.114570000000001</v>
      </c>
    </row>
    <row r="2132" spans="1:24" x14ac:dyDescent="0.35">
      <c r="A2132" s="3" t="str">
        <f t="shared" si="33"/>
        <v>MG52513030001001MAM</v>
      </c>
      <c r="B2132" t="s">
        <v>6211</v>
      </c>
      <c r="C2132">
        <f>+VLOOKUP(Sites_per_tag[[#This Row],[Field_office]],Parameter!$A$3:$B$11,2,0)</f>
        <v>6</v>
      </c>
      <c r="E2132" t="s">
        <v>5646</v>
      </c>
      <c r="F2132" t="s">
        <v>5647</v>
      </c>
      <c r="H2132" t="str">
        <f ca="1">PROPER(Sites_per_tag[[#This Row],[Adm2Name]])</f>
        <v>Beloha</v>
      </c>
      <c r="I2132" t="s">
        <v>5685</v>
      </c>
      <c r="K2132" t="s">
        <v>3702</v>
      </c>
      <c r="L2132" t="s">
        <v>6140</v>
      </c>
      <c r="N2132" t="s">
        <v>1644</v>
      </c>
      <c r="O2132" t="s">
        <v>5502</v>
      </c>
      <c r="Q2132" t="s">
        <v>1644</v>
      </c>
      <c r="R2132" t="s">
        <v>1645</v>
      </c>
      <c r="T2132" t="s">
        <v>5</v>
      </c>
      <c r="U2132" s="3" t="str">
        <f>+VLOOKUP(Sites_per_tag[[#This Row],[Activity_tag]],Parameter!$A$24:$B$32,2,0)</f>
        <v>MAM</v>
      </c>
      <c r="W2132">
        <v>45.019579999999998</v>
      </c>
      <c r="X2132">
        <v>-25.270600000000002</v>
      </c>
    </row>
    <row r="2133" spans="1:24" x14ac:dyDescent="0.35">
      <c r="A2133" s="3" t="str">
        <f t="shared" si="33"/>
        <v>MG52513030002001MAM</v>
      </c>
      <c r="B2133" t="s">
        <v>6211</v>
      </c>
      <c r="C2133">
        <f>+VLOOKUP(Sites_per_tag[[#This Row],[Field_office]],Parameter!$A$3:$B$11,2,0)</f>
        <v>6</v>
      </c>
      <c r="E2133" t="s">
        <v>5646</v>
      </c>
      <c r="F2133" t="s">
        <v>5647</v>
      </c>
      <c r="H2133" t="str">
        <f ca="1">PROPER(Sites_per_tag[[#This Row],[Adm2Name]])</f>
        <v>Beloha</v>
      </c>
      <c r="I2133" t="s">
        <v>5685</v>
      </c>
      <c r="K2133" t="s">
        <v>3702</v>
      </c>
      <c r="L2133" t="s">
        <v>6140</v>
      </c>
      <c r="N2133" t="s">
        <v>5504</v>
      </c>
      <c r="O2133" t="s">
        <v>5503</v>
      </c>
      <c r="Q2133" t="s">
        <v>3135</v>
      </c>
      <c r="R2133" t="s">
        <v>3136</v>
      </c>
      <c r="T2133" t="s">
        <v>5</v>
      </c>
      <c r="U2133" s="3" t="str">
        <f>+VLOOKUP(Sites_per_tag[[#This Row],[Activity_tag]],Parameter!$A$24:$B$32,2,0)</f>
        <v>MAM</v>
      </c>
      <c r="W2133">
        <v>44.894950000000001</v>
      </c>
      <c r="X2133">
        <v>-25.151230000000002</v>
      </c>
    </row>
    <row r="2134" spans="1:24" x14ac:dyDescent="0.35">
      <c r="A2134" s="3" t="str">
        <f t="shared" si="33"/>
        <v>MG52513030003001MAM</v>
      </c>
      <c r="B2134" t="s">
        <v>6211</v>
      </c>
      <c r="C2134">
        <f>+VLOOKUP(Sites_per_tag[[#This Row],[Field_office]],Parameter!$A$3:$B$11,2,0)</f>
        <v>6</v>
      </c>
      <c r="E2134" t="s">
        <v>5646</v>
      </c>
      <c r="F2134" t="s">
        <v>5647</v>
      </c>
      <c r="H2134" t="str">
        <f ca="1">PROPER(Sites_per_tag[[#This Row],[Adm2Name]])</f>
        <v>Beloha</v>
      </c>
      <c r="I2134" t="s">
        <v>5685</v>
      </c>
      <c r="K2134" t="s">
        <v>3702</v>
      </c>
      <c r="L2134" t="s">
        <v>6140</v>
      </c>
      <c r="N2134" t="s">
        <v>46</v>
      </c>
      <c r="O2134" t="s">
        <v>5505</v>
      </c>
      <c r="Q2134" t="s">
        <v>46</v>
      </c>
      <c r="R2134" t="s">
        <v>47</v>
      </c>
      <c r="T2134" t="s">
        <v>5</v>
      </c>
      <c r="U2134" s="3" t="str">
        <f>+VLOOKUP(Sites_per_tag[[#This Row],[Activity_tag]],Parameter!$A$24:$B$32,2,0)</f>
        <v>MAM</v>
      </c>
      <c r="W2134">
        <v>44.824979999999996</v>
      </c>
      <c r="X2134">
        <v>-25.162030000000001</v>
      </c>
    </row>
    <row r="2135" spans="1:24" x14ac:dyDescent="0.35">
      <c r="A2135" s="3" t="str">
        <f t="shared" si="33"/>
        <v>MG52513030005001MAM</v>
      </c>
      <c r="B2135" t="s">
        <v>6211</v>
      </c>
      <c r="C2135">
        <f>+VLOOKUP(Sites_per_tag[[#This Row],[Field_office]],Parameter!$A$3:$B$11,2,0)</f>
        <v>6</v>
      </c>
      <c r="E2135" t="s">
        <v>5646</v>
      </c>
      <c r="F2135" t="s">
        <v>5647</v>
      </c>
      <c r="H2135" t="str">
        <f ca="1">PROPER(Sites_per_tag[[#This Row],[Adm2Name]])</f>
        <v>Beloha</v>
      </c>
      <c r="I2135" t="s">
        <v>5685</v>
      </c>
      <c r="K2135" t="s">
        <v>3702</v>
      </c>
      <c r="L2135" t="s">
        <v>6140</v>
      </c>
      <c r="N2135" t="s">
        <v>5507</v>
      </c>
      <c r="O2135" t="s">
        <v>5506</v>
      </c>
      <c r="Q2135" t="s">
        <v>3809</v>
      </c>
      <c r="R2135" t="s">
        <v>3810</v>
      </c>
      <c r="T2135" t="s">
        <v>5</v>
      </c>
      <c r="U2135" s="3" t="str">
        <f>+VLOOKUP(Sites_per_tag[[#This Row],[Activity_tag]],Parameter!$A$24:$B$32,2,0)</f>
        <v>MAM</v>
      </c>
      <c r="W2135">
        <v>44.891080000000002</v>
      </c>
      <c r="X2135">
        <v>-25.217020000000002</v>
      </c>
    </row>
    <row r="2136" spans="1:24" x14ac:dyDescent="0.35">
      <c r="A2136" s="3" t="str">
        <f t="shared" si="33"/>
        <v>MG52513030007001MAM</v>
      </c>
      <c r="B2136" t="s">
        <v>6211</v>
      </c>
      <c r="C2136">
        <f>+VLOOKUP(Sites_per_tag[[#This Row],[Field_office]],Parameter!$A$3:$B$11,2,0)</f>
        <v>6</v>
      </c>
      <c r="E2136" t="s">
        <v>5646</v>
      </c>
      <c r="F2136" t="s">
        <v>5647</v>
      </c>
      <c r="H2136" t="str">
        <f ca="1">PROPER(Sites_per_tag[[#This Row],[Adm2Name]])</f>
        <v>Beloha</v>
      </c>
      <c r="I2136" t="s">
        <v>5685</v>
      </c>
      <c r="K2136" t="s">
        <v>3702</v>
      </c>
      <c r="L2136" t="s">
        <v>6140</v>
      </c>
      <c r="N2136" t="s">
        <v>1353</v>
      </c>
      <c r="O2136" t="s">
        <v>5508</v>
      </c>
      <c r="Q2136" t="s">
        <v>1353</v>
      </c>
      <c r="R2136" t="s">
        <v>1354</v>
      </c>
      <c r="T2136" t="s">
        <v>5</v>
      </c>
      <c r="U2136" s="3" t="str">
        <f>+VLOOKUP(Sites_per_tag[[#This Row],[Activity_tag]],Parameter!$A$24:$B$32,2,0)</f>
        <v>MAM</v>
      </c>
      <c r="W2136">
        <v>44.9878</v>
      </c>
      <c r="X2136">
        <v>-25.207630000000002</v>
      </c>
    </row>
    <row r="2137" spans="1:24" x14ac:dyDescent="0.35">
      <c r="A2137" s="3" t="str">
        <f t="shared" si="33"/>
        <v>MG52513030008001MAM</v>
      </c>
      <c r="B2137" t="s">
        <v>6211</v>
      </c>
      <c r="C2137">
        <f>+VLOOKUP(Sites_per_tag[[#This Row],[Field_office]],Parameter!$A$3:$B$11,2,0)</f>
        <v>6</v>
      </c>
      <c r="E2137" t="s">
        <v>5646</v>
      </c>
      <c r="F2137" t="s">
        <v>5647</v>
      </c>
      <c r="H2137" t="str">
        <f ca="1">PROPER(Sites_per_tag[[#This Row],[Adm2Name]])</f>
        <v>Beloha</v>
      </c>
      <c r="I2137" t="s">
        <v>5685</v>
      </c>
      <c r="K2137" t="s">
        <v>3702</v>
      </c>
      <c r="L2137" t="s">
        <v>6140</v>
      </c>
      <c r="N2137" t="s">
        <v>3280</v>
      </c>
      <c r="O2137" t="s">
        <v>5509</v>
      </c>
      <c r="Q2137" t="s">
        <v>3280</v>
      </c>
      <c r="R2137" t="s">
        <v>3281</v>
      </c>
      <c r="T2137" t="s">
        <v>5</v>
      </c>
      <c r="U2137" s="3" t="str">
        <f>+VLOOKUP(Sites_per_tag[[#This Row],[Activity_tag]],Parameter!$A$24:$B$32,2,0)</f>
        <v>MAM</v>
      </c>
      <c r="W2137">
        <v>45.043930000000003</v>
      </c>
      <c r="X2137">
        <v>-25.25948</v>
      </c>
    </row>
    <row r="2138" spans="1:24" x14ac:dyDescent="0.35">
      <c r="A2138" s="3" t="str">
        <f t="shared" si="33"/>
        <v>MG52513030009001MAM</v>
      </c>
      <c r="B2138" t="s">
        <v>6211</v>
      </c>
      <c r="C2138">
        <f>+VLOOKUP(Sites_per_tag[[#This Row],[Field_office]],Parameter!$A$3:$B$11,2,0)</f>
        <v>6</v>
      </c>
      <c r="E2138" t="s">
        <v>5646</v>
      </c>
      <c r="F2138" t="s">
        <v>5647</v>
      </c>
      <c r="H2138" t="str">
        <f ca="1">PROPER(Sites_per_tag[[#This Row],[Adm2Name]])</f>
        <v>Beloha</v>
      </c>
      <c r="I2138" t="s">
        <v>5685</v>
      </c>
      <c r="K2138" t="s">
        <v>3702</v>
      </c>
      <c r="L2138" t="s">
        <v>6140</v>
      </c>
      <c r="N2138" t="s">
        <v>988</v>
      </c>
      <c r="O2138" t="s">
        <v>5510</v>
      </c>
      <c r="Q2138" t="s">
        <v>988</v>
      </c>
      <c r="R2138" t="s">
        <v>989</v>
      </c>
      <c r="T2138" t="s">
        <v>5</v>
      </c>
      <c r="U2138" s="3" t="str">
        <f>+VLOOKUP(Sites_per_tag[[#This Row],[Activity_tag]],Parameter!$A$24:$B$32,2,0)</f>
        <v>MAM</v>
      </c>
      <c r="W2138">
        <v>44.875149999999998</v>
      </c>
      <c r="X2138">
        <v>-25.240849999999998</v>
      </c>
    </row>
    <row r="2139" spans="1:24" x14ac:dyDescent="0.35">
      <c r="A2139" s="3" t="str">
        <f t="shared" si="33"/>
        <v>MG52513030010001MAM</v>
      </c>
      <c r="B2139" t="s">
        <v>6211</v>
      </c>
      <c r="C2139">
        <f>+VLOOKUP(Sites_per_tag[[#This Row],[Field_office]],Parameter!$A$3:$B$11,2,0)</f>
        <v>6</v>
      </c>
      <c r="E2139" t="s">
        <v>5646</v>
      </c>
      <c r="F2139" t="s">
        <v>5647</v>
      </c>
      <c r="H2139" t="str">
        <f ca="1">PROPER(Sites_per_tag[[#This Row],[Adm2Name]])</f>
        <v>Beloha</v>
      </c>
      <c r="I2139" t="s">
        <v>5685</v>
      </c>
      <c r="K2139" t="s">
        <v>3702</v>
      </c>
      <c r="L2139" t="s">
        <v>6140</v>
      </c>
      <c r="N2139" t="s">
        <v>5512</v>
      </c>
      <c r="O2139" t="s">
        <v>5511</v>
      </c>
      <c r="Q2139" t="s">
        <v>20</v>
      </c>
      <c r="R2139" t="s">
        <v>21</v>
      </c>
      <c r="T2139" t="s">
        <v>5</v>
      </c>
      <c r="U2139" s="3" t="str">
        <f>+VLOOKUP(Sites_per_tag[[#This Row],[Activity_tag]],Parameter!$A$24:$B$32,2,0)</f>
        <v>MAM</v>
      </c>
      <c r="W2139">
        <v>44.977862999999999</v>
      </c>
      <c r="X2139">
        <v>-25.304137999999998</v>
      </c>
    </row>
    <row r="2140" spans="1:24" x14ac:dyDescent="0.35">
      <c r="A2140" s="3" t="str">
        <f t="shared" si="33"/>
        <v>MG52513030011001MAM</v>
      </c>
      <c r="B2140" t="s">
        <v>6211</v>
      </c>
      <c r="C2140">
        <f>+VLOOKUP(Sites_per_tag[[#This Row],[Field_office]],Parameter!$A$3:$B$11,2,0)</f>
        <v>6</v>
      </c>
      <c r="E2140" t="s">
        <v>5646</v>
      </c>
      <c r="F2140" t="s">
        <v>5647</v>
      </c>
      <c r="H2140" t="str">
        <f ca="1">PROPER(Sites_per_tag[[#This Row],[Adm2Name]])</f>
        <v>Bekily</v>
      </c>
      <c r="I2140" t="s">
        <v>5683</v>
      </c>
      <c r="K2140" t="s">
        <v>6330</v>
      </c>
      <c r="L2140" t="s">
        <v>5898</v>
      </c>
      <c r="N2140" t="s">
        <v>1082</v>
      </c>
      <c r="O2140" t="s">
        <v>4771</v>
      </c>
      <c r="Q2140" t="s">
        <v>1082</v>
      </c>
      <c r="R2140" t="s">
        <v>1083</v>
      </c>
      <c r="T2140" t="s">
        <v>5</v>
      </c>
      <c r="U2140" s="3" t="str">
        <f>+VLOOKUP(Sites_per_tag[[#This Row],[Activity_tag]],Parameter!$A$24:$B$32,2,0)</f>
        <v>MAM</v>
      </c>
      <c r="W2140">
        <v>45.336514000000001</v>
      </c>
      <c r="X2140">
        <v>-24.521277000000001</v>
      </c>
    </row>
    <row r="2141" spans="1:24" x14ac:dyDescent="0.35">
      <c r="A2141" s="3" t="str">
        <f t="shared" si="33"/>
        <v>MG52513030012001MAM</v>
      </c>
      <c r="B2141" t="s">
        <v>6211</v>
      </c>
      <c r="C2141">
        <f>+VLOOKUP(Sites_per_tag[[#This Row],[Field_office]],Parameter!$A$3:$B$11,2,0)</f>
        <v>6</v>
      </c>
      <c r="E2141" t="s">
        <v>5646</v>
      </c>
      <c r="F2141" t="s">
        <v>5647</v>
      </c>
      <c r="H2141" t="str">
        <f ca="1">PROPER(Sites_per_tag[[#This Row],[Adm2Name]])</f>
        <v>Beloha</v>
      </c>
      <c r="I2141" t="s">
        <v>5685</v>
      </c>
      <c r="K2141" t="s">
        <v>3702</v>
      </c>
      <c r="L2141" t="s">
        <v>6140</v>
      </c>
      <c r="N2141" t="s">
        <v>916</v>
      </c>
      <c r="O2141" t="s">
        <v>5513</v>
      </c>
      <c r="Q2141" t="s">
        <v>916</v>
      </c>
      <c r="R2141" t="s">
        <v>917</v>
      </c>
      <c r="T2141" t="s">
        <v>5</v>
      </c>
      <c r="U2141" s="3" t="str">
        <f>+VLOOKUP(Sites_per_tag[[#This Row],[Activity_tag]],Parameter!$A$24:$B$32,2,0)</f>
        <v>MAM</v>
      </c>
      <c r="W2141">
        <v>45.121020000000001</v>
      </c>
      <c r="X2141">
        <v>-25.319220000000001</v>
      </c>
    </row>
    <row r="2142" spans="1:24" x14ac:dyDescent="0.35">
      <c r="A2142" s="3" t="str">
        <f t="shared" si="33"/>
        <v>MG52513030013001MAM</v>
      </c>
      <c r="B2142" t="s">
        <v>6211</v>
      </c>
      <c r="C2142">
        <f>+VLOOKUP(Sites_per_tag[[#This Row],[Field_office]],Parameter!$A$3:$B$11,2,0)</f>
        <v>6</v>
      </c>
      <c r="E2142" t="s">
        <v>5646</v>
      </c>
      <c r="F2142" t="s">
        <v>5647</v>
      </c>
      <c r="H2142" t="str">
        <f ca="1">PROPER(Sites_per_tag[[#This Row],[Adm2Name]])</f>
        <v>Beloha</v>
      </c>
      <c r="I2142" t="s">
        <v>5685</v>
      </c>
      <c r="K2142" t="s">
        <v>3702</v>
      </c>
      <c r="L2142" t="s">
        <v>6140</v>
      </c>
      <c r="N2142" t="s">
        <v>3702</v>
      </c>
      <c r="O2142" t="s">
        <v>5514</v>
      </c>
      <c r="Q2142" t="s">
        <v>3702</v>
      </c>
      <c r="R2142" t="s">
        <v>3703</v>
      </c>
      <c r="T2142" t="s">
        <v>5</v>
      </c>
      <c r="U2142" s="3" t="str">
        <f>+VLOOKUP(Sites_per_tag[[#This Row],[Activity_tag]],Parameter!$A$24:$B$32,2,0)</f>
        <v>MAM</v>
      </c>
      <c r="W2142">
        <v>44.993049999999997</v>
      </c>
      <c r="X2142">
        <v>-25.327220000000001</v>
      </c>
    </row>
    <row r="2143" spans="1:24" x14ac:dyDescent="0.35">
      <c r="A2143" s="3" t="str">
        <f t="shared" si="33"/>
        <v>MG52513030018001MAM</v>
      </c>
      <c r="B2143" t="s">
        <v>6211</v>
      </c>
      <c r="C2143">
        <f>+VLOOKUP(Sites_per_tag[[#This Row],[Field_office]],Parameter!$A$3:$B$11,2,0)</f>
        <v>6</v>
      </c>
      <c r="E2143" t="s">
        <v>5646</v>
      </c>
      <c r="F2143" t="s">
        <v>5647</v>
      </c>
      <c r="H2143" t="str">
        <f ca="1">PROPER(Sites_per_tag[[#This Row],[Adm2Name]])</f>
        <v>Beloha</v>
      </c>
      <c r="I2143" t="s">
        <v>5685</v>
      </c>
      <c r="K2143" t="s">
        <v>3702</v>
      </c>
      <c r="L2143" t="s">
        <v>6140</v>
      </c>
      <c r="N2143" t="s">
        <v>2092</v>
      </c>
      <c r="O2143" t="s">
        <v>5515</v>
      </c>
      <c r="Q2143" t="s">
        <v>2092</v>
      </c>
      <c r="R2143" t="s">
        <v>2093</v>
      </c>
      <c r="T2143" t="s">
        <v>5</v>
      </c>
      <c r="U2143" s="3" t="str">
        <f>+VLOOKUP(Sites_per_tag[[#This Row],[Activity_tag]],Parameter!$A$24:$B$32,2,0)</f>
        <v>MAM</v>
      </c>
      <c r="W2143">
        <v>44.786392999999997</v>
      </c>
      <c r="X2143">
        <v>-25.189284000000001</v>
      </c>
    </row>
    <row r="2144" spans="1:24" x14ac:dyDescent="0.35">
      <c r="A2144" s="3" t="str">
        <f t="shared" si="33"/>
        <v>MG52513030019001MAM</v>
      </c>
      <c r="B2144" t="s">
        <v>6211</v>
      </c>
      <c r="C2144">
        <f>+VLOOKUP(Sites_per_tag[[#This Row],[Field_office]],Parameter!$A$3:$B$11,2,0)</f>
        <v>6</v>
      </c>
      <c r="E2144" t="s">
        <v>5646</v>
      </c>
      <c r="F2144" t="s">
        <v>5647</v>
      </c>
      <c r="H2144" t="str">
        <f ca="1">PROPER(Sites_per_tag[[#This Row],[Adm2Name]])</f>
        <v>Beloha</v>
      </c>
      <c r="I2144" t="s">
        <v>5685</v>
      </c>
      <c r="K2144" t="s">
        <v>3702</v>
      </c>
      <c r="L2144" t="s">
        <v>6140</v>
      </c>
      <c r="N2144" t="s">
        <v>5517</v>
      </c>
      <c r="O2144" t="s">
        <v>5516</v>
      </c>
      <c r="Q2144" t="s">
        <v>3441</v>
      </c>
      <c r="R2144" t="s">
        <v>3442</v>
      </c>
      <c r="T2144" t="s">
        <v>5</v>
      </c>
      <c r="U2144" s="3" t="str">
        <f>+VLOOKUP(Sites_per_tag[[#This Row],[Activity_tag]],Parameter!$A$24:$B$32,2,0)</f>
        <v>MAM</v>
      </c>
      <c r="W2144">
        <v>45.135980000000004</v>
      </c>
      <c r="X2144">
        <v>-25.37387</v>
      </c>
    </row>
    <row r="2145" spans="1:24" x14ac:dyDescent="0.35">
      <c r="A2145" s="3" t="str">
        <f t="shared" si="33"/>
        <v>MG52513030020001MAM</v>
      </c>
      <c r="B2145" t="s">
        <v>6211</v>
      </c>
      <c r="C2145">
        <f>+VLOOKUP(Sites_per_tag[[#This Row],[Field_office]],Parameter!$A$3:$B$11,2,0)</f>
        <v>6</v>
      </c>
      <c r="E2145" t="s">
        <v>5646</v>
      </c>
      <c r="F2145" t="s">
        <v>5647</v>
      </c>
      <c r="H2145" t="str">
        <f ca="1">PROPER(Sites_per_tag[[#This Row],[Adm2Name]])</f>
        <v>Beloha</v>
      </c>
      <c r="I2145" t="s">
        <v>5685</v>
      </c>
      <c r="K2145" t="s">
        <v>3702</v>
      </c>
      <c r="L2145" t="s">
        <v>6140</v>
      </c>
      <c r="N2145" t="s">
        <v>5519</v>
      </c>
      <c r="O2145" t="s">
        <v>5518</v>
      </c>
      <c r="Q2145" t="s">
        <v>26</v>
      </c>
      <c r="R2145" t="s">
        <v>27</v>
      </c>
      <c r="T2145" t="s">
        <v>5</v>
      </c>
      <c r="U2145" s="3" t="str">
        <f>+VLOOKUP(Sites_per_tag[[#This Row],[Activity_tag]],Parameter!$A$24:$B$32,2,0)</f>
        <v>MAM</v>
      </c>
      <c r="W2145">
        <v>44.974850000000004</v>
      </c>
      <c r="X2145">
        <v>-25.389569999999999</v>
      </c>
    </row>
    <row r="2146" spans="1:24" x14ac:dyDescent="0.35">
      <c r="A2146" s="3" t="str">
        <f t="shared" si="33"/>
        <v>MG52513030021001MAM</v>
      </c>
      <c r="B2146" t="s">
        <v>6211</v>
      </c>
      <c r="C2146">
        <f>+VLOOKUP(Sites_per_tag[[#This Row],[Field_office]],Parameter!$A$3:$B$11,2,0)</f>
        <v>6</v>
      </c>
      <c r="E2146" t="s">
        <v>5646</v>
      </c>
      <c r="F2146" t="s">
        <v>5647</v>
      </c>
      <c r="H2146" t="str">
        <f ca="1">PROPER(Sites_per_tag[[#This Row],[Adm2Name]])</f>
        <v>Beloha</v>
      </c>
      <c r="I2146" t="s">
        <v>5685</v>
      </c>
      <c r="K2146" t="s">
        <v>3702</v>
      </c>
      <c r="L2146" t="s">
        <v>6140</v>
      </c>
      <c r="N2146" t="s">
        <v>2687</v>
      </c>
      <c r="O2146" t="s">
        <v>5520</v>
      </c>
      <c r="Q2146" t="s">
        <v>2687</v>
      </c>
      <c r="R2146" t="s">
        <v>2688</v>
      </c>
      <c r="T2146" t="s">
        <v>5</v>
      </c>
      <c r="U2146" s="3" t="str">
        <f>+VLOOKUP(Sites_per_tag[[#This Row],[Activity_tag]],Parameter!$A$24:$B$32,2,0)</f>
        <v>MAM</v>
      </c>
      <c r="W2146">
        <v>44.954129999999999</v>
      </c>
      <c r="X2146">
        <v>-25.41835</v>
      </c>
    </row>
    <row r="2147" spans="1:24" x14ac:dyDescent="0.35">
      <c r="A2147" s="3" t="str">
        <f t="shared" si="33"/>
        <v>MG52513030023001MAM</v>
      </c>
      <c r="B2147" t="s">
        <v>6211</v>
      </c>
      <c r="C2147">
        <f>+VLOOKUP(Sites_per_tag[[#This Row],[Field_office]],Parameter!$A$3:$B$11,2,0)</f>
        <v>6</v>
      </c>
      <c r="E2147" t="s">
        <v>5646</v>
      </c>
      <c r="F2147" t="s">
        <v>5647</v>
      </c>
      <c r="H2147" t="str">
        <f ca="1">PROPER(Sites_per_tag[[#This Row],[Adm2Name]])</f>
        <v>Beloha</v>
      </c>
      <c r="I2147" t="s">
        <v>5685</v>
      </c>
      <c r="K2147" t="s">
        <v>3702</v>
      </c>
      <c r="L2147" t="s">
        <v>6140</v>
      </c>
      <c r="N2147" t="s">
        <v>5522</v>
      </c>
      <c r="O2147" t="s">
        <v>5521</v>
      </c>
      <c r="Q2147" t="s">
        <v>3488</v>
      </c>
      <c r="R2147" t="s">
        <v>3489</v>
      </c>
      <c r="T2147" t="s">
        <v>5</v>
      </c>
      <c r="U2147" s="3" t="str">
        <f>+VLOOKUP(Sites_per_tag[[#This Row],[Activity_tag]],Parameter!$A$24:$B$32,2,0)</f>
        <v>MAM</v>
      </c>
      <c r="W2147">
        <v>44.959829999999997</v>
      </c>
      <c r="X2147">
        <v>-25.46518</v>
      </c>
    </row>
    <row r="2148" spans="1:24" x14ac:dyDescent="0.35">
      <c r="A2148" s="3" t="str">
        <f t="shared" si="33"/>
        <v>MG52513030071001MAM</v>
      </c>
      <c r="B2148" t="s">
        <v>6211</v>
      </c>
      <c r="C2148">
        <f>+VLOOKUP(Sites_per_tag[[#This Row],[Field_office]],Parameter!$A$3:$B$11,2,0)</f>
        <v>6</v>
      </c>
      <c r="E2148" t="s">
        <v>5646</v>
      </c>
      <c r="F2148" t="s">
        <v>5647</v>
      </c>
      <c r="H2148" t="str">
        <f ca="1">PROPER(Sites_per_tag[[#This Row],[Adm2Name]])</f>
        <v>Beloha</v>
      </c>
      <c r="I2148" t="s">
        <v>5685</v>
      </c>
      <c r="K2148" t="s">
        <v>3702</v>
      </c>
      <c r="L2148" t="s">
        <v>6140</v>
      </c>
      <c r="N2148" t="s">
        <v>290</v>
      </c>
      <c r="O2148" t="s">
        <v>5523</v>
      </c>
      <c r="Q2148" t="s">
        <v>290</v>
      </c>
      <c r="R2148" t="s">
        <v>291</v>
      </c>
      <c r="T2148" t="s">
        <v>5</v>
      </c>
      <c r="U2148" s="3" t="str">
        <f>+VLOOKUP(Sites_per_tag[[#This Row],[Activity_tag]],Parameter!$A$24:$B$32,2,0)</f>
        <v>MAM</v>
      </c>
      <c r="W2148">
        <v>45.048479999999998</v>
      </c>
      <c r="X2148">
        <v>-25.461870000000001</v>
      </c>
    </row>
    <row r="2149" spans="1:24" x14ac:dyDescent="0.35">
      <c r="A2149" s="3" t="str">
        <f t="shared" si="33"/>
        <v>MG52513030072001MAM</v>
      </c>
      <c r="B2149" t="s">
        <v>6211</v>
      </c>
      <c r="C2149">
        <f>+VLOOKUP(Sites_per_tag[[#This Row],[Field_office]],Parameter!$A$3:$B$11,2,0)</f>
        <v>6</v>
      </c>
      <c r="E2149" t="s">
        <v>5646</v>
      </c>
      <c r="F2149" t="s">
        <v>5647</v>
      </c>
      <c r="H2149" t="str">
        <f ca="1">PROPER(Sites_per_tag[[#This Row],[Adm2Name]])</f>
        <v>Beloha</v>
      </c>
      <c r="I2149" t="s">
        <v>5685</v>
      </c>
      <c r="K2149" t="s">
        <v>3702</v>
      </c>
      <c r="L2149" t="s">
        <v>6140</v>
      </c>
      <c r="N2149" t="s">
        <v>1240</v>
      </c>
      <c r="O2149" t="s">
        <v>5524</v>
      </c>
      <c r="Q2149" t="s">
        <v>1240</v>
      </c>
      <c r="R2149" t="s">
        <v>1241</v>
      </c>
      <c r="T2149" t="s">
        <v>5</v>
      </c>
      <c r="U2149" s="3" t="str">
        <f>+VLOOKUP(Sites_per_tag[[#This Row],[Activity_tag]],Parameter!$A$24:$B$32,2,0)</f>
        <v>MAM</v>
      </c>
      <c r="W2149">
        <v>45.161679999999997</v>
      </c>
      <c r="X2149">
        <v>-25.332180000000001</v>
      </c>
    </row>
    <row r="2150" spans="1:24" x14ac:dyDescent="0.35">
      <c r="A2150" s="3" t="str">
        <f t="shared" si="33"/>
        <v>MG52513030073001MAM</v>
      </c>
      <c r="B2150" t="s">
        <v>6211</v>
      </c>
      <c r="C2150">
        <f>+VLOOKUP(Sites_per_tag[[#This Row],[Field_office]],Parameter!$A$3:$B$11,2,0)</f>
        <v>6</v>
      </c>
      <c r="E2150" t="s">
        <v>5646</v>
      </c>
      <c r="F2150" t="s">
        <v>5647</v>
      </c>
      <c r="H2150" t="str">
        <f ca="1">PROPER(Sites_per_tag[[#This Row],[Adm2Name]])</f>
        <v>Beloha</v>
      </c>
      <c r="I2150" t="s">
        <v>5685</v>
      </c>
      <c r="K2150" t="s">
        <v>3702</v>
      </c>
      <c r="L2150" t="s">
        <v>6140</v>
      </c>
      <c r="N2150" t="s">
        <v>1242</v>
      </c>
      <c r="O2150" t="s">
        <v>5525</v>
      </c>
      <c r="Q2150" t="s">
        <v>1242</v>
      </c>
      <c r="R2150" t="s">
        <v>1243</v>
      </c>
      <c r="T2150" t="s">
        <v>5</v>
      </c>
      <c r="U2150" s="3" t="str">
        <f>+VLOOKUP(Sites_per_tag[[#This Row],[Activity_tag]],Parameter!$A$24:$B$32,2,0)</f>
        <v>MAM</v>
      </c>
      <c r="W2150">
        <v>45.161679999999997</v>
      </c>
      <c r="X2150">
        <v>-25.332180000000001</v>
      </c>
    </row>
    <row r="2151" spans="1:24" x14ac:dyDescent="0.35">
      <c r="A2151" s="3" t="str">
        <f t="shared" si="33"/>
        <v>MG52513030074001MAM</v>
      </c>
      <c r="B2151" t="s">
        <v>6211</v>
      </c>
      <c r="C2151">
        <f>+VLOOKUP(Sites_per_tag[[#This Row],[Field_office]],Parameter!$A$3:$B$11,2,0)</f>
        <v>6</v>
      </c>
      <c r="E2151" t="s">
        <v>5646</v>
      </c>
      <c r="F2151" t="s">
        <v>5647</v>
      </c>
      <c r="H2151" t="str">
        <f ca="1">PROPER(Sites_per_tag[[#This Row],[Adm2Name]])</f>
        <v>Beloha</v>
      </c>
      <c r="I2151" t="s">
        <v>5685</v>
      </c>
      <c r="K2151" t="s">
        <v>3702</v>
      </c>
      <c r="L2151" t="s">
        <v>6140</v>
      </c>
      <c r="N2151" t="s">
        <v>3864</v>
      </c>
      <c r="O2151" t="s">
        <v>5526</v>
      </c>
      <c r="Q2151" t="s">
        <v>3864</v>
      </c>
      <c r="R2151" t="s">
        <v>3865</v>
      </c>
      <c r="T2151" t="s">
        <v>5</v>
      </c>
      <c r="U2151" s="3" t="str">
        <f>+VLOOKUP(Sites_per_tag[[#This Row],[Activity_tag]],Parameter!$A$24:$B$32,2,0)</f>
        <v>MAM</v>
      </c>
      <c r="W2151">
        <v>44.984270000000002</v>
      </c>
      <c r="X2151">
        <v>-25.253520000000002</v>
      </c>
    </row>
    <row r="2152" spans="1:24" x14ac:dyDescent="0.35">
      <c r="A2152" s="3" t="str">
        <f t="shared" si="33"/>
        <v>MG52513030075001MAM</v>
      </c>
      <c r="B2152" t="s">
        <v>6211</v>
      </c>
      <c r="C2152">
        <f>+VLOOKUP(Sites_per_tag[[#This Row],[Field_office]],Parameter!$A$3:$B$11,2,0)</f>
        <v>6</v>
      </c>
      <c r="E2152" t="s">
        <v>5646</v>
      </c>
      <c r="F2152" t="s">
        <v>5647</v>
      </c>
      <c r="H2152" t="str">
        <f ca="1">PROPER(Sites_per_tag[[#This Row],[Adm2Name]])</f>
        <v>Beloha</v>
      </c>
      <c r="I2152" t="s">
        <v>5685</v>
      </c>
      <c r="K2152" t="s">
        <v>6083</v>
      </c>
      <c r="L2152" t="s">
        <v>6139</v>
      </c>
      <c r="N2152" t="s">
        <v>827</v>
      </c>
      <c r="O2152" t="s">
        <v>5495</v>
      </c>
      <c r="Q2152" t="s">
        <v>827</v>
      </c>
      <c r="R2152" t="s">
        <v>828</v>
      </c>
      <c r="T2152" t="s">
        <v>5</v>
      </c>
      <c r="U2152" s="3" t="str">
        <f>+VLOOKUP(Sites_per_tag[[#This Row],[Activity_tag]],Parameter!$A$24:$B$32,2,0)</f>
        <v>MAM</v>
      </c>
      <c r="W2152">
        <v>45.053280000000001</v>
      </c>
      <c r="X2152">
        <v>-24.74145</v>
      </c>
    </row>
    <row r="2153" spans="1:24" x14ac:dyDescent="0.35">
      <c r="A2153" s="3" t="str">
        <f t="shared" si="33"/>
        <v>MG52513030076001MAM</v>
      </c>
      <c r="B2153" t="s">
        <v>6211</v>
      </c>
      <c r="C2153">
        <f>+VLOOKUP(Sites_per_tag[[#This Row],[Field_office]],Parameter!$A$3:$B$11,2,0)</f>
        <v>6</v>
      </c>
      <c r="E2153" t="s">
        <v>5646</v>
      </c>
      <c r="F2153" t="s">
        <v>5647</v>
      </c>
      <c r="H2153" t="str">
        <f ca="1">PROPER(Sites_per_tag[[#This Row],[Adm2Name]])</f>
        <v>Beloha</v>
      </c>
      <c r="I2153" t="s">
        <v>5685</v>
      </c>
      <c r="K2153" t="s">
        <v>6083</v>
      </c>
      <c r="L2153" t="s">
        <v>6139</v>
      </c>
      <c r="N2153" t="s">
        <v>1618</v>
      </c>
      <c r="O2153" t="s">
        <v>5496</v>
      </c>
      <c r="Q2153" t="s">
        <v>1618</v>
      </c>
      <c r="R2153" t="s">
        <v>1619</v>
      </c>
      <c r="T2153" t="s">
        <v>5</v>
      </c>
      <c r="U2153" s="3" t="str">
        <f>+VLOOKUP(Sites_per_tag[[#This Row],[Activity_tag]],Parameter!$A$24:$B$32,2,0)</f>
        <v>MAM</v>
      </c>
      <c r="W2153">
        <v>45.163469999999997</v>
      </c>
      <c r="X2153">
        <v>-24.877320000000001</v>
      </c>
    </row>
    <row r="2154" spans="1:24" x14ac:dyDescent="0.35">
      <c r="A2154" s="3" t="str">
        <f t="shared" si="33"/>
        <v>MG52513030077001MAM</v>
      </c>
      <c r="B2154" t="s">
        <v>6211</v>
      </c>
      <c r="C2154">
        <f>+VLOOKUP(Sites_per_tag[[#This Row],[Field_office]],Parameter!$A$3:$B$11,2,0)</f>
        <v>6</v>
      </c>
      <c r="E2154" t="s">
        <v>5646</v>
      </c>
      <c r="F2154" t="s">
        <v>5647</v>
      </c>
      <c r="H2154" t="str">
        <f ca="1">PROPER(Sites_per_tag[[#This Row],[Adm2Name]])</f>
        <v>Beloha</v>
      </c>
      <c r="I2154" t="s">
        <v>5685</v>
      </c>
      <c r="K2154" t="s">
        <v>6083</v>
      </c>
      <c r="L2154" t="s">
        <v>6139</v>
      </c>
      <c r="N2154" t="s">
        <v>3346</v>
      </c>
      <c r="O2154" t="s">
        <v>5497</v>
      </c>
      <c r="Q2154" t="s">
        <v>3346</v>
      </c>
      <c r="R2154" t="s">
        <v>3347</v>
      </c>
      <c r="T2154" t="s">
        <v>5</v>
      </c>
      <c r="U2154" s="3" t="str">
        <f>+VLOOKUP(Sites_per_tag[[#This Row],[Activity_tag]],Parameter!$A$24:$B$32,2,0)</f>
        <v>MAM</v>
      </c>
      <c r="W2154">
        <v>45.028480000000002</v>
      </c>
      <c r="X2154">
        <v>-24.78575</v>
      </c>
    </row>
    <row r="2155" spans="1:24" x14ac:dyDescent="0.35">
      <c r="A2155" s="3" t="str">
        <f t="shared" si="33"/>
        <v>MG52513050008001MAM</v>
      </c>
      <c r="B2155" t="s">
        <v>6211</v>
      </c>
      <c r="C2155">
        <f>+VLOOKUP(Sites_per_tag[[#This Row],[Field_office]],Parameter!$A$3:$B$11,2,0)</f>
        <v>6</v>
      </c>
      <c r="E2155" t="s">
        <v>5646</v>
      </c>
      <c r="F2155" t="s">
        <v>5647</v>
      </c>
      <c r="H2155" t="str">
        <f ca="1">PROPER(Sites_per_tag[[#This Row],[Adm2Name]])</f>
        <v>Beloha</v>
      </c>
      <c r="I2155" t="s">
        <v>5685</v>
      </c>
      <c r="K2155" t="s">
        <v>2658</v>
      </c>
      <c r="L2155" t="s">
        <v>5995</v>
      </c>
      <c r="N2155" t="s">
        <v>569</v>
      </c>
      <c r="O2155" t="s">
        <v>5150</v>
      </c>
      <c r="Q2155" t="s">
        <v>569</v>
      </c>
      <c r="R2155" t="s">
        <v>570</v>
      </c>
      <c r="T2155" t="s">
        <v>5</v>
      </c>
      <c r="U2155" s="3" t="str">
        <f>+VLOOKUP(Sites_per_tag[[#This Row],[Activity_tag]],Parameter!$A$24:$B$32,2,0)</f>
        <v>MAM</v>
      </c>
      <c r="W2155">
        <v>45.350769999999997</v>
      </c>
      <c r="X2155">
        <v>-25.04448</v>
      </c>
    </row>
    <row r="2156" spans="1:24" x14ac:dyDescent="0.35">
      <c r="A2156" s="3" t="str">
        <f t="shared" si="33"/>
        <v>MG52513050014001MAM</v>
      </c>
      <c r="B2156" t="s">
        <v>6211</v>
      </c>
      <c r="C2156">
        <f>+VLOOKUP(Sites_per_tag[[#This Row],[Field_office]],Parameter!$A$3:$B$11,2,0)</f>
        <v>6</v>
      </c>
      <c r="E2156" t="s">
        <v>5646</v>
      </c>
      <c r="F2156" t="s">
        <v>5647</v>
      </c>
      <c r="H2156" t="str">
        <f ca="1">PROPER(Sites_per_tag[[#This Row],[Adm2Name]])</f>
        <v>Beloha</v>
      </c>
      <c r="I2156" t="s">
        <v>5685</v>
      </c>
      <c r="K2156" t="s">
        <v>2658</v>
      </c>
      <c r="L2156" t="s">
        <v>5995</v>
      </c>
      <c r="N2156" t="s">
        <v>5152</v>
      </c>
      <c r="O2156" t="s">
        <v>5151</v>
      </c>
      <c r="Q2156" t="s">
        <v>1053</v>
      </c>
      <c r="R2156" t="s">
        <v>1054</v>
      </c>
      <c r="T2156" t="s">
        <v>5</v>
      </c>
      <c r="U2156" s="3" t="str">
        <f>+VLOOKUP(Sites_per_tag[[#This Row],[Activity_tag]],Parameter!$A$24:$B$32,2,0)</f>
        <v>MAM</v>
      </c>
      <c r="W2156">
        <v>45.258200000000002</v>
      </c>
      <c r="X2156">
        <v>-25.235579999999999</v>
      </c>
    </row>
    <row r="2157" spans="1:24" x14ac:dyDescent="0.35">
      <c r="A2157" s="3" t="str">
        <f t="shared" si="33"/>
        <v>MG52513050078001MAM</v>
      </c>
      <c r="B2157" t="s">
        <v>6211</v>
      </c>
      <c r="C2157">
        <f>+VLOOKUP(Sites_per_tag[[#This Row],[Field_office]],Parameter!$A$3:$B$11,2,0)</f>
        <v>6</v>
      </c>
      <c r="E2157" t="s">
        <v>5646</v>
      </c>
      <c r="F2157" t="s">
        <v>5647</v>
      </c>
      <c r="H2157" t="str">
        <f ca="1">PROPER(Sites_per_tag[[#This Row],[Adm2Name]])</f>
        <v>Beloha</v>
      </c>
      <c r="I2157" t="s">
        <v>5685</v>
      </c>
      <c r="K2157" t="s">
        <v>2658</v>
      </c>
      <c r="L2157" t="s">
        <v>5995</v>
      </c>
      <c r="N2157" t="s">
        <v>200</v>
      </c>
      <c r="O2157" t="s">
        <v>5153</v>
      </c>
      <c r="Q2157" t="s">
        <v>200</v>
      </c>
      <c r="R2157" t="s">
        <v>201</v>
      </c>
      <c r="T2157" t="s">
        <v>5</v>
      </c>
      <c r="U2157" s="3" t="str">
        <f>+VLOOKUP(Sites_per_tag[[#This Row],[Activity_tag]],Parameter!$A$24:$B$32,2,0)</f>
        <v>MAM</v>
      </c>
      <c r="W2157">
        <v>45.165619999999997</v>
      </c>
      <c r="X2157">
        <v>-25.046199999999999</v>
      </c>
    </row>
    <row r="2158" spans="1:24" x14ac:dyDescent="0.35">
      <c r="A2158" s="3" t="str">
        <f t="shared" si="33"/>
        <v>MG52513050079001MAM</v>
      </c>
      <c r="B2158" t="s">
        <v>6211</v>
      </c>
      <c r="C2158">
        <f>+VLOOKUP(Sites_per_tag[[#This Row],[Field_office]],Parameter!$A$3:$B$11,2,0)</f>
        <v>6</v>
      </c>
      <c r="E2158" t="s">
        <v>5646</v>
      </c>
      <c r="F2158" t="s">
        <v>5647</v>
      </c>
      <c r="H2158" t="str">
        <f ca="1">PROPER(Sites_per_tag[[#This Row],[Adm2Name]])</f>
        <v>Beloha</v>
      </c>
      <c r="I2158" t="s">
        <v>5685</v>
      </c>
      <c r="K2158" t="s">
        <v>2658</v>
      </c>
      <c r="L2158" t="s">
        <v>5995</v>
      </c>
      <c r="N2158" t="s">
        <v>667</v>
      </c>
      <c r="O2158" t="s">
        <v>5154</v>
      </c>
      <c r="Q2158" t="s">
        <v>667</v>
      </c>
      <c r="R2158" t="s">
        <v>668</v>
      </c>
      <c r="T2158" t="s">
        <v>5</v>
      </c>
      <c r="U2158" s="3" t="str">
        <f>+VLOOKUP(Sites_per_tag[[#This Row],[Activity_tag]],Parameter!$A$24:$B$32,2,0)</f>
        <v>MAM</v>
      </c>
      <c r="W2158">
        <v>45.222499999999997</v>
      </c>
      <c r="X2158">
        <v>-25.165900000000001</v>
      </c>
    </row>
    <row r="2159" spans="1:24" x14ac:dyDescent="0.35">
      <c r="A2159" s="3" t="str">
        <f t="shared" si="33"/>
        <v>MG52513070003001MAM</v>
      </c>
      <c r="B2159" t="s">
        <v>6211</v>
      </c>
      <c r="C2159">
        <f>+VLOOKUP(Sites_per_tag[[#This Row],[Field_office]],Parameter!$A$3:$B$11,2,0)</f>
        <v>6</v>
      </c>
      <c r="E2159" t="s">
        <v>5646</v>
      </c>
      <c r="F2159" t="s">
        <v>5647</v>
      </c>
      <c r="H2159" t="str">
        <f ca="1">PROPER(Sites_per_tag[[#This Row],[Adm2Name]])</f>
        <v>Tsihombe</v>
      </c>
      <c r="I2159" t="s">
        <v>5731</v>
      </c>
      <c r="K2159" t="s">
        <v>1522</v>
      </c>
      <c r="L2159" t="s">
        <v>5860</v>
      </c>
      <c r="N2159" t="s">
        <v>800</v>
      </c>
      <c r="O2159" t="s">
        <v>4716</v>
      </c>
      <c r="Q2159" t="s">
        <v>800</v>
      </c>
      <c r="R2159" t="s">
        <v>801</v>
      </c>
      <c r="T2159" t="s">
        <v>5</v>
      </c>
      <c r="U2159" s="3" t="str">
        <f>+VLOOKUP(Sites_per_tag[[#This Row],[Activity_tag]],Parameter!$A$24:$B$32,2,0)</f>
        <v>MAM</v>
      </c>
      <c r="W2159">
        <v>44.812399999999997</v>
      </c>
      <c r="X2159">
        <v>-24.957930000000001</v>
      </c>
    </row>
    <row r="2160" spans="1:24" x14ac:dyDescent="0.35">
      <c r="A2160" s="3" t="str">
        <f t="shared" si="33"/>
        <v>MG52513070008001MAM</v>
      </c>
      <c r="B2160" t="s">
        <v>6211</v>
      </c>
      <c r="C2160">
        <f>+VLOOKUP(Sites_per_tag[[#This Row],[Field_office]],Parameter!$A$3:$B$11,2,0)</f>
        <v>6</v>
      </c>
      <c r="E2160" t="s">
        <v>5646</v>
      </c>
      <c r="F2160" t="s">
        <v>5647</v>
      </c>
      <c r="H2160" t="str">
        <f ca="1">PROPER(Sites_per_tag[[#This Row],[Adm2Name]])</f>
        <v>Bekily</v>
      </c>
      <c r="I2160" t="s">
        <v>5683</v>
      </c>
      <c r="K2160" t="s">
        <v>5202</v>
      </c>
      <c r="L2160" t="s">
        <v>6015</v>
      </c>
      <c r="N2160" t="s">
        <v>5200</v>
      </c>
      <c r="O2160" t="s">
        <v>5199</v>
      </c>
      <c r="Q2160" t="s">
        <v>442</v>
      </c>
      <c r="R2160" t="s">
        <v>443</v>
      </c>
      <c r="T2160" t="s">
        <v>5</v>
      </c>
      <c r="U2160" s="3" t="str">
        <f>+VLOOKUP(Sites_per_tag[[#This Row],[Activity_tag]],Parameter!$A$24:$B$32,2,0)</f>
        <v>MAM</v>
      </c>
      <c r="W2160">
        <v>44.693579999999997</v>
      </c>
      <c r="X2160">
        <v>-25.061050000000002</v>
      </c>
    </row>
    <row r="2161" spans="1:24" x14ac:dyDescent="0.35">
      <c r="A2161" s="3" t="str">
        <f t="shared" si="33"/>
        <v>MG52513070017001MAM</v>
      </c>
      <c r="B2161" t="s">
        <v>6211</v>
      </c>
      <c r="C2161">
        <f>+VLOOKUP(Sites_per_tag[[#This Row],[Field_office]],Parameter!$A$3:$B$11,2,0)</f>
        <v>6</v>
      </c>
      <c r="E2161" t="s">
        <v>5646</v>
      </c>
      <c r="F2161" t="s">
        <v>5647</v>
      </c>
      <c r="H2161" t="str">
        <f ca="1">PROPER(Sites_per_tag[[#This Row],[Adm2Name]])</f>
        <v>Beloha</v>
      </c>
      <c r="I2161" t="s">
        <v>5685</v>
      </c>
      <c r="K2161" t="s">
        <v>2658</v>
      </c>
      <c r="L2161" t="s">
        <v>5995</v>
      </c>
      <c r="N2161" t="s">
        <v>5156</v>
      </c>
      <c r="O2161" t="s">
        <v>5155</v>
      </c>
      <c r="Q2161" t="s">
        <v>1019</v>
      </c>
      <c r="R2161" t="s">
        <v>1020</v>
      </c>
      <c r="T2161" t="s">
        <v>5</v>
      </c>
      <c r="U2161" s="3" t="str">
        <f>+VLOOKUP(Sites_per_tag[[#This Row],[Activity_tag]],Parameter!$A$24:$B$32,2,0)</f>
        <v>MAM</v>
      </c>
      <c r="W2161">
        <v>44.69153</v>
      </c>
      <c r="X2161">
        <v>-25.225919999999999</v>
      </c>
    </row>
    <row r="2162" spans="1:24" x14ac:dyDescent="0.35">
      <c r="A2162" s="3" t="str">
        <f t="shared" si="33"/>
        <v>MG52513070061001MAM</v>
      </c>
      <c r="B2162" t="s">
        <v>6211</v>
      </c>
      <c r="C2162">
        <f>+VLOOKUP(Sites_per_tag[[#This Row],[Field_office]],Parameter!$A$3:$B$11,2,0)</f>
        <v>6</v>
      </c>
      <c r="E2162" t="s">
        <v>5646</v>
      </c>
      <c r="F2162" t="s">
        <v>5647</v>
      </c>
      <c r="H2162" t="str">
        <f ca="1">PROPER(Sites_per_tag[[#This Row],[Adm2Name]])</f>
        <v>Beloha</v>
      </c>
      <c r="I2162" t="s">
        <v>5685</v>
      </c>
      <c r="K2162" t="s">
        <v>3032</v>
      </c>
      <c r="L2162" t="s">
        <v>6044</v>
      </c>
      <c r="N2162" t="s">
        <v>99</v>
      </c>
      <c r="O2162" t="s">
        <v>5304</v>
      </c>
      <c r="Q2162" t="s">
        <v>99</v>
      </c>
      <c r="R2162" t="s">
        <v>100</v>
      </c>
      <c r="T2162" t="s">
        <v>5</v>
      </c>
      <c r="U2162" s="3" t="str">
        <f>+VLOOKUP(Sites_per_tag[[#This Row],[Activity_tag]],Parameter!$A$24:$B$32,2,0)</f>
        <v>MAM</v>
      </c>
      <c r="W2162">
        <v>44.665300000000002</v>
      </c>
      <c r="X2162">
        <v>-25.213480000000001</v>
      </c>
    </row>
    <row r="2163" spans="1:24" x14ac:dyDescent="0.35">
      <c r="A2163" s="3" t="str">
        <f t="shared" si="33"/>
        <v>MG52513070062001MAM</v>
      </c>
      <c r="B2163" t="s">
        <v>6211</v>
      </c>
      <c r="C2163">
        <f>+VLOOKUP(Sites_per_tag[[#This Row],[Field_office]],Parameter!$A$3:$B$11,2,0)</f>
        <v>6</v>
      </c>
      <c r="E2163" t="s">
        <v>5646</v>
      </c>
      <c r="F2163" t="s">
        <v>5647</v>
      </c>
      <c r="H2163" t="str">
        <f ca="1">PROPER(Sites_per_tag[[#This Row],[Adm2Name]])</f>
        <v>Beloha</v>
      </c>
      <c r="I2163" t="s">
        <v>5685</v>
      </c>
      <c r="K2163" t="s">
        <v>3032</v>
      </c>
      <c r="L2163" t="s">
        <v>6044</v>
      </c>
      <c r="N2163" t="s">
        <v>584</v>
      </c>
      <c r="O2163" t="s">
        <v>5305</v>
      </c>
      <c r="Q2163" t="s">
        <v>584</v>
      </c>
      <c r="R2163" t="s">
        <v>585</v>
      </c>
      <c r="T2163" t="s">
        <v>5</v>
      </c>
      <c r="U2163" s="3" t="str">
        <f>+VLOOKUP(Sites_per_tag[[#This Row],[Activity_tag]],Parameter!$A$24:$B$32,2,0)</f>
        <v>MAM</v>
      </c>
      <c r="W2163">
        <v>44.680019999999999</v>
      </c>
      <c r="X2163">
        <v>-25.056000000000001</v>
      </c>
    </row>
    <row r="2164" spans="1:24" x14ac:dyDescent="0.35">
      <c r="A2164" s="3" t="str">
        <f t="shared" si="33"/>
        <v>MG52513070063001MAM</v>
      </c>
      <c r="B2164" t="s">
        <v>6211</v>
      </c>
      <c r="C2164">
        <f>+VLOOKUP(Sites_per_tag[[#This Row],[Field_office]],Parameter!$A$3:$B$11,2,0)</f>
        <v>6</v>
      </c>
      <c r="E2164" t="s">
        <v>5646</v>
      </c>
      <c r="F2164" t="s">
        <v>5647</v>
      </c>
      <c r="H2164" t="str">
        <f ca="1">PROPER(Sites_per_tag[[#This Row],[Adm2Name]])</f>
        <v>Beloha</v>
      </c>
      <c r="I2164" t="s">
        <v>5685</v>
      </c>
      <c r="K2164" t="s">
        <v>3032</v>
      </c>
      <c r="L2164" t="s">
        <v>6044</v>
      </c>
      <c r="N2164" t="s">
        <v>786</v>
      </c>
      <c r="O2164" t="s">
        <v>5306</v>
      </c>
      <c r="Q2164" t="s">
        <v>786</v>
      </c>
      <c r="R2164" t="s">
        <v>787</v>
      </c>
      <c r="T2164" t="s">
        <v>5</v>
      </c>
      <c r="U2164" s="3" t="str">
        <f>+VLOOKUP(Sites_per_tag[[#This Row],[Activity_tag]],Parameter!$A$24:$B$32,2,0)</f>
        <v>MAM</v>
      </c>
      <c r="W2164">
        <v>44.782179999999997</v>
      </c>
      <c r="X2164">
        <v>-25.247579999999999</v>
      </c>
    </row>
    <row r="2165" spans="1:24" x14ac:dyDescent="0.35">
      <c r="A2165" s="3" t="str">
        <f t="shared" si="33"/>
        <v>MG52513070064001MAM</v>
      </c>
      <c r="B2165" t="s">
        <v>6211</v>
      </c>
      <c r="C2165">
        <f>+VLOOKUP(Sites_per_tag[[#This Row],[Field_office]],Parameter!$A$3:$B$11,2,0)</f>
        <v>6</v>
      </c>
      <c r="E2165" t="s">
        <v>5646</v>
      </c>
      <c r="F2165" t="s">
        <v>5647</v>
      </c>
      <c r="H2165" t="str">
        <f ca="1">PROPER(Sites_per_tag[[#This Row],[Adm2Name]])</f>
        <v>Beloha</v>
      </c>
      <c r="I2165" t="s">
        <v>5685</v>
      </c>
      <c r="K2165" t="s">
        <v>3032</v>
      </c>
      <c r="L2165" t="s">
        <v>6044</v>
      </c>
      <c r="N2165" t="s">
        <v>2711</v>
      </c>
      <c r="O2165" t="s">
        <v>5307</v>
      </c>
      <c r="Q2165" t="s">
        <v>2711</v>
      </c>
      <c r="R2165" t="s">
        <v>2712</v>
      </c>
      <c r="T2165" t="s">
        <v>5</v>
      </c>
      <c r="U2165" s="3" t="str">
        <f>+VLOOKUP(Sites_per_tag[[#This Row],[Activity_tag]],Parameter!$A$24:$B$32,2,0)</f>
        <v>MAM</v>
      </c>
      <c r="W2165">
        <v>44.746429999999997</v>
      </c>
      <c r="X2165">
        <v>-25.00207</v>
      </c>
    </row>
    <row r="2166" spans="1:24" x14ac:dyDescent="0.35">
      <c r="A2166" s="3" t="str">
        <f t="shared" si="33"/>
        <v>MG52513070065001MAM</v>
      </c>
      <c r="B2166" t="s">
        <v>6211</v>
      </c>
      <c r="C2166">
        <f>+VLOOKUP(Sites_per_tag[[#This Row],[Field_office]],Parameter!$A$3:$B$11,2,0)</f>
        <v>6</v>
      </c>
      <c r="E2166" t="s">
        <v>5646</v>
      </c>
      <c r="F2166" t="s">
        <v>5647</v>
      </c>
      <c r="H2166" t="str">
        <f ca="1">PROPER(Sites_per_tag[[#This Row],[Adm2Name]])</f>
        <v>Beloha</v>
      </c>
      <c r="I2166" t="s">
        <v>5685</v>
      </c>
      <c r="K2166" t="s">
        <v>3032</v>
      </c>
      <c r="L2166" t="s">
        <v>6044</v>
      </c>
      <c r="N2166" t="s">
        <v>2928</v>
      </c>
      <c r="O2166" t="s">
        <v>5308</v>
      </c>
      <c r="Q2166" t="s">
        <v>2928</v>
      </c>
      <c r="R2166" t="s">
        <v>2929</v>
      </c>
      <c r="T2166" t="s">
        <v>5</v>
      </c>
      <c r="U2166" s="3" t="str">
        <f>+VLOOKUP(Sites_per_tag[[#This Row],[Activity_tag]],Parameter!$A$24:$B$32,2,0)</f>
        <v>MAM</v>
      </c>
      <c r="W2166">
        <v>44.556350000000002</v>
      </c>
      <c r="X2166">
        <v>-25.26632</v>
      </c>
    </row>
    <row r="2167" spans="1:24" x14ac:dyDescent="0.35">
      <c r="A2167" s="3" t="str">
        <f t="shared" si="33"/>
        <v>MG52513070066001MAM</v>
      </c>
      <c r="B2167" t="s">
        <v>6211</v>
      </c>
      <c r="C2167">
        <f>+VLOOKUP(Sites_per_tag[[#This Row],[Field_office]],Parameter!$A$3:$B$11,2,0)</f>
        <v>6</v>
      </c>
      <c r="E2167" t="s">
        <v>5646</v>
      </c>
      <c r="F2167" t="s">
        <v>5647</v>
      </c>
      <c r="H2167" t="str">
        <f ca="1">PROPER(Sites_per_tag[[#This Row],[Adm2Name]])</f>
        <v>Beloha</v>
      </c>
      <c r="I2167" t="s">
        <v>5685</v>
      </c>
      <c r="K2167" t="s">
        <v>3032</v>
      </c>
      <c r="L2167" t="s">
        <v>6044</v>
      </c>
      <c r="N2167" t="s">
        <v>4002</v>
      </c>
      <c r="O2167" t="s">
        <v>5309</v>
      </c>
      <c r="Q2167" t="s">
        <v>4002</v>
      </c>
      <c r="R2167" t="s">
        <v>4003</v>
      </c>
      <c r="T2167" t="s">
        <v>5</v>
      </c>
      <c r="U2167" s="3" t="str">
        <f>+VLOOKUP(Sites_per_tag[[#This Row],[Activity_tag]],Parameter!$A$24:$B$32,2,0)</f>
        <v>MAM</v>
      </c>
      <c r="W2167">
        <v>44.83428</v>
      </c>
      <c r="X2167">
        <v>-25.099779999999999</v>
      </c>
    </row>
    <row r="2168" spans="1:24" x14ac:dyDescent="0.35">
      <c r="A2168" s="3" t="str">
        <f t="shared" si="33"/>
        <v>MG52513070079001MAM</v>
      </c>
      <c r="B2168" t="s">
        <v>6211</v>
      </c>
      <c r="C2168">
        <f>+VLOOKUP(Sites_per_tag[[#This Row],[Field_office]],Parameter!$A$3:$B$11,2,0)</f>
        <v>6</v>
      </c>
      <c r="E2168" t="s">
        <v>5646</v>
      </c>
      <c r="F2168" t="s">
        <v>5647</v>
      </c>
      <c r="H2168" t="str">
        <f ca="1">PROPER(Sites_per_tag[[#This Row],[Adm2Name]])</f>
        <v>Beloha</v>
      </c>
      <c r="I2168" t="s">
        <v>5685</v>
      </c>
      <c r="K2168" t="s">
        <v>3032</v>
      </c>
      <c r="L2168" t="s">
        <v>6044</v>
      </c>
      <c r="N2168" t="s">
        <v>3587</v>
      </c>
      <c r="O2168" t="s">
        <v>5310</v>
      </c>
      <c r="Q2168" t="s">
        <v>3610</v>
      </c>
      <c r="R2168" t="s">
        <v>3611</v>
      </c>
      <c r="T2168" t="s">
        <v>5</v>
      </c>
      <c r="U2168" s="3" t="str">
        <f>+VLOOKUP(Sites_per_tag[[#This Row],[Activity_tag]],Parameter!$A$24:$B$32,2,0)</f>
        <v>MAM</v>
      </c>
      <c r="W2168">
        <v>44.857329999999997</v>
      </c>
      <c r="X2168">
        <v>-25.056629999999998</v>
      </c>
    </row>
    <row r="2169" spans="1:24" x14ac:dyDescent="0.35">
      <c r="A2169" s="3" t="str">
        <f t="shared" si="33"/>
        <v>MG52513091007001MAM</v>
      </c>
      <c r="B2169" t="s">
        <v>6211</v>
      </c>
      <c r="C2169">
        <f>+VLOOKUP(Sites_per_tag[[#This Row],[Field_office]],Parameter!$A$3:$B$11,2,0)</f>
        <v>6</v>
      </c>
      <c r="E2169" t="s">
        <v>5646</v>
      </c>
      <c r="F2169" t="s">
        <v>5647</v>
      </c>
      <c r="H2169" t="str">
        <f ca="1">PROPER(Sites_per_tag[[#This Row],[Adm2Name]])</f>
        <v>Beloha</v>
      </c>
      <c r="I2169" t="s">
        <v>5685</v>
      </c>
      <c r="K2169" t="s">
        <v>6083</v>
      </c>
      <c r="L2169" t="s">
        <v>6139</v>
      </c>
      <c r="N2169" t="s">
        <v>3889</v>
      </c>
      <c r="O2169" t="s">
        <v>5498</v>
      </c>
      <c r="Q2169" t="s">
        <v>3889</v>
      </c>
      <c r="R2169" t="s">
        <v>3890</v>
      </c>
      <c r="T2169" t="s">
        <v>5</v>
      </c>
      <c r="U2169" s="3" t="str">
        <f>+VLOOKUP(Sites_per_tag[[#This Row],[Activity_tag]],Parameter!$A$24:$B$32,2,0)</f>
        <v>MAM</v>
      </c>
      <c r="W2169">
        <v>45.1158</v>
      </c>
      <c r="X2169">
        <v>-24.704429999999999</v>
      </c>
    </row>
    <row r="2170" spans="1:24" x14ac:dyDescent="0.35">
      <c r="A2170" s="3" t="str">
        <f t="shared" si="33"/>
        <v>MG52513091010001MAM</v>
      </c>
      <c r="B2170" t="s">
        <v>6211</v>
      </c>
      <c r="C2170">
        <f>+VLOOKUP(Sites_per_tag[[#This Row],[Field_office]],Parameter!$A$3:$B$11,2,0)</f>
        <v>6</v>
      </c>
      <c r="E2170" t="s">
        <v>5646</v>
      </c>
      <c r="F2170" t="s">
        <v>5647</v>
      </c>
      <c r="H2170" t="str">
        <f ca="1">PROPER(Sites_per_tag[[#This Row],[Adm2Name]])</f>
        <v>Beloha</v>
      </c>
      <c r="I2170" t="s">
        <v>5685</v>
      </c>
      <c r="K2170" t="s">
        <v>6083</v>
      </c>
      <c r="L2170" t="s">
        <v>6139</v>
      </c>
      <c r="N2170" t="s">
        <v>3339</v>
      </c>
      <c r="O2170" t="s">
        <v>5499</v>
      </c>
      <c r="Q2170" t="s">
        <v>3339</v>
      </c>
      <c r="R2170" t="s">
        <v>3340</v>
      </c>
      <c r="T2170" t="s">
        <v>5</v>
      </c>
      <c r="U2170" s="3" t="str">
        <f>+VLOOKUP(Sites_per_tag[[#This Row],[Activity_tag]],Parameter!$A$24:$B$32,2,0)</f>
        <v>MAM</v>
      </c>
      <c r="W2170">
        <v>45.022869999999998</v>
      </c>
      <c r="X2170">
        <v>-25.151579999999999</v>
      </c>
    </row>
    <row r="2171" spans="1:24" x14ac:dyDescent="0.35">
      <c r="A2171" s="3" t="str">
        <f t="shared" si="33"/>
        <v>MG52513091012001MAM</v>
      </c>
      <c r="B2171" t="s">
        <v>6211</v>
      </c>
      <c r="C2171">
        <f>+VLOOKUP(Sites_per_tag[[#This Row],[Field_office]],Parameter!$A$3:$B$11,2,0)</f>
        <v>6</v>
      </c>
      <c r="E2171" t="s">
        <v>5646</v>
      </c>
      <c r="F2171" t="s">
        <v>5647</v>
      </c>
      <c r="H2171" t="str">
        <f ca="1">PROPER(Sites_per_tag[[#This Row],[Adm2Name]])</f>
        <v>Beloha</v>
      </c>
      <c r="I2171" t="s">
        <v>5685</v>
      </c>
      <c r="K2171" t="s">
        <v>266</v>
      </c>
      <c r="L2171" t="s">
        <v>5698</v>
      </c>
      <c r="N2171" t="s">
        <v>2660</v>
      </c>
      <c r="O2171" t="s">
        <v>2661</v>
      </c>
      <c r="Q2171" t="s">
        <v>2660</v>
      </c>
      <c r="R2171" t="s">
        <v>2662</v>
      </c>
      <c r="T2171" t="s">
        <v>5</v>
      </c>
      <c r="U2171" s="3" t="str">
        <f>+VLOOKUP(Sites_per_tag[[#This Row],[Activity_tag]],Parameter!$A$24:$B$32,2,0)</f>
        <v>MAM</v>
      </c>
      <c r="W2171">
        <v>45.279899999999998</v>
      </c>
      <c r="X2171">
        <v>-24.791499999999999</v>
      </c>
    </row>
    <row r="2172" spans="1:24" x14ac:dyDescent="0.35">
      <c r="A2172" s="3" t="str">
        <f t="shared" si="33"/>
        <v>MG52513091012PREV</v>
      </c>
      <c r="B2172" t="s">
        <v>6211</v>
      </c>
      <c r="C2172">
        <f>+VLOOKUP(Sites_per_tag[[#This Row],[Field_office]],Parameter!$A$3:$B$11,2,0)</f>
        <v>6</v>
      </c>
      <c r="E2172" t="s">
        <v>5646</v>
      </c>
      <c r="F2172" t="s">
        <v>5647</v>
      </c>
      <c r="H2172" t="str">
        <f ca="1">PROPER(Sites_per_tag[[#This Row],[Adm2Name]])</f>
        <v>Beloha</v>
      </c>
      <c r="I2172" t="s">
        <v>5685</v>
      </c>
      <c r="K2172" t="s">
        <v>266</v>
      </c>
      <c r="L2172" t="s">
        <v>5698</v>
      </c>
      <c r="N2172" t="s">
        <v>4227</v>
      </c>
      <c r="Q2172" t="s">
        <v>2660</v>
      </c>
      <c r="R2172" t="s">
        <v>2661</v>
      </c>
      <c r="T2172" t="s">
        <v>32</v>
      </c>
      <c r="U2172" s="3" t="str">
        <f>+VLOOKUP(Sites_per_tag[[#This Row],[Activity_tag]],Parameter!$A$24:$B$32,2,0)</f>
        <v>PREV</v>
      </c>
      <c r="W2172">
        <v>45.25562</v>
      </c>
      <c r="X2172">
        <v>-24.804729999999999</v>
      </c>
    </row>
    <row r="2173" spans="1:24" x14ac:dyDescent="0.35">
      <c r="A2173" s="3" t="str">
        <f t="shared" si="33"/>
        <v>MG52513091013PREV</v>
      </c>
      <c r="B2173" t="s">
        <v>6211</v>
      </c>
      <c r="C2173">
        <f>+VLOOKUP(Sites_per_tag[[#This Row],[Field_office]],Parameter!$A$3:$B$11,2,0)</f>
        <v>6</v>
      </c>
      <c r="E2173" t="s">
        <v>5646</v>
      </c>
      <c r="F2173" t="s">
        <v>5647</v>
      </c>
      <c r="H2173" t="str">
        <f ca="1">PROPER(Sites_per_tag[[#This Row],[Adm2Name]])</f>
        <v>Beloha</v>
      </c>
      <c r="I2173" t="s">
        <v>5685</v>
      </c>
      <c r="K2173" t="s">
        <v>266</v>
      </c>
      <c r="L2173" t="s">
        <v>5698</v>
      </c>
      <c r="N2173" t="s">
        <v>4228</v>
      </c>
      <c r="Q2173" t="s">
        <v>266</v>
      </c>
      <c r="R2173" t="s">
        <v>267</v>
      </c>
      <c r="T2173" t="s">
        <v>32</v>
      </c>
      <c r="U2173" s="3" t="str">
        <f>+VLOOKUP(Sites_per_tag[[#This Row],[Activity_tag]],Parameter!$A$24:$B$32,2,0)</f>
        <v>PREV</v>
      </c>
      <c r="W2173">
        <v>45.343200000000003</v>
      </c>
      <c r="X2173">
        <v>-24.778400000000001</v>
      </c>
    </row>
    <row r="2174" spans="1:24" x14ac:dyDescent="0.35">
      <c r="A2174" s="3" t="str">
        <f t="shared" si="33"/>
        <v>MG52513091016PREV</v>
      </c>
      <c r="B2174" t="s">
        <v>6211</v>
      </c>
      <c r="C2174">
        <f>+VLOOKUP(Sites_per_tag[[#This Row],[Field_office]],Parameter!$A$3:$B$11,2,0)</f>
        <v>6</v>
      </c>
      <c r="E2174" t="s">
        <v>5646</v>
      </c>
      <c r="F2174" t="s">
        <v>5647</v>
      </c>
      <c r="H2174" t="str">
        <f ca="1">PROPER(Sites_per_tag[[#This Row],[Adm2Name]])</f>
        <v>Beloha</v>
      </c>
      <c r="I2174" t="s">
        <v>5685</v>
      </c>
      <c r="K2174" t="s">
        <v>266</v>
      </c>
      <c r="L2174" t="s">
        <v>5698</v>
      </c>
      <c r="N2174" t="s">
        <v>4229</v>
      </c>
      <c r="Q2174" t="s">
        <v>1364</v>
      </c>
      <c r="R2174" t="s">
        <v>1365</v>
      </c>
      <c r="T2174" t="s">
        <v>32</v>
      </c>
      <c r="U2174" s="3" t="str">
        <f>+VLOOKUP(Sites_per_tag[[#This Row],[Activity_tag]],Parameter!$A$24:$B$32,2,0)</f>
        <v>PREV</v>
      </c>
      <c r="W2174">
        <v>45.35577</v>
      </c>
      <c r="X2174">
        <v>-24.85153</v>
      </c>
    </row>
    <row r="2175" spans="1:24" x14ac:dyDescent="0.35">
      <c r="A2175" s="3" t="str">
        <f t="shared" si="33"/>
        <v>MG52513091017001MAM</v>
      </c>
      <c r="B2175" t="s">
        <v>6211</v>
      </c>
      <c r="C2175">
        <f>+VLOOKUP(Sites_per_tag[[#This Row],[Field_office]],Parameter!$A$3:$B$11,2,0)</f>
        <v>6</v>
      </c>
      <c r="E2175" t="s">
        <v>5646</v>
      </c>
      <c r="F2175" t="s">
        <v>5647</v>
      </c>
      <c r="H2175" t="str">
        <f ca="1">PROPER(Sites_per_tag[[#This Row],[Adm2Name]])</f>
        <v>Ambovombe-Androy</v>
      </c>
      <c r="I2175" t="s">
        <v>5655</v>
      </c>
      <c r="K2175" t="s">
        <v>367</v>
      </c>
      <c r="L2175" t="s">
        <v>5733</v>
      </c>
      <c r="N2175" t="s">
        <v>1482</v>
      </c>
      <c r="O2175" t="s">
        <v>4346</v>
      </c>
      <c r="Q2175" t="s">
        <v>1482</v>
      </c>
      <c r="R2175" t="s">
        <v>1483</v>
      </c>
      <c r="T2175" t="s">
        <v>5</v>
      </c>
      <c r="U2175" s="3" t="str">
        <f>+VLOOKUP(Sites_per_tag[[#This Row],[Activity_tag]],Parameter!$A$24:$B$32,2,0)</f>
        <v>MAM</v>
      </c>
      <c r="W2175">
        <v>46.008313999999999</v>
      </c>
      <c r="X2175">
        <v>-25.100425999999999</v>
      </c>
    </row>
    <row r="2176" spans="1:24" x14ac:dyDescent="0.35">
      <c r="A2176" s="3" t="str">
        <f t="shared" si="33"/>
        <v>MG52513091019001MAM</v>
      </c>
      <c r="B2176" t="s">
        <v>6211</v>
      </c>
      <c r="C2176">
        <f>+VLOOKUP(Sites_per_tag[[#This Row],[Field_office]],Parameter!$A$3:$B$11,2,0)</f>
        <v>6</v>
      </c>
      <c r="E2176" t="s">
        <v>5646</v>
      </c>
      <c r="F2176" t="s">
        <v>5647</v>
      </c>
      <c r="H2176" t="str">
        <f ca="1">PROPER(Sites_per_tag[[#This Row],[Adm2Name]])</f>
        <v>Beloha</v>
      </c>
      <c r="I2176" t="s">
        <v>5685</v>
      </c>
      <c r="K2176" t="s">
        <v>6083</v>
      </c>
      <c r="L2176" t="s">
        <v>6139</v>
      </c>
      <c r="N2176" t="s">
        <v>735</v>
      </c>
      <c r="O2176" t="s">
        <v>5500</v>
      </c>
      <c r="Q2176" t="s">
        <v>735</v>
      </c>
      <c r="R2176" t="s">
        <v>736</v>
      </c>
      <c r="T2176" t="s">
        <v>5</v>
      </c>
      <c r="U2176" s="3" t="str">
        <f>+VLOOKUP(Sites_per_tag[[#This Row],[Activity_tag]],Parameter!$A$24:$B$32,2,0)</f>
        <v>MAM</v>
      </c>
      <c r="W2176">
        <v>45.102200000000003</v>
      </c>
      <c r="X2176">
        <v>-24.825500000000002</v>
      </c>
    </row>
    <row r="2177" spans="1:24" x14ac:dyDescent="0.35">
      <c r="A2177" s="3" t="str">
        <f t="shared" si="33"/>
        <v>MG52513091028001MAM</v>
      </c>
      <c r="B2177" t="s">
        <v>6211</v>
      </c>
      <c r="C2177">
        <f>+VLOOKUP(Sites_per_tag[[#This Row],[Field_office]],Parameter!$A$3:$B$11,2,0)</f>
        <v>6</v>
      </c>
      <c r="E2177" t="s">
        <v>5646</v>
      </c>
      <c r="F2177" t="s">
        <v>5647</v>
      </c>
      <c r="H2177" t="str">
        <f ca="1">PROPER(Sites_per_tag[[#This Row],[Adm2Name]])</f>
        <v>Beloha</v>
      </c>
      <c r="I2177" t="s">
        <v>5685</v>
      </c>
      <c r="K2177" t="s">
        <v>1763</v>
      </c>
      <c r="L2177" t="s">
        <v>5889</v>
      </c>
      <c r="N2177" t="s">
        <v>3008</v>
      </c>
      <c r="O2177" t="s">
        <v>4750</v>
      </c>
      <c r="Q2177" t="s">
        <v>3008</v>
      </c>
      <c r="R2177" t="s">
        <v>3009</v>
      </c>
      <c r="T2177" t="s">
        <v>5</v>
      </c>
      <c r="U2177" s="3" t="str">
        <f>+VLOOKUP(Sites_per_tag[[#This Row],[Activity_tag]],Parameter!$A$24:$B$32,2,0)</f>
        <v>MAM</v>
      </c>
      <c r="W2177">
        <v>45.152419999999999</v>
      </c>
      <c r="X2177">
        <v>-24.757919999999999</v>
      </c>
    </row>
    <row r="2178" spans="1:24" x14ac:dyDescent="0.35">
      <c r="A2178" s="3" t="str">
        <f t="shared" si="33"/>
        <v>MG52513091a_4001MAM</v>
      </c>
      <c r="B2178" t="s">
        <v>6211</v>
      </c>
      <c r="C2178">
        <f>+VLOOKUP(Sites_per_tag[[#This Row],[Field_office]],Parameter!$A$3:$B$11,2,0)</f>
        <v>6</v>
      </c>
      <c r="E2178" t="s">
        <v>5646</v>
      </c>
      <c r="F2178" t="s">
        <v>5647</v>
      </c>
      <c r="H2178" t="str">
        <f ca="1">PROPER(Sites_per_tag[[#This Row],[Adm2Name]])</f>
        <v>Beloha</v>
      </c>
      <c r="I2178" t="s">
        <v>5685</v>
      </c>
      <c r="K2178" t="s">
        <v>266</v>
      </c>
      <c r="L2178" t="s">
        <v>5698</v>
      </c>
      <c r="N2178" t="s">
        <v>770</v>
      </c>
      <c r="O2178" t="s">
        <v>4308</v>
      </c>
      <c r="Q2178" t="s">
        <v>770</v>
      </c>
      <c r="R2178" t="s">
        <v>771</v>
      </c>
      <c r="T2178" t="s">
        <v>5</v>
      </c>
      <c r="U2178" s="3" t="str">
        <f>+VLOOKUP(Sites_per_tag[[#This Row],[Activity_tag]],Parameter!$A$24:$B$32,2,0)</f>
        <v>MAM</v>
      </c>
      <c r="W2178">
        <v>45.33943</v>
      </c>
      <c r="X2178">
        <v>-24.8276</v>
      </c>
    </row>
    <row r="2179" spans="1:24" x14ac:dyDescent="0.35">
      <c r="A2179" s="3" t="str">
        <f t="shared" ref="A2179:A2242" si="34">+R2179&amp;U2179</f>
        <v>MG52513091a_8001MAM</v>
      </c>
      <c r="B2179" t="s">
        <v>6210</v>
      </c>
      <c r="C2179">
        <f>+VLOOKUP(Sites_per_tag[[#This Row],[Field_office]],Parameter!$A$3:$B$11,2,0)</f>
        <v>10</v>
      </c>
      <c r="E2179" t="s">
        <v>5650</v>
      </c>
      <c r="F2179" t="s">
        <v>5654</v>
      </c>
      <c r="H2179" t="str">
        <f ca="1">PROPER(Sites_per_tag[[#This Row],[Adm2Name]])</f>
        <v>Betioky Atsimo</v>
      </c>
      <c r="I2179" t="s">
        <v>5688</v>
      </c>
      <c r="K2179" t="s">
        <v>3126</v>
      </c>
      <c r="L2179" t="s">
        <v>6057</v>
      </c>
      <c r="N2179" t="s">
        <v>2204</v>
      </c>
      <c r="O2179" t="s">
        <v>5358</v>
      </c>
      <c r="Q2179" t="s">
        <v>2204</v>
      </c>
      <c r="R2179" t="s">
        <v>2205</v>
      </c>
      <c r="T2179" t="s">
        <v>5</v>
      </c>
      <c r="U2179" s="3" t="str">
        <f>+VLOOKUP(Sites_per_tag[[#This Row],[Activity_tag]],Parameter!$A$24:$B$32,2,0)</f>
        <v>MAM</v>
      </c>
      <c r="W2179">
        <v>44.443750000000001</v>
      </c>
      <c r="X2179">
        <v>-23.955030000000001</v>
      </c>
    </row>
    <row r="2180" spans="1:24" x14ac:dyDescent="0.35">
      <c r="A2180" s="3" t="str">
        <f t="shared" si="34"/>
        <v>MG52513092001PREV</v>
      </c>
      <c r="B2180" t="s">
        <v>6211</v>
      </c>
      <c r="C2180">
        <f>+VLOOKUP(Sites_per_tag[[#This Row],[Field_office]],Parameter!$A$3:$B$11,2,0)</f>
        <v>6</v>
      </c>
      <c r="E2180" t="s">
        <v>5646</v>
      </c>
      <c r="F2180" t="s">
        <v>5647</v>
      </c>
      <c r="H2180" t="str">
        <f ca="1">PROPER(Sites_per_tag[[#This Row],[Adm2Name]])</f>
        <v>Beloha</v>
      </c>
      <c r="I2180" t="s">
        <v>5685</v>
      </c>
      <c r="K2180" t="s">
        <v>1763</v>
      </c>
      <c r="L2180" t="s">
        <v>5889</v>
      </c>
      <c r="N2180" t="s">
        <v>1763</v>
      </c>
      <c r="Q2180" t="s">
        <v>1763</v>
      </c>
      <c r="R2180" t="s">
        <v>1766</v>
      </c>
      <c r="T2180" t="s">
        <v>32</v>
      </c>
      <c r="U2180" s="3" t="str">
        <f>+VLOOKUP(Sites_per_tag[[#This Row],[Activity_tag]],Parameter!$A$24:$B$32,2,0)</f>
        <v>PREV</v>
      </c>
      <c r="W2180">
        <v>45.344920000000002</v>
      </c>
      <c r="X2180">
        <v>-24.89892</v>
      </c>
    </row>
    <row r="2181" spans="1:24" x14ac:dyDescent="0.35">
      <c r="A2181" s="3" t="str">
        <f t="shared" si="34"/>
        <v>MG52513092004001MAM</v>
      </c>
      <c r="B2181" t="s">
        <v>6211</v>
      </c>
      <c r="C2181">
        <f>+VLOOKUP(Sites_per_tag[[#This Row],[Field_office]],Parameter!$A$3:$B$11,2,0)</f>
        <v>6</v>
      </c>
      <c r="E2181" t="s">
        <v>5646</v>
      </c>
      <c r="F2181" t="s">
        <v>5647</v>
      </c>
      <c r="H2181" t="str">
        <f ca="1">PROPER(Sites_per_tag[[#This Row],[Adm2Name]])</f>
        <v>Ambovombe-Androy</v>
      </c>
      <c r="I2181" t="s">
        <v>5655</v>
      </c>
      <c r="K2181" t="s">
        <v>6253</v>
      </c>
      <c r="L2181" t="s">
        <v>6040</v>
      </c>
      <c r="N2181" t="s">
        <v>1767</v>
      </c>
      <c r="O2181" t="s">
        <v>5264</v>
      </c>
      <c r="Q2181" t="s">
        <v>1767</v>
      </c>
      <c r="R2181" t="s">
        <v>1768</v>
      </c>
      <c r="T2181" t="s">
        <v>5</v>
      </c>
      <c r="U2181" s="3" t="str">
        <f>+VLOOKUP(Sites_per_tag[[#This Row],[Activity_tag]],Parameter!$A$24:$B$32,2,0)</f>
        <v>MAM</v>
      </c>
      <c r="W2181">
        <v>46.215187</v>
      </c>
      <c r="X2181">
        <v>-25.175840000000001</v>
      </c>
    </row>
    <row r="2182" spans="1:24" x14ac:dyDescent="0.35">
      <c r="A2182" s="3" t="str">
        <f t="shared" si="34"/>
        <v>MG52513092006001MAM</v>
      </c>
      <c r="B2182" t="s">
        <v>6211</v>
      </c>
      <c r="C2182">
        <f>+VLOOKUP(Sites_per_tag[[#This Row],[Field_office]],Parameter!$A$3:$B$11,2,0)</f>
        <v>6</v>
      </c>
      <c r="E2182" t="s">
        <v>5646</v>
      </c>
      <c r="F2182" t="s">
        <v>5647</v>
      </c>
      <c r="H2182" t="str">
        <f ca="1">PROPER(Sites_per_tag[[#This Row],[Adm2Name]])</f>
        <v>Beloha</v>
      </c>
      <c r="I2182" t="s">
        <v>5685</v>
      </c>
      <c r="K2182" t="s">
        <v>1763</v>
      </c>
      <c r="L2182" t="s">
        <v>5889</v>
      </c>
      <c r="N2182" t="s">
        <v>4751</v>
      </c>
      <c r="O2182" t="s">
        <v>2980</v>
      </c>
      <c r="Q2182" t="s">
        <v>2979</v>
      </c>
      <c r="R2182" t="s">
        <v>2981</v>
      </c>
      <c r="T2182" t="s">
        <v>5</v>
      </c>
      <c r="U2182" s="3" t="str">
        <f>+VLOOKUP(Sites_per_tag[[#This Row],[Activity_tag]],Parameter!$A$24:$B$32,2,0)</f>
        <v>MAM</v>
      </c>
      <c r="W2182">
        <v>45.333579999999998</v>
      </c>
      <c r="X2182">
        <v>-24.941020000000002</v>
      </c>
    </row>
    <row r="2183" spans="1:24" x14ac:dyDescent="0.35">
      <c r="A2183" s="3" t="str">
        <f t="shared" si="34"/>
        <v>MG52513092006PREV</v>
      </c>
      <c r="B2183" t="s">
        <v>6211</v>
      </c>
      <c r="C2183">
        <f>+VLOOKUP(Sites_per_tag[[#This Row],[Field_office]],Parameter!$A$3:$B$11,2,0)</f>
        <v>6</v>
      </c>
      <c r="E2183" t="s">
        <v>5646</v>
      </c>
      <c r="F2183" t="s">
        <v>5647</v>
      </c>
      <c r="H2183" t="str">
        <f ca="1">PROPER(Sites_per_tag[[#This Row],[Adm2Name]])</f>
        <v>Beloha</v>
      </c>
      <c r="I2183" t="s">
        <v>5685</v>
      </c>
      <c r="K2183" t="s">
        <v>1763</v>
      </c>
      <c r="L2183" t="s">
        <v>5889</v>
      </c>
      <c r="N2183" t="s">
        <v>4230</v>
      </c>
      <c r="Q2183" t="s">
        <v>2979</v>
      </c>
      <c r="R2183" t="s">
        <v>2980</v>
      </c>
      <c r="T2183" t="s">
        <v>32</v>
      </c>
      <c r="U2183" s="3" t="str">
        <f>+VLOOKUP(Sites_per_tag[[#This Row],[Activity_tag]],Parameter!$A$24:$B$32,2,0)</f>
        <v>PREV</v>
      </c>
      <c r="W2183">
        <v>45.333579999999998</v>
      </c>
      <c r="X2183">
        <v>-24.941020000000002</v>
      </c>
    </row>
    <row r="2184" spans="1:24" x14ac:dyDescent="0.35">
      <c r="A2184" s="3" t="str">
        <f t="shared" si="34"/>
        <v>MG52513092009PREV</v>
      </c>
      <c r="B2184" t="s">
        <v>6211</v>
      </c>
      <c r="C2184">
        <f>+VLOOKUP(Sites_per_tag[[#This Row],[Field_office]],Parameter!$A$3:$B$11,2,0)</f>
        <v>6</v>
      </c>
      <c r="E2184" t="s">
        <v>5646</v>
      </c>
      <c r="F2184" t="s">
        <v>5647</v>
      </c>
      <c r="H2184" t="str">
        <f ca="1">PROPER(Sites_per_tag[[#This Row],[Adm2Name]])</f>
        <v>Beloha</v>
      </c>
      <c r="I2184" t="s">
        <v>5685</v>
      </c>
      <c r="K2184" t="s">
        <v>1763</v>
      </c>
      <c r="L2184" t="s">
        <v>5889</v>
      </c>
      <c r="N2184" t="s">
        <v>4231</v>
      </c>
      <c r="Q2184" t="s">
        <v>3006</v>
      </c>
      <c r="R2184" t="s">
        <v>3007</v>
      </c>
      <c r="T2184" t="s">
        <v>32</v>
      </c>
      <c r="U2184" s="3" t="str">
        <f>+VLOOKUP(Sites_per_tag[[#This Row],[Activity_tag]],Parameter!$A$24:$B$32,2,0)</f>
        <v>PREV</v>
      </c>
      <c r="W2184">
        <v>45.167630000000003</v>
      </c>
      <c r="X2184">
        <v>-24.781680000000001</v>
      </c>
    </row>
    <row r="2185" spans="1:24" x14ac:dyDescent="0.35">
      <c r="A2185" s="3" t="str">
        <f t="shared" si="34"/>
        <v>MG52513092050PREV</v>
      </c>
      <c r="B2185" t="s">
        <v>6211</v>
      </c>
      <c r="C2185">
        <f>+VLOOKUP(Sites_per_tag[[#This Row],[Field_office]],Parameter!$A$3:$B$11,2,0)</f>
        <v>6</v>
      </c>
      <c r="E2185" t="s">
        <v>5646</v>
      </c>
      <c r="F2185" t="s">
        <v>5647</v>
      </c>
      <c r="H2185" t="str">
        <f ca="1">PROPER(Sites_per_tag[[#This Row],[Adm2Name]])</f>
        <v>Beloha</v>
      </c>
      <c r="I2185" t="s">
        <v>5685</v>
      </c>
      <c r="K2185" t="s">
        <v>1763</v>
      </c>
      <c r="L2185" t="s">
        <v>5889</v>
      </c>
      <c r="N2185" t="s">
        <v>4232</v>
      </c>
      <c r="Q2185" t="s">
        <v>1946</v>
      </c>
      <c r="R2185" t="s">
        <v>1947</v>
      </c>
      <c r="T2185" t="s">
        <v>32</v>
      </c>
      <c r="U2185" s="3" t="str">
        <f>+VLOOKUP(Sites_per_tag[[#This Row],[Activity_tag]],Parameter!$A$24:$B$32,2,0)</f>
        <v>PREV</v>
      </c>
      <c r="W2185">
        <v>45.186779999999999</v>
      </c>
      <c r="X2185">
        <v>-25.00573</v>
      </c>
    </row>
    <row r="2186" spans="1:24" x14ac:dyDescent="0.35">
      <c r="A2186" s="3" t="str">
        <f t="shared" si="34"/>
        <v>MG52513092067001MAM</v>
      </c>
      <c r="B2186" t="s">
        <v>6211</v>
      </c>
      <c r="C2186">
        <f>+VLOOKUP(Sites_per_tag[[#This Row],[Field_office]],Parameter!$A$3:$B$11,2,0)</f>
        <v>6</v>
      </c>
      <c r="E2186" t="s">
        <v>5646</v>
      </c>
      <c r="F2186" t="s">
        <v>5647</v>
      </c>
      <c r="H2186" t="str">
        <f ca="1">PROPER(Sites_per_tag[[#This Row],[Adm2Name]])</f>
        <v>Beloha</v>
      </c>
      <c r="I2186" t="s">
        <v>5685</v>
      </c>
      <c r="K2186" t="s">
        <v>1763</v>
      </c>
      <c r="L2186" t="s">
        <v>5889</v>
      </c>
      <c r="N2186" t="s">
        <v>503</v>
      </c>
      <c r="O2186" t="s">
        <v>4752</v>
      </c>
      <c r="Q2186" t="s">
        <v>503</v>
      </c>
      <c r="R2186" t="s">
        <v>504</v>
      </c>
      <c r="T2186" t="s">
        <v>5</v>
      </c>
      <c r="U2186" s="3" t="str">
        <f>+VLOOKUP(Sites_per_tag[[#This Row],[Activity_tag]],Parameter!$A$24:$B$32,2,0)</f>
        <v>MAM</v>
      </c>
      <c r="W2186">
        <v>45.313369999999999</v>
      </c>
      <c r="X2186">
        <v>-24.886880000000001</v>
      </c>
    </row>
    <row r="2187" spans="1:24" x14ac:dyDescent="0.35">
      <c r="A2187" s="3" t="str">
        <f t="shared" si="34"/>
        <v>MG52513092068001MAM</v>
      </c>
      <c r="B2187" t="s">
        <v>6211</v>
      </c>
      <c r="C2187">
        <f>+VLOOKUP(Sites_per_tag[[#This Row],[Field_office]],Parameter!$A$3:$B$11,2,0)</f>
        <v>6</v>
      </c>
      <c r="E2187" t="s">
        <v>5646</v>
      </c>
      <c r="F2187" t="s">
        <v>5647</v>
      </c>
      <c r="H2187" t="str">
        <f ca="1">PROPER(Sites_per_tag[[#This Row],[Adm2Name]])</f>
        <v>Beloha</v>
      </c>
      <c r="I2187" t="s">
        <v>5685</v>
      </c>
      <c r="K2187" t="s">
        <v>1763</v>
      </c>
      <c r="L2187" t="s">
        <v>5889</v>
      </c>
      <c r="N2187" t="s">
        <v>900</v>
      </c>
      <c r="O2187" t="s">
        <v>4753</v>
      </c>
      <c r="Q2187" t="s">
        <v>900</v>
      </c>
      <c r="R2187" t="s">
        <v>901</v>
      </c>
      <c r="T2187" t="s">
        <v>5</v>
      </c>
      <c r="U2187" s="3" t="str">
        <f>+VLOOKUP(Sites_per_tag[[#This Row],[Activity_tag]],Parameter!$A$24:$B$32,2,0)</f>
        <v>MAM</v>
      </c>
      <c r="W2187">
        <v>45.28933</v>
      </c>
      <c r="X2187">
        <v>-24.601220000000001</v>
      </c>
    </row>
    <row r="2188" spans="1:24" x14ac:dyDescent="0.35">
      <c r="A2188" s="3" t="str">
        <f t="shared" si="34"/>
        <v>MG52513092069001MAM</v>
      </c>
      <c r="B2188" t="s">
        <v>6211</v>
      </c>
      <c r="C2188">
        <f>+VLOOKUP(Sites_per_tag[[#This Row],[Field_office]],Parameter!$A$3:$B$11,2,0)</f>
        <v>6</v>
      </c>
      <c r="E2188" t="s">
        <v>5646</v>
      </c>
      <c r="F2188" t="s">
        <v>5647</v>
      </c>
      <c r="H2188" t="str">
        <f ca="1">PROPER(Sites_per_tag[[#This Row],[Adm2Name]])</f>
        <v>Beloha</v>
      </c>
      <c r="I2188" t="s">
        <v>5685</v>
      </c>
      <c r="K2188" t="s">
        <v>1763</v>
      </c>
      <c r="L2188" t="s">
        <v>5889</v>
      </c>
      <c r="N2188" t="s">
        <v>3384</v>
      </c>
      <c r="O2188" t="s">
        <v>4754</v>
      </c>
      <c r="Q2188" t="s">
        <v>3384</v>
      </c>
      <c r="R2188" t="s">
        <v>3385</v>
      </c>
      <c r="T2188" t="s">
        <v>5</v>
      </c>
      <c r="U2188" s="3" t="str">
        <f>+VLOOKUP(Sites_per_tag[[#This Row],[Activity_tag]],Parameter!$A$24:$B$32,2,0)</f>
        <v>MAM</v>
      </c>
      <c r="W2188">
        <v>45.360199999999999</v>
      </c>
      <c r="X2188">
        <v>-24.88062</v>
      </c>
    </row>
    <row r="2189" spans="1:24" x14ac:dyDescent="0.35">
      <c r="A2189" s="3" t="str">
        <f t="shared" si="34"/>
        <v>MG52514011022001MAM</v>
      </c>
      <c r="B2189" t="s">
        <v>6211</v>
      </c>
      <c r="C2189">
        <f>+VLOOKUP(Sites_per_tag[[#This Row],[Field_office]],Parameter!$A$3:$B$11,2,0)</f>
        <v>6</v>
      </c>
      <c r="E2189" t="s">
        <v>5646</v>
      </c>
      <c r="F2189" t="s">
        <v>5647</v>
      </c>
      <c r="H2189" t="str">
        <f ca="1">PROPER(Sites_per_tag[[#This Row],[Adm2Name]])</f>
        <v>Tsihombe</v>
      </c>
      <c r="I2189" t="s">
        <v>5731</v>
      </c>
      <c r="K2189" t="s">
        <v>5610</v>
      </c>
      <c r="L2189" t="s">
        <v>6147</v>
      </c>
      <c r="N2189" t="s">
        <v>3767</v>
      </c>
      <c r="O2189" t="s">
        <v>5532</v>
      </c>
      <c r="Q2189" t="s">
        <v>3767</v>
      </c>
      <c r="R2189" t="s">
        <v>3768</v>
      </c>
      <c r="T2189" t="s">
        <v>5</v>
      </c>
      <c r="U2189" s="3" t="str">
        <f>+VLOOKUP(Sites_per_tag[[#This Row],[Activity_tag]],Parameter!$A$24:$B$32,2,0)</f>
        <v>MAM</v>
      </c>
      <c r="W2189">
        <v>45.482419999999998</v>
      </c>
      <c r="X2189">
        <v>-25.31587</v>
      </c>
    </row>
    <row r="2190" spans="1:24" x14ac:dyDescent="0.35">
      <c r="A2190" s="3" t="str">
        <f t="shared" si="34"/>
        <v>MG52514011023001MAM</v>
      </c>
      <c r="B2190" t="s">
        <v>6211</v>
      </c>
      <c r="C2190">
        <f>+VLOOKUP(Sites_per_tag[[#This Row],[Field_office]],Parameter!$A$3:$B$11,2,0)</f>
        <v>6</v>
      </c>
      <c r="E2190" t="s">
        <v>5646</v>
      </c>
      <c r="F2190" t="s">
        <v>5647</v>
      </c>
      <c r="H2190" t="str">
        <f ca="1">PROPER(Sites_per_tag[[#This Row],[Adm2Name]])</f>
        <v>Tsihombe</v>
      </c>
      <c r="I2190" t="s">
        <v>5731</v>
      </c>
      <c r="K2190" t="s">
        <v>5610</v>
      </c>
      <c r="L2190" t="s">
        <v>6147</v>
      </c>
      <c r="N2190" t="s">
        <v>3769</v>
      </c>
      <c r="O2190" t="s">
        <v>5533</v>
      </c>
      <c r="Q2190" t="s">
        <v>3769</v>
      </c>
      <c r="R2190" t="s">
        <v>3770</v>
      </c>
      <c r="T2190" t="s">
        <v>5</v>
      </c>
      <c r="U2190" s="3" t="str">
        <f>+VLOOKUP(Sites_per_tag[[#This Row],[Activity_tag]],Parameter!$A$24:$B$32,2,0)</f>
        <v>MAM</v>
      </c>
      <c r="W2190">
        <v>45.492620000000002</v>
      </c>
      <c r="X2190">
        <v>-25.313220000000001</v>
      </c>
    </row>
    <row r="2191" spans="1:24" x14ac:dyDescent="0.35">
      <c r="A2191" s="3" t="str">
        <f t="shared" si="34"/>
        <v>MG52514011025001MAM</v>
      </c>
      <c r="B2191" t="s">
        <v>6211</v>
      </c>
      <c r="C2191">
        <f>+VLOOKUP(Sites_per_tag[[#This Row],[Field_office]],Parameter!$A$3:$B$11,2,0)</f>
        <v>6</v>
      </c>
      <c r="E2191" t="s">
        <v>5646</v>
      </c>
      <c r="F2191" t="s">
        <v>5647</v>
      </c>
      <c r="H2191" t="str">
        <f ca="1">PROPER(Sites_per_tag[[#This Row],[Adm2Name]])</f>
        <v>Tsihombe</v>
      </c>
      <c r="I2191" t="s">
        <v>5731</v>
      </c>
      <c r="K2191" t="s">
        <v>5610</v>
      </c>
      <c r="L2191" t="s">
        <v>6147</v>
      </c>
      <c r="N2191" t="s">
        <v>3380</v>
      </c>
      <c r="O2191" t="s">
        <v>5534</v>
      </c>
      <c r="Q2191" t="s">
        <v>3380</v>
      </c>
      <c r="R2191" t="s">
        <v>3381</v>
      </c>
      <c r="T2191" t="s">
        <v>5</v>
      </c>
      <c r="U2191" s="3" t="str">
        <f>+VLOOKUP(Sites_per_tag[[#This Row],[Activity_tag]],Parameter!$A$24:$B$32,2,0)</f>
        <v>MAM</v>
      </c>
      <c r="W2191">
        <v>45.594200000000001</v>
      </c>
      <c r="X2191">
        <v>-25.310199999999998</v>
      </c>
    </row>
    <row r="2192" spans="1:24" x14ac:dyDescent="0.35">
      <c r="A2192" s="3" t="str">
        <f t="shared" si="34"/>
        <v>MG52514011037001MAM</v>
      </c>
      <c r="B2192" t="s">
        <v>6211</v>
      </c>
      <c r="C2192">
        <f>+VLOOKUP(Sites_per_tag[[#This Row],[Field_office]],Parameter!$A$3:$B$11,2,0)</f>
        <v>6</v>
      </c>
      <c r="E2192" t="s">
        <v>5646</v>
      </c>
      <c r="F2192" t="s">
        <v>5647</v>
      </c>
      <c r="H2192" t="str">
        <f ca="1">PROPER(Sites_per_tag[[#This Row],[Adm2Name]])</f>
        <v>Tsihombe</v>
      </c>
      <c r="I2192" t="s">
        <v>5731</v>
      </c>
      <c r="K2192" t="s">
        <v>5610</v>
      </c>
      <c r="L2192" t="s">
        <v>6147</v>
      </c>
      <c r="N2192" t="s">
        <v>3996</v>
      </c>
      <c r="O2192" t="s">
        <v>5535</v>
      </c>
      <c r="Q2192" t="s">
        <v>3996</v>
      </c>
      <c r="R2192" t="s">
        <v>3997</v>
      </c>
      <c r="T2192" t="s">
        <v>5</v>
      </c>
      <c r="U2192" s="3" t="str">
        <f>+VLOOKUP(Sites_per_tag[[#This Row],[Activity_tag]],Parameter!$A$24:$B$32,2,0)</f>
        <v>MAM</v>
      </c>
      <c r="W2192">
        <v>45.584319999999998</v>
      </c>
      <c r="X2192">
        <v>-25.335370000000001</v>
      </c>
    </row>
    <row r="2193" spans="1:24" x14ac:dyDescent="0.35">
      <c r="A2193" s="3" t="str">
        <f t="shared" si="34"/>
        <v>MG52514011038001MAM</v>
      </c>
      <c r="B2193" t="s">
        <v>6211</v>
      </c>
      <c r="C2193">
        <f>+VLOOKUP(Sites_per_tag[[#This Row],[Field_office]],Parameter!$A$3:$B$11,2,0)</f>
        <v>6</v>
      </c>
      <c r="E2193" t="s">
        <v>5646</v>
      </c>
      <c r="F2193" t="s">
        <v>5647</v>
      </c>
      <c r="H2193" t="str">
        <f ca="1">PROPER(Sites_per_tag[[#This Row],[Adm2Name]])</f>
        <v>Tsihombe</v>
      </c>
      <c r="I2193" t="s">
        <v>5731</v>
      </c>
      <c r="K2193" t="s">
        <v>5610</v>
      </c>
      <c r="L2193" t="s">
        <v>6147</v>
      </c>
      <c r="N2193" t="s">
        <v>3015</v>
      </c>
      <c r="O2193" t="s">
        <v>5536</v>
      </c>
      <c r="Q2193" t="s">
        <v>3015</v>
      </c>
      <c r="R2193" t="s">
        <v>3016</v>
      </c>
      <c r="T2193" t="s">
        <v>5</v>
      </c>
      <c r="U2193" s="3" t="str">
        <f>+VLOOKUP(Sites_per_tag[[#This Row],[Activity_tag]],Parameter!$A$24:$B$32,2,0)</f>
        <v>MAM</v>
      </c>
      <c r="W2193">
        <v>45.586199999999998</v>
      </c>
      <c r="X2193">
        <v>-25.400079999999999</v>
      </c>
    </row>
    <row r="2194" spans="1:24" x14ac:dyDescent="0.35">
      <c r="A2194" s="3" t="str">
        <f t="shared" si="34"/>
        <v>MG52514011039001STUNT</v>
      </c>
      <c r="B2194" t="s">
        <v>6267</v>
      </c>
      <c r="C2194">
        <f>+VLOOKUP(Sites_per_tag[[#This Row],[Field_office]],Parameter!$A$3:$B$11,2,0)</f>
        <v>9</v>
      </c>
      <c r="E2194" t="s">
        <v>5650</v>
      </c>
      <c r="F2194" t="s">
        <v>5654</v>
      </c>
      <c r="H2194" t="str">
        <f ca="1">PROPER(Sites_per_tag[[#This Row],[Adm2Name]])</f>
        <v>Ampanihy Ouest</v>
      </c>
      <c r="I2194" t="s">
        <v>5660</v>
      </c>
      <c r="K2194" t="s">
        <v>5746</v>
      </c>
      <c r="L2194" t="s">
        <v>5960</v>
      </c>
      <c r="N2194" t="s">
        <v>2167</v>
      </c>
      <c r="O2194" t="s">
        <v>2168</v>
      </c>
      <c r="Q2194" t="s">
        <v>2167</v>
      </c>
      <c r="R2194" t="s">
        <v>2169</v>
      </c>
      <c r="T2194" t="s">
        <v>50</v>
      </c>
      <c r="U2194" s="3" t="str">
        <f>+VLOOKUP(Sites_per_tag[[#This Row],[Activity_tag]],Parameter!$A$24:$B$32,2,0)</f>
        <v>STUNT</v>
      </c>
      <c r="V2194" t="s">
        <v>6513</v>
      </c>
      <c r="W2194">
        <v>45.002073000000003</v>
      </c>
      <c r="X2194">
        <v>-24.145071000000002</v>
      </c>
    </row>
    <row r="2195" spans="1:24" x14ac:dyDescent="0.35">
      <c r="A2195" s="3" t="str">
        <f t="shared" si="34"/>
        <v>MG52514011039PREV</v>
      </c>
      <c r="B2195" t="s">
        <v>6267</v>
      </c>
      <c r="C2195">
        <f>+VLOOKUP(Sites_per_tag[[#This Row],[Field_office]],Parameter!$A$3:$B$11,2,0)</f>
        <v>9</v>
      </c>
      <c r="E2195" t="s">
        <v>5650</v>
      </c>
      <c r="F2195" t="s">
        <v>5654</v>
      </c>
      <c r="H2195" t="str">
        <f ca="1">PROPER(Sites_per_tag[[#This Row],[Adm2Name]])</f>
        <v>Ampanihy Ouest</v>
      </c>
      <c r="I2195" t="s">
        <v>5660</v>
      </c>
      <c r="K2195" t="s">
        <v>5746</v>
      </c>
      <c r="L2195" t="s">
        <v>5960</v>
      </c>
      <c r="N2195" t="s">
        <v>6514</v>
      </c>
      <c r="Q2195" t="s">
        <v>2167</v>
      </c>
      <c r="R2195" t="s">
        <v>2168</v>
      </c>
      <c r="T2195" t="s">
        <v>32</v>
      </c>
      <c r="U2195" s="3" t="str">
        <f>+VLOOKUP(Sites_per_tag[[#This Row],[Activity_tag]],Parameter!$A$24:$B$32,2,0)</f>
        <v>PREV</v>
      </c>
      <c r="W2195">
        <v>44.974392999999999</v>
      </c>
      <c r="X2195">
        <v>-24.145219000000001</v>
      </c>
    </row>
    <row r="2196" spans="1:24" x14ac:dyDescent="0.35">
      <c r="A2196" s="3" t="str">
        <f t="shared" si="34"/>
        <v>MG52514011045001MAM</v>
      </c>
      <c r="B2196" t="s">
        <v>6211</v>
      </c>
      <c r="C2196">
        <f>+VLOOKUP(Sites_per_tag[[#This Row],[Field_office]],Parameter!$A$3:$B$11,2,0)</f>
        <v>6</v>
      </c>
      <c r="E2196" t="s">
        <v>5646</v>
      </c>
      <c r="F2196" t="s">
        <v>5647</v>
      </c>
      <c r="H2196" t="str">
        <f ca="1">PROPER(Sites_per_tag[[#This Row],[Adm2Name]])</f>
        <v>Tsihombe</v>
      </c>
      <c r="I2196" t="s">
        <v>5731</v>
      </c>
      <c r="K2196" t="s">
        <v>5610</v>
      </c>
      <c r="L2196" t="s">
        <v>6147</v>
      </c>
      <c r="N2196" t="s">
        <v>2435</v>
      </c>
      <c r="O2196" t="s">
        <v>5537</v>
      </c>
      <c r="Q2196" t="s">
        <v>2435</v>
      </c>
      <c r="R2196" t="s">
        <v>2437</v>
      </c>
      <c r="T2196" t="s">
        <v>5</v>
      </c>
      <c r="U2196" s="3" t="str">
        <f>+VLOOKUP(Sites_per_tag[[#This Row],[Activity_tag]],Parameter!$A$24:$B$32,2,0)</f>
        <v>MAM</v>
      </c>
      <c r="W2196">
        <v>45.465195999999999</v>
      </c>
      <c r="X2196">
        <v>-25.302122000000001</v>
      </c>
    </row>
    <row r="2197" spans="1:24" x14ac:dyDescent="0.35">
      <c r="A2197" s="3" t="str">
        <f t="shared" si="34"/>
        <v>MG52514011081001MAM</v>
      </c>
      <c r="B2197" t="s">
        <v>6211</v>
      </c>
      <c r="C2197">
        <f>+VLOOKUP(Sites_per_tag[[#This Row],[Field_office]],Parameter!$A$3:$B$11,2,0)</f>
        <v>6</v>
      </c>
      <c r="E2197" t="s">
        <v>5646</v>
      </c>
      <c r="F2197" t="s">
        <v>5647</v>
      </c>
      <c r="H2197" t="str">
        <f ca="1">PROPER(Sites_per_tag[[#This Row],[Adm2Name]])</f>
        <v>Tsihombe</v>
      </c>
      <c r="I2197" t="s">
        <v>5731</v>
      </c>
      <c r="K2197" t="s">
        <v>5610</v>
      </c>
      <c r="L2197" t="s">
        <v>6147</v>
      </c>
      <c r="N2197" t="s">
        <v>1059</v>
      </c>
      <c r="O2197" t="s">
        <v>5538</v>
      </c>
      <c r="Q2197" t="s">
        <v>1059</v>
      </c>
      <c r="R2197" t="s">
        <v>1060</v>
      </c>
      <c r="T2197" t="s">
        <v>5</v>
      </c>
      <c r="U2197" s="3" t="str">
        <f>+VLOOKUP(Sites_per_tag[[#This Row],[Activity_tag]],Parameter!$A$24:$B$32,2,0)</f>
        <v>MAM</v>
      </c>
      <c r="W2197">
        <v>45.331099999999999</v>
      </c>
      <c r="X2197">
        <v>-25.231269999999999</v>
      </c>
    </row>
    <row r="2198" spans="1:24" x14ac:dyDescent="0.35">
      <c r="A2198" s="3" t="str">
        <f t="shared" si="34"/>
        <v>MG52514011082001MAM</v>
      </c>
      <c r="B2198" t="s">
        <v>6211</v>
      </c>
      <c r="C2198">
        <f>+VLOOKUP(Sites_per_tag[[#This Row],[Field_office]],Parameter!$A$3:$B$11,2,0)</f>
        <v>6</v>
      </c>
      <c r="E2198" t="s">
        <v>5646</v>
      </c>
      <c r="F2198" t="s">
        <v>5647</v>
      </c>
      <c r="H2198" t="str">
        <f ca="1">PROPER(Sites_per_tag[[#This Row],[Adm2Name]])</f>
        <v>Tsihombe</v>
      </c>
      <c r="I2198" t="s">
        <v>5731</v>
      </c>
      <c r="K2198" t="s">
        <v>5610</v>
      </c>
      <c r="L2198" t="s">
        <v>6147</v>
      </c>
      <c r="N2198" t="s">
        <v>1516</v>
      </c>
      <c r="O2198" t="s">
        <v>5539</v>
      </c>
      <c r="Q2198" t="s">
        <v>1516</v>
      </c>
      <c r="R2198" t="s">
        <v>1517</v>
      </c>
      <c r="T2198" t="s">
        <v>5</v>
      </c>
      <c r="U2198" s="3" t="str">
        <f>+VLOOKUP(Sites_per_tag[[#This Row],[Activity_tag]],Parameter!$A$24:$B$32,2,0)</f>
        <v>MAM</v>
      </c>
      <c r="W2198">
        <v>45.332500000000003</v>
      </c>
      <c r="X2198">
        <v>-25.227170000000001</v>
      </c>
    </row>
    <row r="2199" spans="1:24" x14ac:dyDescent="0.35">
      <c r="A2199" s="3" t="str">
        <f t="shared" si="34"/>
        <v>MG52514011083001MAM</v>
      </c>
      <c r="B2199" t="s">
        <v>6211</v>
      </c>
      <c r="C2199">
        <f>+VLOOKUP(Sites_per_tag[[#This Row],[Field_office]],Parameter!$A$3:$B$11,2,0)</f>
        <v>6</v>
      </c>
      <c r="E2199" t="s">
        <v>5646</v>
      </c>
      <c r="F2199" t="s">
        <v>5647</v>
      </c>
      <c r="H2199" t="str">
        <f ca="1">PROPER(Sites_per_tag[[#This Row],[Adm2Name]])</f>
        <v>Tsihombe</v>
      </c>
      <c r="I2199" t="s">
        <v>5731</v>
      </c>
      <c r="K2199" t="s">
        <v>5610</v>
      </c>
      <c r="L2199" t="s">
        <v>6147</v>
      </c>
      <c r="N2199" t="s">
        <v>1417</v>
      </c>
      <c r="O2199" t="s">
        <v>5540</v>
      </c>
      <c r="Q2199" t="s">
        <v>1417</v>
      </c>
      <c r="R2199" t="s">
        <v>1418</v>
      </c>
      <c r="T2199" t="s">
        <v>5</v>
      </c>
      <c r="U2199" s="3" t="str">
        <f>+VLOOKUP(Sites_per_tag[[#This Row],[Activity_tag]],Parameter!$A$24:$B$32,2,0)</f>
        <v>MAM</v>
      </c>
      <c r="W2199">
        <v>45.466369999999998</v>
      </c>
      <c r="X2199">
        <v>-25.319500000000001</v>
      </c>
    </row>
    <row r="2200" spans="1:24" x14ac:dyDescent="0.35">
      <c r="A2200" s="3" t="str">
        <f t="shared" si="34"/>
        <v>MG52514011084001MAM</v>
      </c>
      <c r="B2200" t="s">
        <v>6211</v>
      </c>
      <c r="C2200">
        <f>+VLOOKUP(Sites_per_tag[[#This Row],[Field_office]],Parameter!$A$3:$B$11,2,0)</f>
        <v>6</v>
      </c>
      <c r="E2200" t="s">
        <v>5646</v>
      </c>
      <c r="F2200" t="s">
        <v>5647</v>
      </c>
      <c r="H2200" t="str">
        <f ca="1">PROPER(Sites_per_tag[[#This Row],[Adm2Name]])</f>
        <v>Tsihombe</v>
      </c>
      <c r="I2200" t="s">
        <v>5731</v>
      </c>
      <c r="K2200" t="s">
        <v>5610</v>
      </c>
      <c r="L2200" t="s">
        <v>6147</v>
      </c>
      <c r="N2200" t="s">
        <v>1583</v>
      </c>
      <c r="O2200" t="s">
        <v>5541</v>
      </c>
      <c r="Q2200" t="s">
        <v>1583</v>
      </c>
      <c r="R2200" t="s">
        <v>1584</v>
      </c>
      <c r="T2200" t="s">
        <v>5</v>
      </c>
      <c r="U2200" s="3" t="str">
        <f>+VLOOKUP(Sites_per_tag[[#This Row],[Activity_tag]],Parameter!$A$24:$B$32,2,0)</f>
        <v>MAM</v>
      </c>
      <c r="W2200">
        <v>45.443779999999997</v>
      </c>
      <c r="X2200">
        <v>-25.22307</v>
      </c>
    </row>
    <row r="2201" spans="1:24" x14ac:dyDescent="0.35">
      <c r="A2201" s="3" t="str">
        <f t="shared" si="34"/>
        <v>MG52514011085001MAM</v>
      </c>
      <c r="B2201" t="s">
        <v>6211</v>
      </c>
      <c r="C2201">
        <f>+VLOOKUP(Sites_per_tag[[#This Row],[Field_office]],Parameter!$A$3:$B$11,2,0)</f>
        <v>6</v>
      </c>
      <c r="E2201" t="s">
        <v>5646</v>
      </c>
      <c r="F2201" t="s">
        <v>5647</v>
      </c>
      <c r="H2201" t="str">
        <f ca="1">PROPER(Sites_per_tag[[#This Row],[Adm2Name]])</f>
        <v>Tsihombe</v>
      </c>
      <c r="I2201" t="s">
        <v>5731</v>
      </c>
      <c r="K2201" t="s">
        <v>5610</v>
      </c>
      <c r="L2201" t="s">
        <v>6147</v>
      </c>
      <c r="N2201" t="s">
        <v>2183</v>
      </c>
      <c r="O2201" t="s">
        <v>5542</v>
      </c>
      <c r="Q2201" t="s">
        <v>2183</v>
      </c>
      <c r="R2201" t="s">
        <v>2184</v>
      </c>
      <c r="T2201" t="s">
        <v>5</v>
      </c>
      <c r="U2201" s="3" t="str">
        <f>+VLOOKUP(Sites_per_tag[[#This Row],[Activity_tag]],Parameter!$A$24:$B$32,2,0)</f>
        <v>MAM</v>
      </c>
      <c r="W2201">
        <v>45.474870000000003</v>
      </c>
      <c r="X2201">
        <v>-25.328769999999999</v>
      </c>
    </row>
    <row r="2202" spans="1:24" x14ac:dyDescent="0.35">
      <c r="A2202" s="3" t="str">
        <f t="shared" si="34"/>
        <v>MG52514011086001MAM</v>
      </c>
      <c r="B2202" t="s">
        <v>6211</v>
      </c>
      <c r="C2202">
        <f>+VLOOKUP(Sites_per_tag[[#This Row],[Field_office]],Parameter!$A$3:$B$11,2,0)</f>
        <v>6</v>
      </c>
      <c r="E2202" t="s">
        <v>5646</v>
      </c>
      <c r="F2202" t="s">
        <v>5647</v>
      </c>
      <c r="H2202" t="str">
        <f ca="1">PROPER(Sites_per_tag[[#This Row],[Adm2Name]])</f>
        <v>Tsihombe</v>
      </c>
      <c r="I2202" t="s">
        <v>5731</v>
      </c>
      <c r="K2202" t="s">
        <v>5610</v>
      </c>
      <c r="L2202" t="s">
        <v>6147</v>
      </c>
      <c r="N2202" t="s">
        <v>2811</v>
      </c>
      <c r="O2202" t="s">
        <v>5543</v>
      </c>
      <c r="Q2202" t="s">
        <v>2811</v>
      </c>
      <c r="R2202" t="s">
        <v>2812</v>
      </c>
      <c r="T2202" t="s">
        <v>5</v>
      </c>
      <c r="U2202" s="3" t="str">
        <f>+VLOOKUP(Sites_per_tag[[#This Row],[Activity_tag]],Parameter!$A$24:$B$32,2,0)</f>
        <v>MAM</v>
      </c>
      <c r="W2202">
        <v>45.498370000000001</v>
      </c>
      <c r="X2202">
        <v>-25.343170000000001</v>
      </c>
    </row>
    <row r="2203" spans="1:24" x14ac:dyDescent="0.35">
      <c r="A2203" s="3" t="str">
        <f t="shared" si="34"/>
        <v>MG52514011087001MAM</v>
      </c>
      <c r="B2203" t="s">
        <v>6211</v>
      </c>
      <c r="C2203">
        <f>+VLOOKUP(Sites_per_tag[[#This Row],[Field_office]],Parameter!$A$3:$B$11,2,0)</f>
        <v>6</v>
      </c>
      <c r="E2203" t="s">
        <v>5646</v>
      </c>
      <c r="F2203" t="s">
        <v>5647</v>
      </c>
      <c r="H2203" t="str">
        <f ca="1">PROPER(Sites_per_tag[[#This Row],[Adm2Name]])</f>
        <v>Tsihombe</v>
      </c>
      <c r="I2203" t="s">
        <v>5731</v>
      </c>
      <c r="K2203" t="s">
        <v>5610</v>
      </c>
      <c r="L2203" t="s">
        <v>6147</v>
      </c>
      <c r="N2203" t="s">
        <v>3013</v>
      </c>
      <c r="O2203" t="s">
        <v>5544</v>
      </c>
      <c r="Q2203" t="s">
        <v>3013</v>
      </c>
      <c r="R2203" t="s">
        <v>3014</v>
      </c>
      <c r="T2203" t="s">
        <v>5</v>
      </c>
      <c r="U2203" s="3" t="str">
        <f>+VLOOKUP(Sites_per_tag[[#This Row],[Activity_tag]],Parameter!$A$24:$B$32,2,0)</f>
        <v>MAM</v>
      </c>
      <c r="W2203">
        <v>45.596319999999999</v>
      </c>
      <c r="X2203">
        <v>-25.356529999999999</v>
      </c>
    </row>
    <row r="2204" spans="1:24" x14ac:dyDescent="0.35">
      <c r="A2204" s="3" t="str">
        <f t="shared" si="34"/>
        <v>MG52514011088001MAM</v>
      </c>
      <c r="B2204" t="s">
        <v>6211</v>
      </c>
      <c r="C2204">
        <f>+VLOOKUP(Sites_per_tag[[#This Row],[Field_office]],Parameter!$A$3:$B$11,2,0)</f>
        <v>6</v>
      </c>
      <c r="E2204" t="s">
        <v>5646</v>
      </c>
      <c r="F2204" t="s">
        <v>5647</v>
      </c>
      <c r="H2204" t="str">
        <f ca="1">PROPER(Sites_per_tag[[#This Row],[Adm2Name]])</f>
        <v>Tsihombe</v>
      </c>
      <c r="I2204" t="s">
        <v>5731</v>
      </c>
      <c r="K2204" t="s">
        <v>5610</v>
      </c>
      <c r="L2204" t="s">
        <v>6147</v>
      </c>
      <c r="N2204" t="s">
        <v>3812</v>
      </c>
      <c r="O2204" t="s">
        <v>5545</v>
      </c>
      <c r="Q2204" t="s">
        <v>3812</v>
      </c>
      <c r="R2204" t="s">
        <v>3813</v>
      </c>
      <c r="T2204" t="s">
        <v>5</v>
      </c>
      <c r="U2204" s="3" t="str">
        <f>+VLOOKUP(Sites_per_tag[[#This Row],[Activity_tag]],Parameter!$A$24:$B$32,2,0)</f>
        <v>MAM</v>
      </c>
      <c r="W2204">
        <v>45.544199999999996</v>
      </c>
      <c r="X2204">
        <v>-25.36553</v>
      </c>
    </row>
    <row r="2205" spans="1:24" x14ac:dyDescent="0.35">
      <c r="A2205" s="3" t="str">
        <f t="shared" si="34"/>
        <v>MG52514011089001MAM</v>
      </c>
      <c r="B2205" t="s">
        <v>6211</v>
      </c>
      <c r="C2205">
        <f>+VLOOKUP(Sites_per_tag[[#This Row],[Field_office]],Parameter!$A$3:$B$11,2,0)</f>
        <v>6</v>
      </c>
      <c r="E2205" t="s">
        <v>5646</v>
      </c>
      <c r="F2205" t="s">
        <v>5647</v>
      </c>
      <c r="H2205" t="str">
        <f ca="1">PROPER(Sites_per_tag[[#This Row],[Adm2Name]])</f>
        <v>Tsihombe</v>
      </c>
      <c r="I2205" t="s">
        <v>5731</v>
      </c>
      <c r="K2205" t="s">
        <v>5610</v>
      </c>
      <c r="L2205" t="s">
        <v>6147</v>
      </c>
      <c r="N2205" t="s">
        <v>3834</v>
      </c>
      <c r="O2205" t="s">
        <v>5546</v>
      </c>
      <c r="Q2205" t="s">
        <v>3834</v>
      </c>
      <c r="R2205" t="s">
        <v>3835</v>
      </c>
      <c r="T2205" t="s">
        <v>5</v>
      </c>
      <c r="U2205" s="3" t="str">
        <f>+VLOOKUP(Sites_per_tag[[#This Row],[Activity_tag]],Parameter!$A$24:$B$32,2,0)</f>
        <v>MAM</v>
      </c>
      <c r="W2205">
        <v>45.64293</v>
      </c>
      <c r="X2205">
        <v>-25.273050000000001</v>
      </c>
    </row>
    <row r="2206" spans="1:24" x14ac:dyDescent="0.35">
      <c r="A2206" s="3" t="str">
        <f t="shared" si="34"/>
        <v>MG52514012012001MAM</v>
      </c>
      <c r="B2206" t="s">
        <v>6211</v>
      </c>
      <c r="C2206">
        <f>+VLOOKUP(Sites_per_tag[[#This Row],[Field_office]],Parameter!$A$3:$B$11,2,0)</f>
        <v>6</v>
      </c>
      <c r="E2206" t="s">
        <v>5646</v>
      </c>
      <c r="F2206" t="s">
        <v>5647</v>
      </c>
      <c r="H2206" t="str">
        <f ca="1">PROPER(Sites_per_tag[[#This Row],[Adm2Name]])</f>
        <v>Tsihombe</v>
      </c>
      <c r="I2206" t="s">
        <v>5731</v>
      </c>
      <c r="K2206" t="s">
        <v>5961</v>
      </c>
      <c r="L2206" t="s">
        <v>6082</v>
      </c>
      <c r="N2206" t="s">
        <v>1332</v>
      </c>
      <c r="O2206" t="s">
        <v>5385</v>
      </c>
      <c r="Q2206" t="s">
        <v>1332</v>
      </c>
      <c r="R2206" t="s">
        <v>1333</v>
      </c>
      <c r="T2206" t="s">
        <v>5</v>
      </c>
      <c r="U2206" s="3" t="str">
        <f>+VLOOKUP(Sites_per_tag[[#This Row],[Activity_tag]],Parameter!$A$24:$B$32,2,0)</f>
        <v>MAM</v>
      </c>
      <c r="W2206">
        <v>45.359749999999998</v>
      </c>
      <c r="X2206">
        <v>-25.393180000000001</v>
      </c>
    </row>
    <row r="2207" spans="1:24" x14ac:dyDescent="0.35">
      <c r="A2207" s="3" t="str">
        <f t="shared" si="34"/>
        <v>MG52514012014001MAM</v>
      </c>
      <c r="B2207" t="s">
        <v>6211</v>
      </c>
      <c r="C2207">
        <f>+VLOOKUP(Sites_per_tag[[#This Row],[Field_office]],Parameter!$A$3:$B$11,2,0)</f>
        <v>6</v>
      </c>
      <c r="E2207" t="s">
        <v>5646</v>
      </c>
      <c r="F2207" t="s">
        <v>5647</v>
      </c>
      <c r="H2207" t="str">
        <f ca="1">PROPER(Sites_per_tag[[#This Row],[Adm2Name]])</f>
        <v>Tsihombe</v>
      </c>
      <c r="I2207" t="s">
        <v>5731</v>
      </c>
      <c r="K2207" t="s">
        <v>5961</v>
      </c>
      <c r="L2207" t="s">
        <v>6082</v>
      </c>
      <c r="N2207" t="s">
        <v>3264</v>
      </c>
      <c r="O2207" t="s">
        <v>5386</v>
      </c>
      <c r="Q2207" t="s">
        <v>3264</v>
      </c>
      <c r="R2207" t="s">
        <v>3265</v>
      </c>
      <c r="T2207" t="s">
        <v>5</v>
      </c>
      <c r="U2207" s="3" t="str">
        <f>+VLOOKUP(Sites_per_tag[[#This Row],[Activity_tag]],Parameter!$A$24:$B$32,2,0)</f>
        <v>MAM</v>
      </c>
      <c r="W2207">
        <v>45.460279999999997</v>
      </c>
      <c r="X2207">
        <v>-25.390329999999999</v>
      </c>
    </row>
    <row r="2208" spans="1:24" x14ac:dyDescent="0.35">
      <c r="A2208" s="3" t="str">
        <f t="shared" si="34"/>
        <v>MG52514012015001MAM</v>
      </c>
      <c r="B2208" t="s">
        <v>6211</v>
      </c>
      <c r="C2208">
        <f>+VLOOKUP(Sites_per_tag[[#This Row],[Field_office]],Parameter!$A$3:$B$11,2,0)</f>
        <v>6</v>
      </c>
      <c r="E2208" t="s">
        <v>5646</v>
      </c>
      <c r="F2208" t="s">
        <v>5647</v>
      </c>
      <c r="H2208" t="str">
        <f ca="1">PROPER(Sites_per_tag[[#This Row],[Adm2Name]])</f>
        <v>Tsihombe</v>
      </c>
      <c r="I2208" t="s">
        <v>5731</v>
      </c>
      <c r="K2208" t="s">
        <v>5961</v>
      </c>
      <c r="L2208" t="s">
        <v>6082</v>
      </c>
      <c r="N2208" t="s">
        <v>692</v>
      </c>
      <c r="O2208" t="s">
        <v>5387</v>
      </c>
      <c r="Q2208" t="s">
        <v>692</v>
      </c>
      <c r="R2208" t="s">
        <v>693</v>
      </c>
      <c r="T2208" t="s">
        <v>5</v>
      </c>
      <c r="U2208" s="3" t="str">
        <f>+VLOOKUP(Sites_per_tag[[#This Row],[Activity_tag]],Parameter!$A$24:$B$32,2,0)</f>
        <v>MAM</v>
      </c>
      <c r="W2208">
        <v>45.503549999999997</v>
      </c>
      <c r="X2208">
        <v>-25.423919999999999</v>
      </c>
    </row>
    <row r="2209" spans="1:24" x14ac:dyDescent="0.35">
      <c r="A2209" s="3" t="str">
        <f t="shared" si="34"/>
        <v>MG52514012023001MAM</v>
      </c>
      <c r="B2209" t="s">
        <v>6211</v>
      </c>
      <c r="C2209">
        <f>+VLOOKUP(Sites_per_tag[[#This Row],[Field_office]],Parameter!$A$3:$B$11,2,0)</f>
        <v>6</v>
      </c>
      <c r="E2209" t="s">
        <v>5646</v>
      </c>
      <c r="F2209" t="s">
        <v>5647</v>
      </c>
      <c r="H2209" t="str">
        <f ca="1">PROPER(Sites_per_tag[[#This Row],[Adm2Name]])</f>
        <v>Tsihombe</v>
      </c>
      <c r="I2209" t="s">
        <v>5731</v>
      </c>
      <c r="K2209" t="s">
        <v>5961</v>
      </c>
      <c r="L2209" t="s">
        <v>6082</v>
      </c>
      <c r="N2209" t="s">
        <v>3555</v>
      </c>
      <c r="O2209" t="s">
        <v>5388</v>
      </c>
      <c r="Q2209" t="s">
        <v>3555</v>
      </c>
      <c r="R2209" t="s">
        <v>3556</v>
      </c>
      <c r="T2209" t="s">
        <v>5</v>
      </c>
      <c r="U2209" s="3" t="str">
        <f>+VLOOKUP(Sites_per_tag[[#This Row],[Activity_tag]],Parameter!$A$24:$B$32,2,0)</f>
        <v>MAM</v>
      </c>
      <c r="W2209">
        <v>45.580179999999999</v>
      </c>
      <c r="X2209">
        <v>-25.418150000000001</v>
      </c>
    </row>
    <row r="2210" spans="1:24" x14ac:dyDescent="0.35">
      <c r="A2210" s="3" t="str">
        <f t="shared" si="34"/>
        <v>MG52514012076001MAM</v>
      </c>
      <c r="B2210" t="s">
        <v>6211</v>
      </c>
      <c r="C2210">
        <f>+VLOOKUP(Sites_per_tag[[#This Row],[Field_office]],Parameter!$A$3:$B$11,2,0)</f>
        <v>6</v>
      </c>
      <c r="E2210" t="s">
        <v>5646</v>
      </c>
      <c r="F2210" t="s">
        <v>5647</v>
      </c>
      <c r="H2210" t="str">
        <f ca="1">PROPER(Sites_per_tag[[#This Row],[Adm2Name]])</f>
        <v>Tsihombe</v>
      </c>
      <c r="I2210" t="s">
        <v>5731</v>
      </c>
      <c r="K2210" t="s">
        <v>5961</v>
      </c>
      <c r="L2210" t="s">
        <v>6082</v>
      </c>
      <c r="N2210" t="s">
        <v>480</v>
      </c>
      <c r="O2210" t="s">
        <v>5389</v>
      </c>
      <c r="Q2210" t="s">
        <v>480</v>
      </c>
      <c r="R2210" t="s">
        <v>481</v>
      </c>
      <c r="T2210" t="s">
        <v>5</v>
      </c>
      <c r="U2210" s="3" t="str">
        <f>+VLOOKUP(Sites_per_tag[[#This Row],[Activity_tag]],Parameter!$A$24:$B$32,2,0)</f>
        <v>MAM</v>
      </c>
      <c r="W2210">
        <v>45.503549999999997</v>
      </c>
      <c r="X2210">
        <v>-25.423919999999999</v>
      </c>
    </row>
    <row r="2211" spans="1:24" x14ac:dyDescent="0.35">
      <c r="A2211" s="3" t="str">
        <f t="shared" si="34"/>
        <v>MG52514012077001MAM</v>
      </c>
      <c r="B2211" t="s">
        <v>6211</v>
      </c>
      <c r="C2211">
        <f>+VLOOKUP(Sites_per_tag[[#This Row],[Field_office]],Parameter!$A$3:$B$11,2,0)</f>
        <v>6</v>
      </c>
      <c r="E2211" t="s">
        <v>5646</v>
      </c>
      <c r="F2211" t="s">
        <v>5647</v>
      </c>
      <c r="H2211" t="str">
        <f ca="1">PROPER(Sites_per_tag[[#This Row],[Adm2Name]])</f>
        <v>Tsihombe</v>
      </c>
      <c r="I2211" t="s">
        <v>5731</v>
      </c>
      <c r="K2211" t="s">
        <v>5961</v>
      </c>
      <c r="L2211" t="s">
        <v>6082</v>
      </c>
      <c r="N2211" t="s">
        <v>2644</v>
      </c>
      <c r="O2211" t="s">
        <v>5390</v>
      </c>
      <c r="Q2211" t="s">
        <v>2644</v>
      </c>
      <c r="R2211" t="s">
        <v>2645</v>
      </c>
      <c r="T2211" t="s">
        <v>5</v>
      </c>
      <c r="U2211" s="3" t="str">
        <f>+VLOOKUP(Sites_per_tag[[#This Row],[Activity_tag]],Parameter!$A$24:$B$32,2,0)</f>
        <v>MAM</v>
      </c>
      <c r="W2211">
        <v>45.363819999999997</v>
      </c>
      <c r="X2211">
        <v>-25.371169999999999</v>
      </c>
    </row>
    <row r="2212" spans="1:24" x14ac:dyDescent="0.35">
      <c r="A2212" s="3" t="str">
        <f t="shared" si="34"/>
        <v>MG52514012078001MAM</v>
      </c>
      <c r="B2212" t="s">
        <v>6211</v>
      </c>
      <c r="C2212">
        <f>+VLOOKUP(Sites_per_tag[[#This Row],[Field_office]],Parameter!$A$3:$B$11,2,0)</f>
        <v>6</v>
      </c>
      <c r="E2212" t="s">
        <v>5646</v>
      </c>
      <c r="F2212" t="s">
        <v>5647</v>
      </c>
      <c r="H2212" t="str">
        <f ca="1">PROPER(Sites_per_tag[[#This Row],[Adm2Name]])</f>
        <v>Tsihombe</v>
      </c>
      <c r="I2212" t="s">
        <v>5731</v>
      </c>
      <c r="K2212" t="s">
        <v>5961</v>
      </c>
      <c r="L2212" t="s">
        <v>6082</v>
      </c>
      <c r="N2212" t="s">
        <v>2955</v>
      </c>
      <c r="O2212" t="s">
        <v>5391</v>
      </c>
      <c r="Q2212" t="s">
        <v>2955</v>
      </c>
      <c r="R2212" t="s">
        <v>2956</v>
      </c>
      <c r="T2212" t="s">
        <v>5</v>
      </c>
      <c r="U2212" s="3" t="str">
        <f>+VLOOKUP(Sites_per_tag[[#This Row],[Activity_tag]],Parameter!$A$24:$B$32,2,0)</f>
        <v>MAM</v>
      </c>
      <c r="W2212">
        <v>45.604500000000002</v>
      </c>
      <c r="X2212">
        <v>-25.389520000000001</v>
      </c>
    </row>
    <row r="2213" spans="1:24" x14ac:dyDescent="0.35">
      <c r="A2213" s="3" t="str">
        <f t="shared" si="34"/>
        <v>MG52514012079001MAM</v>
      </c>
      <c r="B2213" t="s">
        <v>6211</v>
      </c>
      <c r="C2213">
        <f>+VLOOKUP(Sites_per_tag[[#This Row],[Field_office]],Parameter!$A$3:$B$11,2,0)</f>
        <v>6</v>
      </c>
      <c r="E2213" t="s">
        <v>5646</v>
      </c>
      <c r="F2213" t="s">
        <v>5647</v>
      </c>
      <c r="H2213" t="str">
        <f ca="1">PROPER(Sites_per_tag[[#This Row],[Adm2Name]])</f>
        <v>Tsihombe</v>
      </c>
      <c r="I2213" t="s">
        <v>5731</v>
      </c>
      <c r="K2213" t="s">
        <v>5961</v>
      </c>
      <c r="L2213" t="s">
        <v>6082</v>
      </c>
      <c r="N2213" t="s">
        <v>3553</v>
      </c>
      <c r="O2213" t="s">
        <v>5392</v>
      </c>
      <c r="Q2213" t="s">
        <v>3553</v>
      </c>
      <c r="R2213" t="s">
        <v>3554</v>
      </c>
      <c r="T2213" t="s">
        <v>5</v>
      </c>
      <c r="U2213" s="3" t="str">
        <f>+VLOOKUP(Sites_per_tag[[#This Row],[Activity_tag]],Parameter!$A$24:$B$32,2,0)</f>
        <v>MAM</v>
      </c>
      <c r="W2213">
        <v>45.61918</v>
      </c>
      <c r="X2213">
        <v>-25.382000000000001</v>
      </c>
    </row>
    <row r="2214" spans="1:24" x14ac:dyDescent="0.35">
      <c r="A2214" s="3" t="str">
        <f t="shared" si="34"/>
        <v>MG52514012080001MAM</v>
      </c>
      <c r="B2214" t="s">
        <v>6211</v>
      </c>
      <c r="C2214">
        <f>+VLOOKUP(Sites_per_tag[[#This Row],[Field_office]],Parameter!$A$3:$B$11,2,0)</f>
        <v>6</v>
      </c>
      <c r="E2214" t="s">
        <v>5646</v>
      </c>
      <c r="F2214" t="s">
        <v>5647</v>
      </c>
      <c r="H2214" t="str">
        <f ca="1">PROPER(Sites_per_tag[[#This Row],[Adm2Name]])</f>
        <v>Tsihombe</v>
      </c>
      <c r="I2214" t="s">
        <v>5731</v>
      </c>
      <c r="K2214" t="s">
        <v>5961</v>
      </c>
      <c r="L2214" t="s">
        <v>6082</v>
      </c>
      <c r="N2214" t="s">
        <v>3585</v>
      </c>
      <c r="O2214" t="s">
        <v>5393</v>
      </c>
      <c r="Q2214" t="s">
        <v>3585</v>
      </c>
      <c r="R2214" t="s">
        <v>3586</v>
      </c>
      <c r="T2214" t="s">
        <v>5</v>
      </c>
      <c r="U2214" s="3" t="str">
        <f>+VLOOKUP(Sites_per_tag[[#This Row],[Activity_tag]],Parameter!$A$24:$B$32,2,0)</f>
        <v>MAM</v>
      </c>
      <c r="W2214">
        <v>45.404980000000002</v>
      </c>
      <c r="X2214">
        <v>-25.403580000000002</v>
      </c>
    </row>
    <row r="2215" spans="1:24" x14ac:dyDescent="0.35">
      <c r="A2215" s="3" t="str">
        <f t="shared" si="34"/>
        <v>MG52514031006001MAM</v>
      </c>
      <c r="B2215" t="s">
        <v>6193</v>
      </c>
      <c r="C2215">
        <f>+VLOOKUP(Sites_per_tag[[#This Row],[Field_office]],Parameter!$A$3:$B$11,2,0)</f>
        <v>4</v>
      </c>
      <c r="E2215" t="s">
        <v>5658</v>
      </c>
      <c r="F2215" t="s">
        <v>5659</v>
      </c>
      <c r="H2215" t="str">
        <f ca="1">PROPER(Sites_per_tag[[#This Row],[Adm2Name]])</f>
        <v>Vangaindrano</v>
      </c>
      <c r="I2215" t="s">
        <v>5734</v>
      </c>
      <c r="K2215" t="s">
        <v>1936</v>
      </c>
      <c r="L2215" t="s">
        <v>5911</v>
      </c>
      <c r="N2215" t="s">
        <v>1936</v>
      </c>
      <c r="O2215" t="s">
        <v>4833</v>
      </c>
      <c r="Q2215" t="s">
        <v>1936</v>
      </c>
      <c r="R2215" t="s">
        <v>1937</v>
      </c>
      <c r="T2215" t="s">
        <v>5</v>
      </c>
      <c r="U2215" s="3" t="str">
        <f>+VLOOKUP(Sites_per_tag[[#This Row],[Activity_tag]],Parameter!$A$24:$B$32,2,0)</f>
        <v>MAM</v>
      </c>
      <c r="W2215">
        <v>47.501015000000002</v>
      </c>
      <c r="X2215">
        <v>-23.160025000000001</v>
      </c>
    </row>
    <row r="2216" spans="1:24" x14ac:dyDescent="0.35">
      <c r="A2216" s="3" t="str">
        <f t="shared" si="34"/>
        <v>MG52514050005001MAM</v>
      </c>
      <c r="B2216" t="s">
        <v>6211</v>
      </c>
      <c r="C2216">
        <f>+VLOOKUP(Sites_per_tag[[#This Row],[Field_office]],Parameter!$A$3:$B$11,2,0)</f>
        <v>6</v>
      </c>
      <c r="E2216" t="s">
        <v>5646</v>
      </c>
      <c r="F2216" t="s">
        <v>5647</v>
      </c>
      <c r="H2216" t="str">
        <f ca="1">PROPER(Sites_per_tag[[#This Row],[Adm2Name]])</f>
        <v>Ambovombe-Androy</v>
      </c>
      <c r="I2216" t="s">
        <v>5655</v>
      </c>
      <c r="K2216" t="s">
        <v>4513</v>
      </c>
      <c r="L2216" t="s">
        <v>5773</v>
      </c>
      <c r="N2216" t="s">
        <v>6515</v>
      </c>
      <c r="O2216" t="s">
        <v>4511</v>
      </c>
      <c r="Q2216" t="s">
        <v>3028</v>
      </c>
      <c r="R2216" t="s">
        <v>3029</v>
      </c>
      <c r="T2216" t="s">
        <v>5</v>
      </c>
      <c r="U2216" s="3" t="str">
        <f>+VLOOKUP(Sites_per_tag[[#This Row],[Activity_tag]],Parameter!$A$24:$B$32,2,0)</f>
        <v>MAM</v>
      </c>
      <c r="W2216">
        <v>45.298949999999998</v>
      </c>
      <c r="X2216">
        <v>-25.4876</v>
      </c>
    </row>
    <row r="2217" spans="1:24" x14ac:dyDescent="0.35">
      <c r="A2217" s="3" t="str">
        <f t="shared" si="34"/>
        <v>MG52514050008001MAM</v>
      </c>
      <c r="B2217" t="s">
        <v>6211</v>
      </c>
      <c r="C2217">
        <f>+VLOOKUP(Sites_per_tag[[#This Row],[Field_office]],Parameter!$A$3:$B$11,2,0)</f>
        <v>6</v>
      </c>
      <c r="E2217" t="s">
        <v>5646</v>
      </c>
      <c r="F2217" t="s">
        <v>5647</v>
      </c>
      <c r="H2217" t="str">
        <f ca="1">PROPER(Sites_per_tag[[#This Row],[Adm2Name]])</f>
        <v>Tsihombe</v>
      </c>
      <c r="I2217" t="s">
        <v>5731</v>
      </c>
      <c r="K2217" t="s">
        <v>3101</v>
      </c>
      <c r="L2217" t="s">
        <v>6053</v>
      </c>
      <c r="N2217" t="s">
        <v>3526</v>
      </c>
      <c r="O2217" t="s">
        <v>5327</v>
      </c>
      <c r="Q2217" t="s">
        <v>3526</v>
      </c>
      <c r="R2217" t="s">
        <v>3527</v>
      </c>
      <c r="T2217" t="s">
        <v>5</v>
      </c>
      <c r="U2217" s="3" t="str">
        <f>+VLOOKUP(Sites_per_tag[[#This Row],[Activity_tag]],Parameter!$A$24:$B$32,2,0)</f>
        <v>MAM</v>
      </c>
      <c r="W2217">
        <v>45.314720000000001</v>
      </c>
      <c r="X2217">
        <v>-25.517849999999999</v>
      </c>
    </row>
    <row r="2218" spans="1:24" x14ac:dyDescent="0.35">
      <c r="A2218" s="3" t="str">
        <f t="shared" si="34"/>
        <v>MG52514050011001MAM</v>
      </c>
      <c r="B2218" t="s">
        <v>6211</v>
      </c>
      <c r="C2218">
        <f>+VLOOKUP(Sites_per_tag[[#This Row],[Field_office]],Parameter!$A$3:$B$11,2,0)</f>
        <v>6</v>
      </c>
      <c r="E2218" t="s">
        <v>5646</v>
      </c>
      <c r="F2218" t="s">
        <v>5647</v>
      </c>
      <c r="H2218" t="str">
        <f ca="1">PROPER(Sites_per_tag[[#This Row],[Adm2Name]])</f>
        <v>Beloha</v>
      </c>
      <c r="I2218" t="s">
        <v>5685</v>
      </c>
      <c r="K2218" t="s">
        <v>2658</v>
      </c>
      <c r="L2218" t="s">
        <v>5995</v>
      </c>
      <c r="N2218" t="s">
        <v>1604</v>
      </c>
      <c r="O2218" t="s">
        <v>5157</v>
      </c>
      <c r="Q2218" t="s">
        <v>1604</v>
      </c>
      <c r="R2218" t="s">
        <v>1605</v>
      </c>
      <c r="T2218" t="s">
        <v>5</v>
      </c>
      <c r="U2218" s="3" t="str">
        <f>+VLOOKUP(Sites_per_tag[[#This Row],[Activity_tag]],Parameter!$A$24:$B$32,2,0)</f>
        <v>MAM</v>
      </c>
      <c r="W2218">
        <v>45.340150000000001</v>
      </c>
      <c r="X2218">
        <v>-25.507670000000001</v>
      </c>
    </row>
    <row r="2219" spans="1:24" x14ac:dyDescent="0.35">
      <c r="A2219" s="3" t="str">
        <f t="shared" si="34"/>
        <v>MG52514050012001MAM</v>
      </c>
      <c r="B2219" t="s">
        <v>6211</v>
      </c>
      <c r="C2219">
        <f>+VLOOKUP(Sites_per_tag[[#This Row],[Field_office]],Parameter!$A$3:$B$11,2,0)</f>
        <v>6</v>
      </c>
      <c r="E2219" t="s">
        <v>5646</v>
      </c>
      <c r="F2219" t="s">
        <v>5647</v>
      </c>
      <c r="H2219" t="str">
        <f ca="1">PROPER(Sites_per_tag[[#This Row],[Adm2Name]])</f>
        <v>Ambovombe-Androy</v>
      </c>
      <c r="I2219" t="s">
        <v>5655</v>
      </c>
      <c r="K2219" t="s">
        <v>4324</v>
      </c>
      <c r="L2219" t="s">
        <v>5702</v>
      </c>
      <c r="N2219" t="s">
        <v>4324</v>
      </c>
      <c r="O2219" t="s">
        <v>4323</v>
      </c>
      <c r="Q2219" t="s">
        <v>287</v>
      </c>
      <c r="R2219" t="s">
        <v>288</v>
      </c>
      <c r="T2219" t="s">
        <v>5</v>
      </c>
      <c r="U2219" s="3" t="str">
        <f>+VLOOKUP(Sites_per_tag[[#This Row],[Activity_tag]],Parameter!$A$24:$B$32,2,0)</f>
        <v>MAM</v>
      </c>
      <c r="W2219">
        <v>45.369300000000003</v>
      </c>
      <c r="X2219">
        <v>-25.531320000000001</v>
      </c>
    </row>
    <row r="2220" spans="1:24" x14ac:dyDescent="0.35">
      <c r="A2220" s="3" t="str">
        <f t="shared" si="34"/>
        <v>MG52514050013001MAM</v>
      </c>
      <c r="B2220" t="s">
        <v>6211</v>
      </c>
      <c r="C2220">
        <f>+VLOOKUP(Sites_per_tag[[#This Row],[Field_office]],Parameter!$A$3:$B$11,2,0)</f>
        <v>6</v>
      </c>
      <c r="E2220" t="s">
        <v>5646</v>
      </c>
      <c r="F2220" t="s">
        <v>5647</v>
      </c>
      <c r="H2220" t="str">
        <f ca="1">PROPER(Sites_per_tag[[#This Row],[Adm2Name]])</f>
        <v>Tsihombe</v>
      </c>
      <c r="I2220" t="s">
        <v>5731</v>
      </c>
      <c r="K2220" t="s">
        <v>3101</v>
      </c>
      <c r="L2220" t="s">
        <v>6053</v>
      </c>
      <c r="N2220" t="s">
        <v>2935</v>
      </c>
      <c r="O2220" t="s">
        <v>5328</v>
      </c>
      <c r="Q2220" t="s">
        <v>2935</v>
      </c>
      <c r="R2220" t="s">
        <v>2936</v>
      </c>
      <c r="T2220" t="s">
        <v>5</v>
      </c>
      <c r="U2220" s="3" t="str">
        <f>+VLOOKUP(Sites_per_tag[[#This Row],[Activity_tag]],Parameter!$A$24:$B$32,2,0)</f>
        <v>MAM</v>
      </c>
      <c r="W2220">
        <v>45.273949999999999</v>
      </c>
      <c r="X2220">
        <v>-25.520199999999999</v>
      </c>
    </row>
    <row r="2221" spans="1:24" x14ac:dyDescent="0.35">
      <c r="A2221" s="3" t="str">
        <f t="shared" si="34"/>
        <v>MG52514050075001MAM</v>
      </c>
      <c r="B2221" t="s">
        <v>6211</v>
      </c>
      <c r="C2221">
        <f>+VLOOKUP(Sites_per_tag[[#This Row],[Field_office]],Parameter!$A$3:$B$11,2,0)</f>
        <v>6</v>
      </c>
      <c r="E2221" t="s">
        <v>5646</v>
      </c>
      <c r="F2221" t="s">
        <v>5647</v>
      </c>
      <c r="H2221" t="str">
        <f ca="1">PROPER(Sites_per_tag[[#This Row],[Adm2Name]])</f>
        <v>Tsihombe</v>
      </c>
      <c r="I2221" t="s">
        <v>5731</v>
      </c>
      <c r="K2221" t="s">
        <v>3101</v>
      </c>
      <c r="L2221" t="s">
        <v>6053</v>
      </c>
      <c r="N2221" t="s">
        <v>3295</v>
      </c>
      <c r="O2221" t="s">
        <v>5329</v>
      </c>
      <c r="Q2221" t="s">
        <v>3295</v>
      </c>
      <c r="R2221" t="s">
        <v>3296</v>
      </c>
      <c r="T2221" t="s">
        <v>5</v>
      </c>
      <c r="U2221" s="3" t="str">
        <f>+VLOOKUP(Sites_per_tag[[#This Row],[Activity_tag]],Parameter!$A$24:$B$32,2,0)</f>
        <v>MAM</v>
      </c>
      <c r="W2221">
        <v>45.331629999999997</v>
      </c>
      <c r="X2221">
        <v>-25.48958</v>
      </c>
    </row>
    <row r="2222" spans="1:24" x14ac:dyDescent="0.35">
      <c r="A2222" s="3" t="str">
        <f t="shared" si="34"/>
        <v>MG52514050076001MAM</v>
      </c>
      <c r="B2222" t="s">
        <v>6211</v>
      </c>
      <c r="C2222">
        <f>+VLOOKUP(Sites_per_tag[[#This Row],[Field_office]],Parameter!$A$3:$B$11,2,0)</f>
        <v>6</v>
      </c>
      <c r="E2222" t="s">
        <v>5646</v>
      </c>
      <c r="F2222" t="s">
        <v>5647</v>
      </c>
      <c r="H2222" t="str">
        <f ca="1">PROPER(Sites_per_tag[[#This Row],[Adm2Name]])</f>
        <v>Tsihombe</v>
      </c>
      <c r="I2222" t="s">
        <v>5731</v>
      </c>
      <c r="K2222" t="s">
        <v>3101</v>
      </c>
      <c r="L2222" t="s">
        <v>6053</v>
      </c>
      <c r="N2222" t="s">
        <v>2095</v>
      </c>
      <c r="O2222" t="s">
        <v>5330</v>
      </c>
      <c r="Q2222" t="s">
        <v>2095</v>
      </c>
      <c r="R2222" t="s">
        <v>2096</v>
      </c>
      <c r="T2222" t="s">
        <v>5</v>
      </c>
      <c r="U2222" s="3" t="str">
        <f>+VLOOKUP(Sites_per_tag[[#This Row],[Activity_tag]],Parameter!$A$24:$B$32,2,0)</f>
        <v>MAM</v>
      </c>
      <c r="W2222">
        <v>45.180230000000002</v>
      </c>
      <c r="X2222">
        <v>-25.545870000000001</v>
      </c>
    </row>
    <row r="2223" spans="1:24" x14ac:dyDescent="0.35">
      <c r="A2223" s="3" t="str">
        <f t="shared" si="34"/>
        <v>MG52514050077001MAM</v>
      </c>
      <c r="B2223" t="s">
        <v>6211</v>
      </c>
      <c r="C2223">
        <f>+VLOOKUP(Sites_per_tag[[#This Row],[Field_office]],Parameter!$A$3:$B$11,2,0)</f>
        <v>6</v>
      </c>
      <c r="E2223" t="s">
        <v>5646</v>
      </c>
      <c r="F2223" t="s">
        <v>5647</v>
      </c>
      <c r="H2223" t="str">
        <f ca="1">PROPER(Sites_per_tag[[#This Row],[Adm2Name]])</f>
        <v>Tsihombe</v>
      </c>
      <c r="I2223" t="s">
        <v>5731</v>
      </c>
      <c r="K2223" t="s">
        <v>3101</v>
      </c>
      <c r="L2223" t="s">
        <v>6053</v>
      </c>
      <c r="N2223" t="s">
        <v>1422</v>
      </c>
      <c r="O2223" t="s">
        <v>5331</v>
      </c>
      <c r="Q2223" t="s">
        <v>1422</v>
      </c>
      <c r="R2223" t="s">
        <v>1423</v>
      </c>
      <c r="T2223" t="s">
        <v>5</v>
      </c>
      <c r="U2223" s="3" t="str">
        <f>+VLOOKUP(Sites_per_tag[[#This Row],[Activity_tag]],Parameter!$A$24:$B$32,2,0)</f>
        <v>MAM</v>
      </c>
      <c r="W2223">
        <v>45.311199999999999</v>
      </c>
      <c r="X2223">
        <v>-25.48488</v>
      </c>
    </row>
    <row r="2224" spans="1:24" x14ac:dyDescent="0.35">
      <c r="A2224" s="3" t="str">
        <f t="shared" si="34"/>
        <v>MG52514050078001MAM</v>
      </c>
      <c r="B2224" t="s">
        <v>6211</v>
      </c>
      <c r="C2224">
        <f>+VLOOKUP(Sites_per_tag[[#This Row],[Field_office]],Parameter!$A$3:$B$11,2,0)</f>
        <v>6</v>
      </c>
      <c r="E2224" t="s">
        <v>5646</v>
      </c>
      <c r="F2224" t="s">
        <v>5647</v>
      </c>
      <c r="H2224" t="str">
        <f ca="1">PROPER(Sites_per_tag[[#This Row],[Adm2Name]])</f>
        <v>Tsihombe</v>
      </c>
      <c r="I2224" t="s">
        <v>5731</v>
      </c>
      <c r="K2224" t="s">
        <v>3101</v>
      </c>
      <c r="L2224" t="s">
        <v>6053</v>
      </c>
      <c r="N2224" t="s">
        <v>145</v>
      </c>
      <c r="O2224" t="s">
        <v>5332</v>
      </c>
      <c r="Q2224" t="s">
        <v>145</v>
      </c>
      <c r="R2224" t="s">
        <v>146</v>
      </c>
      <c r="T2224" t="s">
        <v>5</v>
      </c>
      <c r="U2224" s="3" t="str">
        <f>+VLOOKUP(Sites_per_tag[[#This Row],[Activity_tag]],Parameter!$A$24:$B$32,2,0)</f>
        <v>MAM</v>
      </c>
      <c r="W2224">
        <v>45.250320000000002</v>
      </c>
      <c r="X2224">
        <v>-25.48265</v>
      </c>
    </row>
    <row r="2225" spans="1:24" x14ac:dyDescent="0.35">
      <c r="A2225" s="3" t="str">
        <f t="shared" si="34"/>
        <v>MG52514050079001MAM</v>
      </c>
      <c r="B2225" t="s">
        <v>6211</v>
      </c>
      <c r="C2225">
        <f>+VLOOKUP(Sites_per_tag[[#This Row],[Field_office]],Parameter!$A$3:$B$11,2,0)</f>
        <v>6</v>
      </c>
      <c r="E2225" t="s">
        <v>5646</v>
      </c>
      <c r="F2225" t="s">
        <v>5647</v>
      </c>
      <c r="H2225" t="str">
        <f ca="1">PROPER(Sites_per_tag[[#This Row],[Adm2Name]])</f>
        <v>Tsihombe</v>
      </c>
      <c r="I2225" t="s">
        <v>5731</v>
      </c>
      <c r="K2225" t="s">
        <v>3101</v>
      </c>
      <c r="L2225" t="s">
        <v>6053</v>
      </c>
      <c r="N2225" t="s">
        <v>890</v>
      </c>
      <c r="O2225" t="s">
        <v>5333</v>
      </c>
      <c r="Q2225" t="s">
        <v>890</v>
      </c>
      <c r="R2225" t="s">
        <v>891</v>
      </c>
      <c r="T2225" t="s">
        <v>5</v>
      </c>
      <c r="U2225" s="3" t="str">
        <f>+VLOOKUP(Sites_per_tag[[#This Row],[Activity_tag]],Parameter!$A$24:$B$32,2,0)</f>
        <v>MAM</v>
      </c>
      <c r="W2225">
        <v>45.305579999999999</v>
      </c>
      <c r="X2225">
        <v>-25.505030000000001</v>
      </c>
    </row>
    <row r="2226" spans="1:24" x14ac:dyDescent="0.35">
      <c r="A2226" s="3" t="str">
        <f t="shared" si="34"/>
        <v>MG52514050080001MAM</v>
      </c>
      <c r="B2226" t="s">
        <v>6211</v>
      </c>
      <c r="C2226">
        <f>+VLOOKUP(Sites_per_tag[[#This Row],[Field_office]],Parameter!$A$3:$B$11,2,0)</f>
        <v>6</v>
      </c>
      <c r="E2226" t="s">
        <v>5646</v>
      </c>
      <c r="F2226" t="s">
        <v>5647</v>
      </c>
      <c r="H2226" t="str">
        <f ca="1">PROPER(Sites_per_tag[[#This Row],[Adm2Name]])</f>
        <v>Beloha</v>
      </c>
      <c r="I2226" t="s">
        <v>5685</v>
      </c>
      <c r="K2226" t="s">
        <v>2658</v>
      </c>
      <c r="L2226" t="s">
        <v>5995</v>
      </c>
      <c r="N2226" t="s">
        <v>2658</v>
      </c>
      <c r="O2226" t="s">
        <v>5158</v>
      </c>
      <c r="Q2226" t="s">
        <v>2658</v>
      </c>
      <c r="R2226" t="s">
        <v>2659</v>
      </c>
      <c r="T2226" t="s">
        <v>5</v>
      </c>
      <c r="U2226" s="3" t="str">
        <f>+VLOOKUP(Sites_per_tag[[#This Row],[Activity_tag]],Parameter!$A$24:$B$32,2,0)</f>
        <v>MAM</v>
      </c>
      <c r="W2226">
        <v>45.205469999999998</v>
      </c>
      <c r="X2226">
        <v>-25.207830000000001</v>
      </c>
    </row>
    <row r="2227" spans="1:24" x14ac:dyDescent="0.35">
      <c r="A2227" s="3" t="str">
        <f t="shared" si="34"/>
        <v>MG52514071006001MAM</v>
      </c>
      <c r="B2227" t="s">
        <v>6211</v>
      </c>
      <c r="C2227">
        <f>+VLOOKUP(Sites_per_tag[[#This Row],[Field_office]],Parameter!$A$3:$B$11,2,0)</f>
        <v>6</v>
      </c>
      <c r="E2227" t="s">
        <v>5646</v>
      </c>
      <c r="F2227" t="s">
        <v>5647</v>
      </c>
      <c r="H2227" t="str">
        <f ca="1">PROPER(Sites_per_tag[[#This Row],[Adm2Name]])</f>
        <v>Tsihombe</v>
      </c>
      <c r="I2227" t="s">
        <v>5731</v>
      </c>
      <c r="K2227" t="s">
        <v>1522</v>
      </c>
      <c r="L2227" t="s">
        <v>5860</v>
      </c>
      <c r="N2227" t="s">
        <v>1077</v>
      </c>
      <c r="O2227" t="s">
        <v>4717</v>
      </c>
      <c r="Q2227" t="s">
        <v>1077</v>
      </c>
      <c r="R2227" t="s">
        <v>1078</v>
      </c>
      <c r="T2227" t="s">
        <v>5</v>
      </c>
      <c r="U2227" s="3" t="str">
        <f>+VLOOKUP(Sites_per_tag[[#This Row],[Activity_tag]],Parameter!$A$24:$B$32,2,0)</f>
        <v>MAM</v>
      </c>
      <c r="W2227">
        <v>45.763019999999997</v>
      </c>
      <c r="X2227">
        <v>-25.393170000000001</v>
      </c>
    </row>
    <row r="2228" spans="1:24" x14ac:dyDescent="0.35">
      <c r="A2228" s="3" t="str">
        <f t="shared" si="34"/>
        <v>MG52514071014001MAM</v>
      </c>
      <c r="B2228" t="s">
        <v>6211</v>
      </c>
      <c r="C2228">
        <f>+VLOOKUP(Sites_per_tag[[#This Row],[Field_office]],Parameter!$A$3:$B$11,2,0)</f>
        <v>6</v>
      </c>
      <c r="E2228" t="s">
        <v>5646</v>
      </c>
      <c r="F2228" t="s">
        <v>5647</v>
      </c>
      <c r="H2228" t="str">
        <f ca="1">PROPER(Sites_per_tag[[#This Row],[Adm2Name]])</f>
        <v>Tsihombe</v>
      </c>
      <c r="I2228" t="s">
        <v>5731</v>
      </c>
      <c r="K2228" t="s">
        <v>1522</v>
      </c>
      <c r="L2228" t="s">
        <v>5860</v>
      </c>
      <c r="N2228" t="s">
        <v>181</v>
      </c>
      <c r="O2228" t="s">
        <v>4718</v>
      </c>
      <c r="Q2228" t="s">
        <v>181</v>
      </c>
      <c r="R2228" t="s">
        <v>182</v>
      </c>
      <c r="T2228" t="s">
        <v>5</v>
      </c>
      <c r="U2228" s="3" t="str">
        <f>+VLOOKUP(Sites_per_tag[[#This Row],[Activity_tag]],Parameter!$A$24:$B$32,2,0)</f>
        <v>MAM</v>
      </c>
      <c r="W2228">
        <v>45.762070000000001</v>
      </c>
      <c r="X2228">
        <v>-25.393730000000001</v>
      </c>
    </row>
    <row r="2229" spans="1:24" x14ac:dyDescent="0.35">
      <c r="A2229" s="3" t="str">
        <f t="shared" si="34"/>
        <v>MG52514071019001MAM</v>
      </c>
      <c r="B2229" t="s">
        <v>6211</v>
      </c>
      <c r="C2229">
        <f>+VLOOKUP(Sites_per_tag[[#This Row],[Field_office]],Parameter!$A$3:$B$11,2,0)</f>
        <v>6</v>
      </c>
      <c r="E2229" t="s">
        <v>5646</v>
      </c>
      <c r="F2229" t="s">
        <v>5647</v>
      </c>
      <c r="H2229" t="str">
        <f ca="1">PROPER(Sites_per_tag[[#This Row],[Adm2Name]])</f>
        <v>Tsihombe</v>
      </c>
      <c r="I2229" t="s">
        <v>5731</v>
      </c>
      <c r="K2229" t="s">
        <v>1522</v>
      </c>
      <c r="L2229" t="s">
        <v>5860</v>
      </c>
      <c r="N2229" t="s">
        <v>412</v>
      </c>
      <c r="O2229" t="s">
        <v>4719</v>
      </c>
      <c r="Q2229" t="s">
        <v>412</v>
      </c>
      <c r="R2229" t="s">
        <v>413</v>
      </c>
      <c r="T2229" t="s">
        <v>5</v>
      </c>
      <c r="U2229" s="3" t="str">
        <f>+VLOOKUP(Sites_per_tag[[#This Row],[Activity_tag]],Parameter!$A$24:$B$32,2,0)</f>
        <v>MAM</v>
      </c>
      <c r="W2229">
        <v>45.7211</v>
      </c>
      <c r="X2229">
        <v>-25.419029999999999</v>
      </c>
    </row>
    <row r="2230" spans="1:24" x14ac:dyDescent="0.35">
      <c r="A2230" s="3" t="str">
        <f t="shared" si="34"/>
        <v>MG52514071025001MAM</v>
      </c>
      <c r="B2230" t="s">
        <v>6211</v>
      </c>
      <c r="C2230">
        <f>+VLOOKUP(Sites_per_tag[[#This Row],[Field_office]],Parameter!$A$3:$B$11,2,0)</f>
        <v>6</v>
      </c>
      <c r="E2230" t="s">
        <v>5646</v>
      </c>
      <c r="F2230" t="s">
        <v>5647</v>
      </c>
      <c r="H2230" t="str">
        <f ca="1">PROPER(Sites_per_tag[[#This Row],[Adm2Name]])</f>
        <v>Tsihombe</v>
      </c>
      <c r="I2230" t="s">
        <v>5731</v>
      </c>
      <c r="K2230" t="s">
        <v>1522</v>
      </c>
      <c r="L2230" t="s">
        <v>5860</v>
      </c>
      <c r="N2230" t="s">
        <v>4721</v>
      </c>
      <c r="O2230" t="s">
        <v>4720</v>
      </c>
      <c r="Q2230" t="s">
        <v>3541</v>
      </c>
      <c r="R2230" t="s">
        <v>3542</v>
      </c>
      <c r="T2230" t="s">
        <v>5</v>
      </c>
      <c r="U2230" s="3" t="str">
        <f>+VLOOKUP(Sites_per_tag[[#This Row],[Activity_tag]],Parameter!$A$24:$B$32,2,0)</f>
        <v>MAM</v>
      </c>
      <c r="W2230">
        <v>45.716569999999997</v>
      </c>
      <c r="X2230">
        <v>-25.445399999999999</v>
      </c>
    </row>
    <row r="2231" spans="1:24" x14ac:dyDescent="0.35">
      <c r="A2231" s="3" t="str">
        <f t="shared" si="34"/>
        <v>MG52514071067001MAM</v>
      </c>
      <c r="B2231" t="s">
        <v>6211</v>
      </c>
      <c r="C2231">
        <f>+VLOOKUP(Sites_per_tag[[#This Row],[Field_office]],Parameter!$A$3:$B$11,2,0)</f>
        <v>6</v>
      </c>
      <c r="E2231" t="s">
        <v>5646</v>
      </c>
      <c r="F2231" t="s">
        <v>5647</v>
      </c>
      <c r="H2231" t="str">
        <f ca="1">PROPER(Sites_per_tag[[#This Row],[Adm2Name]])</f>
        <v>Tsihombe</v>
      </c>
      <c r="I2231" t="s">
        <v>5731</v>
      </c>
      <c r="K2231" t="s">
        <v>1522</v>
      </c>
      <c r="L2231" t="s">
        <v>5860</v>
      </c>
      <c r="N2231" t="s">
        <v>1522</v>
      </c>
      <c r="O2231" t="s">
        <v>4722</v>
      </c>
      <c r="Q2231" t="s">
        <v>1522</v>
      </c>
      <c r="R2231" t="s">
        <v>1523</v>
      </c>
      <c r="T2231" t="s">
        <v>5</v>
      </c>
      <c r="U2231" s="3" t="str">
        <f>+VLOOKUP(Sites_per_tag[[#This Row],[Activity_tag]],Parameter!$A$24:$B$32,2,0)</f>
        <v>MAM</v>
      </c>
      <c r="W2231">
        <v>45.754919999999998</v>
      </c>
      <c r="X2231">
        <v>-25.395330000000001</v>
      </c>
    </row>
    <row r="2232" spans="1:24" x14ac:dyDescent="0.35">
      <c r="A2232" s="3" t="str">
        <f t="shared" si="34"/>
        <v>MG52514071068001MAM</v>
      </c>
      <c r="B2232" t="s">
        <v>6211</v>
      </c>
      <c r="C2232">
        <f>+VLOOKUP(Sites_per_tag[[#This Row],[Field_office]],Parameter!$A$3:$B$11,2,0)</f>
        <v>6</v>
      </c>
      <c r="E2232" t="s">
        <v>5646</v>
      </c>
      <c r="F2232" t="s">
        <v>5647</v>
      </c>
      <c r="H2232" t="str">
        <f ca="1">PROPER(Sites_per_tag[[#This Row],[Adm2Name]])</f>
        <v>Tsihombe</v>
      </c>
      <c r="I2232" t="s">
        <v>5731</v>
      </c>
      <c r="K2232" t="s">
        <v>1522</v>
      </c>
      <c r="L2232" t="s">
        <v>5860</v>
      </c>
      <c r="N2232" t="s">
        <v>1813</v>
      </c>
      <c r="O2232" t="s">
        <v>4723</v>
      </c>
      <c r="Q2232" t="s">
        <v>1813</v>
      </c>
      <c r="R2232" t="s">
        <v>1814</v>
      </c>
      <c r="T2232" t="s">
        <v>5</v>
      </c>
      <c r="U2232" s="3" t="str">
        <f>+VLOOKUP(Sites_per_tag[[#This Row],[Activity_tag]],Parameter!$A$24:$B$32,2,0)</f>
        <v>MAM</v>
      </c>
      <c r="W2232">
        <v>45.669820999999999</v>
      </c>
      <c r="X2232">
        <v>-25.364584000000001</v>
      </c>
    </row>
    <row r="2233" spans="1:24" x14ac:dyDescent="0.35">
      <c r="A2233" s="3" t="str">
        <f t="shared" si="34"/>
        <v>MG52514071069001MAM</v>
      </c>
      <c r="B2233" t="s">
        <v>6211</v>
      </c>
      <c r="C2233">
        <f>+VLOOKUP(Sites_per_tag[[#This Row],[Field_office]],Parameter!$A$3:$B$11,2,0)</f>
        <v>6</v>
      </c>
      <c r="E2233" t="s">
        <v>5646</v>
      </c>
      <c r="F2233" t="s">
        <v>5647</v>
      </c>
      <c r="H2233" t="str">
        <f ca="1">PROPER(Sites_per_tag[[#This Row],[Adm2Name]])</f>
        <v>Tsihombe</v>
      </c>
      <c r="I2233" t="s">
        <v>5731</v>
      </c>
      <c r="K2233" t="s">
        <v>1522</v>
      </c>
      <c r="L2233" t="s">
        <v>5860</v>
      </c>
      <c r="N2233" t="s">
        <v>2577</v>
      </c>
      <c r="O2233" t="s">
        <v>4724</v>
      </c>
      <c r="Q2233" t="s">
        <v>2577</v>
      </c>
      <c r="R2233" t="s">
        <v>2578</v>
      </c>
      <c r="T2233" t="s">
        <v>5</v>
      </c>
      <c r="U2233" s="3" t="str">
        <f>+VLOOKUP(Sites_per_tag[[#This Row],[Activity_tag]],Parameter!$A$24:$B$32,2,0)</f>
        <v>MAM</v>
      </c>
      <c r="W2233">
        <v>45.659480000000002</v>
      </c>
      <c r="X2233">
        <v>-25.343699999999998</v>
      </c>
    </row>
    <row r="2234" spans="1:24" x14ac:dyDescent="0.35">
      <c r="A2234" s="3" t="str">
        <f t="shared" si="34"/>
        <v>MG52514072001PREV</v>
      </c>
      <c r="B2234" t="s">
        <v>6211</v>
      </c>
      <c r="C2234">
        <f>+VLOOKUP(Sites_per_tag[[#This Row],[Field_office]],Parameter!$A$3:$B$11,2,0)</f>
        <v>6</v>
      </c>
      <c r="E2234" t="s">
        <v>5646</v>
      </c>
      <c r="F2234" t="s">
        <v>5647</v>
      </c>
      <c r="H2234" t="str">
        <f ca="1">PROPER(Sites_per_tag[[#This Row],[Adm2Name]])</f>
        <v>Tsihombe</v>
      </c>
      <c r="I2234" t="s">
        <v>5731</v>
      </c>
      <c r="K2234" t="s">
        <v>2592</v>
      </c>
      <c r="L2234" t="s">
        <v>5975</v>
      </c>
      <c r="N2234" t="s">
        <v>4237</v>
      </c>
      <c r="Q2234" t="s">
        <v>2592</v>
      </c>
      <c r="R2234" t="s">
        <v>2593</v>
      </c>
      <c r="T2234" t="s">
        <v>32</v>
      </c>
      <c r="U2234" s="3" t="str">
        <f>+VLOOKUP(Sites_per_tag[[#This Row],[Activity_tag]],Parameter!$A$24:$B$32,2,0)</f>
        <v>PREV</v>
      </c>
      <c r="W2234">
        <v>45.7149</v>
      </c>
      <c r="X2234">
        <v>-25.294969999999999</v>
      </c>
    </row>
    <row r="2235" spans="1:24" x14ac:dyDescent="0.35">
      <c r="A2235" s="3" t="str">
        <f t="shared" si="34"/>
        <v>MG52514072002PREV</v>
      </c>
      <c r="B2235" t="s">
        <v>6211</v>
      </c>
      <c r="C2235">
        <f>+VLOOKUP(Sites_per_tag[[#This Row],[Field_office]],Parameter!$A$3:$B$11,2,0)</f>
        <v>6</v>
      </c>
      <c r="E2235" t="s">
        <v>5646</v>
      </c>
      <c r="F2235" t="s">
        <v>5647</v>
      </c>
      <c r="H2235" t="str">
        <f ca="1">PROPER(Sites_per_tag[[#This Row],[Adm2Name]])</f>
        <v>Tsihombe</v>
      </c>
      <c r="I2235" t="s">
        <v>5731</v>
      </c>
      <c r="K2235" t="s">
        <v>2592</v>
      </c>
      <c r="L2235" t="s">
        <v>5975</v>
      </c>
      <c r="N2235" t="s">
        <v>4235</v>
      </c>
      <c r="Q2235" t="s">
        <v>1261</v>
      </c>
      <c r="R2235" t="s">
        <v>1262</v>
      </c>
      <c r="T2235" t="s">
        <v>32</v>
      </c>
      <c r="U2235" s="3" t="str">
        <f>+VLOOKUP(Sites_per_tag[[#This Row],[Activity_tag]],Parameter!$A$24:$B$32,2,0)</f>
        <v>PREV</v>
      </c>
      <c r="W2235">
        <v>45.680570000000003</v>
      </c>
      <c r="X2235">
        <v>-25.22213</v>
      </c>
    </row>
    <row r="2236" spans="1:24" x14ac:dyDescent="0.35">
      <c r="A2236" s="3" t="str">
        <f t="shared" si="34"/>
        <v>MG52514072003PREV</v>
      </c>
      <c r="B2236" t="s">
        <v>6211</v>
      </c>
      <c r="C2236">
        <f>+VLOOKUP(Sites_per_tag[[#This Row],[Field_office]],Parameter!$A$3:$B$11,2,0)</f>
        <v>6</v>
      </c>
      <c r="E2236" t="s">
        <v>5646</v>
      </c>
      <c r="F2236" t="s">
        <v>5647</v>
      </c>
      <c r="H2236" t="str">
        <f ca="1">PROPER(Sites_per_tag[[#This Row],[Adm2Name]])</f>
        <v>Tsihombe</v>
      </c>
      <c r="I2236" t="s">
        <v>5731</v>
      </c>
      <c r="K2236" t="s">
        <v>2592</v>
      </c>
      <c r="L2236" t="s">
        <v>5975</v>
      </c>
      <c r="N2236" t="s">
        <v>4239</v>
      </c>
      <c r="Q2236" t="s">
        <v>739</v>
      </c>
      <c r="R2236" t="s">
        <v>740</v>
      </c>
      <c r="T2236" t="s">
        <v>32</v>
      </c>
      <c r="U2236" s="3" t="str">
        <f>+VLOOKUP(Sites_per_tag[[#This Row],[Activity_tag]],Parameter!$A$24:$B$32,2,0)</f>
        <v>PREV</v>
      </c>
      <c r="W2236">
        <v>45.763708000000001</v>
      </c>
      <c r="X2236">
        <v>-25.324521000000001</v>
      </c>
    </row>
    <row r="2237" spans="1:24" x14ac:dyDescent="0.35">
      <c r="A2237" s="3" t="str">
        <f t="shared" si="34"/>
        <v>MG52514072004PREV</v>
      </c>
      <c r="B2237" t="s">
        <v>6211</v>
      </c>
      <c r="C2237">
        <f>+VLOOKUP(Sites_per_tag[[#This Row],[Field_office]],Parameter!$A$3:$B$11,2,0)</f>
        <v>6</v>
      </c>
      <c r="E2237" t="s">
        <v>5646</v>
      </c>
      <c r="F2237" t="s">
        <v>5647</v>
      </c>
      <c r="H2237" t="str">
        <f ca="1">PROPER(Sites_per_tag[[#This Row],[Adm2Name]])</f>
        <v>Tsihombe</v>
      </c>
      <c r="I2237" t="s">
        <v>5731</v>
      </c>
      <c r="K2237" t="s">
        <v>2592</v>
      </c>
      <c r="L2237" t="s">
        <v>5975</v>
      </c>
      <c r="N2237" t="s">
        <v>4238</v>
      </c>
      <c r="Q2237" t="s">
        <v>414</v>
      </c>
      <c r="R2237" t="s">
        <v>415</v>
      </c>
      <c r="T2237" t="s">
        <v>32</v>
      </c>
      <c r="U2237" s="3" t="str">
        <f>+VLOOKUP(Sites_per_tag[[#This Row],[Activity_tag]],Parameter!$A$24:$B$32,2,0)</f>
        <v>PREV</v>
      </c>
      <c r="W2237">
        <v>45.789430000000003</v>
      </c>
      <c r="X2237">
        <v>-25.271629999999998</v>
      </c>
    </row>
    <row r="2238" spans="1:24" x14ac:dyDescent="0.35">
      <c r="A2238" s="3" t="str">
        <f t="shared" si="34"/>
        <v>MG52514072009PREV</v>
      </c>
      <c r="B2238" t="s">
        <v>6211</v>
      </c>
      <c r="C2238">
        <f>+VLOOKUP(Sites_per_tag[[#This Row],[Field_office]],Parameter!$A$3:$B$11,2,0)</f>
        <v>6</v>
      </c>
      <c r="E2238" t="s">
        <v>5646</v>
      </c>
      <c r="F2238" t="s">
        <v>5647</v>
      </c>
      <c r="H2238" t="str">
        <f ca="1">PROPER(Sites_per_tag[[#This Row],[Adm2Name]])</f>
        <v>Tsihombe</v>
      </c>
      <c r="I2238" t="s">
        <v>5731</v>
      </c>
      <c r="K2238" t="s">
        <v>2592</v>
      </c>
      <c r="L2238" t="s">
        <v>5975</v>
      </c>
      <c r="N2238" t="s">
        <v>4236</v>
      </c>
      <c r="Q2238" t="s">
        <v>815</v>
      </c>
      <c r="R2238" t="s">
        <v>816</v>
      </c>
      <c r="T2238" t="s">
        <v>32</v>
      </c>
      <c r="U2238" s="3" t="str">
        <f>+VLOOKUP(Sites_per_tag[[#This Row],[Activity_tag]],Parameter!$A$24:$B$32,2,0)</f>
        <v>PREV</v>
      </c>
      <c r="W2238">
        <v>45.664230000000003</v>
      </c>
      <c r="X2238">
        <v>-25.29813</v>
      </c>
    </row>
    <row r="2239" spans="1:24" x14ac:dyDescent="0.35">
      <c r="A2239" s="3" t="str">
        <f t="shared" si="34"/>
        <v>MG52516011012PREV</v>
      </c>
      <c r="B2239" t="s">
        <v>6193</v>
      </c>
      <c r="C2239">
        <f>+VLOOKUP(Sites_per_tag[[#This Row],[Field_office]],Parameter!$A$3:$B$11,2,0)</f>
        <v>4</v>
      </c>
      <c r="E2239" t="s">
        <v>5658</v>
      </c>
      <c r="F2239" t="s">
        <v>5659</v>
      </c>
      <c r="H2239" t="str">
        <f ca="1">PROPER(Sites_per_tag[[#This Row],[Adm2Name]])</f>
        <v>Farafangana</v>
      </c>
      <c r="I2239" t="s">
        <v>5694</v>
      </c>
      <c r="K2239" t="s">
        <v>2783</v>
      </c>
      <c r="L2239" t="s">
        <v>6009</v>
      </c>
      <c r="N2239" t="s">
        <v>2783</v>
      </c>
      <c r="Q2239" t="s">
        <v>2783</v>
      </c>
      <c r="R2239" t="s">
        <v>2785</v>
      </c>
      <c r="T2239" t="s">
        <v>32</v>
      </c>
      <c r="U2239" s="3" t="str">
        <f>+VLOOKUP(Sites_per_tag[[#This Row],[Activity_tag]],Parameter!$A$24:$B$32,2,0)</f>
        <v>PREV</v>
      </c>
      <c r="W2239">
        <v>47.709054999999999</v>
      </c>
      <c r="X2239">
        <v>-22.707915</v>
      </c>
    </row>
    <row r="2240" spans="1:24" x14ac:dyDescent="0.35">
      <c r="A2240" s="3" t="str">
        <f t="shared" si="34"/>
        <v>MG52516011013001MAM</v>
      </c>
      <c r="B2240" t="s">
        <v>6211</v>
      </c>
      <c r="C2240">
        <f>+VLOOKUP(Sites_per_tag[[#This Row],[Field_office]],Parameter!$A$3:$B$11,2,0)</f>
        <v>6</v>
      </c>
      <c r="E2240" t="s">
        <v>5646</v>
      </c>
      <c r="F2240" t="s">
        <v>5647</v>
      </c>
      <c r="H2240" t="str">
        <f ca="1">PROPER(Sites_per_tag[[#This Row],[Adm2Name]])</f>
        <v>Ambovombe-Androy</v>
      </c>
      <c r="I2240" t="s">
        <v>5655</v>
      </c>
      <c r="K2240" t="s">
        <v>6211</v>
      </c>
      <c r="L2240" t="s">
        <v>5756</v>
      </c>
      <c r="N2240" t="s">
        <v>4438</v>
      </c>
      <c r="O2240" t="s">
        <v>4437</v>
      </c>
      <c r="Q2240" t="s">
        <v>337</v>
      </c>
      <c r="R2240" t="s">
        <v>338</v>
      </c>
      <c r="T2240" t="s">
        <v>5</v>
      </c>
      <c r="U2240" s="3" t="str">
        <f>+VLOOKUP(Sites_per_tag[[#This Row],[Activity_tag]],Parameter!$A$24:$B$32,2,0)</f>
        <v>MAM</v>
      </c>
      <c r="W2240">
        <v>46.136049999999997</v>
      </c>
      <c r="X2240">
        <v>-25.19125</v>
      </c>
    </row>
    <row r="2241" spans="1:24" x14ac:dyDescent="0.35">
      <c r="A2241" s="3" t="str">
        <f t="shared" si="34"/>
        <v>MG52516011015001MAM</v>
      </c>
      <c r="B2241" t="s">
        <v>6211</v>
      </c>
      <c r="C2241">
        <f>+VLOOKUP(Sites_per_tag[[#This Row],[Field_office]],Parameter!$A$3:$B$11,2,0)</f>
        <v>6</v>
      </c>
      <c r="E2241" t="s">
        <v>5646</v>
      </c>
      <c r="F2241" t="s">
        <v>5647</v>
      </c>
      <c r="H2241" t="str">
        <f ca="1">PROPER(Sites_per_tag[[#This Row],[Adm2Name]])</f>
        <v>Ambovombe-Androy</v>
      </c>
      <c r="I2241" t="s">
        <v>5655</v>
      </c>
      <c r="K2241" t="s">
        <v>6211</v>
      </c>
      <c r="L2241" t="s">
        <v>5756</v>
      </c>
      <c r="N2241" t="s">
        <v>4440</v>
      </c>
      <c r="O2241" t="s">
        <v>4439</v>
      </c>
      <c r="Q2241" t="s">
        <v>292</v>
      </c>
      <c r="R2241" t="s">
        <v>293</v>
      </c>
      <c r="T2241" t="s">
        <v>5</v>
      </c>
      <c r="U2241" s="3" t="str">
        <f>+VLOOKUP(Sites_per_tag[[#This Row],[Activity_tag]],Parameter!$A$24:$B$32,2,0)</f>
        <v>MAM</v>
      </c>
      <c r="W2241">
        <v>46.148150000000001</v>
      </c>
      <c r="X2241">
        <v>-25.191179999999999</v>
      </c>
    </row>
    <row r="2242" spans="1:24" x14ac:dyDescent="0.35">
      <c r="A2242" s="3" t="str">
        <f t="shared" si="34"/>
        <v>MG52516011020001MAM</v>
      </c>
      <c r="B2242" t="s">
        <v>6211</v>
      </c>
      <c r="C2242">
        <f>+VLOOKUP(Sites_per_tag[[#This Row],[Field_office]],Parameter!$A$3:$B$11,2,0)</f>
        <v>6</v>
      </c>
      <c r="E2242" t="s">
        <v>5646</v>
      </c>
      <c r="F2242" t="s">
        <v>5647</v>
      </c>
      <c r="H2242" t="str">
        <f ca="1">PROPER(Sites_per_tag[[#This Row],[Adm2Name]])</f>
        <v>Ambovombe-Androy</v>
      </c>
      <c r="I2242" t="s">
        <v>5655</v>
      </c>
      <c r="K2242" t="s">
        <v>6211</v>
      </c>
      <c r="L2242" t="s">
        <v>5756</v>
      </c>
      <c r="N2242" t="s">
        <v>1763</v>
      </c>
      <c r="O2242" t="s">
        <v>4441</v>
      </c>
      <c r="Q2242" t="s">
        <v>1769</v>
      </c>
      <c r="R2242" t="s">
        <v>1770</v>
      </c>
      <c r="T2242" t="s">
        <v>5</v>
      </c>
      <c r="U2242" s="3" t="str">
        <f>+VLOOKUP(Sites_per_tag[[#This Row],[Activity_tag]],Parameter!$A$24:$B$32,2,0)</f>
        <v>MAM</v>
      </c>
      <c r="W2242">
        <v>46.094982000000002</v>
      </c>
      <c r="X2242">
        <v>-25.045247</v>
      </c>
    </row>
    <row r="2243" spans="1:24" x14ac:dyDescent="0.35">
      <c r="A2243" s="3" t="str">
        <f t="shared" ref="A2243:A2306" si="35">+R2243&amp;U2243</f>
        <v>MG52516011025001MAM</v>
      </c>
      <c r="B2243" t="s">
        <v>6211</v>
      </c>
      <c r="C2243">
        <f>+VLOOKUP(Sites_per_tag[[#This Row],[Field_office]],Parameter!$A$3:$B$11,2,0)</f>
        <v>6</v>
      </c>
      <c r="E2243" t="s">
        <v>5646</v>
      </c>
      <c r="F2243" t="s">
        <v>5647</v>
      </c>
      <c r="H2243" t="str">
        <f ca="1">PROPER(Sites_per_tag[[#This Row],[Adm2Name]])</f>
        <v>Ambovombe-Androy</v>
      </c>
      <c r="I2243" t="s">
        <v>5655</v>
      </c>
      <c r="K2243" t="s">
        <v>6211</v>
      </c>
      <c r="L2243" t="s">
        <v>5756</v>
      </c>
      <c r="N2243" t="s">
        <v>4443</v>
      </c>
      <c r="O2243" t="s">
        <v>4442</v>
      </c>
      <c r="Q2243" t="s">
        <v>3828</v>
      </c>
      <c r="R2243" t="s">
        <v>3829</v>
      </c>
      <c r="T2243" t="s">
        <v>5</v>
      </c>
      <c r="U2243" s="3" t="str">
        <f>+VLOOKUP(Sites_per_tag[[#This Row],[Activity_tag]],Parameter!$A$24:$B$32,2,0)</f>
        <v>MAM</v>
      </c>
      <c r="W2243">
        <v>46.178649999999998</v>
      </c>
      <c r="X2243">
        <v>-25.189330000000002</v>
      </c>
    </row>
    <row r="2244" spans="1:24" x14ac:dyDescent="0.35">
      <c r="A2244" s="3" t="str">
        <f t="shared" si="35"/>
        <v>MG52516011029001MAM</v>
      </c>
      <c r="B2244" t="s">
        <v>6211</v>
      </c>
      <c r="C2244">
        <f>+VLOOKUP(Sites_per_tag[[#This Row],[Field_office]],Parameter!$A$3:$B$11,2,0)</f>
        <v>6</v>
      </c>
      <c r="E2244" t="s">
        <v>5646</v>
      </c>
      <c r="F2244" t="s">
        <v>5647</v>
      </c>
      <c r="H2244" t="str">
        <f ca="1">PROPER(Sites_per_tag[[#This Row],[Adm2Name]])</f>
        <v>Ambovombe-Androy</v>
      </c>
      <c r="I2244" t="s">
        <v>5655</v>
      </c>
      <c r="K2244" t="s">
        <v>5817</v>
      </c>
      <c r="L2244" t="s">
        <v>5818</v>
      </c>
      <c r="N2244" t="s">
        <v>1861</v>
      </c>
      <c r="O2244" t="s">
        <v>4596</v>
      </c>
      <c r="Q2244" t="s">
        <v>1861</v>
      </c>
      <c r="R2244" t="s">
        <v>1862</v>
      </c>
      <c r="T2244" t="s">
        <v>5</v>
      </c>
      <c r="U2244" s="3" t="str">
        <f>+VLOOKUP(Sites_per_tag[[#This Row],[Activity_tag]],Parameter!$A$24:$B$32,2,0)</f>
        <v>MAM</v>
      </c>
      <c r="W2244">
        <v>46.022649999999999</v>
      </c>
      <c r="X2244">
        <v>-25.268920000000001</v>
      </c>
    </row>
    <row r="2245" spans="1:24" x14ac:dyDescent="0.35">
      <c r="A2245" s="3" t="str">
        <f t="shared" si="35"/>
        <v>MG52516011033001MAM</v>
      </c>
      <c r="B2245" t="s">
        <v>6211</v>
      </c>
      <c r="C2245">
        <f>+VLOOKUP(Sites_per_tag[[#This Row],[Field_office]],Parameter!$A$3:$B$11,2,0)</f>
        <v>6</v>
      </c>
      <c r="E2245" t="s">
        <v>5646</v>
      </c>
      <c r="F2245" t="s">
        <v>5647</v>
      </c>
      <c r="H2245" t="str">
        <f ca="1">PROPER(Sites_per_tag[[#This Row],[Adm2Name]])</f>
        <v>Ambovombe-Androy</v>
      </c>
      <c r="I2245" t="s">
        <v>5655</v>
      </c>
      <c r="K2245" t="s">
        <v>6211</v>
      </c>
      <c r="L2245" t="s">
        <v>5756</v>
      </c>
      <c r="N2245" t="s">
        <v>3177</v>
      </c>
      <c r="O2245" t="s">
        <v>4444</v>
      </c>
      <c r="Q2245" t="s">
        <v>3177</v>
      </c>
      <c r="R2245" t="s">
        <v>3178</v>
      </c>
      <c r="T2245" t="s">
        <v>5</v>
      </c>
      <c r="U2245" s="3" t="str">
        <f>+VLOOKUP(Sites_per_tag[[#This Row],[Activity_tag]],Parameter!$A$24:$B$32,2,0)</f>
        <v>MAM</v>
      </c>
      <c r="W2245">
        <v>46.078980000000001</v>
      </c>
      <c r="X2245">
        <v>-24.94115</v>
      </c>
    </row>
    <row r="2246" spans="1:24" x14ac:dyDescent="0.35">
      <c r="A2246" s="3" t="str">
        <f t="shared" si="35"/>
        <v>MG52516011037001MAM</v>
      </c>
      <c r="B2246" t="s">
        <v>6211</v>
      </c>
      <c r="C2246">
        <f>+VLOOKUP(Sites_per_tag[[#This Row],[Field_office]],Parameter!$A$3:$B$11,2,0)</f>
        <v>6</v>
      </c>
      <c r="E2246" t="s">
        <v>5646</v>
      </c>
      <c r="F2246" t="s">
        <v>5647</v>
      </c>
      <c r="H2246" t="str">
        <f ca="1">PROPER(Sites_per_tag[[#This Row],[Adm2Name]])</f>
        <v>Ambovombe-Androy</v>
      </c>
      <c r="I2246" t="s">
        <v>5655</v>
      </c>
      <c r="K2246" t="s">
        <v>6211</v>
      </c>
      <c r="L2246" t="s">
        <v>5756</v>
      </c>
      <c r="N2246" t="s">
        <v>4446</v>
      </c>
      <c r="O2246" t="s">
        <v>4445</v>
      </c>
      <c r="Q2246" t="s">
        <v>2987</v>
      </c>
      <c r="R2246" t="s">
        <v>2988</v>
      </c>
      <c r="T2246" t="s">
        <v>5</v>
      </c>
      <c r="U2246" s="3" t="str">
        <f>+VLOOKUP(Sites_per_tag[[#This Row],[Activity_tag]],Parameter!$A$24:$B$32,2,0)</f>
        <v>MAM</v>
      </c>
      <c r="W2246">
        <v>46.125900000000001</v>
      </c>
      <c r="X2246">
        <v>-25.062529999999999</v>
      </c>
    </row>
    <row r="2247" spans="1:24" x14ac:dyDescent="0.35">
      <c r="A2247" s="3" t="str">
        <f t="shared" si="35"/>
        <v>MG52516011039001MAM</v>
      </c>
      <c r="B2247" t="s">
        <v>6211</v>
      </c>
      <c r="C2247">
        <f>+VLOOKUP(Sites_per_tag[[#This Row],[Field_office]],Parameter!$A$3:$B$11,2,0)</f>
        <v>6</v>
      </c>
      <c r="E2247" t="s">
        <v>5646</v>
      </c>
      <c r="F2247" t="s">
        <v>5647</v>
      </c>
      <c r="H2247" t="str">
        <f ca="1">PROPER(Sites_per_tag[[#This Row],[Adm2Name]])</f>
        <v>Ambovombe-Androy</v>
      </c>
      <c r="I2247" t="s">
        <v>5655</v>
      </c>
      <c r="K2247" t="s">
        <v>6211</v>
      </c>
      <c r="L2247" t="s">
        <v>5756</v>
      </c>
      <c r="N2247" t="s">
        <v>4448</v>
      </c>
      <c r="O2247" t="s">
        <v>4447</v>
      </c>
      <c r="Q2247" t="s">
        <v>1592</v>
      </c>
      <c r="R2247" t="s">
        <v>1593</v>
      </c>
      <c r="T2247" t="s">
        <v>5</v>
      </c>
      <c r="U2247" s="3" t="str">
        <f>+VLOOKUP(Sites_per_tag[[#This Row],[Activity_tag]],Parameter!$A$24:$B$32,2,0)</f>
        <v>MAM</v>
      </c>
      <c r="W2247">
        <v>46.129980000000003</v>
      </c>
      <c r="X2247">
        <v>-25.143450000000001</v>
      </c>
    </row>
    <row r="2248" spans="1:24" x14ac:dyDescent="0.35">
      <c r="A2248" s="3" t="str">
        <f t="shared" si="35"/>
        <v>MG52516011042001MAM</v>
      </c>
      <c r="B2248" t="s">
        <v>6211</v>
      </c>
      <c r="C2248">
        <f>+VLOOKUP(Sites_per_tag[[#This Row],[Field_office]],Parameter!$A$3:$B$11,2,0)</f>
        <v>6</v>
      </c>
      <c r="E2248" t="s">
        <v>5646</v>
      </c>
      <c r="F2248" t="s">
        <v>5647</v>
      </c>
      <c r="H2248" t="str">
        <f ca="1">PROPER(Sites_per_tag[[#This Row],[Adm2Name]])</f>
        <v>Ambovombe-Androy</v>
      </c>
      <c r="I2248" t="s">
        <v>5655</v>
      </c>
      <c r="K2248" t="s">
        <v>6211</v>
      </c>
      <c r="L2248" t="s">
        <v>5756</v>
      </c>
      <c r="N2248" t="s">
        <v>4450</v>
      </c>
      <c r="O2248" t="s">
        <v>4449</v>
      </c>
      <c r="Q2248" t="s">
        <v>3043</v>
      </c>
      <c r="R2248" t="s">
        <v>3044</v>
      </c>
      <c r="T2248" t="s">
        <v>5</v>
      </c>
      <c r="U2248" s="3" t="str">
        <f>+VLOOKUP(Sites_per_tag[[#This Row],[Activity_tag]],Parameter!$A$24:$B$32,2,0)</f>
        <v>MAM</v>
      </c>
      <c r="W2248">
        <v>46.126019999999997</v>
      </c>
      <c r="X2248">
        <v>-25.212499999999999</v>
      </c>
    </row>
    <row r="2249" spans="1:24" x14ac:dyDescent="0.35">
      <c r="A2249" s="3" t="str">
        <f t="shared" si="35"/>
        <v>MG52516011054001MAM</v>
      </c>
      <c r="B2249" t="s">
        <v>6211</v>
      </c>
      <c r="C2249">
        <f>+VLOOKUP(Sites_per_tag[[#This Row],[Field_office]],Parameter!$A$3:$B$11,2,0)</f>
        <v>6</v>
      </c>
      <c r="E2249" t="s">
        <v>5646</v>
      </c>
      <c r="F2249" t="s">
        <v>5647</v>
      </c>
      <c r="H2249" t="str">
        <f ca="1">PROPER(Sites_per_tag[[#This Row],[Adm2Name]])</f>
        <v>Ambovombe-Androy</v>
      </c>
      <c r="I2249" t="s">
        <v>5655</v>
      </c>
      <c r="K2249" t="s">
        <v>6211</v>
      </c>
      <c r="L2249" t="s">
        <v>5756</v>
      </c>
      <c r="N2249" t="s">
        <v>4452</v>
      </c>
      <c r="O2249" t="s">
        <v>4451</v>
      </c>
      <c r="Q2249" t="s">
        <v>3453</v>
      </c>
      <c r="R2249" t="s">
        <v>3454</v>
      </c>
      <c r="T2249" t="s">
        <v>5</v>
      </c>
      <c r="U2249" s="3" t="str">
        <f>+VLOOKUP(Sites_per_tag[[#This Row],[Activity_tag]],Parameter!$A$24:$B$32,2,0)</f>
        <v>MAM</v>
      </c>
      <c r="W2249">
        <v>46.092019999999998</v>
      </c>
      <c r="X2249">
        <v>-25.183299999999999</v>
      </c>
    </row>
    <row r="2250" spans="1:24" x14ac:dyDescent="0.35">
      <c r="A2250" s="3" t="str">
        <f t="shared" si="35"/>
        <v>MG52516011062001MAM</v>
      </c>
      <c r="B2250" t="s">
        <v>6211</v>
      </c>
      <c r="C2250">
        <f>+VLOOKUP(Sites_per_tag[[#This Row],[Field_office]],Parameter!$A$3:$B$11,2,0)</f>
        <v>6</v>
      </c>
      <c r="E2250" t="s">
        <v>5646</v>
      </c>
      <c r="F2250" t="s">
        <v>5647</v>
      </c>
      <c r="H2250" t="str">
        <f ca="1">PROPER(Sites_per_tag[[#This Row],[Adm2Name]])</f>
        <v>Ambovombe-Androy</v>
      </c>
      <c r="I2250" t="s">
        <v>5655</v>
      </c>
      <c r="K2250" t="s">
        <v>5817</v>
      </c>
      <c r="L2250" t="s">
        <v>5818</v>
      </c>
      <c r="N2250" t="s">
        <v>4598</v>
      </c>
      <c r="O2250" t="s">
        <v>4597</v>
      </c>
      <c r="Q2250" t="s">
        <v>2229</v>
      </c>
      <c r="R2250" t="s">
        <v>2230</v>
      </c>
      <c r="T2250" t="s">
        <v>5</v>
      </c>
      <c r="U2250" s="3" t="str">
        <f>+VLOOKUP(Sites_per_tag[[#This Row],[Activity_tag]],Parameter!$A$24:$B$32,2,0)</f>
        <v>MAM</v>
      </c>
      <c r="W2250">
        <v>46.083449999999999</v>
      </c>
      <c r="X2250">
        <v>-25.00065</v>
      </c>
    </row>
    <row r="2251" spans="1:24" x14ac:dyDescent="0.35">
      <c r="A2251" s="3" t="str">
        <f t="shared" si="35"/>
        <v>MG52516012004001MAM</v>
      </c>
      <c r="B2251" t="s">
        <v>6211</v>
      </c>
      <c r="C2251">
        <f>+VLOOKUP(Sites_per_tag[[#This Row],[Field_office]],Parameter!$A$3:$B$11,2,0)</f>
        <v>6</v>
      </c>
      <c r="E2251" t="s">
        <v>5646</v>
      </c>
      <c r="F2251" t="s">
        <v>5647</v>
      </c>
      <c r="H2251" t="str">
        <f ca="1">PROPER(Sites_per_tag[[#This Row],[Adm2Name]])</f>
        <v>Ambovombe-Androy</v>
      </c>
      <c r="I2251" t="s">
        <v>5655</v>
      </c>
      <c r="K2251" t="s">
        <v>5817</v>
      </c>
      <c r="L2251" t="s">
        <v>5818</v>
      </c>
      <c r="N2251" t="s">
        <v>3214</v>
      </c>
      <c r="O2251" t="s">
        <v>4599</v>
      </c>
      <c r="Q2251" t="s">
        <v>3214</v>
      </c>
      <c r="R2251" t="s">
        <v>3215</v>
      </c>
      <c r="T2251" t="s">
        <v>5</v>
      </c>
      <c r="U2251" s="3" t="str">
        <f>+VLOOKUP(Sites_per_tag[[#This Row],[Activity_tag]],Parameter!$A$24:$B$32,2,0)</f>
        <v>MAM</v>
      </c>
      <c r="W2251">
        <v>45.991579999999999</v>
      </c>
      <c r="X2251">
        <v>-25.243449999999999</v>
      </c>
    </row>
    <row r="2252" spans="1:24" x14ac:dyDescent="0.35">
      <c r="A2252" s="3" t="str">
        <f t="shared" si="35"/>
        <v>MG52516013003001MAM</v>
      </c>
      <c r="B2252" t="s">
        <v>6211</v>
      </c>
      <c r="C2252">
        <f>+VLOOKUP(Sites_per_tag[[#This Row],[Field_office]],Parameter!$A$3:$B$11,2,0)</f>
        <v>6</v>
      </c>
      <c r="E2252" t="s">
        <v>5646</v>
      </c>
      <c r="F2252" t="s">
        <v>5647</v>
      </c>
      <c r="H2252" t="str">
        <f ca="1">PROPER(Sites_per_tag[[#This Row],[Adm2Name]])</f>
        <v>Ambovombe-Androy</v>
      </c>
      <c r="I2252" t="s">
        <v>5655</v>
      </c>
      <c r="K2252" t="s">
        <v>2387</v>
      </c>
      <c r="L2252" t="s">
        <v>5945</v>
      </c>
      <c r="N2252" t="s">
        <v>2512</v>
      </c>
      <c r="O2252" t="s">
        <v>4971</v>
      </c>
      <c r="Q2252" t="s">
        <v>2512</v>
      </c>
      <c r="R2252" t="s">
        <v>2513</v>
      </c>
      <c r="T2252" t="s">
        <v>5</v>
      </c>
      <c r="U2252" s="3" t="str">
        <f>+VLOOKUP(Sites_per_tag[[#This Row],[Activity_tag]],Parameter!$A$24:$B$32,2,0)</f>
        <v>MAM</v>
      </c>
      <c r="W2252">
        <v>45.944450000000003</v>
      </c>
      <c r="X2252">
        <v>-25.2774</v>
      </c>
    </row>
    <row r="2253" spans="1:24" x14ac:dyDescent="0.35">
      <c r="A2253" s="3" t="str">
        <f t="shared" si="35"/>
        <v>MG52516013005001MAM</v>
      </c>
      <c r="B2253" t="s">
        <v>6267</v>
      </c>
      <c r="C2253">
        <f>+VLOOKUP(Sites_per_tag[[#This Row],[Field_office]],Parameter!$A$3:$B$11,2,0)</f>
        <v>9</v>
      </c>
      <c r="E2253" t="s">
        <v>5650</v>
      </c>
      <c r="F2253" t="s">
        <v>5654</v>
      </c>
      <c r="H2253" t="str">
        <f ca="1">PROPER(Sites_per_tag[[#This Row],[Adm2Name]])</f>
        <v>Ampanihy Ouest</v>
      </c>
      <c r="I2253" t="s">
        <v>5660</v>
      </c>
      <c r="K2253" t="s">
        <v>2914</v>
      </c>
      <c r="L2253" t="s">
        <v>6034</v>
      </c>
      <c r="N2253" t="s">
        <v>1112</v>
      </c>
      <c r="O2253" t="s">
        <v>5246</v>
      </c>
      <c r="Q2253" t="s">
        <v>1112</v>
      </c>
      <c r="R2253" t="s">
        <v>1113</v>
      </c>
      <c r="T2253" t="s">
        <v>5</v>
      </c>
      <c r="U2253" s="3" t="str">
        <f>+VLOOKUP(Sites_per_tag[[#This Row],[Activity_tag]],Parameter!$A$24:$B$32,2,0)</f>
        <v>MAM</v>
      </c>
      <c r="W2253">
        <v>45.001981000000001</v>
      </c>
      <c r="X2253">
        <v>-24.322172999999999</v>
      </c>
    </row>
    <row r="2254" spans="1:24" x14ac:dyDescent="0.35">
      <c r="A2254" s="3" t="str">
        <f t="shared" si="35"/>
        <v>MG52516013007001MAM</v>
      </c>
      <c r="B2254" t="s">
        <v>6267</v>
      </c>
      <c r="C2254">
        <f>+VLOOKUP(Sites_per_tag[[#This Row],[Field_office]],Parameter!$A$3:$B$11,2,0)</f>
        <v>9</v>
      </c>
      <c r="E2254" t="s">
        <v>5650</v>
      </c>
      <c r="F2254" t="s">
        <v>5654</v>
      </c>
      <c r="H2254" t="str">
        <f ca="1">PROPER(Sites_per_tag[[#This Row],[Adm2Name]])</f>
        <v>Ampanihy Ouest</v>
      </c>
      <c r="I2254" t="s">
        <v>5660</v>
      </c>
      <c r="K2254" t="s">
        <v>5607</v>
      </c>
      <c r="L2254" t="s">
        <v>5760</v>
      </c>
      <c r="N2254" t="s">
        <v>1895</v>
      </c>
      <c r="O2254" t="s">
        <v>4496</v>
      </c>
      <c r="Q2254" t="s">
        <v>1895</v>
      </c>
      <c r="R2254" t="s">
        <v>1896</v>
      </c>
      <c r="T2254" t="s">
        <v>5</v>
      </c>
      <c r="U2254" s="3" t="str">
        <f>+VLOOKUP(Sites_per_tag[[#This Row],[Activity_tag]],Parameter!$A$24:$B$32,2,0)</f>
        <v>MAM</v>
      </c>
      <c r="W2254">
        <v>44.773595999999998</v>
      </c>
      <c r="X2254">
        <v>-24.749222</v>
      </c>
    </row>
    <row r="2255" spans="1:24" x14ac:dyDescent="0.35">
      <c r="A2255" s="3" t="str">
        <f t="shared" si="35"/>
        <v>MG52516013008001MAM</v>
      </c>
      <c r="B2255" t="s">
        <v>6211</v>
      </c>
      <c r="C2255">
        <f>+VLOOKUP(Sites_per_tag[[#This Row],[Field_office]],Parameter!$A$3:$B$11,2,0)</f>
        <v>6</v>
      </c>
      <c r="E2255" t="s">
        <v>5646</v>
      </c>
      <c r="F2255" t="s">
        <v>5647</v>
      </c>
      <c r="H2255" t="str">
        <f ca="1">PROPER(Sites_per_tag[[#This Row],[Adm2Name]])</f>
        <v>Ambovombe-Androy</v>
      </c>
      <c r="I2255" t="s">
        <v>5655</v>
      </c>
      <c r="K2255" t="s">
        <v>2387</v>
      </c>
      <c r="L2255" t="s">
        <v>5945</v>
      </c>
      <c r="N2255" t="s">
        <v>464</v>
      </c>
      <c r="O2255" t="s">
        <v>4972</v>
      </c>
      <c r="Q2255" t="s">
        <v>469</v>
      </c>
      <c r="R2255" t="s">
        <v>470</v>
      </c>
      <c r="T2255" t="s">
        <v>5</v>
      </c>
      <c r="U2255" s="3" t="str">
        <f>+VLOOKUP(Sites_per_tag[[#This Row],[Activity_tag]],Parameter!$A$24:$B$32,2,0)</f>
        <v>MAM</v>
      </c>
      <c r="W2255">
        <v>45.961951999999997</v>
      </c>
      <c r="X2255">
        <v>-25.269601000000002</v>
      </c>
    </row>
    <row r="2256" spans="1:24" x14ac:dyDescent="0.35">
      <c r="A2256" s="3" t="str">
        <f t="shared" si="35"/>
        <v>MG52516013054001MAM</v>
      </c>
      <c r="B2256" t="s">
        <v>6211</v>
      </c>
      <c r="C2256">
        <f>+VLOOKUP(Sites_per_tag[[#This Row],[Field_office]],Parameter!$A$3:$B$11,2,0)</f>
        <v>6</v>
      </c>
      <c r="E2256" t="s">
        <v>5646</v>
      </c>
      <c r="F2256" t="s">
        <v>5647</v>
      </c>
      <c r="H2256" t="str">
        <f ca="1">PROPER(Sites_per_tag[[#This Row],[Adm2Name]])</f>
        <v>Ambovombe-Androy</v>
      </c>
      <c r="I2256" t="s">
        <v>5655</v>
      </c>
      <c r="K2256" t="s">
        <v>2387</v>
      </c>
      <c r="L2256" t="s">
        <v>5945</v>
      </c>
      <c r="N2256" t="s">
        <v>141</v>
      </c>
      <c r="O2256" t="s">
        <v>4973</v>
      </c>
      <c r="Q2256" t="s">
        <v>141</v>
      </c>
      <c r="R2256" t="s">
        <v>142</v>
      </c>
      <c r="T2256" t="s">
        <v>5</v>
      </c>
      <c r="U2256" s="3" t="str">
        <f>+VLOOKUP(Sites_per_tag[[#This Row],[Activity_tag]],Parameter!$A$24:$B$32,2,0)</f>
        <v>MAM</v>
      </c>
      <c r="W2256">
        <v>45.983919999999998</v>
      </c>
      <c r="X2256">
        <v>-25.275950000000002</v>
      </c>
    </row>
    <row r="2257" spans="1:24" x14ac:dyDescent="0.35">
      <c r="A2257" s="3" t="str">
        <f t="shared" si="35"/>
        <v>MG52516013055001MAM</v>
      </c>
      <c r="B2257" t="s">
        <v>6211</v>
      </c>
      <c r="C2257">
        <f>+VLOOKUP(Sites_per_tag[[#This Row],[Field_office]],Parameter!$A$3:$B$11,2,0)</f>
        <v>6</v>
      </c>
      <c r="E2257" t="s">
        <v>5646</v>
      </c>
      <c r="F2257" t="s">
        <v>5647</v>
      </c>
      <c r="H2257" t="str">
        <f ca="1">PROPER(Sites_per_tag[[#This Row],[Adm2Name]])</f>
        <v>Ambovombe-Androy</v>
      </c>
      <c r="I2257" t="s">
        <v>5655</v>
      </c>
      <c r="K2257" t="s">
        <v>2387</v>
      </c>
      <c r="L2257" t="s">
        <v>5945</v>
      </c>
      <c r="N2257" t="s">
        <v>2387</v>
      </c>
      <c r="O2257" t="s">
        <v>4974</v>
      </c>
      <c r="Q2257" t="s">
        <v>2387</v>
      </c>
      <c r="R2257" t="s">
        <v>2388</v>
      </c>
      <c r="T2257" t="s">
        <v>5</v>
      </c>
      <c r="U2257" s="3" t="str">
        <f>+VLOOKUP(Sites_per_tag[[#This Row],[Activity_tag]],Parameter!$A$24:$B$32,2,0)</f>
        <v>MAM</v>
      </c>
      <c r="W2257">
        <v>45.944249999999997</v>
      </c>
      <c r="X2257">
        <v>-25.286380000000001</v>
      </c>
    </row>
    <row r="2258" spans="1:24" x14ac:dyDescent="0.35">
      <c r="A2258" s="3" t="str">
        <f t="shared" si="35"/>
        <v>MG52516013056001MAM</v>
      </c>
      <c r="B2258" t="s">
        <v>6211</v>
      </c>
      <c r="C2258">
        <f>+VLOOKUP(Sites_per_tag[[#This Row],[Field_office]],Parameter!$A$3:$B$11,2,0)</f>
        <v>6</v>
      </c>
      <c r="E2258" t="s">
        <v>5646</v>
      </c>
      <c r="F2258" t="s">
        <v>5647</v>
      </c>
      <c r="H2258" t="str">
        <f ca="1">PROPER(Sites_per_tag[[#This Row],[Adm2Name]])</f>
        <v>Ambovombe-Androy</v>
      </c>
      <c r="I2258" t="s">
        <v>5655</v>
      </c>
      <c r="K2258" t="s">
        <v>2387</v>
      </c>
      <c r="L2258" t="s">
        <v>5945</v>
      </c>
      <c r="N2258" t="s">
        <v>3286</v>
      </c>
      <c r="O2258" t="s">
        <v>4975</v>
      </c>
      <c r="Q2258" t="s">
        <v>3286</v>
      </c>
      <c r="R2258" t="s">
        <v>3287</v>
      </c>
      <c r="T2258" t="s">
        <v>5</v>
      </c>
      <c r="U2258" s="3" t="str">
        <f>+VLOOKUP(Sites_per_tag[[#This Row],[Activity_tag]],Parameter!$A$24:$B$32,2,0)</f>
        <v>MAM</v>
      </c>
      <c r="W2258">
        <v>45.978900000000003</v>
      </c>
      <c r="X2258">
        <v>-25.252600000000001</v>
      </c>
    </row>
    <row r="2259" spans="1:24" x14ac:dyDescent="0.35">
      <c r="A2259" s="3" t="str">
        <f t="shared" si="35"/>
        <v>MG52516013064001MAM</v>
      </c>
      <c r="B2259" t="s">
        <v>6267</v>
      </c>
      <c r="C2259">
        <f>+VLOOKUP(Sites_per_tag[[#This Row],[Field_office]],Parameter!$A$3:$B$11,2,0)</f>
        <v>9</v>
      </c>
      <c r="E2259" t="s">
        <v>5650</v>
      </c>
      <c r="F2259" t="s">
        <v>5654</v>
      </c>
      <c r="H2259" t="str">
        <f ca="1">PROPER(Sites_per_tag[[#This Row],[Adm2Name]])</f>
        <v>Ampanihy Ouest</v>
      </c>
      <c r="I2259" t="s">
        <v>5660</v>
      </c>
      <c r="K2259" t="s">
        <v>2914</v>
      </c>
      <c r="L2259" t="s">
        <v>6034</v>
      </c>
      <c r="N2259" t="s">
        <v>1286</v>
      </c>
      <c r="O2259" t="s">
        <v>5247</v>
      </c>
      <c r="Q2259" t="s">
        <v>1286</v>
      </c>
      <c r="R2259" t="s">
        <v>1287</v>
      </c>
      <c r="T2259" t="s">
        <v>5</v>
      </c>
      <c r="U2259" s="3" t="str">
        <f>+VLOOKUP(Sites_per_tag[[#This Row],[Activity_tag]],Parameter!$A$24:$B$32,2,0)</f>
        <v>MAM</v>
      </c>
      <c r="W2259">
        <v>44.912080000000003</v>
      </c>
      <c r="X2259">
        <v>-24.46735</v>
      </c>
    </row>
    <row r="2260" spans="1:24" x14ac:dyDescent="0.35">
      <c r="A2260" s="3" t="str">
        <f t="shared" si="35"/>
        <v>MG52516013065001MAM</v>
      </c>
      <c r="B2260" t="s">
        <v>6267</v>
      </c>
      <c r="C2260">
        <f>+VLOOKUP(Sites_per_tag[[#This Row],[Field_office]],Parameter!$A$3:$B$11,2,0)</f>
        <v>9</v>
      </c>
      <c r="E2260" t="s">
        <v>5650</v>
      </c>
      <c r="F2260" t="s">
        <v>5654</v>
      </c>
      <c r="H2260" t="str">
        <f ca="1">PROPER(Sites_per_tag[[#This Row],[Adm2Name]])</f>
        <v>Ampanihy Ouest</v>
      </c>
      <c r="I2260" t="s">
        <v>5660</v>
      </c>
      <c r="K2260" t="s">
        <v>2914</v>
      </c>
      <c r="L2260" t="s">
        <v>6034</v>
      </c>
      <c r="N2260" t="s">
        <v>1815</v>
      </c>
      <c r="O2260" t="s">
        <v>5248</v>
      </c>
      <c r="Q2260" t="s">
        <v>1815</v>
      </c>
      <c r="R2260" t="s">
        <v>1816</v>
      </c>
      <c r="T2260" t="s">
        <v>5</v>
      </c>
      <c r="U2260" s="3" t="str">
        <f>+VLOOKUP(Sites_per_tag[[#This Row],[Activity_tag]],Parameter!$A$24:$B$32,2,0)</f>
        <v>MAM</v>
      </c>
      <c r="W2260">
        <v>44.847670000000001</v>
      </c>
      <c r="X2260">
        <v>-24.577819999999999</v>
      </c>
    </row>
    <row r="2261" spans="1:24" x14ac:dyDescent="0.35">
      <c r="A2261" s="3" t="str">
        <f t="shared" si="35"/>
        <v>MG52516013066001MAM</v>
      </c>
      <c r="B2261" t="s">
        <v>6267</v>
      </c>
      <c r="C2261">
        <f>+VLOOKUP(Sites_per_tag[[#This Row],[Field_office]],Parameter!$A$3:$B$11,2,0)</f>
        <v>9</v>
      </c>
      <c r="E2261" t="s">
        <v>5650</v>
      </c>
      <c r="F2261" t="s">
        <v>5654</v>
      </c>
      <c r="H2261" t="str">
        <f ca="1">PROPER(Sites_per_tag[[#This Row],[Adm2Name]])</f>
        <v>Ampanihy Ouest</v>
      </c>
      <c r="I2261" t="s">
        <v>5660</v>
      </c>
      <c r="K2261" t="s">
        <v>2914</v>
      </c>
      <c r="L2261" t="s">
        <v>6034</v>
      </c>
      <c r="N2261" t="s">
        <v>1839</v>
      </c>
      <c r="O2261" t="s">
        <v>5249</v>
      </c>
      <c r="Q2261" t="s">
        <v>1839</v>
      </c>
      <c r="R2261" t="s">
        <v>1840</v>
      </c>
      <c r="T2261" t="s">
        <v>5</v>
      </c>
      <c r="U2261" s="3" t="str">
        <f>+VLOOKUP(Sites_per_tag[[#This Row],[Activity_tag]],Parameter!$A$24:$B$32,2,0)</f>
        <v>MAM</v>
      </c>
      <c r="W2261">
        <v>44.847119999999997</v>
      </c>
      <c r="X2261">
        <v>-24.589600000000001</v>
      </c>
    </row>
    <row r="2262" spans="1:24" x14ac:dyDescent="0.35">
      <c r="A2262" s="3" t="str">
        <f t="shared" si="35"/>
        <v>MG52516013067001MAM</v>
      </c>
      <c r="B2262" t="s">
        <v>6267</v>
      </c>
      <c r="C2262">
        <f>+VLOOKUP(Sites_per_tag[[#This Row],[Field_office]],Parameter!$A$3:$B$11,2,0)</f>
        <v>9</v>
      </c>
      <c r="E2262" t="s">
        <v>5650</v>
      </c>
      <c r="F2262" t="s">
        <v>5654</v>
      </c>
      <c r="H2262" t="str">
        <f ca="1">PROPER(Sites_per_tag[[#This Row],[Adm2Name]])</f>
        <v>Ampanihy Ouest</v>
      </c>
      <c r="I2262" t="s">
        <v>5660</v>
      </c>
      <c r="K2262" t="s">
        <v>2914</v>
      </c>
      <c r="L2262" t="s">
        <v>6034</v>
      </c>
      <c r="N2262" t="s">
        <v>2131</v>
      </c>
      <c r="O2262" t="s">
        <v>5250</v>
      </c>
      <c r="Q2262" t="s">
        <v>2131</v>
      </c>
      <c r="R2262" t="s">
        <v>2132</v>
      </c>
      <c r="T2262" t="s">
        <v>5</v>
      </c>
      <c r="U2262" s="3" t="str">
        <f>+VLOOKUP(Sites_per_tag[[#This Row],[Activity_tag]],Parameter!$A$24:$B$32,2,0)</f>
        <v>MAM</v>
      </c>
      <c r="W2262">
        <v>45.033630000000002</v>
      </c>
      <c r="X2262">
        <v>-24.315729999999999</v>
      </c>
    </row>
    <row r="2263" spans="1:24" x14ac:dyDescent="0.35">
      <c r="A2263" s="3" t="str">
        <f t="shared" si="35"/>
        <v>MG52516013068001MAM</v>
      </c>
      <c r="B2263" t="s">
        <v>6267</v>
      </c>
      <c r="C2263">
        <f>+VLOOKUP(Sites_per_tag[[#This Row],[Field_office]],Parameter!$A$3:$B$11,2,0)</f>
        <v>9</v>
      </c>
      <c r="E2263" t="s">
        <v>5650</v>
      </c>
      <c r="F2263" t="s">
        <v>5654</v>
      </c>
      <c r="H2263" t="str">
        <f ca="1">PROPER(Sites_per_tag[[#This Row],[Adm2Name]])</f>
        <v>Ampanihy Ouest</v>
      </c>
      <c r="I2263" t="s">
        <v>5660</v>
      </c>
      <c r="K2263" t="s">
        <v>2914</v>
      </c>
      <c r="L2263" t="s">
        <v>6034</v>
      </c>
      <c r="N2263" t="s">
        <v>2133</v>
      </c>
      <c r="O2263" t="s">
        <v>5251</v>
      </c>
      <c r="Q2263" t="s">
        <v>2133</v>
      </c>
      <c r="R2263" t="s">
        <v>2134</v>
      </c>
      <c r="T2263" t="s">
        <v>5</v>
      </c>
      <c r="U2263" s="3" t="str">
        <f>+VLOOKUP(Sites_per_tag[[#This Row],[Activity_tag]],Parameter!$A$24:$B$32,2,0)</f>
        <v>MAM</v>
      </c>
      <c r="W2263">
        <v>45.033630000000002</v>
      </c>
      <c r="X2263">
        <v>-24.315729999999999</v>
      </c>
    </row>
    <row r="2264" spans="1:24" x14ac:dyDescent="0.35">
      <c r="A2264" s="3" t="str">
        <f t="shared" si="35"/>
        <v>MG52516013069001MAM</v>
      </c>
      <c r="B2264" t="s">
        <v>6267</v>
      </c>
      <c r="C2264">
        <f>+VLOOKUP(Sites_per_tag[[#This Row],[Field_office]],Parameter!$A$3:$B$11,2,0)</f>
        <v>9</v>
      </c>
      <c r="E2264" t="s">
        <v>5650</v>
      </c>
      <c r="F2264" t="s">
        <v>5654</v>
      </c>
      <c r="H2264" t="str">
        <f ca="1">PROPER(Sites_per_tag[[#This Row],[Adm2Name]])</f>
        <v>Ampanihy Ouest</v>
      </c>
      <c r="I2264" t="s">
        <v>5660</v>
      </c>
      <c r="K2264" t="s">
        <v>2914</v>
      </c>
      <c r="L2264" t="s">
        <v>6034</v>
      </c>
      <c r="N2264" t="s">
        <v>3303</v>
      </c>
      <c r="O2264" t="s">
        <v>5252</v>
      </c>
      <c r="Q2264" t="s">
        <v>3303</v>
      </c>
      <c r="R2264" t="s">
        <v>3304</v>
      </c>
      <c r="T2264" t="s">
        <v>5</v>
      </c>
      <c r="U2264" s="3" t="str">
        <f>+VLOOKUP(Sites_per_tag[[#This Row],[Activity_tag]],Parameter!$A$24:$B$32,2,0)</f>
        <v>MAM</v>
      </c>
      <c r="W2264">
        <v>44.890700000000002</v>
      </c>
      <c r="X2264">
        <v>-24.432849999999998</v>
      </c>
    </row>
    <row r="2265" spans="1:24" x14ac:dyDescent="0.35">
      <c r="A2265" s="3" t="str">
        <f t="shared" si="35"/>
        <v>MG52516013070001MAM</v>
      </c>
      <c r="B2265" t="s">
        <v>6267</v>
      </c>
      <c r="C2265">
        <f>+VLOOKUP(Sites_per_tag[[#This Row],[Field_office]],Parameter!$A$3:$B$11,2,0)</f>
        <v>9</v>
      </c>
      <c r="E2265" t="s">
        <v>5650</v>
      </c>
      <c r="F2265" t="s">
        <v>5654</v>
      </c>
      <c r="H2265" t="str">
        <f ca="1">PROPER(Sites_per_tag[[#This Row],[Adm2Name]])</f>
        <v>Ampanihy Ouest</v>
      </c>
      <c r="I2265" t="s">
        <v>5660</v>
      </c>
      <c r="K2265" t="s">
        <v>2914</v>
      </c>
      <c r="L2265" t="s">
        <v>6034</v>
      </c>
      <c r="N2265" t="s">
        <v>3330</v>
      </c>
      <c r="O2265" t="s">
        <v>5253</v>
      </c>
      <c r="Q2265" t="s">
        <v>3330</v>
      </c>
      <c r="R2265" t="s">
        <v>3331</v>
      </c>
      <c r="T2265" t="s">
        <v>5</v>
      </c>
      <c r="U2265" s="3" t="str">
        <f>+VLOOKUP(Sites_per_tag[[#This Row],[Activity_tag]],Parameter!$A$24:$B$32,2,0)</f>
        <v>MAM</v>
      </c>
      <c r="W2265">
        <v>44.867249999999999</v>
      </c>
      <c r="X2265">
        <v>-24.533100000000001</v>
      </c>
    </row>
    <row r="2266" spans="1:24" x14ac:dyDescent="0.35">
      <c r="A2266" s="3" t="str">
        <f t="shared" si="35"/>
        <v>MG52516013071001MAM</v>
      </c>
      <c r="B2266" t="s">
        <v>6267</v>
      </c>
      <c r="C2266">
        <f>+VLOOKUP(Sites_per_tag[[#This Row],[Field_office]],Parameter!$A$3:$B$11,2,0)</f>
        <v>9</v>
      </c>
      <c r="E2266" t="s">
        <v>5650</v>
      </c>
      <c r="F2266" t="s">
        <v>5654</v>
      </c>
      <c r="H2266" t="str">
        <f ca="1">PROPER(Sites_per_tag[[#This Row],[Adm2Name]])</f>
        <v>Ampanihy Ouest</v>
      </c>
      <c r="I2266" t="s">
        <v>5660</v>
      </c>
      <c r="K2266" t="s">
        <v>2914</v>
      </c>
      <c r="L2266" t="s">
        <v>6034</v>
      </c>
      <c r="N2266" t="s">
        <v>3337</v>
      </c>
      <c r="O2266" t="s">
        <v>5254</v>
      </c>
      <c r="Q2266" t="s">
        <v>3337</v>
      </c>
      <c r="R2266" t="s">
        <v>3338</v>
      </c>
      <c r="T2266" t="s">
        <v>5</v>
      </c>
      <c r="U2266" s="3" t="str">
        <f>+VLOOKUP(Sites_per_tag[[#This Row],[Activity_tag]],Parameter!$A$24:$B$32,2,0)</f>
        <v>MAM</v>
      </c>
      <c r="W2266">
        <v>44.860680000000002</v>
      </c>
      <c r="X2266">
        <v>-24.498080000000002</v>
      </c>
    </row>
    <row r="2267" spans="1:24" x14ac:dyDescent="0.35">
      <c r="A2267" s="3" t="str">
        <f t="shared" si="35"/>
        <v>MG52516013072001MAM</v>
      </c>
      <c r="B2267" t="s">
        <v>6267</v>
      </c>
      <c r="C2267">
        <f>+VLOOKUP(Sites_per_tag[[#This Row],[Field_office]],Parameter!$A$3:$B$11,2,0)</f>
        <v>9</v>
      </c>
      <c r="E2267" t="s">
        <v>5650</v>
      </c>
      <c r="F2267" t="s">
        <v>5654</v>
      </c>
      <c r="H2267" t="str">
        <f ca="1">PROPER(Sites_per_tag[[#This Row],[Adm2Name]])</f>
        <v>Ampanihy Ouest</v>
      </c>
      <c r="I2267" t="s">
        <v>5660</v>
      </c>
      <c r="K2267" t="s">
        <v>2914</v>
      </c>
      <c r="L2267" t="s">
        <v>6034</v>
      </c>
      <c r="N2267" t="s">
        <v>3988</v>
      </c>
      <c r="O2267" t="s">
        <v>5255</v>
      </c>
      <c r="Q2267" t="s">
        <v>3988</v>
      </c>
      <c r="R2267" t="s">
        <v>3989</v>
      </c>
      <c r="T2267" t="s">
        <v>5</v>
      </c>
      <c r="U2267" s="3" t="str">
        <f>+VLOOKUP(Sites_per_tag[[#This Row],[Activity_tag]],Parameter!$A$24:$B$32,2,0)</f>
        <v>MAM</v>
      </c>
      <c r="W2267">
        <v>44.873600000000003</v>
      </c>
      <c r="X2267">
        <v>-24.446179999999998</v>
      </c>
    </row>
    <row r="2268" spans="1:24" x14ac:dyDescent="0.35">
      <c r="A2268" s="3" t="str">
        <f t="shared" si="35"/>
        <v>MG52516013089001MAM</v>
      </c>
      <c r="B2268" t="s">
        <v>6267</v>
      </c>
      <c r="C2268">
        <f>+VLOOKUP(Sites_per_tag[[#This Row],[Field_office]],Parameter!$A$3:$B$11,2,0)</f>
        <v>9</v>
      </c>
      <c r="E2268" t="s">
        <v>5650</v>
      </c>
      <c r="F2268" t="s">
        <v>5654</v>
      </c>
      <c r="H2268" t="str">
        <f ca="1">PROPER(Sites_per_tag[[#This Row],[Adm2Name]])</f>
        <v>Ampanihy Ouest</v>
      </c>
      <c r="I2268" t="s">
        <v>5660</v>
      </c>
      <c r="K2268" t="s">
        <v>5607</v>
      </c>
      <c r="L2268" t="s">
        <v>5760</v>
      </c>
      <c r="N2268" t="s">
        <v>2194</v>
      </c>
      <c r="O2268" t="s">
        <v>4497</v>
      </c>
      <c r="Q2268" t="s">
        <v>2194</v>
      </c>
      <c r="R2268" t="s">
        <v>2195</v>
      </c>
      <c r="T2268" t="s">
        <v>5</v>
      </c>
      <c r="U2268" s="3" t="str">
        <f>+VLOOKUP(Sites_per_tag[[#This Row],[Activity_tag]],Parameter!$A$24:$B$32,2,0)</f>
        <v>MAM</v>
      </c>
      <c r="W2268">
        <v>44.867280000000001</v>
      </c>
      <c r="X2268">
        <v>-24.74898</v>
      </c>
    </row>
    <row r="2269" spans="1:24" x14ac:dyDescent="0.35">
      <c r="A2269" s="3" t="str">
        <f t="shared" si="35"/>
        <v>MG52516013090001MAM</v>
      </c>
      <c r="B2269" t="s">
        <v>6267</v>
      </c>
      <c r="C2269">
        <f>+VLOOKUP(Sites_per_tag[[#This Row],[Field_office]],Parameter!$A$3:$B$11,2,0)</f>
        <v>9</v>
      </c>
      <c r="E2269" t="s">
        <v>5650</v>
      </c>
      <c r="F2269" t="s">
        <v>5654</v>
      </c>
      <c r="H2269" t="str">
        <f ca="1">PROPER(Sites_per_tag[[#This Row],[Adm2Name]])</f>
        <v>Ampanihy Ouest</v>
      </c>
      <c r="I2269" t="s">
        <v>5660</v>
      </c>
      <c r="K2269" t="s">
        <v>5607</v>
      </c>
      <c r="L2269" t="s">
        <v>5760</v>
      </c>
      <c r="N2269" t="s">
        <v>3222</v>
      </c>
      <c r="O2269" t="s">
        <v>4498</v>
      </c>
      <c r="Q2269" t="s">
        <v>3222</v>
      </c>
      <c r="R2269" t="s">
        <v>3223</v>
      </c>
      <c r="T2269" t="s">
        <v>5</v>
      </c>
      <c r="U2269" s="3" t="str">
        <f>+VLOOKUP(Sites_per_tag[[#This Row],[Activity_tag]],Parameter!$A$24:$B$32,2,0)</f>
        <v>MAM</v>
      </c>
      <c r="W2269">
        <v>44.744979999999998</v>
      </c>
      <c r="X2269">
        <v>-24.741199999999999</v>
      </c>
    </row>
    <row r="2270" spans="1:24" x14ac:dyDescent="0.35">
      <c r="A2270" s="3" t="str">
        <f t="shared" si="35"/>
        <v>MG52516013091001MAM</v>
      </c>
      <c r="B2270" t="s">
        <v>6267</v>
      </c>
      <c r="C2270">
        <f>+VLOOKUP(Sites_per_tag[[#This Row],[Field_office]],Parameter!$A$3:$B$11,2,0)</f>
        <v>9</v>
      </c>
      <c r="E2270" t="s">
        <v>5650</v>
      </c>
      <c r="F2270" t="s">
        <v>5654</v>
      </c>
      <c r="H2270" t="str">
        <f ca="1">PROPER(Sites_per_tag[[#This Row],[Adm2Name]])</f>
        <v>Ampanihy Ouest</v>
      </c>
      <c r="I2270" t="s">
        <v>5660</v>
      </c>
      <c r="K2270" t="s">
        <v>5607</v>
      </c>
      <c r="L2270" t="s">
        <v>5760</v>
      </c>
      <c r="N2270" t="s">
        <v>3805</v>
      </c>
      <c r="O2270" t="s">
        <v>4499</v>
      </c>
      <c r="Q2270" t="s">
        <v>3805</v>
      </c>
      <c r="R2270" t="s">
        <v>3806</v>
      </c>
      <c r="T2270" t="s">
        <v>5</v>
      </c>
      <c r="U2270" s="3" t="str">
        <f>+VLOOKUP(Sites_per_tag[[#This Row],[Activity_tag]],Parameter!$A$24:$B$32,2,0)</f>
        <v>MAM</v>
      </c>
      <c r="W2270">
        <v>44.673169999999999</v>
      </c>
      <c r="X2270">
        <v>-25.036650000000002</v>
      </c>
    </row>
    <row r="2271" spans="1:24" x14ac:dyDescent="0.35">
      <c r="A2271" s="3" t="str">
        <f t="shared" si="35"/>
        <v>MG52516014001PREV</v>
      </c>
      <c r="B2271" t="s">
        <v>6211</v>
      </c>
      <c r="C2271">
        <f>+VLOOKUP(Sites_per_tag[[#This Row],[Field_office]],Parameter!$A$3:$B$11,2,0)</f>
        <v>6</v>
      </c>
      <c r="E2271" t="s">
        <v>5646</v>
      </c>
      <c r="F2271" t="s">
        <v>5647</v>
      </c>
      <c r="H2271" t="str">
        <f ca="1">PROPER(Sites_per_tag[[#This Row],[Adm2Name]])</f>
        <v>Ambovombe-Androy</v>
      </c>
      <c r="I2271" t="s">
        <v>5655</v>
      </c>
      <c r="K2271" t="s">
        <v>6516</v>
      </c>
      <c r="L2271" t="s">
        <v>5818</v>
      </c>
      <c r="N2271" t="s">
        <v>4168</v>
      </c>
      <c r="Q2271" t="s">
        <v>1664</v>
      </c>
      <c r="R2271" t="s">
        <v>1665</v>
      </c>
      <c r="T2271" t="s">
        <v>32</v>
      </c>
      <c r="U2271" s="3" t="str">
        <f>+VLOOKUP(Sites_per_tag[[#This Row],[Activity_tag]],Parameter!$A$24:$B$32,2,0)</f>
        <v>PREV</v>
      </c>
      <c r="W2271">
        <v>46.23948</v>
      </c>
      <c r="X2271">
        <v>-25.05817</v>
      </c>
    </row>
    <row r="2272" spans="1:24" x14ac:dyDescent="0.35">
      <c r="A2272" s="3" t="str">
        <f t="shared" si="35"/>
        <v>MG52516014002001MAM</v>
      </c>
      <c r="B2272" t="s">
        <v>6211</v>
      </c>
      <c r="C2272">
        <f>+VLOOKUP(Sites_per_tag[[#This Row],[Field_office]],Parameter!$A$3:$B$11,2,0)</f>
        <v>6</v>
      </c>
      <c r="E2272" t="s">
        <v>5646</v>
      </c>
      <c r="F2272" t="s">
        <v>5647</v>
      </c>
      <c r="H2272" t="str">
        <f ca="1">PROPER(Sites_per_tag[[#This Row],[Adm2Name]])</f>
        <v>Bekily</v>
      </c>
      <c r="I2272" t="s">
        <v>5683</v>
      </c>
      <c r="K2272" t="s">
        <v>222</v>
      </c>
      <c r="L2272" t="s">
        <v>5687</v>
      </c>
      <c r="N2272" t="s">
        <v>222</v>
      </c>
      <c r="O2272" t="s">
        <v>4299</v>
      </c>
      <c r="Q2272" t="s">
        <v>234</v>
      </c>
      <c r="R2272" t="s">
        <v>235</v>
      </c>
      <c r="T2272" t="s">
        <v>5</v>
      </c>
      <c r="U2272" s="3" t="str">
        <f>+VLOOKUP(Sites_per_tag[[#This Row],[Activity_tag]],Parameter!$A$24:$B$32,2,0)</f>
        <v>MAM</v>
      </c>
      <c r="W2272">
        <v>45.174823000000004</v>
      </c>
      <c r="X2272">
        <v>-24.200316999999998</v>
      </c>
    </row>
    <row r="2273" spans="1:24" x14ac:dyDescent="0.35">
      <c r="A2273" s="3" t="str">
        <f t="shared" si="35"/>
        <v>MG52516014003PREV</v>
      </c>
      <c r="B2273" t="s">
        <v>6211</v>
      </c>
      <c r="C2273">
        <f>+VLOOKUP(Sites_per_tag[[#This Row],[Field_office]],Parameter!$A$3:$B$11,2,0)</f>
        <v>6</v>
      </c>
      <c r="E2273" t="s">
        <v>5646</v>
      </c>
      <c r="F2273" t="s">
        <v>5647</v>
      </c>
      <c r="H2273" t="str">
        <f ca="1">PROPER(Sites_per_tag[[#This Row],[Adm2Name]])</f>
        <v>Ambovombe-Androy</v>
      </c>
      <c r="I2273" t="s">
        <v>5655</v>
      </c>
      <c r="K2273" t="s">
        <v>6516</v>
      </c>
      <c r="L2273" t="s">
        <v>5818</v>
      </c>
      <c r="N2273" t="s">
        <v>4164</v>
      </c>
      <c r="Q2273" t="s">
        <v>3667</v>
      </c>
      <c r="R2273" t="s">
        <v>3668</v>
      </c>
      <c r="T2273" t="s">
        <v>32</v>
      </c>
      <c r="U2273" s="3" t="str">
        <f>+VLOOKUP(Sites_per_tag[[#This Row],[Activity_tag]],Parameter!$A$24:$B$32,2,0)</f>
        <v>PREV</v>
      </c>
      <c r="W2273">
        <v>46.138919999999999</v>
      </c>
      <c r="X2273">
        <v>-25.00853</v>
      </c>
    </row>
    <row r="2274" spans="1:24" x14ac:dyDescent="0.35">
      <c r="A2274" s="3" t="str">
        <f t="shared" si="35"/>
        <v>MG52516014004001MAM</v>
      </c>
      <c r="B2274" t="s">
        <v>6210</v>
      </c>
      <c r="C2274">
        <f>+VLOOKUP(Sites_per_tag[[#This Row],[Field_office]],Parameter!$A$3:$B$11,2,0)</f>
        <v>10</v>
      </c>
      <c r="E2274" t="s">
        <v>5650</v>
      </c>
      <c r="F2274" t="s">
        <v>5654</v>
      </c>
      <c r="H2274" t="str">
        <f ca="1">PROPER(Sites_per_tag[[#This Row],[Adm2Name]])</f>
        <v>Betioky Atsimo</v>
      </c>
      <c r="I2274" t="s">
        <v>5688</v>
      </c>
      <c r="K2274" t="s">
        <v>1959</v>
      </c>
      <c r="L2274" t="s">
        <v>5914</v>
      </c>
      <c r="N2274" t="s">
        <v>1367</v>
      </c>
      <c r="O2274" t="s">
        <v>4853</v>
      </c>
      <c r="Q2274" t="s">
        <v>1367</v>
      </c>
      <c r="R2274" t="s">
        <v>1368</v>
      </c>
      <c r="T2274" t="s">
        <v>5</v>
      </c>
      <c r="U2274" s="3" t="str">
        <f>+VLOOKUP(Sites_per_tag[[#This Row],[Activity_tag]],Parameter!$A$24:$B$32,2,0)</f>
        <v>MAM</v>
      </c>
      <c r="W2274">
        <v>45.027484000000001</v>
      </c>
      <c r="X2274">
        <v>-23.456804999999999</v>
      </c>
    </row>
    <row r="2275" spans="1:24" x14ac:dyDescent="0.35">
      <c r="A2275" s="3" t="str">
        <f t="shared" si="35"/>
        <v>MG52516014006PREV</v>
      </c>
      <c r="B2275" t="s">
        <v>6211</v>
      </c>
      <c r="C2275">
        <f>+VLOOKUP(Sites_per_tag[[#This Row],[Field_office]],Parameter!$A$3:$B$11,2,0)</f>
        <v>6</v>
      </c>
      <c r="E2275" t="s">
        <v>5646</v>
      </c>
      <c r="F2275" t="s">
        <v>5647</v>
      </c>
      <c r="H2275" t="str">
        <f ca="1">PROPER(Sites_per_tag[[#This Row],[Adm2Name]])</f>
        <v>Ambovombe-Androy</v>
      </c>
      <c r="I2275" t="s">
        <v>5655</v>
      </c>
      <c r="K2275" t="s">
        <v>6516</v>
      </c>
      <c r="L2275" t="s">
        <v>5818</v>
      </c>
      <c r="N2275" t="s">
        <v>4165</v>
      </c>
      <c r="Q2275" t="s">
        <v>452</v>
      </c>
      <c r="R2275" t="s">
        <v>453</v>
      </c>
      <c r="T2275" t="s">
        <v>32</v>
      </c>
      <c r="U2275" s="3" t="str">
        <f>+VLOOKUP(Sites_per_tag[[#This Row],[Activity_tag]],Parameter!$A$24:$B$32,2,0)</f>
        <v>PREV</v>
      </c>
      <c r="W2275">
        <v>46.19502</v>
      </c>
      <c r="X2275">
        <v>-25.038969999999999</v>
      </c>
    </row>
    <row r="2276" spans="1:24" x14ac:dyDescent="0.35">
      <c r="A2276" s="3" t="str">
        <f t="shared" si="35"/>
        <v>MG52516014009001MAM</v>
      </c>
      <c r="B2276" t="s">
        <v>6211</v>
      </c>
      <c r="C2276">
        <f>+VLOOKUP(Sites_per_tag[[#This Row],[Field_office]],Parameter!$A$3:$B$11,2,0)</f>
        <v>6</v>
      </c>
      <c r="E2276" t="s">
        <v>5646</v>
      </c>
      <c r="F2276" t="s">
        <v>5647</v>
      </c>
      <c r="H2276" t="str">
        <f ca="1">PROPER(Sites_per_tag[[#This Row],[Adm2Name]])</f>
        <v>Ambovombe-Androy</v>
      </c>
      <c r="I2276" t="s">
        <v>5655</v>
      </c>
      <c r="K2276" t="s">
        <v>5817</v>
      </c>
      <c r="L2276" t="s">
        <v>5818</v>
      </c>
      <c r="N2276" t="s">
        <v>3089</v>
      </c>
      <c r="O2276" t="s">
        <v>4600</v>
      </c>
      <c r="Q2276" t="s">
        <v>3093</v>
      </c>
      <c r="R2276" t="s">
        <v>3094</v>
      </c>
      <c r="T2276" t="s">
        <v>5</v>
      </c>
      <c r="U2276" s="3" t="str">
        <f>+VLOOKUP(Sites_per_tag[[#This Row],[Activity_tag]],Parameter!$A$24:$B$32,2,0)</f>
        <v>MAM</v>
      </c>
      <c r="W2276">
        <v>46.197699999999998</v>
      </c>
      <c r="X2276">
        <v>-25.069700000000001</v>
      </c>
    </row>
    <row r="2277" spans="1:24" x14ac:dyDescent="0.35">
      <c r="A2277" s="3" t="str">
        <f t="shared" si="35"/>
        <v>MG52516014011PREV</v>
      </c>
      <c r="B2277" t="s">
        <v>6211</v>
      </c>
      <c r="C2277">
        <f>+VLOOKUP(Sites_per_tag[[#This Row],[Field_office]],Parameter!$A$3:$B$11,2,0)</f>
        <v>6</v>
      </c>
      <c r="E2277" t="s">
        <v>5646</v>
      </c>
      <c r="F2277" t="s">
        <v>5647</v>
      </c>
      <c r="H2277" t="str">
        <f ca="1">PROPER(Sites_per_tag[[#This Row],[Adm2Name]])</f>
        <v>Ambovombe-Androy</v>
      </c>
      <c r="I2277" t="s">
        <v>5655</v>
      </c>
      <c r="K2277" t="s">
        <v>6516</v>
      </c>
      <c r="L2277" t="s">
        <v>5818</v>
      </c>
      <c r="N2277" t="s">
        <v>4166</v>
      </c>
      <c r="Q2277" t="s">
        <v>1071</v>
      </c>
      <c r="R2277" t="s">
        <v>1072</v>
      </c>
      <c r="T2277" t="s">
        <v>32</v>
      </c>
      <c r="U2277" s="3" t="str">
        <f>+VLOOKUP(Sites_per_tag[[#This Row],[Activity_tag]],Parameter!$A$24:$B$32,2,0)</f>
        <v>PREV</v>
      </c>
      <c r="W2277">
        <v>46.22025</v>
      </c>
      <c r="X2277">
        <v>-25.045819999999999</v>
      </c>
    </row>
    <row r="2278" spans="1:24" x14ac:dyDescent="0.35">
      <c r="A2278" s="3" t="str">
        <f t="shared" si="35"/>
        <v>MG52516014017PREV</v>
      </c>
      <c r="B2278" t="s">
        <v>6211</v>
      </c>
      <c r="C2278">
        <f>+VLOOKUP(Sites_per_tag[[#This Row],[Field_office]],Parameter!$A$3:$B$11,2,0)</f>
        <v>6</v>
      </c>
      <c r="E2278" t="s">
        <v>5646</v>
      </c>
      <c r="F2278" t="s">
        <v>5647</v>
      </c>
      <c r="H2278" t="str">
        <f ca="1">PROPER(Sites_per_tag[[#This Row],[Adm2Name]])</f>
        <v>Ambovombe-Androy</v>
      </c>
      <c r="I2278" t="s">
        <v>5655</v>
      </c>
      <c r="K2278" t="s">
        <v>6516</v>
      </c>
      <c r="L2278" t="s">
        <v>5818</v>
      </c>
      <c r="N2278" t="s">
        <v>4169</v>
      </c>
      <c r="Q2278" t="s">
        <v>1277</v>
      </c>
      <c r="R2278" t="s">
        <v>1278</v>
      </c>
      <c r="T2278" t="s">
        <v>32</v>
      </c>
      <c r="U2278" s="3" t="str">
        <f>+VLOOKUP(Sites_per_tag[[#This Row],[Activity_tag]],Parameter!$A$24:$B$32,2,0)</f>
        <v>PREV</v>
      </c>
      <c r="W2278">
        <v>46.250100000000003</v>
      </c>
      <c r="X2278">
        <v>-25.069369999999999</v>
      </c>
    </row>
    <row r="2279" spans="1:24" x14ac:dyDescent="0.35">
      <c r="A2279" s="3" t="str">
        <f t="shared" si="35"/>
        <v>MG52516014022PREV</v>
      </c>
      <c r="B2279" t="s">
        <v>6211</v>
      </c>
      <c r="C2279">
        <f>+VLOOKUP(Sites_per_tag[[#This Row],[Field_office]],Parameter!$A$3:$B$11,2,0)</f>
        <v>6</v>
      </c>
      <c r="E2279" t="s">
        <v>5646</v>
      </c>
      <c r="F2279" t="s">
        <v>5647</v>
      </c>
      <c r="H2279" t="str">
        <f ca="1">PROPER(Sites_per_tag[[#This Row],[Adm2Name]])</f>
        <v>Ambovombe-Androy</v>
      </c>
      <c r="I2279" t="s">
        <v>5655</v>
      </c>
      <c r="K2279" t="s">
        <v>6516</v>
      </c>
      <c r="L2279" t="s">
        <v>5818</v>
      </c>
      <c r="N2279" t="s">
        <v>4167</v>
      </c>
      <c r="Q2279" t="s">
        <v>2362</v>
      </c>
      <c r="R2279" t="s">
        <v>2363</v>
      </c>
      <c r="T2279" t="s">
        <v>32</v>
      </c>
      <c r="U2279" s="3" t="str">
        <f>+VLOOKUP(Sites_per_tag[[#This Row],[Activity_tag]],Parameter!$A$24:$B$32,2,0)</f>
        <v>PREV</v>
      </c>
      <c r="W2279">
        <v>46.215330000000002</v>
      </c>
      <c r="X2279">
        <v>-25.07085</v>
      </c>
    </row>
    <row r="2280" spans="1:24" x14ac:dyDescent="0.35">
      <c r="A2280" s="3" t="str">
        <f t="shared" si="35"/>
        <v>MG52516014051001MAM</v>
      </c>
      <c r="B2280" t="s">
        <v>6211</v>
      </c>
      <c r="C2280">
        <f>+VLOOKUP(Sites_per_tag[[#This Row],[Field_office]],Parameter!$A$3:$B$11,2,0)</f>
        <v>6</v>
      </c>
      <c r="E2280" t="s">
        <v>5646</v>
      </c>
      <c r="F2280" t="s">
        <v>5647</v>
      </c>
      <c r="H2280" t="str">
        <f ca="1">PROPER(Sites_per_tag[[#This Row],[Adm2Name]])</f>
        <v>Ambovombe-Androy</v>
      </c>
      <c r="I2280" t="s">
        <v>5655</v>
      </c>
      <c r="K2280" t="s">
        <v>5817</v>
      </c>
      <c r="L2280" t="s">
        <v>5818</v>
      </c>
      <c r="N2280" t="s">
        <v>1073</v>
      </c>
      <c r="O2280" t="s">
        <v>4601</v>
      </c>
      <c r="Q2280" t="s">
        <v>1073</v>
      </c>
      <c r="R2280" t="s">
        <v>1074</v>
      </c>
      <c r="T2280" t="s">
        <v>5</v>
      </c>
      <c r="U2280" s="3" t="str">
        <f>+VLOOKUP(Sites_per_tag[[#This Row],[Activity_tag]],Parameter!$A$24:$B$32,2,0)</f>
        <v>MAM</v>
      </c>
      <c r="W2280">
        <v>46.19652</v>
      </c>
      <c r="X2280">
        <v>-25.082799999999999</v>
      </c>
    </row>
    <row r="2281" spans="1:24" x14ac:dyDescent="0.35">
      <c r="A2281" s="3" t="str">
        <f t="shared" si="35"/>
        <v>MG52516014052001MAM</v>
      </c>
      <c r="B2281" t="s">
        <v>6211</v>
      </c>
      <c r="C2281">
        <f>+VLOOKUP(Sites_per_tag[[#This Row],[Field_office]],Parameter!$A$3:$B$11,2,0)</f>
        <v>6</v>
      </c>
      <c r="E2281" t="s">
        <v>5646</v>
      </c>
      <c r="F2281" t="s">
        <v>5647</v>
      </c>
      <c r="H2281" t="str">
        <f ca="1">PROPER(Sites_per_tag[[#This Row],[Adm2Name]])</f>
        <v>Ambovombe-Androy</v>
      </c>
      <c r="I2281" t="s">
        <v>5655</v>
      </c>
      <c r="K2281" t="s">
        <v>5817</v>
      </c>
      <c r="L2281" t="s">
        <v>5818</v>
      </c>
      <c r="N2281" t="s">
        <v>446</v>
      </c>
      <c r="O2281" t="s">
        <v>4602</v>
      </c>
      <c r="Q2281" t="s">
        <v>446</v>
      </c>
      <c r="R2281" t="s">
        <v>447</v>
      </c>
      <c r="T2281" t="s">
        <v>5</v>
      </c>
      <c r="U2281" s="3" t="str">
        <f>+VLOOKUP(Sites_per_tag[[#This Row],[Activity_tag]],Parameter!$A$24:$B$32,2,0)</f>
        <v>MAM</v>
      </c>
      <c r="W2281">
        <v>46.250480000000003</v>
      </c>
      <c r="X2281">
        <v>-25.06983</v>
      </c>
    </row>
    <row r="2282" spans="1:24" x14ac:dyDescent="0.35">
      <c r="A2282" s="3" t="str">
        <f t="shared" si="35"/>
        <v>MG52516014053001MAM</v>
      </c>
      <c r="B2282" t="s">
        <v>6211</v>
      </c>
      <c r="C2282">
        <f>+VLOOKUP(Sites_per_tag[[#This Row],[Field_office]],Parameter!$A$3:$B$11,2,0)</f>
        <v>6</v>
      </c>
      <c r="E2282" t="s">
        <v>5646</v>
      </c>
      <c r="F2282" t="s">
        <v>5647</v>
      </c>
      <c r="H2282" t="str">
        <f ca="1">PROPER(Sites_per_tag[[#This Row],[Adm2Name]])</f>
        <v>Ambovombe-Androy</v>
      </c>
      <c r="I2282" t="s">
        <v>5655</v>
      </c>
      <c r="K2282" t="s">
        <v>5817</v>
      </c>
      <c r="L2282" t="s">
        <v>5818</v>
      </c>
      <c r="N2282" t="s">
        <v>452</v>
      </c>
      <c r="O2282" t="s">
        <v>4603</v>
      </c>
      <c r="Q2282" t="s">
        <v>452</v>
      </c>
      <c r="R2282" t="s">
        <v>454</v>
      </c>
      <c r="T2282" t="s">
        <v>5</v>
      </c>
      <c r="U2282" s="3" t="str">
        <f>+VLOOKUP(Sites_per_tag[[#This Row],[Activity_tag]],Parameter!$A$24:$B$32,2,0)</f>
        <v>MAM</v>
      </c>
      <c r="W2282">
        <v>46.19502</v>
      </c>
      <c r="X2282">
        <v>-25.038969999999999</v>
      </c>
    </row>
    <row r="2283" spans="1:24" x14ac:dyDescent="0.35">
      <c r="A2283" s="3" t="str">
        <f t="shared" si="35"/>
        <v>MG52516014054001MAM</v>
      </c>
      <c r="B2283" t="s">
        <v>6211</v>
      </c>
      <c r="C2283">
        <f>+VLOOKUP(Sites_per_tag[[#This Row],[Field_office]],Parameter!$A$3:$B$11,2,0)</f>
        <v>6</v>
      </c>
      <c r="E2283" t="s">
        <v>5646</v>
      </c>
      <c r="F2283" t="s">
        <v>5647</v>
      </c>
      <c r="H2283" t="str">
        <f ca="1">PROPER(Sites_per_tag[[#This Row],[Adm2Name]])</f>
        <v>Ambovombe-Androy</v>
      </c>
      <c r="I2283" t="s">
        <v>5655</v>
      </c>
      <c r="K2283" t="s">
        <v>5817</v>
      </c>
      <c r="L2283" t="s">
        <v>5818</v>
      </c>
      <c r="N2283" t="s">
        <v>1079</v>
      </c>
      <c r="O2283" t="s">
        <v>4604</v>
      </c>
      <c r="Q2283" t="s">
        <v>1079</v>
      </c>
      <c r="R2283" t="s">
        <v>1080</v>
      </c>
      <c r="T2283" t="s">
        <v>5</v>
      </c>
      <c r="U2283" s="3" t="str">
        <f>+VLOOKUP(Sites_per_tag[[#This Row],[Activity_tag]],Parameter!$A$24:$B$32,2,0)</f>
        <v>MAM</v>
      </c>
      <c r="W2283">
        <v>46.202620000000003</v>
      </c>
      <c r="X2283">
        <v>-25.091830000000002</v>
      </c>
    </row>
    <row r="2284" spans="1:24" x14ac:dyDescent="0.35">
      <c r="A2284" s="3" t="str">
        <f t="shared" si="35"/>
        <v>MG52516014055001MAM</v>
      </c>
      <c r="B2284" t="s">
        <v>6211</v>
      </c>
      <c r="C2284">
        <f>+VLOOKUP(Sites_per_tag[[#This Row],[Field_office]],Parameter!$A$3:$B$11,2,0)</f>
        <v>6</v>
      </c>
      <c r="E2284" t="s">
        <v>5646</v>
      </c>
      <c r="F2284" t="s">
        <v>5647</v>
      </c>
      <c r="H2284" t="str">
        <f ca="1">PROPER(Sites_per_tag[[#This Row],[Adm2Name]])</f>
        <v>Ambovombe-Androy</v>
      </c>
      <c r="I2284" t="s">
        <v>5655</v>
      </c>
      <c r="K2284" t="s">
        <v>5817</v>
      </c>
      <c r="L2284" t="s">
        <v>5818</v>
      </c>
      <c r="N2284" t="s">
        <v>1203</v>
      </c>
      <c r="O2284" t="s">
        <v>4605</v>
      </c>
      <c r="Q2284" t="s">
        <v>1203</v>
      </c>
      <c r="R2284" t="s">
        <v>1204</v>
      </c>
      <c r="T2284" t="s">
        <v>5</v>
      </c>
      <c r="U2284" s="3" t="str">
        <f>+VLOOKUP(Sites_per_tag[[#This Row],[Activity_tag]],Parameter!$A$24:$B$32,2,0)</f>
        <v>MAM</v>
      </c>
      <c r="W2284">
        <v>46.22222</v>
      </c>
      <c r="X2284">
        <v>-25.063279999999999</v>
      </c>
    </row>
    <row r="2285" spans="1:24" x14ac:dyDescent="0.35">
      <c r="A2285" s="3" t="str">
        <f t="shared" si="35"/>
        <v>MG52516014056001MAM</v>
      </c>
      <c r="B2285" t="s">
        <v>6211</v>
      </c>
      <c r="C2285">
        <f>+VLOOKUP(Sites_per_tag[[#This Row],[Field_office]],Parameter!$A$3:$B$11,2,0)</f>
        <v>6</v>
      </c>
      <c r="E2285" t="s">
        <v>5646</v>
      </c>
      <c r="F2285" t="s">
        <v>5647</v>
      </c>
      <c r="H2285" t="str">
        <f ca="1">PROPER(Sites_per_tag[[#This Row],[Adm2Name]])</f>
        <v>Ambovombe-Androy</v>
      </c>
      <c r="I2285" t="s">
        <v>5655</v>
      </c>
      <c r="K2285" t="s">
        <v>5817</v>
      </c>
      <c r="L2285" t="s">
        <v>5818</v>
      </c>
      <c r="N2285" t="s">
        <v>1232</v>
      </c>
      <c r="O2285" t="s">
        <v>4606</v>
      </c>
      <c r="Q2285" t="s">
        <v>1232</v>
      </c>
      <c r="R2285" t="s">
        <v>1233</v>
      </c>
      <c r="T2285" t="s">
        <v>5</v>
      </c>
      <c r="U2285" s="3" t="str">
        <f>+VLOOKUP(Sites_per_tag[[#This Row],[Activity_tag]],Parameter!$A$24:$B$32,2,0)</f>
        <v>MAM</v>
      </c>
      <c r="W2285">
        <v>46.220149999999997</v>
      </c>
      <c r="X2285">
        <v>-25.06317</v>
      </c>
    </row>
    <row r="2286" spans="1:24" x14ac:dyDescent="0.35">
      <c r="A2286" s="3" t="str">
        <f t="shared" si="35"/>
        <v>MG52516014057001MAM</v>
      </c>
      <c r="B2286" t="s">
        <v>6211</v>
      </c>
      <c r="C2286">
        <f>+VLOOKUP(Sites_per_tag[[#This Row],[Field_office]],Parameter!$A$3:$B$11,2,0)</f>
        <v>6</v>
      </c>
      <c r="E2286" t="s">
        <v>5646</v>
      </c>
      <c r="F2286" t="s">
        <v>5647</v>
      </c>
      <c r="H2286" t="str">
        <f ca="1">PROPER(Sites_per_tag[[#This Row],[Adm2Name]])</f>
        <v>Ambovombe-Androy</v>
      </c>
      <c r="I2286" t="s">
        <v>5655</v>
      </c>
      <c r="K2286" t="s">
        <v>5817</v>
      </c>
      <c r="L2286" t="s">
        <v>5818</v>
      </c>
      <c r="N2286" t="s">
        <v>1277</v>
      </c>
      <c r="O2286" t="s">
        <v>4607</v>
      </c>
      <c r="Q2286" t="s">
        <v>1277</v>
      </c>
      <c r="R2286" t="s">
        <v>1279</v>
      </c>
      <c r="T2286" t="s">
        <v>5</v>
      </c>
      <c r="U2286" s="3" t="str">
        <f>+VLOOKUP(Sites_per_tag[[#This Row],[Activity_tag]],Parameter!$A$24:$B$32,2,0)</f>
        <v>MAM</v>
      </c>
      <c r="W2286">
        <v>46.251420000000003</v>
      </c>
      <c r="X2286">
        <v>-25.069500000000001</v>
      </c>
    </row>
    <row r="2287" spans="1:24" x14ac:dyDescent="0.35">
      <c r="A2287" s="3" t="str">
        <f t="shared" si="35"/>
        <v>MG52516014058001MAM</v>
      </c>
      <c r="B2287" t="s">
        <v>6211</v>
      </c>
      <c r="C2287">
        <f>+VLOOKUP(Sites_per_tag[[#This Row],[Field_office]],Parameter!$A$3:$B$11,2,0)</f>
        <v>6</v>
      </c>
      <c r="E2287" t="s">
        <v>5646</v>
      </c>
      <c r="F2287" t="s">
        <v>5647</v>
      </c>
      <c r="H2287" t="str">
        <f ca="1">PROPER(Sites_per_tag[[#This Row],[Adm2Name]])</f>
        <v>Ambovombe-Androy</v>
      </c>
      <c r="I2287" t="s">
        <v>5655</v>
      </c>
      <c r="K2287" t="s">
        <v>5817</v>
      </c>
      <c r="L2287" t="s">
        <v>5818</v>
      </c>
      <c r="N2287" t="s">
        <v>1490</v>
      </c>
      <c r="O2287" t="s">
        <v>4608</v>
      </c>
      <c r="Q2287" t="s">
        <v>1490</v>
      </c>
      <c r="R2287" t="s">
        <v>1491</v>
      </c>
      <c r="T2287" t="s">
        <v>5</v>
      </c>
      <c r="U2287" s="3" t="str">
        <f>+VLOOKUP(Sites_per_tag[[#This Row],[Activity_tag]],Parameter!$A$24:$B$32,2,0)</f>
        <v>MAM</v>
      </c>
      <c r="W2287">
        <v>46.22878</v>
      </c>
      <c r="X2287">
        <v>-25.043469999999999</v>
      </c>
    </row>
    <row r="2288" spans="1:24" x14ac:dyDescent="0.35">
      <c r="A2288" s="3" t="str">
        <f t="shared" si="35"/>
        <v>MG52516014059001MAM</v>
      </c>
      <c r="B2288" t="s">
        <v>6211</v>
      </c>
      <c r="C2288">
        <f>+VLOOKUP(Sites_per_tag[[#This Row],[Field_office]],Parameter!$A$3:$B$11,2,0)</f>
        <v>6</v>
      </c>
      <c r="E2288" t="s">
        <v>5646</v>
      </c>
      <c r="F2288" t="s">
        <v>5647</v>
      </c>
      <c r="H2288" t="str">
        <f ca="1">PROPER(Sites_per_tag[[#This Row],[Adm2Name]])</f>
        <v>Ambovombe-Androy</v>
      </c>
      <c r="I2288" t="s">
        <v>5655</v>
      </c>
      <c r="K2288" t="s">
        <v>5817</v>
      </c>
      <c r="L2288" t="s">
        <v>5818</v>
      </c>
      <c r="N2288" t="s">
        <v>1679</v>
      </c>
      <c r="O2288" t="s">
        <v>4609</v>
      </c>
      <c r="Q2288" t="s">
        <v>1679</v>
      </c>
      <c r="R2288" t="s">
        <v>1680</v>
      </c>
      <c r="T2288" t="s">
        <v>5</v>
      </c>
      <c r="U2288" s="3" t="str">
        <f>+VLOOKUP(Sites_per_tag[[#This Row],[Activity_tag]],Parameter!$A$24:$B$32,2,0)</f>
        <v>MAM</v>
      </c>
      <c r="W2288">
        <v>46.239469999999997</v>
      </c>
      <c r="X2288">
        <v>-25.060300000000002</v>
      </c>
    </row>
    <row r="2289" spans="1:24" x14ac:dyDescent="0.35">
      <c r="A2289" s="3" t="str">
        <f t="shared" si="35"/>
        <v>MG52516014060001MAM</v>
      </c>
      <c r="B2289" t="s">
        <v>6211</v>
      </c>
      <c r="C2289">
        <f>+VLOOKUP(Sites_per_tag[[#This Row],[Field_office]],Parameter!$A$3:$B$11,2,0)</f>
        <v>6</v>
      </c>
      <c r="E2289" t="s">
        <v>5646</v>
      </c>
      <c r="F2289" t="s">
        <v>5647</v>
      </c>
      <c r="H2289" t="str">
        <f ca="1">PROPER(Sites_per_tag[[#This Row],[Adm2Name]])</f>
        <v>Ambovombe-Androy</v>
      </c>
      <c r="I2289" t="s">
        <v>5655</v>
      </c>
      <c r="K2289" t="s">
        <v>5817</v>
      </c>
      <c r="L2289" t="s">
        <v>5818</v>
      </c>
      <c r="N2289" t="s">
        <v>1681</v>
      </c>
      <c r="O2289" t="s">
        <v>4610</v>
      </c>
      <c r="Q2289" t="s">
        <v>1681</v>
      </c>
      <c r="R2289" t="s">
        <v>1682</v>
      </c>
      <c r="T2289" t="s">
        <v>5</v>
      </c>
      <c r="U2289" s="3" t="str">
        <f>+VLOOKUP(Sites_per_tag[[#This Row],[Activity_tag]],Parameter!$A$24:$B$32,2,0)</f>
        <v>MAM</v>
      </c>
      <c r="W2289">
        <v>46.23948</v>
      </c>
      <c r="X2289">
        <v>-25.05817</v>
      </c>
    </row>
    <row r="2290" spans="1:24" x14ac:dyDescent="0.35">
      <c r="A2290" s="3" t="str">
        <f t="shared" si="35"/>
        <v>MG52516014061001MAM</v>
      </c>
      <c r="B2290" t="s">
        <v>6211</v>
      </c>
      <c r="C2290">
        <f>+VLOOKUP(Sites_per_tag[[#This Row],[Field_office]],Parameter!$A$3:$B$11,2,0)</f>
        <v>6</v>
      </c>
      <c r="E2290" t="s">
        <v>5646</v>
      </c>
      <c r="F2290" t="s">
        <v>5647</v>
      </c>
      <c r="H2290" t="str">
        <f ca="1">PROPER(Sites_per_tag[[#This Row],[Adm2Name]])</f>
        <v>Ambovombe-Androy</v>
      </c>
      <c r="I2290" t="s">
        <v>5655</v>
      </c>
      <c r="K2290" t="s">
        <v>5817</v>
      </c>
      <c r="L2290" t="s">
        <v>5818</v>
      </c>
      <c r="N2290" t="s">
        <v>2952</v>
      </c>
      <c r="O2290" t="s">
        <v>4611</v>
      </c>
      <c r="Q2290" t="s">
        <v>2952</v>
      </c>
      <c r="R2290" t="s">
        <v>2953</v>
      </c>
      <c r="T2290" t="s">
        <v>5</v>
      </c>
      <c r="U2290" s="3" t="str">
        <f>+VLOOKUP(Sites_per_tag[[#This Row],[Activity_tag]],Parameter!$A$24:$B$32,2,0)</f>
        <v>MAM</v>
      </c>
      <c r="W2290">
        <v>46.193579999999997</v>
      </c>
      <c r="X2290">
        <v>-25.064530000000001</v>
      </c>
    </row>
    <row r="2291" spans="1:24" x14ac:dyDescent="0.35">
      <c r="A2291" s="3" t="str">
        <f t="shared" si="35"/>
        <v>MG52516014062001MAM</v>
      </c>
      <c r="B2291" t="s">
        <v>6211</v>
      </c>
      <c r="C2291">
        <f>+VLOOKUP(Sites_per_tag[[#This Row],[Field_office]],Parameter!$A$3:$B$11,2,0)</f>
        <v>6</v>
      </c>
      <c r="E2291" t="s">
        <v>5646</v>
      </c>
      <c r="F2291" t="s">
        <v>5647</v>
      </c>
      <c r="H2291" t="str">
        <f ca="1">PROPER(Sites_per_tag[[#This Row],[Adm2Name]])</f>
        <v>Ambovombe-Androy</v>
      </c>
      <c r="I2291" t="s">
        <v>5655</v>
      </c>
      <c r="K2291" t="s">
        <v>5817</v>
      </c>
      <c r="L2291" t="s">
        <v>5818</v>
      </c>
      <c r="N2291" t="s">
        <v>3001</v>
      </c>
      <c r="O2291" t="s">
        <v>4612</v>
      </c>
      <c r="Q2291" t="s">
        <v>3001</v>
      </c>
      <c r="R2291" t="s">
        <v>3002</v>
      </c>
      <c r="T2291" t="s">
        <v>5</v>
      </c>
      <c r="U2291" s="3" t="str">
        <f>+VLOOKUP(Sites_per_tag[[#This Row],[Activity_tag]],Parameter!$A$24:$B$32,2,0)</f>
        <v>MAM</v>
      </c>
      <c r="W2291">
        <v>46.151249999999997</v>
      </c>
      <c r="X2291">
        <v>-25.074750000000002</v>
      </c>
    </row>
    <row r="2292" spans="1:24" x14ac:dyDescent="0.35">
      <c r="A2292" s="3" t="str">
        <f t="shared" si="35"/>
        <v>MG52516014063001MAM</v>
      </c>
      <c r="B2292" t="s">
        <v>6211</v>
      </c>
      <c r="C2292">
        <f>+VLOOKUP(Sites_per_tag[[#This Row],[Field_office]],Parameter!$A$3:$B$11,2,0)</f>
        <v>6</v>
      </c>
      <c r="E2292" t="s">
        <v>5646</v>
      </c>
      <c r="F2292" t="s">
        <v>5647</v>
      </c>
      <c r="H2292" t="str">
        <f ca="1">PROPER(Sites_per_tag[[#This Row],[Adm2Name]])</f>
        <v>Ambovombe-Androy</v>
      </c>
      <c r="I2292" t="s">
        <v>5655</v>
      </c>
      <c r="K2292" t="s">
        <v>5817</v>
      </c>
      <c r="L2292" t="s">
        <v>5818</v>
      </c>
      <c r="N2292" t="s">
        <v>3682</v>
      </c>
      <c r="O2292" t="s">
        <v>4613</v>
      </c>
      <c r="Q2292" t="s">
        <v>3682</v>
      </c>
      <c r="R2292" t="s">
        <v>3683</v>
      </c>
      <c r="T2292" t="s">
        <v>5</v>
      </c>
      <c r="U2292" s="3" t="str">
        <f>+VLOOKUP(Sites_per_tag[[#This Row],[Activity_tag]],Parameter!$A$24:$B$32,2,0)</f>
        <v>MAM</v>
      </c>
      <c r="W2292">
        <v>46.138919999999999</v>
      </c>
      <c r="X2292">
        <v>-25.00853</v>
      </c>
    </row>
    <row r="2293" spans="1:24" x14ac:dyDescent="0.35">
      <c r="A2293" s="3" t="str">
        <f t="shared" si="35"/>
        <v>MG52516014064001MAM</v>
      </c>
      <c r="B2293" t="s">
        <v>6211</v>
      </c>
      <c r="C2293">
        <f>+VLOOKUP(Sites_per_tag[[#This Row],[Field_office]],Parameter!$A$3:$B$11,2,0)</f>
        <v>6</v>
      </c>
      <c r="E2293" t="s">
        <v>5646</v>
      </c>
      <c r="F2293" t="s">
        <v>5647</v>
      </c>
      <c r="H2293" t="str">
        <f ca="1">PROPER(Sites_per_tag[[#This Row],[Adm2Name]])</f>
        <v>Ambovombe-Androy</v>
      </c>
      <c r="I2293" t="s">
        <v>5655</v>
      </c>
      <c r="K2293" t="s">
        <v>5817</v>
      </c>
      <c r="L2293" t="s">
        <v>5818</v>
      </c>
      <c r="N2293" t="s">
        <v>3807</v>
      </c>
      <c r="O2293" t="s">
        <v>4614</v>
      </c>
      <c r="Q2293" t="s">
        <v>3807</v>
      </c>
      <c r="R2293" t="s">
        <v>3808</v>
      </c>
      <c r="T2293" t="s">
        <v>5</v>
      </c>
      <c r="U2293" s="3" t="str">
        <f>+VLOOKUP(Sites_per_tag[[#This Row],[Activity_tag]],Parameter!$A$24:$B$32,2,0)</f>
        <v>MAM</v>
      </c>
      <c r="W2293">
        <v>46.156399999999998</v>
      </c>
      <c r="X2293">
        <v>-25.067730000000001</v>
      </c>
    </row>
    <row r="2294" spans="1:24" x14ac:dyDescent="0.35">
      <c r="A2294" s="3" t="str">
        <f t="shared" si="35"/>
        <v>MG52516031001PREV</v>
      </c>
      <c r="B2294" t="s">
        <v>6211</v>
      </c>
      <c r="C2294">
        <f>+VLOOKUP(Sites_per_tag[[#This Row],[Field_office]],Parameter!$A$3:$B$11,2,0)</f>
        <v>6</v>
      </c>
      <c r="E2294" t="s">
        <v>5646</v>
      </c>
      <c r="F2294" t="s">
        <v>5647</v>
      </c>
      <c r="H2294" t="str">
        <f ca="1">PROPER(Sites_per_tag[[#This Row],[Adm2Name]])</f>
        <v>Ambovombe-Androy</v>
      </c>
      <c r="I2294" t="s">
        <v>5655</v>
      </c>
      <c r="K2294" t="s">
        <v>148</v>
      </c>
      <c r="L2294" t="s">
        <v>5673</v>
      </c>
      <c r="N2294" t="s">
        <v>4161</v>
      </c>
      <c r="Q2294" t="s">
        <v>148</v>
      </c>
      <c r="R2294" t="s">
        <v>149</v>
      </c>
      <c r="T2294" t="s">
        <v>32</v>
      </c>
      <c r="U2294" s="3" t="str">
        <f>+VLOOKUP(Sites_per_tag[[#This Row],[Activity_tag]],Parameter!$A$24:$B$32,2,0)</f>
        <v>PREV</v>
      </c>
      <c r="W2294">
        <v>45.983069999999998</v>
      </c>
      <c r="X2294">
        <v>-25.197479999999999</v>
      </c>
    </row>
    <row r="2295" spans="1:24" x14ac:dyDescent="0.35">
      <c r="A2295" s="3" t="str">
        <f t="shared" si="35"/>
        <v>MG52516031002001MAM</v>
      </c>
      <c r="B2295" t="s">
        <v>6211</v>
      </c>
      <c r="C2295">
        <f>+VLOOKUP(Sites_per_tag[[#This Row],[Field_office]],Parameter!$A$3:$B$11,2,0)</f>
        <v>6</v>
      </c>
      <c r="E2295" t="s">
        <v>5646</v>
      </c>
      <c r="F2295" t="s">
        <v>5647</v>
      </c>
      <c r="H2295" t="str">
        <f ca="1">PROPER(Sites_per_tag[[#This Row],[Adm2Name]])</f>
        <v>Ambovombe-Androy</v>
      </c>
      <c r="I2295" t="s">
        <v>5655</v>
      </c>
      <c r="K2295" t="s">
        <v>148</v>
      </c>
      <c r="L2295" t="s">
        <v>5673</v>
      </c>
      <c r="N2295" t="s">
        <v>4287</v>
      </c>
      <c r="O2295" t="s">
        <v>4286</v>
      </c>
      <c r="Q2295" t="s">
        <v>3341</v>
      </c>
      <c r="R2295" t="s">
        <v>3342</v>
      </c>
      <c r="T2295" t="s">
        <v>5</v>
      </c>
      <c r="U2295" s="3" t="str">
        <f>+VLOOKUP(Sites_per_tag[[#This Row],[Activity_tag]],Parameter!$A$24:$B$32,2,0)</f>
        <v>MAM</v>
      </c>
      <c r="W2295">
        <v>45.934350000000002</v>
      </c>
      <c r="X2295">
        <v>-24.813700000000001</v>
      </c>
    </row>
    <row r="2296" spans="1:24" x14ac:dyDescent="0.35">
      <c r="A2296" s="3" t="str">
        <f t="shared" si="35"/>
        <v>MG52516031004001MAM</v>
      </c>
      <c r="B2296" t="s">
        <v>6211</v>
      </c>
      <c r="C2296">
        <f>+VLOOKUP(Sites_per_tag[[#This Row],[Field_office]],Parameter!$A$3:$B$11,2,0)</f>
        <v>6</v>
      </c>
      <c r="E2296" t="s">
        <v>5646</v>
      </c>
      <c r="F2296" t="s">
        <v>5647</v>
      </c>
      <c r="H2296" t="str">
        <f ca="1">PROPER(Sites_per_tag[[#This Row],[Adm2Name]])</f>
        <v>Ambovombe-Androy</v>
      </c>
      <c r="I2296" t="s">
        <v>5655</v>
      </c>
      <c r="K2296" t="s">
        <v>148</v>
      </c>
      <c r="L2296" t="s">
        <v>5673</v>
      </c>
      <c r="N2296" t="s">
        <v>1088</v>
      </c>
      <c r="O2296" t="s">
        <v>1089</v>
      </c>
      <c r="Q2296" t="s">
        <v>1088</v>
      </c>
      <c r="R2296" t="s">
        <v>1090</v>
      </c>
      <c r="T2296" t="s">
        <v>5</v>
      </c>
      <c r="U2296" s="3" t="str">
        <f>+VLOOKUP(Sites_per_tag[[#This Row],[Activity_tag]],Parameter!$A$24:$B$32,2,0)</f>
        <v>MAM</v>
      </c>
      <c r="W2296">
        <v>46.024169999999998</v>
      </c>
      <c r="X2296">
        <v>-25.129829999999998</v>
      </c>
    </row>
    <row r="2297" spans="1:24" x14ac:dyDescent="0.35">
      <c r="A2297" s="3" t="str">
        <f t="shared" si="35"/>
        <v>MG52516031004PREV</v>
      </c>
      <c r="B2297" t="s">
        <v>6211</v>
      </c>
      <c r="C2297">
        <f>+VLOOKUP(Sites_per_tag[[#This Row],[Field_office]],Parameter!$A$3:$B$11,2,0)</f>
        <v>6</v>
      </c>
      <c r="E2297" t="s">
        <v>5646</v>
      </c>
      <c r="F2297" t="s">
        <v>5647</v>
      </c>
      <c r="H2297" t="str">
        <f ca="1">PROPER(Sites_per_tag[[#This Row],[Adm2Name]])</f>
        <v>Ambovombe-Androy</v>
      </c>
      <c r="I2297" t="s">
        <v>5655</v>
      </c>
      <c r="K2297" t="s">
        <v>148</v>
      </c>
      <c r="L2297" t="s">
        <v>5673</v>
      </c>
      <c r="N2297" t="s">
        <v>4162</v>
      </c>
      <c r="Q2297" t="s">
        <v>1088</v>
      </c>
      <c r="R2297" t="s">
        <v>1089</v>
      </c>
      <c r="T2297" t="s">
        <v>32</v>
      </c>
      <c r="U2297" s="3" t="str">
        <f>+VLOOKUP(Sites_per_tag[[#This Row],[Activity_tag]],Parameter!$A$24:$B$32,2,0)</f>
        <v>PREV</v>
      </c>
      <c r="W2297">
        <v>46.024169999999998</v>
      </c>
      <c r="X2297">
        <v>-25.129829999999998</v>
      </c>
    </row>
    <row r="2298" spans="1:24" x14ac:dyDescent="0.35">
      <c r="A2298" s="3" t="str">
        <f t="shared" si="35"/>
        <v>MG52516031006PREV</v>
      </c>
      <c r="B2298" t="s">
        <v>6211</v>
      </c>
      <c r="C2298">
        <f>+VLOOKUP(Sites_per_tag[[#This Row],[Field_office]],Parameter!$A$3:$B$11,2,0)</f>
        <v>6</v>
      </c>
      <c r="E2298" t="s">
        <v>5646</v>
      </c>
      <c r="F2298" t="s">
        <v>5647</v>
      </c>
      <c r="H2298" t="str">
        <f ca="1">PROPER(Sites_per_tag[[#This Row],[Adm2Name]])</f>
        <v>Ambovombe-Androy</v>
      </c>
      <c r="I2298" t="s">
        <v>5655</v>
      </c>
      <c r="K2298" t="s">
        <v>148</v>
      </c>
      <c r="L2298" t="s">
        <v>5673</v>
      </c>
      <c r="N2298" t="s">
        <v>4163</v>
      </c>
      <c r="Q2298" t="s">
        <v>3455</v>
      </c>
      <c r="R2298" t="s">
        <v>3456</v>
      </c>
      <c r="T2298" t="s">
        <v>32</v>
      </c>
      <c r="U2298" s="3" t="str">
        <f>+VLOOKUP(Sites_per_tag[[#This Row],[Activity_tag]],Parameter!$A$24:$B$32,2,0)</f>
        <v>PREV</v>
      </c>
      <c r="W2298">
        <v>46.042819999999999</v>
      </c>
      <c r="X2298">
        <v>-25.162649999999999</v>
      </c>
    </row>
    <row r="2299" spans="1:24" x14ac:dyDescent="0.35">
      <c r="A2299" s="3" t="str">
        <f t="shared" si="35"/>
        <v>MG52516031011PREV</v>
      </c>
      <c r="B2299" t="s">
        <v>6211</v>
      </c>
      <c r="C2299">
        <f>+VLOOKUP(Sites_per_tag[[#This Row],[Field_office]],Parameter!$A$3:$B$11,2,0)</f>
        <v>6</v>
      </c>
      <c r="E2299" t="s">
        <v>5646</v>
      </c>
      <c r="F2299" t="s">
        <v>5647</v>
      </c>
      <c r="H2299" t="str">
        <f ca="1">PROPER(Sites_per_tag[[#This Row],[Adm2Name]])</f>
        <v>Ambovombe-Androy</v>
      </c>
      <c r="I2299" t="s">
        <v>5655</v>
      </c>
      <c r="K2299" t="s">
        <v>148</v>
      </c>
      <c r="L2299" t="s">
        <v>5673</v>
      </c>
      <c r="N2299" t="s">
        <v>4160</v>
      </c>
      <c r="Q2299" t="s">
        <v>2430</v>
      </c>
      <c r="R2299" t="s">
        <v>2431</v>
      </c>
      <c r="T2299" t="s">
        <v>32</v>
      </c>
      <c r="U2299" s="3" t="str">
        <f>+VLOOKUP(Sites_per_tag[[#This Row],[Activity_tag]],Parameter!$A$24:$B$32,2,0)</f>
        <v>PREV</v>
      </c>
      <c r="W2299">
        <v>45.96387</v>
      </c>
      <c r="X2299">
        <v>-25.201720000000002</v>
      </c>
    </row>
    <row r="2300" spans="1:24" x14ac:dyDescent="0.35">
      <c r="A2300" s="3" t="str">
        <f t="shared" si="35"/>
        <v>MG52516031035001MAM</v>
      </c>
      <c r="B2300" t="s">
        <v>6211</v>
      </c>
      <c r="C2300">
        <f>+VLOOKUP(Sites_per_tag[[#This Row],[Field_office]],Parameter!$A$3:$B$11,2,0)</f>
        <v>6</v>
      </c>
      <c r="E2300" t="s">
        <v>5646</v>
      </c>
      <c r="F2300" t="s">
        <v>5647</v>
      </c>
      <c r="H2300" t="str">
        <f ca="1">PROPER(Sites_per_tag[[#This Row],[Adm2Name]])</f>
        <v>Ambovombe-Androy</v>
      </c>
      <c r="I2300" t="s">
        <v>5655</v>
      </c>
      <c r="K2300" t="s">
        <v>148</v>
      </c>
      <c r="L2300" t="s">
        <v>5673</v>
      </c>
      <c r="N2300" t="s">
        <v>150</v>
      </c>
      <c r="O2300" t="s">
        <v>4288</v>
      </c>
      <c r="Q2300" t="s">
        <v>150</v>
      </c>
      <c r="R2300" t="s">
        <v>151</v>
      </c>
      <c r="T2300" t="s">
        <v>5</v>
      </c>
      <c r="U2300" s="3" t="str">
        <f>+VLOOKUP(Sites_per_tag[[#This Row],[Activity_tag]],Parameter!$A$24:$B$32,2,0)</f>
        <v>MAM</v>
      </c>
      <c r="W2300">
        <v>45.983069999999998</v>
      </c>
      <c r="X2300">
        <v>-25.197479999999999</v>
      </c>
    </row>
    <row r="2301" spans="1:24" x14ac:dyDescent="0.35">
      <c r="A2301" s="3" t="str">
        <f t="shared" si="35"/>
        <v>MG52516031037001MAM</v>
      </c>
      <c r="B2301" t="s">
        <v>6211</v>
      </c>
      <c r="C2301">
        <f>+VLOOKUP(Sites_per_tag[[#This Row],[Field_office]],Parameter!$A$3:$B$11,2,0)</f>
        <v>6</v>
      </c>
      <c r="E2301" t="s">
        <v>5646</v>
      </c>
      <c r="F2301" t="s">
        <v>5647</v>
      </c>
      <c r="H2301" t="str">
        <f ca="1">PROPER(Sites_per_tag[[#This Row],[Adm2Name]])</f>
        <v>Ambovombe-Androy</v>
      </c>
      <c r="I2301" t="s">
        <v>5655</v>
      </c>
      <c r="K2301" t="s">
        <v>148</v>
      </c>
      <c r="L2301" t="s">
        <v>5673</v>
      </c>
      <c r="N2301" t="s">
        <v>1251</v>
      </c>
      <c r="O2301" t="s">
        <v>4289</v>
      </c>
      <c r="Q2301" t="s">
        <v>1251</v>
      </c>
      <c r="R2301" t="s">
        <v>1252</v>
      </c>
      <c r="T2301" t="s">
        <v>5</v>
      </c>
      <c r="U2301" s="3" t="str">
        <f>+VLOOKUP(Sites_per_tag[[#This Row],[Activity_tag]],Parameter!$A$24:$B$32,2,0)</f>
        <v>MAM</v>
      </c>
      <c r="W2301">
        <v>45.985680000000002</v>
      </c>
      <c r="X2301">
        <v>-25.222619999999999</v>
      </c>
    </row>
    <row r="2302" spans="1:24" x14ac:dyDescent="0.35">
      <c r="A2302" s="3" t="str">
        <f t="shared" si="35"/>
        <v>MG52516031038001MAM</v>
      </c>
      <c r="B2302" t="s">
        <v>6211</v>
      </c>
      <c r="C2302">
        <f>+VLOOKUP(Sites_per_tag[[#This Row],[Field_office]],Parameter!$A$3:$B$11,2,0)</f>
        <v>6</v>
      </c>
      <c r="E2302" t="s">
        <v>5646</v>
      </c>
      <c r="F2302" t="s">
        <v>5647</v>
      </c>
      <c r="H2302" t="str">
        <f ca="1">PROPER(Sites_per_tag[[#This Row],[Adm2Name]])</f>
        <v>Ambovombe-Androy</v>
      </c>
      <c r="I2302" t="s">
        <v>5655</v>
      </c>
      <c r="K2302" t="s">
        <v>148</v>
      </c>
      <c r="L2302" t="s">
        <v>5673</v>
      </c>
      <c r="N2302" t="s">
        <v>1307</v>
      </c>
      <c r="O2302" t="s">
        <v>4290</v>
      </c>
      <c r="Q2302" t="s">
        <v>1309</v>
      </c>
      <c r="R2302" t="s">
        <v>1310</v>
      </c>
      <c r="T2302" t="s">
        <v>5</v>
      </c>
      <c r="U2302" s="3" t="str">
        <f>+VLOOKUP(Sites_per_tag[[#This Row],[Activity_tag]],Parameter!$A$24:$B$32,2,0)</f>
        <v>MAM</v>
      </c>
      <c r="W2302">
        <v>46.008029999999998</v>
      </c>
      <c r="X2302">
        <v>-24.792470000000002</v>
      </c>
    </row>
    <row r="2303" spans="1:24" x14ac:dyDescent="0.35">
      <c r="A2303" s="3" t="str">
        <f t="shared" si="35"/>
        <v>MG52516031039001MAM</v>
      </c>
      <c r="B2303" t="s">
        <v>6211</v>
      </c>
      <c r="C2303">
        <f>+VLOOKUP(Sites_per_tag[[#This Row],[Field_office]],Parameter!$A$3:$B$11,2,0)</f>
        <v>6</v>
      </c>
      <c r="E2303" t="s">
        <v>5646</v>
      </c>
      <c r="F2303" t="s">
        <v>5647</v>
      </c>
      <c r="H2303" t="str">
        <f ca="1">PROPER(Sites_per_tag[[#This Row],[Adm2Name]])</f>
        <v>Ambovombe-Androy</v>
      </c>
      <c r="I2303" t="s">
        <v>5655</v>
      </c>
      <c r="K2303" t="s">
        <v>148</v>
      </c>
      <c r="L2303" t="s">
        <v>5673</v>
      </c>
      <c r="N2303" t="s">
        <v>2427</v>
      </c>
      <c r="O2303" t="s">
        <v>4291</v>
      </c>
      <c r="Q2303" t="s">
        <v>2427</v>
      </c>
      <c r="R2303" t="s">
        <v>2428</v>
      </c>
      <c r="T2303" t="s">
        <v>5</v>
      </c>
      <c r="U2303" s="3" t="str">
        <f>+VLOOKUP(Sites_per_tag[[#This Row],[Activity_tag]],Parameter!$A$24:$B$32,2,0)</f>
        <v>MAM</v>
      </c>
      <c r="W2303">
        <v>45.958170000000003</v>
      </c>
      <c r="X2303">
        <v>-25.199300000000001</v>
      </c>
    </row>
    <row r="2304" spans="1:24" x14ac:dyDescent="0.35">
      <c r="A2304" s="3" t="str">
        <f t="shared" si="35"/>
        <v>MG52516033001PREV</v>
      </c>
      <c r="B2304" t="s">
        <v>6267</v>
      </c>
      <c r="C2304">
        <f>+VLOOKUP(Sites_per_tag[[#This Row],[Field_office]],Parameter!$A$3:$B$11,2,0)</f>
        <v>9</v>
      </c>
      <c r="E2304" t="s">
        <v>5650</v>
      </c>
      <c r="F2304" t="s">
        <v>5654</v>
      </c>
      <c r="H2304" t="str">
        <f ca="1">PROPER(Sites_per_tag[[#This Row],[Adm2Name]])</f>
        <v>Ampanihy Ouest</v>
      </c>
      <c r="I2304" t="s">
        <v>5660</v>
      </c>
      <c r="K2304" t="s">
        <v>5103</v>
      </c>
      <c r="L2304" t="s">
        <v>5809</v>
      </c>
      <c r="N2304" t="s">
        <v>4255</v>
      </c>
      <c r="Q2304" t="s">
        <v>2199</v>
      </c>
      <c r="R2304" t="s">
        <v>2200</v>
      </c>
      <c r="T2304" t="s">
        <v>32</v>
      </c>
      <c r="U2304" s="3" t="str">
        <f>+VLOOKUP(Sites_per_tag[[#This Row],[Activity_tag]],Parameter!$A$24:$B$32,2,0)</f>
        <v>PREV</v>
      </c>
      <c r="W2304">
        <v>44.383496999999998</v>
      </c>
      <c r="X2304">
        <v>-25.055266</v>
      </c>
    </row>
    <row r="2305" spans="1:24" x14ac:dyDescent="0.35">
      <c r="A2305" s="3" t="str">
        <f t="shared" si="35"/>
        <v>MG52516033015001MAM</v>
      </c>
      <c r="B2305" t="s">
        <v>6211</v>
      </c>
      <c r="C2305">
        <f>+VLOOKUP(Sites_per_tag[[#This Row],[Field_office]],Parameter!$A$3:$B$11,2,0)</f>
        <v>6</v>
      </c>
      <c r="E2305" t="s">
        <v>5646</v>
      </c>
      <c r="F2305" t="s">
        <v>5647</v>
      </c>
      <c r="H2305" t="str">
        <f ca="1">PROPER(Sites_per_tag[[#This Row],[Adm2Name]])</f>
        <v>Ambovombe-Androy</v>
      </c>
      <c r="I2305" t="s">
        <v>5655</v>
      </c>
      <c r="K2305" t="s">
        <v>367</v>
      </c>
      <c r="L2305" t="s">
        <v>5733</v>
      </c>
      <c r="N2305" t="s">
        <v>978</v>
      </c>
      <c r="O2305" t="s">
        <v>4347</v>
      </c>
      <c r="Q2305" t="s">
        <v>985</v>
      </c>
      <c r="R2305" t="s">
        <v>986</v>
      </c>
      <c r="T2305" t="s">
        <v>5</v>
      </c>
      <c r="U2305" s="3" t="str">
        <f>+VLOOKUP(Sites_per_tag[[#This Row],[Activity_tag]],Parameter!$A$24:$B$32,2,0)</f>
        <v>MAM</v>
      </c>
      <c r="W2305">
        <v>45.986879999999999</v>
      </c>
      <c r="X2305">
        <v>-25.12378</v>
      </c>
    </row>
    <row r="2306" spans="1:24" x14ac:dyDescent="0.35">
      <c r="A2306" s="3" t="str">
        <f t="shared" si="35"/>
        <v>MG52516033056001MAM</v>
      </c>
      <c r="B2306" t="s">
        <v>6211</v>
      </c>
      <c r="C2306">
        <f>+VLOOKUP(Sites_per_tag[[#This Row],[Field_office]],Parameter!$A$3:$B$11,2,0)</f>
        <v>6</v>
      </c>
      <c r="E2306" t="s">
        <v>5646</v>
      </c>
      <c r="F2306" t="s">
        <v>5647</v>
      </c>
      <c r="H2306" t="str">
        <f ca="1">PROPER(Sites_per_tag[[#This Row],[Adm2Name]])</f>
        <v>Ambovombe-Androy</v>
      </c>
      <c r="I2306" t="s">
        <v>5655</v>
      </c>
      <c r="K2306" t="s">
        <v>367</v>
      </c>
      <c r="L2306" t="s">
        <v>5733</v>
      </c>
      <c r="N2306" t="s">
        <v>905</v>
      </c>
      <c r="O2306" t="s">
        <v>4348</v>
      </c>
      <c r="Q2306" t="s">
        <v>905</v>
      </c>
      <c r="R2306" t="s">
        <v>906</v>
      </c>
      <c r="T2306" t="s">
        <v>5</v>
      </c>
      <c r="U2306" s="3" t="str">
        <f>+VLOOKUP(Sites_per_tag[[#This Row],[Activity_tag]],Parameter!$A$24:$B$32,2,0)</f>
        <v>MAM</v>
      </c>
      <c r="W2306">
        <v>45.983719999999998</v>
      </c>
      <c r="X2306">
        <v>-25.1585</v>
      </c>
    </row>
    <row r="2307" spans="1:24" x14ac:dyDescent="0.35">
      <c r="A2307" s="3" t="str">
        <f t="shared" ref="A2307:A2370" si="36">+R2307&amp;U2307</f>
        <v>MG52516033057001MAM</v>
      </c>
      <c r="B2307" t="s">
        <v>6211</v>
      </c>
      <c r="C2307">
        <f>+VLOOKUP(Sites_per_tag[[#This Row],[Field_office]],Parameter!$A$3:$B$11,2,0)</f>
        <v>6</v>
      </c>
      <c r="E2307" t="s">
        <v>5646</v>
      </c>
      <c r="F2307" t="s">
        <v>5647</v>
      </c>
      <c r="H2307" t="str">
        <f ca="1">PROPER(Sites_per_tag[[#This Row],[Adm2Name]])</f>
        <v>Ambovombe-Androy</v>
      </c>
      <c r="I2307" t="s">
        <v>5655</v>
      </c>
      <c r="K2307" t="s">
        <v>367</v>
      </c>
      <c r="L2307" t="s">
        <v>5733</v>
      </c>
      <c r="N2307" t="s">
        <v>4350</v>
      </c>
      <c r="O2307" t="s">
        <v>4349</v>
      </c>
      <c r="Q2307" t="s">
        <v>1237</v>
      </c>
      <c r="R2307" t="s">
        <v>1238</v>
      </c>
      <c r="T2307" t="s">
        <v>5</v>
      </c>
      <c r="U2307" s="3" t="str">
        <f>+VLOOKUP(Sites_per_tag[[#This Row],[Activity_tag]],Parameter!$A$24:$B$32,2,0)</f>
        <v>MAM</v>
      </c>
      <c r="W2307">
        <v>45.96613</v>
      </c>
      <c r="X2307">
        <v>-25.114049999999999</v>
      </c>
    </row>
    <row r="2308" spans="1:24" x14ac:dyDescent="0.35">
      <c r="A2308" s="3" t="str">
        <f t="shared" si="36"/>
        <v>MG52516033058001MAM</v>
      </c>
      <c r="B2308" t="s">
        <v>6211</v>
      </c>
      <c r="C2308">
        <f>+VLOOKUP(Sites_per_tag[[#This Row],[Field_office]],Parameter!$A$3:$B$11,2,0)</f>
        <v>6</v>
      </c>
      <c r="E2308" t="s">
        <v>5646</v>
      </c>
      <c r="F2308" t="s">
        <v>5647</v>
      </c>
      <c r="H2308" t="str">
        <f ca="1">PROPER(Sites_per_tag[[#This Row],[Adm2Name]])</f>
        <v>Ambovombe-Androy</v>
      </c>
      <c r="I2308" t="s">
        <v>5655</v>
      </c>
      <c r="K2308" t="s">
        <v>367</v>
      </c>
      <c r="L2308" t="s">
        <v>5733</v>
      </c>
      <c r="N2308" t="s">
        <v>2762</v>
      </c>
      <c r="O2308" t="s">
        <v>4351</v>
      </c>
      <c r="Q2308" t="s">
        <v>2762</v>
      </c>
      <c r="R2308" t="s">
        <v>2763</v>
      </c>
      <c r="T2308" t="s">
        <v>5</v>
      </c>
      <c r="U2308" s="3" t="str">
        <f>+VLOOKUP(Sites_per_tag[[#This Row],[Activity_tag]],Parameter!$A$24:$B$32,2,0)</f>
        <v>MAM</v>
      </c>
      <c r="W2308">
        <v>45.98715</v>
      </c>
      <c r="X2308">
        <v>-25.137219999999999</v>
      </c>
    </row>
    <row r="2309" spans="1:24" x14ac:dyDescent="0.35">
      <c r="A2309" s="3" t="str">
        <f t="shared" si="36"/>
        <v>MG52516033059001MAM</v>
      </c>
      <c r="B2309" t="s">
        <v>6211</v>
      </c>
      <c r="C2309">
        <f>+VLOOKUP(Sites_per_tag[[#This Row],[Field_office]],Parameter!$A$3:$B$11,2,0)</f>
        <v>6</v>
      </c>
      <c r="E2309" t="s">
        <v>5646</v>
      </c>
      <c r="F2309" t="s">
        <v>5647</v>
      </c>
      <c r="H2309" t="str">
        <f ca="1">PROPER(Sites_per_tag[[#This Row],[Adm2Name]])</f>
        <v>Ambovombe-Androy</v>
      </c>
      <c r="I2309" t="s">
        <v>5655</v>
      </c>
      <c r="K2309" t="s">
        <v>367</v>
      </c>
      <c r="L2309" t="s">
        <v>5733</v>
      </c>
      <c r="N2309" t="s">
        <v>3439</v>
      </c>
      <c r="O2309" t="s">
        <v>4352</v>
      </c>
      <c r="Q2309" t="s">
        <v>3439</v>
      </c>
      <c r="R2309" t="s">
        <v>3440</v>
      </c>
      <c r="T2309" t="s">
        <v>5</v>
      </c>
      <c r="U2309" s="3" t="str">
        <f>+VLOOKUP(Sites_per_tag[[#This Row],[Activity_tag]],Parameter!$A$24:$B$32,2,0)</f>
        <v>MAM</v>
      </c>
      <c r="W2309">
        <v>46.001869999999997</v>
      </c>
      <c r="X2309">
        <v>-25.128550000000001</v>
      </c>
    </row>
    <row r="2310" spans="1:24" x14ac:dyDescent="0.35">
      <c r="A2310" s="3" t="str">
        <f t="shared" si="36"/>
        <v>MG52516050005001MAM</v>
      </c>
      <c r="B2310" t="s">
        <v>6211</v>
      </c>
      <c r="C2310">
        <f>+VLOOKUP(Sites_per_tag[[#This Row],[Field_office]],Parameter!$A$3:$B$11,2,0)</f>
        <v>6</v>
      </c>
      <c r="E2310" t="s">
        <v>5646</v>
      </c>
      <c r="F2310" t="s">
        <v>5647</v>
      </c>
      <c r="H2310" t="str">
        <f ca="1">PROPER(Sites_per_tag[[#This Row],[Adm2Name]])</f>
        <v>Ambovombe-Androy</v>
      </c>
      <c r="I2310" t="s">
        <v>5655</v>
      </c>
      <c r="K2310" t="s">
        <v>412</v>
      </c>
      <c r="L2310" t="s">
        <v>5744</v>
      </c>
      <c r="N2310" t="s">
        <v>4370</v>
      </c>
      <c r="O2310" t="s">
        <v>4369</v>
      </c>
      <c r="Q2310" t="s">
        <v>1129</v>
      </c>
      <c r="R2310" t="s">
        <v>1130</v>
      </c>
      <c r="T2310" t="s">
        <v>5</v>
      </c>
      <c r="U2310" s="3" t="str">
        <f>+VLOOKUP(Sites_per_tag[[#This Row],[Activity_tag]],Parameter!$A$24:$B$32,2,0)</f>
        <v>MAM</v>
      </c>
      <c r="W2310">
        <v>45.911900000000003</v>
      </c>
      <c r="X2310">
        <v>-25.25722</v>
      </c>
    </row>
    <row r="2311" spans="1:24" x14ac:dyDescent="0.35">
      <c r="A2311" s="3" t="str">
        <f t="shared" si="36"/>
        <v>MG52516050009001MAM</v>
      </c>
      <c r="B2311" t="s">
        <v>6211</v>
      </c>
      <c r="C2311">
        <f>+VLOOKUP(Sites_per_tag[[#This Row],[Field_office]],Parameter!$A$3:$B$11,2,0)</f>
        <v>6</v>
      </c>
      <c r="E2311" t="s">
        <v>5646</v>
      </c>
      <c r="F2311" t="s">
        <v>5647</v>
      </c>
      <c r="H2311" t="str">
        <f ca="1">PROPER(Sites_per_tag[[#This Row],[Adm2Name]])</f>
        <v>Ambovombe-Androy</v>
      </c>
      <c r="I2311" t="s">
        <v>5655</v>
      </c>
      <c r="K2311" t="s">
        <v>412</v>
      </c>
      <c r="L2311" t="s">
        <v>5744</v>
      </c>
      <c r="N2311" t="s">
        <v>4372</v>
      </c>
      <c r="O2311" t="s">
        <v>4371</v>
      </c>
      <c r="Q2311" t="s">
        <v>647</v>
      </c>
      <c r="R2311" t="s">
        <v>648</v>
      </c>
      <c r="T2311" t="s">
        <v>5</v>
      </c>
      <c r="U2311" s="3" t="str">
        <f>+VLOOKUP(Sites_per_tag[[#This Row],[Activity_tag]],Parameter!$A$24:$B$32,2,0)</f>
        <v>MAM</v>
      </c>
      <c r="W2311">
        <v>45.944319999999998</v>
      </c>
      <c r="X2311">
        <v>-25.260079999999999</v>
      </c>
    </row>
    <row r="2312" spans="1:24" x14ac:dyDescent="0.35">
      <c r="A2312" s="3" t="str">
        <f t="shared" si="36"/>
        <v>MG52516050012001MAM</v>
      </c>
      <c r="B2312" t="s">
        <v>6211</v>
      </c>
      <c r="C2312">
        <f>+VLOOKUP(Sites_per_tag[[#This Row],[Field_office]],Parameter!$A$3:$B$11,2,0)</f>
        <v>6</v>
      </c>
      <c r="E2312" t="s">
        <v>5646</v>
      </c>
      <c r="F2312" t="s">
        <v>5647</v>
      </c>
      <c r="H2312" t="str">
        <f ca="1">PROPER(Sites_per_tag[[#This Row],[Adm2Name]])</f>
        <v>Ambovombe-Androy</v>
      </c>
      <c r="I2312" t="s">
        <v>5655</v>
      </c>
      <c r="K2312" t="s">
        <v>493</v>
      </c>
      <c r="L2312" t="s">
        <v>5758</v>
      </c>
      <c r="N2312" t="s">
        <v>4472</v>
      </c>
      <c r="O2312" t="s">
        <v>4471</v>
      </c>
      <c r="Q2312" t="s">
        <v>3276</v>
      </c>
      <c r="R2312" t="s">
        <v>3277</v>
      </c>
      <c r="T2312" t="s">
        <v>5</v>
      </c>
      <c r="U2312" s="3" t="str">
        <f>+VLOOKUP(Sites_per_tag[[#This Row],[Activity_tag]],Parameter!$A$24:$B$32,2,0)</f>
        <v>MAM</v>
      </c>
      <c r="W2312">
        <v>45.959269999999997</v>
      </c>
      <c r="X2312">
        <v>-25.2439</v>
      </c>
    </row>
    <row r="2313" spans="1:24" x14ac:dyDescent="0.35">
      <c r="A2313" s="3" t="str">
        <f t="shared" si="36"/>
        <v>MG52516050019001MAM</v>
      </c>
      <c r="B2313" t="s">
        <v>6211</v>
      </c>
      <c r="C2313">
        <f>+VLOOKUP(Sites_per_tag[[#This Row],[Field_office]],Parameter!$A$3:$B$11,2,0)</f>
        <v>6</v>
      </c>
      <c r="E2313" t="s">
        <v>5646</v>
      </c>
      <c r="F2313" t="s">
        <v>5647</v>
      </c>
      <c r="H2313" t="str">
        <f ca="1">PROPER(Sites_per_tag[[#This Row],[Adm2Name]])</f>
        <v>Ambovombe-Androy</v>
      </c>
      <c r="I2313" t="s">
        <v>5655</v>
      </c>
      <c r="K2313" t="s">
        <v>412</v>
      </c>
      <c r="L2313" t="s">
        <v>5744</v>
      </c>
      <c r="N2313" t="s">
        <v>412</v>
      </c>
      <c r="O2313" t="s">
        <v>4373</v>
      </c>
      <c r="Q2313" t="s">
        <v>416</v>
      </c>
      <c r="R2313" t="s">
        <v>417</v>
      </c>
      <c r="T2313" t="s">
        <v>5</v>
      </c>
      <c r="U2313" s="3" t="str">
        <f>+VLOOKUP(Sites_per_tag[[#This Row],[Activity_tag]],Parameter!$A$24:$B$32,2,0)</f>
        <v>MAM</v>
      </c>
      <c r="W2313">
        <v>45.7211</v>
      </c>
      <c r="X2313">
        <v>-25.419029999999999</v>
      </c>
    </row>
    <row r="2314" spans="1:24" x14ac:dyDescent="0.35">
      <c r="A2314" s="3" t="str">
        <f t="shared" si="36"/>
        <v>MG52516050057001MAM</v>
      </c>
      <c r="B2314" t="s">
        <v>6211</v>
      </c>
      <c r="C2314">
        <f>+VLOOKUP(Sites_per_tag[[#This Row],[Field_office]],Parameter!$A$3:$B$11,2,0)</f>
        <v>6</v>
      </c>
      <c r="E2314" t="s">
        <v>5646</v>
      </c>
      <c r="F2314" t="s">
        <v>5647</v>
      </c>
      <c r="H2314" t="str">
        <f ca="1">PROPER(Sites_per_tag[[#This Row],[Adm2Name]])</f>
        <v>Ambovombe-Androy</v>
      </c>
      <c r="I2314" t="s">
        <v>5655</v>
      </c>
      <c r="K2314" t="s">
        <v>412</v>
      </c>
      <c r="L2314" t="s">
        <v>5744</v>
      </c>
      <c r="N2314" t="s">
        <v>3028</v>
      </c>
      <c r="O2314" t="s">
        <v>4374</v>
      </c>
      <c r="Q2314" t="s">
        <v>3030</v>
      </c>
      <c r="R2314" t="s">
        <v>3031</v>
      </c>
      <c r="T2314" t="s">
        <v>5</v>
      </c>
      <c r="U2314" s="3" t="str">
        <f>+VLOOKUP(Sites_per_tag[[#This Row],[Activity_tag]],Parameter!$A$24:$B$32,2,0)</f>
        <v>MAM</v>
      </c>
      <c r="W2314">
        <v>45.929450000000003</v>
      </c>
      <c r="X2314">
        <v>-25.226179999999999</v>
      </c>
    </row>
    <row r="2315" spans="1:24" x14ac:dyDescent="0.35">
      <c r="A2315" s="3" t="str">
        <f t="shared" si="36"/>
        <v>MG52516050058001MAM</v>
      </c>
      <c r="B2315" t="s">
        <v>6211</v>
      </c>
      <c r="C2315">
        <f>+VLOOKUP(Sites_per_tag[[#This Row],[Field_office]],Parameter!$A$3:$B$11,2,0)</f>
        <v>6</v>
      </c>
      <c r="E2315" t="s">
        <v>5646</v>
      </c>
      <c r="F2315" t="s">
        <v>5647</v>
      </c>
      <c r="H2315" t="str">
        <f ca="1">PROPER(Sites_per_tag[[#This Row],[Adm2Name]])</f>
        <v>Ambovombe-Androy</v>
      </c>
      <c r="I2315" t="s">
        <v>5655</v>
      </c>
      <c r="K2315" t="s">
        <v>418</v>
      </c>
      <c r="L2315" t="s">
        <v>5745</v>
      </c>
      <c r="N2315" t="s">
        <v>574</v>
      </c>
      <c r="O2315" t="s">
        <v>4375</v>
      </c>
      <c r="Q2315" t="s">
        <v>574</v>
      </c>
      <c r="R2315" t="s">
        <v>575</v>
      </c>
      <c r="T2315" t="s">
        <v>5</v>
      </c>
      <c r="U2315" s="3" t="str">
        <f>+VLOOKUP(Sites_per_tag[[#This Row],[Activity_tag]],Parameter!$A$24:$B$32,2,0)</f>
        <v>MAM</v>
      </c>
      <c r="W2315">
        <v>45.817329999999998</v>
      </c>
      <c r="X2315">
        <v>-25.21893</v>
      </c>
    </row>
    <row r="2316" spans="1:24" x14ac:dyDescent="0.35">
      <c r="A2316" s="3" t="str">
        <f t="shared" si="36"/>
        <v>MG52516050059001MAM</v>
      </c>
      <c r="B2316" t="s">
        <v>6211</v>
      </c>
      <c r="C2316">
        <f>+VLOOKUP(Sites_per_tag[[#This Row],[Field_office]],Parameter!$A$3:$B$11,2,0)</f>
        <v>6</v>
      </c>
      <c r="E2316" t="s">
        <v>5646</v>
      </c>
      <c r="F2316" t="s">
        <v>5647</v>
      </c>
      <c r="H2316" t="str">
        <f ca="1">PROPER(Sites_per_tag[[#This Row],[Adm2Name]])</f>
        <v>Ambovombe-Androy</v>
      </c>
      <c r="I2316" t="s">
        <v>5655</v>
      </c>
      <c r="K2316" t="s">
        <v>418</v>
      </c>
      <c r="L2316" t="s">
        <v>5745</v>
      </c>
      <c r="N2316" t="s">
        <v>2674</v>
      </c>
      <c r="O2316" t="s">
        <v>4376</v>
      </c>
      <c r="Q2316" t="s">
        <v>2674</v>
      </c>
      <c r="R2316" t="s">
        <v>2675</v>
      </c>
      <c r="T2316" t="s">
        <v>5</v>
      </c>
      <c r="U2316" s="3" t="str">
        <f>+VLOOKUP(Sites_per_tag[[#This Row],[Activity_tag]],Parameter!$A$24:$B$32,2,0)</f>
        <v>MAM</v>
      </c>
      <c r="W2316">
        <v>45.845680000000002</v>
      </c>
      <c r="X2316">
        <v>-25.318529999999999</v>
      </c>
    </row>
    <row r="2317" spans="1:24" x14ac:dyDescent="0.35">
      <c r="A2317" s="3" t="str">
        <f t="shared" si="36"/>
        <v>MG52516050060001MAM</v>
      </c>
      <c r="B2317" t="s">
        <v>6211</v>
      </c>
      <c r="C2317">
        <f>+VLOOKUP(Sites_per_tag[[#This Row],[Field_office]],Parameter!$A$3:$B$11,2,0)</f>
        <v>6</v>
      </c>
      <c r="E2317" t="s">
        <v>5646</v>
      </c>
      <c r="F2317" t="s">
        <v>5647</v>
      </c>
      <c r="H2317" t="str">
        <f ca="1">PROPER(Sites_per_tag[[#This Row],[Adm2Name]])</f>
        <v>Ambovombe-Androy</v>
      </c>
      <c r="I2317" t="s">
        <v>5655</v>
      </c>
      <c r="K2317" t="s">
        <v>418</v>
      </c>
      <c r="L2317" t="s">
        <v>5745</v>
      </c>
      <c r="N2317" t="s">
        <v>3790</v>
      </c>
      <c r="O2317" t="s">
        <v>4377</v>
      </c>
      <c r="Q2317" t="s">
        <v>3790</v>
      </c>
      <c r="R2317" t="s">
        <v>3791</v>
      </c>
      <c r="T2317" t="s">
        <v>5</v>
      </c>
      <c r="U2317" s="3" t="str">
        <f>+VLOOKUP(Sites_per_tag[[#This Row],[Activity_tag]],Parameter!$A$24:$B$32,2,0)</f>
        <v>MAM</v>
      </c>
      <c r="W2317">
        <v>45.822899999999997</v>
      </c>
      <c r="X2317">
        <v>-25.215229999999998</v>
      </c>
    </row>
    <row r="2318" spans="1:24" x14ac:dyDescent="0.35">
      <c r="A2318" s="3" t="str">
        <f t="shared" si="36"/>
        <v>MG52516070017001STUNT</v>
      </c>
      <c r="B2318" t="s">
        <v>6440</v>
      </c>
      <c r="C2318">
        <f>+VLOOKUP(Sites_per_tag[[#This Row],[Field_office]],Parameter!$A$3:$B$11,2,0)</f>
        <v>2</v>
      </c>
      <c r="E2318" t="s">
        <v>1448</v>
      </c>
      <c r="F2318" t="s">
        <v>5651</v>
      </c>
      <c r="H2318" t="str">
        <f ca="1">PROPER(Sites_per_tag[[#This Row],[Adm2Name]])</f>
        <v>Amboasary-Atsimo</v>
      </c>
      <c r="I2318" t="s">
        <v>5641</v>
      </c>
      <c r="K2318" t="s">
        <v>5715</v>
      </c>
      <c r="L2318" t="s">
        <v>6096</v>
      </c>
      <c r="N2318" t="s">
        <v>4080</v>
      </c>
      <c r="O2318" t="s">
        <v>4079</v>
      </c>
      <c r="Q2318" t="s">
        <v>3850</v>
      </c>
      <c r="R2318" t="s">
        <v>3851</v>
      </c>
      <c r="T2318" t="s">
        <v>50</v>
      </c>
      <c r="U2318" s="3" t="str">
        <f>+VLOOKUP(Sites_per_tag[[#This Row],[Activity_tag]],Parameter!$A$24:$B$32,2,0)</f>
        <v>STUNT</v>
      </c>
      <c r="V2318" t="s">
        <v>6517</v>
      </c>
      <c r="W2318">
        <v>46.173270000000002</v>
      </c>
      <c r="X2318">
        <v>-25.19445</v>
      </c>
    </row>
    <row r="2319" spans="1:24" x14ac:dyDescent="0.35">
      <c r="A2319" s="3" t="str">
        <f t="shared" si="36"/>
        <v>MG52516071004PREV</v>
      </c>
      <c r="B2319" t="s">
        <v>6211</v>
      </c>
      <c r="C2319">
        <f>+VLOOKUP(Sites_per_tag[[#This Row],[Field_office]],Parameter!$A$3:$B$11,2,0)</f>
        <v>6</v>
      </c>
      <c r="E2319" t="s">
        <v>5646</v>
      </c>
      <c r="F2319" t="s">
        <v>5647</v>
      </c>
      <c r="H2319" t="str">
        <f ca="1">PROPER(Sites_per_tag[[#This Row],[Adm2Name]])</f>
        <v>Ambovombe-Androy</v>
      </c>
      <c r="I2319" t="s">
        <v>5655</v>
      </c>
      <c r="K2319" t="s">
        <v>6240</v>
      </c>
      <c r="L2319" t="s">
        <v>6039</v>
      </c>
      <c r="N2319" t="s">
        <v>4171</v>
      </c>
      <c r="Q2319" t="s">
        <v>2395</v>
      </c>
      <c r="R2319" t="s">
        <v>2396</v>
      </c>
      <c r="T2319" t="s">
        <v>32</v>
      </c>
      <c r="U2319" s="3" t="str">
        <f>+VLOOKUP(Sites_per_tag[[#This Row],[Activity_tag]],Parameter!$A$24:$B$32,2,0)</f>
        <v>PREV</v>
      </c>
      <c r="W2319">
        <v>46.189279999999997</v>
      </c>
      <c r="X2319">
        <v>-25.19933</v>
      </c>
    </row>
    <row r="2320" spans="1:24" x14ac:dyDescent="0.35">
      <c r="A2320" s="3" t="str">
        <f t="shared" si="36"/>
        <v>MG52516071012001MAM</v>
      </c>
      <c r="B2320" t="s">
        <v>6211</v>
      </c>
      <c r="C2320">
        <f>+VLOOKUP(Sites_per_tag[[#This Row],[Field_office]],Parameter!$A$3:$B$11,2,0)</f>
        <v>6</v>
      </c>
      <c r="E2320" t="s">
        <v>5646</v>
      </c>
      <c r="F2320" t="s">
        <v>5647</v>
      </c>
      <c r="H2320" t="str">
        <f ca="1">PROPER(Sites_per_tag[[#This Row],[Adm2Name]])</f>
        <v>Ambovombe-Androy</v>
      </c>
      <c r="I2320" t="s">
        <v>5655</v>
      </c>
      <c r="K2320" t="s">
        <v>6240</v>
      </c>
      <c r="L2320" t="s">
        <v>6039</v>
      </c>
      <c r="N2320" t="s">
        <v>2143</v>
      </c>
      <c r="O2320" t="s">
        <v>2144</v>
      </c>
      <c r="Q2320" t="s">
        <v>2143</v>
      </c>
      <c r="R2320" t="s">
        <v>2145</v>
      </c>
      <c r="T2320" t="s">
        <v>5</v>
      </c>
      <c r="U2320" s="3" t="str">
        <f>+VLOOKUP(Sites_per_tag[[#This Row],[Activity_tag]],Parameter!$A$24:$B$32,2,0)</f>
        <v>MAM</v>
      </c>
      <c r="W2320">
        <v>46.186100000000003</v>
      </c>
      <c r="X2320">
        <v>-25.156269999999999</v>
      </c>
    </row>
    <row r="2321" spans="1:24" x14ac:dyDescent="0.35">
      <c r="A2321" s="3" t="str">
        <f t="shared" si="36"/>
        <v>MG52516071012PREV</v>
      </c>
      <c r="B2321" t="s">
        <v>6211</v>
      </c>
      <c r="C2321">
        <f>+VLOOKUP(Sites_per_tag[[#This Row],[Field_office]],Parameter!$A$3:$B$11,2,0)</f>
        <v>6</v>
      </c>
      <c r="E2321" t="s">
        <v>5646</v>
      </c>
      <c r="F2321" t="s">
        <v>5647</v>
      </c>
      <c r="H2321" t="str">
        <f ca="1">PROPER(Sites_per_tag[[#This Row],[Adm2Name]])</f>
        <v>Ambovombe-Androy</v>
      </c>
      <c r="I2321" t="s">
        <v>5655</v>
      </c>
      <c r="K2321" t="s">
        <v>6240</v>
      </c>
      <c r="L2321" t="s">
        <v>6039</v>
      </c>
      <c r="N2321" t="s">
        <v>4170</v>
      </c>
      <c r="Q2321" t="s">
        <v>2143</v>
      </c>
      <c r="R2321" t="s">
        <v>2144</v>
      </c>
      <c r="T2321" t="s">
        <v>32</v>
      </c>
      <c r="U2321" s="3" t="str">
        <f>+VLOOKUP(Sites_per_tag[[#This Row],[Activity_tag]],Parameter!$A$24:$B$32,2,0)</f>
        <v>PREV</v>
      </c>
      <c r="W2321">
        <v>46.187100000000001</v>
      </c>
      <c r="X2321">
        <v>-25.156500000000001</v>
      </c>
    </row>
    <row r="2322" spans="1:24" x14ac:dyDescent="0.35">
      <c r="A2322" s="3" t="str">
        <f t="shared" si="36"/>
        <v>MG52516071017001MAM</v>
      </c>
      <c r="B2322" t="s">
        <v>6211</v>
      </c>
      <c r="C2322">
        <f>+VLOOKUP(Sites_per_tag[[#This Row],[Field_office]],Parameter!$A$3:$B$11,2,0)</f>
        <v>6</v>
      </c>
      <c r="E2322" t="s">
        <v>5646</v>
      </c>
      <c r="F2322" t="s">
        <v>5647</v>
      </c>
      <c r="H2322" t="str">
        <f ca="1">PROPER(Sites_per_tag[[#This Row],[Adm2Name]])</f>
        <v>Ambovombe-Androy</v>
      </c>
      <c r="I2322" t="s">
        <v>5655</v>
      </c>
      <c r="K2322" t="s">
        <v>6240</v>
      </c>
      <c r="L2322" t="s">
        <v>6039</v>
      </c>
      <c r="N2322" t="s">
        <v>4080</v>
      </c>
      <c r="O2322" t="s">
        <v>5256</v>
      </c>
      <c r="Q2322" t="s">
        <v>3848</v>
      </c>
      <c r="R2322" t="s">
        <v>3849</v>
      </c>
      <c r="T2322" t="s">
        <v>5</v>
      </c>
      <c r="U2322" s="3" t="str">
        <f>+VLOOKUP(Sites_per_tag[[#This Row],[Activity_tag]],Parameter!$A$24:$B$32,2,0)</f>
        <v>MAM</v>
      </c>
      <c r="W2322">
        <v>46.173270000000002</v>
      </c>
      <c r="X2322">
        <v>-25.19445</v>
      </c>
    </row>
    <row r="2323" spans="1:24" x14ac:dyDescent="0.35">
      <c r="A2323" s="3" t="str">
        <f t="shared" si="36"/>
        <v>MG52516071020001MAM</v>
      </c>
      <c r="B2323" t="s">
        <v>6211</v>
      </c>
      <c r="C2323">
        <f>+VLOOKUP(Sites_per_tag[[#This Row],[Field_office]],Parameter!$A$3:$B$11,2,0)</f>
        <v>6</v>
      </c>
      <c r="E2323" t="s">
        <v>5646</v>
      </c>
      <c r="F2323" t="s">
        <v>5647</v>
      </c>
      <c r="H2323" t="str">
        <f ca="1">PROPER(Sites_per_tag[[#This Row],[Adm2Name]])</f>
        <v>Ambovombe-Androy</v>
      </c>
      <c r="I2323" t="s">
        <v>5655</v>
      </c>
      <c r="K2323" t="s">
        <v>6240</v>
      </c>
      <c r="L2323" t="s">
        <v>6039</v>
      </c>
      <c r="N2323" t="s">
        <v>2393</v>
      </c>
      <c r="O2323" t="s">
        <v>5257</v>
      </c>
      <c r="Q2323" t="s">
        <v>2393</v>
      </c>
      <c r="R2323" t="s">
        <v>2394</v>
      </c>
      <c r="T2323" t="s">
        <v>5</v>
      </c>
      <c r="U2323" s="3" t="str">
        <f>+VLOOKUP(Sites_per_tag[[#This Row],[Activity_tag]],Parameter!$A$24:$B$32,2,0)</f>
        <v>MAM</v>
      </c>
      <c r="W2323">
        <v>46.189279999999997</v>
      </c>
      <c r="X2323">
        <v>-25.19933</v>
      </c>
    </row>
    <row r="2324" spans="1:24" x14ac:dyDescent="0.35">
      <c r="A2324" s="3" t="str">
        <f t="shared" si="36"/>
        <v>MG52516071028001MAM</v>
      </c>
      <c r="B2324" t="s">
        <v>6211</v>
      </c>
      <c r="C2324">
        <f>+VLOOKUP(Sites_per_tag[[#This Row],[Field_office]],Parameter!$A$3:$B$11,2,0)</f>
        <v>6</v>
      </c>
      <c r="E2324" t="s">
        <v>5646</v>
      </c>
      <c r="F2324" t="s">
        <v>5647</v>
      </c>
      <c r="H2324" t="str">
        <f ca="1">PROPER(Sites_per_tag[[#This Row],[Adm2Name]])</f>
        <v>Ambovombe-Androy</v>
      </c>
      <c r="I2324" t="s">
        <v>5655</v>
      </c>
      <c r="K2324" t="s">
        <v>6240</v>
      </c>
      <c r="L2324" t="s">
        <v>6039</v>
      </c>
      <c r="N2324" t="s">
        <v>3307</v>
      </c>
      <c r="O2324" t="s">
        <v>5258</v>
      </c>
      <c r="Q2324" t="s">
        <v>3307</v>
      </c>
      <c r="R2324" t="s">
        <v>3308</v>
      </c>
      <c r="T2324" t="s">
        <v>5</v>
      </c>
      <c r="U2324" s="3" t="str">
        <f>+VLOOKUP(Sites_per_tag[[#This Row],[Activity_tag]],Parameter!$A$24:$B$32,2,0)</f>
        <v>MAM</v>
      </c>
      <c r="W2324">
        <v>46.177079999999997</v>
      </c>
      <c r="X2324">
        <v>-25.191929999999999</v>
      </c>
    </row>
    <row r="2325" spans="1:24" x14ac:dyDescent="0.35">
      <c r="A2325" s="3" t="str">
        <f t="shared" si="36"/>
        <v>MG52516071030PREV</v>
      </c>
      <c r="B2325" t="s">
        <v>6211</v>
      </c>
      <c r="C2325">
        <f>+VLOOKUP(Sites_per_tag[[#This Row],[Field_office]],Parameter!$A$3:$B$11,2,0)</f>
        <v>6</v>
      </c>
      <c r="E2325" t="s">
        <v>5646</v>
      </c>
      <c r="F2325" t="s">
        <v>5647</v>
      </c>
      <c r="H2325" t="str">
        <f ca="1">PROPER(Sites_per_tag[[#This Row],[Adm2Name]])</f>
        <v>Ambovombe-Androy</v>
      </c>
      <c r="I2325" t="s">
        <v>5655</v>
      </c>
      <c r="K2325" t="s">
        <v>6240</v>
      </c>
      <c r="L2325" t="s">
        <v>6039</v>
      </c>
      <c r="N2325" t="s">
        <v>4172</v>
      </c>
      <c r="Q2325" t="s">
        <v>62</v>
      </c>
      <c r="R2325" t="s">
        <v>63</v>
      </c>
      <c r="T2325" t="s">
        <v>32</v>
      </c>
      <c r="U2325" s="3" t="str">
        <f>+VLOOKUP(Sites_per_tag[[#This Row],[Activity_tag]],Parameter!$A$24:$B$32,2,0)</f>
        <v>PREV</v>
      </c>
      <c r="W2325">
        <v>46.209220000000002</v>
      </c>
      <c r="X2325">
        <v>-25.195679999999999</v>
      </c>
    </row>
    <row r="2326" spans="1:24" x14ac:dyDescent="0.35">
      <c r="A2326" s="3" t="str">
        <f t="shared" si="36"/>
        <v>MG52516071031PREV</v>
      </c>
      <c r="B2326" t="s">
        <v>6211</v>
      </c>
      <c r="C2326">
        <f>+VLOOKUP(Sites_per_tag[[#This Row],[Field_office]],Parameter!$A$3:$B$11,2,0)</f>
        <v>6</v>
      </c>
      <c r="E2326" t="s">
        <v>5646</v>
      </c>
      <c r="F2326" t="s">
        <v>5647</v>
      </c>
      <c r="H2326" t="str">
        <f ca="1">PROPER(Sites_per_tag[[#This Row],[Adm2Name]])</f>
        <v>Ambovombe-Androy</v>
      </c>
      <c r="I2326" t="s">
        <v>5655</v>
      </c>
      <c r="K2326" t="s">
        <v>6240</v>
      </c>
      <c r="L2326" t="s">
        <v>6039</v>
      </c>
      <c r="N2326" t="s">
        <v>4173</v>
      </c>
      <c r="Q2326" t="s">
        <v>2389</v>
      </c>
      <c r="R2326" t="s">
        <v>2390</v>
      </c>
      <c r="T2326" t="s">
        <v>32</v>
      </c>
      <c r="U2326" s="3" t="str">
        <f>+VLOOKUP(Sites_per_tag[[#This Row],[Activity_tag]],Parameter!$A$24:$B$32,2,0)</f>
        <v>PREV</v>
      </c>
      <c r="W2326">
        <v>46.147599999999997</v>
      </c>
      <c r="X2326">
        <v>-25.159880000000001</v>
      </c>
    </row>
    <row r="2327" spans="1:24" x14ac:dyDescent="0.35">
      <c r="A2327" s="3" t="str">
        <f t="shared" si="36"/>
        <v>MG52516071064001MAM</v>
      </c>
      <c r="B2327" t="s">
        <v>6211</v>
      </c>
      <c r="C2327">
        <f>+VLOOKUP(Sites_per_tag[[#This Row],[Field_office]],Parameter!$A$3:$B$11,2,0)</f>
        <v>6</v>
      </c>
      <c r="E2327" t="s">
        <v>5646</v>
      </c>
      <c r="F2327" t="s">
        <v>5647</v>
      </c>
      <c r="H2327" t="str">
        <f ca="1">PROPER(Sites_per_tag[[#This Row],[Adm2Name]])</f>
        <v>Ambovombe-Androy</v>
      </c>
      <c r="I2327" t="s">
        <v>5655</v>
      </c>
      <c r="K2327" t="s">
        <v>6240</v>
      </c>
      <c r="L2327" t="s">
        <v>6039</v>
      </c>
      <c r="N2327" t="s">
        <v>1217</v>
      </c>
      <c r="O2327" t="s">
        <v>5259</v>
      </c>
      <c r="Q2327" t="s">
        <v>1217</v>
      </c>
      <c r="R2327" t="s">
        <v>1218</v>
      </c>
      <c r="T2327" t="s">
        <v>5</v>
      </c>
      <c r="U2327" s="3" t="str">
        <f>+VLOOKUP(Sites_per_tag[[#This Row],[Activity_tag]],Parameter!$A$24:$B$32,2,0)</f>
        <v>MAM</v>
      </c>
      <c r="W2327">
        <v>46.191299999999998</v>
      </c>
      <c r="X2327">
        <v>-25.201270000000001</v>
      </c>
    </row>
    <row r="2328" spans="1:24" x14ac:dyDescent="0.35">
      <c r="A2328" s="3" t="str">
        <f t="shared" si="36"/>
        <v>MG52516071065001MAM</v>
      </c>
      <c r="B2328" t="s">
        <v>6211</v>
      </c>
      <c r="C2328">
        <f>+VLOOKUP(Sites_per_tag[[#This Row],[Field_office]],Parameter!$A$3:$B$11,2,0)</f>
        <v>6</v>
      </c>
      <c r="E2328" t="s">
        <v>5646</v>
      </c>
      <c r="F2328" t="s">
        <v>5647</v>
      </c>
      <c r="H2328" t="str">
        <f ca="1">PROPER(Sites_per_tag[[#This Row],[Adm2Name]])</f>
        <v>Ambovombe-Androy</v>
      </c>
      <c r="I2328" t="s">
        <v>5655</v>
      </c>
      <c r="K2328" t="s">
        <v>6240</v>
      </c>
      <c r="L2328" t="s">
        <v>6039</v>
      </c>
      <c r="N2328" t="s">
        <v>1424</v>
      </c>
      <c r="O2328" t="s">
        <v>5260</v>
      </c>
      <c r="Q2328" t="s">
        <v>1424</v>
      </c>
      <c r="R2328" t="s">
        <v>1425</v>
      </c>
      <c r="T2328" t="s">
        <v>5</v>
      </c>
      <c r="U2328" s="3" t="str">
        <f>+VLOOKUP(Sites_per_tag[[#This Row],[Activity_tag]],Parameter!$A$24:$B$32,2,0)</f>
        <v>MAM</v>
      </c>
      <c r="W2328">
        <v>46.173450000000003</v>
      </c>
      <c r="X2328">
        <v>-25.194780000000002</v>
      </c>
    </row>
    <row r="2329" spans="1:24" x14ac:dyDescent="0.35">
      <c r="A2329" s="3" t="str">
        <f t="shared" si="36"/>
        <v>MG52516071066001MAM</v>
      </c>
      <c r="B2329" t="s">
        <v>6211</v>
      </c>
      <c r="C2329">
        <f>+VLOOKUP(Sites_per_tag[[#This Row],[Field_office]],Parameter!$A$3:$B$11,2,0)</f>
        <v>6</v>
      </c>
      <c r="E2329" t="s">
        <v>5646</v>
      </c>
      <c r="F2329" t="s">
        <v>5647</v>
      </c>
      <c r="H2329" t="str">
        <f ca="1">PROPER(Sites_per_tag[[#This Row],[Adm2Name]])</f>
        <v>Ambovombe-Androy</v>
      </c>
      <c r="I2329" t="s">
        <v>5655</v>
      </c>
      <c r="K2329" t="s">
        <v>6240</v>
      </c>
      <c r="L2329" t="s">
        <v>6039</v>
      </c>
      <c r="N2329" t="s">
        <v>1885</v>
      </c>
      <c r="O2329" t="s">
        <v>5261</v>
      </c>
      <c r="Q2329" t="s">
        <v>1885</v>
      </c>
      <c r="R2329" t="s">
        <v>1886</v>
      </c>
      <c r="T2329" t="s">
        <v>5</v>
      </c>
      <c r="U2329" s="3" t="str">
        <f>+VLOOKUP(Sites_per_tag[[#This Row],[Activity_tag]],Parameter!$A$24:$B$32,2,0)</f>
        <v>MAM</v>
      </c>
      <c r="W2329">
        <v>46.190280000000001</v>
      </c>
      <c r="X2329">
        <v>-25.198650000000001</v>
      </c>
    </row>
    <row r="2330" spans="1:24" x14ac:dyDescent="0.35">
      <c r="A2330" s="3" t="str">
        <f t="shared" si="36"/>
        <v>MG52516071067001MAM</v>
      </c>
      <c r="B2330" t="s">
        <v>6211</v>
      </c>
      <c r="C2330">
        <f>+VLOOKUP(Sites_per_tag[[#This Row],[Field_office]],Parameter!$A$3:$B$11,2,0)</f>
        <v>6</v>
      </c>
      <c r="E2330" t="s">
        <v>5646</v>
      </c>
      <c r="F2330" t="s">
        <v>5647</v>
      </c>
      <c r="H2330" t="str">
        <f ca="1">PROPER(Sites_per_tag[[#This Row],[Adm2Name]])</f>
        <v>Ambovombe-Androy</v>
      </c>
      <c r="I2330" t="s">
        <v>5655</v>
      </c>
      <c r="K2330" t="s">
        <v>6240</v>
      </c>
      <c r="L2330" t="s">
        <v>6039</v>
      </c>
      <c r="N2330" t="s">
        <v>2146</v>
      </c>
      <c r="O2330" t="s">
        <v>5262</v>
      </c>
      <c r="Q2330" t="s">
        <v>2146</v>
      </c>
      <c r="R2330" t="s">
        <v>2147</v>
      </c>
      <c r="T2330" t="s">
        <v>5</v>
      </c>
      <c r="U2330" s="3" t="str">
        <f>+VLOOKUP(Sites_per_tag[[#This Row],[Activity_tag]],Parameter!$A$24:$B$32,2,0)</f>
        <v>MAM</v>
      </c>
      <c r="W2330">
        <v>46.187100000000001</v>
      </c>
      <c r="X2330">
        <v>-25.156500000000001</v>
      </c>
    </row>
    <row r="2331" spans="1:24" x14ac:dyDescent="0.35">
      <c r="A2331" s="3" t="str">
        <f t="shared" si="36"/>
        <v>MG52516071068001MAM</v>
      </c>
      <c r="B2331" t="s">
        <v>6211</v>
      </c>
      <c r="C2331">
        <f>+VLOOKUP(Sites_per_tag[[#This Row],[Field_office]],Parameter!$A$3:$B$11,2,0)</f>
        <v>6</v>
      </c>
      <c r="E2331" t="s">
        <v>5646</v>
      </c>
      <c r="F2331" t="s">
        <v>5647</v>
      </c>
      <c r="H2331" t="str">
        <f ca="1">PROPER(Sites_per_tag[[#This Row],[Adm2Name]])</f>
        <v>Ambovombe-Androy</v>
      </c>
      <c r="I2331" t="s">
        <v>5655</v>
      </c>
      <c r="K2331" t="s">
        <v>6240</v>
      </c>
      <c r="L2331" t="s">
        <v>6039</v>
      </c>
      <c r="N2331" t="s">
        <v>2391</v>
      </c>
      <c r="O2331" t="s">
        <v>5263</v>
      </c>
      <c r="Q2331" t="s">
        <v>2391</v>
      </c>
      <c r="R2331" t="s">
        <v>2392</v>
      </c>
      <c r="T2331" t="s">
        <v>5</v>
      </c>
      <c r="U2331" s="3" t="str">
        <f>+VLOOKUP(Sites_per_tag[[#This Row],[Activity_tag]],Parameter!$A$24:$B$32,2,0)</f>
        <v>MAM</v>
      </c>
      <c r="W2331">
        <v>46.170400000000001</v>
      </c>
      <c r="X2331">
        <v>-25.22167</v>
      </c>
    </row>
    <row r="2332" spans="1:24" x14ac:dyDescent="0.35">
      <c r="A2332" s="3" t="str">
        <f t="shared" si="36"/>
        <v>MG52516071089001MAM</v>
      </c>
      <c r="B2332" t="s">
        <v>6211</v>
      </c>
      <c r="C2332">
        <f>+VLOOKUP(Sites_per_tag[[#This Row],[Field_office]],Parameter!$A$3:$B$11,2,0)</f>
        <v>6</v>
      </c>
      <c r="E2332" t="s">
        <v>5646</v>
      </c>
      <c r="F2332" t="s">
        <v>5647</v>
      </c>
      <c r="H2332" t="str">
        <f ca="1">PROPER(Sites_per_tag[[#This Row],[Adm2Name]])</f>
        <v>Ambovombe-Androy</v>
      </c>
      <c r="I2332" t="s">
        <v>5655</v>
      </c>
      <c r="K2332" t="s">
        <v>6253</v>
      </c>
      <c r="L2332" t="s">
        <v>6040</v>
      </c>
      <c r="N2332" t="s">
        <v>3574</v>
      </c>
      <c r="O2332" t="s">
        <v>5265</v>
      </c>
      <c r="Q2332" t="s">
        <v>3574</v>
      </c>
      <c r="R2332" t="s">
        <v>3575</v>
      </c>
      <c r="T2332" t="s">
        <v>5</v>
      </c>
      <c r="U2332" s="3" t="str">
        <f>+VLOOKUP(Sites_per_tag[[#This Row],[Activity_tag]],Parameter!$A$24:$B$32,2,0)</f>
        <v>MAM</v>
      </c>
      <c r="W2332">
        <v>46.201717000000002</v>
      </c>
      <c r="X2332">
        <v>-25.178325000000001</v>
      </c>
    </row>
    <row r="2333" spans="1:24" x14ac:dyDescent="0.35">
      <c r="A2333" s="3" t="str">
        <f t="shared" si="36"/>
        <v>MG52516072003001MAM</v>
      </c>
      <c r="B2333" t="s">
        <v>6211</v>
      </c>
      <c r="C2333">
        <f>+VLOOKUP(Sites_per_tag[[#This Row],[Field_office]],Parameter!$A$3:$B$11,2,0)</f>
        <v>6</v>
      </c>
      <c r="E2333" t="s">
        <v>5646</v>
      </c>
      <c r="F2333" t="s">
        <v>5647</v>
      </c>
      <c r="H2333" t="str">
        <f ca="1">PROPER(Sites_per_tag[[#This Row],[Adm2Name]])</f>
        <v>Ambovombe-Androy</v>
      </c>
      <c r="I2333" t="s">
        <v>5655</v>
      </c>
      <c r="K2333" t="s">
        <v>6253</v>
      </c>
      <c r="L2333" t="s">
        <v>6040</v>
      </c>
      <c r="N2333" t="s">
        <v>511</v>
      </c>
      <c r="O2333" t="s">
        <v>5266</v>
      </c>
      <c r="Q2333" t="s">
        <v>511</v>
      </c>
      <c r="R2333" t="s">
        <v>512</v>
      </c>
      <c r="T2333" t="s">
        <v>5</v>
      </c>
      <c r="U2333" s="3" t="str">
        <f>+VLOOKUP(Sites_per_tag[[#This Row],[Activity_tag]],Parameter!$A$24:$B$32,2,0)</f>
        <v>MAM</v>
      </c>
      <c r="W2333">
        <v>46.209269999999997</v>
      </c>
      <c r="X2333">
        <v>-25.159680000000002</v>
      </c>
    </row>
    <row r="2334" spans="1:24" x14ac:dyDescent="0.35">
      <c r="A2334" s="3" t="str">
        <f t="shared" si="36"/>
        <v>MG52516072013001MAM</v>
      </c>
      <c r="B2334" t="s">
        <v>6211</v>
      </c>
      <c r="C2334">
        <f>+VLOOKUP(Sites_per_tag[[#This Row],[Field_office]],Parameter!$A$3:$B$11,2,0)</f>
        <v>6</v>
      </c>
      <c r="E2334" t="s">
        <v>5646</v>
      </c>
      <c r="F2334" t="s">
        <v>5647</v>
      </c>
      <c r="H2334" t="str">
        <f ca="1">PROPER(Sites_per_tag[[#This Row],[Adm2Name]])</f>
        <v>Ambovombe-Androy</v>
      </c>
      <c r="I2334" t="s">
        <v>5655</v>
      </c>
      <c r="K2334" t="s">
        <v>6253</v>
      </c>
      <c r="L2334" t="s">
        <v>6040</v>
      </c>
      <c r="N2334" t="s">
        <v>2962</v>
      </c>
      <c r="O2334" t="s">
        <v>5267</v>
      </c>
      <c r="Q2334" t="s">
        <v>2962</v>
      </c>
      <c r="R2334" t="s">
        <v>2963</v>
      </c>
      <c r="T2334" t="s">
        <v>5</v>
      </c>
      <c r="U2334" s="3" t="str">
        <f>+VLOOKUP(Sites_per_tag[[#This Row],[Activity_tag]],Parameter!$A$24:$B$32,2,0)</f>
        <v>MAM</v>
      </c>
      <c r="W2334">
        <v>46.270380000000003</v>
      </c>
      <c r="X2334">
        <v>-25.174969999999998</v>
      </c>
    </row>
    <row r="2335" spans="1:24" x14ac:dyDescent="0.35">
      <c r="A2335" s="3" t="str">
        <f t="shared" si="36"/>
        <v>MG52516072014001MAM</v>
      </c>
      <c r="B2335" t="s">
        <v>6211</v>
      </c>
      <c r="C2335">
        <f>+VLOOKUP(Sites_per_tag[[#This Row],[Field_office]],Parameter!$A$3:$B$11,2,0)</f>
        <v>6</v>
      </c>
      <c r="E2335" t="s">
        <v>5646</v>
      </c>
      <c r="F2335" t="s">
        <v>5647</v>
      </c>
      <c r="H2335" t="str">
        <f ca="1">PROPER(Sites_per_tag[[#This Row],[Adm2Name]])</f>
        <v>Ambovombe-Androy</v>
      </c>
      <c r="I2335" t="s">
        <v>5655</v>
      </c>
      <c r="K2335" t="s">
        <v>6253</v>
      </c>
      <c r="L2335" t="s">
        <v>6040</v>
      </c>
      <c r="N2335" t="s">
        <v>3065</v>
      </c>
      <c r="O2335" t="s">
        <v>5268</v>
      </c>
      <c r="Q2335" t="s">
        <v>3065</v>
      </c>
      <c r="R2335" t="s">
        <v>3066</v>
      </c>
      <c r="T2335" t="s">
        <v>5</v>
      </c>
      <c r="U2335" s="3" t="str">
        <f>+VLOOKUP(Sites_per_tag[[#This Row],[Activity_tag]],Parameter!$A$24:$B$32,2,0)</f>
        <v>MAM</v>
      </c>
      <c r="W2335">
        <v>46.237670000000001</v>
      </c>
      <c r="X2335">
        <v>-25.178070000000002</v>
      </c>
    </row>
    <row r="2336" spans="1:24" x14ac:dyDescent="0.35">
      <c r="A2336" s="3" t="str">
        <f t="shared" si="36"/>
        <v>MG52516072015001MAM</v>
      </c>
      <c r="B2336" t="s">
        <v>6211</v>
      </c>
      <c r="C2336">
        <f>+VLOOKUP(Sites_per_tag[[#This Row],[Field_office]],Parameter!$A$3:$B$11,2,0)</f>
        <v>6</v>
      </c>
      <c r="E2336" t="s">
        <v>5646</v>
      </c>
      <c r="F2336" t="s">
        <v>5647</v>
      </c>
      <c r="H2336" t="str">
        <f ca="1">PROPER(Sites_per_tag[[#This Row],[Adm2Name]])</f>
        <v>Ambovombe-Androy</v>
      </c>
      <c r="I2336" t="s">
        <v>5655</v>
      </c>
      <c r="K2336" t="s">
        <v>6253</v>
      </c>
      <c r="L2336" t="s">
        <v>6040</v>
      </c>
      <c r="N2336" t="s">
        <v>5270</v>
      </c>
      <c r="O2336" t="s">
        <v>5269</v>
      </c>
      <c r="Q2336" t="s">
        <v>3067</v>
      </c>
      <c r="R2336" t="s">
        <v>3068</v>
      </c>
      <c r="T2336" t="s">
        <v>5</v>
      </c>
      <c r="U2336" s="3" t="str">
        <f>+VLOOKUP(Sites_per_tag[[#This Row],[Activity_tag]],Parameter!$A$24:$B$32,2,0)</f>
        <v>MAM</v>
      </c>
      <c r="W2336">
        <v>46.225569999999998</v>
      </c>
      <c r="X2336">
        <v>-25.11788</v>
      </c>
    </row>
    <row r="2337" spans="1:24" x14ac:dyDescent="0.35">
      <c r="A2337" s="3" t="str">
        <f t="shared" si="36"/>
        <v>MG52516072071001MAM</v>
      </c>
      <c r="B2337" t="s">
        <v>6211</v>
      </c>
      <c r="C2337">
        <f>+VLOOKUP(Sites_per_tag[[#This Row],[Field_office]],Parameter!$A$3:$B$11,2,0)</f>
        <v>6</v>
      </c>
      <c r="E2337" t="s">
        <v>5646</v>
      </c>
      <c r="F2337" t="s">
        <v>5647</v>
      </c>
      <c r="H2337" t="str">
        <f ca="1">PROPER(Sites_per_tag[[#This Row],[Adm2Name]])</f>
        <v>Ambovombe-Androy</v>
      </c>
      <c r="I2337" t="s">
        <v>5655</v>
      </c>
      <c r="K2337" t="s">
        <v>6253</v>
      </c>
      <c r="L2337" t="s">
        <v>6040</v>
      </c>
      <c r="N2337" t="s">
        <v>3062</v>
      </c>
      <c r="O2337" t="s">
        <v>5271</v>
      </c>
      <c r="Q2337" t="s">
        <v>3062</v>
      </c>
      <c r="R2337" t="s">
        <v>3063</v>
      </c>
      <c r="T2337" t="s">
        <v>5</v>
      </c>
      <c r="U2337" s="3" t="str">
        <f>+VLOOKUP(Sites_per_tag[[#This Row],[Activity_tag]],Parameter!$A$24:$B$32,2,0)</f>
        <v>MAM</v>
      </c>
      <c r="W2337">
        <v>46.235080000000004</v>
      </c>
      <c r="X2337">
        <v>-25.172730000000001</v>
      </c>
    </row>
    <row r="2338" spans="1:24" x14ac:dyDescent="0.35">
      <c r="A2338" s="3" t="str">
        <f t="shared" si="36"/>
        <v>MG52516072072001MAM</v>
      </c>
      <c r="B2338" t="s">
        <v>6211</v>
      </c>
      <c r="C2338">
        <f>+VLOOKUP(Sites_per_tag[[#This Row],[Field_office]],Parameter!$A$3:$B$11,2,0)</f>
        <v>6</v>
      </c>
      <c r="E2338" t="s">
        <v>5646</v>
      </c>
      <c r="F2338" t="s">
        <v>5647</v>
      </c>
      <c r="H2338" t="str">
        <f ca="1">PROPER(Sites_per_tag[[#This Row],[Adm2Name]])</f>
        <v>Ambovombe-Androy</v>
      </c>
      <c r="I2338" t="s">
        <v>5655</v>
      </c>
      <c r="K2338" t="s">
        <v>6253</v>
      </c>
      <c r="L2338" t="s">
        <v>6040</v>
      </c>
      <c r="N2338" t="s">
        <v>175</v>
      </c>
      <c r="O2338" t="s">
        <v>5272</v>
      </c>
      <c r="Q2338" t="s">
        <v>175</v>
      </c>
      <c r="R2338" t="s">
        <v>176</v>
      </c>
      <c r="T2338" t="s">
        <v>5</v>
      </c>
      <c r="U2338" s="3" t="str">
        <f>+VLOOKUP(Sites_per_tag[[#This Row],[Activity_tag]],Parameter!$A$24:$B$32,2,0)</f>
        <v>MAM</v>
      </c>
      <c r="W2338">
        <v>46.213030000000003</v>
      </c>
      <c r="X2338">
        <v>-25.120329999999999</v>
      </c>
    </row>
    <row r="2339" spans="1:24" x14ac:dyDescent="0.35">
      <c r="A2339" s="3" t="str">
        <f t="shared" si="36"/>
        <v>MG52516072073001MAM</v>
      </c>
      <c r="B2339" t="s">
        <v>6211</v>
      </c>
      <c r="C2339">
        <f>+VLOOKUP(Sites_per_tag[[#This Row],[Field_office]],Parameter!$A$3:$B$11,2,0)</f>
        <v>6</v>
      </c>
      <c r="E2339" t="s">
        <v>5646</v>
      </c>
      <c r="F2339" t="s">
        <v>5647</v>
      </c>
      <c r="H2339" t="str">
        <f ca="1">PROPER(Sites_per_tag[[#This Row],[Adm2Name]])</f>
        <v>Ambovombe-Androy</v>
      </c>
      <c r="I2339" t="s">
        <v>5655</v>
      </c>
      <c r="K2339" t="s">
        <v>6253</v>
      </c>
      <c r="L2339" t="s">
        <v>6040</v>
      </c>
      <c r="N2339" t="s">
        <v>1091</v>
      </c>
      <c r="O2339" t="s">
        <v>5273</v>
      </c>
      <c r="Q2339" t="s">
        <v>1091</v>
      </c>
      <c r="R2339" t="s">
        <v>1092</v>
      </c>
      <c r="T2339" t="s">
        <v>5</v>
      </c>
      <c r="U2339" s="3" t="str">
        <f>+VLOOKUP(Sites_per_tag[[#This Row],[Activity_tag]],Parameter!$A$24:$B$32,2,0)</f>
        <v>MAM</v>
      </c>
      <c r="W2339">
        <v>46.259779999999999</v>
      </c>
      <c r="X2339">
        <v>-25.15335</v>
      </c>
    </row>
    <row r="2340" spans="1:24" x14ac:dyDescent="0.35">
      <c r="A2340" s="3" t="str">
        <f t="shared" si="36"/>
        <v>MG52516072074001MAM</v>
      </c>
      <c r="B2340" t="s">
        <v>6211</v>
      </c>
      <c r="C2340">
        <f>+VLOOKUP(Sites_per_tag[[#This Row],[Field_office]],Parameter!$A$3:$B$11,2,0)</f>
        <v>6</v>
      </c>
      <c r="E2340" t="s">
        <v>5646</v>
      </c>
      <c r="F2340" t="s">
        <v>5647</v>
      </c>
      <c r="H2340" t="str">
        <f ca="1">PROPER(Sites_per_tag[[#This Row],[Adm2Name]])</f>
        <v>Ambovombe-Androy</v>
      </c>
      <c r="I2340" t="s">
        <v>5655</v>
      </c>
      <c r="K2340" t="s">
        <v>6253</v>
      </c>
      <c r="L2340" t="s">
        <v>6040</v>
      </c>
      <c r="N2340" t="s">
        <v>1621</v>
      </c>
      <c r="O2340" t="s">
        <v>5274</v>
      </c>
      <c r="Q2340" t="s">
        <v>1621</v>
      </c>
      <c r="R2340" t="s">
        <v>1622</v>
      </c>
      <c r="T2340" t="s">
        <v>5</v>
      </c>
      <c r="U2340" s="3" t="str">
        <f>+VLOOKUP(Sites_per_tag[[#This Row],[Activity_tag]],Parameter!$A$24:$B$32,2,0)</f>
        <v>MAM</v>
      </c>
      <c r="W2340">
        <v>46.218679999999999</v>
      </c>
      <c r="X2340">
        <v>-25.18862</v>
      </c>
    </row>
    <row r="2341" spans="1:24" x14ac:dyDescent="0.35">
      <c r="A2341" s="3" t="str">
        <f t="shared" si="36"/>
        <v>MG52516072075001MAM</v>
      </c>
      <c r="B2341" t="s">
        <v>6211</v>
      </c>
      <c r="C2341">
        <f>+VLOOKUP(Sites_per_tag[[#This Row],[Field_office]],Parameter!$A$3:$B$11,2,0)</f>
        <v>6</v>
      </c>
      <c r="E2341" t="s">
        <v>5646</v>
      </c>
      <c r="F2341" t="s">
        <v>5647</v>
      </c>
      <c r="H2341" t="str">
        <f ca="1">PROPER(Sites_per_tag[[#This Row],[Adm2Name]])</f>
        <v>Ambovombe-Androy</v>
      </c>
      <c r="I2341" t="s">
        <v>5655</v>
      </c>
      <c r="K2341" t="s">
        <v>6253</v>
      </c>
      <c r="L2341" t="s">
        <v>6040</v>
      </c>
      <c r="N2341" t="s">
        <v>1623</v>
      </c>
      <c r="O2341" t="s">
        <v>5275</v>
      </c>
      <c r="Q2341" t="s">
        <v>1623</v>
      </c>
      <c r="R2341" t="s">
        <v>1624</v>
      </c>
      <c r="T2341" t="s">
        <v>5</v>
      </c>
      <c r="U2341" s="3" t="str">
        <f>+VLOOKUP(Sites_per_tag[[#This Row],[Activity_tag]],Parameter!$A$24:$B$32,2,0)</f>
        <v>MAM</v>
      </c>
      <c r="W2341">
        <v>46.24485</v>
      </c>
      <c r="X2341">
        <v>-25.175719999999998</v>
      </c>
    </row>
    <row r="2342" spans="1:24" x14ac:dyDescent="0.35">
      <c r="A2342" s="3" t="str">
        <f t="shared" si="36"/>
        <v>MG52516072076001MAM</v>
      </c>
      <c r="B2342" t="s">
        <v>6211</v>
      </c>
      <c r="C2342">
        <f>+VLOOKUP(Sites_per_tag[[#This Row],[Field_office]],Parameter!$A$3:$B$11,2,0)</f>
        <v>6</v>
      </c>
      <c r="E2342" t="s">
        <v>5646</v>
      </c>
      <c r="F2342" t="s">
        <v>5647</v>
      </c>
      <c r="H2342" t="str">
        <f ca="1">PROPER(Sites_per_tag[[#This Row],[Adm2Name]])</f>
        <v>Ambovombe-Androy</v>
      </c>
      <c r="I2342" t="s">
        <v>5655</v>
      </c>
      <c r="K2342" t="s">
        <v>6253</v>
      </c>
      <c r="L2342" t="s">
        <v>6040</v>
      </c>
      <c r="N2342" t="s">
        <v>1898</v>
      </c>
      <c r="O2342" t="s">
        <v>5276</v>
      </c>
      <c r="Q2342" t="s">
        <v>1898</v>
      </c>
      <c r="R2342" t="s">
        <v>1899</v>
      </c>
      <c r="T2342" t="s">
        <v>5</v>
      </c>
      <c r="U2342" s="3" t="str">
        <f>+VLOOKUP(Sites_per_tag[[#This Row],[Activity_tag]],Parameter!$A$24:$B$32,2,0)</f>
        <v>MAM</v>
      </c>
      <c r="W2342">
        <v>46.205550000000002</v>
      </c>
      <c r="X2342">
        <v>-25.18253</v>
      </c>
    </row>
    <row r="2343" spans="1:24" x14ac:dyDescent="0.35">
      <c r="A2343" s="3" t="str">
        <f t="shared" si="36"/>
        <v>MG52516072077001MAM</v>
      </c>
      <c r="B2343" t="s">
        <v>6211</v>
      </c>
      <c r="C2343">
        <f>+VLOOKUP(Sites_per_tag[[#This Row],[Field_office]],Parameter!$A$3:$B$11,2,0)</f>
        <v>6</v>
      </c>
      <c r="E2343" t="s">
        <v>5646</v>
      </c>
      <c r="F2343" t="s">
        <v>5647</v>
      </c>
      <c r="H2343" t="str">
        <f ca="1">PROPER(Sites_per_tag[[#This Row],[Adm2Name]])</f>
        <v>Ambovombe-Androy</v>
      </c>
      <c r="I2343" t="s">
        <v>5655</v>
      </c>
      <c r="K2343" t="s">
        <v>6253</v>
      </c>
      <c r="L2343" t="s">
        <v>6040</v>
      </c>
      <c r="N2343" t="s">
        <v>1900</v>
      </c>
      <c r="O2343" t="s">
        <v>5277</v>
      </c>
      <c r="Q2343" t="s">
        <v>1900</v>
      </c>
      <c r="R2343" t="s">
        <v>1901</v>
      </c>
      <c r="T2343" t="s">
        <v>5</v>
      </c>
      <c r="U2343" s="3" t="str">
        <f>+VLOOKUP(Sites_per_tag[[#This Row],[Activity_tag]],Parameter!$A$24:$B$32,2,0)</f>
        <v>MAM</v>
      </c>
      <c r="W2343">
        <v>46.20872</v>
      </c>
      <c r="X2343">
        <v>-25.15982</v>
      </c>
    </row>
    <row r="2344" spans="1:24" x14ac:dyDescent="0.35">
      <c r="A2344" s="3" t="str">
        <f t="shared" si="36"/>
        <v>MG52516072078001MAM</v>
      </c>
      <c r="B2344" t="s">
        <v>6211</v>
      </c>
      <c r="C2344">
        <f>+VLOOKUP(Sites_per_tag[[#This Row],[Field_office]],Parameter!$A$3:$B$11,2,0)</f>
        <v>6</v>
      </c>
      <c r="E2344" t="s">
        <v>5646</v>
      </c>
      <c r="F2344" t="s">
        <v>5647</v>
      </c>
      <c r="H2344" t="str">
        <f ca="1">PROPER(Sites_per_tag[[#This Row],[Adm2Name]])</f>
        <v>Ambovombe-Androy</v>
      </c>
      <c r="I2344" t="s">
        <v>5655</v>
      </c>
      <c r="K2344" t="s">
        <v>6253</v>
      </c>
      <c r="L2344" t="s">
        <v>6040</v>
      </c>
      <c r="N2344" t="s">
        <v>1924</v>
      </c>
      <c r="O2344" t="s">
        <v>5278</v>
      </c>
      <c r="Q2344" t="s">
        <v>1924</v>
      </c>
      <c r="R2344" t="s">
        <v>1925</v>
      </c>
      <c r="T2344" t="s">
        <v>5</v>
      </c>
      <c r="U2344" s="3" t="str">
        <f>+VLOOKUP(Sites_per_tag[[#This Row],[Activity_tag]],Parameter!$A$24:$B$32,2,0)</f>
        <v>MAM</v>
      </c>
      <c r="W2344">
        <v>46.207120000000003</v>
      </c>
      <c r="X2344">
        <v>-25.196919999999999</v>
      </c>
    </row>
    <row r="2345" spans="1:24" x14ac:dyDescent="0.35">
      <c r="A2345" s="3" t="str">
        <f t="shared" si="36"/>
        <v>MG52516072079001MAM</v>
      </c>
      <c r="B2345" t="s">
        <v>6211</v>
      </c>
      <c r="C2345">
        <f>+VLOOKUP(Sites_per_tag[[#This Row],[Field_office]],Parameter!$A$3:$B$11,2,0)</f>
        <v>6</v>
      </c>
      <c r="E2345" t="s">
        <v>5646</v>
      </c>
      <c r="F2345" t="s">
        <v>5647</v>
      </c>
      <c r="H2345" t="str">
        <f ca="1">PROPER(Sites_per_tag[[#This Row],[Adm2Name]])</f>
        <v>Ambovombe-Androy</v>
      </c>
      <c r="I2345" t="s">
        <v>5655</v>
      </c>
      <c r="K2345" t="s">
        <v>6253</v>
      </c>
      <c r="L2345" t="s">
        <v>6040</v>
      </c>
      <c r="N2345" t="s">
        <v>2790</v>
      </c>
      <c r="O2345" t="s">
        <v>5279</v>
      </c>
      <c r="Q2345" t="s">
        <v>2790</v>
      </c>
      <c r="R2345" t="s">
        <v>2791</v>
      </c>
      <c r="T2345" t="s">
        <v>5</v>
      </c>
      <c r="U2345" s="3" t="str">
        <f>+VLOOKUP(Sites_per_tag[[#This Row],[Activity_tag]],Parameter!$A$24:$B$32,2,0)</f>
        <v>MAM</v>
      </c>
      <c r="W2345">
        <v>46.251719999999999</v>
      </c>
      <c r="X2345">
        <v>-25.16583</v>
      </c>
    </row>
    <row r="2346" spans="1:24" x14ac:dyDescent="0.35">
      <c r="A2346" s="3" t="str">
        <f t="shared" si="36"/>
        <v>MG52516072080001MAM</v>
      </c>
      <c r="B2346" t="s">
        <v>6211</v>
      </c>
      <c r="C2346">
        <f>+VLOOKUP(Sites_per_tag[[#This Row],[Field_office]],Parameter!$A$3:$B$11,2,0)</f>
        <v>6</v>
      </c>
      <c r="E2346" t="s">
        <v>5646</v>
      </c>
      <c r="F2346" t="s">
        <v>5647</v>
      </c>
      <c r="H2346" t="str">
        <f ca="1">PROPER(Sites_per_tag[[#This Row],[Adm2Name]])</f>
        <v>Ambovombe-Androy</v>
      </c>
      <c r="I2346" t="s">
        <v>5655</v>
      </c>
      <c r="K2346" t="s">
        <v>6253</v>
      </c>
      <c r="L2346" t="s">
        <v>6040</v>
      </c>
      <c r="N2346" t="s">
        <v>2945</v>
      </c>
      <c r="O2346" t="s">
        <v>5280</v>
      </c>
      <c r="Q2346" t="s">
        <v>2945</v>
      </c>
      <c r="R2346" t="s">
        <v>2946</v>
      </c>
      <c r="T2346" t="s">
        <v>5</v>
      </c>
      <c r="U2346" s="3" t="str">
        <f>+VLOOKUP(Sites_per_tag[[#This Row],[Activity_tag]],Parameter!$A$24:$B$32,2,0)</f>
        <v>MAM</v>
      </c>
      <c r="W2346">
        <v>46.258319999999998</v>
      </c>
      <c r="X2346">
        <v>-25.174980000000001</v>
      </c>
    </row>
    <row r="2347" spans="1:24" x14ac:dyDescent="0.35">
      <c r="A2347" s="3" t="str">
        <f t="shared" si="36"/>
        <v>MG52516072081001MAM</v>
      </c>
      <c r="B2347" t="s">
        <v>6211</v>
      </c>
      <c r="C2347">
        <f>+VLOOKUP(Sites_per_tag[[#This Row],[Field_office]],Parameter!$A$3:$B$11,2,0)</f>
        <v>6</v>
      </c>
      <c r="E2347" t="s">
        <v>5646</v>
      </c>
      <c r="F2347" t="s">
        <v>5647</v>
      </c>
      <c r="H2347" t="str">
        <f ca="1">PROPER(Sites_per_tag[[#This Row],[Adm2Name]])</f>
        <v>Ambovombe-Androy</v>
      </c>
      <c r="I2347" t="s">
        <v>5655</v>
      </c>
      <c r="K2347" t="s">
        <v>6253</v>
      </c>
      <c r="L2347" t="s">
        <v>6040</v>
      </c>
      <c r="N2347" t="s">
        <v>2960</v>
      </c>
      <c r="O2347" t="s">
        <v>5281</v>
      </c>
      <c r="Q2347" t="s">
        <v>2960</v>
      </c>
      <c r="R2347" t="s">
        <v>2961</v>
      </c>
      <c r="T2347" t="s">
        <v>5</v>
      </c>
      <c r="U2347" s="3" t="str">
        <f>+VLOOKUP(Sites_per_tag[[#This Row],[Activity_tag]],Parameter!$A$24:$B$32,2,0)</f>
        <v>MAM</v>
      </c>
      <c r="W2347">
        <v>46.25432</v>
      </c>
      <c r="X2347">
        <v>-25.1739</v>
      </c>
    </row>
    <row r="2348" spans="1:24" x14ac:dyDescent="0.35">
      <c r="A2348" s="3" t="str">
        <f t="shared" si="36"/>
        <v>MG52516072082001MAM</v>
      </c>
      <c r="B2348" t="s">
        <v>6211</v>
      </c>
      <c r="C2348">
        <f>+VLOOKUP(Sites_per_tag[[#This Row],[Field_office]],Parameter!$A$3:$B$11,2,0)</f>
        <v>6</v>
      </c>
      <c r="E2348" t="s">
        <v>5646</v>
      </c>
      <c r="F2348" t="s">
        <v>5647</v>
      </c>
      <c r="H2348" t="str">
        <f ca="1">PROPER(Sites_per_tag[[#This Row],[Adm2Name]])</f>
        <v>Ambovombe-Androy</v>
      </c>
      <c r="I2348" t="s">
        <v>5655</v>
      </c>
      <c r="K2348" t="s">
        <v>6253</v>
      </c>
      <c r="L2348" t="s">
        <v>6040</v>
      </c>
      <c r="N2348" t="s">
        <v>2964</v>
      </c>
      <c r="O2348" t="s">
        <v>5282</v>
      </c>
      <c r="Q2348" t="s">
        <v>2964</v>
      </c>
      <c r="R2348" t="s">
        <v>2965</v>
      </c>
      <c r="T2348" t="s">
        <v>5</v>
      </c>
      <c r="U2348" s="3" t="str">
        <f>+VLOOKUP(Sites_per_tag[[#This Row],[Activity_tag]],Parameter!$A$24:$B$32,2,0)</f>
        <v>MAM</v>
      </c>
      <c r="W2348">
        <v>46.268250000000002</v>
      </c>
      <c r="X2348">
        <v>-25.175149999999999</v>
      </c>
    </row>
    <row r="2349" spans="1:24" x14ac:dyDescent="0.35">
      <c r="A2349" s="3" t="str">
        <f t="shared" si="36"/>
        <v>MG52516072083001MAM</v>
      </c>
      <c r="B2349" t="s">
        <v>6211</v>
      </c>
      <c r="C2349">
        <f>+VLOOKUP(Sites_per_tag[[#This Row],[Field_office]],Parameter!$A$3:$B$11,2,0)</f>
        <v>6</v>
      </c>
      <c r="E2349" t="s">
        <v>5646</v>
      </c>
      <c r="F2349" t="s">
        <v>5647</v>
      </c>
      <c r="H2349" t="str">
        <f ca="1">PROPER(Sites_per_tag[[#This Row],[Adm2Name]])</f>
        <v>Ambovombe-Androy</v>
      </c>
      <c r="I2349" t="s">
        <v>5655</v>
      </c>
      <c r="K2349" t="s">
        <v>6253</v>
      </c>
      <c r="L2349" t="s">
        <v>6040</v>
      </c>
      <c r="N2349" t="s">
        <v>2985</v>
      </c>
      <c r="O2349" t="s">
        <v>5283</v>
      </c>
      <c r="Q2349" t="s">
        <v>2985</v>
      </c>
      <c r="R2349" t="s">
        <v>2986</v>
      </c>
      <c r="T2349" t="s">
        <v>5</v>
      </c>
      <c r="U2349" s="3" t="str">
        <f>+VLOOKUP(Sites_per_tag[[#This Row],[Activity_tag]],Parameter!$A$24:$B$32,2,0)</f>
        <v>MAM</v>
      </c>
      <c r="W2349">
        <v>46.248930000000001</v>
      </c>
      <c r="X2349">
        <v>-25.15353</v>
      </c>
    </row>
    <row r="2350" spans="1:24" x14ac:dyDescent="0.35">
      <c r="A2350" s="3" t="str">
        <f t="shared" si="36"/>
        <v>MG52516072084001MAM</v>
      </c>
      <c r="B2350" t="s">
        <v>6211</v>
      </c>
      <c r="C2350">
        <f>+VLOOKUP(Sites_per_tag[[#This Row],[Field_office]],Parameter!$A$3:$B$11,2,0)</f>
        <v>6</v>
      </c>
      <c r="E2350" t="s">
        <v>5646</v>
      </c>
      <c r="F2350" t="s">
        <v>5647</v>
      </c>
      <c r="H2350" t="str">
        <f ca="1">PROPER(Sites_per_tag[[#This Row],[Adm2Name]])</f>
        <v>Ambovombe-Androy</v>
      </c>
      <c r="I2350" t="s">
        <v>5655</v>
      </c>
      <c r="K2350" t="s">
        <v>6253</v>
      </c>
      <c r="L2350" t="s">
        <v>6040</v>
      </c>
      <c r="N2350" t="s">
        <v>3435</v>
      </c>
      <c r="O2350" t="s">
        <v>5284</v>
      </c>
      <c r="Q2350" t="s">
        <v>3435</v>
      </c>
      <c r="R2350" t="s">
        <v>3436</v>
      </c>
      <c r="T2350" t="s">
        <v>5</v>
      </c>
      <c r="U2350" s="3" t="str">
        <f>+VLOOKUP(Sites_per_tag[[#This Row],[Activity_tag]],Parameter!$A$24:$B$32,2,0)</f>
        <v>MAM</v>
      </c>
      <c r="W2350">
        <v>46.199300000000001</v>
      </c>
      <c r="X2350">
        <v>-25.185680000000001</v>
      </c>
    </row>
    <row r="2351" spans="1:24" x14ac:dyDescent="0.35">
      <c r="A2351" s="3" t="str">
        <f t="shared" si="36"/>
        <v>MG52516072085001MAM</v>
      </c>
      <c r="B2351" t="s">
        <v>6211</v>
      </c>
      <c r="C2351">
        <f>+VLOOKUP(Sites_per_tag[[#This Row],[Field_office]],Parameter!$A$3:$B$11,2,0)</f>
        <v>6</v>
      </c>
      <c r="E2351" t="s">
        <v>5646</v>
      </c>
      <c r="F2351" t="s">
        <v>5647</v>
      </c>
      <c r="H2351" t="str">
        <f ca="1">PROPER(Sites_per_tag[[#This Row],[Adm2Name]])</f>
        <v>Ambovombe-Androy</v>
      </c>
      <c r="I2351" t="s">
        <v>5655</v>
      </c>
      <c r="K2351" t="s">
        <v>6253</v>
      </c>
      <c r="L2351" t="s">
        <v>6040</v>
      </c>
      <c r="N2351" t="s">
        <v>3509</v>
      </c>
      <c r="O2351" t="s">
        <v>5285</v>
      </c>
      <c r="Q2351" t="s">
        <v>3509</v>
      </c>
      <c r="R2351" t="s">
        <v>3510</v>
      </c>
      <c r="T2351" t="s">
        <v>5</v>
      </c>
      <c r="U2351" s="3" t="str">
        <f>+VLOOKUP(Sites_per_tag[[#This Row],[Activity_tag]],Parameter!$A$24:$B$32,2,0)</f>
        <v>MAM</v>
      </c>
      <c r="W2351">
        <v>46.20655</v>
      </c>
      <c r="X2351">
        <v>-25.12735</v>
      </c>
    </row>
    <row r="2352" spans="1:24" x14ac:dyDescent="0.35">
      <c r="A2352" s="3" t="str">
        <f t="shared" si="36"/>
        <v>MG52516072086001MAM</v>
      </c>
      <c r="B2352" t="s">
        <v>6211</v>
      </c>
      <c r="C2352">
        <f>+VLOOKUP(Sites_per_tag[[#This Row],[Field_office]],Parameter!$A$3:$B$11,2,0)</f>
        <v>6</v>
      </c>
      <c r="E2352" t="s">
        <v>5646</v>
      </c>
      <c r="F2352" t="s">
        <v>5647</v>
      </c>
      <c r="H2352" t="str">
        <f ca="1">PROPER(Sites_per_tag[[#This Row],[Adm2Name]])</f>
        <v>Ambovombe-Androy</v>
      </c>
      <c r="I2352" t="s">
        <v>5655</v>
      </c>
      <c r="K2352" t="s">
        <v>6253</v>
      </c>
      <c r="L2352" t="s">
        <v>6040</v>
      </c>
      <c r="N2352" t="s">
        <v>3513</v>
      </c>
      <c r="O2352" t="s">
        <v>5286</v>
      </c>
      <c r="Q2352" t="s">
        <v>3513</v>
      </c>
      <c r="R2352" t="s">
        <v>3514</v>
      </c>
      <c r="T2352" t="s">
        <v>5</v>
      </c>
      <c r="U2352" s="3" t="str">
        <f>+VLOOKUP(Sites_per_tag[[#This Row],[Activity_tag]],Parameter!$A$24:$B$32,2,0)</f>
        <v>MAM</v>
      </c>
      <c r="W2352">
        <v>46.243720000000003</v>
      </c>
      <c r="X2352">
        <v>-25.119399999999999</v>
      </c>
    </row>
    <row r="2353" spans="1:24" x14ac:dyDescent="0.35">
      <c r="A2353" s="3" t="str">
        <f t="shared" si="36"/>
        <v>MG52516072087001MAM</v>
      </c>
      <c r="B2353" t="s">
        <v>6211</v>
      </c>
      <c r="C2353">
        <f>+VLOOKUP(Sites_per_tag[[#This Row],[Field_office]],Parameter!$A$3:$B$11,2,0)</f>
        <v>6</v>
      </c>
      <c r="E2353" t="s">
        <v>5646</v>
      </c>
      <c r="F2353" t="s">
        <v>5647</v>
      </c>
      <c r="H2353" t="str">
        <f ca="1">PROPER(Sites_per_tag[[#This Row],[Adm2Name]])</f>
        <v>Ambovombe-Androy</v>
      </c>
      <c r="I2353" t="s">
        <v>5655</v>
      </c>
      <c r="K2353" t="s">
        <v>6253</v>
      </c>
      <c r="L2353" t="s">
        <v>6040</v>
      </c>
      <c r="N2353" t="s">
        <v>3515</v>
      </c>
      <c r="O2353" t="s">
        <v>5287</v>
      </c>
      <c r="Q2353" t="s">
        <v>3515</v>
      </c>
      <c r="R2353" t="s">
        <v>3516</v>
      </c>
      <c r="T2353" t="s">
        <v>5</v>
      </c>
      <c r="U2353" s="3" t="str">
        <f>+VLOOKUP(Sites_per_tag[[#This Row],[Activity_tag]],Parameter!$A$24:$B$32,2,0)</f>
        <v>MAM</v>
      </c>
      <c r="W2353">
        <v>46.242980000000003</v>
      </c>
      <c r="X2353">
        <v>-25.118950000000002</v>
      </c>
    </row>
    <row r="2354" spans="1:24" x14ac:dyDescent="0.35">
      <c r="A2354" s="3" t="str">
        <f t="shared" si="36"/>
        <v>MG52516072088001MAM</v>
      </c>
      <c r="B2354" t="s">
        <v>6211</v>
      </c>
      <c r="C2354">
        <f>+VLOOKUP(Sites_per_tag[[#This Row],[Field_office]],Parameter!$A$3:$B$11,2,0)</f>
        <v>6</v>
      </c>
      <c r="E2354" t="s">
        <v>5646</v>
      </c>
      <c r="F2354" t="s">
        <v>5647</v>
      </c>
      <c r="H2354" t="str">
        <f ca="1">PROPER(Sites_per_tag[[#This Row],[Adm2Name]])</f>
        <v>Ambovombe-Androy</v>
      </c>
      <c r="I2354" t="s">
        <v>5655</v>
      </c>
      <c r="K2354" t="s">
        <v>6253</v>
      </c>
      <c r="L2354" t="s">
        <v>6040</v>
      </c>
      <c r="N2354" t="s">
        <v>3517</v>
      </c>
      <c r="O2354" t="s">
        <v>5288</v>
      </c>
      <c r="Q2354" t="s">
        <v>3517</v>
      </c>
      <c r="R2354" t="s">
        <v>3518</v>
      </c>
      <c r="T2354" t="s">
        <v>5</v>
      </c>
      <c r="U2354" s="3" t="str">
        <f>+VLOOKUP(Sites_per_tag[[#This Row],[Activity_tag]],Parameter!$A$24:$B$32,2,0)</f>
        <v>MAM</v>
      </c>
      <c r="W2354">
        <v>46.243720000000003</v>
      </c>
      <c r="X2354">
        <v>-25.119399999999999</v>
      </c>
    </row>
    <row r="2355" spans="1:24" x14ac:dyDescent="0.35">
      <c r="A2355" s="3" t="str">
        <f t="shared" si="36"/>
        <v>MG52516072089001MAM</v>
      </c>
      <c r="B2355" t="s">
        <v>6211</v>
      </c>
      <c r="C2355">
        <f>+VLOOKUP(Sites_per_tag[[#This Row],[Field_office]],Parameter!$A$3:$B$11,2,0)</f>
        <v>6</v>
      </c>
      <c r="E2355" t="s">
        <v>5646</v>
      </c>
      <c r="F2355" t="s">
        <v>5647</v>
      </c>
      <c r="H2355" t="str">
        <f ca="1">PROPER(Sites_per_tag[[#This Row],[Adm2Name]])</f>
        <v>Ambovombe-Androy</v>
      </c>
      <c r="I2355" t="s">
        <v>5655</v>
      </c>
      <c r="K2355" t="s">
        <v>6253</v>
      </c>
      <c r="L2355" t="s">
        <v>6040</v>
      </c>
      <c r="N2355" t="s">
        <v>3565</v>
      </c>
      <c r="O2355" t="s">
        <v>5289</v>
      </c>
      <c r="Q2355" t="s">
        <v>3565</v>
      </c>
      <c r="R2355" t="s">
        <v>3566</v>
      </c>
      <c r="T2355" t="s">
        <v>5</v>
      </c>
      <c r="U2355" s="3" t="str">
        <f>+VLOOKUP(Sites_per_tag[[#This Row],[Activity_tag]],Parameter!$A$24:$B$32,2,0)</f>
        <v>MAM</v>
      </c>
      <c r="W2355">
        <v>46.201717000000002</v>
      </c>
      <c r="X2355">
        <v>-25.178325000000001</v>
      </c>
    </row>
    <row r="2356" spans="1:24" x14ac:dyDescent="0.35">
      <c r="A2356" s="3" t="str">
        <f t="shared" si="36"/>
        <v>MG52516072090001MAM</v>
      </c>
      <c r="B2356" t="s">
        <v>6211</v>
      </c>
      <c r="C2356">
        <f>+VLOOKUP(Sites_per_tag[[#This Row],[Field_office]],Parameter!$A$3:$B$11,2,0)</f>
        <v>6</v>
      </c>
      <c r="E2356" t="s">
        <v>5646</v>
      </c>
      <c r="F2356" t="s">
        <v>5647</v>
      </c>
      <c r="H2356" t="str">
        <f ca="1">PROPER(Sites_per_tag[[#This Row],[Adm2Name]])</f>
        <v>Ambovombe-Androy</v>
      </c>
      <c r="I2356" t="s">
        <v>5655</v>
      </c>
      <c r="K2356" t="s">
        <v>6253</v>
      </c>
      <c r="L2356" t="s">
        <v>6040</v>
      </c>
      <c r="N2356" t="s">
        <v>3824</v>
      </c>
      <c r="O2356" t="s">
        <v>5290</v>
      </c>
      <c r="Q2356" t="s">
        <v>3824</v>
      </c>
      <c r="R2356" t="s">
        <v>3825</v>
      </c>
      <c r="T2356" t="s">
        <v>5</v>
      </c>
      <c r="U2356" s="3" t="str">
        <f>+VLOOKUP(Sites_per_tag[[#This Row],[Activity_tag]],Parameter!$A$24:$B$32,2,0)</f>
        <v>MAM</v>
      </c>
      <c r="W2356">
        <v>46.258319999999998</v>
      </c>
      <c r="X2356">
        <v>-25.174980000000001</v>
      </c>
    </row>
    <row r="2357" spans="1:24" x14ac:dyDescent="0.35">
      <c r="A2357" s="3" t="str">
        <f t="shared" si="36"/>
        <v>MG52516072091001MAM</v>
      </c>
      <c r="B2357" t="s">
        <v>6211</v>
      </c>
      <c r="C2357">
        <f>+VLOOKUP(Sites_per_tag[[#This Row],[Field_office]],Parameter!$A$3:$B$11,2,0)</f>
        <v>6</v>
      </c>
      <c r="E2357" t="s">
        <v>5646</v>
      </c>
      <c r="F2357" t="s">
        <v>5647</v>
      </c>
      <c r="H2357" t="str">
        <f ca="1">PROPER(Sites_per_tag[[#This Row],[Adm2Name]])</f>
        <v>Ambovombe-Androy</v>
      </c>
      <c r="I2357" t="s">
        <v>5655</v>
      </c>
      <c r="K2357" t="s">
        <v>6253</v>
      </c>
      <c r="L2357" t="s">
        <v>6040</v>
      </c>
      <c r="N2357" t="s">
        <v>3918</v>
      </c>
      <c r="O2357" t="s">
        <v>5291</v>
      </c>
      <c r="Q2357" t="s">
        <v>3918</v>
      </c>
      <c r="R2357" t="s">
        <v>3919</v>
      </c>
      <c r="T2357" t="s">
        <v>5</v>
      </c>
      <c r="U2357" s="3" t="str">
        <f>+VLOOKUP(Sites_per_tag[[#This Row],[Activity_tag]],Parameter!$A$24:$B$32,2,0)</f>
        <v>MAM</v>
      </c>
      <c r="W2357">
        <v>46.236420000000003</v>
      </c>
      <c r="X2357">
        <v>-25.120529999999999</v>
      </c>
    </row>
    <row r="2358" spans="1:24" x14ac:dyDescent="0.35">
      <c r="A2358" s="3" t="str">
        <f t="shared" si="36"/>
        <v>MG52516091005001MAM</v>
      </c>
      <c r="B2358" t="s">
        <v>6211</v>
      </c>
      <c r="C2358">
        <f>+VLOOKUP(Sites_per_tag[[#This Row],[Field_office]],Parameter!$A$3:$B$11,2,0)</f>
        <v>6</v>
      </c>
      <c r="E2358" t="s">
        <v>5646</v>
      </c>
      <c r="F2358" t="s">
        <v>5647</v>
      </c>
      <c r="H2358" t="str">
        <f ca="1">PROPER(Sites_per_tag[[#This Row],[Adm2Name]])</f>
        <v>Ambovombe-Androy</v>
      </c>
      <c r="I2358" t="s">
        <v>5655</v>
      </c>
      <c r="K2358" t="s">
        <v>418</v>
      </c>
      <c r="L2358" t="s">
        <v>5745</v>
      </c>
      <c r="N2358" t="s">
        <v>2795</v>
      </c>
      <c r="O2358" t="s">
        <v>4378</v>
      </c>
      <c r="Q2358" t="s">
        <v>2800</v>
      </c>
      <c r="R2358" t="s">
        <v>2801</v>
      </c>
      <c r="T2358" t="s">
        <v>5</v>
      </c>
      <c r="U2358" s="3" t="str">
        <f>+VLOOKUP(Sites_per_tag[[#This Row],[Activity_tag]],Parameter!$A$24:$B$32,2,0)</f>
        <v>MAM</v>
      </c>
      <c r="W2358">
        <v>45.805860000000003</v>
      </c>
      <c r="X2358">
        <v>-25.233515000000001</v>
      </c>
    </row>
    <row r="2359" spans="1:24" x14ac:dyDescent="0.35">
      <c r="A2359" s="3" t="str">
        <f t="shared" si="36"/>
        <v>MG52516091025001MAM</v>
      </c>
      <c r="B2359" t="s">
        <v>6211</v>
      </c>
      <c r="C2359">
        <f>+VLOOKUP(Sites_per_tag[[#This Row],[Field_office]],Parameter!$A$3:$B$11,2,0)</f>
        <v>6</v>
      </c>
      <c r="E2359" t="s">
        <v>5646</v>
      </c>
      <c r="F2359" t="s">
        <v>5647</v>
      </c>
      <c r="H2359" t="str">
        <f ca="1">PROPER(Sites_per_tag[[#This Row],[Adm2Name]])</f>
        <v>Bekily</v>
      </c>
      <c r="I2359" t="s">
        <v>5683</v>
      </c>
      <c r="K2359" t="s">
        <v>1976</v>
      </c>
      <c r="L2359" t="s">
        <v>5917</v>
      </c>
      <c r="N2359" t="s">
        <v>1982</v>
      </c>
      <c r="O2359" t="s">
        <v>4863</v>
      </c>
      <c r="Q2359" t="s">
        <v>1982</v>
      </c>
      <c r="R2359" t="s">
        <v>1983</v>
      </c>
      <c r="T2359" t="s">
        <v>5</v>
      </c>
      <c r="U2359" s="3" t="str">
        <f>+VLOOKUP(Sites_per_tag[[#This Row],[Activity_tag]],Parameter!$A$24:$B$32,2,0)</f>
        <v>MAM</v>
      </c>
      <c r="W2359">
        <v>45.615839000000001</v>
      </c>
      <c r="X2359">
        <v>-24.18939</v>
      </c>
    </row>
    <row r="2360" spans="1:24" x14ac:dyDescent="0.35">
      <c r="A2360" s="3" t="str">
        <f t="shared" si="36"/>
        <v>MG52516091057001MAM</v>
      </c>
      <c r="B2360" t="s">
        <v>6211</v>
      </c>
      <c r="C2360">
        <f>+VLOOKUP(Sites_per_tag[[#This Row],[Field_office]],Parameter!$A$3:$B$11,2,0)</f>
        <v>6</v>
      </c>
      <c r="E2360" t="s">
        <v>5646</v>
      </c>
      <c r="F2360" t="s">
        <v>5647</v>
      </c>
      <c r="H2360" t="str">
        <f ca="1">PROPER(Sites_per_tag[[#This Row],[Adm2Name]])</f>
        <v>Ambovombe-Androy</v>
      </c>
      <c r="I2360" t="s">
        <v>5655</v>
      </c>
      <c r="K2360" t="s">
        <v>418</v>
      </c>
      <c r="L2360" t="s">
        <v>5745</v>
      </c>
      <c r="N2360" t="s">
        <v>422</v>
      </c>
      <c r="O2360" t="s">
        <v>4379</v>
      </c>
      <c r="Q2360" t="s">
        <v>422</v>
      </c>
      <c r="R2360" t="s">
        <v>423</v>
      </c>
      <c r="T2360" t="s">
        <v>5</v>
      </c>
      <c r="U2360" s="3" t="str">
        <f>+VLOOKUP(Sites_per_tag[[#This Row],[Activity_tag]],Parameter!$A$24:$B$32,2,0)</f>
        <v>MAM</v>
      </c>
      <c r="W2360">
        <v>45.894849999999998</v>
      </c>
      <c r="X2360">
        <v>-25.280149999999999</v>
      </c>
    </row>
    <row r="2361" spans="1:24" x14ac:dyDescent="0.35">
      <c r="A2361" s="3" t="str">
        <f t="shared" si="36"/>
        <v>MG52516092016001MAM</v>
      </c>
      <c r="B2361" t="s">
        <v>6211</v>
      </c>
      <c r="C2361">
        <f>+VLOOKUP(Sites_per_tag[[#This Row],[Field_office]],Parameter!$A$3:$B$11,2,0)</f>
        <v>6</v>
      </c>
      <c r="E2361" t="s">
        <v>5646</v>
      </c>
      <c r="F2361" t="s">
        <v>5647</v>
      </c>
      <c r="H2361" t="str">
        <f ca="1">PROPER(Sites_per_tag[[#This Row],[Adm2Name]])</f>
        <v>Ambovombe-Androy</v>
      </c>
      <c r="I2361" t="s">
        <v>5655</v>
      </c>
      <c r="K2361" t="s">
        <v>4324</v>
      </c>
      <c r="L2361" t="s">
        <v>5702</v>
      </c>
      <c r="N2361" t="s">
        <v>4326</v>
      </c>
      <c r="O2361" t="s">
        <v>4325</v>
      </c>
      <c r="Q2361" t="s">
        <v>2585</v>
      </c>
      <c r="R2361" t="s">
        <v>2586</v>
      </c>
      <c r="T2361" t="s">
        <v>5</v>
      </c>
      <c r="U2361" s="3" t="str">
        <f>+VLOOKUP(Sites_per_tag[[#This Row],[Activity_tag]],Parameter!$A$24:$B$32,2,0)</f>
        <v>MAM</v>
      </c>
      <c r="W2361">
        <v>45.821930000000002</v>
      </c>
      <c r="X2361">
        <v>-25.38128</v>
      </c>
    </row>
    <row r="2362" spans="1:24" x14ac:dyDescent="0.35">
      <c r="A2362" s="3" t="str">
        <f t="shared" si="36"/>
        <v>MG52516092045001MAM</v>
      </c>
      <c r="B2362" t="s">
        <v>6211</v>
      </c>
      <c r="C2362">
        <f>+VLOOKUP(Sites_per_tag[[#This Row],[Field_office]],Parameter!$A$3:$B$11,2,0)</f>
        <v>6</v>
      </c>
      <c r="E2362" t="s">
        <v>5646</v>
      </c>
      <c r="F2362" t="s">
        <v>5647</v>
      </c>
      <c r="H2362" t="str">
        <f ca="1">PROPER(Sites_per_tag[[#This Row],[Adm2Name]])</f>
        <v>Ambovombe-Androy</v>
      </c>
      <c r="I2362" t="s">
        <v>5655</v>
      </c>
      <c r="K2362" t="s">
        <v>4324</v>
      </c>
      <c r="L2362" t="s">
        <v>5702</v>
      </c>
      <c r="N2362" t="s">
        <v>455</v>
      </c>
      <c r="O2362" t="s">
        <v>4327</v>
      </c>
      <c r="Q2362" t="s">
        <v>455</v>
      </c>
      <c r="R2362" t="s">
        <v>456</v>
      </c>
      <c r="T2362" t="s">
        <v>5</v>
      </c>
      <c r="U2362" s="3" t="str">
        <f>+VLOOKUP(Sites_per_tag[[#This Row],[Activity_tag]],Parameter!$A$24:$B$32,2,0)</f>
        <v>MAM</v>
      </c>
      <c r="W2362">
        <v>45.800600000000003</v>
      </c>
      <c r="X2362">
        <v>-25.375250000000001</v>
      </c>
    </row>
    <row r="2363" spans="1:24" x14ac:dyDescent="0.35">
      <c r="A2363" s="3" t="str">
        <f t="shared" si="36"/>
        <v>MG52516092046001MAM</v>
      </c>
      <c r="B2363" t="s">
        <v>6211</v>
      </c>
      <c r="C2363">
        <f>+VLOOKUP(Sites_per_tag[[#This Row],[Field_office]],Parameter!$A$3:$B$11,2,0)</f>
        <v>6</v>
      </c>
      <c r="E2363" t="s">
        <v>5646</v>
      </c>
      <c r="F2363" t="s">
        <v>5647</v>
      </c>
      <c r="H2363" t="str">
        <f ca="1">PROPER(Sites_per_tag[[#This Row],[Adm2Name]])</f>
        <v>Ambovombe-Androy</v>
      </c>
      <c r="I2363" t="s">
        <v>5655</v>
      </c>
      <c r="K2363" t="s">
        <v>4324</v>
      </c>
      <c r="L2363" t="s">
        <v>5702</v>
      </c>
      <c r="N2363" t="s">
        <v>1478</v>
      </c>
      <c r="O2363" t="s">
        <v>4328</v>
      </c>
      <c r="Q2363" t="s">
        <v>1478</v>
      </c>
      <c r="R2363" t="s">
        <v>1479</v>
      </c>
      <c r="T2363" t="s">
        <v>5</v>
      </c>
      <c r="U2363" s="3" t="str">
        <f>+VLOOKUP(Sites_per_tag[[#This Row],[Activity_tag]],Parameter!$A$24:$B$32,2,0)</f>
        <v>MAM</v>
      </c>
      <c r="W2363">
        <v>45.800730000000001</v>
      </c>
      <c r="X2363">
        <v>-25.378150000000002</v>
      </c>
    </row>
    <row r="2364" spans="1:24" x14ac:dyDescent="0.35">
      <c r="A2364" s="3" t="str">
        <f t="shared" si="36"/>
        <v>MG52516092047001MAM</v>
      </c>
      <c r="B2364" t="s">
        <v>6211</v>
      </c>
      <c r="C2364">
        <f>+VLOOKUP(Sites_per_tag[[#This Row],[Field_office]],Parameter!$A$3:$B$11,2,0)</f>
        <v>6</v>
      </c>
      <c r="E2364" t="s">
        <v>5646</v>
      </c>
      <c r="F2364" t="s">
        <v>5647</v>
      </c>
      <c r="H2364" t="str">
        <f ca="1">PROPER(Sites_per_tag[[#This Row],[Adm2Name]])</f>
        <v>Ambovombe-Androy</v>
      </c>
      <c r="I2364" t="s">
        <v>5655</v>
      </c>
      <c r="K2364" t="s">
        <v>4324</v>
      </c>
      <c r="L2364" t="s">
        <v>5702</v>
      </c>
      <c r="N2364" t="s">
        <v>3762</v>
      </c>
      <c r="O2364" t="s">
        <v>4329</v>
      </c>
      <c r="Q2364" t="s">
        <v>3762</v>
      </c>
      <c r="R2364" t="s">
        <v>3763</v>
      </c>
      <c r="T2364" t="s">
        <v>5</v>
      </c>
      <c r="U2364" s="3" t="str">
        <f>+VLOOKUP(Sites_per_tag[[#This Row],[Activity_tag]],Parameter!$A$24:$B$32,2,0)</f>
        <v>MAM</v>
      </c>
      <c r="W2364">
        <v>45.896599999999999</v>
      </c>
      <c r="X2364">
        <v>-25.326219999999999</v>
      </c>
    </row>
    <row r="2365" spans="1:24" x14ac:dyDescent="0.35">
      <c r="A2365" s="3" t="str">
        <f t="shared" si="36"/>
        <v>MG52516111001001MAM</v>
      </c>
      <c r="B2365" t="s">
        <v>6211</v>
      </c>
      <c r="C2365">
        <f>+VLOOKUP(Sites_per_tag[[#This Row],[Field_office]],Parameter!$A$3:$B$11,2,0)</f>
        <v>6</v>
      </c>
      <c r="E2365" t="s">
        <v>5646</v>
      </c>
      <c r="F2365" t="s">
        <v>5647</v>
      </c>
      <c r="H2365" t="str">
        <f ca="1">PROPER(Sites_per_tag[[#This Row],[Adm2Name]])</f>
        <v>Ambovombe-Androy</v>
      </c>
      <c r="I2365" t="s">
        <v>5655</v>
      </c>
      <c r="K2365" t="s">
        <v>5682</v>
      </c>
      <c r="L2365" t="s">
        <v>6099</v>
      </c>
      <c r="N2365" t="s">
        <v>3656</v>
      </c>
      <c r="O2365" t="s">
        <v>3657</v>
      </c>
      <c r="Q2365" t="s">
        <v>3656</v>
      </c>
      <c r="R2365" t="s">
        <v>3658</v>
      </c>
      <c r="T2365" t="s">
        <v>5</v>
      </c>
      <c r="U2365" s="3" t="str">
        <f>+VLOOKUP(Sites_per_tag[[#This Row],[Activity_tag]],Parameter!$A$24:$B$32,2,0)</f>
        <v>MAM</v>
      </c>
      <c r="W2365">
        <v>45.731369999999998</v>
      </c>
      <c r="X2365">
        <v>-25.215319999999998</v>
      </c>
    </row>
    <row r="2366" spans="1:24" x14ac:dyDescent="0.35">
      <c r="A2366" s="3" t="str">
        <f t="shared" si="36"/>
        <v>MG52516111001002STUNT</v>
      </c>
      <c r="B2366" t="s">
        <v>6211</v>
      </c>
      <c r="C2366">
        <f>+VLOOKUP(Sites_per_tag[[#This Row],[Field_office]],Parameter!$A$3:$B$11,2,0)</f>
        <v>6</v>
      </c>
      <c r="E2366" t="s">
        <v>5646</v>
      </c>
      <c r="F2366" t="s">
        <v>5647</v>
      </c>
      <c r="H2366" t="str">
        <f ca="1">PROPER(Sites_per_tag[[#This Row],[Adm2Name]])</f>
        <v>Ambovombe-Androy</v>
      </c>
      <c r="I2366" t="s">
        <v>5655</v>
      </c>
      <c r="K2366" t="s">
        <v>5682</v>
      </c>
      <c r="L2366" t="s">
        <v>6099</v>
      </c>
      <c r="N2366" t="s">
        <v>3656</v>
      </c>
      <c r="O2366" t="s">
        <v>3657</v>
      </c>
      <c r="Q2366" t="s">
        <v>3659</v>
      </c>
      <c r="R2366" t="s">
        <v>3660</v>
      </c>
      <c r="T2366" t="s">
        <v>50</v>
      </c>
      <c r="U2366" s="3" t="str">
        <f>+VLOOKUP(Sites_per_tag[[#This Row],[Activity_tag]],Parameter!$A$24:$B$32,2,0)</f>
        <v>STUNT</v>
      </c>
      <c r="V2366" t="s">
        <v>6518</v>
      </c>
      <c r="W2366">
        <v>45.731369999999998</v>
      </c>
      <c r="X2366">
        <v>-25.215319999999998</v>
      </c>
    </row>
    <row r="2367" spans="1:24" x14ac:dyDescent="0.35">
      <c r="A2367" s="3" t="str">
        <f t="shared" si="36"/>
        <v>MG52516111001PREV</v>
      </c>
      <c r="B2367" t="s">
        <v>6211</v>
      </c>
      <c r="C2367">
        <f>+VLOOKUP(Sites_per_tag[[#This Row],[Field_office]],Parameter!$A$3:$B$11,2,0)</f>
        <v>6</v>
      </c>
      <c r="E2367" t="s">
        <v>5646</v>
      </c>
      <c r="F2367" t="s">
        <v>5647</v>
      </c>
      <c r="H2367" t="str">
        <f ca="1">PROPER(Sites_per_tag[[#This Row],[Adm2Name]])</f>
        <v>Ambovombe-Androy</v>
      </c>
      <c r="I2367" t="s">
        <v>5655</v>
      </c>
      <c r="K2367" t="s">
        <v>5682</v>
      </c>
      <c r="L2367" t="s">
        <v>6099</v>
      </c>
      <c r="N2367" t="s">
        <v>6265</v>
      </c>
      <c r="Q2367" t="s">
        <v>3656</v>
      </c>
      <c r="R2367" t="s">
        <v>3657</v>
      </c>
      <c r="T2367" t="s">
        <v>32</v>
      </c>
      <c r="U2367" s="3" t="str">
        <f>+VLOOKUP(Sites_per_tag[[#This Row],[Activity_tag]],Parameter!$A$24:$B$32,2,0)</f>
        <v>PREV</v>
      </c>
      <c r="W2367">
        <v>45.736429999999999</v>
      </c>
      <c r="X2367">
        <v>-25.21303</v>
      </c>
    </row>
    <row r="2368" spans="1:24" x14ac:dyDescent="0.35">
      <c r="A2368" s="3" t="str">
        <f t="shared" si="36"/>
        <v>MG52516111009001MAM</v>
      </c>
      <c r="B2368" t="s">
        <v>6211</v>
      </c>
      <c r="C2368">
        <f>+VLOOKUP(Sites_per_tag[[#This Row],[Field_office]],Parameter!$A$3:$B$11,2,0)</f>
        <v>6</v>
      </c>
      <c r="E2368" t="s">
        <v>5646</v>
      </c>
      <c r="F2368" t="s">
        <v>5647</v>
      </c>
      <c r="H2368" t="str">
        <f ca="1">PROPER(Sites_per_tag[[#This Row],[Adm2Name]])</f>
        <v>Ambovombe-Androy</v>
      </c>
      <c r="I2368" t="s">
        <v>5655</v>
      </c>
      <c r="K2368" t="s">
        <v>5682</v>
      </c>
      <c r="L2368" t="s">
        <v>6099</v>
      </c>
      <c r="N2368" t="s">
        <v>2542</v>
      </c>
      <c r="O2368" t="s">
        <v>5429</v>
      </c>
      <c r="Q2368" t="s">
        <v>2542</v>
      </c>
      <c r="R2368" t="s">
        <v>2543</v>
      </c>
      <c r="T2368" t="s">
        <v>5</v>
      </c>
      <c r="U2368" s="3" t="str">
        <f>+VLOOKUP(Sites_per_tag[[#This Row],[Activity_tag]],Parameter!$A$24:$B$32,2,0)</f>
        <v>MAM</v>
      </c>
      <c r="W2368">
        <v>45.839019999999998</v>
      </c>
      <c r="X2368">
        <v>-25.186330000000002</v>
      </c>
    </row>
    <row r="2369" spans="1:24" x14ac:dyDescent="0.35">
      <c r="A2369" s="3" t="str">
        <f t="shared" si="36"/>
        <v>MG52516111010001STUNT</v>
      </c>
      <c r="B2369" t="s">
        <v>6211</v>
      </c>
      <c r="C2369">
        <f>+VLOOKUP(Sites_per_tag[[#This Row],[Field_office]],Parameter!$A$3:$B$11,2,0)</f>
        <v>6</v>
      </c>
      <c r="E2369" t="s">
        <v>5646</v>
      </c>
      <c r="F2369" t="s">
        <v>5647</v>
      </c>
      <c r="H2369" t="str">
        <f ca="1">PROPER(Sites_per_tag[[#This Row],[Adm2Name]])</f>
        <v>Ambovombe-Androy</v>
      </c>
      <c r="I2369" t="s">
        <v>5655</v>
      </c>
      <c r="K2369" t="s">
        <v>5682</v>
      </c>
      <c r="L2369" t="s">
        <v>6099</v>
      </c>
      <c r="N2369" t="s">
        <v>3226</v>
      </c>
      <c r="O2369" t="s">
        <v>4081</v>
      </c>
      <c r="Q2369" t="s">
        <v>3231</v>
      </c>
      <c r="R2369" t="s">
        <v>3232</v>
      </c>
      <c r="T2369" t="s">
        <v>50</v>
      </c>
      <c r="U2369" s="3" t="str">
        <f>+VLOOKUP(Sites_per_tag[[#This Row],[Activity_tag]],Parameter!$A$24:$B$32,2,0)</f>
        <v>STUNT</v>
      </c>
      <c r="V2369" t="s">
        <v>6519</v>
      </c>
      <c r="W2369">
        <v>45.793210999999999</v>
      </c>
      <c r="X2369">
        <v>-25.116821999999999</v>
      </c>
    </row>
    <row r="2370" spans="1:24" x14ac:dyDescent="0.35">
      <c r="A2370" s="3" t="str">
        <f t="shared" si="36"/>
        <v>MG52516111011001STUNT</v>
      </c>
      <c r="B2370" t="s">
        <v>6211</v>
      </c>
      <c r="C2370">
        <f>+VLOOKUP(Sites_per_tag[[#This Row],[Field_office]],Parameter!$A$3:$B$11,2,0)</f>
        <v>6</v>
      </c>
      <c r="E2370" t="s">
        <v>5646</v>
      </c>
      <c r="F2370" t="s">
        <v>5647</v>
      </c>
      <c r="H2370" t="str">
        <f ca="1">PROPER(Sites_per_tag[[#This Row],[Adm2Name]])</f>
        <v>Ambovombe-Androy</v>
      </c>
      <c r="I2370" t="s">
        <v>5655</v>
      </c>
      <c r="K2370" t="s">
        <v>5682</v>
      </c>
      <c r="L2370" t="s">
        <v>6099</v>
      </c>
      <c r="N2370" t="s">
        <v>2332</v>
      </c>
      <c r="O2370" t="s">
        <v>2333</v>
      </c>
      <c r="Q2370" t="s">
        <v>2335</v>
      </c>
      <c r="R2370" t="s">
        <v>2336</v>
      </c>
      <c r="T2370" t="s">
        <v>50</v>
      </c>
      <c r="U2370" s="3" t="str">
        <f>+VLOOKUP(Sites_per_tag[[#This Row],[Activity_tag]],Parameter!$A$24:$B$32,2,0)</f>
        <v>STUNT</v>
      </c>
      <c r="V2370" t="s">
        <v>6520</v>
      </c>
      <c r="W2370">
        <v>45.863529999999997</v>
      </c>
      <c r="X2370">
        <v>-25.054829999999999</v>
      </c>
    </row>
    <row r="2371" spans="1:24" x14ac:dyDescent="0.35">
      <c r="A2371" s="3" t="str">
        <f t="shared" ref="A2371:A2434" si="37">+R2371&amp;U2371</f>
        <v>MG52516111011PREV</v>
      </c>
      <c r="B2371" t="s">
        <v>6211</v>
      </c>
      <c r="C2371">
        <f>+VLOOKUP(Sites_per_tag[[#This Row],[Field_office]],Parameter!$A$3:$B$11,2,0)</f>
        <v>6</v>
      </c>
      <c r="E2371" t="s">
        <v>5646</v>
      </c>
      <c r="F2371" t="s">
        <v>5647</v>
      </c>
      <c r="H2371" t="str">
        <f ca="1">PROPER(Sites_per_tag[[#This Row],[Adm2Name]])</f>
        <v>Ambovombe-Androy</v>
      </c>
      <c r="I2371" t="s">
        <v>5655</v>
      </c>
      <c r="K2371" t="s">
        <v>5682</v>
      </c>
      <c r="L2371" t="s">
        <v>6099</v>
      </c>
      <c r="N2371" t="s">
        <v>6521</v>
      </c>
      <c r="Q2371" t="s">
        <v>2332</v>
      </c>
      <c r="R2371" t="s">
        <v>2333</v>
      </c>
      <c r="T2371" t="s">
        <v>32</v>
      </c>
      <c r="U2371" s="3" t="str">
        <f>+VLOOKUP(Sites_per_tag[[#This Row],[Activity_tag]],Parameter!$A$24:$B$32,2,0)</f>
        <v>PREV</v>
      </c>
      <c r="W2371">
        <v>45.821179999999998</v>
      </c>
      <c r="X2371">
        <v>-25.007020000000001</v>
      </c>
    </row>
    <row r="2372" spans="1:24" x14ac:dyDescent="0.35">
      <c r="A2372" s="3" t="str">
        <f t="shared" si="37"/>
        <v>MG52516111012001MAM</v>
      </c>
      <c r="B2372" t="s">
        <v>6211</v>
      </c>
      <c r="C2372">
        <f>+VLOOKUP(Sites_per_tag[[#This Row],[Field_office]],Parameter!$A$3:$B$11,2,0)</f>
        <v>6</v>
      </c>
      <c r="E2372" t="s">
        <v>5646</v>
      </c>
      <c r="F2372" t="s">
        <v>5647</v>
      </c>
      <c r="H2372" t="str">
        <f ca="1">PROPER(Sites_per_tag[[#This Row],[Adm2Name]])</f>
        <v>Ambovombe-Androy</v>
      </c>
      <c r="I2372" t="s">
        <v>5655</v>
      </c>
      <c r="K2372" t="s">
        <v>5682</v>
      </c>
      <c r="L2372" t="s">
        <v>6099</v>
      </c>
      <c r="N2372" t="s">
        <v>2332</v>
      </c>
      <c r="O2372" t="s">
        <v>5430</v>
      </c>
      <c r="Q2372" t="s">
        <v>2332</v>
      </c>
      <c r="R2372" t="s">
        <v>2334</v>
      </c>
      <c r="T2372" t="s">
        <v>5</v>
      </c>
      <c r="U2372" s="3" t="str">
        <f>+VLOOKUP(Sites_per_tag[[#This Row],[Activity_tag]],Parameter!$A$24:$B$32,2,0)</f>
        <v>MAM</v>
      </c>
      <c r="W2372">
        <v>45.863529999999997</v>
      </c>
      <c r="X2372">
        <v>-25.054829999999999</v>
      </c>
    </row>
    <row r="2373" spans="1:24" x14ac:dyDescent="0.35">
      <c r="A2373" s="3" t="str">
        <f t="shared" si="37"/>
        <v>MG52516111015001MAM</v>
      </c>
      <c r="B2373" t="s">
        <v>6211</v>
      </c>
      <c r="C2373">
        <f>+VLOOKUP(Sites_per_tag[[#This Row],[Field_office]],Parameter!$A$3:$B$11,2,0)</f>
        <v>6</v>
      </c>
      <c r="E2373" t="s">
        <v>5646</v>
      </c>
      <c r="F2373" t="s">
        <v>5647</v>
      </c>
      <c r="H2373" t="str">
        <f ca="1">PROPER(Sites_per_tag[[#This Row],[Adm2Name]])</f>
        <v>Ambovombe-Androy</v>
      </c>
      <c r="I2373" t="s">
        <v>5655</v>
      </c>
      <c r="K2373" t="s">
        <v>5682</v>
      </c>
      <c r="L2373" t="s">
        <v>6099</v>
      </c>
      <c r="N2373" t="s">
        <v>613</v>
      </c>
      <c r="O2373" t="s">
        <v>5431</v>
      </c>
      <c r="Q2373" t="s">
        <v>613</v>
      </c>
      <c r="R2373" t="s">
        <v>614</v>
      </c>
      <c r="T2373" t="s">
        <v>5</v>
      </c>
      <c r="U2373" s="3" t="str">
        <f>+VLOOKUP(Sites_per_tag[[#This Row],[Activity_tag]],Parameter!$A$24:$B$32,2,0)</f>
        <v>MAM</v>
      </c>
      <c r="W2373">
        <v>45.753369999999997</v>
      </c>
      <c r="X2373">
        <v>-25.185179999999999</v>
      </c>
    </row>
    <row r="2374" spans="1:24" x14ac:dyDescent="0.35">
      <c r="A2374" s="3" t="str">
        <f t="shared" si="37"/>
        <v>MG52516111017001MAM</v>
      </c>
      <c r="B2374" t="s">
        <v>6211</v>
      </c>
      <c r="C2374">
        <f>+VLOOKUP(Sites_per_tag[[#This Row],[Field_office]],Parameter!$A$3:$B$11,2,0)</f>
        <v>6</v>
      </c>
      <c r="E2374" t="s">
        <v>5646</v>
      </c>
      <c r="F2374" t="s">
        <v>5647</v>
      </c>
      <c r="H2374" t="str">
        <f ca="1">PROPER(Sites_per_tag[[#This Row],[Adm2Name]])</f>
        <v>Ambovombe-Androy</v>
      </c>
      <c r="I2374" t="s">
        <v>5655</v>
      </c>
      <c r="K2374" t="s">
        <v>5682</v>
      </c>
      <c r="L2374" t="s">
        <v>6099</v>
      </c>
      <c r="N2374" t="s">
        <v>51</v>
      </c>
      <c r="O2374" t="s">
        <v>5432</v>
      </c>
      <c r="Q2374" t="s">
        <v>51</v>
      </c>
      <c r="R2374" t="s">
        <v>52</v>
      </c>
      <c r="T2374" t="s">
        <v>5</v>
      </c>
      <c r="U2374" s="3" t="str">
        <f>+VLOOKUP(Sites_per_tag[[#This Row],[Activity_tag]],Parameter!$A$24:$B$32,2,0)</f>
        <v>MAM</v>
      </c>
      <c r="W2374">
        <v>45.760480000000001</v>
      </c>
      <c r="X2374">
        <v>-25.120470000000001</v>
      </c>
    </row>
    <row r="2375" spans="1:24" x14ac:dyDescent="0.35">
      <c r="A2375" s="3" t="str">
        <f t="shared" si="37"/>
        <v>MG52516111023001STUNT</v>
      </c>
      <c r="B2375" t="s">
        <v>6211</v>
      </c>
      <c r="C2375">
        <f>+VLOOKUP(Sites_per_tag[[#This Row],[Field_office]],Parameter!$A$3:$B$11,2,0)</f>
        <v>6</v>
      </c>
      <c r="E2375" t="s">
        <v>5646</v>
      </c>
      <c r="F2375" t="s">
        <v>5647</v>
      </c>
      <c r="H2375" t="str">
        <f ca="1">PROPER(Sites_per_tag[[#This Row],[Adm2Name]])</f>
        <v>Ambovombe-Androy</v>
      </c>
      <c r="I2375" t="s">
        <v>5655</v>
      </c>
      <c r="K2375" t="s">
        <v>5682</v>
      </c>
      <c r="L2375" t="s">
        <v>6099</v>
      </c>
      <c r="N2375" t="s">
        <v>3474</v>
      </c>
      <c r="O2375" t="s">
        <v>3475</v>
      </c>
      <c r="Q2375" t="s">
        <v>3474</v>
      </c>
      <c r="R2375" t="s">
        <v>3476</v>
      </c>
      <c r="T2375" t="s">
        <v>50</v>
      </c>
      <c r="U2375" s="3" t="str">
        <f>+VLOOKUP(Sites_per_tag[[#This Row],[Activity_tag]],Parameter!$A$24:$B$32,2,0)</f>
        <v>STUNT</v>
      </c>
      <c r="V2375" t="s">
        <v>6522</v>
      </c>
      <c r="W2375">
        <v>45.760480000000001</v>
      </c>
      <c r="X2375">
        <v>-25.139530000000001</v>
      </c>
    </row>
    <row r="2376" spans="1:24" x14ac:dyDescent="0.35">
      <c r="A2376" s="3" t="str">
        <f t="shared" si="37"/>
        <v>MG52516111023PREV</v>
      </c>
      <c r="B2376" t="s">
        <v>6211</v>
      </c>
      <c r="C2376">
        <f>+VLOOKUP(Sites_per_tag[[#This Row],[Field_office]],Parameter!$A$3:$B$11,2,0)</f>
        <v>6</v>
      </c>
      <c r="E2376" t="s">
        <v>5646</v>
      </c>
      <c r="F2376" t="s">
        <v>5647</v>
      </c>
      <c r="H2376" t="str">
        <f ca="1">PROPER(Sites_per_tag[[#This Row],[Adm2Name]])</f>
        <v>Ambovombe-Androy</v>
      </c>
      <c r="I2376" t="s">
        <v>5655</v>
      </c>
      <c r="K2376" t="s">
        <v>5682</v>
      </c>
      <c r="L2376" t="s">
        <v>6099</v>
      </c>
      <c r="N2376" t="s">
        <v>6263</v>
      </c>
      <c r="Q2376" t="s">
        <v>3474</v>
      </c>
      <c r="R2376" t="s">
        <v>3475</v>
      </c>
      <c r="T2376" t="s">
        <v>32</v>
      </c>
      <c r="U2376" s="3" t="str">
        <f>+VLOOKUP(Sites_per_tag[[#This Row],[Activity_tag]],Parameter!$A$24:$B$32,2,0)</f>
        <v>PREV</v>
      </c>
      <c r="W2376">
        <v>45.769300000000001</v>
      </c>
      <c r="X2376">
        <v>-25.162099999999999</v>
      </c>
    </row>
    <row r="2377" spans="1:24" x14ac:dyDescent="0.35">
      <c r="A2377" s="3" t="str">
        <f t="shared" si="37"/>
        <v>MG52516111025001STUNT</v>
      </c>
      <c r="B2377" t="s">
        <v>6211</v>
      </c>
      <c r="C2377">
        <f>+VLOOKUP(Sites_per_tag[[#This Row],[Field_office]],Parameter!$A$3:$B$11,2,0)</f>
        <v>6</v>
      </c>
      <c r="E2377" t="s">
        <v>5646</v>
      </c>
      <c r="F2377" t="s">
        <v>5647</v>
      </c>
      <c r="H2377" t="str">
        <f ca="1">PROPER(Sites_per_tag[[#This Row],[Adm2Name]])</f>
        <v>Ambovombe-Androy</v>
      </c>
      <c r="I2377" t="s">
        <v>5655</v>
      </c>
      <c r="K2377" t="s">
        <v>5682</v>
      </c>
      <c r="L2377" t="s">
        <v>6099</v>
      </c>
      <c r="N2377" t="s">
        <v>3644</v>
      </c>
      <c r="O2377" t="s">
        <v>3645</v>
      </c>
      <c r="Q2377" t="s">
        <v>3642</v>
      </c>
      <c r="R2377" t="s">
        <v>3643</v>
      </c>
      <c r="T2377" t="s">
        <v>50</v>
      </c>
      <c r="U2377" s="3" t="str">
        <f>+VLOOKUP(Sites_per_tag[[#This Row],[Activity_tag]],Parameter!$A$24:$B$32,2,0)</f>
        <v>STUNT</v>
      </c>
      <c r="V2377" t="s">
        <v>6523</v>
      </c>
      <c r="W2377">
        <v>45.819420000000001</v>
      </c>
      <c r="X2377">
        <v>-25.136649999999999</v>
      </c>
    </row>
    <row r="2378" spans="1:24" x14ac:dyDescent="0.35">
      <c r="A2378" s="3" t="str">
        <f t="shared" si="37"/>
        <v>MG52516111025PREV</v>
      </c>
      <c r="B2378" t="s">
        <v>6211</v>
      </c>
      <c r="C2378">
        <f>+VLOOKUP(Sites_per_tag[[#This Row],[Field_office]],Parameter!$A$3:$B$11,2,0)</f>
        <v>6</v>
      </c>
      <c r="E2378" t="s">
        <v>5646</v>
      </c>
      <c r="F2378" t="s">
        <v>5647</v>
      </c>
      <c r="H2378" t="str">
        <f ca="1">PROPER(Sites_per_tag[[#This Row],[Adm2Name]])</f>
        <v>Ambovombe-Androy</v>
      </c>
      <c r="I2378" t="s">
        <v>5655</v>
      </c>
      <c r="K2378" t="s">
        <v>5682</v>
      </c>
      <c r="L2378" t="s">
        <v>6099</v>
      </c>
      <c r="N2378" t="s">
        <v>6524</v>
      </c>
      <c r="Q2378" t="s">
        <v>3644</v>
      </c>
      <c r="R2378" t="s">
        <v>3645</v>
      </c>
      <c r="T2378" t="s">
        <v>32</v>
      </c>
      <c r="U2378" s="3" t="str">
        <f>+VLOOKUP(Sites_per_tag[[#This Row],[Activity_tag]],Parameter!$A$24:$B$32,2,0)</f>
        <v>PREV</v>
      </c>
      <c r="W2378">
        <v>45.828049999999998</v>
      </c>
      <c r="X2378">
        <v>-25.131920000000001</v>
      </c>
    </row>
    <row r="2379" spans="1:24" x14ac:dyDescent="0.35">
      <c r="A2379" s="3" t="str">
        <f t="shared" si="37"/>
        <v>MG52516111045001MAM</v>
      </c>
      <c r="B2379" t="s">
        <v>6211</v>
      </c>
      <c r="C2379">
        <f>+VLOOKUP(Sites_per_tag[[#This Row],[Field_office]],Parameter!$A$3:$B$11,2,0)</f>
        <v>6</v>
      </c>
      <c r="E2379" t="s">
        <v>5646</v>
      </c>
      <c r="F2379" t="s">
        <v>5647</v>
      </c>
      <c r="H2379" t="str">
        <f ca="1">PROPER(Sites_per_tag[[#This Row],[Adm2Name]])</f>
        <v>Ambovombe-Androy</v>
      </c>
      <c r="I2379" t="s">
        <v>5655</v>
      </c>
      <c r="K2379" t="s">
        <v>5682</v>
      </c>
      <c r="L2379" t="s">
        <v>6099</v>
      </c>
      <c r="N2379" t="s">
        <v>473</v>
      </c>
      <c r="O2379" t="s">
        <v>5433</v>
      </c>
      <c r="Q2379" t="s">
        <v>473</v>
      </c>
      <c r="R2379" t="s">
        <v>474</v>
      </c>
      <c r="T2379" t="s">
        <v>5</v>
      </c>
      <c r="U2379" s="3" t="str">
        <f>+VLOOKUP(Sites_per_tag[[#This Row],[Activity_tag]],Parameter!$A$24:$B$32,2,0)</f>
        <v>MAM</v>
      </c>
      <c r="W2379">
        <v>45.779049999999998</v>
      </c>
      <c r="X2379">
        <v>-25.238</v>
      </c>
    </row>
    <row r="2380" spans="1:24" x14ac:dyDescent="0.35">
      <c r="A2380" s="3" t="str">
        <f t="shared" si="37"/>
        <v>MG52516111046001MAM</v>
      </c>
      <c r="B2380" t="s">
        <v>6211</v>
      </c>
      <c r="C2380">
        <f>+VLOOKUP(Sites_per_tag[[#This Row],[Field_office]],Parameter!$A$3:$B$11,2,0)</f>
        <v>6</v>
      </c>
      <c r="E2380" t="s">
        <v>5646</v>
      </c>
      <c r="F2380" t="s">
        <v>5647</v>
      </c>
      <c r="H2380" t="str">
        <f ca="1">PROPER(Sites_per_tag[[#This Row],[Adm2Name]])</f>
        <v>Ambovombe-Androy</v>
      </c>
      <c r="I2380" t="s">
        <v>5655</v>
      </c>
      <c r="K2380" t="s">
        <v>5682</v>
      </c>
      <c r="L2380" t="s">
        <v>6099</v>
      </c>
      <c r="N2380" t="s">
        <v>615</v>
      </c>
      <c r="O2380" t="s">
        <v>5434</v>
      </c>
      <c r="Q2380" t="s">
        <v>615</v>
      </c>
      <c r="R2380" t="s">
        <v>616</v>
      </c>
      <c r="T2380" t="s">
        <v>5</v>
      </c>
      <c r="U2380" s="3" t="str">
        <f>+VLOOKUP(Sites_per_tag[[#This Row],[Activity_tag]],Parameter!$A$24:$B$32,2,0)</f>
        <v>MAM</v>
      </c>
      <c r="W2380">
        <v>45.772730000000003</v>
      </c>
      <c r="X2380">
        <v>-25.179670000000002</v>
      </c>
    </row>
    <row r="2381" spans="1:24" x14ac:dyDescent="0.35">
      <c r="A2381" s="3" t="str">
        <f t="shared" si="37"/>
        <v>MG52516111047001MAM</v>
      </c>
      <c r="B2381" t="s">
        <v>6211</v>
      </c>
      <c r="C2381">
        <f>+VLOOKUP(Sites_per_tag[[#This Row],[Field_office]],Parameter!$A$3:$B$11,2,0)</f>
        <v>6</v>
      </c>
      <c r="E2381" t="s">
        <v>5646</v>
      </c>
      <c r="F2381" t="s">
        <v>5647</v>
      </c>
      <c r="H2381" t="str">
        <f ca="1">PROPER(Sites_per_tag[[#This Row],[Adm2Name]])</f>
        <v>Ambovombe-Androy</v>
      </c>
      <c r="I2381" t="s">
        <v>5655</v>
      </c>
      <c r="K2381" t="s">
        <v>5682</v>
      </c>
      <c r="L2381" t="s">
        <v>6099</v>
      </c>
      <c r="N2381" t="s">
        <v>807</v>
      </c>
      <c r="O2381" t="s">
        <v>5435</v>
      </c>
      <c r="Q2381" t="s">
        <v>807</v>
      </c>
      <c r="R2381" t="s">
        <v>808</v>
      </c>
      <c r="T2381" t="s">
        <v>5</v>
      </c>
      <c r="U2381" s="3" t="str">
        <f>+VLOOKUP(Sites_per_tag[[#This Row],[Activity_tag]],Parameter!$A$24:$B$32,2,0)</f>
        <v>MAM</v>
      </c>
      <c r="W2381">
        <v>45.752020000000002</v>
      </c>
      <c r="X2381">
        <v>-25.179079999999999</v>
      </c>
    </row>
    <row r="2382" spans="1:24" x14ac:dyDescent="0.35">
      <c r="A2382" s="3" t="str">
        <f t="shared" si="37"/>
        <v>MG52516111048001MAM</v>
      </c>
      <c r="B2382" t="s">
        <v>6211</v>
      </c>
      <c r="C2382">
        <f>+VLOOKUP(Sites_per_tag[[#This Row],[Field_office]],Parameter!$A$3:$B$11,2,0)</f>
        <v>6</v>
      </c>
      <c r="E2382" t="s">
        <v>5646</v>
      </c>
      <c r="F2382" t="s">
        <v>5647</v>
      </c>
      <c r="H2382" t="str">
        <f ca="1">PROPER(Sites_per_tag[[#This Row],[Adm2Name]])</f>
        <v>Ambovombe-Androy</v>
      </c>
      <c r="I2382" t="s">
        <v>5655</v>
      </c>
      <c r="K2382" t="s">
        <v>5682</v>
      </c>
      <c r="L2382" t="s">
        <v>6099</v>
      </c>
      <c r="N2382" t="s">
        <v>1228</v>
      </c>
      <c r="O2382" t="s">
        <v>5436</v>
      </c>
      <c r="Q2382" t="s">
        <v>1228</v>
      </c>
      <c r="R2382" t="s">
        <v>1229</v>
      </c>
      <c r="T2382" t="s">
        <v>5</v>
      </c>
      <c r="U2382" s="3" t="str">
        <f>+VLOOKUP(Sites_per_tag[[#This Row],[Activity_tag]],Parameter!$A$24:$B$32,2,0)</f>
        <v>MAM</v>
      </c>
      <c r="W2382">
        <v>45.78613</v>
      </c>
      <c r="X2382">
        <v>-25.162949999999999</v>
      </c>
    </row>
    <row r="2383" spans="1:24" x14ac:dyDescent="0.35">
      <c r="A2383" s="3" t="str">
        <f t="shared" si="37"/>
        <v>MG52516111049001MAM</v>
      </c>
      <c r="B2383" t="s">
        <v>6211</v>
      </c>
      <c r="C2383">
        <f>+VLOOKUP(Sites_per_tag[[#This Row],[Field_office]],Parameter!$A$3:$B$11,2,0)</f>
        <v>6</v>
      </c>
      <c r="E2383" t="s">
        <v>5646</v>
      </c>
      <c r="F2383" t="s">
        <v>5647</v>
      </c>
      <c r="H2383" t="str">
        <f ca="1">PROPER(Sites_per_tag[[#This Row],[Adm2Name]])</f>
        <v>Ambovombe-Androy</v>
      </c>
      <c r="I2383" t="s">
        <v>5655</v>
      </c>
      <c r="K2383" t="s">
        <v>5682</v>
      </c>
      <c r="L2383" t="s">
        <v>6099</v>
      </c>
      <c r="N2383" t="s">
        <v>1235</v>
      </c>
      <c r="O2383" t="s">
        <v>5437</v>
      </c>
      <c r="Q2383" t="s">
        <v>1235</v>
      </c>
      <c r="R2383" t="s">
        <v>1236</v>
      </c>
      <c r="T2383" t="s">
        <v>5</v>
      </c>
      <c r="U2383" s="3" t="str">
        <f>+VLOOKUP(Sites_per_tag[[#This Row],[Activity_tag]],Parameter!$A$24:$B$32,2,0)</f>
        <v>MAM</v>
      </c>
      <c r="W2383">
        <v>45.802199999999999</v>
      </c>
      <c r="X2383">
        <v>-25.191669999999998</v>
      </c>
    </row>
    <row r="2384" spans="1:24" x14ac:dyDescent="0.35">
      <c r="A2384" s="3" t="str">
        <f t="shared" si="37"/>
        <v>MG52516111050001MAM</v>
      </c>
      <c r="B2384" t="s">
        <v>6211</v>
      </c>
      <c r="C2384">
        <f>+VLOOKUP(Sites_per_tag[[#This Row],[Field_office]],Parameter!$A$3:$B$11,2,0)</f>
        <v>6</v>
      </c>
      <c r="E2384" t="s">
        <v>5646</v>
      </c>
      <c r="F2384" t="s">
        <v>5647</v>
      </c>
      <c r="H2384" t="str">
        <f ca="1">PROPER(Sites_per_tag[[#This Row],[Adm2Name]])</f>
        <v>Ambovombe-Androy</v>
      </c>
      <c r="I2384" t="s">
        <v>5655</v>
      </c>
      <c r="K2384" t="s">
        <v>5682</v>
      </c>
      <c r="L2384" t="s">
        <v>6099</v>
      </c>
      <c r="N2384" t="s">
        <v>1247</v>
      </c>
      <c r="O2384" t="s">
        <v>5438</v>
      </c>
      <c r="Q2384" t="s">
        <v>1247</v>
      </c>
      <c r="R2384" t="s">
        <v>1248</v>
      </c>
      <c r="T2384" t="s">
        <v>5</v>
      </c>
      <c r="U2384" s="3" t="str">
        <f>+VLOOKUP(Sites_per_tag[[#This Row],[Activity_tag]],Parameter!$A$24:$B$32,2,0)</f>
        <v>MAM</v>
      </c>
      <c r="W2384">
        <v>45.75985</v>
      </c>
      <c r="X2384">
        <v>-25.26323</v>
      </c>
    </row>
    <row r="2385" spans="1:24" x14ac:dyDescent="0.35">
      <c r="A2385" s="3" t="str">
        <f t="shared" si="37"/>
        <v>MG52516111051001MAM</v>
      </c>
      <c r="B2385" t="s">
        <v>6211</v>
      </c>
      <c r="C2385">
        <f>+VLOOKUP(Sites_per_tag[[#This Row],[Field_office]],Parameter!$A$3:$B$11,2,0)</f>
        <v>6</v>
      </c>
      <c r="E2385" t="s">
        <v>5646</v>
      </c>
      <c r="F2385" t="s">
        <v>5647</v>
      </c>
      <c r="H2385" t="str">
        <f ca="1">PROPER(Sites_per_tag[[#This Row],[Adm2Name]])</f>
        <v>Ambovombe-Androy</v>
      </c>
      <c r="I2385" t="s">
        <v>5655</v>
      </c>
      <c r="K2385" t="s">
        <v>5682</v>
      </c>
      <c r="L2385" t="s">
        <v>6099</v>
      </c>
      <c r="N2385" t="s">
        <v>1406</v>
      </c>
      <c r="O2385" t="s">
        <v>5439</v>
      </c>
      <c r="Q2385" t="s">
        <v>1406</v>
      </c>
      <c r="R2385" t="s">
        <v>1407</v>
      </c>
      <c r="T2385" t="s">
        <v>5</v>
      </c>
      <c r="U2385" s="3" t="str">
        <f>+VLOOKUP(Sites_per_tag[[#This Row],[Activity_tag]],Parameter!$A$24:$B$32,2,0)</f>
        <v>MAM</v>
      </c>
      <c r="W2385">
        <v>45.756680000000003</v>
      </c>
      <c r="X2385">
        <v>-25.268419999999999</v>
      </c>
    </row>
    <row r="2386" spans="1:24" x14ac:dyDescent="0.35">
      <c r="A2386" s="3" t="str">
        <f t="shared" si="37"/>
        <v>MG52516111052001MAM</v>
      </c>
      <c r="B2386" t="s">
        <v>6211</v>
      </c>
      <c r="C2386">
        <f>+VLOOKUP(Sites_per_tag[[#This Row],[Field_office]],Parameter!$A$3:$B$11,2,0)</f>
        <v>6</v>
      </c>
      <c r="E2386" t="s">
        <v>5646</v>
      </c>
      <c r="F2386" t="s">
        <v>5647</v>
      </c>
      <c r="H2386" t="str">
        <f ca="1">PROPER(Sites_per_tag[[#This Row],[Adm2Name]])</f>
        <v>Ambovombe-Androy</v>
      </c>
      <c r="I2386" t="s">
        <v>5655</v>
      </c>
      <c r="K2386" t="s">
        <v>5682</v>
      </c>
      <c r="L2386" t="s">
        <v>6099</v>
      </c>
      <c r="N2386" t="s">
        <v>1908</v>
      </c>
      <c r="O2386" t="s">
        <v>5440</v>
      </c>
      <c r="Q2386" t="s">
        <v>1908</v>
      </c>
      <c r="R2386" t="s">
        <v>1909</v>
      </c>
      <c r="T2386" t="s">
        <v>5</v>
      </c>
      <c r="U2386" s="3" t="str">
        <f>+VLOOKUP(Sites_per_tag[[#This Row],[Activity_tag]],Parameter!$A$24:$B$32,2,0)</f>
        <v>MAM</v>
      </c>
      <c r="W2386">
        <v>45.85295</v>
      </c>
      <c r="X2386">
        <v>-25.138870000000001</v>
      </c>
    </row>
    <row r="2387" spans="1:24" x14ac:dyDescent="0.35">
      <c r="A2387" s="3" t="str">
        <f t="shared" si="37"/>
        <v>MG52516111053001MAM</v>
      </c>
      <c r="B2387" t="s">
        <v>6211</v>
      </c>
      <c r="C2387">
        <f>+VLOOKUP(Sites_per_tag[[#This Row],[Field_office]],Parameter!$A$3:$B$11,2,0)</f>
        <v>6</v>
      </c>
      <c r="E2387" t="s">
        <v>5646</v>
      </c>
      <c r="F2387" t="s">
        <v>5647</v>
      </c>
      <c r="H2387" t="str">
        <f ca="1">PROPER(Sites_per_tag[[#This Row],[Adm2Name]])</f>
        <v>Ambovombe-Androy</v>
      </c>
      <c r="I2387" t="s">
        <v>5655</v>
      </c>
      <c r="K2387" t="s">
        <v>5682</v>
      </c>
      <c r="L2387" t="s">
        <v>6099</v>
      </c>
      <c r="N2387" t="s">
        <v>3220</v>
      </c>
      <c r="O2387" t="s">
        <v>5441</v>
      </c>
      <c r="Q2387" t="s">
        <v>3220</v>
      </c>
      <c r="R2387" t="s">
        <v>3221</v>
      </c>
      <c r="T2387" t="s">
        <v>5</v>
      </c>
      <c r="U2387" s="3" t="str">
        <f>+VLOOKUP(Sites_per_tag[[#This Row],[Activity_tag]],Parameter!$A$24:$B$32,2,0)</f>
        <v>MAM</v>
      </c>
      <c r="W2387">
        <v>45.770049999999998</v>
      </c>
      <c r="X2387">
        <v>-25.254750000000001</v>
      </c>
    </row>
    <row r="2388" spans="1:24" x14ac:dyDescent="0.35">
      <c r="A2388" s="3" t="str">
        <f t="shared" si="37"/>
        <v>MG52516111054001MAM</v>
      </c>
      <c r="B2388" t="s">
        <v>6211</v>
      </c>
      <c r="C2388">
        <f>+VLOOKUP(Sites_per_tag[[#This Row],[Field_office]],Parameter!$A$3:$B$11,2,0)</f>
        <v>6</v>
      </c>
      <c r="E2388" t="s">
        <v>5646</v>
      </c>
      <c r="F2388" t="s">
        <v>5647</v>
      </c>
      <c r="H2388" t="str">
        <f ca="1">PROPER(Sites_per_tag[[#This Row],[Adm2Name]])</f>
        <v>Ambovombe-Androy</v>
      </c>
      <c r="I2388" t="s">
        <v>5655</v>
      </c>
      <c r="K2388" t="s">
        <v>5682</v>
      </c>
      <c r="L2388" t="s">
        <v>6099</v>
      </c>
      <c r="N2388" t="s">
        <v>3226</v>
      </c>
      <c r="O2388" t="s">
        <v>5442</v>
      </c>
      <c r="Q2388" t="s">
        <v>3226</v>
      </c>
      <c r="R2388" t="s">
        <v>3227</v>
      </c>
      <c r="T2388" t="s">
        <v>5</v>
      </c>
      <c r="U2388" s="3" t="str">
        <f>+VLOOKUP(Sites_per_tag[[#This Row],[Activity_tag]],Parameter!$A$24:$B$32,2,0)</f>
        <v>MAM</v>
      </c>
      <c r="W2388">
        <v>45.731369999999998</v>
      </c>
      <c r="X2388">
        <v>-25.215319999999998</v>
      </c>
    </row>
    <row r="2389" spans="1:24" x14ac:dyDescent="0.35">
      <c r="A2389" s="3" t="str">
        <f t="shared" si="37"/>
        <v>MG52516111055001MAM</v>
      </c>
      <c r="B2389" t="s">
        <v>6211</v>
      </c>
      <c r="C2389">
        <f>+VLOOKUP(Sites_per_tag[[#This Row],[Field_office]],Parameter!$A$3:$B$11,2,0)</f>
        <v>6</v>
      </c>
      <c r="E2389" t="s">
        <v>5646</v>
      </c>
      <c r="F2389" t="s">
        <v>5647</v>
      </c>
      <c r="H2389" t="str">
        <f ca="1">PROPER(Sites_per_tag[[#This Row],[Adm2Name]])</f>
        <v>Ambovombe-Androy</v>
      </c>
      <c r="I2389" t="s">
        <v>5655</v>
      </c>
      <c r="K2389" t="s">
        <v>5682</v>
      </c>
      <c r="L2389" t="s">
        <v>6099</v>
      </c>
      <c r="N2389" t="s">
        <v>3437</v>
      </c>
      <c r="O2389" t="s">
        <v>5443</v>
      </c>
      <c r="Q2389" t="s">
        <v>3437</v>
      </c>
      <c r="R2389" t="s">
        <v>3438</v>
      </c>
      <c r="T2389" t="s">
        <v>5</v>
      </c>
      <c r="U2389" s="3" t="str">
        <f>+VLOOKUP(Sites_per_tag[[#This Row],[Activity_tag]],Parameter!$A$24:$B$32,2,0)</f>
        <v>MAM</v>
      </c>
      <c r="W2389">
        <v>45.731369999999998</v>
      </c>
      <c r="X2389">
        <v>-25.215319999999998</v>
      </c>
    </row>
    <row r="2390" spans="1:24" x14ac:dyDescent="0.35">
      <c r="A2390" s="3" t="str">
        <f t="shared" si="37"/>
        <v>MG52516111056001STUNT</v>
      </c>
      <c r="B2390" t="s">
        <v>6211</v>
      </c>
      <c r="C2390">
        <f>+VLOOKUP(Sites_per_tag[[#This Row],[Field_office]],Parameter!$A$3:$B$11,2,0)</f>
        <v>6</v>
      </c>
      <c r="E2390" t="s">
        <v>5646</v>
      </c>
      <c r="F2390" t="s">
        <v>5647</v>
      </c>
      <c r="H2390" t="str">
        <f ca="1">PROPER(Sites_per_tag[[#This Row],[Adm2Name]])</f>
        <v>Ambovombe-Androy</v>
      </c>
      <c r="I2390" t="s">
        <v>5655</v>
      </c>
      <c r="K2390" t="s">
        <v>5682</v>
      </c>
      <c r="L2390" t="s">
        <v>6099</v>
      </c>
      <c r="N2390" t="s">
        <v>3587</v>
      </c>
      <c r="O2390" t="s">
        <v>4082</v>
      </c>
      <c r="Q2390" t="s">
        <v>3590</v>
      </c>
      <c r="R2390" t="s">
        <v>3591</v>
      </c>
      <c r="T2390" t="s">
        <v>50</v>
      </c>
      <c r="U2390" s="3" t="str">
        <f>+VLOOKUP(Sites_per_tag[[#This Row],[Activity_tag]],Parameter!$A$24:$B$32,2,0)</f>
        <v>STUNT</v>
      </c>
      <c r="V2390" t="s">
        <v>6525</v>
      </c>
      <c r="W2390">
        <v>45.779049999999998</v>
      </c>
      <c r="X2390">
        <v>-25.238</v>
      </c>
    </row>
    <row r="2391" spans="1:24" x14ac:dyDescent="0.35">
      <c r="A2391" s="3" t="str">
        <f t="shared" si="37"/>
        <v>MG52516111057001MAM</v>
      </c>
      <c r="B2391" t="s">
        <v>6211</v>
      </c>
      <c r="C2391">
        <f>+VLOOKUP(Sites_per_tag[[#This Row],[Field_office]],Parameter!$A$3:$B$11,2,0)</f>
        <v>6</v>
      </c>
      <c r="E2391" t="s">
        <v>5646</v>
      </c>
      <c r="F2391" t="s">
        <v>5647</v>
      </c>
      <c r="H2391" t="str">
        <f ca="1">PROPER(Sites_per_tag[[#This Row],[Adm2Name]])</f>
        <v>Ambovombe-Androy</v>
      </c>
      <c r="I2391" t="s">
        <v>5655</v>
      </c>
      <c r="K2391" t="s">
        <v>5682</v>
      </c>
      <c r="L2391" t="s">
        <v>6099</v>
      </c>
      <c r="N2391" t="s">
        <v>3738</v>
      </c>
      <c r="O2391" t="s">
        <v>5444</v>
      </c>
      <c r="Q2391" t="s">
        <v>3738</v>
      </c>
      <c r="R2391" t="s">
        <v>3739</v>
      </c>
      <c r="T2391" t="s">
        <v>5</v>
      </c>
      <c r="U2391" s="3" t="str">
        <f>+VLOOKUP(Sites_per_tag[[#This Row],[Activity_tag]],Parameter!$A$24:$B$32,2,0)</f>
        <v>MAM</v>
      </c>
      <c r="W2391">
        <v>45.78613</v>
      </c>
      <c r="X2391">
        <v>-25.162949999999999</v>
      </c>
    </row>
    <row r="2392" spans="1:24" x14ac:dyDescent="0.35">
      <c r="A2392" s="3" t="str">
        <f t="shared" si="37"/>
        <v>MG52516111058001MAM</v>
      </c>
      <c r="B2392" t="s">
        <v>6211</v>
      </c>
      <c r="C2392">
        <f>+VLOOKUP(Sites_per_tag[[#This Row],[Field_office]],Parameter!$A$3:$B$11,2,0)</f>
        <v>6</v>
      </c>
      <c r="E2392" t="s">
        <v>5646</v>
      </c>
      <c r="F2392" t="s">
        <v>5647</v>
      </c>
      <c r="H2392" t="str">
        <f ca="1">PROPER(Sites_per_tag[[#This Row],[Adm2Name]])</f>
        <v>Ambovombe-Androy</v>
      </c>
      <c r="I2392" t="s">
        <v>5655</v>
      </c>
      <c r="K2392" t="s">
        <v>5682</v>
      </c>
      <c r="L2392" t="s">
        <v>6099</v>
      </c>
      <c r="N2392" t="s">
        <v>3587</v>
      </c>
      <c r="O2392" t="s">
        <v>5445</v>
      </c>
      <c r="Q2392" t="s">
        <v>3587</v>
      </c>
      <c r="R2392" t="s">
        <v>3588</v>
      </c>
      <c r="T2392" t="s">
        <v>5</v>
      </c>
      <c r="U2392" s="3" t="str">
        <f>+VLOOKUP(Sites_per_tag[[#This Row],[Activity_tag]],Parameter!$A$24:$B$32,2,0)</f>
        <v>MAM</v>
      </c>
      <c r="W2392">
        <v>45.778399999999998</v>
      </c>
      <c r="X2392">
        <v>-25.246919999999999</v>
      </c>
    </row>
    <row r="2393" spans="1:24" x14ac:dyDescent="0.35">
      <c r="A2393" s="3" t="str">
        <f t="shared" si="37"/>
        <v>MG52516111059001MAM</v>
      </c>
      <c r="B2393" t="s">
        <v>6211</v>
      </c>
      <c r="C2393">
        <f>+VLOOKUP(Sites_per_tag[[#This Row],[Field_office]],Parameter!$A$3:$B$11,2,0)</f>
        <v>6</v>
      </c>
      <c r="E2393" t="s">
        <v>5646</v>
      </c>
      <c r="F2393" t="s">
        <v>5647</v>
      </c>
      <c r="H2393" t="str">
        <f ca="1">PROPER(Sites_per_tag[[#This Row],[Adm2Name]])</f>
        <v>Ambovombe-Androy</v>
      </c>
      <c r="I2393" t="s">
        <v>5655</v>
      </c>
      <c r="K2393" t="s">
        <v>5682</v>
      </c>
      <c r="L2393" t="s">
        <v>6099</v>
      </c>
      <c r="N2393" t="s">
        <v>4004</v>
      </c>
      <c r="O2393" t="s">
        <v>5446</v>
      </c>
      <c r="Q2393" t="s">
        <v>4004</v>
      </c>
      <c r="R2393" t="s">
        <v>4005</v>
      </c>
      <c r="T2393" t="s">
        <v>5</v>
      </c>
      <c r="U2393" s="3" t="str">
        <f>+VLOOKUP(Sites_per_tag[[#This Row],[Activity_tag]],Parameter!$A$24:$B$32,2,0)</f>
        <v>MAM</v>
      </c>
      <c r="W2393">
        <v>45.79222</v>
      </c>
      <c r="X2393">
        <v>-25.140329999999999</v>
      </c>
    </row>
    <row r="2394" spans="1:24" x14ac:dyDescent="0.35">
      <c r="A2394" s="3" t="str">
        <f t="shared" si="37"/>
        <v>MG52516111070PREV</v>
      </c>
      <c r="B2394" t="s">
        <v>6211</v>
      </c>
      <c r="C2394">
        <f>+VLOOKUP(Sites_per_tag[[#This Row],[Field_office]],Parameter!$A$3:$B$11,2,0)</f>
        <v>6</v>
      </c>
      <c r="E2394" t="s">
        <v>5646</v>
      </c>
      <c r="F2394" t="s">
        <v>5647</v>
      </c>
      <c r="H2394" t="str">
        <f ca="1">PROPER(Sites_per_tag[[#This Row],[Adm2Name]])</f>
        <v>Ambovombe-Androy</v>
      </c>
      <c r="I2394" t="s">
        <v>5655</v>
      </c>
      <c r="K2394" t="s">
        <v>5682</v>
      </c>
      <c r="L2394" t="s">
        <v>6099</v>
      </c>
      <c r="N2394" t="s">
        <v>6264</v>
      </c>
      <c r="Q2394" t="s">
        <v>3587</v>
      </c>
      <c r="R2394" t="s">
        <v>3589</v>
      </c>
      <c r="T2394" t="s">
        <v>32</v>
      </c>
      <c r="U2394" s="3" t="str">
        <f>+VLOOKUP(Sites_per_tag[[#This Row],[Activity_tag]],Parameter!$A$24:$B$32,2,0)</f>
        <v>PREV</v>
      </c>
      <c r="W2394">
        <v>45.778399999999998</v>
      </c>
      <c r="X2394">
        <v>-25.246919999999999</v>
      </c>
    </row>
    <row r="2395" spans="1:24" x14ac:dyDescent="0.35">
      <c r="A2395" s="3" t="str">
        <f t="shared" si="37"/>
        <v>MG52516111071PREV</v>
      </c>
      <c r="B2395" t="s">
        <v>6211</v>
      </c>
      <c r="C2395">
        <f>+VLOOKUP(Sites_per_tag[[#This Row],[Field_office]],Parameter!$A$3:$B$11,2,0)</f>
        <v>6</v>
      </c>
      <c r="E2395" t="s">
        <v>5646</v>
      </c>
      <c r="F2395" t="s">
        <v>5647</v>
      </c>
      <c r="H2395" t="str">
        <f ca="1">PROPER(Sites_per_tag[[#This Row],[Adm2Name]])</f>
        <v>Ambovombe-Androy</v>
      </c>
      <c r="I2395" t="s">
        <v>5655</v>
      </c>
      <c r="K2395" t="s">
        <v>5682</v>
      </c>
      <c r="L2395" t="s">
        <v>6099</v>
      </c>
      <c r="N2395" t="s">
        <v>6262</v>
      </c>
      <c r="Q2395" t="s">
        <v>3226</v>
      </c>
      <c r="R2395" t="s">
        <v>3228</v>
      </c>
      <c r="T2395" t="s">
        <v>32</v>
      </c>
      <c r="U2395" s="3" t="str">
        <f>+VLOOKUP(Sites_per_tag[[#This Row],[Activity_tag]],Parameter!$A$24:$B$32,2,0)</f>
        <v>PREV</v>
      </c>
      <c r="W2395">
        <v>45.802199999999999</v>
      </c>
      <c r="X2395">
        <v>-25.191669999999998</v>
      </c>
    </row>
    <row r="2396" spans="1:24" x14ac:dyDescent="0.35">
      <c r="A2396" s="3" t="str">
        <f t="shared" si="37"/>
        <v>MG52516111078001MAM</v>
      </c>
      <c r="B2396" t="s">
        <v>6211</v>
      </c>
      <c r="C2396">
        <f>+VLOOKUP(Sites_per_tag[[#This Row],[Field_office]],Parameter!$A$3:$B$11,2,0)</f>
        <v>6</v>
      </c>
      <c r="E2396" t="s">
        <v>5646</v>
      </c>
      <c r="F2396" t="s">
        <v>5647</v>
      </c>
      <c r="H2396" t="str">
        <f ca="1">PROPER(Sites_per_tag[[#This Row],[Adm2Name]])</f>
        <v>Ambovombe-Androy</v>
      </c>
      <c r="I2396" t="s">
        <v>5655</v>
      </c>
      <c r="K2396" t="s">
        <v>5682</v>
      </c>
      <c r="L2396" t="s">
        <v>6099</v>
      </c>
      <c r="N2396" t="s">
        <v>3469</v>
      </c>
      <c r="O2396" t="s">
        <v>5447</v>
      </c>
      <c r="Q2396" t="s">
        <v>3469</v>
      </c>
      <c r="R2396" t="s">
        <v>3470</v>
      </c>
      <c r="T2396" t="s">
        <v>5</v>
      </c>
      <c r="U2396" s="3" t="str">
        <f>+VLOOKUP(Sites_per_tag[[#This Row],[Activity_tag]],Parameter!$A$24:$B$32,2,0)</f>
        <v>MAM</v>
      </c>
      <c r="W2396">
        <v>45.729370000000003</v>
      </c>
      <c r="X2396">
        <v>-25.233370000000001</v>
      </c>
    </row>
    <row r="2397" spans="1:24" x14ac:dyDescent="0.35">
      <c r="A2397" s="3" t="str">
        <f t="shared" si="37"/>
        <v>MG52516111089001MAM</v>
      </c>
      <c r="B2397" t="s">
        <v>6211</v>
      </c>
      <c r="C2397">
        <f>+VLOOKUP(Sites_per_tag[[#This Row],[Field_office]],Parameter!$A$3:$B$11,2,0)</f>
        <v>6</v>
      </c>
      <c r="E2397" t="s">
        <v>5646</v>
      </c>
      <c r="F2397" t="s">
        <v>5647</v>
      </c>
      <c r="H2397" t="str">
        <f ca="1">PROPER(Sites_per_tag[[#This Row],[Adm2Name]])</f>
        <v>Ambovombe-Androy</v>
      </c>
      <c r="I2397" t="s">
        <v>5655</v>
      </c>
      <c r="K2397" t="s">
        <v>5682</v>
      </c>
      <c r="L2397" t="s">
        <v>6099</v>
      </c>
      <c r="N2397" t="s">
        <v>3644</v>
      </c>
      <c r="O2397" t="s">
        <v>5427</v>
      </c>
      <c r="Q2397" t="s">
        <v>3644</v>
      </c>
      <c r="R2397" t="s">
        <v>3646</v>
      </c>
      <c r="T2397" t="s">
        <v>5</v>
      </c>
      <c r="U2397" s="3" t="str">
        <f>+VLOOKUP(Sites_per_tag[[#This Row],[Activity_tag]],Parameter!$A$24:$B$32,2,0)</f>
        <v>MAM</v>
      </c>
      <c r="W2397">
        <v>45.819420000000001</v>
      </c>
      <c r="X2397">
        <v>-25.136649999999999</v>
      </c>
    </row>
    <row r="2398" spans="1:24" x14ac:dyDescent="0.35">
      <c r="A2398" s="3" t="str">
        <f t="shared" si="37"/>
        <v>MG52516111134001MAM</v>
      </c>
      <c r="B2398" t="s">
        <v>6211</v>
      </c>
      <c r="C2398">
        <f>+VLOOKUP(Sites_per_tag[[#This Row],[Field_office]],Parameter!$A$3:$B$11,2,0)</f>
        <v>6</v>
      </c>
      <c r="E2398" t="s">
        <v>5646</v>
      </c>
      <c r="F2398" t="s">
        <v>5647</v>
      </c>
      <c r="H2398" t="str">
        <f ca="1">PROPER(Sites_per_tag[[#This Row],[Adm2Name]])</f>
        <v>Ambovombe-Androy</v>
      </c>
      <c r="I2398" t="s">
        <v>5655</v>
      </c>
      <c r="K2398" t="s">
        <v>5682</v>
      </c>
      <c r="L2398" t="s">
        <v>6099</v>
      </c>
      <c r="N2398" t="s">
        <v>3786</v>
      </c>
      <c r="O2398" t="s">
        <v>5428</v>
      </c>
      <c r="Q2398" t="s">
        <v>3786</v>
      </c>
      <c r="R2398" t="s">
        <v>3787</v>
      </c>
      <c r="T2398" t="s">
        <v>5</v>
      </c>
      <c r="U2398" s="3" t="str">
        <f>+VLOOKUP(Sites_per_tag[[#This Row],[Activity_tag]],Parameter!$A$24:$B$32,2,0)</f>
        <v>MAM</v>
      </c>
      <c r="W2398">
        <v>45.80048</v>
      </c>
      <c r="X2398">
        <v>-25.19115</v>
      </c>
    </row>
    <row r="2399" spans="1:24" x14ac:dyDescent="0.35">
      <c r="A2399" s="3" t="str">
        <f t="shared" si="37"/>
        <v>MG52516112003001MAM</v>
      </c>
      <c r="B2399" t="s">
        <v>6211</v>
      </c>
      <c r="C2399">
        <f>+VLOOKUP(Sites_per_tag[[#This Row],[Field_office]],Parameter!$A$3:$B$11,2,0)</f>
        <v>6</v>
      </c>
      <c r="E2399" t="s">
        <v>5646</v>
      </c>
      <c r="F2399" t="s">
        <v>5647</v>
      </c>
      <c r="H2399" t="str">
        <f ca="1">PROPER(Sites_per_tag[[#This Row],[Adm2Name]])</f>
        <v>Ambovombe-Androy</v>
      </c>
      <c r="I2399" t="s">
        <v>5655</v>
      </c>
      <c r="K2399" t="s">
        <v>6258</v>
      </c>
      <c r="L2399" t="s">
        <v>6054</v>
      </c>
      <c r="N2399" t="s">
        <v>5337</v>
      </c>
      <c r="O2399" t="s">
        <v>5336</v>
      </c>
      <c r="Q2399" t="s">
        <v>3250</v>
      </c>
      <c r="R2399" t="s">
        <v>3251</v>
      </c>
      <c r="T2399" t="s">
        <v>5</v>
      </c>
      <c r="U2399" s="3" t="str">
        <f>+VLOOKUP(Sites_per_tag[[#This Row],[Activity_tag]],Parameter!$A$24:$B$32,2,0)</f>
        <v>MAM</v>
      </c>
      <c r="W2399">
        <v>45.68468</v>
      </c>
      <c r="X2399">
        <v>-25.101420000000001</v>
      </c>
    </row>
    <row r="2400" spans="1:24" x14ac:dyDescent="0.35">
      <c r="A2400" s="3" t="str">
        <f t="shared" si="37"/>
        <v>MG52516112009001MAM</v>
      </c>
      <c r="B2400" t="s">
        <v>6211</v>
      </c>
      <c r="C2400">
        <f>+VLOOKUP(Sites_per_tag[[#This Row],[Field_office]],Parameter!$A$3:$B$11,2,0)</f>
        <v>6</v>
      </c>
      <c r="E2400" t="s">
        <v>5646</v>
      </c>
      <c r="F2400" t="s">
        <v>5647</v>
      </c>
      <c r="H2400" t="str">
        <f ca="1">PROPER(Sites_per_tag[[#This Row],[Adm2Name]])</f>
        <v>Ambovombe-Androy</v>
      </c>
      <c r="I2400" t="s">
        <v>5655</v>
      </c>
      <c r="K2400" t="s">
        <v>6258</v>
      </c>
      <c r="L2400" t="s">
        <v>6054</v>
      </c>
      <c r="N2400" t="s">
        <v>5339</v>
      </c>
      <c r="O2400" t="s">
        <v>5338</v>
      </c>
      <c r="Q2400" t="s">
        <v>3153</v>
      </c>
      <c r="R2400" t="s">
        <v>3154</v>
      </c>
      <c r="T2400" t="s">
        <v>5</v>
      </c>
      <c r="U2400" s="3" t="str">
        <f>+VLOOKUP(Sites_per_tag[[#This Row],[Activity_tag]],Parameter!$A$24:$B$32,2,0)</f>
        <v>MAM</v>
      </c>
      <c r="W2400">
        <v>45.677430000000001</v>
      </c>
      <c r="X2400">
        <v>-25.167770000000001</v>
      </c>
    </row>
    <row r="2401" spans="1:24" x14ac:dyDescent="0.35">
      <c r="A2401" s="3" t="str">
        <f t="shared" si="37"/>
        <v>MG52516112076001MAM</v>
      </c>
      <c r="B2401" t="s">
        <v>6211</v>
      </c>
      <c r="C2401">
        <f>+VLOOKUP(Sites_per_tag[[#This Row],[Field_office]],Parameter!$A$3:$B$11,2,0)</f>
        <v>6</v>
      </c>
      <c r="E2401" t="s">
        <v>5646</v>
      </c>
      <c r="F2401" t="s">
        <v>5647</v>
      </c>
      <c r="H2401" t="str">
        <f ca="1">PROPER(Sites_per_tag[[#This Row],[Adm2Name]])</f>
        <v>Ambovombe-Androy</v>
      </c>
      <c r="I2401" t="s">
        <v>5655</v>
      </c>
      <c r="K2401" t="s">
        <v>6258</v>
      </c>
      <c r="L2401" t="s">
        <v>6054</v>
      </c>
      <c r="N2401" t="s">
        <v>3104</v>
      </c>
      <c r="O2401" t="s">
        <v>5340</v>
      </c>
      <c r="Q2401" t="s">
        <v>3104</v>
      </c>
      <c r="R2401" t="s">
        <v>3105</v>
      </c>
      <c r="T2401" t="s">
        <v>5</v>
      </c>
      <c r="U2401" s="3" t="str">
        <f>+VLOOKUP(Sites_per_tag[[#This Row],[Activity_tag]],Parameter!$A$24:$B$32,2,0)</f>
        <v>MAM</v>
      </c>
      <c r="W2401">
        <v>45.697200000000002</v>
      </c>
      <c r="X2401">
        <v>-25.122420000000002</v>
      </c>
    </row>
    <row r="2402" spans="1:24" x14ac:dyDescent="0.35">
      <c r="A2402" s="3" t="str">
        <f t="shared" si="37"/>
        <v>MG52516112077001MAM</v>
      </c>
      <c r="B2402" t="s">
        <v>6211</v>
      </c>
      <c r="C2402">
        <f>+VLOOKUP(Sites_per_tag[[#This Row],[Field_office]],Parameter!$A$3:$B$11,2,0)</f>
        <v>6</v>
      </c>
      <c r="E2402" t="s">
        <v>5646</v>
      </c>
      <c r="F2402" t="s">
        <v>5647</v>
      </c>
      <c r="H2402" t="str">
        <f ca="1">PROPER(Sites_per_tag[[#This Row],[Adm2Name]])</f>
        <v>Ambovombe-Androy</v>
      </c>
      <c r="I2402" t="s">
        <v>5655</v>
      </c>
      <c r="K2402" t="s">
        <v>6258</v>
      </c>
      <c r="L2402" t="s">
        <v>6054</v>
      </c>
      <c r="N2402" t="s">
        <v>3106</v>
      </c>
      <c r="O2402" t="s">
        <v>5341</v>
      </c>
      <c r="Q2402" t="s">
        <v>3106</v>
      </c>
      <c r="R2402" t="s">
        <v>3107</v>
      </c>
      <c r="T2402" t="s">
        <v>5</v>
      </c>
      <c r="U2402" s="3" t="str">
        <f>+VLOOKUP(Sites_per_tag[[#This Row],[Activity_tag]],Parameter!$A$24:$B$32,2,0)</f>
        <v>MAM</v>
      </c>
      <c r="W2402">
        <v>45.627079999999999</v>
      </c>
      <c r="X2402">
        <v>-25.123799999999999</v>
      </c>
    </row>
    <row r="2403" spans="1:24" x14ac:dyDescent="0.35">
      <c r="A2403" s="3" t="str">
        <f t="shared" si="37"/>
        <v>MG52516112078001MAM</v>
      </c>
      <c r="B2403" t="s">
        <v>6211</v>
      </c>
      <c r="C2403">
        <f>+VLOOKUP(Sites_per_tag[[#This Row],[Field_office]],Parameter!$A$3:$B$11,2,0)</f>
        <v>6</v>
      </c>
      <c r="E2403" t="s">
        <v>5646</v>
      </c>
      <c r="F2403" t="s">
        <v>5647</v>
      </c>
      <c r="H2403" t="str">
        <f ca="1">PROPER(Sites_per_tag[[#This Row],[Adm2Name]])</f>
        <v>Ambovombe-Androy</v>
      </c>
      <c r="I2403" t="s">
        <v>5655</v>
      </c>
      <c r="K2403" t="s">
        <v>6258</v>
      </c>
      <c r="L2403" t="s">
        <v>6054</v>
      </c>
      <c r="N2403" t="s">
        <v>3190</v>
      </c>
      <c r="O2403" t="s">
        <v>5342</v>
      </c>
      <c r="Q2403" t="s">
        <v>3190</v>
      </c>
      <c r="R2403" t="s">
        <v>3191</v>
      </c>
      <c r="T2403" t="s">
        <v>5</v>
      </c>
      <c r="U2403" s="3" t="str">
        <f>+VLOOKUP(Sites_per_tag[[#This Row],[Activity_tag]],Parameter!$A$24:$B$32,2,0)</f>
        <v>MAM</v>
      </c>
      <c r="W2403">
        <v>45.686680000000003</v>
      </c>
      <c r="X2403">
        <v>-25.133700000000001</v>
      </c>
    </row>
    <row r="2404" spans="1:24" x14ac:dyDescent="0.35">
      <c r="A2404" s="3" t="str">
        <f t="shared" si="37"/>
        <v>MG52516130001001STUNT</v>
      </c>
      <c r="B2404" t="s">
        <v>6211</v>
      </c>
      <c r="C2404">
        <f>+VLOOKUP(Sites_per_tag[[#This Row],[Field_office]],Parameter!$A$3:$B$11,2,0)</f>
        <v>6</v>
      </c>
      <c r="E2404" t="s">
        <v>5646</v>
      </c>
      <c r="F2404" t="s">
        <v>5647</v>
      </c>
      <c r="H2404" t="str">
        <f ca="1">PROPER(Sites_per_tag[[#This Row],[Adm2Name]])</f>
        <v>Antanimora Atsimo</v>
      </c>
      <c r="I2404" t="s">
        <v>5664</v>
      </c>
      <c r="K2404" t="s">
        <v>5786</v>
      </c>
      <c r="L2404" t="s">
        <v>5856</v>
      </c>
      <c r="N2404" t="s">
        <v>1509</v>
      </c>
      <c r="O2404" t="s">
        <v>1510</v>
      </c>
      <c r="Q2404" t="s">
        <v>1509</v>
      </c>
      <c r="R2404" t="s">
        <v>1511</v>
      </c>
      <c r="T2404" t="s">
        <v>50</v>
      </c>
      <c r="U2404" s="3" t="str">
        <f>+VLOOKUP(Sites_per_tag[[#This Row],[Activity_tag]],Parameter!$A$24:$B$32,2,0)</f>
        <v>STUNT</v>
      </c>
      <c r="V2404" t="s">
        <v>6526</v>
      </c>
      <c r="W2404">
        <v>45.697468000000001</v>
      </c>
      <c r="X2404">
        <v>-24.853417</v>
      </c>
    </row>
    <row r="2405" spans="1:24" x14ac:dyDescent="0.35">
      <c r="A2405" s="3" t="str">
        <f t="shared" si="37"/>
        <v>MG52516130001PREV</v>
      </c>
      <c r="B2405" t="s">
        <v>6211</v>
      </c>
      <c r="C2405">
        <f>+VLOOKUP(Sites_per_tag[[#This Row],[Field_office]],Parameter!$A$3:$B$11,2,0)</f>
        <v>6</v>
      </c>
      <c r="E2405" t="s">
        <v>5646</v>
      </c>
      <c r="F2405" t="s">
        <v>5647</v>
      </c>
      <c r="H2405" t="str">
        <f ca="1">PROPER(Sites_per_tag[[#This Row],[Adm2Name]])</f>
        <v>Antanimora Atsimo</v>
      </c>
      <c r="I2405" t="s">
        <v>5664</v>
      </c>
      <c r="K2405" t="s">
        <v>5786</v>
      </c>
      <c r="L2405" t="s">
        <v>5856</v>
      </c>
      <c r="N2405" t="s">
        <v>6242</v>
      </c>
      <c r="Q2405" t="s">
        <v>1509</v>
      </c>
      <c r="R2405" t="s">
        <v>1510</v>
      </c>
      <c r="T2405" t="s">
        <v>32</v>
      </c>
      <c r="U2405" s="3" t="str">
        <f>+VLOOKUP(Sites_per_tag[[#This Row],[Activity_tag]],Parameter!$A$24:$B$32,2,0)</f>
        <v>PREV</v>
      </c>
      <c r="W2405">
        <v>45.65842</v>
      </c>
      <c r="X2405">
        <v>-24.817499999999999</v>
      </c>
    </row>
    <row r="2406" spans="1:24" x14ac:dyDescent="0.35">
      <c r="A2406" s="3" t="str">
        <f t="shared" si="37"/>
        <v>MG52516130017012STUNT</v>
      </c>
      <c r="B2406" t="s">
        <v>6211</v>
      </c>
      <c r="C2406">
        <f>+VLOOKUP(Sites_per_tag[[#This Row],[Field_office]],Parameter!$A$3:$B$11,2,0)</f>
        <v>6</v>
      </c>
      <c r="E2406" t="s">
        <v>5646</v>
      </c>
      <c r="F2406" t="s">
        <v>5647</v>
      </c>
      <c r="H2406" t="str">
        <f ca="1">PROPER(Sites_per_tag[[#This Row],[Adm2Name]])</f>
        <v>Antanimora Atsimo</v>
      </c>
      <c r="I2406" t="s">
        <v>5664</v>
      </c>
      <c r="K2406" t="s">
        <v>5786</v>
      </c>
      <c r="L2406" t="s">
        <v>5856</v>
      </c>
      <c r="N2406" t="s">
        <v>3972</v>
      </c>
      <c r="O2406" t="s">
        <v>3973</v>
      </c>
      <c r="Q2406" t="s">
        <v>3972</v>
      </c>
      <c r="R2406" t="s">
        <v>3974</v>
      </c>
      <c r="T2406" t="s">
        <v>50</v>
      </c>
      <c r="U2406" s="3" t="str">
        <f>+VLOOKUP(Sites_per_tag[[#This Row],[Activity_tag]],Parameter!$A$24:$B$32,2,0)</f>
        <v>STUNT</v>
      </c>
      <c r="V2406" t="s">
        <v>6527</v>
      </c>
      <c r="W2406">
        <v>45.823103000000003</v>
      </c>
      <c r="X2406">
        <v>-24.709220999999999</v>
      </c>
    </row>
    <row r="2407" spans="1:24" x14ac:dyDescent="0.35">
      <c r="A2407" s="3" t="str">
        <f t="shared" si="37"/>
        <v>MG52516130017PREV</v>
      </c>
      <c r="B2407" t="s">
        <v>6211</v>
      </c>
      <c r="C2407">
        <f>+VLOOKUP(Sites_per_tag[[#This Row],[Field_office]],Parameter!$A$3:$B$11,2,0)</f>
        <v>6</v>
      </c>
      <c r="E2407" t="s">
        <v>5646</v>
      </c>
      <c r="F2407" t="s">
        <v>5647</v>
      </c>
      <c r="H2407" t="str">
        <f ca="1">PROPER(Sites_per_tag[[#This Row],[Adm2Name]])</f>
        <v>Antanimora Atsimo</v>
      </c>
      <c r="I2407" t="s">
        <v>5664</v>
      </c>
      <c r="K2407" t="s">
        <v>5786</v>
      </c>
      <c r="L2407" t="s">
        <v>5856</v>
      </c>
      <c r="N2407" t="s">
        <v>6244</v>
      </c>
      <c r="Q2407" t="s">
        <v>3972</v>
      </c>
      <c r="R2407" t="s">
        <v>3973</v>
      </c>
      <c r="T2407" t="s">
        <v>32</v>
      </c>
      <c r="U2407" s="3" t="str">
        <f>+VLOOKUP(Sites_per_tag[[#This Row],[Activity_tag]],Parameter!$A$24:$B$32,2,0)</f>
        <v>PREV</v>
      </c>
      <c r="W2407">
        <v>45.884729999999998</v>
      </c>
      <c r="X2407">
        <v>-24.692630000000001</v>
      </c>
    </row>
    <row r="2408" spans="1:24" x14ac:dyDescent="0.35">
      <c r="A2408" s="3" t="str">
        <f t="shared" si="37"/>
        <v>MG52516130020024STUNT</v>
      </c>
      <c r="B2408" t="s">
        <v>6211</v>
      </c>
      <c r="C2408">
        <f>+VLOOKUP(Sites_per_tag[[#This Row],[Field_office]],Parameter!$A$3:$B$11,2,0)</f>
        <v>6</v>
      </c>
      <c r="E2408" t="s">
        <v>5646</v>
      </c>
      <c r="F2408" t="s">
        <v>5647</v>
      </c>
      <c r="H2408" t="str">
        <f ca="1">PROPER(Sites_per_tag[[#This Row],[Adm2Name]])</f>
        <v>Antanimora Atsimo</v>
      </c>
      <c r="I2408" t="s">
        <v>5664</v>
      </c>
      <c r="K2408" t="s">
        <v>5786</v>
      </c>
      <c r="L2408" t="s">
        <v>5856</v>
      </c>
      <c r="N2408" t="s">
        <v>654</v>
      </c>
      <c r="O2408" t="s">
        <v>4083</v>
      </c>
      <c r="Q2408" t="s">
        <v>654</v>
      </c>
      <c r="R2408" t="s">
        <v>655</v>
      </c>
      <c r="T2408" t="s">
        <v>50</v>
      </c>
      <c r="U2408" s="3" t="str">
        <f>+VLOOKUP(Sites_per_tag[[#This Row],[Activity_tag]],Parameter!$A$24:$B$32,2,0)</f>
        <v>STUNT</v>
      </c>
      <c r="V2408" t="s">
        <v>6528</v>
      </c>
      <c r="W2408">
        <v>45.834524999999999</v>
      </c>
      <c r="X2408">
        <v>-24.777750000000001</v>
      </c>
    </row>
    <row r="2409" spans="1:24" x14ac:dyDescent="0.35">
      <c r="A2409" s="3" t="str">
        <f t="shared" si="37"/>
        <v>MG52516130021PREV</v>
      </c>
      <c r="B2409" t="s">
        <v>6211</v>
      </c>
      <c r="C2409">
        <f>+VLOOKUP(Sites_per_tag[[#This Row],[Field_office]],Parameter!$A$3:$B$11,2,0)</f>
        <v>6</v>
      </c>
      <c r="E2409" t="s">
        <v>5646</v>
      </c>
      <c r="F2409" t="s">
        <v>5647</v>
      </c>
      <c r="H2409" t="str">
        <f ca="1">PROPER(Sites_per_tag[[#This Row],[Adm2Name]])</f>
        <v>Antanimora Atsimo</v>
      </c>
      <c r="I2409" t="s">
        <v>5664</v>
      </c>
      <c r="K2409" t="s">
        <v>5786</v>
      </c>
      <c r="L2409" t="s">
        <v>5856</v>
      </c>
      <c r="N2409" t="s">
        <v>4182</v>
      </c>
      <c r="Q2409" t="s">
        <v>651</v>
      </c>
      <c r="R2409" t="s">
        <v>652</v>
      </c>
      <c r="T2409" t="s">
        <v>32</v>
      </c>
      <c r="U2409" s="3" t="str">
        <f>+VLOOKUP(Sites_per_tag[[#This Row],[Activity_tag]],Parameter!$A$24:$B$32,2,0)</f>
        <v>PREV</v>
      </c>
      <c r="W2409">
        <v>45.85022</v>
      </c>
      <c r="X2409">
        <v>-24.793199999999999</v>
      </c>
    </row>
    <row r="2410" spans="1:24" x14ac:dyDescent="0.35">
      <c r="A2410" s="3" t="str">
        <f t="shared" si="37"/>
        <v>MG52516130024PREV</v>
      </c>
      <c r="B2410" t="s">
        <v>6211</v>
      </c>
      <c r="C2410">
        <f>+VLOOKUP(Sites_per_tag[[#This Row],[Field_office]],Parameter!$A$3:$B$11,2,0)</f>
        <v>6</v>
      </c>
      <c r="E2410" t="s">
        <v>5646</v>
      </c>
      <c r="F2410" t="s">
        <v>5647</v>
      </c>
      <c r="H2410" t="str">
        <f ca="1">PROPER(Sites_per_tag[[#This Row],[Adm2Name]])</f>
        <v>Antanimora Atsimo</v>
      </c>
      <c r="I2410" t="s">
        <v>5664</v>
      </c>
      <c r="K2410" t="s">
        <v>5786</v>
      </c>
      <c r="L2410" t="s">
        <v>5856</v>
      </c>
      <c r="N2410" t="s">
        <v>4181</v>
      </c>
      <c r="Q2410" t="s">
        <v>2128</v>
      </c>
      <c r="R2410" t="s">
        <v>2129</v>
      </c>
      <c r="T2410" t="s">
        <v>32</v>
      </c>
      <c r="U2410" s="3" t="str">
        <f>+VLOOKUP(Sites_per_tag[[#This Row],[Activity_tag]],Parameter!$A$24:$B$32,2,0)</f>
        <v>PREV</v>
      </c>
      <c r="W2410">
        <v>45.767580000000002</v>
      </c>
      <c r="X2410">
        <v>-24.763929999999998</v>
      </c>
    </row>
    <row r="2411" spans="1:24" x14ac:dyDescent="0.35">
      <c r="A2411" s="3" t="str">
        <f t="shared" si="37"/>
        <v>MG52516130026PREV</v>
      </c>
      <c r="B2411" t="s">
        <v>6211</v>
      </c>
      <c r="C2411">
        <f>+VLOOKUP(Sites_per_tag[[#This Row],[Field_office]],Parameter!$A$3:$B$11,2,0)</f>
        <v>6</v>
      </c>
      <c r="E2411" t="s">
        <v>5646</v>
      </c>
      <c r="F2411" t="s">
        <v>5647</v>
      </c>
      <c r="H2411" t="str">
        <f ca="1">PROPER(Sites_per_tag[[#This Row],[Adm2Name]])</f>
        <v>Antanimora Atsimo</v>
      </c>
      <c r="I2411" t="s">
        <v>5664</v>
      </c>
      <c r="K2411" t="s">
        <v>5786</v>
      </c>
      <c r="L2411" t="s">
        <v>5856</v>
      </c>
      <c r="N2411" t="s">
        <v>4180</v>
      </c>
      <c r="Q2411" t="s">
        <v>2583</v>
      </c>
      <c r="R2411" t="s">
        <v>2584</v>
      </c>
      <c r="T2411" t="s">
        <v>32</v>
      </c>
      <c r="U2411" s="3" t="str">
        <f>+VLOOKUP(Sites_per_tag[[#This Row],[Activity_tag]],Parameter!$A$24:$B$32,2,0)</f>
        <v>PREV</v>
      </c>
      <c r="W2411">
        <v>45.732900000000001</v>
      </c>
      <c r="X2411">
        <v>-24.743020000000001</v>
      </c>
    </row>
    <row r="2412" spans="1:24" x14ac:dyDescent="0.35">
      <c r="A2412" s="3" t="str">
        <f t="shared" si="37"/>
        <v>MG52516130033053STUNT</v>
      </c>
      <c r="B2412" t="s">
        <v>6211</v>
      </c>
      <c r="C2412">
        <f>+VLOOKUP(Sites_per_tag[[#This Row],[Field_office]],Parameter!$A$3:$B$11,2,0)</f>
        <v>6</v>
      </c>
      <c r="E2412" t="s">
        <v>5646</v>
      </c>
      <c r="F2412" t="s">
        <v>5647</v>
      </c>
      <c r="H2412" t="str">
        <f ca="1">PROPER(Sites_per_tag[[#This Row],[Adm2Name]])</f>
        <v>Antanimora Atsimo</v>
      </c>
      <c r="I2412" t="s">
        <v>5664</v>
      </c>
      <c r="K2412" t="s">
        <v>5786</v>
      </c>
      <c r="L2412" t="s">
        <v>5856</v>
      </c>
      <c r="N2412" t="s">
        <v>2862</v>
      </c>
      <c r="O2412" t="s">
        <v>2863</v>
      </c>
      <c r="Q2412" t="s">
        <v>2862</v>
      </c>
      <c r="R2412" t="s">
        <v>2864</v>
      </c>
      <c r="T2412" t="s">
        <v>50</v>
      </c>
      <c r="U2412" s="3" t="str">
        <f>+VLOOKUP(Sites_per_tag[[#This Row],[Activity_tag]],Parameter!$A$24:$B$32,2,0)</f>
        <v>STUNT</v>
      </c>
      <c r="V2412" t="s">
        <v>6529</v>
      </c>
      <c r="W2412">
        <v>45.742440000000002</v>
      </c>
      <c r="X2412">
        <v>-24.977625</v>
      </c>
    </row>
    <row r="2413" spans="1:24" x14ac:dyDescent="0.35">
      <c r="A2413" s="3" t="str">
        <f t="shared" si="37"/>
        <v>MG52516130033PREV</v>
      </c>
      <c r="B2413" t="s">
        <v>6211</v>
      </c>
      <c r="C2413">
        <f>+VLOOKUP(Sites_per_tag[[#This Row],[Field_office]],Parameter!$A$3:$B$11,2,0)</f>
        <v>6</v>
      </c>
      <c r="E2413" t="s">
        <v>5646</v>
      </c>
      <c r="F2413" t="s">
        <v>5647</v>
      </c>
      <c r="H2413" t="str">
        <f ca="1">PROPER(Sites_per_tag[[#This Row],[Adm2Name]])</f>
        <v>Antanimora Atsimo</v>
      </c>
      <c r="I2413" t="s">
        <v>5664</v>
      </c>
      <c r="K2413" t="s">
        <v>5786</v>
      </c>
      <c r="L2413" t="s">
        <v>5856</v>
      </c>
      <c r="N2413" t="s">
        <v>6243</v>
      </c>
      <c r="Q2413" t="s">
        <v>2862</v>
      </c>
      <c r="R2413" t="s">
        <v>2863</v>
      </c>
      <c r="T2413" t="s">
        <v>32</v>
      </c>
      <c r="U2413" s="3" t="str">
        <f>+VLOOKUP(Sites_per_tag[[#This Row],[Activity_tag]],Parameter!$A$24:$B$32,2,0)</f>
        <v>PREV</v>
      </c>
      <c r="W2413">
        <v>45.762030000000003</v>
      </c>
      <c r="X2413">
        <v>-24.94848</v>
      </c>
    </row>
    <row r="2414" spans="1:24" x14ac:dyDescent="0.35">
      <c r="A2414" s="3" t="str">
        <f t="shared" si="37"/>
        <v>MG52516130039031STUNT</v>
      </c>
      <c r="B2414" t="s">
        <v>6211</v>
      </c>
      <c r="C2414">
        <f>+VLOOKUP(Sites_per_tag[[#This Row],[Field_office]],Parameter!$A$3:$B$11,2,0)</f>
        <v>6</v>
      </c>
      <c r="E2414" t="s">
        <v>5646</v>
      </c>
      <c r="F2414" t="s">
        <v>5647</v>
      </c>
      <c r="H2414" t="str">
        <f ca="1">PROPER(Sites_per_tag[[#This Row],[Adm2Name]])</f>
        <v>Antanimora Atsimo</v>
      </c>
      <c r="I2414" t="s">
        <v>5664</v>
      </c>
      <c r="K2414" t="s">
        <v>5786</v>
      </c>
      <c r="L2414" t="s">
        <v>5856</v>
      </c>
      <c r="N2414" t="s">
        <v>170</v>
      </c>
      <c r="O2414" t="s">
        <v>174</v>
      </c>
      <c r="Q2414" t="s">
        <v>170</v>
      </c>
      <c r="R2414" t="s">
        <v>172</v>
      </c>
      <c r="T2414" t="s">
        <v>50</v>
      </c>
      <c r="U2414" s="3" t="str">
        <f>+VLOOKUP(Sites_per_tag[[#This Row],[Activity_tag]],Parameter!$A$24:$B$32,2,0)</f>
        <v>STUNT</v>
      </c>
      <c r="V2414" t="s">
        <v>6530</v>
      </c>
      <c r="W2414">
        <v>45.68676</v>
      </c>
      <c r="X2414">
        <v>-25.038301000000001</v>
      </c>
    </row>
    <row r="2415" spans="1:24" x14ac:dyDescent="0.35">
      <c r="A2415" s="3" t="str">
        <f t="shared" si="37"/>
        <v>MG52516130039PREV</v>
      </c>
      <c r="B2415" t="s">
        <v>6211</v>
      </c>
      <c r="C2415">
        <f>+VLOOKUP(Sites_per_tag[[#This Row],[Field_office]],Parameter!$A$3:$B$11,2,0)</f>
        <v>6</v>
      </c>
      <c r="E2415" t="s">
        <v>5646</v>
      </c>
      <c r="F2415" t="s">
        <v>5647</v>
      </c>
      <c r="H2415" t="str">
        <f ca="1">PROPER(Sites_per_tag[[#This Row],[Adm2Name]])</f>
        <v>Antanimora Atsimo</v>
      </c>
      <c r="I2415" t="s">
        <v>5664</v>
      </c>
      <c r="K2415" t="s">
        <v>5786</v>
      </c>
      <c r="L2415" t="s">
        <v>5856</v>
      </c>
      <c r="N2415" t="s">
        <v>4179</v>
      </c>
      <c r="Q2415" t="s">
        <v>173</v>
      </c>
      <c r="R2415" t="s">
        <v>174</v>
      </c>
      <c r="T2415" t="s">
        <v>32</v>
      </c>
      <c r="U2415" s="3" t="str">
        <f>+VLOOKUP(Sites_per_tag[[#This Row],[Activity_tag]],Parameter!$A$24:$B$32,2,0)</f>
        <v>PREV</v>
      </c>
      <c r="W2415">
        <v>45.697519999999997</v>
      </c>
      <c r="X2415">
        <v>-25.038900000000002</v>
      </c>
    </row>
    <row r="2416" spans="1:24" x14ac:dyDescent="0.35">
      <c r="A2416" s="3" t="str">
        <f t="shared" si="37"/>
        <v>MG52516130042PREV</v>
      </c>
      <c r="B2416" t="s">
        <v>6211</v>
      </c>
      <c r="C2416">
        <f>+VLOOKUP(Sites_per_tag[[#This Row],[Field_office]],Parameter!$A$3:$B$11,2,0)</f>
        <v>6</v>
      </c>
      <c r="E2416" t="s">
        <v>5646</v>
      </c>
      <c r="F2416" t="s">
        <v>5647</v>
      </c>
      <c r="H2416" t="str">
        <f ca="1">PROPER(Sites_per_tag[[#This Row],[Adm2Name]])</f>
        <v>Antanimora Atsimo</v>
      </c>
      <c r="I2416" t="s">
        <v>5664</v>
      </c>
      <c r="K2416" t="s">
        <v>5786</v>
      </c>
      <c r="L2416" t="s">
        <v>5856</v>
      </c>
      <c r="N2416" t="s">
        <v>6531</v>
      </c>
      <c r="Q2416" t="s">
        <v>3266</v>
      </c>
      <c r="R2416" t="s">
        <v>3267</v>
      </c>
      <c r="T2416" t="s">
        <v>32</v>
      </c>
      <c r="U2416" s="3" t="str">
        <f>+VLOOKUP(Sites_per_tag[[#This Row],[Activity_tag]],Parameter!$A$24:$B$32,2,0)</f>
        <v>PREV</v>
      </c>
      <c r="W2416">
        <v>45.167630000000003</v>
      </c>
      <c r="X2416">
        <v>-24.781680000000001</v>
      </c>
    </row>
    <row r="2417" spans="1:24" x14ac:dyDescent="0.35">
      <c r="A2417" s="3" t="str">
        <f t="shared" si="37"/>
        <v>MG52516130056001MAM</v>
      </c>
      <c r="B2417" t="s">
        <v>6211</v>
      </c>
      <c r="C2417">
        <f>+VLOOKUP(Sites_per_tag[[#This Row],[Field_office]],Parameter!$A$3:$B$11,2,0)</f>
        <v>6</v>
      </c>
      <c r="E2417" t="s">
        <v>5646</v>
      </c>
      <c r="F2417" t="s">
        <v>5647</v>
      </c>
      <c r="H2417" t="str">
        <f ca="1">PROPER(Sites_per_tag[[#This Row],[Adm2Name]])</f>
        <v>Ambovombe-Androy</v>
      </c>
      <c r="I2417" t="s">
        <v>5655</v>
      </c>
      <c r="K2417" t="s">
        <v>773</v>
      </c>
      <c r="L2417" t="s">
        <v>5795</v>
      </c>
      <c r="N2417" t="s">
        <v>303</v>
      </c>
      <c r="O2417" t="s">
        <v>4553</v>
      </c>
      <c r="Q2417" t="s">
        <v>303</v>
      </c>
      <c r="R2417" t="s">
        <v>304</v>
      </c>
      <c r="T2417" t="s">
        <v>5</v>
      </c>
      <c r="U2417" s="3" t="str">
        <f>+VLOOKUP(Sites_per_tag[[#This Row],[Activity_tag]],Parameter!$A$24:$B$32,2,0)</f>
        <v>MAM</v>
      </c>
      <c r="W2417">
        <v>45.715919999999997</v>
      </c>
      <c r="X2417">
        <v>-24.608219999999999</v>
      </c>
    </row>
    <row r="2418" spans="1:24" x14ac:dyDescent="0.35">
      <c r="A2418" s="3" t="str">
        <f t="shared" si="37"/>
        <v>MG52516130057001MAM</v>
      </c>
      <c r="B2418" t="s">
        <v>6211</v>
      </c>
      <c r="C2418">
        <f>+VLOOKUP(Sites_per_tag[[#This Row],[Field_office]],Parameter!$A$3:$B$11,2,0)</f>
        <v>6</v>
      </c>
      <c r="E2418" t="s">
        <v>5646</v>
      </c>
      <c r="F2418" t="s">
        <v>5647</v>
      </c>
      <c r="H2418" t="str">
        <f ca="1">PROPER(Sites_per_tag[[#This Row],[Adm2Name]])</f>
        <v>Ambovombe-Androy</v>
      </c>
      <c r="I2418" t="s">
        <v>5655</v>
      </c>
      <c r="K2418" t="s">
        <v>773</v>
      </c>
      <c r="L2418" t="s">
        <v>5795</v>
      </c>
      <c r="N2418" t="s">
        <v>798</v>
      </c>
      <c r="O2418" t="s">
        <v>4554</v>
      </c>
      <c r="Q2418" t="s">
        <v>798</v>
      </c>
      <c r="R2418" t="s">
        <v>799</v>
      </c>
      <c r="T2418" t="s">
        <v>5</v>
      </c>
      <c r="U2418" s="3" t="str">
        <f>+VLOOKUP(Sites_per_tag[[#This Row],[Activity_tag]],Parameter!$A$24:$B$32,2,0)</f>
        <v>MAM</v>
      </c>
      <c r="W2418">
        <v>45.728119999999997</v>
      </c>
      <c r="X2418">
        <v>-24.577100000000002</v>
      </c>
    </row>
    <row r="2419" spans="1:24" x14ac:dyDescent="0.35">
      <c r="A2419" s="3" t="str">
        <f t="shared" si="37"/>
        <v>MG52516130058001MAM</v>
      </c>
      <c r="B2419" t="s">
        <v>6211</v>
      </c>
      <c r="C2419">
        <f>+VLOOKUP(Sites_per_tag[[#This Row],[Field_office]],Parameter!$A$3:$B$11,2,0)</f>
        <v>6</v>
      </c>
      <c r="E2419" t="s">
        <v>5646</v>
      </c>
      <c r="F2419" t="s">
        <v>5647</v>
      </c>
      <c r="H2419" t="str">
        <f ca="1">PROPER(Sites_per_tag[[#This Row],[Adm2Name]])</f>
        <v>Antanimora Sud</v>
      </c>
      <c r="I2419" t="s">
        <v>5664</v>
      </c>
      <c r="K2419" t="s">
        <v>5786</v>
      </c>
      <c r="L2419" t="s">
        <v>5856</v>
      </c>
      <c r="N2419" t="s">
        <v>1213</v>
      </c>
      <c r="O2419" t="s">
        <v>4711</v>
      </c>
      <c r="Q2419" t="s">
        <v>1213</v>
      </c>
      <c r="R2419" t="s">
        <v>1214</v>
      </c>
      <c r="T2419" t="s">
        <v>5</v>
      </c>
      <c r="U2419" s="3" t="str">
        <f>+VLOOKUP(Sites_per_tag[[#This Row],[Activity_tag]],Parameter!$A$24:$B$32,2,0)</f>
        <v>MAM</v>
      </c>
      <c r="W2419">
        <v>45.681980000000003</v>
      </c>
      <c r="X2419">
        <v>-24.807849999999998</v>
      </c>
    </row>
    <row r="2420" spans="1:24" x14ac:dyDescent="0.35">
      <c r="A2420" s="3" t="str">
        <f t="shared" si="37"/>
        <v>MG52516130067013STUNT</v>
      </c>
      <c r="B2420" t="s">
        <v>6211</v>
      </c>
      <c r="C2420">
        <f>+VLOOKUP(Sites_per_tag[[#This Row],[Field_office]],Parameter!$A$3:$B$11,2,0)</f>
        <v>6</v>
      </c>
      <c r="E2420" t="s">
        <v>5646</v>
      </c>
      <c r="F2420" t="s">
        <v>5647</v>
      </c>
      <c r="H2420" t="str">
        <f ca="1">PROPER(Sites_per_tag[[#This Row],[Adm2Name]])</f>
        <v>Antanimora Atsimo</v>
      </c>
      <c r="I2420" t="s">
        <v>5664</v>
      </c>
      <c r="K2420" t="s">
        <v>5786</v>
      </c>
      <c r="L2420" t="s">
        <v>5856</v>
      </c>
      <c r="N2420" t="s">
        <v>2126</v>
      </c>
      <c r="O2420" t="s">
        <v>4084</v>
      </c>
      <c r="Q2420" t="s">
        <v>2126</v>
      </c>
      <c r="R2420" t="s">
        <v>2127</v>
      </c>
      <c r="T2420" t="s">
        <v>50</v>
      </c>
      <c r="U2420" s="3" t="str">
        <f>+VLOOKUP(Sites_per_tag[[#This Row],[Activity_tag]],Parameter!$A$24:$B$32,2,0)</f>
        <v>STUNT</v>
      </c>
      <c r="V2420" t="s">
        <v>6532</v>
      </c>
      <c r="W2420">
        <v>45.642263999999997</v>
      </c>
      <c r="X2420">
        <v>-24.930273</v>
      </c>
    </row>
    <row r="2421" spans="1:24" x14ac:dyDescent="0.35">
      <c r="A2421" s="3" t="str">
        <f t="shared" si="37"/>
        <v>MG52516130068080STUNT</v>
      </c>
      <c r="B2421" t="s">
        <v>6211</v>
      </c>
      <c r="C2421">
        <f>+VLOOKUP(Sites_per_tag[[#This Row],[Field_office]],Parameter!$A$3:$B$11,2,0)</f>
        <v>6</v>
      </c>
      <c r="E2421" t="s">
        <v>5646</v>
      </c>
      <c r="F2421" t="s">
        <v>5647</v>
      </c>
      <c r="H2421" t="str">
        <f ca="1">PROPER(Sites_per_tag[[#This Row],[Adm2Name]])</f>
        <v>Antanimora Atsimo</v>
      </c>
      <c r="I2421" t="s">
        <v>5664</v>
      </c>
      <c r="K2421" t="s">
        <v>5786</v>
      </c>
      <c r="L2421" t="s">
        <v>5856</v>
      </c>
      <c r="N2421" t="s">
        <v>3266</v>
      </c>
      <c r="O2421" t="s">
        <v>4085</v>
      </c>
      <c r="Q2421" t="s">
        <v>3266</v>
      </c>
      <c r="R2421" t="s">
        <v>3268</v>
      </c>
      <c r="T2421" t="s">
        <v>50</v>
      </c>
      <c r="U2421" s="3" t="str">
        <f>+VLOOKUP(Sites_per_tag[[#This Row],[Activity_tag]],Parameter!$A$24:$B$32,2,0)</f>
        <v>STUNT</v>
      </c>
      <c r="V2421" t="s">
        <v>6533</v>
      </c>
      <c r="W2421">
        <v>45.699966000000003</v>
      </c>
      <c r="X2421">
        <v>-24.819033999999998</v>
      </c>
    </row>
    <row r="2422" spans="1:24" x14ac:dyDescent="0.35">
      <c r="A2422" s="3" t="str">
        <f t="shared" si="37"/>
        <v>MG52516130078001MAM</v>
      </c>
      <c r="B2422" t="s">
        <v>6211</v>
      </c>
      <c r="C2422">
        <f>+VLOOKUP(Sites_per_tag[[#This Row],[Field_office]],Parameter!$A$3:$B$11,2,0)</f>
        <v>6</v>
      </c>
      <c r="E2422" t="s">
        <v>5646</v>
      </c>
      <c r="F2422" t="s">
        <v>5647</v>
      </c>
      <c r="H2422" t="str">
        <f ca="1">PROPER(Sites_per_tag[[#This Row],[Adm2Name]])</f>
        <v>Antanimora Sud</v>
      </c>
      <c r="I2422" t="s">
        <v>5664</v>
      </c>
      <c r="K2422" t="s">
        <v>5786</v>
      </c>
      <c r="L2422" t="s">
        <v>5856</v>
      </c>
      <c r="N2422" t="s">
        <v>4713</v>
      </c>
      <c r="O2422" t="s">
        <v>4712</v>
      </c>
      <c r="Q2422" t="s">
        <v>1611</v>
      </c>
      <c r="R2422" t="s">
        <v>1612</v>
      </c>
      <c r="T2422" t="s">
        <v>5</v>
      </c>
      <c r="U2422" s="3" t="str">
        <f>+VLOOKUP(Sites_per_tag[[#This Row],[Activity_tag]],Parameter!$A$24:$B$32,2,0)</f>
        <v>MAM</v>
      </c>
      <c r="W2422">
        <v>45.643979999999999</v>
      </c>
      <c r="X2422">
        <v>-24.880420000000001</v>
      </c>
    </row>
    <row r="2423" spans="1:24" x14ac:dyDescent="0.35">
      <c r="A2423" s="3" t="str">
        <f t="shared" si="37"/>
        <v>MG52516130095001MAM</v>
      </c>
      <c r="B2423" t="s">
        <v>6211</v>
      </c>
      <c r="C2423">
        <f>+VLOOKUP(Sites_per_tag[[#This Row],[Field_office]],Parameter!$A$3:$B$11,2,0)</f>
        <v>6</v>
      </c>
      <c r="E2423" t="s">
        <v>5646</v>
      </c>
      <c r="F2423" t="s">
        <v>5647</v>
      </c>
      <c r="H2423" t="str">
        <f ca="1">PROPER(Sites_per_tag[[#This Row],[Adm2Name]])</f>
        <v>Antanimora Sud</v>
      </c>
      <c r="I2423" t="s">
        <v>5664</v>
      </c>
      <c r="K2423" t="s">
        <v>5786</v>
      </c>
      <c r="L2423" t="s">
        <v>5856</v>
      </c>
      <c r="N2423" t="s">
        <v>1749</v>
      </c>
      <c r="O2423" t="s">
        <v>4714</v>
      </c>
      <c r="Q2423" t="s">
        <v>1750</v>
      </c>
      <c r="R2423" t="s">
        <v>1751</v>
      </c>
      <c r="T2423" t="s">
        <v>5</v>
      </c>
      <c r="U2423" s="3" t="str">
        <f>+VLOOKUP(Sites_per_tag[[#This Row],[Activity_tag]],Parameter!$A$24:$B$32,2,0)</f>
        <v>MAM</v>
      </c>
      <c r="W2423">
        <v>45.647930000000002</v>
      </c>
      <c r="X2423">
        <v>-24.806429999999999</v>
      </c>
    </row>
    <row r="2424" spans="1:24" x14ac:dyDescent="0.35">
      <c r="A2424" s="3" t="str">
        <f t="shared" si="37"/>
        <v>MG52516130a_10001MAM</v>
      </c>
      <c r="B2424" t="s">
        <v>6211</v>
      </c>
      <c r="C2424">
        <f>+VLOOKUP(Sites_per_tag[[#This Row],[Field_office]],Parameter!$A$3:$B$11,2,0)</f>
        <v>6</v>
      </c>
      <c r="E2424" t="s">
        <v>5646</v>
      </c>
      <c r="F2424" t="s">
        <v>5647</v>
      </c>
      <c r="H2424" t="str">
        <f ca="1">PROPER(Sites_per_tag[[#This Row],[Adm2Name]])</f>
        <v>Ambovombe-Androy</v>
      </c>
      <c r="I2424" t="s">
        <v>5655</v>
      </c>
      <c r="K2424" t="s">
        <v>773</v>
      </c>
      <c r="L2424" t="s">
        <v>5795</v>
      </c>
      <c r="N2424" t="s">
        <v>649</v>
      </c>
      <c r="O2424" t="s">
        <v>4555</v>
      </c>
      <c r="Q2424" t="s">
        <v>649</v>
      </c>
      <c r="R2424" t="s">
        <v>650</v>
      </c>
      <c r="T2424" t="s">
        <v>5</v>
      </c>
      <c r="U2424" s="3" t="str">
        <f>+VLOOKUP(Sites_per_tag[[#This Row],[Activity_tag]],Parameter!$A$24:$B$32,2,0)</f>
        <v>MAM</v>
      </c>
      <c r="W2424">
        <v>45.762070000000001</v>
      </c>
      <c r="X2424">
        <v>-24.584620000000001</v>
      </c>
    </row>
    <row r="2425" spans="1:24" x14ac:dyDescent="0.35">
      <c r="A2425" s="3" t="str">
        <f t="shared" si="37"/>
        <v>MG52516130a_14001MAM</v>
      </c>
      <c r="B2425" t="s">
        <v>6211</v>
      </c>
      <c r="C2425">
        <f>+VLOOKUP(Sites_per_tag[[#This Row],[Field_office]],Parameter!$A$3:$B$11,2,0)</f>
        <v>6</v>
      </c>
      <c r="E2425" t="s">
        <v>5646</v>
      </c>
      <c r="F2425" t="s">
        <v>5647</v>
      </c>
      <c r="H2425" t="str">
        <f ca="1">PROPER(Sites_per_tag[[#This Row],[Adm2Name]])</f>
        <v>Ambovombe-Androy</v>
      </c>
      <c r="I2425" t="s">
        <v>5655</v>
      </c>
      <c r="K2425" t="s">
        <v>773</v>
      </c>
      <c r="L2425" t="s">
        <v>5795</v>
      </c>
      <c r="N2425" t="s">
        <v>159</v>
      </c>
      <c r="O2425" t="s">
        <v>4556</v>
      </c>
      <c r="Q2425" t="s">
        <v>159</v>
      </c>
      <c r="R2425" t="s">
        <v>160</v>
      </c>
      <c r="T2425" t="s">
        <v>5</v>
      </c>
      <c r="U2425" s="3" t="str">
        <f>+VLOOKUP(Sites_per_tag[[#This Row],[Activity_tag]],Parameter!$A$24:$B$32,2,0)</f>
        <v>MAM</v>
      </c>
      <c r="W2425">
        <v>45.790370000000003</v>
      </c>
      <c r="X2425">
        <v>-24.60727</v>
      </c>
    </row>
    <row r="2426" spans="1:24" x14ac:dyDescent="0.35">
      <c r="A2426" s="3" t="str">
        <f t="shared" si="37"/>
        <v>MG52516151001001STUNT</v>
      </c>
      <c r="B2426" t="s">
        <v>6211</v>
      </c>
      <c r="C2426">
        <f>+VLOOKUP(Sites_per_tag[[#This Row],[Field_office]],Parameter!$A$3:$B$11,2,0)</f>
        <v>6</v>
      </c>
      <c r="E2426" t="s">
        <v>5646</v>
      </c>
      <c r="F2426" t="s">
        <v>5647</v>
      </c>
      <c r="H2426" t="str">
        <f ca="1">PROPER(Sites_per_tag[[#This Row],[Adm2Name]])</f>
        <v>Antanimora Atsimo</v>
      </c>
      <c r="I2426" t="s">
        <v>5664</v>
      </c>
      <c r="K2426" t="s">
        <v>719</v>
      </c>
      <c r="L2426" t="s">
        <v>5787</v>
      </c>
      <c r="N2426" t="s">
        <v>721</v>
      </c>
      <c r="O2426" t="s">
        <v>720</v>
      </c>
      <c r="Q2426" t="s">
        <v>721</v>
      </c>
      <c r="R2426" t="s">
        <v>722</v>
      </c>
      <c r="T2426" t="s">
        <v>50</v>
      </c>
      <c r="U2426" s="3" t="str">
        <f>+VLOOKUP(Sites_per_tag[[#This Row],[Activity_tag]],Parameter!$A$24:$B$32,2,0)</f>
        <v>STUNT</v>
      </c>
      <c r="V2426" t="s">
        <v>6534</v>
      </c>
      <c r="W2426">
        <v>45.601813</v>
      </c>
      <c r="X2426">
        <v>-24.674243000000001</v>
      </c>
    </row>
    <row r="2427" spans="1:24" x14ac:dyDescent="0.35">
      <c r="A2427" s="3" t="str">
        <f t="shared" si="37"/>
        <v>MG52516151001PREV</v>
      </c>
      <c r="B2427" t="s">
        <v>6211</v>
      </c>
      <c r="C2427">
        <f>+VLOOKUP(Sites_per_tag[[#This Row],[Field_office]],Parameter!$A$3:$B$11,2,0)</f>
        <v>6</v>
      </c>
      <c r="E2427" t="s">
        <v>5646</v>
      </c>
      <c r="F2427" t="s">
        <v>5647</v>
      </c>
      <c r="H2427" t="str">
        <f ca="1">PROPER(Sites_per_tag[[#This Row],[Adm2Name]])</f>
        <v>Antanimora Atsimo</v>
      </c>
      <c r="I2427" t="s">
        <v>5664</v>
      </c>
      <c r="K2427" t="s">
        <v>719</v>
      </c>
      <c r="L2427" t="s">
        <v>5787</v>
      </c>
      <c r="N2427" t="s">
        <v>4176</v>
      </c>
      <c r="Q2427" t="s">
        <v>719</v>
      </c>
      <c r="R2427" t="s">
        <v>720</v>
      </c>
      <c r="T2427" t="s">
        <v>32</v>
      </c>
      <c r="U2427" s="3" t="str">
        <f>+VLOOKUP(Sites_per_tag[[#This Row],[Activity_tag]],Parameter!$A$24:$B$32,2,0)</f>
        <v>PREV</v>
      </c>
      <c r="W2427">
        <v>45.598350000000003</v>
      </c>
      <c r="X2427">
        <v>-24.668520000000001</v>
      </c>
    </row>
    <row r="2428" spans="1:24" x14ac:dyDescent="0.35">
      <c r="A2428" s="3" t="str">
        <f t="shared" si="37"/>
        <v>MG52516151004001MAM</v>
      </c>
      <c r="B2428" t="s">
        <v>6211</v>
      </c>
      <c r="C2428">
        <f>+VLOOKUP(Sites_per_tag[[#This Row],[Field_office]],Parameter!$A$3:$B$11,2,0)</f>
        <v>6</v>
      </c>
      <c r="E2428" t="s">
        <v>5646</v>
      </c>
      <c r="F2428" t="s">
        <v>5647</v>
      </c>
      <c r="H2428" t="str">
        <f ca="1">PROPER(Sites_per_tag[[#This Row],[Adm2Name]])</f>
        <v>Ambovombe-Androy</v>
      </c>
      <c r="I2428" t="s">
        <v>5655</v>
      </c>
      <c r="K2428" t="s">
        <v>719</v>
      </c>
      <c r="L2428" t="s">
        <v>5787</v>
      </c>
      <c r="N2428" t="s">
        <v>2989</v>
      </c>
      <c r="O2428" t="s">
        <v>4535</v>
      </c>
      <c r="Q2428" t="s">
        <v>2992</v>
      </c>
      <c r="R2428" t="s">
        <v>2993</v>
      </c>
      <c r="T2428" t="s">
        <v>5</v>
      </c>
      <c r="U2428" s="3" t="str">
        <f>+VLOOKUP(Sites_per_tag[[#This Row],[Activity_tag]],Parameter!$A$24:$B$32,2,0)</f>
        <v>MAM</v>
      </c>
      <c r="W2428">
        <v>45.552079999999997</v>
      </c>
      <c r="X2428">
        <v>-24.699369999999998</v>
      </c>
    </row>
    <row r="2429" spans="1:24" x14ac:dyDescent="0.35">
      <c r="A2429" s="3" t="str">
        <f t="shared" si="37"/>
        <v>MG52516151005001MAM</v>
      </c>
      <c r="B2429" t="s">
        <v>6211</v>
      </c>
      <c r="C2429">
        <f>+VLOOKUP(Sites_per_tag[[#This Row],[Field_office]],Parameter!$A$3:$B$11,2,0)</f>
        <v>6</v>
      </c>
      <c r="E2429" t="s">
        <v>5646</v>
      </c>
      <c r="F2429" t="s">
        <v>5647</v>
      </c>
      <c r="H2429" t="str">
        <f ca="1">PROPER(Sites_per_tag[[#This Row],[Adm2Name]])</f>
        <v>Ambovombe-Androy</v>
      </c>
      <c r="I2429" t="s">
        <v>5655</v>
      </c>
      <c r="K2429" t="s">
        <v>719</v>
      </c>
      <c r="L2429" t="s">
        <v>5787</v>
      </c>
      <c r="N2429" t="s">
        <v>4537</v>
      </c>
      <c r="O2429" t="s">
        <v>4536</v>
      </c>
      <c r="Q2429" t="s">
        <v>715</v>
      </c>
      <c r="R2429" t="s">
        <v>716</v>
      </c>
      <c r="T2429" t="s">
        <v>5</v>
      </c>
      <c r="U2429" s="3" t="str">
        <f>+VLOOKUP(Sites_per_tag[[#This Row],[Activity_tag]],Parameter!$A$24:$B$32,2,0)</f>
        <v>MAM</v>
      </c>
      <c r="W2429">
        <v>45.613880000000002</v>
      </c>
      <c r="X2429">
        <v>-24.562470000000001</v>
      </c>
    </row>
    <row r="2430" spans="1:24" x14ac:dyDescent="0.35">
      <c r="A2430" s="3" t="str">
        <f t="shared" si="37"/>
        <v>MG52516151008002STUNT</v>
      </c>
      <c r="B2430" t="s">
        <v>6211</v>
      </c>
      <c r="C2430">
        <f>+VLOOKUP(Sites_per_tag[[#This Row],[Field_office]],Parameter!$A$3:$B$11,2,0)</f>
        <v>6</v>
      </c>
      <c r="E2430" t="s">
        <v>5646</v>
      </c>
      <c r="F2430" t="s">
        <v>5647</v>
      </c>
      <c r="H2430" t="str">
        <f ca="1">PROPER(Sites_per_tag[[#This Row],[Adm2Name]])</f>
        <v>Antanimora Atsimo</v>
      </c>
      <c r="I2430" t="s">
        <v>5664</v>
      </c>
      <c r="K2430" t="s">
        <v>719</v>
      </c>
      <c r="L2430" t="s">
        <v>5787</v>
      </c>
      <c r="N2430" t="s">
        <v>1413</v>
      </c>
      <c r="O2430" t="s">
        <v>1414</v>
      </c>
      <c r="Q2430" t="s">
        <v>1413</v>
      </c>
      <c r="R2430" t="s">
        <v>1415</v>
      </c>
      <c r="T2430" t="s">
        <v>50</v>
      </c>
      <c r="U2430" s="3" t="str">
        <f>+VLOOKUP(Sites_per_tag[[#This Row],[Activity_tag]],Parameter!$A$24:$B$32,2,0)</f>
        <v>STUNT</v>
      </c>
      <c r="V2430" t="s">
        <v>6535</v>
      </c>
      <c r="W2430">
        <v>45.618944999999997</v>
      </c>
      <c r="X2430">
        <v>-24.593579999999999</v>
      </c>
    </row>
    <row r="2431" spans="1:24" x14ac:dyDescent="0.35">
      <c r="A2431" s="3" t="str">
        <f t="shared" si="37"/>
        <v>MG52516151008PREV</v>
      </c>
      <c r="B2431" t="s">
        <v>6211</v>
      </c>
      <c r="C2431">
        <f>+VLOOKUP(Sites_per_tag[[#This Row],[Field_office]],Parameter!$A$3:$B$11,2,0)</f>
        <v>6</v>
      </c>
      <c r="E2431" t="s">
        <v>5646</v>
      </c>
      <c r="F2431" t="s">
        <v>5647</v>
      </c>
      <c r="H2431" t="str">
        <f ca="1">PROPER(Sites_per_tag[[#This Row],[Adm2Name]])</f>
        <v>Antanimora Atsimo</v>
      </c>
      <c r="I2431" t="s">
        <v>5664</v>
      </c>
      <c r="K2431" t="s">
        <v>719</v>
      </c>
      <c r="L2431" t="s">
        <v>5787</v>
      </c>
      <c r="N2431" t="s">
        <v>6536</v>
      </c>
      <c r="Q2431" t="s">
        <v>1413</v>
      </c>
      <c r="R2431" t="s">
        <v>1414</v>
      </c>
      <c r="T2431" t="s">
        <v>32</v>
      </c>
      <c r="U2431" s="3" t="str">
        <f>+VLOOKUP(Sites_per_tag[[#This Row],[Activity_tag]],Parameter!$A$24:$B$32,2,0)</f>
        <v>PREV</v>
      </c>
      <c r="W2431">
        <v>45.609650000000002</v>
      </c>
      <c r="X2431">
        <v>-24.605519999999999</v>
      </c>
    </row>
    <row r="2432" spans="1:24" x14ac:dyDescent="0.35">
      <c r="A2432" s="3" t="str">
        <f t="shared" si="37"/>
        <v>MG52516151010001MAM</v>
      </c>
      <c r="B2432" t="s">
        <v>6211</v>
      </c>
      <c r="C2432">
        <f>+VLOOKUP(Sites_per_tag[[#This Row],[Field_office]],Parameter!$A$3:$B$11,2,0)</f>
        <v>6</v>
      </c>
      <c r="E2432" t="s">
        <v>5646</v>
      </c>
      <c r="F2432" t="s">
        <v>5647</v>
      </c>
      <c r="H2432" t="str">
        <f ca="1">PROPER(Sites_per_tag[[#This Row],[Adm2Name]])</f>
        <v>Ambovombe-Androy</v>
      </c>
      <c r="I2432" t="s">
        <v>5655</v>
      </c>
      <c r="K2432" t="s">
        <v>719</v>
      </c>
      <c r="L2432" t="s">
        <v>5787</v>
      </c>
      <c r="N2432" t="s">
        <v>4539</v>
      </c>
      <c r="O2432" t="s">
        <v>4538</v>
      </c>
      <c r="Q2432" t="s">
        <v>2323</v>
      </c>
      <c r="R2432" t="s">
        <v>2324</v>
      </c>
      <c r="T2432" t="s">
        <v>5</v>
      </c>
      <c r="U2432" s="3" t="str">
        <f>+VLOOKUP(Sites_per_tag[[#This Row],[Activity_tag]],Parameter!$A$24:$B$32,2,0)</f>
        <v>MAM</v>
      </c>
      <c r="W2432">
        <v>45.636130000000001</v>
      </c>
      <c r="X2432">
        <v>-24.59205</v>
      </c>
    </row>
    <row r="2433" spans="1:24" x14ac:dyDescent="0.35">
      <c r="A2433" s="3" t="str">
        <f t="shared" si="37"/>
        <v>MG52516151011001MAM</v>
      </c>
      <c r="B2433" t="s">
        <v>6267</v>
      </c>
      <c r="C2433">
        <f>+VLOOKUP(Sites_per_tag[[#This Row],[Field_office]],Parameter!$A$3:$B$11,2,0)</f>
        <v>9</v>
      </c>
      <c r="E2433" t="s">
        <v>5650</v>
      </c>
      <c r="F2433" t="s">
        <v>5654</v>
      </c>
      <c r="H2433" t="str">
        <f ca="1">PROPER(Sites_per_tag[[#This Row],[Adm2Name]])</f>
        <v>Ampanihy Ouest</v>
      </c>
      <c r="I2433" t="s">
        <v>5660</v>
      </c>
      <c r="K2433" t="s">
        <v>457</v>
      </c>
      <c r="L2433" t="s">
        <v>5748</v>
      </c>
      <c r="N2433" t="s">
        <v>1086</v>
      </c>
      <c r="O2433" t="s">
        <v>4426</v>
      </c>
      <c r="Q2433" t="s">
        <v>1086</v>
      </c>
      <c r="R2433" t="s">
        <v>1087</v>
      </c>
      <c r="T2433" t="s">
        <v>5</v>
      </c>
      <c r="U2433" s="3" t="str">
        <f>+VLOOKUP(Sites_per_tag[[#This Row],[Activity_tag]],Parameter!$A$24:$B$32,2,0)</f>
        <v>MAM</v>
      </c>
      <c r="W2433">
        <v>44.935859999999998</v>
      </c>
      <c r="X2433">
        <v>-24.605993999999999</v>
      </c>
    </row>
    <row r="2434" spans="1:24" x14ac:dyDescent="0.35">
      <c r="A2434" s="3" t="str">
        <f t="shared" si="37"/>
        <v>MG52516151015001MAM</v>
      </c>
      <c r="B2434" t="s">
        <v>6211</v>
      </c>
      <c r="C2434">
        <f>+VLOOKUP(Sites_per_tag[[#This Row],[Field_office]],Parameter!$A$3:$B$11,2,0)</f>
        <v>6</v>
      </c>
      <c r="E2434" t="s">
        <v>5646</v>
      </c>
      <c r="F2434" t="s">
        <v>5647</v>
      </c>
      <c r="H2434" t="str">
        <f ca="1">PROPER(Sites_per_tag[[#This Row],[Adm2Name]])</f>
        <v>Ambovombe-Androy</v>
      </c>
      <c r="I2434" t="s">
        <v>5655</v>
      </c>
      <c r="K2434" t="s">
        <v>719</v>
      </c>
      <c r="L2434" t="s">
        <v>5787</v>
      </c>
      <c r="N2434" t="s">
        <v>978</v>
      </c>
      <c r="O2434" t="s">
        <v>4540</v>
      </c>
      <c r="Q2434" t="s">
        <v>6537</v>
      </c>
      <c r="R2434" t="s">
        <v>979</v>
      </c>
      <c r="T2434" t="s">
        <v>5</v>
      </c>
      <c r="U2434" s="3" t="str">
        <f>+VLOOKUP(Sites_per_tag[[#This Row],[Activity_tag]],Parameter!$A$24:$B$32,2,0)</f>
        <v>MAM</v>
      </c>
      <c r="W2434">
        <v>45.986879999999999</v>
      </c>
      <c r="X2434">
        <v>-25.12378</v>
      </c>
    </row>
    <row r="2435" spans="1:24" x14ac:dyDescent="0.35">
      <c r="A2435" s="3" t="str">
        <f t="shared" ref="A2435:A2498" si="38">+R2435&amp;U2435</f>
        <v>MG52516151021004STUNT</v>
      </c>
      <c r="B2435" t="s">
        <v>6211</v>
      </c>
      <c r="C2435">
        <f>+VLOOKUP(Sites_per_tag[[#This Row],[Field_office]],Parameter!$A$3:$B$11,2,0)</f>
        <v>6</v>
      </c>
      <c r="E2435" t="s">
        <v>5646</v>
      </c>
      <c r="F2435" t="s">
        <v>5647</v>
      </c>
      <c r="H2435" t="str">
        <f ca="1">PROPER(Sites_per_tag[[#This Row],[Adm2Name]])</f>
        <v>Antanimora Atsimo</v>
      </c>
      <c r="I2435" t="s">
        <v>5664</v>
      </c>
      <c r="K2435" t="s">
        <v>719</v>
      </c>
      <c r="L2435" t="s">
        <v>5787</v>
      </c>
      <c r="N2435" t="s">
        <v>3966</v>
      </c>
      <c r="O2435" t="s">
        <v>3957</v>
      </c>
      <c r="Q2435" t="s">
        <v>3966</v>
      </c>
      <c r="R2435" t="s">
        <v>3967</v>
      </c>
      <c r="T2435" t="s">
        <v>50</v>
      </c>
      <c r="U2435" s="3" t="str">
        <f>+VLOOKUP(Sites_per_tag[[#This Row],[Activity_tag]],Parameter!$A$24:$B$32,2,0)</f>
        <v>STUNT</v>
      </c>
      <c r="V2435" t="s">
        <v>6538</v>
      </c>
      <c r="W2435">
        <v>45.451906999999999</v>
      </c>
      <c r="X2435">
        <v>-24.664963</v>
      </c>
    </row>
    <row r="2436" spans="1:24" x14ac:dyDescent="0.35">
      <c r="A2436" s="3" t="str">
        <f t="shared" si="38"/>
        <v>MG52516151021PREV</v>
      </c>
      <c r="B2436" t="s">
        <v>6211</v>
      </c>
      <c r="C2436">
        <f>+VLOOKUP(Sites_per_tag[[#This Row],[Field_office]],Parameter!$A$3:$B$11,2,0)</f>
        <v>6</v>
      </c>
      <c r="E2436" t="s">
        <v>5646</v>
      </c>
      <c r="F2436" t="s">
        <v>5647</v>
      </c>
      <c r="H2436" t="str">
        <f ca="1">PROPER(Sites_per_tag[[#This Row],[Adm2Name]])</f>
        <v>Antanimora Atsimo</v>
      </c>
      <c r="I2436" t="s">
        <v>5664</v>
      </c>
      <c r="K2436" t="s">
        <v>719</v>
      </c>
      <c r="L2436" t="s">
        <v>5787</v>
      </c>
      <c r="N2436" t="s">
        <v>4174</v>
      </c>
      <c r="Q2436" t="s">
        <v>3956</v>
      </c>
      <c r="R2436" t="s">
        <v>3957</v>
      </c>
      <c r="T2436" t="s">
        <v>32</v>
      </c>
      <c r="U2436" s="3" t="str">
        <f>+VLOOKUP(Sites_per_tag[[#This Row],[Activity_tag]],Parameter!$A$24:$B$32,2,0)</f>
        <v>PREV</v>
      </c>
      <c r="W2436">
        <v>45.45167</v>
      </c>
      <c r="X2436">
        <v>-24.65907</v>
      </c>
    </row>
    <row r="2437" spans="1:24" x14ac:dyDescent="0.35">
      <c r="A2437" s="3" t="str">
        <f t="shared" si="38"/>
        <v>MG52516151029007STUNT</v>
      </c>
      <c r="B2437" t="s">
        <v>6211</v>
      </c>
      <c r="C2437">
        <f>+VLOOKUP(Sites_per_tag[[#This Row],[Field_office]],Parameter!$A$3:$B$11,2,0)</f>
        <v>6</v>
      </c>
      <c r="E2437" t="s">
        <v>5646</v>
      </c>
      <c r="F2437" t="s">
        <v>5647</v>
      </c>
      <c r="H2437" t="str">
        <f ca="1">PROPER(Sites_per_tag[[#This Row],[Adm2Name]])</f>
        <v>Antanimora Atsimo</v>
      </c>
      <c r="I2437" t="s">
        <v>5664</v>
      </c>
      <c r="K2437" t="s">
        <v>719</v>
      </c>
      <c r="L2437" t="s">
        <v>5787</v>
      </c>
      <c r="N2437" t="s">
        <v>425</v>
      </c>
      <c r="O2437" t="s">
        <v>429</v>
      </c>
      <c r="Q2437" t="s">
        <v>425</v>
      </c>
      <c r="R2437" t="s">
        <v>426</v>
      </c>
      <c r="T2437" t="s">
        <v>50</v>
      </c>
      <c r="U2437" s="3" t="str">
        <f>+VLOOKUP(Sites_per_tag[[#This Row],[Activity_tag]],Parameter!$A$24:$B$32,2,0)</f>
        <v>STUNT</v>
      </c>
      <c r="V2437" t="s">
        <v>6539</v>
      </c>
      <c r="W2437">
        <v>45.604669000000001</v>
      </c>
      <c r="X2437">
        <v>-24.719214999999998</v>
      </c>
    </row>
    <row r="2438" spans="1:24" x14ac:dyDescent="0.35">
      <c r="A2438" s="3" t="str">
        <f t="shared" si="38"/>
        <v>MG52516151029PREV</v>
      </c>
      <c r="B2438" t="s">
        <v>6211</v>
      </c>
      <c r="C2438">
        <f>+VLOOKUP(Sites_per_tag[[#This Row],[Field_office]],Parameter!$A$3:$B$11,2,0)</f>
        <v>6</v>
      </c>
      <c r="E2438" t="s">
        <v>5646</v>
      </c>
      <c r="F2438" t="s">
        <v>5647</v>
      </c>
      <c r="H2438" t="str">
        <f ca="1">PROPER(Sites_per_tag[[#This Row],[Adm2Name]])</f>
        <v>Antanimora Atsimo</v>
      </c>
      <c r="I2438" t="s">
        <v>5664</v>
      </c>
      <c r="K2438" t="s">
        <v>719</v>
      </c>
      <c r="L2438" t="s">
        <v>5787</v>
      </c>
      <c r="N2438" t="s">
        <v>4175</v>
      </c>
      <c r="Q2438" t="s">
        <v>428</v>
      </c>
      <c r="R2438" t="s">
        <v>429</v>
      </c>
      <c r="T2438" t="s">
        <v>32</v>
      </c>
      <c r="U2438" s="3" t="str">
        <f>+VLOOKUP(Sites_per_tag[[#This Row],[Activity_tag]],Parameter!$A$24:$B$32,2,0)</f>
        <v>PREV</v>
      </c>
      <c r="W2438">
        <v>45.588729999999998</v>
      </c>
      <c r="X2438">
        <v>-24.719149999999999</v>
      </c>
    </row>
    <row r="2439" spans="1:24" x14ac:dyDescent="0.35">
      <c r="A2439" s="3" t="str">
        <f t="shared" si="38"/>
        <v>MG52516151030003STUNT</v>
      </c>
      <c r="B2439" t="s">
        <v>6211</v>
      </c>
      <c r="C2439">
        <f>+VLOOKUP(Sites_per_tag[[#This Row],[Field_office]],Parameter!$A$3:$B$11,2,0)</f>
        <v>6</v>
      </c>
      <c r="E2439" t="s">
        <v>5646</v>
      </c>
      <c r="F2439" t="s">
        <v>5647</v>
      </c>
      <c r="H2439" t="str">
        <f ca="1">PROPER(Sites_per_tag[[#This Row],[Adm2Name]])</f>
        <v>Antanimora Atsimo</v>
      </c>
      <c r="I2439" t="s">
        <v>5664</v>
      </c>
      <c r="K2439" t="s">
        <v>719</v>
      </c>
      <c r="L2439" t="s">
        <v>5787</v>
      </c>
      <c r="N2439" t="s">
        <v>978</v>
      </c>
      <c r="O2439" t="s">
        <v>982</v>
      </c>
      <c r="Q2439" t="s">
        <v>978</v>
      </c>
      <c r="R2439" t="s">
        <v>980</v>
      </c>
      <c r="T2439" t="s">
        <v>50</v>
      </c>
      <c r="U2439" s="3" t="str">
        <f>+VLOOKUP(Sites_per_tag[[#This Row],[Activity_tag]],Parameter!$A$24:$B$32,2,0)</f>
        <v>STUNT</v>
      </c>
      <c r="V2439" t="s">
        <v>6540</v>
      </c>
      <c r="W2439">
        <v>45.611092999999997</v>
      </c>
      <c r="X2439">
        <v>-24.776322</v>
      </c>
    </row>
    <row r="2440" spans="1:24" x14ac:dyDescent="0.35">
      <c r="A2440" s="3" t="str">
        <f t="shared" si="38"/>
        <v>MG52516151030PREV</v>
      </c>
      <c r="B2440" t="s">
        <v>6211</v>
      </c>
      <c r="C2440">
        <f>+VLOOKUP(Sites_per_tag[[#This Row],[Field_office]],Parameter!$A$3:$B$11,2,0)</f>
        <v>6</v>
      </c>
      <c r="E2440" t="s">
        <v>5646</v>
      </c>
      <c r="F2440" t="s">
        <v>5647</v>
      </c>
      <c r="H2440" t="str">
        <f ca="1">PROPER(Sites_per_tag[[#This Row],[Adm2Name]])</f>
        <v>Antanimora Atsimo</v>
      </c>
      <c r="I2440" t="s">
        <v>5664</v>
      </c>
      <c r="K2440" t="s">
        <v>719</v>
      </c>
      <c r="L2440" t="s">
        <v>5787</v>
      </c>
      <c r="N2440" t="s">
        <v>4177</v>
      </c>
      <c r="Q2440" t="s">
        <v>981</v>
      </c>
      <c r="R2440" t="s">
        <v>982</v>
      </c>
      <c r="T2440" t="s">
        <v>32</v>
      </c>
      <c r="U2440" s="3" t="str">
        <f>+VLOOKUP(Sites_per_tag[[#This Row],[Activity_tag]],Parameter!$A$24:$B$32,2,0)</f>
        <v>PREV</v>
      </c>
      <c r="W2440">
        <v>45.601170000000003</v>
      </c>
      <c r="X2440">
        <v>-24.803349999999998</v>
      </c>
    </row>
    <row r="2441" spans="1:24" x14ac:dyDescent="0.35">
      <c r="A2441" s="3" t="str">
        <f t="shared" si="38"/>
        <v>MG52516151031021STUNT</v>
      </c>
      <c r="B2441" t="s">
        <v>6211</v>
      </c>
      <c r="C2441">
        <f>+VLOOKUP(Sites_per_tag[[#This Row],[Field_office]],Parameter!$A$3:$B$11,2,0)</f>
        <v>6</v>
      </c>
      <c r="E2441" t="s">
        <v>5646</v>
      </c>
      <c r="F2441" t="s">
        <v>5647</v>
      </c>
      <c r="H2441" t="str">
        <f ca="1">PROPER(Sites_per_tag[[#This Row],[Adm2Name]])</f>
        <v>Antanimora Atsimo</v>
      </c>
      <c r="I2441" t="s">
        <v>5664</v>
      </c>
      <c r="K2441" t="s">
        <v>719</v>
      </c>
      <c r="L2441" t="s">
        <v>5787</v>
      </c>
      <c r="N2441" t="s">
        <v>835</v>
      </c>
      <c r="O2441" t="s">
        <v>834</v>
      </c>
      <c r="Q2441" t="s">
        <v>835</v>
      </c>
      <c r="R2441" t="s">
        <v>836</v>
      </c>
      <c r="T2441" t="s">
        <v>50</v>
      </c>
      <c r="U2441" s="3" t="str">
        <f>+VLOOKUP(Sites_per_tag[[#This Row],[Activity_tag]],Parameter!$A$24:$B$32,2,0)</f>
        <v>STUNT</v>
      </c>
      <c r="V2441" t="s">
        <v>6541</v>
      </c>
      <c r="W2441">
        <v>45.661776000000003</v>
      </c>
      <c r="X2441">
        <v>-24.744199999999999</v>
      </c>
    </row>
    <row r="2442" spans="1:24" x14ac:dyDescent="0.35">
      <c r="A2442" s="3" t="str">
        <f t="shared" si="38"/>
        <v>MG52516151031PREV</v>
      </c>
      <c r="B2442" t="s">
        <v>6211</v>
      </c>
      <c r="C2442">
        <f>+VLOOKUP(Sites_per_tag[[#This Row],[Field_office]],Parameter!$A$3:$B$11,2,0)</f>
        <v>6</v>
      </c>
      <c r="E2442" t="s">
        <v>5646</v>
      </c>
      <c r="F2442" t="s">
        <v>5647</v>
      </c>
      <c r="H2442" t="str">
        <f ca="1">PROPER(Sites_per_tag[[#This Row],[Adm2Name]])</f>
        <v>Antanimora Atsimo</v>
      </c>
      <c r="I2442" t="s">
        <v>5664</v>
      </c>
      <c r="K2442" t="s">
        <v>719</v>
      </c>
      <c r="L2442" t="s">
        <v>5787</v>
      </c>
      <c r="N2442" t="s">
        <v>4178</v>
      </c>
      <c r="Q2442" t="s">
        <v>833</v>
      </c>
      <c r="R2442" t="s">
        <v>834</v>
      </c>
      <c r="T2442" t="s">
        <v>32</v>
      </c>
      <c r="U2442" s="3" t="str">
        <f>+VLOOKUP(Sites_per_tag[[#This Row],[Activity_tag]],Parameter!$A$24:$B$32,2,0)</f>
        <v>PREV</v>
      </c>
      <c r="W2442">
        <v>45.63758</v>
      </c>
      <c r="X2442">
        <v>-24.734480000000001</v>
      </c>
    </row>
    <row r="2443" spans="1:24" x14ac:dyDescent="0.35">
      <c r="A2443" s="3" t="str">
        <f t="shared" si="38"/>
        <v>MG52516151034PREV</v>
      </c>
      <c r="B2443" t="s">
        <v>6193</v>
      </c>
      <c r="C2443">
        <f>+VLOOKUP(Sites_per_tag[[#This Row],[Field_office]],Parameter!$A$3:$B$11,2,0)</f>
        <v>4</v>
      </c>
      <c r="E2443" t="s">
        <v>5658</v>
      </c>
      <c r="F2443" t="s">
        <v>5659</v>
      </c>
      <c r="H2443" t="str">
        <f ca="1">PROPER(Sites_per_tag[[#This Row],[Adm2Name]])</f>
        <v>Vangaindrano</v>
      </c>
      <c r="I2443" t="s">
        <v>5734</v>
      </c>
      <c r="K2443" t="s">
        <v>2495</v>
      </c>
      <c r="L2443" t="s">
        <v>5959</v>
      </c>
      <c r="N2443" t="s">
        <v>3950</v>
      </c>
      <c r="Q2443" t="s">
        <v>3950</v>
      </c>
      <c r="R2443" t="s">
        <v>3951</v>
      </c>
      <c r="T2443" t="s">
        <v>32</v>
      </c>
      <c r="U2443" s="3" t="str">
        <f>+VLOOKUP(Sites_per_tag[[#This Row],[Activity_tag]],Parameter!$A$24:$B$32,2,0)</f>
        <v>PREV</v>
      </c>
      <c r="W2443">
        <v>47.546138999999997</v>
      </c>
      <c r="X2443">
        <v>-23.285150999999999</v>
      </c>
    </row>
    <row r="2444" spans="1:24" x14ac:dyDescent="0.35">
      <c r="A2444" s="3" t="str">
        <f t="shared" si="38"/>
        <v>MG52516151065001MAM</v>
      </c>
      <c r="B2444" t="s">
        <v>6211</v>
      </c>
      <c r="C2444">
        <f>+VLOOKUP(Sites_per_tag[[#This Row],[Field_office]],Parameter!$A$3:$B$11,2,0)</f>
        <v>6</v>
      </c>
      <c r="E2444" t="s">
        <v>5646</v>
      </c>
      <c r="F2444" t="s">
        <v>5647</v>
      </c>
      <c r="H2444" t="str">
        <f ca="1">PROPER(Sites_per_tag[[#This Row],[Adm2Name]])</f>
        <v>Ambovombe-Androy</v>
      </c>
      <c r="I2444" t="s">
        <v>5655</v>
      </c>
      <c r="K2444" t="s">
        <v>719</v>
      </c>
      <c r="L2444" t="s">
        <v>5787</v>
      </c>
      <c r="N2444" t="s">
        <v>425</v>
      </c>
      <c r="O2444" t="s">
        <v>4541</v>
      </c>
      <c r="Q2444" t="s">
        <v>430</v>
      </c>
      <c r="R2444" t="s">
        <v>431</v>
      </c>
      <c r="T2444" t="s">
        <v>5</v>
      </c>
      <c r="U2444" s="3" t="str">
        <f>+VLOOKUP(Sites_per_tag[[#This Row],[Activity_tag]],Parameter!$A$24:$B$32,2,0)</f>
        <v>MAM</v>
      </c>
      <c r="W2444">
        <v>45.604469000000002</v>
      </c>
      <c r="X2444">
        <v>-24.694144000000001</v>
      </c>
    </row>
    <row r="2445" spans="1:24" x14ac:dyDescent="0.35">
      <c r="A2445" s="3" t="str">
        <f t="shared" si="38"/>
        <v>MG52516151069PREV</v>
      </c>
      <c r="B2445" t="s">
        <v>6211</v>
      </c>
      <c r="C2445">
        <f>+VLOOKUP(Sites_per_tag[[#This Row],[Field_office]],Parameter!$A$3:$B$11,2,0)</f>
        <v>6</v>
      </c>
      <c r="E2445" t="s">
        <v>5646</v>
      </c>
      <c r="F2445" t="s">
        <v>5647</v>
      </c>
      <c r="H2445" t="str">
        <f ca="1">PROPER(Sites_per_tag[[#This Row],[Adm2Name]])</f>
        <v>Antanimora Atsimo</v>
      </c>
      <c r="I2445" t="s">
        <v>5664</v>
      </c>
      <c r="K2445" t="s">
        <v>719</v>
      </c>
      <c r="L2445" t="s">
        <v>5787</v>
      </c>
      <c r="N2445" t="s">
        <v>995</v>
      </c>
      <c r="Q2445" t="s">
        <v>995</v>
      </c>
      <c r="R2445" t="s">
        <v>998</v>
      </c>
      <c r="T2445" t="s">
        <v>32</v>
      </c>
      <c r="U2445" s="3" t="str">
        <f>+VLOOKUP(Sites_per_tag[[#This Row],[Activity_tag]],Parameter!$A$24:$B$32,2,0)</f>
        <v>PREV</v>
      </c>
      <c r="W2445">
        <v>45.675075999999997</v>
      </c>
      <c r="X2445">
        <v>-24.742546999999998</v>
      </c>
    </row>
    <row r="2446" spans="1:24" x14ac:dyDescent="0.35">
      <c r="A2446" s="3" t="str">
        <f t="shared" si="38"/>
        <v>MG52516151080009STUNT</v>
      </c>
      <c r="B2446" t="s">
        <v>6211</v>
      </c>
      <c r="C2446">
        <f>+VLOOKUP(Sites_per_tag[[#This Row],[Field_office]],Parameter!$A$3:$B$11,2,0)</f>
        <v>6</v>
      </c>
      <c r="E2446" t="s">
        <v>5646</v>
      </c>
      <c r="F2446" t="s">
        <v>5647</v>
      </c>
      <c r="H2446" t="str">
        <f ca="1">PROPER(Sites_per_tag[[#This Row],[Adm2Name]])</f>
        <v>Antanimora Atsimo</v>
      </c>
      <c r="I2446" t="s">
        <v>5664</v>
      </c>
      <c r="K2446" t="s">
        <v>719</v>
      </c>
      <c r="L2446" t="s">
        <v>5787</v>
      </c>
      <c r="N2446" t="s">
        <v>48</v>
      </c>
      <c r="O2446" t="s">
        <v>4086</v>
      </c>
      <c r="Q2446" t="s">
        <v>48</v>
      </c>
      <c r="R2446" t="s">
        <v>49</v>
      </c>
      <c r="T2446" t="s">
        <v>50</v>
      </c>
      <c r="U2446" s="3" t="str">
        <f>+VLOOKUP(Sites_per_tag[[#This Row],[Activity_tag]],Parameter!$A$24:$B$32,2,0)</f>
        <v>STUNT</v>
      </c>
      <c r="V2446" t="s">
        <v>6542</v>
      </c>
      <c r="W2446">
        <v>45.623229000000002</v>
      </c>
      <c r="X2446">
        <v>-24.699942</v>
      </c>
    </row>
    <row r="2447" spans="1:24" x14ac:dyDescent="0.35">
      <c r="A2447" s="3" t="str">
        <f t="shared" si="38"/>
        <v>MG52516152004001MAM</v>
      </c>
      <c r="B2447" t="s">
        <v>6211</v>
      </c>
      <c r="C2447">
        <f>+VLOOKUP(Sites_per_tag[[#This Row],[Field_office]],Parameter!$A$3:$B$11,2,0)</f>
        <v>6</v>
      </c>
      <c r="E2447" t="s">
        <v>5646</v>
      </c>
      <c r="F2447" t="s">
        <v>5647</v>
      </c>
      <c r="H2447" t="str">
        <f ca="1">PROPER(Sites_per_tag[[#This Row],[Adm2Name]])</f>
        <v>Ambovombe-Androy</v>
      </c>
      <c r="I2447" t="s">
        <v>5655</v>
      </c>
      <c r="K2447" t="s">
        <v>493</v>
      </c>
      <c r="L2447" t="s">
        <v>5758</v>
      </c>
      <c r="N2447" t="s">
        <v>4474</v>
      </c>
      <c r="O2447" t="s">
        <v>4473</v>
      </c>
      <c r="Q2447" t="s">
        <v>727</v>
      </c>
      <c r="R2447" t="s">
        <v>728</v>
      </c>
      <c r="T2447" t="s">
        <v>5</v>
      </c>
      <c r="U2447" s="3" t="str">
        <f>+VLOOKUP(Sites_per_tag[[#This Row],[Activity_tag]],Parameter!$A$24:$B$32,2,0)</f>
        <v>MAM</v>
      </c>
      <c r="W2447">
        <v>45.623150000000003</v>
      </c>
      <c r="X2447">
        <v>-24.522819999999999</v>
      </c>
    </row>
    <row r="2448" spans="1:24" x14ac:dyDescent="0.35">
      <c r="A2448" s="3" t="str">
        <f t="shared" si="38"/>
        <v>MG52516152010001MAM</v>
      </c>
      <c r="B2448" t="s">
        <v>6211</v>
      </c>
      <c r="C2448">
        <f>+VLOOKUP(Sites_per_tag[[#This Row],[Field_office]],Parameter!$A$3:$B$11,2,0)</f>
        <v>6</v>
      </c>
      <c r="E2448" t="s">
        <v>5646</v>
      </c>
      <c r="F2448" t="s">
        <v>5647</v>
      </c>
      <c r="H2448" t="str">
        <f ca="1">PROPER(Sites_per_tag[[#This Row],[Adm2Name]])</f>
        <v>Ambovombe-Androy</v>
      </c>
      <c r="I2448" t="s">
        <v>5655</v>
      </c>
      <c r="K2448" t="s">
        <v>493</v>
      </c>
      <c r="L2448" t="s">
        <v>5758</v>
      </c>
      <c r="N2448" t="s">
        <v>4476</v>
      </c>
      <c r="O2448" t="s">
        <v>4475</v>
      </c>
      <c r="Q2448" t="s">
        <v>2054</v>
      </c>
      <c r="R2448" t="s">
        <v>2055</v>
      </c>
      <c r="T2448" t="s">
        <v>5</v>
      </c>
      <c r="U2448" s="3" t="str">
        <f>+VLOOKUP(Sites_per_tag[[#This Row],[Activity_tag]],Parameter!$A$24:$B$32,2,0)</f>
        <v>MAM</v>
      </c>
      <c r="W2448">
        <v>45.697800000000001</v>
      </c>
      <c r="X2448">
        <v>-24.50827</v>
      </c>
    </row>
    <row r="2449" spans="1:24" x14ac:dyDescent="0.35">
      <c r="A2449" s="3" t="str">
        <f t="shared" si="38"/>
        <v>MG52516152045001MAM</v>
      </c>
      <c r="B2449" t="s">
        <v>6211</v>
      </c>
      <c r="C2449">
        <f>+VLOOKUP(Sites_per_tag[[#This Row],[Field_office]],Parameter!$A$3:$B$11,2,0)</f>
        <v>6</v>
      </c>
      <c r="E2449" t="s">
        <v>5646</v>
      </c>
      <c r="F2449" t="s">
        <v>5647</v>
      </c>
      <c r="H2449" t="str">
        <f ca="1">PROPER(Sites_per_tag[[#This Row],[Adm2Name]])</f>
        <v>Ambovombe-Androy</v>
      </c>
      <c r="I2449" t="s">
        <v>5655</v>
      </c>
      <c r="K2449" t="s">
        <v>493</v>
      </c>
      <c r="L2449" t="s">
        <v>5758</v>
      </c>
      <c r="N2449" t="s">
        <v>495</v>
      </c>
      <c r="O2449" t="s">
        <v>4477</v>
      </c>
      <c r="Q2449" t="s">
        <v>495</v>
      </c>
      <c r="R2449" t="s">
        <v>496</v>
      </c>
      <c r="T2449" t="s">
        <v>5</v>
      </c>
      <c r="U2449" s="3" t="str">
        <f>+VLOOKUP(Sites_per_tag[[#This Row],[Activity_tag]],Parameter!$A$24:$B$32,2,0)</f>
        <v>MAM</v>
      </c>
      <c r="W2449">
        <v>45.636029999999998</v>
      </c>
      <c r="X2449">
        <v>-24.475899999999999</v>
      </c>
    </row>
    <row r="2450" spans="1:24" x14ac:dyDescent="0.35">
      <c r="A2450" s="3" t="str">
        <f t="shared" si="38"/>
        <v>MG52516152046001MAM</v>
      </c>
      <c r="B2450" t="s">
        <v>6211</v>
      </c>
      <c r="C2450">
        <f>+VLOOKUP(Sites_per_tag[[#This Row],[Field_office]],Parameter!$A$3:$B$11,2,0)</f>
        <v>6</v>
      </c>
      <c r="E2450" t="s">
        <v>5646</v>
      </c>
      <c r="F2450" t="s">
        <v>5647</v>
      </c>
      <c r="H2450" t="str">
        <f ca="1">PROPER(Sites_per_tag[[#This Row],[Adm2Name]])</f>
        <v>Ambovombe-Androy</v>
      </c>
      <c r="I2450" t="s">
        <v>5655</v>
      </c>
      <c r="K2450" t="s">
        <v>493</v>
      </c>
      <c r="L2450" t="s">
        <v>5758</v>
      </c>
      <c r="N2450" t="s">
        <v>4187</v>
      </c>
      <c r="O2450" t="s">
        <v>4478</v>
      </c>
      <c r="Q2450" t="s">
        <v>4187</v>
      </c>
      <c r="R2450" t="s">
        <v>1454</v>
      </c>
      <c r="T2450" t="s">
        <v>5</v>
      </c>
      <c r="U2450" s="3" t="str">
        <f>+VLOOKUP(Sites_per_tag[[#This Row],[Activity_tag]],Parameter!$A$24:$B$32,2,0)</f>
        <v>MAM</v>
      </c>
      <c r="W2450">
        <v>45.671579999999999</v>
      </c>
      <c r="X2450">
        <v>-24.5456</v>
      </c>
    </row>
    <row r="2451" spans="1:24" x14ac:dyDescent="0.35">
      <c r="A2451" s="3" t="str">
        <f t="shared" si="38"/>
        <v>MG52516170002PREV</v>
      </c>
      <c r="B2451" t="s">
        <v>6211</v>
      </c>
      <c r="C2451">
        <f>+VLOOKUP(Sites_per_tag[[#This Row],[Field_office]],Parameter!$A$3:$B$11,2,0)</f>
        <v>6</v>
      </c>
      <c r="E2451" t="s">
        <v>5646</v>
      </c>
      <c r="F2451" t="s">
        <v>5647</v>
      </c>
      <c r="H2451" t="str">
        <f ca="1">PROPER(Sites_per_tag[[#This Row],[Adm2Name]])</f>
        <v>Antanimora Atsimo</v>
      </c>
      <c r="I2451" t="s">
        <v>5664</v>
      </c>
      <c r="K2451" t="s">
        <v>6247</v>
      </c>
      <c r="L2451" t="s">
        <v>5991</v>
      </c>
      <c r="N2451" t="s">
        <v>4189</v>
      </c>
      <c r="Q2451" t="s">
        <v>1126</v>
      </c>
      <c r="R2451" t="s">
        <v>1127</v>
      </c>
      <c r="T2451" t="s">
        <v>32</v>
      </c>
      <c r="U2451" s="3" t="str">
        <f>+VLOOKUP(Sites_per_tag[[#This Row],[Activity_tag]],Parameter!$A$24:$B$32,2,0)</f>
        <v>PREV</v>
      </c>
      <c r="W2451">
        <v>45.499850000000002</v>
      </c>
      <c r="X2451">
        <v>-24.781099999999999</v>
      </c>
    </row>
    <row r="2452" spans="1:24" x14ac:dyDescent="0.35">
      <c r="A2452" s="3" t="str">
        <f t="shared" si="38"/>
        <v>MG52516170005PREV</v>
      </c>
      <c r="B2452" t="s">
        <v>6211</v>
      </c>
      <c r="C2452">
        <f>+VLOOKUP(Sites_per_tag[[#This Row],[Field_office]],Parameter!$A$3:$B$11,2,0)</f>
        <v>6</v>
      </c>
      <c r="E2452" t="s">
        <v>5646</v>
      </c>
      <c r="F2452" t="s">
        <v>5647</v>
      </c>
      <c r="H2452" t="str">
        <f ca="1">PROPER(Sites_per_tag[[#This Row],[Adm2Name]])</f>
        <v>Antanimora Atsimo</v>
      </c>
      <c r="I2452" t="s">
        <v>5664</v>
      </c>
      <c r="K2452" t="s">
        <v>6247</v>
      </c>
      <c r="L2452" t="s">
        <v>5991</v>
      </c>
      <c r="N2452" t="s">
        <v>4192</v>
      </c>
      <c r="Q2452" t="s">
        <v>3735</v>
      </c>
      <c r="R2452" t="s">
        <v>3736</v>
      </c>
      <c r="T2452" t="s">
        <v>32</v>
      </c>
      <c r="U2452" s="3" t="str">
        <f>+VLOOKUP(Sites_per_tag[[#This Row],[Activity_tag]],Parameter!$A$24:$B$32,2,0)</f>
        <v>PREV</v>
      </c>
      <c r="W2452">
        <v>45.552779999999998</v>
      </c>
      <c r="X2452">
        <v>-24.819330000000001</v>
      </c>
    </row>
    <row r="2453" spans="1:24" x14ac:dyDescent="0.35">
      <c r="A2453" s="3" t="str">
        <f t="shared" si="38"/>
        <v>MG52516170006001MAM</v>
      </c>
      <c r="B2453" t="s">
        <v>6211</v>
      </c>
      <c r="C2453">
        <f>+VLOOKUP(Sites_per_tag[[#This Row],[Field_office]],Parameter!$A$3:$B$11,2,0)</f>
        <v>6</v>
      </c>
      <c r="E2453" t="s">
        <v>5646</v>
      </c>
      <c r="F2453" t="s">
        <v>5647</v>
      </c>
      <c r="H2453" t="str">
        <f ca="1">PROPER(Sites_per_tag[[#This Row],[Adm2Name]])</f>
        <v>Ambovombe-Androy</v>
      </c>
      <c r="I2453" t="s">
        <v>5655</v>
      </c>
      <c r="K2453" t="s">
        <v>6247</v>
      </c>
      <c r="L2453" t="s">
        <v>5991</v>
      </c>
      <c r="N2453" t="s">
        <v>5137</v>
      </c>
      <c r="O2453" t="s">
        <v>5136</v>
      </c>
      <c r="Q2453" t="s">
        <v>1026</v>
      </c>
      <c r="R2453" t="s">
        <v>1027</v>
      </c>
      <c r="T2453" t="s">
        <v>5</v>
      </c>
      <c r="U2453" s="3" t="str">
        <f>+VLOOKUP(Sites_per_tag[[#This Row],[Activity_tag]],Parameter!$A$24:$B$32,2,0)</f>
        <v>MAM</v>
      </c>
      <c r="W2453">
        <v>45.538919999999997</v>
      </c>
      <c r="X2453">
        <v>-24.840769999999999</v>
      </c>
    </row>
    <row r="2454" spans="1:24" x14ac:dyDescent="0.35">
      <c r="A2454" s="3" t="str">
        <f t="shared" si="38"/>
        <v>MG52516170013PREV</v>
      </c>
      <c r="B2454" t="s">
        <v>6211</v>
      </c>
      <c r="C2454">
        <f>+VLOOKUP(Sites_per_tag[[#This Row],[Field_office]],Parameter!$A$3:$B$11,2,0)</f>
        <v>6</v>
      </c>
      <c r="E2454" t="s">
        <v>5646</v>
      </c>
      <c r="F2454" t="s">
        <v>5647</v>
      </c>
      <c r="H2454" t="str">
        <f ca="1">PROPER(Sites_per_tag[[#This Row],[Adm2Name]])</f>
        <v>Antanimora Atsimo</v>
      </c>
      <c r="I2454" t="s">
        <v>5664</v>
      </c>
      <c r="K2454" t="s">
        <v>6247</v>
      </c>
      <c r="L2454" t="s">
        <v>5991</v>
      </c>
      <c r="N2454" t="s">
        <v>4188</v>
      </c>
      <c r="Q2454" t="s">
        <v>708</v>
      </c>
      <c r="R2454" t="s">
        <v>709</v>
      </c>
      <c r="T2454" t="s">
        <v>32</v>
      </c>
      <c r="U2454" s="3" t="str">
        <f>+VLOOKUP(Sites_per_tag[[#This Row],[Activity_tag]],Parameter!$A$24:$B$32,2,0)</f>
        <v>PREV</v>
      </c>
      <c r="W2454">
        <v>45.440750000000001</v>
      </c>
      <c r="X2454">
        <v>-24.84207</v>
      </c>
    </row>
    <row r="2455" spans="1:24" x14ac:dyDescent="0.35">
      <c r="A2455" s="3" t="str">
        <f t="shared" si="38"/>
        <v>MG52516170015PREV</v>
      </c>
      <c r="B2455" t="s">
        <v>6211</v>
      </c>
      <c r="C2455">
        <f>+VLOOKUP(Sites_per_tag[[#This Row],[Field_office]],Parameter!$A$3:$B$11,2,0)</f>
        <v>6</v>
      </c>
      <c r="E2455" t="s">
        <v>5646</v>
      </c>
      <c r="F2455" t="s">
        <v>5647</v>
      </c>
      <c r="H2455" t="str">
        <f ca="1">PROPER(Sites_per_tag[[#This Row],[Adm2Name]])</f>
        <v>Antanimora Atsimo</v>
      </c>
      <c r="I2455" t="s">
        <v>5664</v>
      </c>
      <c r="K2455" t="s">
        <v>6247</v>
      </c>
      <c r="L2455" t="s">
        <v>5991</v>
      </c>
      <c r="N2455" t="s">
        <v>4190</v>
      </c>
      <c r="Q2455" t="s">
        <v>1024</v>
      </c>
      <c r="R2455" t="s">
        <v>1025</v>
      </c>
      <c r="T2455" t="s">
        <v>32</v>
      </c>
      <c r="U2455" s="3" t="str">
        <f>+VLOOKUP(Sites_per_tag[[#This Row],[Activity_tag]],Parameter!$A$24:$B$32,2,0)</f>
        <v>PREV</v>
      </c>
      <c r="W2455">
        <v>45.525329999999997</v>
      </c>
      <c r="X2455">
        <v>-24.876080000000002</v>
      </c>
    </row>
    <row r="2456" spans="1:24" x14ac:dyDescent="0.35">
      <c r="A2456" s="3" t="str">
        <f t="shared" si="38"/>
        <v>MG52516170017PREV</v>
      </c>
      <c r="B2456" t="s">
        <v>6211</v>
      </c>
      <c r="C2456">
        <f>+VLOOKUP(Sites_per_tag[[#This Row],[Field_office]],Parameter!$A$3:$B$11,2,0)</f>
        <v>6</v>
      </c>
      <c r="E2456" t="s">
        <v>5646</v>
      </c>
      <c r="F2456" t="s">
        <v>5647</v>
      </c>
      <c r="H2456" t="str">
        <f ca="1">PROPER(Sites_per_tag[[#This Row],[Adm2Name]])</f>
        <v>Antanimora Atsimo</v>
      </c>
      <c r="I2456" t="s">
        <v>5664</v>
      </c>
      <c r="K2456" t="s">
        <v>6247</v>
      </c>
      <c r="L2456" t="s">
        <v>5991</v>
      </c>
      <c r="N2456" t="s">
        <v>4193</v>
      </c>
      <c r="Q2456" t="s">
        <v>2108</v>
      </c>
      <c r="R2456" t="s">
        <v>2109</v>
      </c>
      <c r="T2456" t="s">
        <v>32</v>
      </c>
      <c r="U2456" s="3" t="str">
        <f>+VLOOKUP(Sites_per_tag[[#This Row],[Activity_tag]],Parameter!$A$24:$B$32,2,0)</f>
        <v>PREV</v>
      </c>
      <c r="W2456">
        <v>45.579900000000002</v>
      </c>
      <c r="X2456">
        <v>-24.877600000000001</v>
      </c>
    </row>
    <row r="2457" spans="1:24" x14ac:dyDescent="0.35">
      <c r="A2457" s="3" t="str">
        <f t="shared" si="38"/>
        <v>MG52516170021PREV</v>
      </c>
      <c r="B2457" t="s">
        <v>6211</v>
      </c>
      <c r="C2457">
        <f>+VLOOKUP(Sites_per_tag[[#This Row],[Field_office]],Parameter!$A$3:$B$11,2,0)</f>
        <v>6</v>
      </c>
      <c r="E2457" t="s">
        <v>5646</v>
      </c>
      <c r="F2457" t="s">
        <v>5647</v>
      </c>
      <c r="H2457" t="str">
        <f ca="1">PROPER(Sites_per_tag[[#This Row],[Adm2Name]])</f>
        <v>Antanimora Atsimo</v>
      </c>
      <c r="I2457" t="s">
        <v>5664</v>
      </c>
      <c r="K2457" t="s">
        <v>6247</v>
      </c>
      <c r="L2457" t="s">
        <v>5991</v>
      </c>
      <c r="N2457" t="s">
        <v>4187</v>
      </c>
      <c r="Q2457" t="s">
        <v>1453</v>
      </c>
      <c r="R2457" t="s">
        <v>1455</v>
      </c>
      <c r="T2457" t="s">
        <v>32</v>
      </c>
      <c r="U2457" s="3" t="str">
        <f>+VLOOKUP(Sites_per_tag[[#This Row],[Activity_tag]],Parameter!$A$24:$B$32,2,0)</f>
        <v>PREV</v>
      </c>
      <c r="W2457">
        <v>45.425350000000002</v>
      </c>
      <c r="X2457">
        <v>-24.750679999999999</v>
      </c>
    </row>
    <row r="2458" spans="1:24" x14ac:dyDescent="0.35">
      <c r="A2458" s="3" t="str">
        <f t="shared" si="38"/>
        <v>MG52516170024PREV</v>
      </c>
      <c r="B2458" t="s">
        <v>6211</v>
      </c>
      <c r="C2458">
        <f>+VLOOKUP(Sites_per_tag[[#This Row],[Field_office]],Parameter!$A$3:$B$11,2,0)</f>
        <v>6</v>
      </c>
      <c r="E2458" t="s">
        <v>5646</v>
      </c>
      <c r="F2458" t="s">
        <v>5647</v>
      </c>
      <c r="H2458" t="str">
        <f ca="1">PROPER(Sites_per_tag[[#This Row],[Adm2Name]])</f>
        <v>Antanimora Atsimo</v>
      </c>
      <c r="I2458" t="s">
        <v>5664</v>
      </c>
      <c r="K2458" t="s">
        <v>6247</v>
      </c>
      <c r="L2458" t="s">
        <v>5991</v>
      </c>
      <c r="N2458" t="s">
        <v>4185</v>
      </c>
      <c r="Q2458" t="s">
        <v>1408</v>
      </c>
      <c r="R2458" t="s">
        <v>1409</v>
      </c>
      <c r="T2458" t="s">
        <v>32</v>
      </c>
      <c r="U2458" s="3" t="str">
        <f>+VLOOKUP(Sites_per_tag[[#This Row],[Activity_tag]],Parameter!$A$24:$B$32,2,0)</f>
        <v>PREV</v>
      </c>
      <c r="W2458">
        <v>45.414650000000002</v>
      </c>
      <c r="X2458">
        <v>-24.95523</v>
      </c>
    </row>
    <row r="2459" spans="1:24" x14ac:dyDescent="0.35">
      <c r="A2459" s="3" t="str">
        <f t="shared" si="38"/>
        <v>MG52516170025PREV</v>
      </c>
      <c r="B2459" t="s">
        <v>6211</v>
      </c>
      <c r="C2459">
        <f>+VLOOKUP(Sites_per_tag[[#This Row],[Field_office]],Parameter!$A$3:$B$11,2,0)</f>
        <v>6</v>
      </c>
      <c r="E2459" t="s">
        <v>5646</v>
      </c>
      <c r="F2459" t="s">
        <v>5647</v>
      </c>
      <c r="H2459" t="str">
        <f ca="1">PROPER(Sites_per_tag[[#This Row],[Adm2Name]])</f>
        <v>Antanimora Atsimo</v>
      </c>
      <c r="I2459" t="s">
        <v>5664</v>
      </c>
      <c r="K2459" t="s">
        <v>6247</v>
      </c>
      <c r="L2459" t="s">
        <v>5991</v>
      </c>
      <c r="N2459" t="s">
        <v>4183</v>
      </c>
      <c r="Q2459" t="s">
        <v>139</v>
      </c>
      <c r="R2459" t="s">
        <v>140</v>
      </c>
      <c r="T2459" t="s">
        <v>32</v>
      </c>
      <c r="U2459" s="3" t="str">
        <f>+VLOOKUP(Sites_per_tag[[#This Row],[Activity_tag]],Parameter!$A$24:$B$32,2,0)</f>
        <v>PREV</v>
      </c>
      <c r="W2459">
        <v>45.324150000000003</v>
      </c>
      <c r="X2459">
        <v>-25.01868</v>
      </c>
    </row>
    <row r="2460" spans="1:24" x14ac:dyDescent="0.35">
      <c r="A2460" s="3" t="str">
        <f t="shared" si="38"/>
        <v>MG52516170027001MAM</v>
      </c>
      <c r="B2460" t="s">
        <v>6211</v>
      </c>
      <c r="C2460">
        <f>+VLOOKUP(Sites_per_tag[[#This Row],[Field_office]],Parameter!$A$3:$B$11,2,0)</f>
        <v>6</v>
      </c>
      <c r="E2460" t="s">
        <v>5646</v>
      </c>
      <c r="F2460" t="s">
        <v>5647</v>
      </c>
      <c r="H2460" t="str">
        <f ca="1">PROPER(Sites_per_tag[[#This Row],[Adm2Name]])</f>
        <v>Ambovombe-Androy</v>
      </c>
      <c r="I2460" t="s">
        <v>5655</v>
      </c>
      <c r="K2460" t="s">
        <v>6247</v>
      </c>
      <c r="L2460" t="s">
        <v>5991</v>
      </c>
      <c r="N2460" t="s">
        <v>5139</v>
      </c>
      <c r="O2460" t="s">
        <v>5138</v>
      </c>
      <c r="Q2460" t="s">
        <v>466</v>
      </c>
      <c r="R2460" t="s">
        <v>467</v>
      </c>
      <c r="T2460" t="s">
        <v>5</v>
      </c>
      <c r="U2460" s="3" t="str">
        <f>+VLOOKUP(Sites_per_tag[[#This Row],[Activity_tag]],Parameter!$A$24:$B$32,2,0)</f>
        <v>MAM</v>
      </c>
      <c r="W2460">
        <v>45.431420000000003</v>
      </c>
      <c r="X2460">
        <v>-24.992629999999998</v>
      </c>
    </row>
    <row r="2461" spans="1:24" x14ac:dyDescent="0.35">
      <c r="A2461" s="3" t="str">
        <f t="shared" si="38"/>
        <v>MG52516170028001MAM</v>
      </c>
      <c r="B2461" t="s">
        <v>6211</v>
      </c>
      <c r="C2461">
        <f>+VLOOKUP(Sites_per_tag[[#This Row],[Field_office]],Parameter!$A$3:$B$11,2,0)</f>
        <v>6</v>
      </c>
      <c r="E2461" t="s">
        <v>5646</v>
      </c>
      <c r="F2461" t="s">
        <v>5647</v>
      </c>
      <c r="H2461" t="str">
        <f ca="1">PROPER(Sites_per_tag[[#This Row],[Adm2Name]])</f>
        <v>Ambovombe-Androy</v>
      </c>
      <c r="I2461" t="s">
        <v>5655</v>
      </c>
      <c r="K2461" t="s">
        <v>6247</v>
      </c>
      <c r="L2461" t="s">
        <v>5991</v>
      </c>
      <c r="N2461" t="s">
        <v>2878</v>
      </c>
      <c r="O2461" t="s">
        <v>2879</v>
      </c>
      <c r="Q2461" t="s">
        <v>4191</v>
      </c>
      <c r="R2461" t="s">
        <v>2880</v>
      </c>
      <c r="T2461" t="s">
        <v>5</v>
      </c>
      <c r="U2461" s="3" t="str">
        <f>+VLOOKUP(Sites_per_tag[[#This Row],[Activity_tag]],Parameter!$A$24:$B$32,2,0)</f>
        <v>MAM</v>
      </c>
      <c r="W2461">
        <v>45.508600000000001</v>
      </c>
      <c r="X2461">
        <v>-25.01417</v>
      </c>
    </row>
    <row r="2462" spans="1:24" x14ac:dyDescent="0.35">
      <c r="A2462" s="3" t="str">
        <f t="shared" si="38"/>
        <v>MG52516170028PREV</v>
      </c>
      <c r="B2462" t="s">
        <v>6211</v>
      </c>
      <c r="C2462">
        <f>+VLOOKUP(Sites_per_tag[[#This Row],[Field_office]],Parameter!$A$3:$B$11,2,0)</f>
        <v>6</v>
      </c>
      <c r="E2462" t="s">
        <v>5646</v>
      </c>
      <c r="F2462" t="s">
        <v>5647</v>
      </c>
      <c r="H2462" t="str">
        <f ca="1">PROPER(Sites_per_tag[[#This Row],[Adm2Name]])</f>
        <v>Antanimora Atsimo</v>
      </c>
      <c r="I2462" t="s">
        <v>5664</v>
      </c>
      <c r="K2462" t="s">
        <v>6247</v>
      </c>
      <c r="L2462" t="s">
        <v>5991</v>
      </c>
      <c r="N2462" t="s">
        <v>4191</v>
      </c>
      <c r="Q2462" t="s">
        <v>2878</v>
      </c>
      <c r="R2462" t="s">
        <v>2879</v>
      </c>
      <c r="T2462" t="s">
        <v>32</v>
      </c>
      <c r="U2462" s="3" t="str">
        <f>+VLOOKUP(Sites_per_tag[[#This Row],[Activity_tag]],Parameter!$A$24:$B$32,2,0)</f>
        <v>PREV</v>
      </c>
      <c r="W2462">
        <v>45.508600000000001</v>
      </c>
      <c r="X2462">
        <v>-25.01417</v>
      </c>
    </row>
    <row r="2463" spans="1:24" x14ac:dyDescent="0.35">
      <c r="A2463" s="3" t="str">
        <f t="shared" si="38"/>
        <v>MG52516170030001MAM</v>
      </c>
      <c r="B2463" t="s">
        <v>6211</v>
      </c>
      <c r="C2463">
        <f>+VLOOKUP(Sites_per_tag[[#This Row],[Field_office]],Parameter!$A$3:$B$11,2,0)</f>
        <v>6</v>
      </c>
      <c r="E2463" t="s">
        <v>5646</v>
      </c>
      <c r="F2463" t="s">
        <v>5647</v>
      </c>
      <c r="H2463" t="str">
        <f ca="1">PROPER(Sites_per_tag[[#This Row],[Adm2Name]])</f>
        <v>Ambovombe-Androy</v>
      </c>
      <c r="I2463" t="s">
        <v>5655</v>
      </c>
      <c r="K2463" t="s">
        <v>6247</v>
      </c>
      <c r="L2463" t="s">
        <v>5991</v>
      </c>
      <c r="N2463" t="s">
        <v>4694</v>
      </c>
      <c r="O2463" t="s">
        <v>5140</v>
      </c>
      <c r="Q2463" t="s">
        <v>1063</v>
      </c>
      <c r="R2463" t="s">
        <v>1064</v>
      </c>
      <c r="T2463" t="s">
        <v>5</v>
      </c>
      <c r="U2463" s="3" t="str">
        <f>+VLOOKUP(Sites_per_tag[[#This Row],[Activity_tag]],Parameter!$A$24:$B$32,2,0)</f>
        <v>MAM</v>
      </c>
      <c r="W2463">
        <v>45.586919999999999</v>
      </c>
      <c r="X2463">
        <v>-24.95675</v>
      </c>
    </row>
    <row r="2464" spans="1:24" x14ac:dyDescent="0.35">
      <c r="A2464" s="3" t="str">
        <f t="shared" si="38"/>
        <v>MG52516170033001MAM</v>
      </c>
      <c r="B2464" t="s">
        <v>6211</v>
      </c>
      <c r="C2464">
        <f>+VLOOKUP(Sites_per_tag[[#This Row],[Field_office]],Parameter!$A$3:$B$11,2,0)</f>
        <v>6</v>
      </c>
      <c r="E2464" t="s">
        <v>5646</v>
      </c>
      <c r="F2464" t="s">
        <v>5647</v>
      </c>
      <c r="H2464" t="str">
        <f ca="1">PROPER(Sites_per_tag[[#This Row],[Adm2Name]])</f>
        <v>Ambovombe-Androy</v>
      </c>
      <c r="I2464" t="s">
        <v>5655</v>
      </c>
      <c r="K2464" t="s">
        <v>6248</v>
      </c>
      <c r="L2464" t="s">
        <v>5797</v>
      </c>
      <c r="N2464" t="s">
        <v>2947</v>
      </c>
      <c r="O2464" t="s">
        <v>4557</v>
      </c>
      <c r="Q2464" t="s">
        <v>2947</v>
      </c>
      <c r="R2464" t="s">
        <v>2948</v>
      </c>
      <c r="T2464" t="s">
        <v>5</v>
      </c>
      <c r="U2464" s="3" t="str">
        <f>+VLOOKUP(Sites_per_tag[[#This Row],[Activity_tag]],Parameter!$A$24:$B$32,2,0)</f>
        <v>MAM</v>
      </c>
      <c r="W2464">
        <v>45.60577</v>
      </c>
      <c r="X2464">
        <v>-25.05247</v>
      </c>
    </row>
    <row r="2465" spans="1:24" x14ac:dyDescent="0.35">
      <c r="A2465" s="3" t="str">
        <f t="shared" si="38"/>
        <v>MG52516170039PREV</v>
      </c>
      <c r="B2465" t="s">
        <v>6211</v>
      </c>
      <c r="C2465">
        <f>+VLOOKUP(Sites_per_tag[[#This Row],[Field_office]],Parameter!$A$3:$B$11,2,0)</f>
        <v>6</v>
      </c>
      <c r="E2465" t="s">
        <v>5646</v>
      </c>
      <c r="F2465" t="s">
        <v>5647</v>
      </c>
      <c r="H2465" t="str">
        <f ca="1">PROPER(Sites_per_tag[[#This Row],[Adm2Name]])</f>
        <v>Antanimora Atsimo</v>
      </c>
      <c r="I2465" t="s">
        <v>5664</v>
      </c>
      <c r="K2465" t="s">
        <v>6247</v>
      </c>
      <c r="L2465" t="s">
        <v>5991</v>
      </c>
      <c r="N2465" t="s">
        <v>4184</v>
      </c>
      <c r="Q2465" t="s">
        <v>1577</v>
      </c>
      <c r="R2465" t="s">
        <v>1578</v>
      </c>
      <c r="T2465" t="s">
        <v>32</v>
      </c>
      <c r="U2465" s="3" t="str">
        <f>+VLOOKUP(Sites_per_tag[[#This Row],[Activity_tag]],Parameter!$A$24:$B$32,2,0)</f>
        <v>PREV</v>
      </c>
      <c r="W2465">
        <v>45.41245</v>
      </c>
      <c r="X2465">
        <v>-25.02195</v>
      </c>
    </row>
    <row r="2466" spans="1:24" x14ac:dyDescent="0.35">
      <c r="A2466" s="3" t="str">
        <f t="shared" si="38"/>
        <v>MG52516170040001MAM</v>
      </c>
      <c r="B2466" t="s">
        <v>6211</v>
      </c>
      <c r="C2466">
        <f>+VLOOKUP(Sites_per_tag[[#This Row],[Field_office]],Parameter!$A$3:$B$11,2,0)</f>
        <v>6</v>
      </c>
      <c r="E2466" t="s">
        <v>5646</v>
      </c>
      <c r="F2466" t="s">
        <v>5647</v>
      </c>
      <c r="H2466" t="str">
        <f ca="1">PROPER(Sites_per_tag[[#This Row],[Adm2Name]])</f>
        <v>Ambovombe-Androy</v>
      </c>
      <c r="I2466" t="s">
        <v>5655</v>
      </c>
      <c r="K2466" t="s">
        <v>6247</v>
      </c>
      <c r="L2466" t="s">
        <v>5991</v>
      </c>
      <c r="N2466" t="s">
        <v>5141</v>
      </c>
      <c r="O2466" t="s">
        <v>1432</v>
      </c>
      <c r="Q2466" t="s">
        <v>1433</v>
      </c>
      <c r="R2466" t="s">
        <v>1434</v>
      </c>
      <c r="T2466" t="s">
        <v>5</v>
      </c>
      <c r="U2466" s="3" t="str">
        <f>+VLOOKUP(Sites_per_tag[[#This Row],[Activity_tag]],Parameter!$A$24:$B$32,2,0)</f>
        <v>MAM</v>
      </c>
      <c r="W2466">
        <v>45.43938</v>
      </c>
      <c r="X2466">
        <v>-25.107330000000001</v>
      </c>
    </row>
    <row r="2467" spans="1:24" x14ac:dyDescent="0.35">
      <c r="A2467" s="3" t="str">
        <f t="shared" si="38"/>
        <v>MG52516170040PREV</v>
      </c>
      <c r="B2467" t="s">
        <v>6211</v>
      </c>
      <c r="C2467">
        <f>+VLOOKUP(Sites_per_tag[[#This Row],[Field_office]],Parameter!$A$3:$B$11,2,0)</f>
        <v>6</v>
      </c>
      <c r="E2467" t="s">
        <v>5646</v>
      </c>
      <c r="F2467" t="s">
        <v>5647</v>
      </c>
      <c r="H2467" t="str">
        <f ca="1">PROPER(Sites_per_tag[[#This Row],[Adm2Name]])</f>
        <v>Antanimora Atsimo</v>
      </c>
      <c r="I2467" t="s">
        <v>5664</v>
      </c>
      <c r="K2467" t="s">
        <v>6247</v>
      </c>
      <c r="L2467" t="s">
        <v>5991</v>
      </c>
      <c r="N2467" t="s">
        <v>4186</v>
      </c>
      <c r="Q2467" t="s">
        <v>1431</v>
      </c>
      <c r="R2467" t="s">
        <v>1432</v>
      </c>
      <c r="T2467" t="s">
        <v>32</v>
      </c>
      <c r="U2467" s="3" t="str">
        <f>+VLOOKUP(Sites_per_tag[[#This Row],[Activity_tag]],Parameter!$A$24:$B$32,2,0)</f>
        <v>PREV</v>
      </c>
      <c r="W2467">
        <v>45.449800000000003</v>
      </c>
      <c r="X2467">
        <v>-25.09273</v>
      </c>
    </row>
    <row r="2468" spans="1:24" x14ac:dyDescent="0.35">
      <c r="A2468" s="3" t="str">
        <f t="shared" si="38"/>
        <v>MG52516170042PREV</v>
      </c>
      <c r="B2468" t="s">
        <v>6211</v>
      </c>
      <c r="C2468">
        <f>+VLOOKUP(Sites_per_tag[[#This Row],[Field_office]],Parameter!$A$3:$B$11,2,0)</f>
        <v>6</v>
      </c>
      <c r="E2468" t="s">
        <v>5646</v>
      </c>
      <c r="F2468" t="s">
        <v>5647</v>
      </c>
      <c r="H2468" t="str">
        <f ca="1">PROPER(Sites_per_tag[[#This Row],[Adm2Name]])</f>
        <v>Antanimora Atsimo</v>
      </c>
      <c r="I2468" t="s">
        <v>5664</v>
      </c>
      <c r="K2468" t="s">
        <v>6247</v>
      </c>
      <c r="L2468" t="s">
        <v>5991</v>
      </c>
      <c r="N2468" t="s">
        <v>4194</v>
      </c>
      <c r="Q2468" t="s">
        <v>183</v>
      </c>
      <c r="R2468" t="s">
        <v>184</v>
      </c>
      <c r="T2468" t="s">
        <v>32</v>
      </c>
      <c r="U2468" s="3" t="str">
        <f>+VLOOKUP(Sites_per_tag[[#This Row],[Activity_tag]],Parameter!$A$24:$B$32,2,0)</f>
        <v>PREV</v>
      </c>
      <c r="W2468">
        <v>45.414569999999998</v>
      </c>
      <c r="X2468">
        <v>-24.8855</v>
      </c>
    </row>
    <row r="2469" spans="1:24" x14ac:dyDescent="0.35">
      <c r="A2469" s="3" t="str">
        <f t="shared" si="38"/>
        <v>MG52516170043PREV</v>
      </c>
      <c r="B2469" t="s">
        <v>6211</v>
      </c>
      <c r="C2469">
        <f>+VLOOKUP(Sites_per_tag[[#This Row],[Field_office]],Parameter!$A$3:$B$11,2,0)</f>
        <v>6</v>
      </c>
      <c r="E2469" t="s">
        <v>5646</v>
      </c>
      <c r="F2469" t="s">
        <v>5647</v>
      </c>
      <c r="H2469" t="str">
        <f ca="1">PROPER(Sites_per_tag[[#This Row],[Adm2Name]])</f>
        <v>Antanimora Atsimo</v>
      </c>
      <c r="I2469" t="s">
        <v>5664</v>
      </c>
      <c r="K2469" t="s">
        <v>6247</v>
      </c>
      <c r="L2469" t="s">
        <v>5991</v>
      </c>
      <c r="N2469" t="s">
        <v>4195</v>
      </c>
      <c r="Q2469" t="s">
        <v>30</v>
      </c>
      <c r="R2469" t="s">
        <v>31</v>
      </c>
      <c r="T2469" t="s">
        <v>32</v>
      </c>
      <c r="U2469" s="3" t="str">
        <f>+VLOOKUP(Sites_per_tag[[#This Row],[Activity_tag]],Parameter!$A$24:$B$32,2,0)</f>
        <v>PREV</v>
      </c>
      <c r="W2469">
        <v>45.559750000000001</v>
      </c>
      <c r="X2469">
        <v>-24.914670000000001</v>
      </c>
    </row>
    <row r="2470" spans="1:24" x14ac:dyDescent="0.35">
      <c r="A2470" s="3" t="str">
        <f t="shared" si="38"/>
        <v>MG52516170060PREV</v>
      </c>
      <c r="B2470" t="s">
        <v>6211</v>
      </c>
      <c r="C2470">
        <f>+VLOOKUP(Sites_per_tag[[#This Row],[Field_office]],Parameter!$A$3:$B$11,2,0)</f>
        <v>6</v>
      </c>
      <c r="E2470" t="s">
        <v>5646</v>
      </c>
      <c r="F2470" t="s">
        <v>5647</v>
      </c>
      <c r="H2470" t="str">
        <f ca="1">PROPER(Sites_per_tag[[#This Row],[Adm2Name]])</f>
        <v>Antanimora Atsimo</v>
      </c>
      <c r="I2470" t="s">
        <v>5664</v>
      </c>
      <c r="K2470" t="s">
        <v>6247</v>
      </c>
      <c r="L2470" t="s">
        <v>5991</v>
      </c>
      <c r="N2470" t="s">
        <v>4196</v>
      </c>
      <c r="Q2470" t="s">
        <v>4008</v>
      </c>
      <c r="R2470" t="s">
        <v>4009</v>
      </c>
      <c r="T2470" t="s">
        <v>32</v>
      </c>
      <c r="U2470" s="3" t="str">
        <f>+VLOOKUP(Sites_per_tag[[#This Row],[Activity_tag]],Parameter!$A$24:$B$32,2,0)</f>
        <v>PREV</v>
      </c>
      <c r="W2470">
        <v>45.545250000000003</v>
      </c>
      <c r="X2470">
        <v>-24.76305</v>
      </c>
    </row>
    <row r="2471" spans="1:24" x14ac:dyDescent="0.35">
      <c r="A2471" s="3" t="str">
        <f t="shared" si="38"/>
        <v>MG52516170069001MAM</v>
      </c>
      <c r="B2471" t="s">
        <v>6211</v>
      </c>
      <c r="C2471">
        <f>+VLOOKUP(Sites_per_tag[[#This Row],[Field_office]],Parameter!$A$3:$B$11,2,0)</f>
        <v>6</v>
      </c>
      <c r="E2471" t="s">
        <v>5646</v>
      </c>
      <c r="F2471" t="s">
        <v>5647</v>
      </c>
      <c r="H2471" t="str">
        <f ca="1">PROPER(Sites_per_tag[[#This Row],[Adm2Name]])</f>
        <v>Ambovombe-Androy</v>
      </c>
      <c r="I2471" t="s">
        <v>5655</v>
      </c>
      <c r="K2471" t="s">
        <v>6247</v>
      </c>
      <c r="L2471" t="s">
        <v>5991</v>
      </c>
      <c r="N2471" t="s">
        <v>53</v>
      </c>
      <c r="O2471" t="s">
        <v>5142</v>
      </c>
      <c r="Q2471" t="s">
        <v>53</v>
      </c>
      <c r="R2471" t="s">
        <v>54</v>
      </c>
      <c r="T2471" t="s">
        <v>5</v>
      </c>
      <c r="U2471" s="3" t="str">
        <f>+VLOOKUP(Sites_per_tag[[#This Row],[Activity_tag]],Parameter!$A$24:$B$32,2,0)</f>
        <v>MAM</v>
      </c>
      <c r="W2471">
        <v>45.519970000000001</v>
      </c>
      <c r="X2471">
        <v>-24.927119999999999</v>
      </c>
    </row>
    <row r="2472" spans="1:24" x14ac:dyDescent="0.35">
      <c r="A2472" s="3" t="str">
        <f t="shared" si="38"/>
        <v>MG52516170070001MAM</v>
      </c>
      <c r="B2472" t="s">
        <v>6211</v>
      </c>
      <c r="C2472">
        <f>+VLOOKUP(Sites_per_tag[[#This Row],[Field_office]],Parameter!$A$3:$B$11,2,0)</f>
        <v>6</v>
      </c>
      <c r="E2472" t="s">
        <v>5646</v>
      </c>
      <c r="F2472" t="s">
        <v>5647</v>
      </c>
      <c r="H2472" t="str">
        <f ca="1">PROPER(Sites_per_tag[[#This Row],[Adm2Name]])</f>
        <v>Ambovombe-Androy</v>
      </c>
      <c r="I2472" t="s">
        <v>5655</v>
      </c>
      <c r="K2472" t="s">
        <v>6247</v>
      </c>
      <c r="L2472" t="s">
        <v>5991</v>
      </c>
      <c r="N2472" t="s">
        <v>256</v>
      </c>
      <c r="O2472" t="s">
        <v>5143</v>
      </c>
      <c r="Q2472" t="s">
        <v>256</v>
      </c>
      <c r="R2472" t="s">
        <v>257</v>
      </c>
      <c r="T2472" t="s">
        <v>5</v>
      </c>
      <c r="U2472" s="3" t="str">
        <f>+VLOOKUP(Sites_per_tag[[#This Row],[Activity_tag]],Parameter!$A$24:$B$32,2,0)</f>
        <v>MAM</v>
      </c>
      <c r="W2472">
        <v>45.430349999999997</v>
      </c>
      <c r="X2472">
        <v>-24.739080000000001</v>
      </c>
    </row>
    <row r="2473" spans="1:24" x14ac:dyDescent="0.35">
      <c r="A2473" s="3" t="str">
        <f t="shared" si="38"/>
        <v>MG52516170077001MAM</v>
      </c>
      <c r="B2473" t="s">
        <v>6211</v>
      </c>
      <c r="C2473">
        <f>+VLOOKUP(Sites_per_tag[[#This Row],[Field_office]],Parameter!$A$3:$B$11,2,0)</f>
        <v>6</v>
      </c>
      <c r="E2473" t="s">
        <v>5646</v>
      </c>
      <c r="F2473" t="s">
        <v>5647</v>
      </c>
      <c r="H2473" t="str">
        <f ca="1">PROPER(Sites_per_tag[[#This Row],[Adm2Name]])</f>
        <v>Ambovombe-Androy</v>
      </c>
      <c r="I2473" t="s">
        <v>5655</v>
      </c>
      <c r="K2473" t="s">
        <v>6248</v>
      </c>
      <c r="L2473" t="s">
        <v>5797</v>
      </c>
      <c r="N2473" t="s">
        <v>976</v>
      </c>
      <c r="O2473" t="s">
        <v>4558</v>
      </c>
      <c r="Q2473" t="s">
        <v>976</v>
      </c>
      <c r="R2473" t="s">
        <v>977</v>
      </c>
      <c r="T2473" t="s">
        <v>5</v>
      </c>
      <c r="U2473" s="3" t="str">
        <f>+VLOOKUP(Sites_per_tag[[#This Row],[Activity_tag]],Parameter!$A$24:$B$32,2,0)</f>
        <v>MAM</v>
      </c>
      <c r="W2473">
        <v>45.584870000000002</v>
      </c>
      <c r="X2473">
        <v>-25.065370000000001</v>
      </c>
    </row>
    <row r="2474" spans="1:24" x14ac:dyDescent="0.35">
      <c r="A2474" s="3" t="str">
        <f t="shared" si="38"/>
        <v>MG52516170078001MAM</v>
      </c>
      <c r="B2474" t="s">
        <v>6211</v>
      </c>
      <c r="C2474">
        <f>+VLOOKUP(Sites_per_tag[[#This Row],[Field_office]],Parameter!$A$3:$B$11,2,0)</f>
        <v>6</v>
      </c>
      <c r="E2474" t="s">
        <v>5646</v>
      </c>
      <c r="F2474" t="s">
        <v>5647</v>
      </c>
      <c r="H2474" t="str">
        <f ca="1">PROPER(Sites_per_tag[[#This Row],[Adm2Name]])</f>
        <v>Ambovombe-Androy</v>
      </c>
      <c r="I2474" t="s">
        <v>5655</v>
      </c>
      <c r="K2474" t="s">
        <v>6248</v>
      </c>
      <c r="L2474" t="s">
        <v>5797</v>
      </c>
      <c r="N2474" t="s">
        <v>791</v>
      </c>
      <c r="O2474" t="s">
        <v>4559</v>
      </c>
      <c r="Q2474" t="s">
        <v>791</v>
      </c>
      <c r="R2474" t="s">
        <v>792</v>
      </c>
      <c r="T2474" t="s">
        <v>5</v>
      </c>
      <c r="U2474" s="3" t="str">
        <f>+VLOOKUP(Sites_per_tag[[#This Row],[Activity_tag]],Parameter!$A$24:$B$32,2,0)</f>
        <v>MAM</v>
      </c>
      <c r="W2474">
        <v>45.588470000000001</v>
      </c>
      <c r="X2474">
        <v>-25.052949999999999</v>
      </c>
    </row>
    <row r="2475" spans="1:24" x14ac:dyDescent="0.35">
      <c r="A2475" s="3" t="str">
        <f t="shared" si="38"/>
        <v>MG52516170079001MAM</v>
      </c>
      <c r="B2475" t="s">
        <v>6211</v>
      </c>
      <c r="C2475">
        <f>+VLOOKUP(Sites_per_tag[[#This Row],[Field_office]],Parameter!$A$3:$B$11,2,0)</f>
        <v>6</v>
      </c>
      <c r="E2475" t="s">
        <v>5646</v>
      </c>
      <c r="F2475" t="s">
        <v>5647</v>
      </c>
      <c r="H2475" t="str">
        <f ca="1">PROPER(Sites_per_tag[[#This Row],[Adm2Name]])</f>
        <v>Ambovombe-Androy</v>
      </c>
      <c r="I2475" t="s">
        <v>5655</v>
      </c>
      <c r="K2475" t="s">
        <v>6248</v>
      </c>
      <c r="L2475" t="s">
        <v>5797</v>
      </c>
      <c r="N2475" t="s">
        <v>3079</v>
      </c>
      <c r="O2475" t="s">
        <v>4560</v>
      </c>
      <c r="Q2475" t="s">
        <v>3079</v>
      </c>
      <c r="R2475" t="s">
        <v>3080</v>
      </c>
      <c r="T2475" t="s">
        <v>5</v>
      </c>
      <c r="U2475" s="3" t="str">
        <f>+VLOOKUP(Sites_per_tag[[#This Row],[Activity_tag]],Parameter!$A$24:$B$32,2,0)</f>
        <v>MAM</v>
      </c>
      <c r="W2475">
        <v>45.559469999999997</v>
      </c>
      <c r="X2475">
        <v>-25.04768</v>
      </c>
    </row>
    <row r="2476" spans="1:24" x14ac:dyDescent="0.35">
      <c r="A2476" s="3" t="str">
        <f t="shared" si="38"/>
        <v>MG52516170080001MAM</v>
      </c>
      <c r="B2476" t="s">
        <v>6211</v>
      </c>
      <c r="C2476">
        <f>+VLOOKUP(Sites_per_tag[[#This Row],[Field_office]],Parameter!$A$3:$B$11,2,0)</f>
        <v>6</v>
      </c>
      <c r="E2476" t="s">
        <v>5646</v>
      </c>
      <c r="F2476" t="s">
        <v>5647</v>
      </c>
      <c r="H2476" t="str">
        <f ca="1">PROPER(Sites_per_tag[[#This Row],[Adm2Name]])</f>
        <v>Ambovombe-Androy</v>
      </c>
      <c r="I2476" t="s">
        <v>5655</v>
      </c>
      <c r="K2476" t="s">
        <v>6247</v>
      </c>
      <c r="L2476" t="s">
        <v>5991</v>
      </c>
      <c r="N2476" t="s">
        <v>1646</v>
      </c>
      <c r="O2476" t="s">
        <v>5144</v>
      </c>
      <c r="Q2476" t="s">
        <v>1646</v>
      </c>
      <c r="R2476" t="s">
        <v>1647</v>
      </c>
      <c r="T2476" t="s">
        <v>5</v>
      </c>
      <c r="U2476" s="3" t="str">
        <f>+VLOOKUP(Sites_per_tag[[#This Row],[Activity_tag]],Parameter!$A$24:$B$32,2,0)</f>
        <v>MAM</v>
      </c>
      <c r="W2476">
        <v>45.465730000000001</v>
      </c>
      <c r="X2476">
        <v>-24.960529999999999</v>
      </c>
    </row>
    <row r="2477" spans="1:24" x14ac:dyDescent="0.35">
      <c r="A2477" s="3" t="str">
        <f t="shared" si="38"/>
        <v>MG52516170092001MAM</v>
      </c>
      <c r="B2477" t="s">
        <v>6211</v>
      </c>
      <c r="C2477">
        <f>+VLOOKUP(Sites_per_tag[[#This Row],[Field_office]],Parameter!$A$3:$B$11,2,0)</f>
        <v>6</v>
      </c>
      <c r="E2477" t="s">
        <v>5646</v>
      </c>
      <c r="F2477" t="s">
        <v>5647</v>
      </c>
      <c r="H2477" t="str">
        <f ca="1">PROPER(Sites_per_tag[[#This Row],[Adm2Name]])</f>
        <v>Ambovombe-Androy</v>
      </c>
      <c r="I2477" t="s">
        <v>5655</v>
      </c>
      <c r="K2477" t="s">
        <v>6248</v>
      </c>
      <c r="L2477" t="s">
        <v>5797</v>
      </c>
      <c r="N2477" t="s">
        <v>3792</v>
      </c>
      <c r="O2477" t="s">
        <v>4561</v>
      </c>
      <c r="Q2477" t="s">
        <v>3792</v>
      </c>
      <c r="R2477" t="s">
        <v>3793</v>
      </c>
      <c r="T2477" t="s">
        <v>5</v>
      </c>
      <c r="U2477" s="3" t="str">
        <f>+VLOOKUP(Sites_per_tag[[#This Row],[Activity_tag]],Parameter!$A$24:$B$32,2,0)</f>
        <v>MAM</v>
      </c>
      <c r="W2477">
        <v>45.628230000000002</v>
      </c>
      <c r="X2477">
        <v>-25.07423</v>
      </c>
    </row>
    <row r="2478" spans="1:24" x14ac:dyDescent="0.35">
      <c r="A2478" s="3" t="str">
        <f t="shared" si="38"/>
        <v>MG52516190001001MAM</v>
      </c>
      <c r="B2478" t="s">
        <v>6211</v>
      </c>
      <c r="C2478">
        <f>+VLOOKUP(Sites_per_tag[[#This Row],[Field_office]],Parameter!$A$3:$B$11,2,0)</f>
        <v>6</v>
      </c>
      <c r="E2478" t="s">
        <v>5646</v>
      </c>
      <c r="F2478" t="s">
        <v>5647</v>
      </c>
      <c r="H2478" t="str">
        <f ca="1">PROPER(Sites_per_tag[[#This Row],[Adm2Name]])</f>
        <v>Ambovombe-Androy</v>
      </c>
      <c r="I2478" t="s">
        <v>5655</v>
      </c>
      <c r="K2478" t="s">
        <v>6246</v>
      </c>
      <c r="L2478" t="s">
        <v>5974</v>
      </c>
      <c r="N2478" t="s">
        <v>2590</v>
      </c>
      <c r="O2478" t="s">
        <v>5087</v>
      </c>
      <c r="Q2478" t="s">
        <v>2590</v>
      </c>
      <c r="R2478" t="s">
        <v>2591</v>
      </c>
      <c r="T2478" t="s">
        <v>5</v>
      </c>
      <c r="U2478" s="3" t="str">
        <f>+VLOOKUP(Sites_per_tag[[#This Row],[Activity_tag]],Parameter!$A$24:$B$32,2,0)</f>
        <v>MAM</v>
      </c>
      <c r="W2478">
        <v>45.823270000000001</v>
      </c>
      <c r="X2478">
        <v>-24.435269999999999</v>
      </c>
    </row>
    <row r="2479" spans="1:24" x14ac:dyDescent="0.35">
      <c r="A2479" s="3" t="str">
        <f t="shared" si="38"/>
        <v>MG52516190008001MAM</v>
      </c>
      <c r="B2479" t="s">
        <v>6211</v>
      </c>
      <c r="C2479">
        <f>+VLOOKUP(Sites_per_tag[[#This Row],[Field_office]],Parameter!$A$3:$B$11,2,0)</f>
        <v>6</v>
      </c>
      <c r="E2479" t="s">
        <v>5646</v>
      </c>
      <c r="F2479" t="s">
        <v>5647</v>
      </c>
      <c r="H2479" t="str">
        <f ca="1">PROPER(Sites_per_tag[[#This Row],[Adm2Name]])</f>
        <v>Ambovombe-Androy</v>
      </c>
      <c r="I2479" t="s">
        <v>5655</v>
      </c>
      <c r="K2479" t="s">
        <v>6246</v>
      </c>
      <c r="L2479" t="s">
        <v>5974</v>
      </c>
      <c r="N2479" t="s">
        <v>569</v>
      </c>
      <c r="O2479" t="s">
        <v>5088</v>
      </c>
      <c r="Q2479" t="s">
        <v>571</v>
      </c>
      <c r="R2479" t="s">
        <v>572</v>
      </c>
      <c r="T2479" t="s">
        <v>5</v>
      </c>
      <c r="U2479" s="3" t="str">
        <f>+VLOOKUP(Sites_per_tag[[#This Row],[Activity_tag]],Parameter!$A$24:$B$32,2,0)</f>
        <v>MAM</v>
      </c>
      <c r="W2479">
        <v>45.350769999999997</v>
      </c>
      <c r="X2479">
        <v>-25.04448</v>
      </c>
    </row>
    <row r="2480" spans="1:24" x14ac:dyDescent="0.35">
      <c r="A2480" s="3" t="str">
        <f t="shared" si="38"/>
        <v>MG52516190009001MAM</v>
      </c>
      <c r="B2480" t="s">
        <v>6211</v>
      </c>
      <c r="C2480">
        <f>+VLOOKUP(Sites_per_tag[[#This Row],[Field_office]],Parameter!$A$3:$B$11,2,0)</f>
        <v>6</v>
      </c>
      <c r="E2480" t="s">
        <v>5646</v>
      </c>
      <c r="F2480" t="s">
        <v>5647</v>
      </c>
      <c r="H2480" t="str">
        <f ca="1">PROPER(Sites_per_tag[[#This Row],[Adm2Name]])</f>
        <v>Ambovombe-Androy</v>
      </c>
      <c r="I2480" t="s">
        <v>5655</v>
      </c>
      <c r="K2480" t="s">
        <v>6246</v>
      </c>
      <c r="L2480" t="s">
        <v>5974</v>
      </c>
      <c r="N2480" t="s">
        <v>1717</v>
      </c>
      <c r="O2480" t="s">
        <v>5089</v>
      </c>
      <c r="Q2480" t="s">
        <v>3</v>
      </c>
      <c r="R2480" t="s">
        <v>4</v>
      </c>
      <c r="T2480" t="s">
        <v>5</v>
      </c>
      <c r="U2480" s="3" t="str">
        <f>+VLOOKUP(Sites_per_tag[[#This Row],[Activity_tag]],Parameter!$A$24:$B$32,2,0)</f>
        <v>MAM</v>
      </c>
      <c r="W2480">
        <v>45.856549999999999</v>
      </c>
      <c r="X2480">
        <v>-24.394120000000001</v>
      </c>
    </row>
    <row r="2481" spans="1:24" x14ac:dyDescent="0.35">
      <c r="A2481" s="3" t="str">
        <f t="shared" si="38"/>
        <v>MG52516190011001MAM</v>
      </c>
      <c r="B2481" t="s">
        <v>6211</v>
      </c>
      <c r="C2481">
        <f>+VLOOKUP(Sites_per_tag[[#This Row],[Field_office]],Parameter!$A$3:$B$11,2,0)</f>
        <v>6</v>
      </c>
      <c r="E2481" t="s">
        <v>5646</v>
      </c>
      <c r="F2481" t="s">
        <v>5647</v>
      </c>
      <c r="H2481" t="str">
        <f ca="1">PROPER(Sites_per_tag[[#This Row],[Adm2Name]])</f>
        <v>Ambovombe-Androy</v>
      </c>
      <c r="I2481" t="s">
        <v>5655</v>
      </c>
      <c r="K2481" t="s">
        <v>6246</v>
      </c>
      <c r="L2481" t="s">
        <v>5974</v>
      </c>
      <c r="N2481" t="s">
        <v>1539</v>
      </c>
      <c r="O2481" t="s">
        <v>5090</v>
      </c>
      <c r="Q2481" t="s">
        <v>1539</v>
      </c>
      <c r="R2481" t="s">
        <v>1540</v>
      </c>
      <c r="T2481" t="s">
        <v>5</v>
      </c>
      <c r="U2481" s="3" t="str">
        <f>+VLOOKUP(Sites_per_tag[[#This Row],[Activity_tag]],Parameter!$A$24:$B$32,2,0)</f>
        <v>MAM</v>
      </c>
      <c r="W2481">
        <v>45.83155</v>
      </c>
      <c r="X2481">
        <v>-24.418050000000001</v>
      </c>
    </row>
    <row r="2482" spans="1:24" x14ac:dyDescent="0.35">
      <c r="A2482" s="3" t="str">
        <f t="shared" si="38"/>
        <v>MG52518010001PREV</v>
      </c>
      <c r="B2482" t="s">
        <v>6211</v>
      </c>
      <c r="C2482">
        <f>+VLOOKUP(Sites_per_tag[[#This Row],[Field_office]],Parameter!$A$3:$B$11,2,0)</f>
        <v>6</v>
      </c>
      <c r="E2482" t="s">
        <v>5646</v>
      </c>
      <c r="F2482" t="s">
        <v>5647</v>
      </c>
      <c r="H2482" t="str">
        <f ca="1">PROPER(Sites_per_tag[[#This Row],[Adm2Name]])</f>
        <v>Bekily</v>
      </c>
      <c r="I2482" t="s">
        <v>5683</v>
      </c>
      <c r="K2482" t="s">
        <v>6351</v>
      </c>
      <c r="L2482" t="s">
        <v>6076</v>
      </c>
      <c r="N2482" t="s">
        <v>4220</v>
      </c>
      <c r="Q2482" t="s">
        <v>1839</v>
      </c>
      <c r="R2482" t="s">
        <v>1841</v>
      </c>
      <c r="T2482" t="s">
        <v>32</v>
      </c>
      <c r="U2482" s="3" t="str">
        <f>+VLOOKUP(Sites_per_tag[[#This Row],[Activity_tag]],Parameter!$A$24:$B$32,2,0)</f>
        <v>PREV</v>
      </c>
      <c r="W2482">
        <v>45.313949999999998</v>
      </c>
      <c r="X2482">
        <v>-24.223179999999999</v>
      </c>
    </row>
    <row r="2483" spans="1:24" x14ac:dyDescent="0.35">
      <c r="A2483" s="3" t="str">
        <f t="shared" si="38"/>
        <v>MG52518010003PREV</v>
      </c>
      <c r="B2483" t="s">
        <v>6211</v>
      </c>
      <c r="C2483">
        <f>+VLOOKUP(Sites_per_tag[[#This Row],[Field_office]],Parameter!$A$3:$B$11,2,0)</f>
        <v>6</v>
      </c>
      <c r="E2483" t="s">
        <v>5646</v>
      </c>
      <c r="F2483" t="s">
        <v>5647</v>
      </c>
      <c r="H2483" t="str">
        <f ca="1">PROPER(Sites_per_tag[[#This Row],[Adm2Name]])</f>
        <v>Bekily</v>
      </c>
      <c r="I2483" t="s">
        <v>5683</v>
      </c>
      <c r="K2483" t="s">
        <v>6351</v>
      </c>
      <c r="L2483" t="s">
        <v>6076</v>
      </c>
      <c r="N2483" t="s">
        <v>4221</v>
      </c>
      <c r="Q2483" t="s">
        <v>3196</v>
      </c>
      <c r="R2483" t="s">
        <v>3198</v>
      </c>
      <c r="T2483" t="s">
        <v>32</v>
      </c>
      <c r="U2483" s="3" t="str">
        <f>+VLOOKUP(Sites_per_tag[[#This Row],[Activity_tag]],Parameter!$A$24:$B$32,2,0)</f>
        <v>PREV</v>
      </c>
      <c r="W2483">
        <v>45.341099999999997</v>
      </c>
      <c r="X2483">
        <v>-24.208950000000002</v>
      </c>
    </row>
    <row r="2484" spans="1:24" x14ac:dyDescent="0.35">
      <c r="A2484" s="3" t="str">
        <f t="shared" si="38"/>
        <v>MG52518010004001MAM</v>
      </c>
      <c r="B2484" t="s">
        <v>6211</v>
      </c>
      <c r="C2484">
        <f>+VLOOKUP(Sites_per_tag[[#This Row],[Field_office]],Parameter!$A$3:$B$11,2,0)</f>
        <v>6</v>
      </c>
      <c r="E2484" t="s">
        <v>5646</v>
      </c>
      <c r="F2484" t="s">
        <v>5647</v>
      </c>
      <c r="H2484" t="str">
        <f ca="1">PROPER(Sites_per_tag[[#This Row],[Adm2Name]])</f>
        <v>Bekily</v>
      </c>
      <c r="I2484" t="s">
        <v>5683</v>
      </c>
      <c r="K2484" t="s">
        <v>6351</v>
      </c>
      <c r="L2484" t="s">
        <v>6076</v>
      </c>
      <c r="N2484" t="s">
        <v>371</v>
      </c>
      <c r="O2484" t="s">
        <v>5371</v>
      </c>
      <c r="Q2484" t="s">
        <v>371</v>
      </c>
      <c r="R2484" t="s">
        <v>372</v>
      </c>
      <c r="T2484" t="s">
        <v>5</v>
      </c>
      <c r="U2484" s="3" t="str">
        <f>+VLOOKUP(Sites_per_tag[[#This Row],[Activity_tag]],Parameter!$A$24:$B$32,2,0)</f>
        <v>MAM</v>
      </c>
      <c r="W2484">
        <v>45.317779999999999</v>
      </c>
      <c r="X2484">
        <v>-24.219480000000001</v>
      </c>
    </row>
    <row r="2485" spans="1:24" x14ac:dyDescent="0.35">
      <c r="A2485" s="3" t="str">
        <f t="shared" si="38"/>
        <v>MG52518010006001MAM</v>
      </c>
      <c r="B2485" t="s">
        <v>6211</v>
      </c>
      <c r="C2485">
        <f>+VLOOKUP(Sites_per_tag[[#This Row],[Field_office]],Parameter!$A$3:$B$11,2,0)</f>
        <v>6</v>
      </c>
      <c r="E2485" t="s">
        <v>5646</v>
      </c>
      <c r="F2485" t="s">
        <v>5647</v>
      </c>
      <c r="H2485" t="str">
        <f ca="1">PROPER(Sites_per_tag[[#This Row],[Adm2Name]])</f>
        <v>Bekily</v>
      </c>
      <c r="I2485" t="s">
        <v>5683</v>
      </c>
      <c r="K2485" t="s">
        <v>6351</v>
      </c>
      <c r="L2485" t="s">
        <v>6076</v>
      </c>
      <c r="N2485" t="s">
        <v>166</v>
      </c>
      <c r="O2485" t="s">
        <v>5372</v>
      </c>
      <c r="Q2485" t="s">
        <v>166</v>
      </c>
      <c r="R2485" t="s">
        <v>167</v>
      </c>
      <c r="T2485" t="s">
        <v>5</v>
      </c>
      <c r="U2485" s="3" t="str">
        <f>+VLOOKUP(Sites_per_tag[[#This Row],[Activity_tag]],Parameter!$A$24:$B$32,2,0)</f>
        <v>MAM</v>
      </c>
      <c r="W2485">
        <v>45.240519999999997</v>
      </c>
      <c r="X2485">
        <v>-24.2425</v>
      </c>
    </row>
    <row r="2486" spans="1:24" x14ac:dyDescent="0.35">
      <c r="A2486" s="3" t="str">
        <f t="shared" si="38"/>
        <v>MG52518010008PREV</v>
      </c>
      <c r="B2486" t="s">
        <v>6211</v>
      </c>
      <c r="C2486">
        <f>+VLOOKUP(Sites_per_tag[[#This Row],[Field_office]],Parameter!$A$3:$B$11,2,0)</f>
        <v>6</v>
      </c>
      <c r="E2486" t="s">
        <v>5646</v>
      </c>
      <c r="F2486" t="s">
        <v>5647</v>
      </c>
      <c r="H2486" t="str">
        <f ca="1">PROPER(Sites_per_tag[[#This Row],[Adm2Name]])</f>
        <v>Bekily</v>
      </c>
      <c r="I2486" t="s">
        <v>5683</v>
      </c>
      <c r="K2486" t="s">
        <v>6351</v>
      </c>
      <c r="L2486" t="s">
        <v>6076</v>
      </c>
      <c r="N2486" t="s">
        <v>4219</v>
      </c>
      <c r="Q2486" t="s">
        <v>3534</v>
      </c>
      <c r="R2486" t="s">
        <v>3535</v>
      </c>
      <c r="T2486" t="s">
        <v>32</v>
      </c>
      <c r="U2486" s="3" t="str">
        <f>+VLOOKUP(Sites_per_tag[[#This Row],[Activity_tag]],Parameter!$A$24:$B$32,2,0)</f>
        <v>PREV</v>
      </c>
      <c r="W2486">
        <v>45.236229999999999</v>
      </c>
      <c r="X2486">
        <v>-24.261749999999999</v>
      </c>
    </row>
    <row r="2487" spans="1:24" x14ac:dyDescent="0.35">
      <c r="A2487" s="3" t="str">
        <f t="shared" si="38"/>
        <v>MG52518010010001MAM</v>
      </c>
      <c r="B2487" t="s">
        <v>6211</v>
      </c>
      <c r="C2487">
        <f>+VLOOKUP(Sites_per_tag[[#This Row],[Field_office]],Parameter!$A$3:$B$11,2,0)</f>
        <v>6</v>
      </c>
      <c r="E2487" t="s">
        <v>5646</v>
      </c>
      <c r="F2487" t="s">
        <v>5647</v>
      </c>
      <c r="H2487" t="str">
        <f ca="1">PROPER(Sites_per_tag[[#This Row],[Adm2Name]])</f>
        <v>Bekily</v>
      </c>
      <c r="I2487" t="s">
        <v>5683</v>
      </c>
      <c r="K2487" t="s">
        <v>6351</v>
      </c>
      <c r="L2487" t="s">
        <v>6076</v>
      </c>
      <c r="N2487" t="s">
        <v>1720</v>
      </c>
      <c r="O2487" t="s">
        <v>5373</v>
      </c>
      <c r="Q2487" t="s">
        <v>1720</v>
      </c>
      <c r="R2487" t="s">
        <v>1721</v>
      </c>
      <c r="T2487" t="s">
        <v>5</v>
      </c>
      <c r="U2487" s="3" t="str">
        <f>+VLOOKUP(Sites_per_tag[[#This Row],[Activity_tag]],Parameter!$A$24:$B$32,2,0)</f>
        <v>MAM</v>
      </c>
      <c r="W2487">
        <v>45.38373</v>
      </c>
      <c r="X2487">
        <v>-24.247769999999999</v>
      </c>
    </row>
    <row r="2488" spans="1:24" x14ac:dyDescent="0.35">
      <c r="A2488" s="3" t="str">
        <f t="shared" si="38"/>
        <v>MG52518010011PREV</v>
      </c>
      <c r="B2488" t="s">
        <v>6211</v>
      </c>
      <c r="C2488">
        <f>+VLOOKUP(Sites_per_tag[[#This Row],[Field_office]],Parameter!$A$3:$B$11,2,0)</f>
        <v>6</v>
      </c>
      <c r="E2488" t="s">
        <v>5646</v>
      </c>
      <c r="F2488" t="s">
        <v>5647</v>
      </c>
      <c r="H2488" t="str">
        <f ca="1">PROPER(Sites_per_tag[[#This Row],[Adm2Name]])</f>
        <v>Bekily</v>
      </c>
      <c r="I2488" t="s">
        <v>5683</v>
      </c>
      <c r="K2488" t="s">
        <v>6351</v>
      </c>
      <c r="L2488" t="s">
        <v>6076</v>
      </c>
      <c r="N2488" t="s">
        <v>4222</v>
      </c>
      <c r="Q2488" t="s">
        <v>418</v>
      </c>
      <c r="R2488" t="s">
        <v>420</v>
      </c>
      <c r="T2488" t="s">
        <v>32</v>
      </c>
      <c r="U2488" s="3" t="str">
        <f>+VLOOKUP(Sites_per_tag[[#This Row],[Activity_tag]],Parameter!$A$24:$B$32,2,0)</f>
        <v>PREV</v>
      </c>
      <c r="W2488">
        <v>45.346499999999999</v>
      </c>
      <c r="X2488">
        <v>-24.253630000000001</v>
      </c>
    </row>
    <row r="2489" spans="1:24" x14ac:dyDescent="0.35">
      <c r="A2489" s="3" t="str">
        <f t="shared" si="38"/>
        <v>MG52518010014001MAM</v>
      </c>
      <c r="B2489" t="s">
        <v>6211</v>
      </c>
      <c r="C2489">
        <f>+VLOOKUP(Sites_per_tag[[#This Row],[Field_office]],Parameter!$A$3:$B$11,2,0)</f>
        <v>6</v>
      </c>
      <c r="E2489" t="s">
        <v>5646</v>
      </c>
      <c r="F2489" t="s">
        <v>5647</v>
      </c>
      <c r="H2489" t="str">
        <f ca="1">PROPER(Sites_per_tag[[#This Row],[Adm2Name]])</f>
        <v>Bekily</v>
      </c>
      <c r="I2489" t="s">
        <v>5683</v>
      </c>
      <c r="K2489" t="s">
        <v>6351</v>
      </c>
      <c r="L2489" t="s">
        <v>6076</v>
      </c>
      <c r="N2489" t="s">
        <v>1738</v>
      </c>
      <c r="O2489" t="s">
        <v>5374</v>
      </c>
      <c r="Q2489" t="s">
        <v>1738</v>
      </c>
      <c r="R2489" t="s">
        <v>1739</v>
      </c>
      <c r="T2489" t="s">
        <v>5</v>
      </c>
      <c r="U2489" s="3" t="str">
        <f>+VLOOKUP(Sites_per_tag[[#This Row],[Activity_tag]],Parameter!$A$24:$B$32,2,0)</f>
        <v>MAM</v>
      </c>
      <c r="W2489">
        <v>45.314720000000001</v>
      </c>
      <c r="X2489">
        <v>-24.266950000000001</v>
      </c>
    </row>
    <row r="2490" spans="1:24" x14ac:dyDescent="0.35">
      <c r="A2490" s="3" t="str">
        <f t="shared" si="38"/>
        <v>MG52518010070PREV</v>
      </c>
      <c r="B2490" t="s">
        <v>6211</v>
      </c>
      <c r="C2490">
        <f>+VLOOKUP(Sites_per_tag[[#This Row],[Field_office]],Parameter!$A$3:$B$11,2,0)</f>
        <v>6</v>
      </c>
      <c r="E2490" t="s">
        <v>5646</v>
      </c>
      <c r="F2490" t="s">
        <v>5647</v>
      </c>
      <c r="H2490" t="str">
        <f ca="1">PROPER(Sites_per_tag[[#This Row],[Adm2Name]])</f>
        <v>Bekily</v>
      </c>
      <c r="I2490" t="s">
        <v>5683</v>
      </c>
      <c r="K2490" t="s">
        <v>6351</v>
      </c>
      <c r="L2490" t="s">
        <v>6076</v>
      </c>
      <c r="N2490" t="s">
        <v>4223</v>
      </c>
      <c r="Q2490" t="s">
        <v>2989</v>
      </c>
      <c r="R2490" t="s">
        <v>2991</v>
      </c>
      <c r="T2490" t="s">
        <v>32</v>
      </c>
      <c r="U2490" s="3" t="str">
        <f>+VLOOKUP(Sites_per_tag[[#This Row],[Activity_tag]],Parameter!$A$24:$B$32,2,0)</f>
        <v>PREV</v>
      </c>
      <c r="W2490">
        <v>45.279350000000001</v>
      </c>
      <c r="X2490">
        <v>-24.240670000000001</v>
      </c>
    </row>
    <row r="2491" spans="1:24" x14ac:dyDescent="0.35">
      <c r="A2491" s="3" t="str">
        <f t="shared" si="38"/>
        <v>MG52518031002PREV</v>
      </c>
      <c r="B2491" t="s">
        <v>6211</v>
      </c>
      <c r="C2491">
        <f>+VLOOKUP(Sites_per_tag[[#This Row],[Field_office]],Parameter!$A$3:$B$11,2,0)</f>
        <v>6</v>
      </c>
      <c r="E2491" t="s">
        <v>5646</v>
      </c>
      <c r="F2491" t="s">
        <v>5647</v>
      </c>
      <c r="H2491" t="str">
        <f ca="1">PROPER(Sites_per_tag[[#This Row],[Adm2Name]])</f>
        <v>Bekily</v>
      </c>
      <c r="I2491" t="s">
        <v>5683</v>
      </c>
      <c r="K2491" t="s">
        <v>6329</v>
      </c>
      <c r="L2491" t="s">
        <v>6067</v>
      </c>
      <c r="N2491" t="s">
        <v>4217</v>
      </c>
      <c r="Q2491" t="s">
        <v>3169</v>
      </c>
      <c r="R2491" t="s">
        <v>3170</v>
      </c>
      <c r="T2491" t="s">
        <v>32</v>
      </c>
      <c r="U2491" s="3" t="str">
        <f>+VLOOKUP(Sites_per_tag[[#This Row],[Activity_tag]],Parameter!$A$24:$B$32,2,0)</f>
        <v>PREV</v>
      </c>
      <c r="W2491">
        <v>45.153350000000003</v>
      </c>
      <c r="X2491">
        <v>-24.1615</v>
      </c>
    </row>
    <row r="2492" spans="1:24" x14ac:dyDescent="0.35">
      <c r="A2492" s="3" t="str">
        <f t="shared" si="38"/>
        <v>MG52518031004001MAM</v>
      </c>
      <c r="B2492" t="s">
        <v>6211</v>
      </c>
      <c r="C2492">
        <f>+VLOOKUP(Sites_per_tag[[#This Row],[Field_office]],Parameter!$A$3:$B$11,2,0)</f>
        <v>6</v>
      </c>
      <c r="E2492" t="s">
        <v>5646</v>
      </c>
      <c r="F2492" t="s">
        <v>5647</v>
      </c>
      <c r="H2492" t="str">
        <f ca="1">PROPER(Sites_per_tag[[#This Row],[Adm2Name]])</f>
        <v>Bekily</v>
      </c>
      <c r="I2492" t="s">
        <v>5683</v>
      </c>
      <c r="K2492" t="s">
        <v>6334</v>
      </c>
      <c r="L2492" t="s">
        <v>5824</v>
      </c>
      <c r="N2492" t="s">
        <v>682</v>
      </c>
      <c r="O2492" t="s">
        <v>687</v>
      </c>
      <c r="Q2492" t="s">
        <v>682</v>
      </c>
      <c r="R2492" t="s">
        <v>683</v>
      </c>
      <c r="T2492" t="s">
        <v>5</v>
      </c>
      <c r="U2492" s="3" t="str">
        <f>+VLOOKUP(Sites_per_tag[[#This Row],[Activity_tag]],Parameter!$A$24:$B$32,2,0)</f>
        <v>MAM</v>
      </c>
      <c r="W2492">
        <v>45.201500000000003</v>
      </c>
      <c r="X2492">
        <v>-24.16883</v>
      </c>
    </row>
    <row r="2493" spans="1:24" x14ac:dyDescent="0.35">
      <c r="A2493" s="3" t="str">
        <f t="shared" si="38"/>
        <v>MG52518031004PREV</v>
      </c>
      <c r="B2493" t="s">
        <v>6211</v>
      </c>
      <c r="C2493">
        <f>+VLOOKUP(Sites_per_tag[[#This Row],[Field_office]],Parameter!$A$3:$B$11,2,0)</f>
        <v>6</v>
      </c>
      <c r="E2493" t="s">
        <v>5646</v>
      </c>
      <c r="F2493" t="s">
        <v>5647</v>
      </c>
      <c r="H2493" t="str">
        <f ca="1">PROPER(Sites_per_tag[[#This Row],[Adm2Name]])</f>
        <v>Bekily</v>
      </c>
      <c r="I2493" t="s">
        <v>5683</v>
      </c>
      <c r="K2493" t="s">
        <v>6329</v>
      </c>
      <c r="L2493" t="s">
        <v>6067</v>
      </c>
      <c r="N2493" t="s">
        <v>4218</v>
      </c>
      <c r="Q2493" t="s">
        <v>686</v>
      </c>
      <c r="R2493" t="s">
        <v>687</v>
      </c>
      <c r="T2493" t="s">
        <v>32</v>
      </c>
      <c r="U2493" s="3" t="str">
        <f>+VLOOKUP(Sites_per_tag[[#This Row],[Activity_tag]],Parameter!$A$24:$B$32,2,0)</f>
        <v>PREV</v>
      </c>
      <c r="W2493">
        <v>45.189630000000001</v>
      </c>
      <c r="X2493">
        <v>-24.180129999999998</v>
      </c>
    </row>
    <row r="2494" spans="1:24" x14ac:dyDescent="0.35">
      <c r="A2494" s="3" t="str">
        <f t="shared" si="38"/>
        <v>MG52518031005001MAM</v>
      </c>
      <c r="B2494" t="s">
        <v>6211</v>
      </c>
      <c r="C2494">
        <f>+VLOOKUP(Sites_per_tag[[#This Row],[Field_office]],Parameter!$A$3:$B$11,2,0)</f>
        <v>6</v>
      </c>
      <c r="E2494" t="s">
        <v>5646</v>
      </c>
      <c r="F2494" t="s">
        <v>5647</v>
      </c>
      <c r="H2494" t="str">
        <f ca="1">PROPER(Sites_per_tag[[#This Row],[Adm2Name]])</f>
        <v>Bekily</v>
      </c>
      <c r="I2494" t="s">
        <v>5683</v>
      </c>
      <c r="K2494" t="s">
        <v>6334</v>
      </c>
      <c r="L2494" t="s">
        <v>5824</v>
      </c>
      <c r="N2494" t="s">
        <v>940</v>
      </c>
      <c r="O2494" t="s">
        <v>4620</v>
      </c>
      <c r="Q2494" t="s">
        <v>940</v>
      </c>
      <c r="R2494" t="s">
        <v>941</v>
      </c>
      <c r="T2494" t="s">
        <v>5</v>
      </c>
      <c r="U2494" s="3" t="str">
        <f>+VLOOKUP(Sites_per_tag[[#This Row],[Activity_tag]],Parameter!$A$24:$B$32,2,0)</f>
        <v>MAM</v>
      </c>
      <c r="W2494">
        <v>45.263800000000003</v>
      </c>
      <c r="X2494">
        <v>-24.17812</v>
      </c>
    </row>
    <row r="2495" spans="1:24" x14ac:dyDescent="0.35">
      <c r="A2495" s="3" t="str">
        <f t="shared" si="38"/>
        <v>MG52518031006001MAM</v>
      </c>
      <c r="B2495" t="s">
        <v>6211</v>
      </c>
      <c r="C2495">
        <f>+VLOOKUP(Sites_per_tag[[#This Row],[Field_office]],Parameter!$A$3:$B$11,2,0)</f>
        <v>6</v>
      </c>
      <c r="E2495" t="s">
        <v>5646</v>
      </c>
      <c r="F2495" t="s">
        <v>5647</v>
      </c>
      <c r="H2495" t="str">
        <f ca="1">PROPER(Sites_per_tag[[#This Row],[Adm2Name]])</f>
        <v>Bekily</v>
      </c>
      <c r="I2495" t="s">
        <v>5683</v>
      </c>
      <c r="K2495" t="s">
        <v>222</v>
      </c>
      <c r="L2495" t="s">
        <v>5687</v>
      </c>
      <c r="N2495" t="s">
        <v>684</v>
      </c>
      <c r="O2495" t="s">
        <v>4300</v>
      </c>
      <c r="Q2495" t="s">
        <v>684</v>
      </c>
      <c r="R2495" t="s">
        <v>685</v>
      </c>
      <c r="T2495" t="s">
        <v>5</v>
      </c>
      <c r="U2495" s="3" t="str">
        <f>+VLOOKUP(Sites_per_tag[[#This Row],[Activity_tag]],Parameter!$A$24:$B$32,2,0)</f>
        <v>MAM</v>
      </c>
      <c r="W2495">
        <v>45.189630000000001</v>
      </c>
      <c r="X2495">
        <v>-24.180129999999998</v>
      </c>
    </row>
    <row r="2496" spans="1:24" x14ac:dyDescent="0.35">
      <c r="A2496" s="3" t="str">
        <f t="shared" si="38"/>
        <v>MG52518031008PREV</v>
      </c>
      <c r="B2496" t="s">
        <v>6211</v>
      </c>
      <c r="C2496">
        <f>+VLOOKUP(Sites_per_tag[[#This Row],[Field_office]],Parameter!$A$3:$B$11,2,0)</f>
        <v>6</v>
      </c>
      <c r="E2496" t="s">
        <v>5646</v>
      </c>
      <c r="F2496" t="s">
        <v>5647</v>
      </c>
      <c r="H2496" t="str">
        <f ca="1">PROPER(Sites_per_tag[[#This Row],[Adm2Name]])</f>
        <v>Bekily</v>
      </c>
      <c r="I2496" t="s">
        <v>5683</v>
      </c>
      <c r="K2496" t="s">
        <v>6329</v>
      </c>
      <c r="L2496" t="s">
        <v>6067</v>
      </c>
      <c r="N2496" t="s">
        <v>4215</v>
      </c>
      <c r="Q2496" t="s">
        <v>1318</v>
      </c>
      <c r="R2496" t="s">
        <v>1319</v>
      </c>
      <c r="T2496" t="s">
        <v>32</v>
      </c>
      <c r="U2496" s="3" t="str">
        <f>+VLOOKUP(Sites_per_tag[[#This Row],[Activity_tag]],Parameter!$A$24:$B$32,2,0)</f>
        <v>PREV</v>
      </c>
      <c r="W2496">
        <v>45.144269999999999</v>
      </c>
      <c r="X2496">
        <v>-24.19238</v>
      </c>
    </row>
    <row r="2497" spans="1:24" x14ac:dyDescent="0.35">
      <c r="A2497" s="3" t="str">
        <f t="shared" si="38"/>
        <v>MG52518031011001MAM</v>
      </c>
      <c r="B2497" t="s">
        <v>6211</v>
      </c>
      <c r="C2497">
        <f>+VLOOKUP(Sites_per_tag[[#This Row],[Field_office]],Parameter!$A$3:$B$11,2,0)</f>
        <v>6</v>
      </c>
      <c r="E2497" t="s">
        <v>5646</v>
      </c>
      <c r="F2497" t="s">
        <v>5647</v>
      </c>
      <c r="H2497" t="str">
        <f ca="1">PROPER(Sites_per_tag[[#This Row],[Adm2Name]])</f>
        <v>Bekily</v>
      </c>
      <c r="I2497" t="s">
        <v>5683</v>
      </c>
      <c r="K2497" t="s">
        <v>6334</v>
      </c>
      <c r="L2497" t="s">
        <v>5824</v>
      </c>
      <c r="N2497" t="s">
        <v>3913</v>
      </c>
      <c r="O2497" t="s">
        <v>4621</v>
      </c>
      <c r="Q2497" t="s">
        <v>3913</v>
      </c>
      <c r="R2497" t="s">
        <v>3914</v>
      </c>
      <c r="T2497" t="s">
        <v>5</v>
      </c>
      <c r="U2497" s="3" t="str">
        <f>+VLOOKUP(Sites_per_tag[[#This Row],[Activity_tag]],Parameter!$A$24:$B$32,2,0)</f>
        <v>MAM</v>
      </c>
      <c r="W2497">
        <v>45.219200000000001</v>
      </c>
      <c r="X2497">
        <v>-24.204750000000001</v>
      </c>
    </row>
    <row r="2498" spans="1:24" x14ac:dyDescent="0.35">
      <c r="A2498" s="3" t="str">
        <f t="shared" si="38"/>
        <v>MG52518031012001MAM</v>
      </c>
      <c r="B2498" t="s">
        <v>6211</v>
      </c>
      <c r="C2498">
        <f>+VLOOKUP(Sites_per_tag[[#This Row],[Field_office]],Parameter!$A$3:$B$11,2,0)</f>
        <v>6</v>
      </c>
      <c r="E2498" t="s">
        <v>5646</v>
      </c>
      <c r="F2498" t="s">
        <v>5647</v>
      </c>
      <c r="H2498" t="str">
        <f ca="1">PROPER(Sites_per_tag[[#This Row],[Adm2Name]])</f>
        <v>Bekily</v>
      </c>
      <c r="I2498" t="s">
        <v>5683</v>
      </c>
      <c r="K2498" t="s">
        <v>6334</v>
      </c>
      <c r="L2498" t="s">
        <v>5824</v>
      </c>
      <c r="N2498" t="s">
        <v>309</v>
      </c>
      <c r="O2498" t="s">
        <v>4622</v>
      </c>
      <c r="Q2498" t="s">
        <v>309</v>
      </c>
      <c r="R2498" t="s">
        <v>310</v>
      </c>
      <c r="T2498" t="s">
        <v>5</v>
      </c>
      <c r="U2498" s="3" t="str">
        <f>+VLOOKUP(Sites_per_tag[[#This Row],[Activity_tag]],Parameter!$A$24:$B$32,2,0)</f>
        <v>MAM</v>
      </c>
      <c r="W2498">
        <v>45.321129999999997</v>
      </c>
      <c r="X2498">
        <v>-24.202829999999999</v>
      </c>
    </row>
    <row r="2499" spans="1:24" x14ac:dyDescent="0.35">
      <c r="A2499" s="3" t="str">
        <f t="shared" ref="A2499:A2562" si="39">+R2499&amp;U2499</f>
        <v>MG52518031013001MAM</v>
      </c>
      <c r="B2499" t="s">
        <v>6211</v>
      </c>
      <c r="C2499">
        <f>+VLOOKUP(Sites_per_tag[[#This Row],[Field_office]],Parameter!$A$3:$B$11,2,0)</f>
        <v>6</v>
      </c>
      <c r="E2499" t="s">
        <v>5646</v>
      </c>
      <c r="F2499" t="s">
        <v>5647</v>
      </c>
      <c r="H2499" t="str">
        <f ca="1">PROPER(Sites_per_tag[[#This Row],[Adm2Name]])</f>
        <v>Bekily</v>
      </c>
      <c r="I2499" t="s">
        <v>5683</v>
      </c>
      <c r="K2499" t="s">
        <v>6334</v>
      </c>
      <c r="L2499" t="s">
        <v>5824</v>
      </c>
      <c r="N2499" t="s">
        <v>3915</v>
      </c>
      <c r="O2499" t="s">
        <v>4623</v>
      </c>
      <c r="Q2499" t="s">
        <v>3915</v>
      </c>
      <c r="R2499" t="s">
        <v>3916</v>
      </c>
      <c r="T2499" t="s">
        <v>5</v>
      </c>
      <c r="U2499" s="3" t="str">
        <f>+VLOOKUP(Sites_per_tag[[#This Row],[Activity_tag]],Parameter!$A$24:$B$32,2,0)</f>
        <v>MAM</v>
      </c>
      <c r="W2499">
        <v>45.24982</v>
      </c>
      <c r="X2499">
        <v>-24.205850000000002</v>
      </c>
    </row>
    <row r="2500" spans="1:24" x14ac:dyDescent="0.35">
      <c r="A2500" s="3" t="str">
        <f t="shared" si="39"/>
        <v>MG52518031015PREV</v>
      </c>
      <c r="B2500" t="s">
        <v>6211</v>
      </c>
      <c r="C2500">
        <f>+VLOOKUP(Sites_per_tag[[#This Row],[Field_office]],Parameter!$A$3:$B$11,2,0)</f>
        <v>6</v>
      </c>
      <c r="E2500" t="s">
        <v>5646</v>
      </c>
      <c r="F2500" t="s">
        <v>5647</v>
      </c>
      <c r="H2500" t="str">
        <f ca="1">PROPER(Sites_per_tag[[#This Row],[Adm2Name]])</f>
        <v>Bekily</v>
      </c>
      <c r="I2500" t="s">
        <v>5683</v>
      </c>
      <c r="K2500" t="s">
        <v>6329</v>
      </c>
      <c r="L2500" t="s">
        <v>6067</v>
      </c>
      <c r="N2500" t="s">
        <v>4216</v>
      </c>
      <c r="Q2500" t="s">
        <v>1616</v>
      </c>
      <c r="R2500" t="s">
        <v>1617</v>
      </c>
      <c r="T2500" t="s">
        <v>32</v>
      </c>
      <c r="U2500" s="3" t="str">
        <f>+VLOOKUP(Sites_per_tag[[#This Row],[Activity_tag]],Parameter!$A$24:$B$32,2,0)</f>
        <v>PREV</v>
      </c>
      <c r="W2500">
        <v>45.154530000000001</v>
      </c>
      <c r="X2500">
        <v>-24.225349999999999</v>
      </c>
    </row>
    <row r="2501" spans="1:24" x14ac:dyDescent="0.35">
      <c r="A2501" s="3" t="str">
        <f t="shared" si="39"/>
        <v>MG52518031065001MAM</v>
      </c>
      <c r="B2501" t="s">
        <v>6211</v>
      </c>
      <c r="C2501">
        <f>+VLOOKUP(Sites_per_tag[[#This Row],[Field_office]],Parameter!$A$3:$B$11,2,0)</f>
        <v>6</v>
      </c>
      <c r="E2501" t="s">
        <v>5646</v>
      </c>
      <c r="F2501" t="s">
        <v>5647</v>
      </c>
      <c r="H2501" t="str">
        <f ca="1">PROPER(Sites_per_tag[[#This Row],[Adm2Name]])</f>
        <v>Bekily</v>
      </c>
      <c r="I2501" t="s">
        <v>5683</v>
      </c>
      <c r="K2501" t="s">
        <v>6334</v>
      </c>
      <c r="L2501" t="s">
        <v>5824</v>
      </c>
      <c r="N2501" t="s">
        <v>1123</v>
      </c>
      <c r="O2501" t="s">
        <v>4624</v>
      </c>
      <c r="Q2501" t="s">
        <v>1123</v>
      </c>
      <c r="R2501" t="s">
        <v>1124</v>
      </c>
      <c r="T2501" t="s">
        <v>5</v>
      </c>
      <c r="U2501" s="3" t="str">
        <f>+VLOOKUP(Sites_per_tag[[#This Row],[Activity_tag]],Parameter!$A$24:$B$32,2,0)</f>
        <v>MAM</v>
      </c>
      <c r="W2501">
        <v>45.286479999999997</v>
      </c>
      <c r="X2501">
        <v>-24.193829999999998</v>
      </c>
    </row>
    <row r="2502" spans="1:24" x14ac:dyDescent="0.35">
      <c r="A2502" s="3" t="str">
        <f t="shared" si="39"/>
        <v>MG52518032003001MAM</v>
      </c>
      <c r="B2502" t="s">
        <v>6211</v>
      </c>
      <c r="C2502">
        <f>+VLOOKUP(Sites_per_tag[[#This Row],[Field_office]],Parameter!$A$3:$B$11,2,0)</f>
        <v>6</v>
      </c>
      <c r="E2502" t="s">
        <v>5646</v>
      </c>
      <c r="F2502" t="s">
        <v>5647</v>
      </c>
      <c r="H2502" t="str">
        <f ca="1">PROPER(Sites_per_tag[[#This Row],[Adm2Name]])</f>
        <v>Bekily</v>
      </c>
      <c r="I2502" t="s">
        <v>5683</v>
      </c>
      <c r="K2502" t="s">
        <v>6326</v>
      </c>
      <c r="L2502" t="s">
        <v>5653</v>
      </c>
      <c r="N2502" t="s">
        <v>867</v>
      </c>
      <c r="O2502" t="s">
        <v>4274</v>
      </c>
      <c r="Q2502" t="s">
        <v>867</v>
      </c>
      <c r="R2502" t="s">
        <v>868</v>
      </c>
      <c r="T2502" t="s">
        <v>5</v>
      </c>
      <c r="U2502" s="3" t="str">
        <f>+VLOOKUP(Sites_per_tag[[#This Row],[Activity_tag]],Parameter!$A$24:$B$32,2,0)</f>
        <v>MAM</v>
      </c>
      <c r="W2502">
        <v>45.20382</v>
      </c>
      <c r="X2502">
        <v>-24.138729999999999</v>
      </c>
    </row>
    <row r="2503" spans="1:24" x14ac:dyDescent="0.35">
      <c r="A2503" s="3" t="str">
        <f t="shared" si="39"/>
        <v>MG52518032005001STUNT</v>
      </c>
      <c r="B2503" t="s">
        <v>1837</v>
      </c>
      <c r="C2503">
        <f>+VLOOKUP(Sites_per_tag[[#This Row],[Field_office]],Parameter!$A$3:$B$11,2,0)</f>
        <v>1</v>
      </c>
      <c r="E2503" t="s">
        <v>5646</v>
      </c>
      <c r="F2503" t="s">
        <v>5647</v>
      </c>
      <c r="H2503" t="str">
        <f ca="1">PROPER(Sites_per_tag[[#This Row],[Adm2Name]])</f>
        <v>Bekily</v>
      </c>
      <c r="I2503" t="s">
        <v>5683</v>
      </c>
      <c r="K2503" t="s">
        <v>2017</v>
      </c>
      <c r="L2503" t="s">
        <v>5922</v>
      </c>
      <c r="N2503" t="s">
        <v>2078</v>
      </c>
      <c r="O2503" t="s">
        <v>4087</v>
      </c>
      <c r="Q2503" t="s">
        <v>2080</v>
      </c>
      <c r="R2503" t="s">
        <v>2081</v>
      </c>
      <c r="T2503" t="s">
        <v>50</v>
      </c>
      <c r="U2503" s="3" t="str">
        <f>+VLOOKUP(Sites_per_tag[[#This Row],[Activity_tag]],Parameter!$A$24:$B$32,2,0)</f>
        <v>STUNT</v>
      </c>
      <c r="V2503" t="s">
        <v>6543</v>
      </c>
      <c r="W2503">
        <v>45.2376</v>
      </c>
      <c r="X2503">
        <v>-24.161529999999999</v>
      </c>
    </row>
    <row r="2504" spans="1:24" x14ac:dyDescent="0.35">
      <c r="A2504" s="3" t="str">
        <f t="shared" si="39"/>
        <v>MG52518032005002MAM</v>
      </c>
      <c r="B2504" t="s">
        <v>6211</v>
      </c>
      <c r="C2504">
        <f>+VLOOKUP(Sites_per_tag[[#This Row],[Field_office]],Parameter!$A$3:$B$11,2,0)</f>
        <v>6</v>
      </c>
      <c r="E2504" t="s">
        <v>5646</v>
      </c>
      <c r="F2504" t="s">
        <v>5647</v>
      </c>
      <c r="H2504" t="str">
        <f ca="1">PROPER(Sites_per_tag[[#This Row],[Adm2Name]])</f>
        <v>Bekily</v>
      </c>
      <c r="I2504" t="s">
        <v>5683</v>
      </c>
      <c r="K2504" t="s">
        <v>2017</v>
      </c>
      <c r="L2504" t="s">
        <v>5922</v>
      </c>
      <c r="N2504" t="s">
        <v>2078</v>
      </c>
      <c r="O2504" t="s">
        <v>4087</v>
      </c>
      <c r="Q2504" t="s">
        <v>2078</v>
      </c>
      <c r="R2504" t="s">
        <v>2079</v>
      </c>
      <c r="T2504" t="s">
        <v>5</v>
      </c>
      <c r="U2504" s="3" t="str">
        <f>+VLOOKUP(Sites_per_tag[[#This Row],[Activity_tag]],Parameter!$A$24:$B$32,2,0)</f>
        <v>MAM</v>
      </c>
      <c r="W2504">
        <v>45.2376</v>
      </c>
      <c r="X2504">
        <v>-24.161529999999999</v>
      </c>
    </row>
    <row r="2505" spans="1:24" x14ac:dyDescent="0.35">
      <c r="A2505" s="3" t="str">
        <f t="shared" si="39"/>
        <v>MG52518032008001STUNT</v>
      </c>
      <c r="B2505" t="s">
        <v>1837</v>
      </c>
      <c r="C2505">
        <f>+VLOOKUP(Sites_per_tag[[#This Row],[Field_office]],Parameter!$A$3:$B$11,2,0)</f>
        <v>1</v>
      </c>
      <c r="E2505" t="s">
        <v>5646</v>
      </c>
      <c r="F2505" t="s">
        <v>5647</v>
      </c>
      <c r="H2505" t="str">
        <f ca="1">PROPER(Sites_per_tag[[#This Row],[Adm2Name]])</f>
        <v>Bekily</v>
      </c>
      <c r="I2505" t="s">
        <v>5683</v>
      </c>
      <c r="K2505" t="s">
        <v>2017</v>
      </c>
      <c r="L2505" t="s">
        <v>5922</v>
      </c>
      <c r="N2505" t="s">
        <v>865</v>
      </c>
      <c r="O2505" t="s">
        <v>4088</v>
      </c>
      <c r="Q2505" t="s">
        <v>865</v>
      </c>
      <c r="R2505" t="s">
        <v>866</v>
      </c>
      <c r="T2505" t="s">
        <v>50</v>
      </c>
      <c r="U2505" s="3" t="str">
        <f>+VLOOKUP(Sites_per_tag[[#This Row],[Activity_tag]],Parameter!$A$24:$B$32,2,0)</f>
        <v>STUNT</v>
      </c>
      <c r="V2505" t="s">
        <v>6544</v>
      </c>
      <c r="W2505">
        <v>45.181130000000003</v>
      </c>
      <c r="X2505">
        <v>-24.161850000000001</v>
      </c>
    </row>
    <row r="2506" spans="1:24" x14ac:dyDescent="0.35">
      <c r="A2506" s="3" t="str">
        <f t="shared" si="39"/>
        <v>MG52518032009001STUNT</v>
      </c>
      <c r="B2506" t="s">
        <v>1837</v>
      </c>
      <c r="C2506">
        <f>+VLOOKUP(Sites_per_tag[[#This Row],[Field_office]],Parameter!$A$3:$B$11,2,0)</f>
        <v>1</v>
      </c>
      <c r="E2506" t="s">
        <v>5646</v>
      </c>
      <c r="F2506" t="s">
        <v>5647</v>
      </c>
      <c r="H2506" t="str">
        <f ca="1">PROPER(Sites_per_tag[[#This Row],[Adm2Name]])</f>
        <v>Bekily</v>
      </c>
      <c r="I2506" t="s">
        <v>5683</v>
      </c>
      <c r="K2506" t="s">
        <v>2017</v>
      </c>
      <c r="L2506" t="s">
        <v>5922</v>
      </c>
      <c r="N2506" t="s">
        <v>1381</v>
      </c>
      <c r="O2506" t="s">
        <v>4089</v>
      </c>
      <c r="Q2506" t="s">
        <v>1381</v>
      </c>
      <c r="R2506" t="s">
        <v>1382</v>
      </c>
      <c r="T2506" t="s">
        <v>50</v>
      </c>
      <c r="U2506" s="3" t="str">
        <f>+VLOOKUP(Sites_per_tag[[#This Row],[Activity_tag]],Parameter!$A$24:$B$32,2,0)</f>
        <v>STUNT</v>
      </c>
      <c r="V2506" t="s">
        <v>6545</v>
      </c>
      <c r="W2506">
        <v>45.295699999999997</v>
      </c>
      <c r="X2506">
        <v>-24.178629999999998</v>
      </c>
    </row>
    <row r="2507" spans="1:24" x14ac:dyDescent="0.35">
      <c r="A2507" s="3" t="str">
        <f t="shared" si="39"/>
        <v>MG52518032010001STUNT</v>
      </c>
      <c r="B2507" t="s">
        <v>1837</v>
      </c>
      <c r="C2507">
        <f>+VLOOKUP(Sites_per_tag[[#This Row],[Field_office]],Parameter!$A$3:$B$11,2,0)</f>
        <v>1</v>
      </c>
      <c r="E2507" t="s">
        <v>5646</v>
      </c>
      <c r="F2507" t="s">
        <v>5647</v>
      </c>
      <c r="H2507" t="str">
        <f ca="1">PROPER(Sites_per_tag[[#This Row],[Adm2Name]])</f>
        <v>Bekily</v>
      </c>
      <c r="I2507" t="s">
        <v>5683</v>
      </c>
      <c r="K2507" t="s">
        <v>2017</v>
      </c>
      <c r="L2507" t="s">
        <v>5922</v>
      </c>
      <c r="N2507" t="s">
        <v>2017</v>
      </c>
      <c r="O2507" t="s">
        <v>4090</v>
      </c>
      <c r="Q2507" t="s">
        <v>2022</v>
      </c>
      <c r="R2507" t="s">
        <v>2023</v>
      </c>
      <c r="T2507" t="s">
        <v>50</v>
      </c>
      <c r="U2507" s="3" t="str">
        <f>+VLOOKUP(Sites_per_tag[[#This Row],[Activity_tag]],Parameter!$A$24:$B$32,2,0)</f>
        <v>STUNT</v>
      </c>
      <c r="V2507" t="s">
        <v>6459</v>
      </c>
      <c r="W2507">
        <v>45.241340000000001</v>
      </c>
      <c r="X2507">
        <v>-24.173141999999999</v>
      </c>
    </row>
    <row r="2508" spans="1:24" x14ac:dyDescent="0.35">
      <c r="A2508" s="3" t="str">
        <f t="shared" si="39"/>
        <v>MG52518032045001MAM</v>
      </c>
      <c r="B2508" t="s">
        <v>6211</v>
      </c>
      <c r="C2508">
        <f>+VLOOKUP(Sites_per_tag[[#This Row],[Field_office]],Parameter!$A$3:$B$11,2,0)</f>
        <v>6</v>
      </c>
      <c r="E2508" t="s">
        <v>5646</v>
      </c>
      <c r="F2508" t="s">
        <v>5647</v>
      </c>
      <c r="H2508" t="str">
        <f ca="1">PROPER(Sites_per_tag[[#This Row],[Adm2Name]])</f>
        <v>Bekily</v>
      </c>
      <c r="I2508" t="s">
        <v>5683</v>
      </c>
      <c r="K2508" t="s">
        <v>2017</v>
      </c>
      <c r="L2508" t="s">
        <v>5922</v>
      </c>
      <c r="N2508" t="s">
        <v>526</v>
      </c>
      <c r="O2508" t="s">
        <v>4884</v>
      </c>
      <c r="Q2508" t="s">
        <v>526</v>
      </c>
      <c r="R2508" t="s">
        <v>527</v>
      </c>
      <c r="T2508" t="s">
        <v>5</v>
      </c>
      <c r="U2508" s="3" t="str">
        <f>+VLOOKUP(Sites_per_tag[[#This Row],[Activity_tag]],Parameter!$A$24:$B$32,2,0)</f>
        <v>MAM</v>
      </c>
      <c r="W2508">
        <v>45.20382</v>
      </c>
      <c r="X2508">
        <v>-24.138729999999999</v>
      </c>
    </row>
    <row r="2509" spans="1:24" x14ac:dyDescent="0.35">
      <c r="A2509" s="3" t="str">
        <f t="shared" si="39"/>
        <v>MG52518032046001MAM</v>
      </c>
      <c r="B2509" t="s">
        <v>6211</v>
      </c>
      <c r="C2509">
        <f>+VLOOKUP(Sites_per_tag[[#This Row],[Field_office]],Parameter!$A$3:$B$11,2,0)</f>
        <v>6</v>
      </c>
      <c r="E2509" t="s">
        <v>5646</v>
      </c>
      <c r="F2509" t="s">
        <v>5647</v>
      </c>
      <c r="H2509" t="str">
        <f ca="1">PROPER(Sites_per_tag[[#This Row],[Adm2Name]])</f>
        <v>Bekily</v>
      </c>
      <c r="I2509" t="s">
        <v>5683</v>
      </c>
      <c r="K2509" t="s">
        <v>2017</v>
      </c>
      <c r="L2509" t="s">
        <v>5922</v>
      </c>
      <c r="N2509" t="s">
        <v>2024</v>
      </c>
      <c r="O2509" t="s">
        <v>4885</v>
      </c>
      <c r="Q2509" t="s">
        <v>2024</v>
      </c>
      <c r="R2509" t="s">
        <v>2025</v>
      </c>
      <c r="T2509" t="s">
        <v>5</v>
      </c>
      <c r="U2509" s="3" t="str">
        <f>+VLOOKUP(Sites_per_tag[[#This Row],[Activity_tag]],Parameter!$A$24:$B$32,2,0)</f>
        <v>MAM</v>
      </c>
      <c r="W2509">
        <v>45.273119999999999</v>
      </c>
      <c r="X2509">
        <v>-24.167169999999999</v>
      </c>
    </row>
    <row r="2510" spans="1:24" x14ac:dyDescent="0.35">
      <c r="A2510" s="3" t="str">
        <f t="shared" si="39"/>
        <v>MG52518032047001MAM</v>
      </c>
      <c r="B2510" t="s">
        <v>6211</v>
      </c>
      <c r="C2510">
        <f>+VLOOKUP(Sites_per_tag[[#This Row],[Field_office]],Parameter!$A$3:$B$11,2,0)</f>
        <v>6</v>
      </c>
      <c r="E2510" t="s">
        <v>5646</v>
      </c>
      <c r="F2510" t="s">
        <v>5647</v>
      </c>
      <c r="H2510" t="str">
        <f ca="1">PROPER(Sites_per_tag[[#This Row],[Adm2Name]])</f>
        <v>Bekily</v>
      </c>
      <c r="I2510" t="s">
        <v>5683</v>
      </c>
      <c r="K2510" t="s">
        <v>2017</v>
      </c>
      <c r="L2510" t="s">
        <v>5922</v>
      </c>
      <c r="N2510" t="s">
        <v>2758</v>
      </c>
      <c r="O2510" t="s">
        <v>4886</v>
      </c>
      <c r="Q2510" t="s">
        <v>2758</v>
      </c>
      <c r="R2510" t="s">
        <v>2759</v>
      </c>
      <c r="T2510" t="s">
        <v>5</v>
      </c>
      <c r="U2510" s="3" t="str">
        <f>+VLOOKUP(Sites_per_tag[[#This Row],[Activity_tag]],Parameter!$A$24:$B$32,2,0)</f>
        <v>MAM</v>
      </c>
      <c r="W2510">
        <v>45.199449999999999</v>
      </c>
      <c r="X2510">
        <v>-24.150680000000001</v>
      </c>
    </row>
    <row r="2511" spans="1:24" x14ac:dyDescent="0.35">
      <c r="A2511" s="3" t="str">
        <f t="shared" si="39"/>
        <v>MG52518032059001MAM</v>
      </c>
      <c r="B2511" t="s">
        <v>6211</v>
      </c>
      <c r="C2511">
        <f>+VLOOKUP(Sites_per_tag[[#This Row],[Field_office]],Parameter!$A$3:$B$11,2,0)</f>
        <v>6</v>
      </c>
      <c r="E2511" t="s">
        <v>5646</v>
      </c>
      <c r="F2511" t="s">
        <v>5647</v>
      </c>
      <c r="H2511" t="str">
        <f ca="1">PROPER(Sites_per_tag[[#This Row],[Adm2Name]])</f>
        <v>Bekily</v>
      </c>
      <c r="I2511" t="s">
        <v>5683</v>
      </c>
      <c r="K2511" t="s">
        <v>6326</v>
      </c>
      <c r="L2511" t="s">
        <v>5653</v>
      </c>
      <c r="N2511" t="s">
        <v>1667</v>
      </c>
      <c r="O2511" t="s">
        <v>4275</v>
      </c>
      <c r="Q2511" t="s">
        <v>1672</v>
      </c>
      <c r="R2511" t="s">
        <v>1673</v>
      </c>
      <c r="T2511" t="s">
        <v>5</v>
      </c>
      <c r="U2511" s="3" t="str">
        <f>+VLOOKUP(Sites_per_tag[[#This Row],[Activity_tag]],Parameter!$A$24:$B$32,2,0)</f>
        <v>MAM</v>
      </c>
      <c r="W2511">
        <v>45.254829999999998</v>
      </c>
      <c r="X2511">
        <v>-24.13185</v>
      </c>
    </row>
    <row r="2512" spans="1:24" x14ac:dyDescent="0.35">
      <c r="A2512" s="3" t="str">
        <f t="shared" si="39"/>
        <v>MG52518050004001MAM</v>
      </c>
      <c r="B2512" t="s">
        <v>6211</v>
      </c>
      <c r="C2512">
        <f>+VLOOKUP(Sites_per_tag[[#This Row],[Field_office]],Parameter!$A$3:$B$11,2,0)</f>
        <v>6</v>
      </c>
      <c r="E2512" t="s">
        <v>5646</v>
      </c>
      <c r="F2512" t="s">
        <v>5647</v>
      </c>
      <c r="H2512" t="str">
        <f ca="1">PROPER(Sites_per_tag[[#This Row],[Adm2Name]])</f>
        <v>Bekily</v>
      </c>
      <c r="I2512" t="s">
        <v>5683</v>
      </c>
      <c r="K2512" t="s">
        <v>5813</v>
      </c>
      <c r="L2512" t="s">
        <v>5814</v>
      </c>
      <c r="N2512" t="s">
        <v>2047</v>
      </c>
      <c r="O2512" t="s">
        <v>4592</v>
      </c>
      <c r="Q2512" t="s">
        <v>2047</v>
      </c>
      <c r="R2512" t="s">
        <v>2048</v>
      </c>
      <c r="T2512" t="s">
        <v>5</v>
      </c>
      <c r="U2512" s="3" t="str">
        <f>+VLOOKUP(Sites_per_tag[[#This Row],[Activity_tag]],Parameter!$A$24:$B$32,2,0)</f>
        <v>MAM</v>
      </c>
      <c r="W2512">
        <v>45.283320000000003</v>
      </c>
      <c r="X2512">
        <v>-24.331669999999999</v>
      </c>
    </row>
    <row r="2513" spans="1:24" x14ac:dyDescent="0.35">
      <c r="A2513" s="3" t="str">
        <f t="shared" si="39"/>
        <v>MG52518050072001MAM</v>
      </c>
      <c r="B2513" t="s">
        <v>6211</v>
      </c>
      <c r="C2513">
        <f>+VLOOKUP(Sites_per_tag[[#This Row],[Field_office]],Parameter!$A$3:$B$11,2,0)</f>
        <v>6</v>
      </c>
      <c r="E2513" t="s">
        <v>5646</v>
      </c>
      <c r="F2513" t="s">
        <v>5647</v>
      </c>
      <c r="H2513" t="str">
        <f ca="1">PROPER(Sites_per_tag[[#This Row],[Adm2Name]])</f>
        <v>Bekily</v>
      </c>
      <c r="I2513" t="s">
        <v>5683</v>
      </c>
      <c r="K2513" t="s">
        <v>5813</v>
      </c>
      <c r="L2513" t="s">
        <v>5814</v>
      </c>
      <c r="N2513" t="s">
        <v>1049</v>
      </c>
      <c r="O2513" t="s">
        <v>4593</v>
      </c>
      <c r="Q2513" t="s">
        <v>1049</v>
      </c>
      <c r="R2513" t="s">
        <v>1050</v>
      </c>
      <c r="T2513" t="s">
        <v>5</v>
      </c>
      <c r="U2513" s="3" t="str">
        <f>+VLOOKUP(Sites_per_tag[[#This Row],[Activity_tag]],Parameter!$A$24:$B$32,2,0)</f>
        <v>MAM</v>
      </c>
      <c r="W2513">
        <v>45.269680000000001</v>
      </c>
      <c r="X2513">
        <v>-24.270479999999999</v>
      </c>
    </row>
    <row r="2514" spans="1:24" x14ac:dyDescent="0.35">
      <c r="A2514" s="3" t="str">
        <f t="shared" si="39"/>
        <v>MG52518050073001MAM</v>
      </c>
      <c r="B2514" t="s">
        <v>6211</v>
      </c>
      <c r="C2514">
        <f>+VLOOKUP(Sites_per_tag[[#This Row],[Field_office]],Parameter!$A$3:$B$11,2,0)</f>
        <v>6</v>
      </c>
      <c r="E2514" t="s">
        <v>5646</v>
      </c>
      <c r="F2514" t="s">
        <v>5647</v>
      </c>
      <c r="H2514" t="str">
        <f ca="1">PROPER(Sites_per_tag[[#This Row],[Adm2Name]])</f>
        <v>Bekily</v>
      </c>
      <c r="I2514" t="s">
        <v>5683</v>
      </c>
      <c r="K2514" t="s">
        <v>5813</v>
      </c>
      <c r="L2514" t="s">
        <v>5814</v>
      </c>
      <c r="N2514" t="s">
        <v>1166</v>
      </c>
      <c r="O2514" t="s">
        <v>4594</v>
      </c>
      <c r="Q2514" t="s">
        <v>1166</v>
      </c>
      <c r="R2514" t="s">
        <v>1167</v>
      </c>
      <c r="T2514" t="s">
        <v>5</v>
      </c>
      <c r="U2514" s="3" t="str">
        <f>+VLOOKUP(Sites_per_tag[[#This Row],[Activity_tag]],Parameter!$A$24:$B$32,2,0)</f>
        <v>MAM</v>
      </c>
      <c r="W2514">
        <v>45.310180000000003</v>
      </c>
      <c r="X2514">
        <v>-24.27007</v>
      </c>
    </row>
    <row r="2515" spans="1:24" x14ac:dyDescent="0.35">
      <c r="A2515" s="3" t="str">
        <f t="shared" si="39"/>
        <v>MG52518050074001MAM</v>
      </c>
      <c r="B2515" t="s">
        <v>6211</v>
      </c>
      <c r="C2515">
        <f>+VLOOKUP(Sites_per_tag[[#This Row],[Field_office]],Parameter!$A$3:$B$11,2,0)</f>
        <v>6</v>
      </c>
      <c r="E2515" t="s">
        <v>5646</v>
      </c>
      <c r="F2515" t="s">
        <v>5647</v>
      </c>
      <c r="H2515" t="str">
        <f ca="1">PROPER(Sites_per_tag[[#This Row],[Adm2Name]])</f>
        <v>Bekily</v>
      </c>
      <c r="I2515" t="s">
        <v>5683</v>
      </c>
      <c r="K2515" t="s">
        <v>5813</v>
      </c>
      <c r="L2515" t="s">
        <v>5814</v>
      </c>
      <c r="N2515" t="s">
        <v>3173</v>
      </c>
      <c r="O2515" t="s">
        <v>4595</v>
      </c>
      <c r="Q2515" t="s">
        <v>3173</v>
      </c>
      <c r="R2515" t="s">
        <v>3174</v>
      </c>
      <c r="T2515" t="s">
        <v>5</v>
      </c>
      <c r="U2515" s="3" t="str">
        <f>+VLOOKUP(Sites_per_tag[[#This Row],[Activity_tag]],Parameter!$A$24:$B$32,2,0)</f>
        <v>MAM</v>
      </c>
      <c r="W2515">
        <v>45.257170000000002</v>
      </c>
      <c r="X2515">
        <v>-24.31493</v>
      </c>
    </row>
    <row r="2516" spans="1:24" x14ac:dyDescent="0.35">
      <c r="A2516" s="3" t="str">
        <f t="shared" si="39"/>
        <v>MG52518070001PREV</v>
      </c>
      <c r="B2516" t="s">
        <v>6211</v>
      </c>
      <c r="C2516">
        <f>+VLOOKUP(Sites_per_tag[[#This Row],[Field_office]],Parameter!$A$3:$B$11,2,0)</f>
        <v>6</v>
      </c>
      <c r="E2516" t="s">
        <v>5646</v>
      </c>
      <c r="F2516" t="s">
        <v>5647</v>
      </c>
      <c r="H2516" t="str">
        <f ca="1">PROPER(Sites_per_tag[[#This Row],[Adm2Name]])</f>
        <v>Bekily</v>
      </c>
      <c r="I2516" t="s">
        <v>5683</v>
      </c>
      <c r="K2516" t="s">
        <v>1569</v>
      </c>
      <c r="L2516" t="s">
        <v>5871</v>
      </c>
      <c r="N2516" t="s">
        <v>4210</v>
      </c>
      <c r="Q2516" t="s">
        <v>1571</v>
      </c>
      <c r="R2516" t="s">
        <v>1572</v>
      </c>
      <c r="T2516" t="s">
        <v>32</v>
      </c>
      <c r="U2516" s="3" t="str">
        <f>+VLOOKUP(Sites_per_tag[[#This Row],[Activity_tag]],Parameter!$A$24:$B$32,2,0)</f>
        <v>PREV</v>
      </c>
      <c r="W2516">
        <v>45.182029999999997</v>
      </c>
      <c r="X2516">
        <v>-24.246929999999999</v>
      </c>
    </row>
    <row r="2517" spans="1:24" x14ac:dyDescent="0.35">
      <c r="A2517" s="3" t="str">
        <f t="shared" si="39"/>
        <v>MG52518070003PREV</v>
      </c>
      <c r="B2517" t="s">
        <v>6211</v>
      </c>
      <c r="C2517">
        <f>+VLOOKUP(Sites_per_tag[[#This Row],[Field_office]],Parameter!$A$3:$B$11,2,0)</f>
        <v>6</v>
      </c>
      <c r="E2517" t="s">
        <v>5646</v>
      </c>
      <c r="F2517" t="s">
        <v>5647</v>
      </c>
      <c r="H2517" t="str">
        <f ca="1">PROPER(Sites_per_tag[[#This Row],[Adm2Name]])</f>
        <v>Bekily</v>
      </c>
      <c r="I2517" t="s">
        <v>5683</v>
      </c>
      <c r="K2517" t="s">
        <v>1569</v>
      </c>
      <c r="L2517" t="s">
        <v>5871</v>
      </c>
      <c r="N2517" t="s">
        <v>4208</v>
      </c>
      <c r="Q2517" t="s">
        <v>1499</v>
      </c>
      <c r="R2517" t="s">
        <v>1500</v>
      </c>
      <c r="T2517" t="s">
        <v>32</v>
      </c>
      <c r="U2517" s="3" t="str">
        <f>+VLOOKUP(Sites_per_tag[[#This Row],[Activity_tag]],Parameter!$A$24:$B$32,2,0)</f>
        <v>PREV</v>
      </c>
      <c r="W2517">
        <v>45.092829999999999</v>
      </c>
      <c r="X2517">
        <v>-24.253170000000001</v>
      </c>
    </row>
    <row r="2518" spans="1:24" x14ac:dyDescent="0.35">
      <c r="A2518" s="3" t="str">
        <f t="shared" si="39"/>
        <v>MG52518070004PREV</v>
      </c>
      <c r="B2518" t="s">
        <v>6211</v>
      </c>
      <c r="C2518">
        <f>+VLOOKUP(Sites_per_tag[[#This Row],[Field_office]],Parameter!$A$3:$B$11,2,0)</f>
        <v>6</v>
      </c>
      <c r="E2518" t="s">
        <v>5646</v>
      </c>
      <c r="F2518" t="s">
        <v>5647</v>
      </c>
      <c r="H2518" t="str">
        <f ca="1">PROPER(Sites_per_tag[[#This Row],[Adm2Name]])</f>
        <v>Bekily</v>
      </c>
      <c r="I2518" t="s">
        <v>5683</v>
      </c>
      <c r="K2518" t="s">
        <v>1569</v>
      </c>
      <c r="L2518" t="s">
        <v>5871</v>
      </c>
      <c r="N2518" t="s">
        <v>4209</v>
      </c>
      <c r="Q2518" t="s">
        <v>1195</v>
      </c>
      <c r="R2518" t="s">
        <v>1196</v>
      </c>
      <c r="T2518" t="s">
        <v>32</v>
      </c>
      <c r="U2518" s="3" t="str">
        <f>+VLOOKUP(Sites_per_tag[[#This Row],[Activity_tag]],Parameter!$A$24:$B$32,2,0)</f>
        <v>PREV</v>
      </c>
      <c r="W2518">
        <v>45.170769999999997</v>
      </c>
      <c r="X2518">
        <v>-24.27975</v>
      </c>
    </row>
    <row r="2519" spans="1:24" x14ac:dyDescent="0.35">
      <c r="A2519" s="3" t="str">
        <f t="shared" si="39"/>
        <v>MG52518070005PREV</v>
      </c>
      <c r="B2519" t="s">
        <v>6211</v>
      </c>
      <c r="C2519">
        <f>+VLOOKUP(Sites_per_tag[[#This Row],[Field_office]],Parameter!$A$3:$B$11,2,0)</f>
        <v>6</v>
      </c>
      <c r="E2519" t="s">
        <v>5646</v>
      </c>
      <c r="F2519" t="s">
        <v>5647</v>
      </c>
      <c r="H2519" t="str">
        <f ca="1">PROPER(Sites_per_tag[[#This Row],[Adm2Name]])</f>
        <v>Bekily</v>
      </c>
      <c r="I2519" t="s">
        <v>5683</v>
      </c>
      <c r="K2519" t="s">
        <v>1569</v>
      </c>
      <c r="L2519" t="s">
        <v>5871</v>
      </c>
      <c r="N2519" t="s">
        <v>4207</v>
      </c>
      <c r="Q2519" t="s">
        <v>1968</v>
      </c>
      <c r="R2519" t="s">
        <v>1969</v>
      </c>
      <c r="T2519" t="s">
        <v>32</v>
      </c>
      <c r="U2519" s="3" t="str">
        <f>+VLOOKUP(Sites_per_tag[[#This Row],[Activity_tag]],Parameter!$A$24:$B$32,2,0)</f>
        <v>PREV</v>
      </c>
      <c r="W2519">
        <v>45.080419999999997</v>
      </c>
      <c r="X2519">
        <v>-24.322019999999998</v>
      </c>
    </row>
    <row r="2520" spans="1:24" x14ac:dyDescent="0.35">
      <c r="A2520" s="3" t="str">
        <f t="shared" si="39"/>
        <v>MG52518070014001MAM</v>
      </c>
      <c r="B2520" t="s">
        <v>6211</v>
      </c>
      <c r="C2520">
        <f>+VLOOKUP(Sites_per_tag[[#This Row],[Field_office]],Parameter!$A$3:$B$11,2,0)</f>
        <v>6</v>
      </c>
      <c r="E2520" t="s">
        <v>5646</v>
      </c>
      <c r="F2520" t="s">
        <v>5647</v>
      </c>
      <c r="H2520" t="str">
        <f ca="1">PROPER(Sites_per_tag[[#This Row],[Adm2Name]])</f>
        <v>Bekily</v>
      </c>
      <c r="I2520" t="s">
        <v>5683</v>
      </c>
      <c r="K2520" t="s">
        <v>1569</v>
      </c>
      <c r="L2520" t="s">
        <v>5871</v>
      </c>
      <c r="N2520" t="s">
        <v>1569</v>
      </c>
      <c r="O2520" t="s">
        <v>4734</v>
      </c>
      <c r="Q2520" t="s">
        <v>1573</v>
      </c>
      <c r="R2520" t="s">
        <v>1574</v>
      </c>
      <c r="T2520" t="s">
        <v>5</v>
      </c>
      <c r="U2520" s="3" t="str">
        <f>+VLOOKUP(Sites_per_tag[[#This Row],[Activity_tag]],Parameter!$A$24:$B$32,2,0)</f>
        <v>MAM</v>
      </c>
      <c r="W2520">
        <v>45.147517999999998</v>
      </c>
      <c r="X2520">
        <v>-24.317712</v>
      </c>
    </row>
    <row r="2521" spans="1:24" x14ac:dyDescent="0.35">
      <c r="A2521" s="3" t="str">
        <f t="shared" si="39"/>
        <v>MG52518091004001MAM</v>
      </c>
      <c r="B2521" t="s">
        <v>6211</v>
      </c>
      <c r="C2521">
        <f>+VLOOKUP(Sites_per_tag[[#This Row],[Field_office]],Parameter!$A$3:$B$11,2,0)</f>
        <v>6</v>
      </c>
      <c r="E2521" t="s">
        <v>5646</v>
      </c>
      <c r="F2521" t="s">
        <v>5647</v>
      </c>
      <c r="H2521" t="str">
        <f ca="1">PROPER(Sites_per_tag[[#This Row],[Adm2Name]])</f>
        <v>Bekily</v>
      </c>
      <c r="I2521" t="s">
        <v>5683</v>
      </c>
      <c r="K2521" t="s">
        <v>6328</v>
      </c>
      <c r="L2521" t="s">
        <v>5695</v>
      </c>
      <c r="N2521" t="s">
        <v>2865</v>
      </c>
      <c r="O2521" t="s">
        <v>4305</v>
      </c>
      <c r="Q2521" t="s">
        <v>2871</v>
      </c>
      <c r="R2521" t="s">
        <v>2872</v>
      </c>
      <c r="T2521" t="s">
        <v>5</v>
      </c>
      <c r="U2521" s="3" t="str">
        <f>+VLOOKUP(Sites_per_tag[[#This Row],[Activity_tag]],Parameter!$A$24:$B$32,2,0)</f>
        <v>MAM</v>
      </c>
      <c r="W2521">
        <v>45.438949999999998</v>
      </c>
      <c r="X2521">
        <v>-24.020530000000001</v>
      </c>
    </row>
    <row r="2522" spans="1:24" x14ac:dyDescent="0.35">
      <c r="A2522" s="3" t="str">
        <f t="shared" si="39"/>
        <v>MG52518091006001MAM</v>
      </c>
      <c r="B2522" t="s">
        <v>6267</v>
      </c>
      <c r="C2522">
        <f>+VLOOKUP(Sites_per_tag[[#This Row],[Field_office]],Parameter!$A$3:$B$11,2,0)</f>
        <v>9</v>
      </c>
      <c r="E2522" t="s">
        <v>5650</v>
      </c>
      <c r="F2522" t="s">
        <v>5654</v>
      </c>
      <c r="H2522" t="str">
        <f ca="1">PROPER(Sites_per_tag[[#This Row],[Adm2Name]])</f>
        <v>Ampanihy Ouest</v>
      </c>
      <c r="I2522" t="s">
        <v>5660</v>
      </c>
      <c r="K2522" t="s">
        <v>457</v>
      </c>
      <c r="L2522" t="s">
        <v>5748</v>
      </c>
      <c r="N2522" t="s">
        <v>2472</v>
      </c>
      <c r="O2522" t="s">
        <v>4427</v>
      </c>
      <c r="Q2522" t="s">
        <v>2472</v>
      </c>
      <c r="R2522" t="s">
        <v>2473</v>
      </c>
      <c r="T2522" t="s">
        <v>5</v>
      </c>
      <c r="U2522" s="3" t="str">
        <f>+VLOOKUP(Sites_per_tag[[#This Row],[Activity_tag]],Parameter!$A$24:$B$32,2,0)</f>
        <v>MAM</v>
      </c>
      <c r="W2522">
        <v>45.075597999999999</v>
      </c>
      <c r="X2522">
        <v>-24.541508</v>
      </c>
    </row>
    <row r="2523" spans="1:24" x14ac:dyDescent="0.35">
      <c r="A2523" s="3" t="str">
        <f t="shared" si="39"/>
        <v>MG52518092001PREV</v>
      </c>
      <c r="B2523" t="s">
        <v>6211</v>
      </c>
      <c r="C2523">
        <f>+VLOOKUP(Sites_per_tag[[#This Row],[Field_office]],Parameter!$A$3:$B$11,2,0)</f>
        <v>6</v>
      </c>
      <c r="E2523" t="s">
        <v>5646</v>
      </c>
      <c r="F2523" t="s">
        <v>5647</v>
      </c>
      <c r="H2523" t="str">
        <f ca="1">PROPER(Sites_per_tag[[#This Row],[Adm2Name]])</f>
        <v>Bekily</v>
      </c>
      <c r="I2523" t="s">
        <v>5683</v>
      </c>
      <c r="K2523" t="s">
        <v>6546</v>
      </c>
      <c r="L2523" t="s">
        <v>6122</v>
      </c>
      <c r="N2523" t="s">
        <v>4225</v>
      </c>
      <c r="Q2523" t="s">
        <v>3826</v>
      </c>
      <c r="R2523" t="s">
        <v>3827</v>
      </c>
      <c r="T2523" t="s">
        <v>32</v>
      </c>
      <c r="U2523" s="3" t="str">
        <f>+VLOOKUP(Sites_per_tag[[#This Row],[Activity_tag]],Parameter!$A$24:$B$32,2,0)</f>
        <v>PREV</v>
      </c>
      <c r="W2523">
        <v>45.383580000000002</v>
      </c>
      <c r="X2523">
        <v>-24.13522</v>
      </c>
    </row>
    <row r="2524" spans="1:24" x14ac:dyDescent="0.35">
      <c r="A2524" s="3" t="str">
        <f t="shared" si="39"/>
        <v>MG52518092006001MAM</v>
      </c>
      <c r="B2524" t="s">
        <v>6211</v>
      </c>
      <c r="C2524">
        <f>+VLOOKUP(Sites_per_tag[[#This Row],[Field_office]],Parameter!$A$3:$B$11,2,0)</f>
        <v>6</v>
      </c>
      <c r="E2524" t="s">
        <v>5646</v>
      </c>
      <c r="F2524" t="s">
        <v>5647</v>
      </c>
      <c r="H2524" t="str">
        <f ca="1">PROPER(Sites_per_tag[[#This Row],[Adm2Name]])</f>
        <v>Bekily</v>
      </c>
      <c r="I2524" t="s">
        <v>5683</v>
      </c>
      <c r="K2524" t="s">
        <v>3824</v>
      </c>
      <c r="L2524" t="s">
        <v>6122</v>
      </c>
      <c r="N2524" t="s">
        <v>3233</v>
      </c>
      <c r="O2524" t="s">
        <v>3234</v>
      </c>
      <c r="Q2524" t="s">
        <v>4226</v>
      </c>
      <c r="R2524" t="s">
        <v>3235</v>
      </c>
      <c r="T2524" t="s">
        <v>5</v>
      </c>
      <c r="U2524" s="3" t="str">
        <f>+VLOOKUP(Sites_per_tag[[#This Row],[Activity_tag]],Parameter!$A$24:$B$32,2,0)</f>
        <v>MAM</v>
      </c>
      <c r="W2524">
        <v>45.401229999999998</v>
      </c>
      <c r="X2524">
        <v>-24.158270000000002</v>
      </c>
    </row>
    <row r="2525" spans="1:24" x14ac:dyDescent="0.35">
      <c r="A2525" s="3" t="str">
        <f t="shared" si="39"/>
        <v>MG52518092006PREV</v>
      </c>
      <c r="B2525" t="s">
        <v>6211</v>
      </c>
      <c r="C2525">
        <f>+VLOOKUP(Sites_per_tag[[#This Row],[Field_office]],Parameter!$A$3:$B$11,2,0)</f>
        <v>6</v>
      </c>
      <c r="E2525" t="s">
        <v>5646</v>
      </c>
      <c r="F2525" t="s">
        <v>5647</v>
      </c>
      <c r="H2525" t="str">
        <f ca="1">PROPER(Sites_per_tag[[#This Row],[Adm2Name]])</f>
        <v>Bekily</v>
      </c>
      <c r="I2525" t="s">
        <v>5683</v>
      </c>
      <c r="K2525" t="s">
        <v>6546</v>
      </c>
      <c r="L2525" t="s">
        <v>6122</v>
      </c>
      <c r="N2525" t="s">
        <v>4226</v>
      </c>
      <c r="Q2525" t="s">
        <v>3233</v>
      </c>
      <c r="R2525" t="s">
        <v>3234</v>
      </c>
      <c r="T2525" t="s">
        <v>32</v>
      </c>
      <c r="U2525" s="3" t="str">
        <f>+VLOOKUP(Sites_per_tag[[#This Row],[Activity_tag]],Parameter!$A$24:$B$32,2,0)</f>
        <v>PREV</v>
      </c>
      <c r="W2525">
        <v>45.392330000000001</v>
      </c>
      <c r="X2525">
        <v>-24.1662</v>
      </c>
    </row>
    <row r="2526" spans="1:24" x14ac:dyDescent="0.35">
      <c r="A2526" s="3" t="str">
        <f t="shared" si="39"/>
        <v>MG52518092056001MAM</v>
      </c>
      <c r="B2526" t="s">
        <v>6211</v>
      </c>
      <c r="C2526">
        <f>+VLOOKUP(Sites_per_tag[[#This Row],[Field_office]],Parameter!$A$3:$B$11,2,0)</f>
        <v>6</v>
      </c>
      <c r="E2526" t="s">
        <v>5646</v>
      </c>
      <c r="F2526" t="s">
        <v>5647</v>
      </c>
      <c r="H2526" t="str">
        <f ca="1">PROPER(Sites_per_tag[[#This Row],[Adm2Name]])</f>
        <v>Bekily</v>
      </c>
      <c r="I2526" t="s">
        <v>5683</v>
      </c>
      <c r="K2526" t="s">
        <v>3824</v>
      </c>
      <c r="L2526" t="s">
        <v>6122</v>
      </c>
      <c r="N2526" t="s">
        <v>3145</v>
      </c>
      <c r="O2526" t="s">
        <v>5555</v>
      </c>
      <c r="Q2526" t="s">
        <v>3145</v>
      </c>
      <c r="R2526" t="s">
        <v>3146</v>
      </c>
      <c r="T2526" t="s">
        <v>5</v>
      </c>
      <c r="U2526" s="3" t="str">
        <f>+VLOOKUP(Sites_per_tag[[#This Row],[Activity_tag]],Parameter!$A$24:$B$32,2,0)</f>
        <v>MAM</v>
      </c>
      <c r="W2526">
        <v>45.32593</v>
      </c>
      <c r="X2526">
        <v>-24.1264</v>
      </c>
    </row>
    <row r="2527" spans="1:24" x14ac:dyDescent="0.35">
      <c r="A2527" s="3" t="str">
        <f t="shared" si="39"/>
        <v>MG52518092057001MAM</v>
      </c>
      <c r="B2527" t="s">
        <v>6211</v>
      </c>
      <c r="C2527">
        <f>+VLOOKUP(Sites_per_tag[[#This Row],[Field_office]],Parameter!$A$3:$B$11,2,0)</f>
        <v>6</v>
      </c>
      <c r="E2527" t="s">
        <v>5646</v>
      </c>
      <c r="F2527" t="s">
        <v>5647</v>
      </c>
      <c r="H2527" t="str">
        <f ca="1">PROPER(Sites_per_tag[[#This Row],[Adm2Name]])</f>
        <v>Bekily</v>
      </c>
      <c r="I2527" t="s">
        <v>5683</v>
      </c>
      <c r="K2527" t="s">
        <v>3824</v>
      </c>
      <c r="L2527" t="s">
        <v>6122</v>
      </c>
      <c r="N2527" t="s">
        <v>3577</v>
      </c>
      <c r="O2527" t="s">
        <v>5556</v>
      </c>
      <c r="Q2527" t="s">
        <v>3577</v>
      </c>
      <c r="R2527" t="s">
        <v>3578</v>
      </c>
      <c r="T2527" t="s">
        <v>5</v>
      </c>
      <c r="U2527" s="3" t="str">
        <f>+VLOOKUP(Sites_per_tag[[#This Row],[Activity_tag]],Parameter!$A$24:$B$32,2,0)</f>
        <v>MAM</v>
      </c>
      <c r="W2527">
        <v>45.377420000000001</v>
      </c>
      <c r="X2527">
        <v>-24.148949999999999</v>
      </c>
    </row>
    <row r="2528" spans="1:24" x14ac:dyDescent="0.35">
      <c r="A2528" s="3" t="str">
        <f t="shared" si="39"/>
        <v>MG52518092089PREV</v>
      </c>
      <c r="B2528" t="s">
        <v>6211</v>
      </c>
      <c r="C2528">
        <f>+VLOOKUP(Sites_per_tag[[#This Row],[Field_office]],Parameter!$A$3:$B$11,2,0)</f>
        <v>6</v>
      </c>
      <c r="E2528" t="s">
        <v>5646</v>
      </c>
      <c r="F2528" t="s">
        <v>5647</v>
      </c>
      <c r="H2528" t="str">
        <f ca="1">PROPER(Sites_per_tag[[#This Row],[Adm2Name]])</f>
        <v>Bekily</v>
      </c>
      <c r="I2528" t="s">
        <v>5683</v>
      </c>
      <c r="K2528" t="s">
        <v>6546</v>
      </c>
      <c r="L2528" t="s">
        <v>6122</v>
      </c>
      <c r="N2528" t="s">
        <v>4224</v>
      </c>
      <c r="Q2528" t="s">
        <v>55</v>
      </c>
      <c r="R2528" t="s">
        <v>56</v>
      </c>
      <c r="T2528" t="s">
        <v>32</v>
      </c>
      <c r="U2528" s="3" t="str">
        <f>+VLOOKUP(Sites_per_tag[[#This Row],[Activity_tag]],Parameter!$A$24:$B$32,2,0)</f>
        <v>PREV</v>
      </c>
      <c r="W2528">
        <v>45.345829999999999</v>
      </c>
      <c r="X2528">
        <v>-24.118500000000001</v>
      </c>
    </row>
    <row r="2529" spans="1:24" x14ac:dyDescent="0.35">
      <c r="A2529" s="3" t="str">
        <f t="shared" si="39"/>
        <v>MG52518110001001MAM</v>
      </c>
      <c r="B2529" t="s">
        <v>6211</v>
      </c>
      <c r="C2529">
        <f>+VLOOKUP(Sites_per_tag[[#This Row],[Field_office]],Parameter!$A$3:$B$11,2,0)</f>
        <v>6</v>
      </c>
      <c r="E2529" t="s">
        <v>5646</v>
      </c>
      <c r="F2529" t="s">
        <v>5647</v>
      </c>
      <c r="H2529" t="str">
        <f ca="1">PROPER(Sites_per_tag[[#This Row],[Adm2Name]])</f>
        <v>Bekily</v>
      </c>
      <c r="I2529" t="s">
        <v>5683</v>
      </c>
      <c r="K2529" t="s">
        <v>5548</v>
      </c>
      <c r="L2529" t="s">
        <v>6148</v>
      </c>
      <c r="N2529" t="s">
        <v>5548</v>
      </c>
      <c r="O2529" t="s">
        <v>5547</v>
      </c>
      <c r="Q2529" t="s">
        <v>3776</v>
      </c>
      <c r="R2529" t="s">
        <v>3777</v>
      </c>
      <c r="T2529" t="s">
        <v>5</v>
      </c>
      <c r="U2529" s="3" t="str">
        <f>+VLOOKUP(Sites_per_tag[[#This Row],[Activity_tag]],Parameter!$A$24:$B$32,2,0)</f>
        <v>MAM</v>
      </c>
      <c r="W2529">
        <v>45.211799999999997</v>
      </c>
      <c r="X2529">
        <v>-24.343250000000001</v>
      </c>
    </row>
    <row r="2530" spans="1:24" x14ac:dyDescent="0.35">
      <c r="A2530" s="3" t="str">
        <f t="shared" si="39"/>
        <v>MG52518110002001MAM</v>
      </c>
      <c r="B2530" t="s">
        <v>6211</v>
      </c>
      <c r="C2530">
        <f>+VLOOKUP(Sites_per_tag[[#This Row],[Field_office]],Parameter!$A$3:$B$11,2,0)</f>
        <v>6</v>
      </c>
      <c r="E2530" t="s">
        <v>5646</v>
      </c>
      <c r="F2530" t="s">
        <v>5647</v>
      </c>
      <c r="H2530" t="str">
        <f ca="1">PROPER(Sites_per_tag[[#This Row],[Adm2Name]])</f>
        <v>Bekily</v>
      </c>
      <c r="I2530" t="s">
        <v>5683</v>
      </c>
      <c r="K2530" t="s">
        <v>5548</v>
      </c>
      <c r="L2530" t="s">
        <v>6148</v>
      </c>
      <c r="N2530" t="s">
        <v>4319</v>
      </c>
      <c r="O2530" t="s">
        <v>5549</v>
      </c>
      <c r="Q2530" t="s">
        <v>2723</v>
      </c>
      <c r="R2530" t="s">
        <v>2724</v>
      </c>
      <c r="T2530" t="s">
        <v>5</v>
      </c>
      <c r="U2530" s="3" t="str">
        <f>+VLOOKUP(Sites_per_tag[[#This Row],[Activity_tag]],Parameter!$A$24:$B$32,2,0)</f>
        <v>MAM</v>
      </c>
      <c r="W2530">
        <v>45.241230000000002</v>
      </c>
      <c r="X2530">
        <v>-24.285900000000002</v>
      </c>
    </row>
    <row r="2531" spans="1:24" x14ac:dyDescent="0.35">
      <c r="A2531" s="3" t="str">
        <f t="shared" si="39"/>
        <v>MG52518110004001MAM</v>
      </c>
      <c r="B2531" t="s">
        <v>6211</v>
      </c>
      <c r="C2531">
        <f>+VLOOKUP(Sites_per_tag[[#This Row],[Field_office]],Parameter!$A$3:$B$11,2,0)</f>
        <v>6</v>
      </c>
      <c r="E2531" t="s">
        <v>5646</v>
      </c>
      <c r="F2531" t="s">
        <v>5647</v>
      </c>
      <c r="H2531" t="str">
        <f ca="1">PROPER(Sites_per_tag[[#This Row],[Adm2Name]])</f>
        <v>Bekily</v>
      </c>
      <c r="I2531" t="s">
        <v>5683</v>
      </c>
      <c r="K2531" t="s">
        <v>5548</v>
      </c>
      <c r="L2531" t="s">
        <v>6148</v>
      </c>
      <c r="N2531" t="s">
        <v>5551</v>
      </c>
      <c r="O2531" t="s">
        <v>5550</v>
      </c>
      <c r="Q2531" t="s">
        <v>1918</v>
      </c>
      <c r="R2531" t="s">
        <v>1919</v>
      </c>
      <c r="T2531" t="s">
        <v>5</v>
      </c>
      <c r="U2531" s="3" t="str">
        <f>+VLOOKUP(Sites_per_tag[[#This Row],[Activity_tag]],Parameter!$A$24:$B$32,2,0)</f>
        <v>MAM</v>
      </c>
      <c r="W2531">
        <v>45.283200000000001</v>
      </c>
      <c r="X2531">
        <v>-24.342880000000001</v>
      </c>
    </row>
    <row r="2532" spans="1:24" x14ac:dyDescent="0.35">
      <c r="A2532" s="3" t="str">
        <f t="shared" si="39"/>
        <v>MG52518110007001MAM</v>
      </c>
      <c r="B2532" t="s">
        <v>6211</v>
      </c>
      <c r="C2532">
        <f>+VLOOKUP(Sites_per_tag[[#This Row],[Field_office]],Parameter!$A$3:$B$11,2,0)</f>
        <v>6</v>
      </c>
      <c r="E2532" t="s">
        <v>5646</v>
      </c>
      <c r="F2532" t="s">
        <v>5647</v>
      </c>
      <c r="H2532" t="str">
        <f ca="1">PROPER(Sites_per_tag[[#This Row],[Adm2Name]])</f>
        <v>Bekily</v>
      </c>
      <c r="I2532" t="s">
        <v>5683</v>
      </c>
      <c r="K2532" t="s">
        <v>5548</v>
      </c>
      <c r="L2532" t="s">
        <v>6148</v>
      </c>
      <c r="N2532" t="s">
        <v>5553</v>
      </c>
      <c r="O2532" t="s">
        <v>5552</v>
      </c>
      <c r="Q2532" t="s">
        <v>1340</v>
      </c>
      <c r="R2532" t="s">
        <v>1341</v>
      </c>
      <c r="T2532" t="s">
        <v>5</v>
      </c>
      <c r="U2532" s="3" t="str">
        <f>+VLOOKUP(Sites_per_tag[[#This Row],[Activity_tag]],Parameter!$A$24:$B$32,2,0)</f>
        <v>MAM</v>
      </c>
      <c r="W2532">
        <v>45.251530000000002</v>
      </c>
      <c r="X2532">
        <v>-24.356169999999999</v>
      </c>
    </row>
    <row r="2533" spans="1:24" x14ac:dyDescent="0.35">
      <c r="A2533" s="3" t="str">
        <f t="shared" si="39"/>
        <v>MG52518110077001MAM</v>
      </c>
      <c r="B2533" t="s">
        <v>6211</v>
      </c>
      <c r="C2533">
        <f>+VLOOKUP(Sites_per_tag[[#This Row],[Field_office]],Parameter!$A$3:$B$11,2,0)</f>
        <v>6</v>
      </c>
      <c r="E2533" t="s">
        <v>5646</v>
      </c>
      <c r="F2533" t="s">
        <v>5647</v>
      </c>
      <c r="H2533" t="str">
        <f ca="1">PROPER(Sites_per_tag[[#This Row],[Adm2Name]])</f>
        <v>Bekily</v>
      </c>
      <c r="I2533" t="s">
        <v>5683</v>
      </c>
      <c r="K2533" t="s">
        <v>5548</v>
      </c>
      <c r="L2533" t="s">
        <v>6148</v>
      </c>
      <c r="N2533" t="s">
        <v>1061</v>
      </c>
      <c r="O2533" t="s">
        <v>5554</v>
      </c>
      <c r="Q2533" t="s">
        <v>1061</v>
      </c>
      <c r="R2533" t="s">
        <v>1062</v>
      </c>
      <c r="T2533" t="s">
        <v>5</v>
      </c>
      <c r="U2533" s="3" t="str">
        <f>+VLOOKUP(Sites_per_tag[[#This Row],[Activity_tag]],Parameter!$A$24:$B$32,2,0)</f>
        <v>MAM</v>
      </c>
      <c r="W2533">
        <v>45.233930000000001</v>
      </c>
      <c r="X2533">
        <v>-24.370470000000001</v>
      </c>
    </row>
    <row r="2534" spans="1:24" x14ac:dyDescent="0.35">
      <c r="A2534" s="3" t="str">
        <f t="shared" si="39"/>
        <v>MG52518130001001MAM</v>
      </c>
      <c r="B2534" t="s">
        <v>6211</v>
      </c>
      <c r="C2534">
        <f>+VLOOKUP(Sites_per_tag[[#This Row],[Field_office]],Parameter!$A$3:$B$11,2,0)</f>
        <v>6</v>
      </c>
      <c r="E2534" t="s">
        <v>5646</v>
      </c>
      <c r="F2534" t="s">
        <v>5647</v>
      </c>
      <c r="H2534" t="str">
        <f ca="1">PROPER(Sites_per_tag[[#This Row],[Adm2Name]])</f>
        <v>Bekily</v>
      </c>
      <c r="I2534" t="s">
        <v>5683</v>
      </c>
      <c r="K2534" t="s">
        <v>5202</v>
      </c>
      <c r="L2534" t="s">
        <v>6015</v>
      </c>
      <c r="N2534" t="s">
        <v>5202</v>
      </c>
      <c r="O2534" t="s">
        <v>5201</v>
      </c>
      <c r="Q2534" t="s">
        <v>2839</v>
      </c>
      <c r="R2534" t="s">
        <v>2840</v>
      </c>
      <c r="T2534" t="s">
        <v>5</v>
      </c>
      <c r="U2534" s="3" t="str">
        <f>+VLOOKUP(Sites_per_tag[[#This Row],[Activity_tag]],Parameter!$A$24:$B$32,2,0)</f>
        <v>MAM</v>
      </c>
      <c r="W2534">
        <v>45.392580000000002</v>
      </c>
      <c r="X2534">
        <v>-24.31813</v>
      </c>
    </row>
    <row r="2535" spans="1:24" x14ac:dyDescent="0.35">
      <c r="A2535" s="3" t="str">
        <f t="shared" si="39"/>
        <v>MG52518130009001MAM</v>
      </c>
      <c r="B2535" t="s">
        <v>6211</v>
      </c>
      <c r="C2535">
        <f>+VLOOKUP(Sites_per_tag[[#This Row],[Field_office]],Parameter!$A$3:$B$11,2,0)</f>
        <v>6</v>
      </c>
      <c r="E2535" t="s">
        <v>5646</v>
      </c>
      <c r="F2535" t="s">
        <v>5647</v>
      </c>
      <c r="H2535" t="str">
        <f ca="1">PROPER(Sites_per_tag[[#This Row],[Adm2Name]])</f>
        <v>Bekily</v>
      </c>
      <c r="I2535" t="s">
        <v>5683</v>
      </c>
      <c r="K2535" t="s">
        <v>5202</v>
      </c>
      <c r="L2535" t="s">
        <v>6015</v>
      </c>
      <c r="N2535" t="s">
        <v>4421</v>
      </c>
      <c r="O2535" t="s">
        <v>5203</v>
      </c>
      <c r="Q2535" t="s">
        <v>1170</v>
      </c>
      <c r="R2535" t="s">
        <v>1171</v>
      </c>
      <c r="T2535" t="s">
        <v>5</v>
      </c>
      <c r="U2535" s="3" t="str">
        <f>+VLOOKUP(Sites_per_tag[[#This Row],[Activity_tag]],Parameter!$A$24:$B$32,2,0)</f>
        <v>MAM</v>
      </c>
      <c r="W2535">
        <v>45.397280000000002</v>
      </c>
      <c r="X2535">
        <v>-24.2517</v>
      </c>
    </row>
    <row r="2536" spans="1:24" x14ac:dyDescent="0.35">
      <c r="A2536" s="3" t="str">
        <f t="shared" si="39"/>
        <v>MG52518130012001MAM</v>
      </c>
      <c r="B2536" t="s">
        <v>6211</v>
      </c>
      <c r="C2536">
        <f>+VLOOKUP(Sites_per_tag[[#This Row],[Field_office]],Parameter!$A$3:$B$11,2,0)</f>
        <v>6</v>
      </c>
      <c r="E2536" t="s">
        <v>5646</v>
      </c>
      <c r="F2536" t="s">
        <v>5647</v>
      </c>
      <c r="H2536" t="str">
        <f ca="1">PROPER(Sites_per_tag[[#This Row],[Adm2Name]])</f>
        <v>Bekily</v>
      </c>
      <c r="I2536" t="s">
        <v>5683</v>
      </c>
      <c r="K2536" t="s">
        <v>5202</v>
      </c>
      <c r="L2536" t="s">
        <v>6015</v>
      </c>
      <c r="N2536" t="s">
        <v>5205</v>
      </c>
      <c r="O2536" t="s">
        <v>5204</v>
      </c>
      <c r="Q2536" t="s">
        <v>1014</v>
      </c>
      <c r="R2536" t="s">
        <v>1015</v>
      </c>
      <c r="T2536" t="s">
        <v>5</v>
      </c>
      <c r="U2536" s="3" t="str">
        <f>+VLOOKUP(Sites_per_tag[[#This Row],[Activity_tag]],Parameter!$A$24:$B$32,2,0)</f>
        <v>MAM</v>
      </c>
      <c r="W2536">
        <v>45.348219999999998</v>
      </c>
      <c r="X2536">
        <v>-24.331880000000002</v>
      </c>
    </row>
    <row r="2537" spans="1:24" x14ac:dyDescent="0.35">
      <c r="A2537" s="3" t="str">
        <f t="shared" si="39"/>
        <v>MG52518130015001MAM</v>
      </c>
      <c r="B2537" t="s">
        <v>6211</v>
      </c>
      <c r="C2537">
        <f>+VLOOKUP(Sites_per_tag[[#This Row],[Field_office]],Parameter!$A$3:$B$11,2,0)</f>
        <v>6</v>
      </c>
      <c r="E2537" t="s">
        <v>5646</v>
      </c>
      <c r="F2537" t="s">
        <v>5647</v>
      </c>
      <c r="H2537" t="str">
        <f ca="1">PROPER(Sites_per_tag[[#This Row],[Adm2Name]])</f>
        <v>Bekily</v>
      </c>
      <c r="I2537" t="s">
        <v>5683</v>
      </c>
      <c r="K2537" t="s">
        <v>5202</v>
      </c>
      <c r="L2537" t="s">
        <v>6015</v>
      </c>
      <c r="N2537" t="s">
        <v>5207</v>
      </c>
      <c r="O2537" t="s">
        <v>5206</v>
      </c>
      <c r="Q2537" t="s">
        <v>2819</v>
      </c>
      <c r="R2537" t="s">
        <v>2820</v>
      </c>
      <c r="T2537" t="s">
        <v>5</v>
      </c>
      <c r="U2537" s="3" t="str">
        <f>+VLOOKUP(Sites_per_tag[[#This Row],[Activity_tag]],Parameter!$A$24:$B$32,2,0)</f>
        <v>MAM</v>
      </c>
      <c r="W2537">
        <v>45.4208</v>
      </c>
      <c r="X2537">
        <v>-24.342919999999999</v>
      </c>
    </row>
    <row r="2538" spans="1:24" x14ac:dyDescent="0.35">
      <c r="A2538" s="3" t="str">
        <f t="shared" si="39"/>
        <v>MG52518130098001MAM</v>
      </c>
      <c r="B2538" t="s">
        <v>6211</v>
      </c>
      <c r="C2538">
        <f>+VLOOKUP(Sites_per_tag[[#This Row],[Field_office]],Parameter!$A$3:$B$11,2,0)</f>
        <v>6</v>
      </c>
      <c r="E2538" t="s">
        <v>5646</v>
      </c>
      <c r="F2538" t="s">
        <v>5647</v>
      </c>
      <c r="H2538" t="str">
        <f ca="1">PROPER(Sites_per_tag[[#This Row],[Adm2Name]])</f>
        <v>Bekily</v>
      </c>
      <c r="I2538" t="s">
        <v>5683</v>
      </c>
      <c r="K2538" t="s">
        <v>5202</v>
      </c>
      <c r="L2538" t="s">
        <v>6015</v>
      </c>
      <c r="N2538" t="s">
        <v>1355</v>
      </c>
      <c r="O2538" t="s">
        <v>5208</v>
      </c>
      <c r="Q2538" t="s">
        <v>1355</v>
      </c>
      <c r="R2538" t="s">
        <v>1356</v>
      </c>
      <c r="T2538" t="s">
        <v>5</v>
      </c>
      <c r="U2538" s="3" t="str">
        <f>+VLOOKUP(Sites_per_tag[[#This Row],[Activity_tag]],Parameter!$A$24:$B$32,2,0)</f>
        <v>MAM</v>
      </c>
      <c r="W2538">
        <v>45.363329999999998</v>
      </c>
      <c r="X2538">
        <v>-24.34477</v>
      </c>
    </row>
    <row r="2539" spans="1:24" x14ac:dyDescent="0.35">
      <c r="A2539" s="3" t="str">
        <f t="shared" si="39"/>
        <v>MG52518151001PREV</v>
      </c>
      <c r="B2539" t="s">
        <v>6211</v>
      </c>
      <c r="C2539">
        <f>+VLOOKUP(Sites_per_tag[[#This Row],[Field_office]],Parameter!$A$3:$B$11,2,0)</f>
        <v>6</v>
      </c>
      <c r="E2539" t="s">
        <v>5646</v>
      </c>
      <c r="F2539" t="s">
        <v>5647</v>
      </c>
      <c r="H2539" t="str">
        <f ca="1">PROPER(Sites_per_tag[[#This Row],[Adm2Name]])</f>
        <v>Bekily</v>
      </c>
      <c r="I2539" t="s">
        <v>5683</v>
      </c>
      <c r="K2539" t="s">
        <v>6326</v>
      </c>
      <c r="L2539" t="s">
        <v>5653</v>
      </c>
      <c r="N2539" t="s">
        <v>4201</v>
      </c>
      <c r="Q2539" t="s">
        <v>73</v>
      </c>
      <c r="R2539" t="s">
        <v>74</v>
      </c>
      <c r="T2539" t="s">
        <v>32</v>
      </c>
      <c r="U2539" s="3" t="str">
        <f>+VLOOKUP(Sites_per_tag[[#This Row],[Activity_tag]],Parameter!$A$24:$B$32,2,0)</f>
        <v>PREV</v>
      </c>
      <c r="W2539">
        <v>45.248719999999999</v>
      </c>
      <c r="X2539">
        <v>-24.00808</v>
      </c>
    </row>
    <row r="2540" spans="1:24" x14ac:dyDescent="0.35">
      <c r="A2540" s="3" t="str">
        <f t="shared" si="39"/>
        <v>MG52518151005PREV</v>
      </c>
      <c r="B2540" t="s">
        <v>6211</v>
      </c>
      <c r="C2540">
        <f>+VLOOKUP(Sites_per_tag[[#This Row],[Field_office]],Parameter!$A$3:$B$11,2,0)</f>
        <v>6</v>
      </c>
      <c r="E2540" t="s">
        <v>5646</v>
      </c>
      <c r="F2540" t="s">
        <v>5647</v>
      </c>
      <c r="H2540" t="str">
        <f ca="1">PROPER(Sites_per_tag[[#This Row],[Adm2Name]])</f>
        <v>Bekily</v>
      </c>
      <c r="I2540" t="s">
        <v>5683</v>
      </c>
      <c r="K2540" t="s">
        <v>6326</v>
      </c>
      <c r="L2540" t="s">
        <v>5653</v>
      </c>
      <c r="N2540" t="s">
        <v>4198</v>
      </c>
      <c r="Q2540" t="s">
        <v>712</v>
      </c>
      <c r="R2540" t="s">
        <v>714</v>
      </c>
      <c r="T2540" t="s">
        <v>32</v>
      </c>
      <c r="U2540" s="3" t="str">
        <f>+VLOOKUP(Sites_per_tag[[#This Row],[Activity_tag]],Parameter!$A$24:$B$32,2,0)</f>
        <v>PREV</v>
      </c>
      <c r="W2540">
        <v>45.21658</v>
      </c>
      <c r="X2540">
        <v>-23.938600000000001</v>
      </c>
    </row>
    <row r="2541" spans="1:24" x14ac:dyDescent="0.35">
      <c r="A2541" s="3" t="str">
        <f t="shared" si="39"/>
        <v>MG52518151006PREV</v>
      </c>
      <c r="B2541" t="s">
        <v>6211</v>
      </c>
      <c r="C2541">
        <f>+VLOOKUP(Sites_per_tag[[#This Row],[Field_office]],Parameter!$A$3:$B$11,2,0)</f>
        <v>6</v>
      </c>
      <c r="E2541" t="s">
        <v>5646</v>
      </c>
      <c r="F2541" t="s">
        <v>5647</v>
      </c>
      <c r="H2541" t="str">
        <f ca="1">PROPER(Sites_per_tag[[#This Row],[Adm2Name]])</f>
        <v>Bekily</v>
      </c>
      <c r="I2541" t="s">
        <v>5683</v>
      </c>
      <c r="K2541" t="s">
        <v>6326</v>
      </c>
      <c r="L2541" t="s">
        <v>5653</v>
      </c>
      <c r="N2541" t="s">
        <v>4200</v>
      </c>
      <c r="Q2541" t="s">
        <v>1457</v>
      </c>
      <c r="R2541" t="s">
        <v>1459</v>
      </c>
      <c r="T2541" t="s">
        <v>32</v>
      </c>
      <c r="U2541" s="3" t="str">
        <f>+VLOOKUP(Sites_per_tag[[#This Row],[Activity_tag]],Parameter!$A$24:$B$32,2,0)</f>
        <v>PREV</v>
      </c>
      <c r="W2541">
        <v>45.240920000000003</v>
      </c>
      <c r="X2541">
        <v>-23.944849999999999</v>
      </c>
    </row>
    <row r="2542" spans="1:24" x14ac:dyDescent="0.35">
      <c r="A2542" s="3" t="str">
        <f t="shared" si="39"/>
        <v>MG52518151009PREV</v>
      </c>
      <c r="B2542" t="s">
        <v>6211</v>
      </c>
      <c r="C2542">
        <f>+VLOOKUP(Sites_per_tag[[#This Row],[Field_office]],Parameter!$A$3:$B$11,2,0)</f>
        <v>6</v>
      </c>
      <c r="E2542" t="s">
        <v>5646</v>
      </c>
      <c r="F2542" t="s">
        <v>5647</v>
      </c>
      <c r="H2542" t="str">
        <f ca="1">PROPER(Sites_per_tag[[#This Row],[Adm2Name]])</f>
        <v>Bekily</v>
      </c>
      <c r="I2542" t="s">
        <v>5683</v>
      </c>
      <c r="K2542" t="s">
        <v>6326</v>
      </c>
      <c r="L2542" t="s">
        <v>5653</v>
      </c>
      <c r="N2542" t="s">
        <v>4203</v>
      </c>
      <c r="Q2542" t="s">
        <v>576</v>
      </c>
      <c r="R2542" t="s">
        <v>577</v>
      </c>
      <c r="T2542" t="s">
        <v>32</v>
      </c>
      <c r="U2542" s="3" t="str">
        <f>+VLOOKUP(Sites_per_tag[[#This Row],[Activity_tag]],Parameter!$A$24:$B$32,2,0)</f>
        <v>PREV</v>
      </c>
      <c r="W2542">
        <v>45.257280000000002</v>
      </c>
      <c r="X2542">
        <v>-23.965029999999999</v>
      </c>
    </row>
    <row r="2543" spans="1:24" x14ac:dyDescent="0.35">
      <c r="A2543" s="3" t="str">
        <f t="shared" si="39"/>
        <v>MG52518151016PREV</v>
      </c>
      <c r="B2543" t="s">
        <v>6211</v>
      </c>
      <c r="C2543">
        <f>+VLOOKUP(Sites_per_tag[[#This Row],[Field_office]],Parameter!$A$3:$B$11,2,0)</f>
        <v>6</v>
      </c>
      <c r="E2543" t="s">
        <v>5646</v>
      </c>
      <c r="F2543" t="s">
        <v>5647</v>
      </c>
      <c r="H2543" t="str">
        <f ca="1">PROPER(Sites_per_tag[[#This Row],[Adm2Name]])</f>
        <v>Bekily</v>
      </c>
      <c r="I2543" t="s">
        <v>5683</v>
      </c>
      <c r="K2543" t="s">
        <v>6326</v>
      </c>
      <c r="L2543" t="s">
        <v>5653</v>
      </c>
      <c r="N2543" t="s">
        <v>4204</v>
      </c>
      <c r="Q2543" t="s">
        <v>2178</v>
      </c>
      <c r="R2543" t="s">
        <v>2179</v>
      </c>
      <c r="T2543" t="s">
        <v>32</v>
      </c>
      <c r="U2543" s="3" t="str">
        <f>+VLOOKUP(Sites_per_tag[[#This Row],[Activity_tag]],Parameter!$A$24:$B$32,2,0)</f>
        <v>PREV</v>
      </c>
      <c r="W2543">
        <v>45.339770000000001</v>
      </c>
      <c r="X2543">
        <v>-24.041429999999998</v>
      </c>
    </row>
    <row r="2544" spans="1:24" x14ac:dyDescent="0.35">
      <c r="A2544" s="3" t="str">
        <f t="shared" si="39"/>
        <v>MG52518151020PREV</v>
      </c>
      <c r="B2544" t="s">
        <v>6211</v>
      </c>
      <c r="C2544">
        <f>+VLOOKUP(Sites_per_tag[[#This Row],[Field_office]],Parameter!$A$3:$B$11,2,0)</f>
        <v>6</v>
      </c>
      <c r="E2544" t="s">
        <v>5646</v>
      </c>
      <c r="F2544" t="s">
        <v>5647</v>
      </c>
      <c r="H2544" t="str">
        <f ca="1">PROPER(Sites_per_tag[[#This Row],[Adm2Name]])</f>
        <v>Bekily</v>
      </c>
      <c r="I2544" t="s">
        <v>5683</v>
      </c>
      <c r="K2544" t="s">
        <v>6326</v>
      </c>
      <c r="L2544" t="s">
        <v>5653</v>
      </c>
      <c r="N2544" t="s">
        <v>4199</v>
      </c>
      <c r="Q2544" t="s">
        <v>226</v>
      </c>
      <c r="R2544" t="s">
        <v>227</v>
      </c>
      <c r="T2544" t="s">
        <v>32</v>
      </c>
      <c r="U2544" s="3" t="str">
        <f>+VLOOKUP(Sites_per_tag[[#This Row],[Activity_tag]],Parameter!$A$24:$B$32,2,0)</f>
        <v>PREV</v>
      </c>
      <c r="W2544">
        <v>45.223120000000002</v>
      </c>
      <c r="X2544">
        <v>-24.08568</v>
      </c>
    </row>
    <row r="2545" spans="1:24" x14ac:dyDescent="0.35">
      <c r="A2545" s="3" t="str">
        <f t="shared" si="39"/>
        <v>MG52518151024PREV</v>
      </c>
      <c r="B2545" t="s">
        <v>6211</v>
      </c>
      <c r="C2545">
        <f>+VLOOKUP(Sites_per_tag[[#This Row],[Field_office]],Parameter!$A$3:$B$11,2,0)</f>
        <v>6</v>
      </c>
      <c r="E2545" t="s">
        <v>5646</v>
      </c>
      <c r="F2545" t="s">
        <v>5647</v>
      </c>
      <c r="H2545" t="str">
        <f ca="1">PROPER(Sites_per_tag[[#This Row],[Adm2Name]])</f>
        <v>Bekily</v>
      </c>
      <c r="I2545" t="s">
        <v>5683</v>
      </c>
      <c r="K2545" t="s">
        <v>6326</v>
      </c>
      <c r="L2545" t="s">
        <v>5653</v>
      </c>
      <c r="N2545" t="s">
        <v>4197</v>
      </c>
      <c r="Q2545" t="s">
        <v>524</v>
      </c>
      <c r="R2545" t="s">
        <v>525</v>
      </c>
      <c r="T2545" t="s">
        <v>32</v>
      </c>
      <c r="U2545" s="3" t="str">
        <f>+VLOOKUP(Sites_per_tag[[#This Row],[Activity_tag]],Parameter!$A$24:$B$32,2,0)</f>
        <v>PREV</v>
      </c>
      <c r="W2545">
        <v>45.180520000000001</v>
      </c>
      <c r="X2545">
        <v>-24.108329999999999</v>
      </c>
    </row>
    <row r="2546" spans="1:24" x14ac:dyDescent="0.35">
      <c r="A2546" s="3" t="str">
        <f t="shared" si="39"/>
        <v>MG52518151027PREV</v>
      </c>
      <c r="B2546" t="s">
        <v>6211</v>
      </c>
      <c r="C2546">
        <f>+VLOOKUP(Sites_per_tag[[#This Row],[Field_office]],Parameter!$A$3:$B$11,2,0)</f>
        <v>6</v>
      </c>
      <c r="E2546" t="s">
        <v>5646</v>
      </c>
      <c r="F2546" t="s">
        <v>5647</v>
      </c>
      <c r="H2546" t="str">
        <f ca="1">PROPER(Sites_per_tag[[#This Row],[Adm2Name]])</f>
        <v>Bekily</v>
      </c>
      <c r="I2546" t="s">
        <v>5683</v>
      </c>
      <c r="K2546" t="s">
        <v>6326</v>
      </c>
      <c r="L2546" t="s">
        <v>5653</v>
      </c>
      <c r="N2546" t="s">
        <v>4202</v>
      </c>
      <c r="Q2546" t="s">
        <v>1938</v>
      </c>
      <c r="R2546" t="s">
        <v>1939</v>
      </c>
      <c r="T2546" t="s">
        <v>32</v>
      </c>
      <c r="U2546" s="3" t="str">
        <f>+VLOOKUP(Sites_per_tag[[#This Row],[Activity_tag]],Parameter!$A$24:$B$32,2,0)</f>
        <v>PREV</v>
      </c>
      <c r="W2546">
        <v>45.256700000000002</v>
      </c>
      <c r="X2546">
        <v>-24.13278</v>
      </c>
    </row>
    <row r="2547" spans="1:24" x14ac:dyDescent="0.35">
      <c r="A2547" s="3" t="str">
        <f t="shared" si="39"/>
        <v>MG52518151045001MAM</v>
      </c>
      <c r="B2547" t="s">
        <v>6211</v>
      </c>
      <c r="C2547">
        <f>+VLOOKUP(Sites_per_tag[[#This Row],[Field_office]],Parameter!$A$3:$B$11,2,0)</f>
        <v>6</v>
      </c>
      <c r="E2547" t="s">
        <v>5646</v>
      </c>
      <c r="F2547" t="s">
        <v>5647</v>
      </c>
      <c r="H2547" t="str">
        <f ca="1">PROPER(Sites_per_tag[[#This Row],[Adm2Name]])</f>
        <v>Bekily</v>
      </c>
      <c r="I2547" t="s">
        <v>5683</v>
      </c>
      <c r="K2547" t="s">
        <v>6326</v>
      </c>
      <c r="L2547" t="s">
        <v>5653</v>
      </c>
      <c r="N2547" t="s">
        <v>71</v>
      </c>
      <c r="O2547" t="s">
        <v>4276</v>
      </c>
      <c r="Q2547" t="s">
        <v>71</v>
      </c>
      <c r="R2547" t="s">
        <v>72</v>
      </c>
      <c r="T2547" t="s">
        <v>5</v>
      </c>
      <c r="U2547" s="3" t="str">
        <f>+VLOOKUP(Sites_per_tag[[#This Row],[Activity_tag]],Parameter!$A$24:$B$32,2,0)</f>
        <v>MAM</v>
      </c>
      <c r="W2547">
        <v>45.25853</v>
      </c>
      <c r="X2547">
        <v>-24.007079999999998</v>
      </c>
    </row>
    <row r="2548" spans="1:24" x14ac:dyDescent="0.35">
      <c r="A2548" s="3" t="str">
        <f t="shared" si="39"/>
        <v>MG52518151046001MAM</v>
      </c>
      <c r="B2548" t="s">
        <v>6211</v>
      </c>
      <c r="C2548">
        <f>+VLOOKUP(Sites_per_tag[[#This Row],[Field_office]],Parameter!$A$3:$B$11,2,0)</f>
        <v>6</v>
      </c>
      <c r="E2548" t="s">
        <v>5646</v>
      </c>
      <c r="F2548" t="s">
        <v>5647</v>
      </c>
      <c r="H2548" t="str">
        <f ca="1">PROPER(Sites_per_tag[[#This Row],[Adm2Name]])</f>
        <v>Bekily</v>
      </c>
      <c r="I2548" t="s">
        <v>5683</v>
      </c>
      <c r="K2548" t="s">
        <v>6326</v>
      </c>
      <c r="L2548" t="s">
        <v>5653</v>
      </c>
      <c r="N2548" t="s">
        <v>528</v>
      </c>
      <c r="O2548" t="s">
        <v>4277</v>
      </c>
      <c r="Q2548" t="s">
        <v>528</v>
      </c>
      <c r="R2548" t="s">
        <v>529</v>
      </c>
      <c r="T2548" t="s">
        <v>5</v>
      </c>
      <c r="U2548" s="3" t="str">
        <f>+VLOOKUP(Sites_per_tag[[#This Row],[Activity_tag]],Parameter!$A$24:$B$32,2,0)</f>
        <v>MAM</v>
      </c>
      <c r="W2548">
        <v>45.180520000000001</v>
      </c>
      <c r="X2548">
        <v>-24.108329999999999</v>
      </c>
    </row>
    <row r="2549" spans="1:24" x14ac:dyDescent="0.35">
      <c r="A2549" s="3" t="str">
        <f t="shared" si="39"/>
        <v>MG52518152002001MAM</v>
      </c>
      <c r="B2549" t="s">
        <v>6211</v>
      </c>
      <c r="C2549">
        <f>+VLOOKUP(Sites_per_tag[[#This Row],[Field_office]],Parameter!$A$3:$B$11,2,0)</f>
        <v>6</v>
      </c>
      <c r="E2549" t="s">
        <v>5646</v>
      </c>
      <c r="F2549" t="s">
        <v>5647</v>
      </c>
      <c r="H2549" t="str">
        <f ca="1">PROPER(Sites_per_tag[[#This Row],[Adm2Name]])</f>
        <v>Bekily</v>
      </c>
      <c r="I2549" t="s">
        <v>5683</v>
      </c>
      <c r="K2549" t="s">
        <v>6350</v>
      </c>
      <c r="L2549" t="s">
        <v>6055</v>
      </c>
      <c r="N2549" t="s">
        <v>944</v>
      </c>
      <c r="O2549" t="s">
        <v>945</v>
      </c>
      <c r="Q2549" t="s">
        <v>6547</v>
      </c>
      <c r="R2549" t="s">
        <v>946</v>
      </c>
      <c r="T2549" t="s">
        <v>5</v>
      </c>
      <c r="U2549" s="3" t="str">
        <f>+VLOOKUP(Sites_per_tag[[#This Row],[Activity_tag]],Parameter!$A$24:$B$32,2,0)</f>
        <v>MAM</v>
      </c>
      <c r="W2549">
        <v>45.337519999999998</v>
      </c>
      <c r="X2549">
        <v>-23.880949999999999</v>
      </c>
    </row>
    <row r="2550" spans="1:24" x14ac:dyDescent="0.35">
      <c r="A2550" s="3" t="str">
        <f t="shared" si="39"/>
        <v>MG52518152002PREV</v>
      </c>
      <c r="B2550" t="s">
        <v>6211</v>
      </c>
      <c r="C2550">
        <f>+VLOOKUP(Sites_per_tag[[#This Row],[Field_office]],Parameter!$A$3:$B$11,2,0)</f>
        <v>6</v>
      </c>
      <c r="E2550" t="s">
        <v>5646</v>
      </c>
      <c r="F2550" t="s">
        <v>5647</v>
      </c>
      <c r="H2550" t="str">
        <f ca="1">PROPER(Sites_per_tag[[#This Row],[Adm2Name]])</f>
        <v>Bekily</v>
      </c>
      <c r="I2550" t="s">
        <v>5683</v>
      </c>
      <c r="K2550" t="s">
        <v>6326</v>
      </c>
      <c r="L2550" t="s">
        <v>5653</v>
      </c>
      <c r="N2550" t="s">
        <v>4205</v>
      </c>
      <c r="Q2550" t="s">
        <v>944</v>
      </c>
      <c r="R2550" t="s">
        <v>945</v>
      </c>
      <c r="T2550" t="s">
        <v>32</v>
      </c>
      <c r="U2550" s="3" t="str">
        <f>+VLOOKUP(Sites_per_tag[[#This Row],[Activity_tag]],Parameter!$A$24:$B$32,2,0)</f>
        <v>PREV</v>
      </c>
      <c r="W2550">
        <v>45.342300000000002</v>
      </c>
      <c r="X2550">
        <v>-23.904</v>
      </c>
    </row>
    <row r="2551" spans="1:24" x14ac:dyDescent="0.35">
      <c r="A2551" s="3" t="str">
        <f t="shared" si="39"/>
        <v>MG52518152003001MAM</v>
      </c>
      <c r="B2551" t="s">
        <v>6193</v>
      </c>
      <c r="C2551">
        <f>+VLOOKUP(Sites_per_tag[[#This Row],[Field_office]],Parameter!$A$3:$B$11,2,0)</f>
        <v>4</v>
      </c>
      <c r="E2551" t="s">
        <v>5658</v>
      </c>
      <c r="F2551" t="s">
        <v>5659</v>
      </c>
      <c r="H2551" t="str">
        <f ca="1">PROPER(Sites_per_tag[[#This Row],[Adm2Name]])</f>
        <v>Befotaka</v>
      </c>
      <c r="I2551" t="s">
        <v>5680</v>
      </c>
      <c r="K2551" t="s">
        <v>1788</v>
      </c>
      <c r="L2551" t="s">
        <v>5891</v>
      </c>
      <c r="N2551" t="s">
        <v>1902</v>
      </c>
      <c r="O2551" t="s">
        <v>4764</v>
      </c>
      <c r="Q2551" t="s">
        <v>1904</v>
      </c>
      <c r="R2551" t="s">
        <v>1905</v>
      </c>
      <c r="T2551" t="s">
        <v>5</v>
      </c>
      <c r="U2551" s="3" t="str">
        <f>+VLOOKUP(Sites_per_tag[[#This Row],[Activity_tag]],Parameter!$A$24:$B$32,2,0)</f>
        <v>MAM</v>
      </c>
      <c r="W2551">
        <v>46.776555999999999</v>
      </c>
      <c r="X2551">
        <v>-23.831057999999999</v>
      </c>
    </row>
    <row r="2552" spans="1:24" x14ac:dyDescent="0.35">
      <c r="A2552" s="3" t="str">
        <f t="shared" si="39"/>
        <v>MG52518152008001MAM</v>
      </c>
      <c r="B2552" t="s">
        <v>6211</v>
      </c>
      <c r="C2552">
        <f>+VLOOKUP(Sites_per_tag[[#This Row],[Field_office]],Parameter!$A$3:$B$11,2,0)</f>
        <v>6</v>
      </c>
      <c r="E2552" t="s">
        <v>1448</v>
      </c>
      <c r="F2552" t="s">
        <v>5651</v>
      </c>
      <c r="H2552" t="str">
        <f ca="1">PROPER(Sites_per_tag[[#This Row],[Adm2Name]])</f>
        <v>Betroka</v>
      </c>
      <c r="I2552" t="s">
        <v>5691</v>
      </c>
      <c r="K2552" t="s">
        <v>4513</v>
      </c>
      <c r="L2552" t="s">
        <v>5773</v>
      </c>
      <c r="N2552" t="s">
        <v>4513</v>
      </c>
      <c r="O2552" t="s">
        <v>4512</v>
      </c>
      <c r="Q2552" t="s">
        <v>628</v>
      </c>
      <c r="R2552" t="s">
        <v>629</v>
      </c>
      <c r="T2552" t="s">
        <v>5</v>
      </c>
      <c r="U2552" s="3" t="str">
        <f>+VLOOKUP(Sites_per_tag[[#This Row],[Activity_tag]],Parameter!$A$24:$B$32,2,0)</f>
        <v>MAM</v>
      </c>
      <c r="W2552">
        <v>45.816653000000002</v>
      </c>
      <c r="X2552">
        <v>-23.291429000000001</v>
      </c>
    </row>
    <row r="2553" spans="1:24" x14ac:dyDescent="0.35">
      <c r="A2553" s="3" t="str">
        <f t="shared" si="39"/>
        <v>MG52518152009001MAM</v>
      </c>
      <c r="B2553" t="s">
        <v>6210</v>
      </c>
      <c r="C2553">
        <f>+VLOOKUP(Sites_per_tag[[#This Row],[Field_office]],Parameter!$A$3:$B$11,2,0)</f>
        <v>10</v>
      </c>
      <c r="E2553" t="s">
        <v>5650</v>
      </c>
      <c r="F2553" t="s">
        <v>5654</v>
      </c>
      <c r="H2553" t="str">
        <f ca="1">PROPER(Sites_per_tag[[#This Row],[Adm2Name]])</f>
        <v>Betioky Atsimo</v>
      </c>
      <c r="I2553" t="s">
        <v>5688</v>
      </c>
      <c r="K2553" t="s">
        <v>5811</v>
      </c>
      <c r="L2553" t="s">
        <v>6107</v>
      </c>
      <c r="N2553" t="s">
        <v>2187</v>
      </c>
      <c r="O2553" t="s">
        <v>5460</v>
      </c>
      <c r="Q2553" t="s">
        <v>2187</v>
      </c>
      <c r="R2553" t="s">
        <v>2188</v>
      </c>
      <c r="T2553" t="s">
        <v>5</v>
      </c>
      <c r="U2553" s="3" t="str">
        <f>+VLOOKUP(Sites_per_tag[[#This Row],[Activity_tag]],Parameter!$A$24:$B$32,2,0)</f>
        <v>MAM</v>
      </c>
      <c r="W2553">
        <v>44.784987999999998</v>
      </c>
      <c r="X2553">
        <v>-23.893740999999999</v>
      </c>
    </row>
    <row r="2554" spans="1:24" x14ac:dyDescent="0.35">
      <c r="A2554" s="3" t="str">
        <f t="shared" si="39"/>
        <v>MG52518152051001MAM</v>
      </c>
      <c r="B2554" t="s">
        <v>6211</v>
      </c>
      <c r="C2554">
        <f>+VLOOKUP(Sites_per_tag[[#This Row],[Field_office]],Parameter!$A$3:$B$11,2,0)</f>
        <v>6</v>
      </c>
      <c r="E2554" t="s">
        <v>5646</v>
      </c>
      <c r="F2554" t="s">
        <v>5647</v>
      </c>
      <c r="H2554" t="str">
        <f ca="1">PROPER(Sites_per_tag[[#This Row],[Adm2Name]])</f>
        <v>Bekily</v>
      </c>
      <c r="I2554" t="s">
        <v>5683</v>
      </c>
      <c r="K2554" t="s">
        <v>6350</v>
      </c>
      <c r="L2554" t="s">
        <v>6055</v>
      </c>
      <c r="N2554" t="s">
        <v>58</v>
      </c>
      <c r="O2554" t="s">
        <v>5343</v>
      </c>
      <c r="Q2554" t="s">
        <v>58</v>
      </c>
      <c r="R2554" t="s">
        <v>59</v>
      </c>
      <c r="T2554" t="s">
        <v>5</v>
      </c>
      <c r="U2554" s="3" t="str">
        <f>+VLOOKUP(Sites_per_tag[[#This Row],[Activity_tag]],Parameter!$A$24:$B$32,2,0)</f>
        <v>MAM</v>
      </c>
      <c r="W2554">
        <v>45.237470000000002</v>
      </c>
      <c r="X2554">
        <v>-23.836379999999998</v>
      </c>
    </row>
    <row r="2555" spans="1:24" x14ac:dyDescent="0.35">
      <c r="A2555" s="3" t="str">
        <f t="shared" si="39"/>
        <v>MG52518152052001MAM</v>
      </c>
      <c r="B2555" t="s">
        <v>6211</v>
      </c>
      <c r="C2555">
        <f>+VLOOKUP(Sites_per_tag[[#This Row],[Field_office]],Parameter!$A$3:$B$11,2,0)</f>
        <v>6</v>
      </c>
      <c r="E2555" t="s">
        <v>5646</v>
      </c>
      <c r="F2555" t="s">
        <v>5647</v>
      </c>
      <c r="H2555" t="str">
        <f ca="1">PROPER(Sites_per_tag[[#This Row],[Adm2Name]])</f>
        <v>Bekily</v>
      </c>
      <c r="I2555" t="s">
        <v>5683</v>
      </c>
      <c r="K2555" t="s">
        <v>6350</v>
      </c>
      <c r="L2555" t="s">
        <v>6055</v>
      </c>
      <c r="N2555" t="s">
        <v>2084</v>
      </c>
      <c r="O2555" t="s">
        <v>5344</v>
      </c>
      <c r="Q2555" t="s">
        <v>2084</v>
      </c>
      <c r="R2555" t="s">
        <v>2085</v>
      </c>
      <c r="T2555" t="s">
        <v>5</v>
      </c>
      <c r="U2555" s="3" t="str">
        <f>+VLOOKUP(Sites_per_tag[[#This Row],[Activity_tag]],Parameter!$A$24:$B$32,2,0)</f>
        <v>MAM</v>
      </c>
      <c r="W2555">
        <v>45.357250000000001</v>
      </c>
      <c r="X2555">
        <v>-23.832630000000002</v>
      </c>
    </row>
    <row r="2556" spans="1:24" x14ac:dyDescent="0.35">
      <c r="A2556" s="3" t="str">
        <f t="shared" si="39"/>
        <v>MG52518152053001MAM</v>
      </c>
      <c r="B2556" t="s">
        <v>6211</v>
      </c>
      <c r="C2556">
        <f>+VLOOKUP(Sites_per_tag[[#This Row],[Field_office]],Parameter!$A$3:$B$11,2,0)</f>
        <v>6</v>
      </c>
      <c r="E2556" t="s">
        <v>5646</v>
      </c>
      <c r="F2556" t="s">
        <v>5647</v>
      </c>
      <c r="H2556" t="str">
        <f ca="1">PROPER(Sites_per_tag[[#This Row],[Adm2Name]])</f>
        <v>Bekily</v>
      </c>
      <c r="I2556" t="s">
        <v>5683</v>
      </c>
      <c r="K2556" t="s">
        <v>6350</v>
      </c>
      <c r="L2556" t="s">
        <v>6055</v>
      </c>
      <c r="N2556" t="s">
        <v>2086</v>
      </c>
      <c r="O2556" t="s">
        <v>5345</v>
      </c>
      <c r="Q2556" t="s">
        <v>2086</v>
      </c>
      <c r="R2556" t="s">
        <v>2087</v>
      </c>
      <c r="T2556" t="s">
        <v>5</v>
      </c>
      <c r="U2556" s="3" t="str">
        <f>+VLOOKUP(Sites_per_tag[[#This Row],[Activity_tag]],Parameter!$A$24:$B$32,2,0)</f>
        <v>MAM</v>
      </c>
      <c r="W2556">
        <v>45.349780000000003</v>
      </c>
      <c r="X2556">
        <v>-23.845379999999999</v>
      </c>
    </row>
    <row r="2557" spans="1:24" x14ac:dyDescent="0.35">
      <c r="A2557" s="3" t="str">
        <f t="shared" si="39"/>
        <v>MG52518152054001MAM</v>
      </c>
      <c r="B2557" t="s">
        <v>6211</v>
      </c>
      <c r="C2557">
        <f>+VLOOKUP(Sites_per_tag[[#This Row],[Field_office]],Parameter!$A$3:$B$11,2,0)</f>
        <v>6</v>
      </c>
      <c r="E2557" t="s">
        <v>5646</v>
      </c>
      <c r="F2557" t="s">
        <v>5647</v>
      </c>
      <c r="H2557" t="str">
        <f ca="1">PROPER(Sites_per_tag[[#This Row],[Adm2Name]])</f>
        <v>Bekily</v>
      </c>
      <c r="I2557" t="s">
        <v>5683</v>
      </c>
      <c r="K2557" t="s">
        <v>6350</v>
      </c>
      <c r="L2557" t="s">
        <v>6055</v>
      </c>
      <c r="N2557" t="s">
        <v>2943</v>
      </c>
      <c r="O2557" t="s">
        <v>5346</v>
      </c>
      <c r="Q2557" t="s">
        <v>2943</v>
      </c>
      <c r="R2557" t="s">
        <v>2944</v>
      </c>
      <c r="T2557" t="s">
        <v>5</v>
      </c>
      <c r="U2557" s="3" t="str">
        <f>+VLOOKUP(Sites_per_tag[[#This Row],[Activity_tag]],Parameter!$A$24:$B$32,2,0)</f>
        <v>MAM</v>
      </c>
      <c r="W2557">
        <v>45.434179999999998</v>
      </c>
      <c r="X2557">
        <v>-23.824300000000001</v>
      </c>
    </row>
    <row r="2558" spans="1:24" x14ac:dyDescent="0.35">
      <c r="A2558" s="3" t="str">
        <f t="shared" si="39"/>
        <v>MG52518152055001MAM</v>
      </c>
      <c r="B2558" t="s">
        <v>6211</v>
      </c>
      <c r="C2558">
        <f>+VLOOKUP(Sites_per_tag[[#This Row],[Field_office]],Parameter!$A$3:$B$11,2,0)</f>
        <v>6</v>
      </c>
      <c r="E2558" t="s">
        <v>5646</v>
      </c>
      <c r="F2558" t="s">
        <v>5647</v>
      </c>
      <c r="H2558" t="str">
        <f ca="1">PROPER(Sites_per_tag[[#This Row],[Adm2Name]])</f>
        <v>Bekily</v>
      </c>
      <c r="I2558" t="s">
        <v>5683</v>
      </c>
      <c r="K2558" t="s">
        <v>6350</v>
      </c>
      <c r="L2558" t="s">
        <v>6055</v>
      </c>
      <c r="N2558" t="s">
        <v>3111</v>
      </c>
      <c r="O2558" t="s">
        <v>5347</v>
      </c>
      <c r="Q2558" t="s">
        <v>3111</v>
      </c>
      <c r="R2558" t="s">
        <v>3112</v>
      </c>
      <c r="T2558" t="s">
        <v>5</v>
      </c>
      <c r="U2558" s="3" t="str">
        <f>+VLOOKUP(Sites_per_tag[[#This Row],[Activity_tag]],Parameter!$A$24:$B$32,2,0)</f>
        <v>MAM</v>
      </c>
      <c r="W2558">
        <v>45.403379999999999</v>
      </c>
      <c r="X2558">
        <v>-23.887619999999998</v>
      </c>
    </row>
    <row r="2559" spans="1:24" x14ac:dyDescent="0.35">
      <c r="A2559" s="3" t="str">
        <f t="shared" si="39"/>
        <v>MG52518152056001MAM</v>
      </c>
      <c r="B2559" t="s">
        <v>6211</v>
      </c>
      <c r="C2559">
        <f>+VLOOKUP(Sites_per_tag[[#This Row],[Field_office]],Parameter!$A$3:$B$11,2,0)</f>
        <v>6</v>
      </c>
      <c r="E2559" t="s">
        <v>5646</v>
      </c>
      <c r="F2559" t="s">
        <v>5647</v>
      </c>
      <c r="H2559" t="str">
        <f ca="1">PROPER(Sites_per_tag[[#This Row],[Adm2Name]])</f>
        <v>Bekily</v>
      </c>
      <c r="I2559" t="s">
        <v>5683</v>
      </c>
      <c r="K2559" t="s">
        <v>6350</v>
      </c>
      <c r="L2559" t="s">
        <v>6055</v>
      </c>
      <c r="N2559" t="s">
        <v>3394</v>
      </c>
      <c r="O2559" t="s">
        <v>5348</v>
      </c>
      <c r="Q2559" t="s">
        <v>3394</v>
      </c>
      <c r="R2559" t="s">
        <v>3395</v>
      </c>
      <c r="T2559" t="s">
        <v>5</v>
      </c>
      <c r="U2559" s="3" t="str">
        <f>+VLOOKUP(Sites_per_tag[[#This Row],[Activity_tag]],Parameter!$A$24:$B$32,2,0)</f>
        <v>MAM</v>
      </c>
      <c r="W2559">
        <v>45.232349999999997</v>
      </c>
      <c r="X2559">
        <v>-23.885200000000001</v>
      </c>
    </row>
    <row r="2560" spans="1:24" x14ac:dyDescent="0.35">
      <c r="A2560" s="3" t="str">
        <f t="shared" si="39"/>
        <v>MG52518152058PREV</v>
      </c>
      <c r="B2560" t="s">
        <v>6211</v>
      </c>
      <c r="C2560">
        <f>+VLOOKUP(Sites_per_tag[[#This Row],[Field_office]],Parameter!$A$3:$B$11,2,0)</f>
        <v>6</v>
      </c>
      <c r="E2560" t="s">
        <v>5646</v>
      </c>
      <c r="F2560" t="s">
        <v>5647</v>
      </c>
      <c r="H2560" t="str">
        <f ca="1">PROPER(Sites_per_tag[[#This Row],[Adm2Name]])</f>
        <v>Bekily</v>
      </c>
      <c r="I2560" t="s">
        <v>5683</v>
      </c>
      <c r="K2560" t="s">
        <v>6326</v>
      </c>
      <c r="L2560" t="s">
        <v>5653</v>
      </c>
      <c r="N2560" t="s">
        <v>4206</v>
      </c>
      <c r="Q2560" t="s">
        <v>773</v>
      </c>
      <c r="R2560" t="s">
        <v>775</v>
      </c>
      <c r="T2560" t="s">
        <v>32</v>
      </c>
      <c r="U2560" s="3" t="str">
        <f>+VLOOKUP(Sites_per_tag[[#This Row],[Activity_tag]],Parameter!$A$24:$B$32,2,0)</f>
        <v>PREV</v>
      </c>
      <c r="W2560">
        <v>45.17942</v>
      </c>
      <c r="X2560">
        <v>-24.04588</v>
      </c>
    </row>
    <row r="2561" spans="1:24" x14ac:dyDescent="0.35">
      <c r="A2561" s="3" t="str">
        <f t="shared" si="39"/>
        <v>MG52518170010001MAM</v>
      </c>
      <c r="B2561" t="s">
        <v>6211</v>
      </c>
      <c r="C2561">
        <f>+VLOOKUP(Sites_per_tag[[#This Row],[Field_office]],Parameter!$A$3:$B$11,2,0)</f>
        <v>6</v>
      </c>
      <c r="E2561" t="s">
        <v>5646</v>
      </c>
      <c r="F2561" t="s">
        <v>5647</v>
      </c>
      <c r="H2561" t="str">
        <f ca="1">PROPER(Sites_per_tag[[#This Row],[Adm2Name]])</f>
        <v>Bekily</v>
      </c>
      <c r="I2561" t="s">
        <v>5683</v>
      </c>
      <c r="K2561" t="s">
        <v>6339</v>
      </c>
      <c r="L2561" t="s">
        <v>5907</v>
      </c>
      <c r="N2561" t="s">
        <v>3618</v>
      </c>
      <c r="O2561" t="s">
        <v>4820</v>
      </c>
      <c r="Q2561" t="s">
        <v>3623</v>
      </c>
      <c r="R2561" t="s">
        <v>3624</v>
      </c>
      <c r="T2561" t="s">
        <v>5</v>
      </c>
      <c r="U2561" s="3" t="str">
        <f>+VLOOKUP(Sites_per_tag[[#This Row],[Activity_tag]],Parameter!$A$24:$B$32,2,0)</f>
        <v>MAM</v>
      </c>
      <c r="W2561">
        <v>45.379517999999997</v>
      </c>
      <c r="X2561">
        <v>-24.442695000000001</v>
      </c>
    </row>
    <row r="2562" spans="1:24" x14ac:dyDescent="0.35">
      <c r="A2562" s="3" t="str">
        <f t="shared" si="39"/>
        <v>MG52518170018PREV</v>
      </c>
      <c r="B2562" t="s">
        <v>6210</v>
      </c>
      <c r="C2562">
        <f>+VLOOKUP(Sites_per_tag[[#This Row],[Field_office]],Parameter!$A$3:$B$11,2,0)</f>
        <v>10</v>
      </c>
      <c r="E2562" t="s">
        <v>5650</v>
      </c>
      <c r="F2562" t="s">
        <v>5654</v>
      </c>
      <c r="H2562" t="str">
        <f ca="1">PROPER(Sites_per_tag[[#This Row],[Adm2Name]])</f>
        <v>Betioky Atsimo</v>
      </c>
      <c r="I2562" t="s">
        <v>5688</v>
      </c>
      <c r="K2562" t="s">
        <v>2694</v>
      </c>
      <c r="L2562" t="s">
        <v>5996</v>
      </c>
      <c r="N2562" t="s">
        <v>869</v>
      </c>
      <c r="Q2562" t="s">
        <v>869</v>
      </c>
      <c r="R2562" t="s">
        <v>871</v>
      </c>
      <c r="T2562" t="s">
        <v>32</v>
      </c>
      <c r="U2562" s="3" t="str">
        <f>+VLOOKUP(Sites_per_tag[[#This Row],[Activity_tag]],Parameter!$A$24:$B$32,2,0)</f>
        <v>PREV</v>
      </c>
      <c r="W2562">
        <v>44.999599000000003</v>
      </c>
      <c r="X2562">
        <v>-23.820775999999999</v>
      </c>
    </row>
    <row r="2563" spans="1:24" x14ac:dyDescent="0.35">
      <c r="A2563" s="3" t="str">
        <f t="shared" ref="A2563:A2626" si="40">+R2563&amp;U2563</f>
        <v>MG52518170019PREV</v>
      </c>
      <c r="B2563" t="s">
        <v>6267</v>
      </c>
      <c r="C2563">
        <f>+VLOOKUP(Sites_per_tag[[#This Row],[Field_office]],Parameter!$A$3:$B$11,2,0)</f>
        <v>9</v>
      </c>
      <c r="E2563" t="s">
        <v>5650</v>
      </c>
      <c r="F2563" t="s">
        <v>5654</v>
      </c>
      <c r="H2563" t="str">
        <f ca="1">PROPER(Sites_per_tag[[#This Row],[Adm2Name]])</f>
        <v>Ampanihy Ouest</v>
      </c>
      <c r="I2563" t="s">
        <v>5660</v>
      </c>
      <c r="K2563" t="s">
        <v>5746</v>
      </c>
      <c r="L2563" t="s">
        <v>5960</v>
      </c>
      <c r="N2563" t="s">
        <v>6388</v>
      </c>
      <c r="Q2563" t="s">
        <v>3618</v>
      </c>
      <c r="R2563" t="s">
        <v>3620</v>
      </c>
      <c r="T2563" t="s">
        <v>32</v>
      </c>
      <c r="U2563" s="3" t="str">
        <f>+VLOOKUP(Sites_per_tag[[#This Row],[Activity_tag]],Parameter!$A$24:$B$32,2,0)</f>
        <v>PREV</v>
      </c>
      <c r="W2563">
        <v>45.030946999999998</v>
      </c>
      <c r="X2563">
        <v>-24.007058000000001</v>
      </c>
    </row>
    <row r="2564" spans="1:24" x14ac:dyDescent="0.35">
      <c r="A2564" s="3" t="str">
        <f t="shared" si="40"/>
        <v>MG52518190001PREV</v>
      </c>
      <c r="B2564" t="s">
        <v>6211</v>
      </c>
      <c r="C2564">
        <f>+VLOOKUP(Sites_per_tag[[#This Row],[Field_office]],Parameter!$A$3:$B$11,2,0)</f>
        <v>6</v>
      </c>
      <c r="E2564" t="s">
        <v>5646</v>
      </c>
      <c r="F2564" t="s">
        <v>5647</v>
      </c>
      <c r="H2564" t="str">
        <f ca="1">PROPER(Sites_per_tag[[#This Row],[Adm2Name]])</f>
        <v>Bekily</v>
      </c>
      <c r="I2564" t="s">
        <v>5683</v>
      </c>
      <c r="K2564" t="s">
        <v>6344</v>
      </c>
      <c r="L2564" t="s">
        <v>5927</v>
      </c>
      <c r="N2564" t="s">
        <v>4213</v>
      </c>
      <c r="Q2564" t="s">
        <v>2115</v>
      </c>
      <c r="R2564" t="s">
        <v>2116</v>
      </c>
      <c r="T2564" t="s">
        <v>32</v>
      </c>
      <c r="U2564" s="3" t="str">
        <f>+VLOOKUP(Sites_per_tag[[#This Row],[Activity_tag]],Parameter!$A$24:$B$32,2,0)</f>
        <v>PREV</v>
      </c>
      <c r="W2564">
        <v>45.121074999999998</v>
      </c>
      <c r="X2564">
        <v>-24.444025</v>
      </c>
    </row>
    <row r="2565" spans="1:24" x14ac:dyDescent="0.35">
      <c r="A2565" s="3" t="str">
        <f t="shared" si="40"/>
        <v>MG52518190002001MAM</v>
      </c>
      <c r="B2565" t="s">
        <v>6211</v>
      </c>
      <c r="C2565">
        <f>+VLOOKUP(Sites_per_tag[[#This Row],[Field_office]],Parameter!$A$3:$B$11,2,0)</f>
        <v>6</v>
      </c>
      <c r="E2565" t="s">
        <v>5646</v>
      </c>
      <c r="F2565" t="s">
        <v>5647</v>
      </c>
      <c r="H2565" t="str">
        <f ca="1">PROPER(Sites_per_tag[[#This Row],[Adm2Name]])</f>
        <v>Bekily</v>
      </c>
      <c r="I2565" t="s">
        <v>5683</v>
      </c>
      <c r="K2565" t="s">
        <v>6344</v>
      </c>
      <c r="L2565" t="s">
        <v>5927</v>
      </c>
      <c r="N2565" t="s">
        <v>1369</v>
      </c>
      <c r="O2565" t="s">
        <v>4887</v>
      </c>
      <c r="Q2565" t="s">
        <v>1369</v>
      </c>
      <c r="R2565" t="s">
        <v>1370</v>
      </c>
      <c r="T2565" t="s">
        <v>5</v>
      </c>
      <c r="U2565" s="3" t="str">
        <f>+VLOOKUP(Sites_per_tag[[#This Row],[Activity_tag]],Parameter!$A$24:$B$32,2,0)</f>
        <v>MAM</v>
      </c>
      <c r="W2565">
        <v>45.075200000000002</v>
      </c>
      <c r="X2565">
        <v>-24.397970000000001</v>
      </c>
    </row>
    <row r="2566" spans="1:24" x14ac:dyDescent="0.35">
      <c r="A2566" s="3" t="str">
        <f t="shared" si="40"/>
        <v>MG52518190005001MAM</v>
      </c>
      <c r="B2566" t="s">
        <v>6211</v>
      </c>
      <c r="C2566">
        <f>+VLOOKUP(Sites_per_tag[[#This Row],[Field_office]],Parameter!$A$3:$B$11,2,0)</f>
        <v>6</v>
      </c>
      <c r="E2566" t="s">
        <v>5646</v>
      </c>
      <c r="F2566" t="s">
        <v>5647</v>
      </c>
      <c r="H2566" t="str">
        <f ca="1">PROPER(Sites_per_tag[[#This Row],[Adm2Name]])</f>
        <v>Bekily</v>
      </c>
      <c r="I2566" t="s">
        <v>5683</v>
      </c>
      <c r="K2566" t="s">
        <v>6344</v>
      </c>
      <c r="L2566" t="s">
        <v>5927</v>
      </c>
      <c r="N2566" t="s">
        <v>1138</v>
      </c>
      <c r="O2566" t="s">
        <v>1139</v>
      </c>
      <c r="Q2566" t="s">
        <v>1138</v>
      </c>
      <c r="R2566" t="s">
        <v>1140</v>
      </c>
      <c r="T2566" t="s">
        <v>5</v>
      </c>
      <c r="U2566" s="3" t="str">
        <f>+VLOOKUP(Sites_per_tag[[#This Row],[Activity_tag]],Parameter!$A$24:$B$32,2,0)</f>
        <v>MAM</v>
      </c>
      <c r="W2566">
        <v>45.130249999999997</v>
      </c>
      <c r="X2566">
        <v>-24.37473</v>
      </c>
    </row>
    <row r="2567" spans="1:24" x14ac:dyDescent="0.35">
      <c r="A2567" s="3" t="str">
        <f t="shared" si="40"/>
        <v>MG52518190005PREV</v>
      </c>
      <c r="B2567" t="s">
        <v>6211</v>
      </c>
      <c r="C2567">
        <f>+VLOOKUP(Sites_per_tag[[#This Row],[Field_office]],Parameter!$A$3:$B$11,2,0)</f>
        <v>6</v>
      </c>
      <c r="E2567" t="s">
        <v>5646</v>
      </c>
      <c r="F2567" t="s">
        <v>5647</v>
      </c>
      <c r="H2567" t="str">
        <f ca="1">PROPER(Sites_per_tag[[#This Row],[Adm2Name]])</f>
        <v>Bekily</v>
      </c>
      <c r="I2567" t="s">
        <v>5683</v>
      </c>
      <c r="K2567" t="s">
        <v>6344</v>
      </c>
      <c r="L2567" t="s">
        <v>5927</v>
      </c>
      <c r="N2567" t="s">
        <v>4212</v>
      </c>
      <c r="Q2567" t="s">
        <v>1138</v>
      </c>
      <c r="R2567" t="s">
        <v>1139</v>
      </c>
      <c r="T2567" t="s">
        <v>32</v>
      </c>
      <c r="U2567" s="3" t="str">
        <f>+VLOOKUP(Sites_per_tag[[#This Row],[Activity_tag]],Parameter!$A$24:$B$32,2,0)</f>
        <v>PREV</v>
      </c>
      <c r="W2567">
        <v>45.121229999999997</v>
      </c>
      <c r="X2567">
        <v>-24.375730000000001</v>
      </c>
    </row>
    <row r="2568" spans="1:24" x14ac:dyDescent="0.35">
      <c r="A2568" s="3" t="str">
        <f t="shared" si="40"/>
        <v>MG52518190008PREV</v>
      </c>
      <c r="B2568" t="s">
        <v>6211</v>
      </c>
      <c r="C2568">
        <f>+VLOOKUP(Sites_per_tag[[#This Row],[Field_office]],Parameter!$A$3:$B$11,2,0)</f>
        <v>6</v>
      </c>
      <c r="E2568" t="s">
        <v>5646</v>
      </c>
      <c r="F2568" t="s">
        <v>5647</v>
      </c>
      <c r="H2568" t="str">
        <f ca="1">PROPER(Sites_per_tag[[#This Row],[Adm2Name]])</f>
        <v>Bekily</v>
      </c>
      <c r="I2568" t="s">
        <v>5683</v>
      </c>
      <c r="K2568" t="s">
        <v>6344</v>
      </c>
      <c r="L2568" t="s">
        <v>5927</v>
      </c>
      <c r="N2568" t="s">
        <v>4214</v>
      </c>
      <c r="Q2568" t="s">
        <v>1627</v>
      </c>
      <c r="R2568" t="s">
        <v>1628</v>
      </c>
      <c r="T2568" t="s">
        <v>32</v>
      </c>
      <c r="U2568" s="3" t="str">
        <f>+VLOOKUP(Sites_per_tag[[#This Row],[Activity_tag]],Parameter!$A$24:$B$32,2,0)</f>
        <v>PREV</v>
      </c>
      <c r="W2568">
        <v>45.170450000000002</v>
      </c>
      <c r="X2568">
        <v>-24.41272</v>
      </c>
    </row>
    <row r="2569" spans="1:24" x14ac:dyDescent="0.35">
      <c r="A2569" s="3" t="str">
        <f t="shared" si="40"/>
        <v>MG52518190014PREV</v>
      </c>
      <c r="B2569" t="s">
        <v>6211</v>
      </c>
      <c r="C2569">
        <f>+VLOOKUP(Sites_per_tag[[#This Row],[Field_office]],Parameter!$A$3:$B$11,2,0)</f>
        <v>6</v>
      </c>
      <c r="E2569" t="s">
        <v>5646</v>
      </c>
      <c r="F2569" t="s">
        <v>5647</v>
      </c>
      <c r="H2569" t="str">
        <f ca="1">PROPER(Sites_per_tag[[#This Row],[Adm2Name]])</f>
        <v>Bekily</v>
      </c>
      <c r="I2569" t="s">
        <v>5683</v>
      </c>
      <c r="K2569" t="s">
        <v>6344</v>
      </c>
      <c r="L2569" t="s">
        <v>5927</v>
      </c>
      <c r="N2569" t="s">
        <v>4211</v>
      </c>
      <c r="Q2569" t="s">
        <v>3384</v>
      </c>
      <c r="R2569" t="s">
        <v>3386</v>
      </c>
      <c r="T2569" t="s">
        <v>32</v>
      </c>
      <c r="U2569" s="3" t="str">
        <f>+VLOOKUP(Sites_per_tag[[#This Row],[Activity_tag]],Parameter!$A$24:$B$32,2,0)</f>
        <v>PREV</v>
      </c>
      <c r="W2569">
        <v>45.104599999999998</v>
      </c>
      <c r="X2569">
        <v>-24.536619999999999</v>
      </c>
    </row>
    <row r="2570" spans="1:24" x14ac:dyDescent="0.35">
      <c r="A2570" s="3" t="str">
        <f t="shared" si="40"/>
        <v>MG52518190056001MAM</v>
      </c>
      <c r="B2570" t="s">
        <v>6211</v>
      </c>
      <c r="C2570">
        <f>+VLOOKUP(Sites_per_tag[[#This Row],[Field_office]],Parameter!$A$3:$B$11,2,0)</f>
        <v>6</v>
      </c>
      <c r="E2570" t="s">
        <v>5646</v>
      </c>
      <c r="F2570" t="s">
        <v>5647</v>
      </c>
      <c r="H2570" t="str">
        <f ca="1">PROPER(Sites_per_tag[[#This Row],[Adm2Name]])</f>
        <v>Bekily</v>
      </c>
      <c r="I2570" t="s">
        <v>5683</v>
      </c>
      <c r="K2570" t="s">
        <v>6344</v>
      </c>
      <c r="L2570" t="s">
        <v>5927</v>
      </c>
      <c r="N2570" t="s">
        <v>1629</v>
      </c>
      <c r="O2570" t="s">
        <v>4888</v>
      </c>
      <c r="Q2570" t="s">
        <v>1629</v>
      </c>
      <c r="R2570" t="s">
        <v>1630</v>
      </c>
      <c r="T2570" t="s">
        <v>5</v>
      </c>
      <c r="U2570" s="3" t="str">
        <f>+VLOOKUP(Sites_per_tag[[#This Row],[Activity_tag]],Parameter!$A$24:$B$32,2,0)</f>
        <v>MAM</v>
      </c>
      <c r="W2570">
        <v>45.170450000000002</v>
      </c>
      <c r="X2570">
        <v>-24.41272</v>
      </c>
    </row>
    <row r="2571" spans="1:24" x14ac:dyDescent="0.35">
      <c r="A2571" s="3" t="str">
        <f t="shared" si="40"/>
        <v>MG52518190057001MAM</v>
      </c>
      <c r="B2571" t="s">
        <v>6211</v>
      </c>
      <c r="C2571">
        <f>+VLOOKUP(Sites_per_tag[[#This Row],[Field_office]],Parameter!$A$3:$B$11,2,0)</f>
        <v>6</v>
      </c>
      <c r="E2571" t="s">
        <v>5646</v>
      </c>
      <c r="F2571" t="s">
        <v>5647</v>
      </c>
      <c r="H2571" t="str">
        <f ca="1">PROPER(Sites_per_tag[[#This Row],[Adm2Name]])</f>
        <v>Bekily</v>
      </c>
      <c r="I2571" t="s">
        <v>5683</v>
      </c>
      <c r="K2571" t="s">
        <v>6344</v>
      </c>
      <c r="L2571" t="s">
        <v>5927</v>
      </c>
      <c r="N2571" t="s">
        <v>2113</v>
      </c>
      <c r="O2571" t="s">
        <v>4889</v>
      </c>
      <c r="Q2571" t="s">
        <v>2113</v>
      </c>
      <c r="R2571" t="s">
        <v>2114</v>
      </c>
      <c r="T2571" t="s">
        <v>5</v>
      </c>
      <c r="U2571" s="3" t="str">
        <f>+VLOOKUP(Sites_per_tag[[#This Row],[Activity_tag]],Parameter!$A$24:$B$32,2,0)</f>
        <v>MAM</v>
      </c>
      <c r="W2571">
        <v>45.121180000000003</v>
      </c>
      <c r="X2571">
        <v>-24.443930000000002</v>
      </c>
    </row>
    <row r="2572" spans="1:24" x14ac:dyDescent="0.35">
      <c r="A2572" s="3" t="str">
        <f t="shared" si="40"/>
        <v>MG52518190058001MAM</v>
      </c>
      <c r="B2572" t="s">
        <v>6211</v>
      </c>
      <c r="C2572">
        <f>+VLOOKUP(Sites_per_tag[[#This Row],[Field_office]],Parameter!$A$3:$B$11,2,0)</f>
        <v>6</v>
      </c>
      <c r="E2572" t="s">
        <v>5646</v>
      </c>
      <c r="F2572" t="s">
        <v>5647</v>
      </c>
      <c r="H2572" t="str">
        <f ca="1">PROPER(Sites_per_tag[[#This Row],[Adm2Name]])</f>
        <v>Bekily</v>
      </c>
      <c r="I2572" t="s">
        <v>5683</v>
      </c>
      <c r="K2572" t="s">
        <v>6344</v>
      </c>
      <c r="L2572" t="s">
        <v>5927</v>
      </c>
      <c r="N2572" t="s">
        <v>3301</v>
      </c>
      <c r="O2572" t="s">
        <v>4890</v>
      </c>
      <c r="Q2572" t="s">
        <v>3301</v>
      </c>
      <c r="R2572" t="s">
        <v>3302</v>
      </c>
      <c r="T2572" t="s">
        <v>5</v>
      </c>
      <c r="U2572" s="3" t="str">
        <f>+VLOOKUP(Sites_per_tag[[#This Row],[Activity_tag]],Parameter!$A$24:$B$32,2,0)</f>
        <v>MAM</v>
      </c>
      <c r="W2572">
        <v>45.126449999999998</v>
      </c>
      <c r="X2572">
        <v>-24.551819999999999</v>
      </c>
    </row>
    <row r="2573" spans="1:24" x14ac:dyDescent="0.35">
      <c r="A2573" s="3" t="str">
        <f t="shared" si="40"/>
        <v>MG52518210001001MAM</v>
      </c>
      <c r="B2573" t="s">
        <v>6211</v>
      </c>
      <c r="C2573">
        <f>+VLOOKUP(Sites_per_tag[[#This Row],[Field_office]],Parameter!$A$3:$B$11,2,0)</f>
        <v>6</v>
      </c>
      <c r="E2573" t="s">
        <v>5646</v>
      </c>
      <c r="F2573" t="s">
        <v>5647</v>
      </c>
      <c r="H2573" t="str">
        <f ca="1">PROPER(Sites_per_tag[[#This Row],[Adm2Name]])</f>
        <v>Bekily</v>
      </c>
      <c r="I2573" t="s">
        <v>5683</v>
      </c>
      <c r="K2573" t="s">
        <v>3587</v>
      </c>
      <c r="L2573" t="s">
        <v>6123</v>
      </c>
      <c r="N2573" t="s">
        <v>3421</v>
      </c>
      <c r="O2573" t="s">
        <v>5469</v>
      </c>
      <c r="Q2573" t="s">
        <v>3421</v>
      </c>
      <c r="R2573" t="s">
        <v>3422</v>
      </c>
      <c r="T2573" t="s">
        <v>5</v>
      </c>
      <c r="U2573" s="3" t="str">
        <f>+VLOOKUP(Sites_per_tag[[#This Row],[Activity_tag]],Parameter!$A$24:$B$32,2,0)</f>
        <v>MAM</v>
      </c>
      <c r="W2573">
        <v>45.485729999999997</v>
      </c>
      <c r="X2573">
        <v>-24.172329999999999</v>
      </c>
    </row>
    <row r="2574" spans="1:24" x14ac:dyDescent="0.35">
      <c r="A2574" s="3" t="str">
        <f t="shared" si="40"/>
        <v>MG52518210002001MAM</v>
      </c>
      <c r="B2574" t="s">
        <v>6211</v>
      </c>
      <c r="C2574">
        <f>+VLOOKUP(Sites_per_tag[[#This Row],[Field_office]],Parameter!$A$3:$B$11,2,0)</f>
        <v>6</v>
      </c>
      <c r="E2574" t="s">
        <v>5646</v>
      </c>
      <c r="F2574" t="s">
        <v>5647</v>
      </c>
      <c r="H2574" t="str">
        <f ca="1">PROPER(Sites_per_tag[[#This Row],[Adm2Name]])</f>
        <v>Bekily</v>
      </c>
      <c r="I2574" t="s">
        <v>5683</v>
      </c>
      <c r="K2574" t="s">
        <v>3587</v>
      </c>
      <c r="L2574" t="s">
        <v>6123</v>
      </c>
      <c r="N2574" t="s">
        <v>3382</v>
      </c>
      <c r="O2574" t="s">
        <v>5470</v>
      </c>
      <c r="Q2574" t="s">
        <v>3382</v>
      </c>
      <c r="R2574" t="s">
        <v>3383</v>
      </c>
      <c r="T2574" t="s">
        <v>5</v>
      </c>
      <c r="U2574" s="3" t="str">
        <f>+VLOOKUP(Sites_per_tag[[#This Row],[Activity_tag]],Parameter!$A$24:$B$32,2,0)</f>
        <v>MAM</v>
      </c>
      <c r="W2574">
        <v>45.475050000000003</v>
      </c>
      <c r="X2574">
        <v>-24.118970000000001</v>
      </c>
    </row>
    <row r="2575" spans="1:24" x14ac:dyDescent="0.35">
      <c r="A2575" s="3" t="str">
        <f t="shared" si="40"/>
        <v>MG52518230002001MAM</v>
      </c>
      <c r="B2575" t="s">
        <v>6211</v>
      </c>
      <c r="C2575">
        <f>+VLOOKUP(Sites_per_tag[[#This Row],[Field_office]],Parameter!$A$3:$B$11,2,0)</f>
        <v>6</v>
      </c>
      <c r="E2575" t="s">
        <v>5646</v>
      </c>
      <c r="F2575" t="s">
        <v>5647</v>
      </c>
      <c r="H2575" t="str">
        <f ca="1">PROPER(Sites_per_tag[[#This Row],[Adm2Name]])</f>
        <v>Bekily</v>
      </c>
      <c r="I2575" t="s">
        <v>5683</v>
      </c>
      <c r="K2575" t="s">
        <v>6330</v>
      </c>
      <c r="L2575" t="s">
        <v>5898</v>
      </c>
      <c r="N2575" t="s">
        <v>222</v>
      </c>
      <c r="O2575" t="s">
        <v>4772</v>
      </c>
      <c r="Q2575" t="s">
        <v>236</v>
      </c>
      <c r="R2575" t="s">
        <v>237</v>
      </c>
      <c r="T2575" t="s">
        <v>5</v>
      </c>
      <c r="U2575" s="3" t="str">
        <f>+VLOOKUP(Sites_per_tag[[#This Row],[Activity_tag]],Parameter!$A$24:$B$32,2,0)</f>
        <v>MAM</v>
      </c>
      <c r="W2575">
        <v>45.303314</v>
      </c>
      <c r="X2575">
        <v>-24.530777</v>
      </c>
    </row>
    <row r="2576" spans="1:24" x14ac:dyDescent="0.35">
      <c r="A2576" s="3" t="str">
        <f t="shared" si="40"/>
        <v>MG52518230007001MAM</v>
      </c>
      <c r="B2576" t="s">
        <v>6211</v>
      </c>
      <c r="C2576">
        <f>+VLOOKUP(Sites_per_tag[[#This Row],[Field_office]],Parameter!$A$3:$B$11,2,0)</f>
        <v>6</v>
      </c>
      <c r="E2576" t="s">
        <v>5646</v>
      </c>
      <c r="F2576" t="s">
        <v>5647</v>
      </c>
      <c r="H2576" t="str">
        <f ca="1">PROPER(Sites_per_tag[[#This Row],[Adm2Name]])</f>
        <v>Bekily</v>
      </c>
      <c r="I2576" t="s">
        <v>5683</v>
      </c>
      <c r="K2576" t="s">
        <v>6330</v>
      </c>
      <c r="L2576" t="s">
        <v>5898</v>
      </c>
      <c r="N2576" t="s">
        <v>3160</v>
      </c>
      <c r="O2576" t="s">
        <v>4773</v>
      </c>
      <c r="Q2576" t="s">
        <v>3160</v>
      </c>
      <c r="R2576" t="s">
        <v>3161</v>
      </c>
      <c r="T2576" t="s">
        <v>5</v>
      </c>
      <c r="U2576" s="3" t="str">
        <f>+VLOOKUP(Sites_per_tag[[#This Row],[Activity_tag]],Parameter!$A$24:$B$32,2,0)</f>
        <v>MAM</v>
      </c>
      <c r="W2576">
        <v>45.297229999999999</v>
      </c>
      <c r="X2576">
        <v>-24.467130000000001</v>
      </c>
    </row>
    <row r="2577" spans="1:24" x14ac:dyDescent="0.35">
      <c r="A2577" s="3" t="str">
        <f t="shared" si="40"/>
        <v>MG52518230014001MAM</v>
      </c>
      <c r="B2577" t="s">
        <v>6211</v>
      </c>
      <c r="C2577">
        <f>+VLOOKUP(Sites_per_tag[[#This Row],[Field_office]],Parameter!$A$3:$B$11,2,0)</f>
        <v>6</v>
      </c>
      <c r="E2577" t="s">
        <v>5646</v>
      </c>
      <c r="F2577" t="s">
        <v>5647</v>
      </c>
      <c r="H2577" t="str">
        <f ca="1">PROPER(Sites_per_tag[[#This Row],[Adm2Name]])</f>
        <v>Bekily</v>
      </c>
      <c r="I2577" t="s">
        <v>5683</v>
      </c>
      <c r="K2577" t="s">
        <v>6330</v>
      </c>
      <c r="L2577" t="s">
        <v>5898</v>
      </c>
      <c r="N2577" t="s">
        <v>1738</v>
      </c>
      <c r="O2577" t="s">
        <v>4774</v>
      </c>
      <c r="Q2577" t="s">
        <v>1740</v>
      </c>
      <c r="R2577" t="s">
        <v>1741</v>
      </c>
      <c r="T2577" t="s">
        <v>5</v>
      </c>
      <c r="U2577" s="3" t="str">
        <f>+VLOOKUP(Sites_per_tag[[#This Row],[Activity_tag]],Parameter!$A$24:$B$32,2,0)</f>
        <v>MAM</v>
      </c>
      <c r="W2577">
        <v>45.314720000000001</v>
      </c>
      <c r="X2577">
        <v>-24.266950000000001</v>
      </c>
    </row>
    <row r="2578" spans="1:24" x14ac:dyDescent="0.35">
      <c r="A2578" s="3" t="str">
        <f t="shared" si="40"/>
        <v>MG52518230019001MAM</v>
      </c>
      <c r="B2578" t="s">
        <v>6211</v>
      </c>
      <c r="C2578">
        <f>+VLOOKUP(Sites_per_tag[[#This Row],[Field_office]],Parameter!$A$3:$B$11,2,0)</f>
        <v>6</v>
      </c>
      <c r="E2578" t="s">
        <v>5646</v>
      </c>
      <c r="F2578" t="s">
        <v>5647</v>
      </c>
      <c r="H2578" t="str">
        <f ca="1">PROPER(Sites_per_tag[[#This Row],[Adm2Name]])</f>
        <v>Bekily</v>
      </c>
      <c r="I2578" t="s">
        <v>5683</v>
      </c>
      <c r="K2578" t="s">
        <v>6330</v>
      </c>
      <c r="L2578" t="s">
        <v>5898</v>
      </c>
      <c r="N2578" t="s">
        <v>735</v>
      </c>
      <c r="O2578" t="s">
        <v>4775</v>
      </c>
      <c r="Q2578" t="s">
        <v>737</v>
      </c>
      <c r="R2578" t="s">
        <v>738</v>
      </c>
      <c r="T2578" t="s">
        <v>5</v>
      </c>
      <c r="U2578" s="3" t="str">
        <f>+VLOOKUP(Sites_per_tag[[#This Row],[Activity_tag]],Parameter!$A$24:$B$32,2,0)</f>
        <v>MAM</v>
      </c>
      <c r="W2578">
        <v>45.102200000000003</v>
      </c>
      <c r="X2578">
        <v>-24.825500000000002</v>
      </c>
    </row>
    <row r="2579" spans="1:24" x14ac:dyDescent="0.35">
      <c r="A2579" s="3" t="str">
        <f t="shared" si="40"/>
        <v>MG52518230056001MAM</v>
      </c>
      <c r="B2579" t="s">
        <v>6211</v>
      </c>
      <c r="C2579">
        <f>+VLOOKUP(Sites_per_tag[[#This Row],[Field_office]],Parameter!$A$3:$B$11,2,0)</f>
        <v>6</v>
      </c>
      <c r="E2579" t="s">
        <v>5646</v>
      </c>
      <c r="F2579" t="s">
        <v>5647</v>
      </c>
      <c r="H2579" t="str">
        <f ca="1">PROPER(Sites_per_tag[[#This Row],[Adm2Name]])</f>
        <v>Bekily</v>
      </c>
      <c r="I2579" t="s">
        <v>5683</v>
      </c>
      <c r="K2579" t="s">
        <v>6330</v>
      </c>
      <c r="L2579" t="s">
        <v>5898</v>
      </c>
      <c r="N2579" t="s">
        <v>1256</v>
      </c>
      <c r="O2579" t="s">
        <v>4776</v>
      </c>
      <c r="Q2579" t="s">
        <v>1256</v>
      </c>
      <c r="R2579" t="s">
        <v>1257</v>
      </c>
      <c r="T2579" t="s">
        <v>5</v>
      </c>
      <c r="U2579" s="3" t="str">
        <f>+VLOOKUP(Sites_per_tag[[#This Row],[Activity_tag]],Parameter!$A$24:$B$32,2,0)</f>
        <v>MAM</v>
      </c>
      <c r="W2579">
        <v>45.314182000000002</v>
      </c>
      <c r="X2579">
        <v>-24.485375999999999</v>
      </c>
    </row>
    <row r="2580" spans="1:24" x14ac:dyDescent="0.35">
      <c r="A2580" s="3" t="str">
        <f t="shared" si="40"/>
        <v>MG52518230057001MAM</v>
      </c>
      <c r="B2580" t="s">
        <v>6211</v>
      </c>
      <c r="C2580">
        <f>+VLOOKUP(Sites_per_tag[[#This Row],[Field_office]],Parameter!$A$3:$B$11,2,0)</f>
        <v>6</v>
      </c>
      <c r="E2580" t="s">
        <v>5646</v>
      </c>
      <c r="F2580" t="s">
        <v>5647</v>
      </c>
      <c r="H2580" t="str">
        <f ca="1">PROPER(Sites_per_tag[[#This Row],[Adm2Name]])</f>
        <v>Bekily</v>
      </c>
      <c r="I2580" t="s">
        <v>5683</v>
      </c>
      <c r="K2580" t="s">
        <v>6330</v>
      </c>
      <c r="L2580" t="s">
        <v>5898</v>
      </c>
      <c r="N2580" t="s">
        <v>1226</v>
      </c>
      <c r="O2580" t="s">
        <v>4777</v>
      </c>
      <c r="Q2580" t="s">
        <v>1226</v>
      </c>
      <c r="R2580" t="s">
        <v>1227</v>
      </c>
      <c r="T2580" t="s">
        <v>5</v>
      </c>
      <c r="U2580" s="3" t="str">
        <f>+VLOOKUP(Sites_per_tag[[#This Row],[Activity_tag]],Parameter!$A$24:$B$32,2,0)</f>
        <v>MAM</v>
      </c>
      <c r="W2580">
        <v>45.260429999999999</v>
      </c>
      <c r="X2580">
        <v>-24.554030000000001</v>
      </c>
    </row>
    <row r="2581" spans="1:24" x14ac:dyDescent="0.35">
      <c r="A2581" s="3" t="str">
        <f t="shared" si="40"/>
        <v>MG52518230058001MAM</v>
      </c>
      <c r="B2581" t="s">
        <v>6211</v>
      </c>
      <c r="C2581">
        <f>+VLOOKUP(Sites_per_tag[[#This Row],[Field_office]],Parameter!$A$3:$B$11,2,0)</f>
        <v>6</v>
      </c>
      <c r="E2581" t="s">
        <v>5646</v>
      </c>
      <c r="F2581" t="s">
        <v>5647</v>
      </c>
      <c r="H2581" t="str">
        <f ca="1">PROPER(Sites_per_tag[[#This Row],[Adm2Name]])</f>
        <v>Bekily</v>
      </c>
      <c r="I2581" t="s">
        <v>5683</v>
      </c>
      <c r="K2581" t="s">
        <v>6330</v>
      </c>
      <c r="L2581" t="s">
        <v>5898</v>
      </c>
      <c r="N2581" t="s">
        <v>3091</v>
      </c>
      <c r="O2581" t="s">
        <v>4778</v>
      </c>
      <c r="Q2581" t="s">
        <v>3091</v>
      </c>
      <c r="R2581" t="s">
        <v>3092</v>
      </c>
      <c r="T2581" t="s">
        <v>5</v>
      </c>
      <c r="U2581" s="3" t="str">
        <f>+VLOOKUP(Sites_per_tag[[#This Row],[Activity_tag]],Parameter!$A$24:$B$32,2,0)</f>
        <v>MAM</v>
      </c>
      <c r="W2581">
        <v>45.339599999999997</v>
      </c>
      <c r="X2581">
        <v>-24.658100000000001</v>
      </c>
    </row>
    <row r="2582" spans="1:24" x14ac:dyDescent="0.35">
      <c r="A2582" s="3" t="str">
        <f t="shared" si="40"/>
        <v>MG52518230059001MAM</v>
      </c>
      <c r="B2582" t="s">
        <v>6211</v>
      </c>
      <c r="C2582">
        <f>+VLOOKUP(Sites_per_tag[[#This Row],[Field_office]],Parameter!$A$3:$B$11,2,0)</f>
        <v>6</v>
      </c>
      <c r="E2582" t="s">
        <v>5646</v>
      </c>
      <c r="F2582" t="s">
        <v>5647</v>
      </c>
      <c r="H2582" t="str">
        <f ca="1">PROPER(Sites_per_tag[[#This Row],[Adm2Name]])</f>
        <v>Bekily</v>
      </c>
      <c r="I2582" t="s">
        <v>5683</v>
      </c>
      <c r="K2582" t="s">
        <v>6330</v>
      </c>
      <c r="L2582" t="s">
        <v>5898</v>
      </c>
      <c r="N2582" t="s">
        <v>3095</v>
      </c>
      <c r="O2582" t="s">
        <v>4779</v>
      </c>
      <c r="Q2582" t="s">
        <v>3095</v>
      </c>
      <c r="R2582" t="s">
        <v>3096</v>
      </c>
      <c r="T2582" t="s">
        <v>5</v>
      </c>
      <c r="U2582" s="3" t="str">
        <f>+VLOOKUP(Sites_per_tag[[#This Row],[Activity_tag]],Parameter!$A$24:$B$32,2,0)</f>
        <v>MAM</v>
      </c>
      <c r="W2582">
        <v>45.326419999999999</v>
      </c>
      <c r="X2582">
        <v>-24.663599999999999</v>
      </c>
    </row>
    <row r="2583" spans="1:24" x14ac:dyDescent="0.35">
      <c r="A2583" s="3" t="str">
        <f t="shared" si="40"/>
        <v>MG52518230060001MAM</v>
      </c>
      <c r="B2583" t="s">
        <v>6211</v>
      </c>
      <c r="C2583">
        <f>+VLOOKUP(Sites_per_tag[[#This Row],[Field_office]],Parameter!$A$3:$B$11,2,0)</f>
        <v>6</v>
      </c>
      <c r="E2583" t="s">
        <v>5646</v>
      </c>
      <c r="F2583" t="s">
        <v>5647</v>
      </c>
      <c r="H2583" t="str">
        <f ca="1">PROPER(Sites_per_tag[[#This Row],[Adm2Name]])</f>
        <v>Bekily</v>
      </c>
      <c r="I2583" t="s">
        <v>5683</v>
      </c>
      <c r="K2583" t="s">
        <v>6330</v>
      </c>
      <c r="L2583" t="s">
        <v>5898</v>
      </c>
      <c r="N2583" t="s">
        <v>3148</v>
      </c>
      <c r="O2583" t="s">
        <v>4780</v>
      </c>
      <c r="Q2583" t="s">
        <v>3148</v>
      </c>
      <c r="R2583" t="s">
        <v>3149</v>
      </c>
      <c r="T2583" t="s">
        <v>5</v>
      </c>
      <c r="U2583" s="3" t="str">
        <f>+VLOOKUP(Sites_per_tag[[#This Row],[Activity_tag]],Parameter!$A$24:$B$32,2,0)</f>
        <v>MAM</v>
      </c>
      <c r="W2583">
        <v>45.315930000000002</v>
      </c>
      <c r="X2583">
        <v>-24.558879999999998</v>
      </c>
    </row>
    <row r="2584" spans="1:24" x14ac:dyDescent="0.35">
      <c r="A2584" s="3" t="str">
        <f t="shared" si="40"/>
        <v>MG52518251001001STUNT</v>
      </c>
      <c r="B2584" t="s">
        <v>1837</v>
      </c>
      <c r="C2584">
        <f>+VLOOKUP(Sites_per_tag[[#This Row],[Field_office]],Parameter!$A$3:$B$11,2,0)</f>
        <v>1</v>
      </c>
      <c r="E2584" t="s">
        <v>5646</v>
      </c>
      <c r="F2584" t="s">
        <v>5647</v>
      </c>
      <c r="H2584" t="str">
        <f ca="1">PROPER(Sites_per_tag[[#This Row],[Adm2Name]])</f>
        <v>Bekily</v>
      </c>
      <c r="I2584" t="s">
        <v>5683</v>
      </c>
      <c r="K2584" t="s">
        <v>1976</v>
      </c>
      <c r="L2584" t="s">
        <v>5917</v>
      </c>
      <c r="N2584" t="s">
        <v>1976</v>
      </c>
      <c r="O2584" t="s">
        <v>4091</v>
      </c>
      <c r="Q2584" t="s">
        <v>1976</v>
      </c>
      <c r="R2584" t="s">
        <v>1977</v>
      </c>
      <c r="T2584" t="s">
        <v>50</v>
      </c>
      <c r="U2584" s="3" t="str">
        <f>+VLOOKUP(Sites_per_tag[[#This Row],[Activity_tag]],Parameter!$A$24:$B$32,2,0)</f>
        <v>STUNT</v>
      </c>
      <c r="V2584" t="s">
        <v>6548</v>
      </c>
      <c r="W2584">
        <v>45.674570000000003</v>
      </c>
      <c r="X2584">
        <v>-24.18055</v>
      </c>
    </row>
    <row r="2585" spans="1:24" x14ac:dyDescent="0.35">
      <c r="A2585" s="3" t="str">
        <f t="shared" si="40"/>
        <v>MG52518251003001STUNT</v>
      </c>
      <c r="B2585" t="s">
        <v>1837</v>
      </c>
      <c r="C2585">
        <f>+VLOOKUP(Sites_per_tag[[#This Row],[Field_office]],Parameter!$A$3:$B$11,2,0)</f>
        <v>1</v>
      </c>
      <c r="E2585" t="s">
        <v>5646</v>
      </c>
      <c r="F2585" t="s">
        <v>5647</v>
      </c>
      <c r="H2585" t="str">
        <f ca="1">PROPER(Sites_per_tag[[#This Row],[Adm2Name]])</f>
        <v>Bekily</v>
      </c>
      <c r="I2585" t="s">
        <v>5683</v>
      </c>
      <c r="K2585" t="s">
        <v>1976</v>
      </c>
      <c r="L2585" t="s">
        <v>5917</v>
      </c>
      <c r="N2585" t="s">
        <v>105</v>
      </c>
      <c r="O2585" t="s">
        <v>4092</v>
      </c>
      <c r="Q2585" t="s">
        <v>107</v>
      </c>
      <c r="R2585" t="s">
        <v>108</v>
      </c>
      <c r="T2585" t="s">
        <v>50</v>
      </c>
      <c r="U2585" s="3" t="str">
        <f>+VLOOKUP(Sites_per_tag[[#This Row],[Activity_tag]],Parameter!$A$24:$B$32,2,0)</f>
        <v>STUNT</v>
      </c>
      <c r="V2585" t="s">
        <v>6549</v>
      </c>
      <c r="W2585">
        <v>45.665570000000002</v>
      </c>
      <c r="X2585">
        <v>-24.263950000000001</v>
      </c>
    </row>
    <row r="2586" spans="1:24" x14ac:dyDescent="0.35">
      <c r="A2586" s="3" t="str">
        <f t="shared" si="40"/>
        <v>MG52518251003002MAM</v>
      </c>
      <c r="B2586" t="s">
        <v>6211</v>
      </c>
      <c r="C2586">
        <f>+VLOOKUP(Sites_per_tag[[#This Row],[Field_office]],Parameter!$A$3:$B$11,2,0)</f>
        <v>6</v>
      </c>
      <c r="E2586" t="s">
        <v>5646</v>
      </c>
      <c r="F2586" t="s">
        <v>5647</v>
      </c>
      <c r="H2586" t="str">
        <f ca="1">PROPER(Sites_per_tag[[#This Row],[Adm2Name]])</f>
        <v>Bekily</v>
      </c>
      <c r="I2586" t="s">
        <v>5683</v>
      </c>
      <c r="K2586" t="s">
        <v>1976</v>
      </c>
      <c r="L2586" t="s">
        <v>5917</v>
      </c>
      <c r="N2586" t="s">
        <v>105</v>
      </c>
      <c r="O2586" t="s">
        <v>4092</v>
      </c>
      <c r="Q2586" t="s">
        <v>105</v>
      </c>
      <c r="R2586" t="s">
        <v>106</v>
      </c>
      <c r="T2586" t="s">
        <v>5</v>
      </c>
      <c r="U2586" s="3" t="str">
        <f>+VLOOKUP(Sites_per_tag[[#This Row],[Activity_tag]],Parameter!$A$24:$B$32,2,0)</f>
        <v>MAM</v>
      </c>
      <c r="W2586">
        <v>45.665570000000002</v>
      </c>
      <c r="X2586">
        <v>-24.263950000000001</v>
      </c>
    </row>
    <row r="2587" spans="1:24" x14ac:dyDescent="0.35">
      <c r="A2587" s="3" t="str">
        <f t="shared" si="40"/>
        <v>MG52518251004001MAM</v>
      </c>
      <c r="B2587" t="s">
        <v>6211</v>
      </c>
      <c r="C2587">
        <f>+VLOOKUP(Sites_per_tag[[#This Row],[Field_office]],Parameter!$A$3:$B$11,2,0)</f>
        <v>6</v>
      </c>
      <c r="E2587" t="s">
        <v>1448</v>
      </c>
      <c r="F2587" t="s">
        <v>5651</v>
      </c>
      <c r="H2587" t="str">
        <f ca="1">PROPER(Sites_per_tag[[#This Row],[Adm2Name]])</f>
        <v>Amboasary-Atsimo</v>
      </c>
      <c r="I2587" t="s">
        <v>5641</v>
      </c>
      <c r="K2587" t="s">
        <v>2561</v>
      </c>
      <c r="L2587" t="s">
        <v>5970</v>
      </c>
      <c r="N2587" t="s">
        <v>1154</v>
      </c>
      <c r="O2587" t="s">
        <v>5048</v>
      </c>
      <c r="Q2587" t="s">
        <v>1160</v>
      </c>
      <c r="R2587" t="s">
        <v>1161</v>
      </c>
      <c r="T2587" t="s">
        <v>5</v>
      </c>
      <c r="U2587" s="3" t="str">
        <f>+VLOOKUP(Sites_per_tag[[#This Row],[Activity_tag]],Parameter!$A$24:$B$32,2,0)</f>
        <v>MAM</v>
      </c>
      <c r="W2587">
        <v>46.195601000000003</v>
      </c>
      <c r="X2587">
        <v>-24.857468000000001</v>
      </c>
    </row>
    <row r="2588" spans="1:24" x14ac:dyDescent="0.35">
      <c r="A2588" s="3" t="str">
        <f t="shared" si="40"/>
        <v>MG52518251007001MAM</v>
      </c>
      <c r="B2588" t="s">
        <v>6211</v>
      </c>
      <c r="C2588">
        <f>+VLOOKUP(Sites_per_tag[[#This Row],[Field_office]],Parameter!$A$3:$B$11,2,0)</f>
        <v>6</v>
      </c>
      <c r="E2588" t="s">
        <v>5646</v>
      </c>
      <c r="F2588" t="s">
        <v>5647</v>
      </c>
      <c r="H2588" t="str">
        <f ca="1">PROPER(Sites_per_tag[[#This Row],[Adm2Name]])</f>
        <v>Bekily</v>
      </c>
      <c r="I2588" t="s">
        <v>5683</v>
      </c>
      <c r="K2588" t="s">
        <v>1976</v>
      </c>
      <c r="L2588" t="s">
        <v>5917</v>
      </c>
      <c r="N2588" t="s">
        <v>425</v>
      </c>
      <c r="O2588" t="s">
        <v>4864</v>
      </c>
      <c r="Q2588" t="s">
        <v>425</v>
      </c>
      <c r="R2588" t="s">
        <v>427</v>
      </c>
      <c r="T2588" t="s">
        <v>5</v>
      </c>
      <c r="U2588" s="3" t="str">
        <f>+VLOOKUP(Sites_per_tag[[#This Row],[Activity_tag]],Parameter!$A$24:$B$32,2,0)</f>
        <v>MAM</v>
      </c>
      <c r="W2588">
        <v>45.647179999999999</v>
      </c>
      <c r="X2588">
        <v>-24.137350000000001</v>
      </c>
    </row>
    <row r="2589" spans="1:24" x14ac:dyDescent="0.35">
      <c r="A2589" s="3" t="str">
        <f t="shared" si="40"/>
        <v>MG52518251009001STUNT</v>
      </c>
      <c r="B2589" t="s">
        <v>1837</v>
      </c>
      <c r="C2589">
        <f>+VLOOKUP(Sites_per_tag[[#This Row],[Field_office]],Parameter!$A$3:$B$11,2,0)</f>
        <v>1</v>
      </c>
      <c r="E2589" t="s">
        <v>5646</v>
      </c>
      <c r="F2589" t="s">
        <v>5647</v>
      </c>
      <c r="H2589" t="str">
        <f ca="1">PROPER(Sites_per_tag[[#This Row],[Adm2Name]])</f>
        <v>Bekily</v>
      </c>
      <c r="I2589" t="s">
        <v>5683</v>
      </c>
      <c r="K2589" t="s">
        <v>1976</v>
      </c>
      <c r="L2589" t="s">
        <v>5917</v>
      </c>
      <c r="N2589" t="s">
        <v>4094</v>
      </c>
      <c r="O2589" t="s">
        <v>4093</v>
      </c>
      <c r="Q2589" t="s">
        <v>1599</v>
      </c>
      <c r="R2589" t="s">
        <v>1600</v>
      </c>
      <c r="T2589" t="s">
        <v>50</v>
      </c>
      <c r="U2589" s="3" t="str">
        <f>+VLOOKUP(Sites_per_tag[[#This Row],[Activity_tag]],Parameter!$A$24:$B$32,2,0)</f>
        <v>STUNT</v>
      </c>
      <c r="V2589" t="s">
        <v>6550</v>
      </c>
      <c r="W2589">
        <v>45.524650000000001</v>
      </c>
      <c r="X2589">
        <v>-24.116150000000001</v>
      </c>
    </row>
    <row r="2590" spans="1:24" x14ac:dyDescent="0.35">
      <c r="A2590" s="3" t="str">
        <f t="shared" si="40"/>
        <v>MG52518251010001STUNT</v>
      </c>
      <c r="B2590" t="s">
        <v>1837</v>
      </c>
      <c r="C2590">
        <f>+VLOOKUP(Sites_per_tag[[#This Row],[Field_office]],Parameter!$A$3:$B$11,2,0)</f>
        <v>1</v>
      </c>
      <c r="E2590" t="s">
        <v>5646</v>
      </c>
      <c r="F2590" t="s">
        <v>5647</v>
      </c>
      <c r="H2590" t="str">
        <f ca="1">PROPER(Sites_per_tag[[#This Row],[Adm2Name]])</f>
        <v>Bekily</v>
      </c>
      <c r="I2590" t="s">
        <v>5683</v>
      </c>
      <c r="K2590" t="s">
        <v>1976</v>
      </c>
      <c r="L2590" t="s">
        <v>5917</v>
      </c>
      <c r="N2590" t="s">
        <v>4096</v>
      </c>
      <c r="O2590" t="s">
        <v>4095</v>
      </c>
      <c r="Q2590" t="s">
        <v>1652</v>
      </c>
      <c r="R2590" t="s">
        <v>1653</v>
      </c>
      <c r="T2590" t="s">
        <v>50</v>
      </c>
      <c r="U2590" s="3" t="str">
        <f>+VLOOKUP(Sites_per_tag[[#This Row],[Activity_tag]],Parameter!$A$24:$B$32,2,0)</f>
        <v>STUNT</v>
      </c>
      <c r="V2590" t="s">
        <v>6551</v>
      </c>
      <c r="W2590">
        <v>45.620649999999998</v>
      </c>
      <c r="X2590">
        <v>-24.282620000000001</v>
      </c>
    </row>
    <row r="2591" spans="1:24" x14ac:dyDescent="0.35">
      <c r="A2591" s="3" t="str">
        <f t="shared" si="40"/>
        <v>MG52518251013001MAM</v>
      </c>
      <c r="B2591" t="s">
        <v>6211</v>
      </c>
      <c r="C2591">
        <f>+VLOOKUP(Sites_per_tag[[#This Row],[Field_office]],Parameter!$A$3:$B$11,2,0)</f>
        <v>6</v>
      </c>
      <c r="E2591" t="s">
        <v>5646</v>
      </c>
      <c r="F2591" t="s">
        <v>5647</v>
      </c>
      <c r="H2591" t="str">
        <f ca="1">PROPER(Sites_per_tag[[#This Row],[Adm2Name]])</f>
        <v>Bekily</v>
      </c>
      <c r="I2591" t="s">
        <v>5683</v>
      </c>
      <c r="K2591" t="s">
        <v>1976</v>
      </c>
      <c r="L2591" t="s">
        <v>5917</v>
      </c>
      <c r="N2591" t="s">
        <v>4866</v>
      </c>
      <c r="O2591" t="s">
        <v>4865</v>
      </c>
      <c r="Q2591" t="s">
        <v>2026</v>
      </c>
      <c r="R2591" t="s">
        <v>2027</v>
      </c>
      <c r="T2591" t="s">
        <v>5</v>
      </c>
      <c r="U2591" s="3" t="str">
        <f>+VLOOKUP(Sites_per_tag[[#This Row],[Activity_tag]],Parameter!$A$24:$B$32,2,0)</f>
        <v>MAM</v>
      </c>
      <c r="W2591">
        <v>45.737099999999998</v>
      </c>
      <c r="X2591">
        <v>-24.180029999999999</v>
      </c>
    </row>
    <row r="2592" spans="1:24" x14ac:dyDescent="0.35">
      <c r="A2592" s="3" t="str">
        <f t="shared" si="40"/>
        <v>MG52518251014001STUNT</v>
      </c>
      <c r="B2592" t="s">
        <v>1837</v>
      </c>
      <c r="C2592">
        <f>+VLOOKUP(Sites_per_tag[[#This Row],[Field_office]],Parameter!$A$3:$B$11,2,0)</f>
        <v>1</v>
      </c>
      <c r="E2592" t="s">
        <v>5646</v>
      </c>
      <c r="F2592" t="s">
        <v>5647</v>
      </c>
      <c r="H2592" t="str">
        <f ca="1">PROPER(Sites_per_tag[[#This Row],[Adm2Name]])</f>
        <v>Bekily</v>
      </c>
      <c r="I2592" t="s">
        <v>5683</v>
      </c>
      <c r="K2592" t="s">
        <v>1976</v>
      </c>
      <c r="L2592" t="s">
        <v>5917</v>
      </c>
      <c r="N2592" t="s">
        <v>2557</v>
      </c>
      <c r="O2592" t="s">
        <v>4097</v>
      </c>
      <c r="Q2592" t="s">
        <v>2555</v>
      </c>
      <c r="R2592" t="s">
        <v>2556</v>
      </c>
      <c r="T2592" t="s">
        <v>50</v>
      </c>
      <c r="U2592" s="3" t="str">
        <f>+VLOOKUP(Sites_per_tag[[#This Row],[Activity_tag]],Parameter!$A$24:$B$32,2,0)</f>
        <v>STUNT</v>
      </c>
      <c r="V2592" t="s">
        <v>6552</v>
      </c>
      <c r="W2592">
        <v>45.686999999999998</v>
      </c>
      <c r="X2592">
        <v>-24.215319999999998</v>
      </c>
    </row>
    <row r="2593" spans="1:24" x14ac:dyDescent="0.35">
      <c r="A2593" s="3" t="str">
        <f t="shared" si="40"/>
        <v>MG52518251014002MAM</v>
      </c>
      <c r="B2593" t="s">
        <v>6211</v>
      </c>
      <c r="C2593">
        <f>+VLOOKUP(Sites_per_tag[[#This Row],[Field_office]],Parameter!$A$3:$B$11,2,0)</f>
        <v>6</v>
      </c>
      <c r="E2593" t="s">
        <v>5646</v>
      </c>
      <c r="F2593" t="s">
        <v>5647</v>
      </c>
      <c r="H2593" t="str">
        <f ca="1">PROPER(Sites_per_tag[[#This Row],[Adm2Name]])</f>
        <v>Bekily</v>
      </c>
      <c r="I2593" t="s">
        <v>5683</v>
      </c>
      <c r="K2593" t="s">
        <v>1976</v>
      </c>
      <c r="L2593" t="s">
        <v>5917</v>
      </c>
      <c r="N2593" t="s">
        <v>2557</v>
      </c>
      <c r="O2593" t="s">
        <v>4097</v>
      </c>
      <c r="Q2593" t="s">
        <v>2557</v>
      </c>
      <c r="R2593" t="s">
        <v>2558</v>
      </c>
      <c r="T2593" t="s">
        <v>5</v>
      </c>
      <c r="U2593" s="3" t="str">
        <f>+VLOOKUP(Sites_per_tag[[#This Row],[Activity_tag]],Parameter!$A$24:$B$32,2,0)</f>
        <v>MAM</v>
      </c>
      <c r="W2593">
        <v>45.686999999999998</v>
      </c>
      <c r="X2593">
        <v>-24.215319999999998</v>
      </c>
    </row>
    <row r="2594" spans="1:24" x14ac:dyDescent="0.35">
      <c r="A2594" s="3" t="str">
        <f t="shared" si="40"/>
        <v>MG52518251020001STUNT</v>
      </c>
      <c r="B2594" t="s">
        <v>1837</v>
      </c>
      <c r="C2594">
        <f>+VLOOKUP(Sites_per_tag[[#This Row],[Field_office]],Parameter!$A$3:$B$11,2,0)</f>
        <v>1</v>
      </c>
      <c r="E2594" t="s">
        <v>5646</v>
      </c>
      <c r="F2594" t="s">
        <v>5647</v>
      </c>
      <c r="H2594" t="str">
        <f ca="1">PROPER(Sites_per_tag[[#This Row],[Adm2Name]])</f>
        <v>Bekily</v>
      </c>
      <c r="I2594" t="s">
        <v>5683</v>
      </c>
      <c r="K2594" t="s">
        <v>1976</v>
      </c>
      <c r="L2594" t="s">
        <v>5917</v>
      </c>
      <c r="N2594" t="s">
        <v>3678</v>
      </c>
      <c r="O2594" t="s">
        <v>4098</v>
      </c>
      <c r="Q2594" t="s">
        <v>3680</v>
      </c>
      <c r="R2594" t="s">
        <v>3681</v>
      </c>
      <c r="T2594" t="s">
        <v>50</v>
      </c>
      <c r="U2594" s="3" t="str">
        <f>+VLOOKUP(Sites_per_tag[[#This Row],[Activity_tag]],Parameter!$A$24:$B$32,2,0)</f>
        <v>STUNT</v>
      </c>
      <c r="V2594" t="s">
        <v>6553</v>
      </c>
      <c r="W2594">
        <v>45.683950000000003</v>
      </c>
      <c r="X2594">
        <v>-24.268249999999998</v>
      </c>
    </row>
    <row r="2595" spans="1:24" x14ac:dyDescent="0.35">
      <c r="A2595" s="3" t="str">
        <f t="shared" si="40"/>
        <v>MG52518251056001MAM</v>
      </c>
      <c r="B2595" t="s">
        <v>6211</v>
      </c>
      <c r="C2595">
        <f>+VLOOKUP(Sites_per_tag[[#This Row],[Field_office]],Parameter!$A$3:$B$11,2,0)</f>
        <v>6</v>
      </c>
      <c r="E2595" t="s">
        <v>5646</v>
      </c>
      <c r="F2595" t="s">
        <v>5647</v>
      </c>
      <c r="H2595" t="str">
        <f ca="1">PROPER(Sites_per_tag[[#This Row],[Adm2Name]])</f>
        <v>Bekily</v>
      </c>
      <c r="I2595" t="s">
        <v>5683</v>
      </c>
      <c r="K2595" t="s">
        <v>1976</v>
      </c>
      <c r="L2595" t="s">
        <v>5917</v>
      </c>
      <c r="N2595" t="s">
        <v>1597</v>
      </c>
      <c r="O2595" t="s">
        <v>4867</v>
      </c>
      <c r="Q2595" t="s">
        <v>1597</v>
      </c>
      <c r="R2595" t="s">
        <v>1598</v>
      </c>
      <c r="T2595" t="s">
        <v>5</v>
      </c>
      <c r="U2595" s="3" t="str">
        <f>+VLOOKUP(Sites_per_tag[[#This Row],[Activity_tag]],Parameter!$A$24:$B$32,2,0)</f>
        <v>MAM</v>
      </c>
      <c r="W2595">
        <v>45.524650000000001</v>
      </c>
      <c r="X2595">
        <v>-24.116150000000001</v>
      </c>
    </row>
    <row r="2596" spans="1:24" x14ac:dyDescent="0.35">
      <c r="A2596" s="3" t="str">
        <f t="shared" si="40"/>
        <v>MG52518251057001MAM</v>
      </c>
      <c r="B2596" t="s">
        <v>6211</v>
      </c>
      <c r="C2596">
        <f>+VLOOKUP(Sites_per_tag[[#This Row],[Field_office]],Parameter!$A$3:$B$11,2,0)</f>
        <v>6</v>
      </c>
      <c r="E2596" t="s">
        <v>5646</v>
      </c>
      <c r="F2596" t="s">
        <v>5647</v>
      </c>
      <c r="H2596" t="str">
        <f ca="1">PROPER(Sites_per_tag[[#This Row],[Adm2Name]])</f>
        <v>Bekily</v>
      </c>
      <c r="I2596" t="s">
        <v>5683</v>
      </c>
      <c r="K2596" t="s">
        <v>1976</v>
      </c>
      <c r="L2596" t="s">
        <v>5917</v>
      </c>
      <c r="N2596" t="s">
        <v>1980</v>
      </c>
      <c r="O2596" t="s">
        <v>4868</v>
      </c>
      <c r="Q2596" t="s">
        <v>1980</v>
      </c>
      <c r="R2596" t="s">
        <v>1981</v>
      </c>
      <c r="T2596" t="s">
        <v>5</v>
      </c>
      <c r="U2596" s="3" t="str">
        <f>+VLOOKUP(Sites_per_tag[[#This Row],[Activity_tag]],Parameter!$A$24:$B$32,2,0)</f>
        <v>MAM</v>
      </c>
      <c r="W2596">
        <v>45.674570000000003</v>
      </c>
      <c r="X2596">
        <v>-24.18055</v>
      </c>
    </row>
    <row r="2597" spans="1:24" x14ac:dyDescent="0.35">
      <c r="A2597" s="3" t="str">
        <f t="shared" si="40"/>
        <v>MG52518251077001MAM</v>
      </c>
      <c r="B2597" t="s">
        <v>6211</v>
      </c>
      <c r="C2597">
        <f>+VLOOKUP(Sites_per_tag[[#This Row],[Field_office]],Parameter!$A$3:$B$11,2,0)</f>
        <v>6</v>
      </c>
      <c r="E2597" t="s">
        <v>5646</v>
      </c>
      <c r="F2597" t="s">
        <v>5647</v>
      </c>
      <c r="H2597" t="str">
        <f ca="1">PROPER(Sites_per_tag[[#This Row],[Adm2Name]])</f>
        <v>Ambovombe-Androy</v>
      </c>
      <c r="I2597" t="s">
        <v>5655</v>
      </c>
      <c r="K2597" t="s">
        <v>719</v>
      </c>
      <c r="L2597" t="s">
        <v>5787</v>
      </c>
      <c r="N2597" t="s">
        <v>60</v>
      </c>
      <c r="O2597" t="s">
        <v>4542</v>
      </c>
      <c r="Q2597" t="s">
        <v>60</v>
      </c>
      <c r="R2597" t="s">
        <v>61</v>
      </c>
      <c r="T2597" t="s">
        <v>5</v>
      </c>
      <c r="U2597" s="3" t="str">
        <f>+VLOOKUP(Sites_per_tag[[#This Row],[Activity_tag]],Parameter!$A$24:$B$32,2,0)</f>
        <v>MAM</v>
      </c>
      <c r="W2597">
        <v>45.660919999999997</v>
      </c>
      <c r="X2597">
        <v>-24.750630000000001</v>
      </c>
    </row>
    <row r="2598" spans="1:24" x14ac:dyDescent="0.35">
      <c r="A2598" s="3" t="str">
        <f t="shared" si="40"/>
        <v>MG52518251078001MAM</v>
      </c>
      <c r="B2598" t="s">
        <v>6211</v>
      </c>
      <c r="C2598">
        <f>+VLOOKUP(Sites_per_tag[[#This Row],[Field_office]],Parameter!$A$3:$B$11,2,0)</f>
        <v>6</v>
      </c>
      <c r="E2598" t="s">
        <v>5646</v>
      </c>
      <c r="F2598" t="s">
        <v>5647</v>
      </c>
      <c r="H2598" t="str">
        <f ca="1">PROPER(Sites_per_tag[[#This Row],[Adm2Name]])</f>
        <v>Ambovombe-Androy</v>
      </c>
      <c r="I2598" t="s">
        <v>5655</v>
      </c>
      <c r="K2598" t="s">
        <v>719</v>
      </c>
      <c r="L2598" t="s">
        <v>5787</v>
      </c>
      <c r="N2598" t="s">
        <v>486</v>
      </c>
      <c r="O2598" t="s">
        <v>4543</v>
      </c>
      <c r="Q2598" t="s">
        <v>486</v>
      </c>
      <c r="R2598" t="s">
        <v>487</v>
      </c>
      <c r="T2598" t="s">
        <v>5</v>
      </c>
      <c r="U2598" s="3" t="str">
        <f>+VLOOKUP(Sites_per_tag[[#This Row],[Activity_tag]],Parameter!$A$24:$B$32,2,0)</f>
        <v>MAM</v>
      </c>
      <c r="W2598">
        <v>45.569270000000003</v>
      </c>
      <c r="X2598">
        <v>-24.54327</v>
      </c>
    </row>
    <row r="2599" spans="1:24" x14ac:dyDescent="0.35">
      <c r="A2599" s="3" t="str">
        <f t="shared" si="40"/>
        <v>MG52518251079001MAM</v>
      </c>
      <c r="B2599" t="s">
        <v>6211</v>
      </c>
      <c r="C2599">
        <f>+VLOOKUP(Sites_per_tag[[#This Row],[Field_office]],Parameter!$A$3:$B$11,2,0)</f>
        <v>6</v>
      </c>
      <c r="E2599" t="s">
        <v>5646</v>
      </c>
      <c r="F2599" t="s">
        <v>5647</v>
      </c>
      <c r="H2599" t="str">
        <f ca="1">PROPER(Sites_per_tag[[#This Row],[Adm2Name]])</f>
        <v>Ambovombe-Androy</v>
      </c>
      <c r="I2599" t="s">
        <v>5655</v>
      </c>
      <c r="K2599" t="s">
        <v>719</v>
      </c>
      <c r="L2599" t="s">
        <v>5787</v>
      </c>
      <c r="N2599" t="s">
        <v>723</v>
      </c>
      <c r="O2599" t="s">
        <v>4544</v>
      </c>
      <c r="Q2599" t="s">
        <v>723</v>
      </c>
      <c r="R2599" t="s">
        <v>724</v>
      </c>
      <c r="T2599" t="s">
        <v>5</v>
      </c>
      <c r="U2599" s="3" t="str">
        <f>+VLOOKUP(Sites_per_tag[[#This Row],[Activity_tag]],Parameter!$A$24:$B$32,2,0)</f>
        <v>MAM</v>
      </c>
      <c r="W2599">
        <v>45.598849999999999</v>
      </c>
      <c r="X2599">
        <v>-24.66713</v>
      </c>
    </row>
    <row r="2600" spans="1:24" x14ac:dyDescent="0.35">
      <c r="A2600" s="3" t="str">
        <f t="shared" si="40"/>
        <v>MG52518251080001MAM</v>
      </c>
      <c r="B2600" t="s">
        <v>6211</v>
      </c>
      <c r="C2600">
        <f>+VLOOKUP(Sites_per_tag[[#This Row],[Field_office]],Parameter!$A$3:$B$11,2,0)</f>
        <v>6</v>
      </c>
      <c r="E2600" t="s">
        <v>5646</v>
      </c>
      <c r="F2600" t="s">
        <v>5647</v>
      </c>
      <c r="H2600" t="str">
        <f ca="1">PROPER(Sites_per_tag[[#This Row],[Adm2Name]])</f>
        <v>Ambovombe-Androy</v>
      </c>
      <c r="I2600" t="s">
        <v>5655</v>
      </c>
      <c r="K2600" t="s">
        <v>719</v>
      </c>
      <c r="L2600" t="s">
        <v>5787</v>
      </c>
      <c r="N2600" t="s">
        <v>725</v>
      </c>
      <c r="O2600" t="s">
        <v>4545</v>
      </c>
      <c r="Q2600" t="s">
        <v>725</v>
      </c>
      <c r="R2600" t="s">
        <v>726</v>
      </c>
      <c r="T2600" t="s">
        <v>5</v>
      </c>
      <c r="U2600" s="3" t="str">
        <f>+VLOOKUP(Sites_per_tag[[#This Row],[Activity_tag]],Parameter!$A$24:$B$32,2,0)</f>
        <v>MAM</v>
      </c>
      <c r="W2600">
        <v>45.565170000000002</v>
      </c>
      <c r="X2600">
        <v>-24.541799999999999</v>
      </c>
    </row>
    <row r="2601" spans="1:24" x14ac:dyDescent="0.35">
      <c r="A2601" s="3" t="str">
        <f t="shared" si="40"/>
        <v>MG52518251081001MAM</v>
      </c>
      <c r="B2601" t="s">
        <v>6211</v>
      </c>
      <c r="C2601">
        <f>+VLOOKUP(Sites_per_tag[[#This Row],[Field_office]],Parameter!$A$3:$B$11,2,0)</f>
        <v>6</v>
      </c>
      <c r="E2601" t="s">
        <v>5646</v>
      </c>
      <c r="F2601" t="s">
        <v>5647</v>
      </c>
      <c r="H2601" t="str">
        <f ca="1">PROPER(Sites_per_tag[[#This Row],[Adm2Name]])</f>
        <v>Ambovombe-Androy</v>
      </c>
      <c r="I2601" t="s">
        <v>5655</v>
      </c>
      <c r="K2601" t="s">
        <v>719</v>
      </c>
      <c r="L2601" t="s">
        <v>5787</v>
      </c>
      <c r="N2601" t="s">
        <v>3926</v>
      </c>
      <c r="O2601" t="s">
        <v>4546</v>
      </c>
      <c r="Q2601" t="s">
        <v>3926</v>
      </c>
      <c r="R2601" t="s">
        <v>3927</v>
      </c>
      <c r="T2601" t="s">
        <v>5</v>
      </c>
      <c r="U2601" s="3" t="str">
        <f>+VLOOKUP(Sites_per_tag[[#This Row],[Activity_tag]],Parameter!$A$24:$B$32,2,0)</f>
        <v>MAM</v>
      </c>
      <c r="W2601">
        <v>45.489519999999999</v>
      </c>
      <c r="X2601">
        <v>-24.746479999999998</v>
      </c>
    </row>
    <row r="2602" spans="1:24" x14ac:dyDescent="0.35">
      <c r="A2602" s="3" t="str">
        <f t="shared" si="40"/>
        <v>MG52518251082001MAM</v>
      </c>
      <c r="B2602" t="s">
        <v>6211</v>
      </c>
      <c r="C2602">
        <f>+VLOOKUP(Sites_per_tag[[#This Row],[Field_office]],Parameter!$A$3:$B$11,2,0)</f>
        <v>6</v>
      </c>
      <c r="E2602" t="s">
        <v>5646</v>
      </c>
      <c r="F2602" t="s">
        <v>5647</v>
      </c>
      <c r="H2602" t="str">
        <f ca="1">PROPER(Sites_per_tag[[#This Row],[Adm2Name]])</f>
        <v>Ambovombe-Androy</v>
      </c>
      <c r="I2602" t="s">
        <v>5655</v>
      </c>
      <c r="K2602" t="s">
        <v>719</v>
      </c>
      <c r="L2602" t="s">
        <v>5787</v>
      </c>
      <c r="N2602" t="s">
        <v>3964</v>
      </c>
      <c r="O2602" t="s">
        <v>4547</v>
      </c>
      <c r="Q2602" t="s">
        <v>3964</v>
      </c>
      <c r="R2602" t="s">
        <v>3965</v>
      </c>
      <c r="T2602" t="s">
        <v>5</v>
      </c>
      <c r="U2602" s="3" t="str">
        <f>+VLOOKUP(Sites_per_tag[[#This Row],[Activity_tag]],Parameter!$A$24:$B$32,2,0)</f>
        <v>MAM</v>
      </c>
      <c r="W2602">
        <v>45.490279999999998</v>
      </c>
      <c r="X2602">
        <v>-24.737850000000002</v>
      </c>
    </row>
    <row r="2603" spans="1:24" x14ac:dyDescent="0.35">
      <c r="A2603" s="3" t="str">
        <f t="shared" si="40"/>
        <v>MG52518251088001STUNT</v>
      </c>
      <c r="B2603" t="s">
        <v>1837</v>
      </c>
      <c r="C2603">
        <f>+VLOOKUP(Sites_per_tag[[#This Row],[Field_office]],Parameter!$A$3:$B$11,2,0)</f>
        <v>1</v>
      </c>
      <c r="E2603" t="s">
        <v>5646</v>
      </c>
      <c r="F2603" t="s">
        <v>5647</v>
      </c>
      <c r="H2603" t="str">
        <f ca="1">PROPER(Sites_per_tag[[#This Row],[Adm2Name]])</f>
        <v>Bekily</v>
      </c>
      <c r="I2603" t="s">
        <v>5683</v>
      </c>
      <c r="K2603" t="s">
        <v>1976</v>
      </c>
      <c r="L2603" t="s">
        <v>5917</v>
      </c>
      <c r="N2603" t="s">
        <v>599</v>
      </c>
      <c r="O2603" t="s">
        <v>4099</v>
      </c>
      <c r="Q2603" t="s">
        <v>601</v>
      </c>
      <c r="R2603" t="s">
        <v>602</v>
      </c>
      <c r="T2603" t="s">
        <v>50</v>
      </c>
      <c r="U2603" s="3" t="str">
        <f>+VLOOKUP(Sites_per_tag[[#This Row],[Activity_tag]],Parameter!$A$24:$B$32,2,0)</f>
        <v>STUNT</v>
      </c>
      <c r="V2603" t="s">
        <v>6554</v>
      </c>
      <c r="W2603">
        <v>45.662320000000001</v>
      </c>
      <c r="X2603">
        <v>-24.0884</v>
      </c>
    </row>
    <row r="2604" spans="1:24" x14ac:dyDescent="0.35">
      <c r="A2604" s="3" t="str">
        <f t="shared" si="40"/>
        <v>MG52518251089001MAM</v>
      </c>
      <c r="B2604" t="s">
        <v>6267</v>
      </c>
      <c r="C2604">
        <f>+VLOOKUP(Sites_per_tag[[#This Row],[Field_office]],Parameter!$A$3:$B$11,2,0)</f>
        <v>9</v>
      </c>
      <c r="E2604" t="s">
        <v>5650</v>
      </c>
      <c r="F2604" t="s">
        <v>5654</v>
      </c>
      <c r="H2604" t="str">
        <f ca="1">PROPER(Sites_per_tag[[#This Row],[Adm2Name]])</f>
        <v>Ampanihy Ouest</v>
      </c>
      <c r="I2604" t="s">
        <v>5660</v>
      </c>
      <c r="K2604" t="s">
        <v>5783</v>
      </c>
      <c r="L2604" t="s">
        <v>5784</v>
      </c>
      <c r="N2604" t="s">
        <v>590</v>
      </c>
      <c r="O2604" t="s">
        <v>4530</v>
      </c>
      <c r="Q2604" t="s">
        <v>590</v>
      </c>
      <c r="R2604" t="s">
        <v>591</v>
      </c>
      <c r="T2604" t="s">
        <v>5</v>
      </c>
      <c r="U2604" s="3" t="str">
        <f>+VLOOKUP(Sites_per_tag[[#This Row],[Activity_tag]],Parameter!$A$24:$B$32,2,0)</f>
        <v>MAM</v>
      </c>
      <c r="W2604">
        <v>44.917900000000003</v>
      </c>
      <c r="X2604">
        <v>-23.99755</v>
      </c>
    </row>
    <row r="2605" spans="1:24" x14ac:dyDescent="0.35">
      <c r="A2605" s="3" t="str">
        <f t="shared" si="40"/>
        <v>MG52518251090001STUNT</v>
      </c>
      <c r="B2605" t="s">
        <v>6267</v>
      </c>
      <c r="C2605">
        <f>+VLOOKUP(Sites_per_tag[[#This Row],[Field_office]],Parameter!$A$3:$B$11,2,0)</f>
        <v>9</v>
      </c>
      <c r="E2605" t="s">
        <v>5650</v>
      </c>
      <c r="F2605" t="s">
        <v>5654</v>
      </c>
      <c r="H2605" t="str">
        <f ca="1">PROPER(Sites_per_tag[[#This Row],[Adm2Name]])</f>
        <v>Ampanihy Ouest</v>
      </c>
      <c r="I2605" t="s">
        <v>5660</v>
      </c>
      <c r="K2605" t="s">
        <v>5783</v>
      </c>
      <c r="L2605" t="s">
        <v>5784</v>
      </c>
      <c r="N2605" t="s">
        <v>607</v>
      </c>
      <c r="O2605" t="s">
        <v>4100</v>
      </c>
      <c r="Q2605" t="s">
        <v>607</v>
      </c>
      <c r="R2605" t="s">
        <v>609</v>
      </c>
      <c r="T2605" t="s">
        <v>50</v>
      </c>
      <c r="U2605" s="3" t="str">
        <f>+VLOOKUP(Sites_per_tag[[#This Row],[Activity_tag]],Parameter!$A$24:$B$32,2,0)</f>
        <v>STUNT</v>
      </c>
      <c r="V2605" t="s">
        <v>6555</v>
      </c>
      <c r="W2605">
        <v>44.95778</v>
      </c>
      <c r="X2605">
        <v>-23.992249999999999</v>
      </c>
    </row>
    <row r="2606" spans="1:24" x14ac:dyDescent="0.35">
      <c r="A2606" s="3" t="str">
        <f t="shared" si="40"/>
        <v>MG52518251091001MAM</v>
      </c>
      <c r="B2606" t="s">
        <v>6267</v>
      </c>
      <c r="C2606">
        <f>+VLOOKUP(Sites_per_tag[[#This Row],[Field_office]],Parameter!$A$3:$B$11,2,0)</f>
        <v>9</v>
      </c>
      <c r="E2606" t="s">
        <v>5650</v>
      </c>
      <c r="F2606" t="s">
        <v>5654</v>
      </c>
      <c r="H2606" t="str">
        <f ca="1">PROPER(Sites_per_tag[[#This Row],[Adm2Name]])</f>
        <v>Ampanihy Ouest</v>
      </c>
      <c r="I2606" t="s">
        <v>5660</v>
      </c>
      <c r="K2606" t="s">
        <v>5783</v>
      </c>
      <c r="L2606" t="s">
        <v>5784</v>
      </c>
      <c r="N2606" t="s">
        <v>730</v>
      </c>
      <c r="O2606" t="s">
        <v>4531</v>
      </c>
      <c r="Q2606" t="s">
        <v>730</v>
      </c>
      <c r="R2606" t="s">
        <v>732</v>
      </c>
      <c r="T2606" t="s">
        <v>5</v>
      </c>
      <c r="U2606" s="3" t="str">
        <f>+VLOOKUP(Sites_per_tag[[#This Row],[Activity_tag]],Parameter!$A$24:$B$32,2,0)</f>
        <v>MAM</v>
      </c>
      <c r="W2606">
        <v>44.954700000000003</v>
      </c>
      <c r="X2606">
        <v>-23.970020000000002</v>
      </c>
    </row>
    <row r="2607" spans="1:24" x14ac:dyDescent="0.35">
      <c r="A2607" s="3" t="str">
        <f t="shared" si="40"/>
        <v>MG52518251092001MAM</v>
      </c>
      <c r="B2607" t="s">
        <v>6267</v>
      </c>
      <c r="C2607">
        <f>+VLOOKUP(Sites_per_tag[[#This Row],[Field_office]],Parameter!$A$3:$B$11,2,0)</f>
        <v>9</v>
      </c>
      <c r="E2607" t="s">
        <v>5650</v>
      </c>
      <c r="F2607" t="s">
        <v>5654</v>
      </c>
      <c r="H2607" t="str">
        <f ca="1">PROPER(Sites_per_tag[[#This Row],[Adm2Name]])</f>
        <v>Ampanihy Ouest</v>
      </c>
      <c r="I2607" t="s">
        <v>5660</v>
      </c>
      <c r="K2607" t="s">
        <v>5783</v>
      </c>
      <c r="L2607" t="s">
        <v>5784</v>
      </c>
      <c r="N2607" t="s">
        <v>1426</v>
      </c>
      <c r="O2607" t="s">
        <v>4532</v>
      </c>
      <c r="Q2607" t="s">
        <v>1426</v>
      </c>
      <c r="R2607" t="s">
        <v>1427</v>
      </c>
      <c r="T2607" t="s">
        <v>5</v>
      </c>
      <c r="U2607" s="3" t="str">
        <f>+VLOOKUP(Sites_per_tag[[#This Row],[Activity_tag]],Parameter!$A$24:$B$32,2,0)</f>
        <v>MAM</v>
      </c>
      <c r="W2607">
        <v>44.95778</v>
      </c>
      <c r="X2607">
        <v>-23.992249999999999</v>
      </c>
    </row>
    <row r="2608" spans="1:24" x14ac:dyDescent="0.35">
      <c r="A2608" s="3" t="str">
        <f t="shared" si="40"/>
        <v>MG52518252005001MAM</v>
      </c>
      <c r="B2608" t="s">
        <v>6211</v>
      </c>
      <c r="C2608">
        <f>+VLOOKUP(Sites_per_tag[[#This Row],[Field_office]],Parameter!$A$3:$B$11,2,0)</f>
        <v>6</v>
      </c>
      <c r="E2608" t="s">
        <v>5646</v>
      </c>
      <c r="F2608" t="s">
        <v>5647</v>
      </c>
      <c r="H2608" t="str">
        <f ca="1">PROPER(Sites_per_tag[[#This Row],[Adm2Name]])</f>
        <v>Bekily</v>
      </c>
      <c r="I2608" t="s">
        <v>5683</v>
      </c>
      <c r="K2608" t="s">
        <v>6343</v>
      </c>
      <c r="L2608" t="s">
        <v>6165</v>
      </c>
      <c r="N2608" t="s">
        <v>3907</v>
      </c>
      <c r="O2608" t="s">
        <v>5576</v>
      </c>
      <c r="Q2608" t="s">
        <v>3907</v>
      </c>
      <c r="R2608" t="s">
        <v>3908</v>
      </c>
      <c r="T2608" t="s">
        <v>5</v>
      </c>
      <c r="U2608" s="3" t="str">
        <f>+VLOOKUP(Sites_per_tag[[#This Row],[Activity_tag]],Parameter!$A$24:$B$32,2,0)</f>
        <v>MAM</v>
      </c>
      <c r="W2608">
        <v>45.5047</v>
      </c>
      <c r="X2608">
        <v>-24.0046</v>
      </c>
    </row>
    <row r="2609" spans="1:24" x14ac:dyDescent="0.35">
      <c r="A2609" s="3" t="str">
        <f t="shared" si="40"/>
        <v>MG52518252006001MAM</v>
      </c>
      <c r="B2609" t="s">
        <v>6211</v>
      </c>
      <c r="C2609">
        <f>+VLOOKUP(Sites_per_tag[[#This Row],[Field_office]],Parameter!$A$3:$B$11,2,0)</f>
        <v>6</v>
      </c>
      <c r="E2609" t="s">
        <v>5646</v>
      </c>
      <c r="F2609" t="s">
        <v>5647</v>
      </c>
      <c r="H2609" t="str">
        <f ca="1">PROPER(Sites_per_tag[[#This Row],[Adm2Name]])</f>
        <v>Bekily</v>
      </c>
      <c r="I2609" t="s">
        <v>5683</v>
      </c>
      <c r="K2609" t="s">
        <v>6343</v>
      </c>
      <c r="L2609" t="s">
        <v>6165</v>
      </c>
      <c r="N2609" t="s">
        <v>2760</v>
      </c>
      <c r="O2609" t="s">
        <v>5577</v>
      </c>
      <c r="Q2609" t="s">
        <v>2760</v>
      </c>
      <c r="R2609" t="s">
        <v>2761</v>
      </c>
      <c r="T2609" t="s">
        <v>5</v>
      </c>
      <c r="U2609" s="3" t="str">
        <f>+VLOOKUP(Sites_per_tag[[#This Row],[Activity_tag]],Parameter!$A$24:$B$32,2,0)</f>
        <v>MAM</v>
      </c>
      <c r="W2609">
        <v>45.516249999999999</v>
      </c>
      <c r="X2609">
        <v>-24.02347</v>
      </c>
    </row>
    <row r="2610" spans="1:24" x14ac:dyDescent="0.35">
      <c r="A2610" s="3" t="str">
        <f t="shared" si="40"/>
        <v>MG52518252056001MAM</v>
      </c>
      <c r="B2610" t="s">
        <v>6211</v>
      </c>
      <c r="C2610">
        <f>+VLOOKUP(Sites_per_tag[[#This Row],[Field_office]],Parameter!$A$3:$B$11,2,0)</f>
        <v>6</v>
      </c>
      <c r="E2610" t="s">
        <v>5646</v>
      </c>
      <c r="F2610" t="s">
        <v>5647</v>
      </c>
      <c r="H2610" t="str">
        <f ca="1">PROPER(Sites_per_tag[[#This Row],[Adm2Name]])</f>
        <v>Bekily</v>
      </c>
      <c r="I2610" t="s">
        <v>5683</v>
      </c>
      <c r="K2610" t="s">
        <v>6343</v>
      </c>
      <c r="L2610" t="s">
        <v>6165</v>
      </c>
      <c r="N2610" t="s">
        <v>2045</v>
      </c>
      <c r="O2610" t="s">
        <v>5578</v>
      </c>
      <c r="Q2610" t="s">
        <v>2045</v>
      </c>
      <c r="R2610" t="s">
        <v>2046</v>
      </c>
      <c r="T2610" t="s">
        <v>5</v>
      </c>
      <c r="U2610" s="3" t="str">
        <f>+VLOOKUP(Sites_per_tag[[#This Row],[Activity_tag]],Parameter!$A$24:$B$32,2,0)</f>
        <v>MAM</v>
      </c>
      <c r="W2610">
        <v>45.576700000000002</v>
      </c>
      <c r="X2610">
        <v>-24.068200000000001</v>
      </c>
    </row>
    <row r="2611" spans="1:24" x14ac:dyDescent="0.35">
      <c r="A2611" s="3" t="str">
        <f t="shared" si="40"/>
        <v>MG52518252057001MAM</v>
      </c>
      <c r="B2611" t="s">
        <v>6211</v>
      </c>
      <c r="C2611">
        <f>+VLOOKUP(Sites_per_tag[[#This Row],[Field_office]],Parameter!$A$3:$B$11,2,0)</f>
        <v>6</v>
      </c>
      <c r="E2611" t="s">
        <v>5646</v>
      </c>
      <c r="F2611" t="s">
        <v>5647</v>
      </c>
      <c r="H2611" t="str">
        <f ca="1">PROPER(Sites_per_tag[[#This Row],[Adm2Name]])</f>
        <v>Bekily</v>
      </c>
      <c r="I2611" t="s">
        <v>5683</v>
      </c>
      <c r="K2611" t="s">
        <v>6343</v>
      </c>
      <c r="L2611" t="s">
        <v>6165</v>
      </c>
      <c r="N2611" t="s">
        <v>3481</v>
      </c>
      <c r="O2611" t="s">
        <v>5579</v>
      </c>
      <c r="Q2611" t="s">
        <v>3481</v>
      </c>
      <c r="R2611" t="s">
        <v>3482</v>
      </c>
      <c r="T2611" t="s">
        <v>5</v>
      </c>
      <c r="U2611" s="3" t="str">
        <f>+VLOOKUP(Sites_per_tag[[#This Row],[Activity_tag]],Parameter!$A$24:$B$32,2,0)</f>
        <v>MAM</v>
      </c>
      <c r="W2611">
        <v>45.446750000000002</v>
      </c>
      <c r="X2611">
        <v>-24.083929999999999</v>
      </c>
    </row>
    <row r="2612" spans="1:24" x14ac:dyDescent="0.35">
      <c r="A2612" s="3" t="str">
        <f t="shared" si="40"/>
        <v>MG52518252058001MAM</v>
      </c>
      <c r="B2612" t="s">
        <v>6211</v>
      </c>
      <c r="C2612">
        <f>+VLOOKUP(Sites_per_tag[[#This Row],[Field_office]],Parameter!$A$3:$B$11,2,0)</f>
        <v>6</v>
      </c>
      <c r="E2612" t="s">
        <v>5646</v>
      </c>
      <c r="F2612" t="s">
        <v>5647</v>
      </c>
      <c r="H2612" t="str">
        <f ca="1">PROPER(Sites_per_tag[[#This Row],[Adm2Name]])</f>
        <v>Bekily</v>
      </c>
      <c r="I2612" t="s">
        <v>5683</v>
      </c>
      <c r="K2612" t="s">
        <v>6343</v>
      </c>
      <c r="L2612" t="s">
        <v>6165</v>
      </c>
      <c r="N2612" t="s">
        <v>3905</v>
      </c>
      <c r="O2612" t="s">
        <v>5580</v>
      </c>
      <c r="Q2612" t="s">
        <v>3905</v>
      </c>
      <c r="R2612" t="s">
        <v>3906</v>
      </c>
      <c r="T2612" t="s">
        <v>5</v>
      </c>
      <c r="U2612" s="3" t="str">
        <f>+VLOOKUP(Sites_per_tag[[#This Row],[Activity_tag]],Parameter!$A$24:$B$32,2,0)</f>
        <v>MAM</v>
      </c>
      <c r="W2612">
        <v>45.467329999999997</v>
      </c>
      <c r="X2612">
        <v>-24.05132</v>
      </c>
    </row>
    <row r="2613" spans="1:24" x14ac:dyDescent="0.35">
      <c r="A2613" s="3" t="str">
        <f t="shared" si="40"/>
        <v>MG52518270001001MAM</v>
      </c>
      <c r="B2613" t="s">
        <v>6211</v>
      </c>
      <c r="C2613">
        <f>+VLOOKUP(Sites_per_tag[[#This Row],[Field_office]],Parameter!$A$3:$B$11,2,0)</f>
        <v>6</v>
      </c>
      <c r="E2613" t="s">
        <v>5646</v>
      </c>
      <c r="F2613" t="s">
        <v>5647</v>
      </c>
      <c r="H2613" t="str">
        <f ca="1">PROPER(Sites_per_tag[[#This Row],[Adm2Name]])</f>
        <v>Bekily</v>
      </c>
      <c r="I2613" t="s">
        <v>5683</v>
      </c>
      <c r="K2613" t="s">
        <v>6337</v>
      </c>
      <c r="L2613" t="s">
        <v>5933</v>
      </c>
      <c r="N2613" t="s">
        <v>2197</v>
      </c>
      <c r="O2613" t="s">
        <v>4903</v>
      </c>
      <c r="Q2613" t="s">
        <v>2197</v>
      </c>
      <c r="R2613" t="s">
        <v>2198</v>
      </c>
      <c r="T2613" t="s">
        <v>5</v>
      </c>
      <c r="U2613" s="3" t="str">
        <f>+VLOOKUP(Sites_per_tag[[#This Row],[Activity_tag]],Parameter!$A$24:$B$32,2,0)</f>
        <v>MAM</v>
      </c>
      <c r="W2613">
        <v>45.418280000000003</v>
      </c>
      <c r="X2613">
        <v>-24.612220000000001</v>
      </c>
    </row>
    <row r="2614" spans="1:24" x14ac:dyDescent="0.35">
      <c r="A2614" s="3" t="str">
        <f t="shared" si="40"/>
        <v>MG52518270005001MAM</v>
      </c>
      <c r="B2614" t="s">
        <v>6211</v>
      </c>
      <c r="C2614">
        <f>+VLOOKUP(Sites_per_tag[[#This Row],[Field_office]],Parameter!$A$3:$B$11,2,0)</f>
        <v>6</v>
      </c>
      <c r="E2614" t="s">
        <v>5646</v>
      </c>
      <c r="F2614" t="s">
        <v>5647</v>
      </c>
      <c r="H2614" t="str">
        <f ca="1">PROPER(Sites_per_tag[[#This Row],[Adm2Name]])</f>
        <v>Bekily</v>
      </c>
      <c r="I2614" t="s">
        <v>5683</v>
      </c>
      <c r="K2614" t="s">
        <v>6337</v>
      </c>
      <c r="L2614" t="s">
        <v>5933</v>
      </c>
      <c r="N2614" t="s">
        <v>3816</v>
      </c>
      <c r="O2614" t="s">
        <v>4904</v>
      </c>
      <c r="Q2614" t="s">
        <v>3816</v>
      </c>
      <c r="R2614" t="s">
        <v>3817</v>
      </c>
      <c r="T2614" t="s">
        <v>5</v>
      </c>
      <c r="U2614" s="3" t="str">
        <f>+VLOOKUP(Sites_per_tag[[#This Row],[Activity_tag]],Parameter!$A$24:$B$32,2,0)</f>
        <v>MAM</v>
      </c>
      <c r="W2614">
        <v>45.41187</v>
      </c>
      <c r="X2614">
        <v>-24.574449999999999</v>
      </c>
    </row>
    <row r="2615" spans="1:24" x14ac:dyDescent="0.35">
      <c r="A2615" s="3" t="str">
        <f t="shared" si="40"/>
        <v>MG52518270006001MAM</v>
      </c>
      <c r="B2615" t="s">
        <v>6211</v>
      </c>
      <c r="C2615">
        <f>+VLOOKUP(Sites_per_tag[[#This Row],[Field_office]],Parameter!$A$3:$B$11,2,0)</f>
        <v>6</v>
      </c>
      <c r="E2615" t="s">
        <v>5646</v>
      </c>
      <c r="F2615" t="s">
        <v>5647</v>
      </c>
      <c r="H2615" t="str">
        <f ca="1">PROPER(Sites_per_tag[[#This Row],[Adm2Name]])</f>
        <v>Bekily</v>
      </c>
      <c r="I2615" t="s">
        <v>5683</v>
      </c>
      <c r="K2615" t="s">
        <v>6337</v>
      </c>
      <c r="L2615" t="s">
        <v>5933</v>
      </c>
      <c r="N2615" t="s">
        <v>744</v>
      </c>
      <c r="O2615" t="s">
        <v>4905</v>
      </c>
      <c r="Q2615" t="s">
        <v>744</v>
      </c>
      <c r="R2615" t="s">
        <v>745</v>
      </c>
      <c r="T2615" t="s">
        <v>5</v>
      </c>
      <c r="U2615" s="3" t="str">
        <f>+VLOOKUP(Sites_per_tag[[#This Row],[Activity_tag]],Parameter!$A$24:$B$32,2,0)</f>
        <v>MAM</v>
      </c>
      <c r="W2615">
        <v>45.360419999999998</v>
      </c>
      <c r="X2615">
        <v>-24.648530000000001</v>
      </c>
    </row>
    <row r="2616" spans="1:24" x14ac:dyDescent="0.35">
      <c r="A2616" s="3" t="str">
        <f t="shared" si="40"/>
        <v>MG52518270007001MAM</v>
      </c>
      <c r="B2616" t="s">
        <v>6211</v>
      </c>
      <c r="C2616">
        <f>+VLOOKUP(Sites_per_tag[[#This Row],[Field_office]],Parameter!$A$3:$B$11,2,0)</f>
        <v>6</v>
      </c>
      <c r="E2616" t="s">
        <v>5646</v>
      </c>
      <c r="F2616" t="s">
        <v>5647</v>
      </c>
      <c r="H2616" t="str">
        <f ca="1">PROPER(Sites_per_tag[[#This Row],[Adm2Name]])</f>
        <v>Bekily</v>
      </c>
      <c r="I2616" t="s">
        <v>5683</v>
      </c>
      <c r="K2616" t="s">
        <v>6337</v>
      </c>
      <c r="L2616" t="s">
        <v>5933</v>
      </c>
      <c r="N2616" t="s">
        <v>1590</v>
      </c>
      <c r="O2616" t="s">
        <v>4906</v>
      </c>
      <c r="Q2616" t="s">
        <v>1590</v>
      </c>
      <c r="R2616" t="s">
        <v>1591</v>
      </c>
      <c r="T2616" t="s">
        <v>5</v>
      </c>
      <c r="U2616" s="3" t="str">
        <f>+VLOOKUP(Sites_per_tag[[#This Row],[Activity_tag]],Parameter!$A$24:$B$32,2,0)</f>
        <v>MAM</v>
      </c>
      <c r="W2616">
        <v>45.429119999999998</v>
      </c>
      <c r="X2616">
        <v>-24.688400000000001</v>
      </c>
    </row>
    <row r="2617" spans="1:24" x14ac:dyDescent="0.35">
      <c r="A2617" s="3" t="str">
        <f t="shared" si="40"/>
        <v>MG52518270009001MAM</v>
      </c>
      <c r="B2617" t="s">
        <v>6211</v>
      </c>
      <c r="C2617">
        <f>+VLOOKUP(Sites_per_tag[[#This Row],[Field_office]],Parameter!$A$3:$B$11,2,0)</f>
        <v>6</v>
      </c>
      <c r="E2617" t="s">
        <v>5646</v>
      </c>
      <c r="F2617" t="s">
        <v>5647</v>
      </c>
      <c r="H2617" t="str">
        <f ca="1">PROPER(Sites_per_tag[[#This Row],[Adm2Name]])</f>
        <v>Bekily</v>
      </c>
      <c r="I2617" t="s">
        <v>5683</v>
      </c>
      <c r="K2617" t="s">
        <v>6337</v>
      </c>
      <c r="L2617" t="s">
        <v>5933</v>
      </c>
      <c r="N2617" t="s">
        <v>3858</v>
      </c>
      <c r="O2617" t="s">
        <v>4907</v>
      </c>
      <c r="Q2617" t="s">
        <v>3858</v>
      </c>
      <c r="R2617" t="s">
        <v>3859</v>
      </c>
      <c r="T2617" t="s">
        <v>5</v>
      </c>
      <c r="U2617" s="3" t="str">
        <f>+VLOOKUP(Sites_per_tag[[#This Row],[Activity_tag]],Parameter!$A$24:$B$32,2,0)</f>
        <v>MAM</v>
      </c>
      <c r="W2617">
        <v>45.441650000000003</v>
      </c>
      <c r="X2617">
        <v>-24.531099999999999</v>
      </c>
    </row>
    <row r="2618" spans="1:24" x14ac:dyDescent="0.35">
      <c r="A2618" s="3" t="str">
        <f t="shared" si="40"/>
        <v>MG52518270054001MAM</v>
      </c>
      <c r="B2618" t="s">
        <v>6211</v>
      </c>
      <c r="C2618">
        <f>+VLOOKUP(Sites_per_tag[[#This Row],[Field_office]],Parameter!$A$3:$B$11,2,0)</f>
        <v>6</v>
      </c>
      <c r="E2618" t="s">
        <v>5646</v>
      </c>
      <c r="F2618" t="s">
        <v>5647</v>
      </c>
      <c r="H2618" t="str">
        <f ca="1">PROPER(Sites_per_tag[[#This Row],[Adm2Name]])</f>
        <v>Bekily</v>
      </c>
      <c r="I2618" t="s">
        <v>5683</v>
      </c>
      <c r="K2618" t="s">
        <v>6337</v>
      </c>
      <c r="L2618" t="s">
        <v>5933</v>
      </c>
      <c r="N2618" t="s">
        <v>694</v>
      </c>
      <c r="O2618" t="s">
        <v>4908</v>
      </c>
      <c r="Q2618" t="s">
        <v>694</v>
      </c>
      <c r="R2618" t="s">
        <v>695</v>
      </c>
      <c r="T2618" t="s">
        <v>5</v>
      </c>
      <c r="U2618" s="3" t="str">
        <f>+VLOOKUP(Sites_per_tag[[#This Row],[Activity_tag]],Parameter!$A$24:$B$32,2,0)</f>
        <v>MAM</v>
      </c>
      <c r="W2618">
        <v>45.406728000000001</v>
      </c>
      <c r="X2618">
        <v>-24.643894</v>
      </c>
    </row>
    <row r="2619" spans="1:24" x14ac:dyDescent="0.35">
      <c r="A2619" s="3" t="str">
        <f t="shared" si="40"/>
        <v>MG52518290001001STUNT</v>
      </c>
      <c r="B2619" t="s">
        <v>1837</v>
      </c>
      <c r="C2619">
        <f>+VLOOKUP(Sites_per_tag[[#This Row],[Field_office]],Parameter!$A$3:$B$11,2,0)</f>
        <v>1</v>
      </c>
      <c r="E2619" t="s">
        <v>5646</v>
      </c>
      <c r="F2619" t="s">
        <v>5647</v>
      </c>
      <c r="H2619" t="str">
        <f ca="1">PROPER(Sites_per_tag[[#This Row],[Adm2Name]])</f>
        <v>Bekily</v>
      </c>
      <c r="I2619" t="s">
        <v>5683</v>
      </c>
      <c r="K2619" t="s">
        <v>1004</v>
      </c>
      <c r="L2619" t="s">
        <v>5812</v>
      </c>
      <c r="N2619" t="s">
        <v>1004</v>
      </c>
      <c r="O2619" t="s">
        <v>4101</v>
      </c>
      <c r="Q2619" t="s">
        <v>1006</v>
      </c>
      <c r="R2619" t="s">
        <v>1007</v>
      </c>
      <c r="T2619" t="s">
        <v>50</v>
      </c>
      <c r="U2619" s="3" t="str">
        <f>+VLOOKUP(Sites_per_tag[[#This Row],[Activity_tag]],Parameter!$A$24:$B$32,2,0)</f>
        <v>STUNT</v>
      </c>
      <c r="V2619" t="s">
        <v>6556</v>
      </c>
      <c r="W2619">
        <v>45.621130000000001</v>
      </c>
      <c r="X2619">
        <v>-24.352399999999999</v>
      </c>
    </row>
    <row r="2620" spans="1:24" x14ac:dyDescent="0.35">
      <c r="A2620" s="3" t="str">
        <f t="shared" si="40"/>
        <v>MG52518290001002MAM</v>
      </c>
      <c r="B2620" t="s">
        <v>6211</v>
      </c>
      <c r="C2620">
        <f>+VLOOKUP(Sites_per_tag[[#This Row],[Field_office]],Parameter!$A$3:$B$11,2,0)</f>
        <v>6</v>
      </c>
      <c r="E2620" t="s">
        <v>5646</v>
      </c>
      <c r="F2620" t="s">
        <v>5647</v>
      </c>
      <c r="H2620" t="str">
        <f ca="1">PROPER(Sites_per_tag[[#This Row],[Adm2Name]])</f>
        <v>Bekily</v>
      </c>
      <c r="I2620" t="s">
        <v>5683</v>
      </c>
      <c r="K2620" t="s">
        <v>1004</v>
      </c>
      <c r="L2620" t="s">
        <v>5812</v>
      </c>
      <c r="N2620" t="s">
        <v>1004</v>
      </c>
      <c r="O2620" t="s">
        <v>4101</v>
      </c>
      <c r="Q2620" t="s">
        <v>1004</v>
      </c>
      <c r="R2620" t="s">
        <v>1005</v>
      </c>
      <c r="T2620" t="s">
        <v>5</v>
      </c>
      <c r="U2620" s="3" t="str">
        <f>+VLOOKUP(Sites_per_tag[[#This Row],[Activity_tag]],Parameter!$A$24:$B$32,2,0)</f>
        <v>MAM</v>
      </c>
      <c r="W2620">
        <v>45.621130000000001</v>
      </c>
      <c r="X2620">
        <v>-24.352399999999999</v>
      </c>
    </row>
    <row r="2621" spans="1:24" x14ac:dyDescent="0.35">
      <c r="A2621" s="3" t="str">
        <f t="shared" si="40"/>
        <v>MG52518290006001STUNT</v>
      </c>
      <c r="B2621" t="s">
        <v>1837</v>
      </c>
      <c r="C2621">
        <f>+VLOOKUP(Sites_per_tag[[#This Row],[Field_office]],Parameter!$A$3:$B$11,2,0)</f>
        <v>1</v>
      </c>
      <c r="E2621" t="s">
        <v>5646</v>
      </c>
      <c r="F2621" t="s">
        <v>5647</v>
      </c>
      <c r="H2621" t="str">
        <f ca="1">PROPER(Sites_per_tag[[#This Row],[Adm2Name]])</f>
        <v>Bekily</v>
      </c>
      <c r="I2621" t="s">
        <v>5683</v>
      </c>
      <c r="K2621" t="s">
        <v>1004</v>
      </c>
      <c r="L2621" t="s">
        <v>5812</v>
      </c>
      <c r="N2621" t="s">
        <v>4103</v>
      </c>
      <c r="O2621" t="s">
        <v>4102</v>
      </c>
      <c r="Q2621" t="s">
        <v>1639</v>
      </c>
      <c r="R2621" t="s">
        <v>1640</v>
      </c>
      <c r="T2621" t="s">
        <v>50</v>
      </c>
      <c r="U2621" s="3" t="str">
        <f>+VLOOKUP(Sites_per_tag[[#This Row],[Activity_tag]],Parameter!$A$24:$B$32,2,0)</f>
        <v>STUNT</v>
      </c>
      <c r="V2621" t="s">
        <v>6557</v>
      </c>
      <c r="W2621">
        <v>45.694929999999999</v>
      </c>
      <c r="X2621">
        <v>-24.352699999999999</v>
      </c>
    </row>
    <row r="2622" spans="1:24" x14ac:dyDescent="0.35">
      <c r="A2622" s="3" t="str">
        <f t="shared" si="40"/>
        <v>MG52518290007001STUNT</v>
      </c>
      <c r="B2622" t="s">
        <v>1837</v>
      </c>
      <c r="C2622">
        <f>+VLOOKUP(Sites_per_tag[[#This Row],[Field_office]],Parameter!$A$3:$B$11,2,0)</f>
        <v>1</v>
      </c>
      <c r="E2622" t="s">
        <v>5646</v>
      </c>
      <c r="F2622" t="s">
        <v>5647</v>
      </c>
      <c r="H2622" t="str">
        <f ca="1">PROPER(Sites_per_tag[[#This Row],[Adm2Name]])</f>
        <v>Bekily</v>
      </c>
      <c r="I2622" t="s">
        <v>5683</v>
      </c>
      <c r="K2622" t="s">
        <v>1004</v>
      </c>
      <c r="L2622" t="s">
        <v>5812</v>
      </c>
      <c r="N2622" t="s">
        <v>3938</v>
      </c>
      <c r="O2622" t="s">
        <v>4104</v>
      </c>
      <c r="Q2622" t="s">
        <v>3938</v>
      </c>
      <c r="R2622" t="s">
        <v>3939</v>
      </c>
      <c r="T2622" t="s">
        <v>50</v>
      </c>
      <c r="U2622" s="3" t="str">
        <f>+VLOOKUP(Sites_per_tag[[#This Row],[Activity_tag]],Parameter!$A$24:$B$32,2,0)</f>
        <v>STUNT</v>
      </c>
      <c r="V2622" t="s">
        <v>6558</v>
      </c>
      <c r="W2622">
        <v>45.592799999999997</v>
      </c>
      <c r="X2622">
        <v>-24.393969999999999</v>
      </c>
    </row>
    <row r="2623" spans="1:24" x14ac:dyDescent="0.35">
      <c r="A2623" s="3" t="str">
        <f t="shared" si="40"/>
        <v>MG52518290009001STUNT</v>
      </c>
      <c r="B2623" t="s">
        <v>1837</v>
      </c>
      <c r="C2623">
        <f>+VLOOKUP(Sites_per_tag[[#This Row],[Field_office]],Parameter!$A$3:$B$11,2,0)</f>
        <v>1</v>
      </c>
      <c r="E2623" t="s">
        <v>5646</v>
      </c>
      <c r="F2623" t="s">
        <v>5647</v>
      </c>
      <c r="H2623" t="str">
        <f ca="1">PROPER(Sites_per_tag[[#This Row],[Adm2Name]])</f>
        <v>Bekily</v>
      </c>
      <c r="I2623" t="s">
        <v>5683</v>
      </c>
      <c r="K2623" t="s">
        <v>1004</v>
      </c>
      <c r="L2623" t="s">
        <v>5812</v>
      </c>
      <c r="N2623" t="s">
        <v>3171</v>
      </c>
      <c r="O2623" t="s">
        <v>4105</v>
      </c>
      <c r="Q2623" t="s">
        <v>3171</v>
      </c>
      <c r="R2623" t="s">
        <v>3172</v>
      </c>
      <c r="T2623" t="s">
        <v>50</v>
      </c>
      <c r="U2623" s="3" t="str">
        <f>+VLOOKUP(Sites_per_tag[[#This Row],[Activity_tag]],Parameter!$A$24:$B$32,2,0)</f>
        <v>STUNT</v>
      </c>
      <c r="V2623" t="s">
        <v>6559</v>
      </c>
      <c r="W2623">
        <v>45.589669999999998</v>
      </c>
      <c r="X2623">
        <v>-24.419979999999999</v>
      </c>
    </row>
    <row r="2624" spans="1:24" x14ac:dyDescent="0.35">
      <c r="A2624" s="3" t="str">
        <f t="shared" si="40"/>
        <v>MG52518290065001MAM</v>
      </c>
      <c r="B2624" t="s">
        <v>6211</v>
      </c>
      <c r="C2624">
        <f>+VLOOKUP(Sites_per_tag[[#This Row],[Field_office]],Parameter!$A$3:$B$11,2,0)</f>
        <v>6</v>
      </c>
      <c r="E2624" t="s">
        <v>5646</v>
      </c>
      <c r="F2624" t="s">
        <v>5647</v>
      </c>
      <c r="H2624" t="str">
        <f ca="1">PROPER(Sites_per_tag[[#This Row],[Adm2Name]])</f>
        <v>Bekily</v>
      </c>
      <c r="I2624" t="s">
        <v>5683</v>
      </c>
      <c r="K2624" t="s">
        <v>1004</v>
      </c>
      <c r="L2624" t="s">
        <v>5812</v>
      </c>
      <c r="N2624" t="s">
        <v>1230</v>
      </c>
      <c r="O2624" t="s">
        <v>4591</v>
      </c>
      <c r="Q2624" t="s">
        <v>1230</v>
      </c>
      <c r="R2624" t="s">
        <v>1231</v>
      </c>
      <c r="T2624" t="s">
        <v>5</v>
      </c>
      <c r="U2624" s="3" t="str">
        <f>+VLOOKUP(Sites_per_tag[[#This Row],[Activity_tag]],Parameter!$A$24:$B$32,2,0)</f>
        <v>MAM</v>
      </c>
      <c r="W2624">
        <v>45.619979999999998</v>
      </c>
      <c r="X2624">
        <v>-24.296530000000001</v>
      </c>
    </row>
    <row r="2625" spans="1:24" x14ac:dyDescent="0.35">
      <c r="A2625" s="3" t="str">
        <f t="shared" si="40"/>
        <v>MG53515010003001STUNT</v>
      </c>
      <c r="B2625" t="s">
        <v>6193</v>
      </c>
      <c r="C2625">
        <f>+VLOOKUP(Sites_per_tag[[#This Row],[Field_office]],Parameter!$A$3:$B$11,2,0)</f>
        <v>4</v>
      </c>
      <c r="E2625" t="s">
        <v>5678</v>
      </c>
      <c r="F2625" t="s">
        <v>5679</v>
      </c>
      <c r="H2625" t="str">
        <f ca="1">PROPER(Sites_per_tag[[#This Row],[Adm2Name]])</f>
        <v>Mananjary</v>
      </c>
      <c r="I2625" t="s">
        <v>5705</v>
      </c>
      <c r="K2625" t="s">
        <v>2768</v>
      </c>
      <c r="L2625" t="s">
        <v>6007</v>
      </c>
      <c r="N2625" t="s">
        <v>322</v>
      </c>
      <c r="O2625" t="s">
        <v>323</v>
      </c>
      <c r="Q2625" t="s">
        <v>322</v>
      </c>
      <c r="R2625" t="s">
        <v>324</v>
      </c>
      <c r="T2625" t="s">
        <v>50</v>
      </c>
      <c r="U2625" s="3" t="str">
        <f>+VLOOKUP(Sites_per_tag[[#This Row],[Activity_tag]],Parameter!$A$24:$B$32,2,0)</f>
        <v>STUNT</v>
      </c>
      <c r="V2625" t="s">
        <v>6560</v>
      </c>
      <c r="W2625">
        <v>48.310951000000003</v>
      </c>
      <c r="X2625">
        <v>-21.135121999999999</v>
      </c>
    </row>
    <row r="2626" spans="1:24" x14ac:dyDescent="0.35">
      <c r="A2626" s="3" t="str">
        <f t="shared" si="40"/>
        <v>MG53515010003PREV</v>
      </c>
      <c r="B2626" t="s">
        <v>6193</v>
      </c>
      <c r="C2626">
        <f>+VLOOKUP(Sites_per_tag[[#This Row],[Field_office]],Parameter!$A$3:$B$11,2,0)</f>
        <v>4</v>
      </c>
      <c r="E2626" t="s">
        <v>5678</v>
      </c>
      <c r="F2626" t="s">
        <v>5679</v>
      </c>
      <c r="H2626" t="str">
        <f ca="1">PROPER(Sites_per_tag[[#This Row],[Adm2Name]])</f>
        <v>Mananjary</v>
      </c>
      <c r="I2626" t="s">
        <v>5705</v>
      </c>
      <c r="K2626" t="s">
        <v>2768</v>
      </c>
      <c r="L2626" t="s">
        <v>6007</v>
      </c>
      <c r="N2626" t="s">
        <v>322</v>
      </c>
      <c r="Q2626" t="s">
        <v>322</v>
      </c>
      <c r="R2626" t="s">
        <v>323</v>
      </c>
      <c r="T2626" t="s">
        <v>32</v>
      </c>
      <c r="U2626" s="3" t="str">
        <f>+VLOOKUP(Sites_per_tag[[#This Row],[Activity_tag]],Parameter!$A$24:$B$32,2,0)</f>
        <v>PREV</v>
      </c>
      <c r="W2626">
        <v>48.296911999999999</v>
      </c>
      <c r="X2626">
        <v>-21.139520999999998</v>
      </c>
    </row>
    <row r="2627" spans="1:24" x14ac:dyDescent="0.35">
      <c r="A2627" s="3" t="str">
        <f t="shared" ref="A2627:A2690" si="41">+R2627&amp;U2627</f>
        <v>MG53515033003001MAM</v>
      </c>
      <c r="B2627" t="s">
        <v>6211</v>
      </c>
      <c r="C2627">
        <f>+VLOOKUP(Sites_per_tag[[#This Row],[Field_office]],Parameter!$A$3:$B$11,2,0)</f>
        <v>6</v>
      </c>
      <c r="E2627" t="s">
        <v>5646</v>
      </c>
      <c r="F2627" t="s">
        <v>5647</v>
      </c>
      <c r="H2627" t="str">
        <f ca="1">PROPER(Sites_per_tag[[#This Row],[Adm2Name]])</f>
        <v>Ambovombe-Androy</v>
      </c>
      <c r="I2627" t="s">
        <v>5655</v>
      </c>
      <c r="K2627" t="s">
        <v>5682</v>
      </c>
      <c r="L2627" t="s">
        <v>6099</v>
      </c>
      <c r="N2627" t="s">
        <v>610</v>
      </c>
      <c r="O2627" t="s">
        <v>5448</v>
      </c>
      <c r="Q2627" t="s">
        <v>610</v>
      </c>
      <c r="R2627" t="s">
        <v>611</v>
      </c>
      <c r="T2627" t="s">
        <v>5</v>
      </c>
      <c r="U2627" s="3" t="str">
        <f>+VLOOKUP(Sites_per_tag[[#This Row],[Activity_tag]],Parameter!$A$24:$B$32,2,0)</f>
        <v>MAM</v>
      </c>
      <c r="W2627">
        <v>45.830874999999999</v>
      </c>
      <c r="X2627">
        <v>-25.155370999999999</v>
      </c>
    </row>
    <row r="2628" spans="1:24" x14ac:dyDescent="0.35">
      <c r="A2628" s="3" t="str">
        <f t="shared" si="41"/>
        <v>MG53515033004001MAM</v>
      </c>
      <c r="B2628" t="s">
        <v>6193</v>
      </c>
      <c r="C2628">
        <f>+VLOOKUP(Sites_per_tag[[#This Row],[Field_office]],Parameter!$A$3:$B$11,2,0)</f>
        <v>4</v>
      </c>
      <c r="E2628" t="s">
        <v>5658</v>
      </c>
      <c r="F2628" t="s">
        <v>5659</v>
      </c>
      <c r="H2628" t="str">
        <f ca="1">PROPER(Sites_per_tag[[#This Row],[Adm2Name]])</f>
        <v>Vangaindrano</v>
      </c>
      <c r="I2628" t="s">
        <v>5734</v>
      </c>
      <c r="K2628" t="s">
        <v>550</v>
      </c>
      <c r="L2628" t="s">
        <v>5767</v>
      </c>
      <c r="N2628" t="s">
        <v>1136</v>
      </c>
      <c r="O2628" t="s">
        <v>4507</v>
      </c>
      <c r="Q2628" t="s">
        <v>1136</v>
      </c>
      <c r="R2628" t="s">
        <v>1137</v>
      </c>
      <c r="T2628" t="s">
        <v>5</v>
      </c>
      <c r="U2628" s="3" t="str">
        <f>+VLOOKUP(Sites_per_tag[[#This Row],[Activity_tag]],Parameter!$A$24:$B$32,2,0)</f>
        <v>MAM</v>
      </c>
      <c r="W2628">
        <v>47.45552</v>
      </c>
      <c r="X2628">
        <v>-23.374424999999999</v>
      </c>
    </row>
    <row r="2629" spans="1:24" x14ac:dyDescent="0.35">
      <c r="A2629" s="3" t="str">
        <f t="shared" si="41"/>
        <v>MG53515090005001MAM</v>
      </c>
      <c r="B2629" t="s">
        <v>6211</v>
      </c>
      <c r="C2629">
        <f>+VLOOKUP(Sites_per_tag[[#This Row],[Field_office]],Parameter!$A$3:$B$11,2,0)</f>
        <v>6</v>
      </c>
      <c r="E2629" t="s">
        <v>5646</v>
      </c>
      <c r="F2629" t="s">
        <v>5647</v>
      </c>
      <c r="H2629" t="str">
        <f ca="1">PROPER(Sites_per_tag[[#This Row],[Adm2Name]])</f>
        <v>Ambovombe-Androy</v>
      </c>
      <c r="I2629" t="s">
        <v>5655</v>
      </c>
      <c r="K2629" t="s">
        <v>6211</v>
      </c>
      <c r="L2629" t="s">
        <v>5756</v>
      </c>
      <c r="N2629" t="s">
        <v>4454</v>
      </c>
      <c r="O2629" t="s">
        <v>4453</v>
      </c>
      <c r="Q2629" t="s">
        <v>1119</v>
      </c>
      <c r="R2629" t="s">
        <v>1120</v>
      </c>
      <c r="T2629" t="s">
        <v>5</v>
      </c>
      <c r="U2629" s="3" t="str">
        <f>+VLOOKUP(Sites_per_tag[[#This Row],[Activity_tag]],Parameter!$A$24:$B$32,2,0)</f>
        <v>MAM</v>
      </c>
      <c r="W2629">
        <v>46.091203999999998</v>
      </c>
      <c r="X2629">
        <v>-25.095255999999999</v>
      </c>
    </row>
    <row r="2630" spans="1:24" x14ac:dyDescent="0.35">
      <c r="A2630" s="3" t="str">
        <f t="shared" si="41"/>
        <v>MG53515090078001MAM</v>
      </c>
      <c r="B2630" t="s">
        <v>6211</v>
      </c>
      <c r="C2630">
        <f>+VLOOKUP(Sites_per_tag[[#This Row],[Field_office]],Parameter!$A$3:$B$11,2,0)</f>
        <v>6</v>
      </c>
      <c r="E2630" t="s">
        <v>5646</v>
      </c>
      <c r="F2630" t="s">
        <v>5647</v>
      </c>
      <c r="H2630" t="str">
        <f ca="1">PROPER(Sites_per_tag[[#This Row],[Adm2Name]])</f>
        <v>Ambovombe-Androy</v>
      </c>
      <c r="I2630" t="s">
        <v>5655</v>
      </c>
      <c r="K2630" t="s">
        <v>6211</v>
      </c>
      <c r="L2630" t="s">
        <v>5756</v>
      </c>
      <c r="N2630" t="s">
        <v>406</v>
      </c>
      <c r="O2630" t="s">
        <v>4455</v>
      </c>
      <c r="Q2630" t="s">
        <v>406</v>
      </c>
      <c r="R2630" t="s">
        <v>407</v>
      </c>
      <c r="T2630" t="s">
        <v>5</v>
      </c>
      <c r="U2630" s="3" t="str">
        <f>+VLOOKUP(Sites_per_tag[[#This Row],[Activity_tag]],Parameter!$A$24:$B$32,2,0)</f>
        <v>MAM</v>
      </c>
      <c r="W2630">
        <v>46.141399999999997</v>
      </c>
      <c r="X2630">
        <v>-25.17672</v>
      </c>
    </row>
    <row r="2631" spans="1:24" x14ac:dyDescent="0.35">
      <c r="A2631" s="3" t="str">
        <f t="shared" si="41"/>
        <v>MG53515090079001MAM</v>
      </c>
      <c r="B2631" t="s">
        <v>6211</v>
      </c>
      <c r="C2631">
        <f>+VLOOKUP(Sites_per_tag[[#This Row],[Field_office]],Parameter!$A$3:$B$11,2,0)</f>
        <v>6</v>
      </c>
      <c r="E2631" t="s">
        <v>5646</v>
      </c>
      <c r="F2631" t="s">
        <v>5647</v>
      </c>
      <c r="H2631" t="str">
        <f ca="1">PROPER(Sites_per_tag[[#This Row],[Adm2Name]])</f>
        <v>Ambovombe-Androy</v>
      </c>
      <c r="I2631" t="s">
        <v>5655</v>
      </c>
      <c r="K2631" t="s">
        <v>6211</v>
      </c>
      <c r="L2631" t="s">
        <v>5756</v>
      </c>
      <c r="N2631" t="s">
        <v>448</v>
      </c>
      <c r="O2631" t="s">
        <v>4456</v>
      </c>
      <c r="Q2631" t="s">
        <v>448</v>
      </c>
      <c r="R2631" t="s">
        <v>449</v>
      </c>
      <c r="T2631" t="s">
        <v>5</v>
      </c>
      <c r="U2631" s="3" t="str">
        <f>+VLOOKUP(Sites_per_tag[[#This Row],[Activity_tag]],Parameter!$A$24:$B$32,2,0)</f>
        <v>MAM</v>
      </c>
      <c r="W2631">
        <v>46.022649999999999</v>
      </c>
      <c r="X2631">
        <v>-25.268920000000001</v>
      </c>
    </row>
    <row r="2632" spans="1:24" x14ac:dyDescent="0.35">
      <c r="A2632" s="3" t="str">
        <f t="shared" si="41"/>
        <v>MG53515090080001MAM</v>
      </c>
      <c r="B2632" t="s">
        <v>6211</v>
      </c>
      <c r="C2632">
        <f>+VLOOKUP(Sites_per_tag[[#This Row],[Field_office]],Parameter!$A$3:$B$11,2,0)</f>
        <v>6</v>
      </c>
      <c r="E2632" t="s">
        <v>5646</v>
      </c>
      <c r="F2632" t="s">
        <v>5647</v>
      </c>
      <c r="H2632" t="str">
        <f ca="1">PROPER(Sites_per_tag[[#This Row],[Adm2Name]])</f>
        <v>Ambovombe-Androy</v>
      </c>
      <c r="I2632" t="s">
        <v>5655</v>
      </c>
      <c r="K2632" t="s">
        <v>6211</v>
      </c>
      <c r="L2632" t="s">
        <v>5756</v>
      </c>
      <c r="N2632" t="s">
        <v>1022</v>
      </c>
      <c r="O2632" t="s">
        <v>4457</v>
      </c>
      <c r="Q2632" t="s">
        <v>1022</v>
      </c>
      <c r="R2632" t="s">
        <v>1023</v>
      </c>
      <c r="T2632" t="s">
        <v>5</v>
      </c>
      <c r="U2632" s="3" t="str">
        <f>+VLOOKUP(Sites_per_tag[[#This Row],[Activity_tag]],Parameter!$A$24:$B$32,2,0)</f>
        <v>MAM</v>
      </c>
      <c r="W2632">
        <v>45.986080000000001</v>
      </c>
      <c r="X2632">
        <v>-24.826250000000002</v>
      </c>
    </row>
    <row r="2633" spans="1:24" x14ac:dyDescent="0.35">
      <c r="A2633" s="3" t="str">
        <f t="shared" si="41"/>
        <v>MG53515090081001MAM</v>
      </c>
      <c r="B2633" t="s">
        <v>6211</v>
      </c>
      <c r="C2633">
        <f>+VLOOKUP(Sites_per_tag[[#This Row],[Field_office]],Parameter!$A$3:$B$11,2,0)</f>
        <v>6</v>
      </c>
      <c r="E2633" t="s">
        <v>5646</v>
      </c>
      <c r="F2633" t="s">
        <v>5647</v>
      </c>
      <c r="H2633" t="str">
        <f ca="1">PROPER(Sites_per_tag[[#This Row],[Adm2Name]])</f>
        <v>Ambovombe-Androy</v>
      </c>
      <c r="I2633" t="s">
        <v>5655</v>
      </c>
      <c r="K2633" t="s">
        <v>6211</v>
      </c>
      <c r="L2633" t="s">
        <v>5756</v>
      </c>
      <c r="N2633" t="s">
        <v>1107</v>
      </c>
      <c r="O2633" t="s">
        <v>4458</v>
      </c>
      <c r="Q2633" t="s">
        <v>1107</v>
      </c>
      <c r="R2633" t="s">
        <v>1108</v>
      </c>
      <c r="T2633" t="s">
        <v>5</v>
      </c>
      <c r="U2633" s="3" t="str">
        <f>+VLOOKUP(Sites_per_tag[[#This Row],[Activity_tag]],Parameter!$A$24:$B$32,2,0)</f>
        <v>MAM</v>
      </c>
      <c r="W2633">
        <v>46.0762</v>
      </c>
      <c r="X2633">
        <v>-25.227699999999999</v>
      </c>
    </row>
    <row r="2634" spans="1:24" x14ac:dyDescent="0.35">
      <c r="A2634" s="3" t="str">
        <f t="shared" si="41"/>
        <v>MG53515090082001MAM</v>
      </c>
      <c r="B2634" t="s">
        <v>6211</v>
      </c>
      <c r="C2634">
        <f>+VLOOKUP(Sites_per_tag[[#This Row],[Field_office]],Parameter!$A$3:$B$11,2,0)</f>
        <v>6</v>
      </c>
      <c r="E2634" t="s">
        <v>5646</v>
      </c>
      <c r="F2634" t="s">
        <v>5647</v>
      </c>
      <c r="H2634" t="str">
        <f ca="1">PROPER(Sites_per_tag[[#This Row],[Adm2Name]])</f>
        <v>Ambovombe-Androy</v>
      </c>
      <c r="I2634" t="s">
        <v>5655</v>
      </c>
      <c r="K2634" t="s">
        <v>6211</v>
      </c>
      <c r="L2634" t="s">
        <v>5756</v>
      </c>
      <c r="N2634" t="s">
        <v>1213</v>
      </c>
      <c r="O2634" t="s">
        <v>4459</v>
      </c>
      <c r="Q2634" t="s">
        <v>1215</v>
      </c>
      <c r="R2634" t="s">
        <v>1216</v>
      </c>
      <c r="T2634" t="s">
        <v>5</v>
      </c>
      <c r="U2634" s="3" t="str">
        <f>+VLOOKUP(Sites_per_tag[[#This Row],[Activity_tag]],Parameter!$A$24:$B$32,2,0)</f>
        <v>MAM</v>
      </c>
      <c r="W2634">
        <v>46.05453</v>
      </c>
      <c r="X2634">
        <v>-25.10773</v>
      </c>
    </row>
    <row r="2635" spans="1:24" x14ac:dyDescent="0.35">
      <c r="A2635" s="3" t="str">
        <f t="shared" si="41"/>
        <v>MG53515090083001MAM</v>
      </c>
      <c r="B2635" t="s">
        <v>6211</v>
      </c>
      <c r="C2635">
        <f>+VLOOKUP(Sites_per_tag[[#This Row],[Field_office]],Parameter!$A$3:$B$11,2,0)</f>
        <v>6</v>
      </c>
      <c r="E2635" t="s">
        <v>5646</v>
      </c>
      <c r="F2635" t="s">
        <v>5647</v>
      </c>
      <c r="H2635" t="str">
        <f ca="1">PROPER(Sites_per_tag[[#This Row],[Adm2Name]])</f>
        <v>Ambovombe-Androy</v>
      </c>
      <c r="I2635" t="s">
        <v>5655</v>
      </c>
      <c r="K2635" t="s">
        <v>6211</v>
      </c>
      <c r="L2635" t="s">
        <v>5756</v>
      </c>
      <c r="N2635" t="s">
        <v>1223</v>
      </c>
      <c r="O2635" t="s">
        <v>4460</v>
      </c>
      <c r="Q2635" t="s">
        <v>1223</v>
      </c>
      <c r="R2635" t="s">
        <v>1224</v>
      </c>
      <c r="T2635" t="s">
        <v>5</v>
      </c>
      <c r="U2635" s="3" t="str">
        <f>+VLOOKUP(Sites_per_tag[[#This Row],[Activity_tag]],Parameter!$A$24:$B$32,2,0)</f>
        <v>MAM</v>
      </c>
      <c r="W2635">
        <v>46.14743</v>
      </c>
      <c r="X2635">
        <v>-25.13588</v>
      </c>
    </row>
    <row r="2636" spans="1:24" x14ac:dyDescent="0.35">
      <c r="A2636" s="3" t="str">
        <f t="shared" si="41"/>
        <v>MG53515090084001MAM</v>
      </c>
      <c r="B2636" t="s">
        <v>6211</v>
      </c>
      <c r="C2636">
        <f>+VLOOKUP(Sites_per_tag[[#This Row],[Field_office]],Parameter!$A$3:$B$11,2,0)</f>
        <v>6</v>
      </c>
      <c r="E2636" t="s">
        <v>5646</v>
      </c>
      <c r="F2636" t="s">
        <v>5647</v>
      </c>
      <c r="H2636" t="str">
        <f ca="1">PROPER(Sites_per_tag[[#This Row],[Adm2Name]])</f>
        <v>Ambovombe-Androy</v>
      </c>
      <c r="I2636" t="s">
        <v>5655</v>
      </c>
      <c r="K2636" t="s">
        <v>6211</v>
      </c>
      <c r="L2636" t="s">
        <v>5756</v>
      </c>
      <c r="N2636" t="s">
        <v>1284</v>
      </c>
      <c r="O2636" t="s">
        <v>4461</v>
      </c>
      <c r="Q2636" t="s">
        <v>1284</v>
      </c>
      <c r="R2636" t="s">
        <v>1285</v>
      </c>
      <c r="T2636" t="s">
        <v>5</v>
      </c>
      <c r="U2636" s="3" t="str">
        <f>+VLOOKUP(Sites_per_tag[[#This Row],[Activity_tag]],Parameter!$A$24:$B$32,2,0)</f>
        <v>MAM</v>
      </c>
      <c r="W2636">
        <v>46.090679999999999</v>
      </c>
      <c r="X2636">
        <v>-25.165430000000001</v>
      </c>
    </row>
    <row r="2637" spans="1:24" x14ac:dyDescent="0.35">
      <c r="A2637" s="3" t="str">
        <f t="shared" si="41"/>
        <v>MG53515090085001MAM</v>
      </c>
      <c r="B2637" t="s">
        <v>6211</v>
      </c>
      <c r="C2637">
        <f>+VLOOKUP(Sites_per_tag[[#This Row],[Field_office]],Parameter!$A$3:$B$11,2,0)</f>
        <v>6</v>
      </c>
      <c r="E2637" t="s">
        <v>5646</v>
      </c>
      <c r="F2637" t="s">
        <v>5647</v>
      </c>
      <c r="H2637" t="str">
        <f ca="1">PROPER(Sites_per_tag[[#This Row],[Adm2Name]])</f>
        <v>Ambovombe-Androy</v>
      </c>
      <c r="I2637" t="s">
        <v>5655</v>
      </c>
      <c r="K2637" t="s">
        <v>6211</v>
      </c>
      <c r="L2637" t="s">
        <v>5756</v>
      </c>
      <c r="N2637" t="s">
        <v>1484</v>
      </c>
      <c r="O2637" t="s">
        <v>4462</v>
      </c>
      <c r="Q2637" t="s">
        <v>1484</v>
      </c>
      <c r="R2637" t="s">
        <v>1485</v>
      </c>
      <c r="T2637" t="s">
        <v>5</v>
      </c>
      <c r="U2637" s="3" t="str">
        <f>+VLOOKUP(Sites_per_tag[[#This Row],[Activity_tag]],Parameter!$A$24:$B$32,2,0)</f>
        <v>MAM</v>
      </c>
      <c r="W2637">
        <v>46.116320000000002</v>
      </c>
      <c r="X2637">
        <v>-25.08738</v>
      </c>
    </row>
    <row r="2638" spans="1:24" x14ac:dyDescent="0.35">
      <c r="A2638" s="3" t="str">
        <f t="shared" si="41"/>
        <v>MG53515090086001MAM</v>
      </c>
      <c r="B2638" t="s">
        <v>6211</v>
      </c>
      <c r="C2638">
        <f>+VLOOKUP(Sites_per_tag[[#This Row],[Field_office]],Parameter!$A$3:$B$11,2,0)</f>
        <v>6</v>
      </c>
      <c r="E2638" t="s">
        <v>5646</v>
      </c>
      <c r="F2638" t="s">
        <v>5647</v>
      </c>
      <c r="H2638" t="str">
        <f ca="1">PROPER(Sites_per_tag[[#This Row],[Adm2Name]])</f>
        <v>Ambovombe-Androy</v>
      </c>
      <c r="I2638" t="s">
        <v>5655</v>
      </c>
      <c r="K2638" t="s">
        <v>6211</v>
      </c>
      <c r="L2638" t="s">
        <v>5756</v>
      </c>
      <c r="N2638" t="s">
        <v>1686</v>
      </c>
      <c r="O2638" t="s">
        <v>4463</v>
      </c>
      <c r="Q2638" t="s">
        <v>1686</v>
      </c>
      <c r="R2638" t="s">
        <v>1687</v>
      </c>
      <c r="T2638" t="s">
        <v>5</v>
      </c>
      <c r="U2638" s="3" t="str">
        <f>+VLOOKUP(Sites_per_tag[[#This Row],[Activity_tag]],Parameter!$A$24:$B$32,2,0)</f>
        <v>MAM</v>
      </c>
      <c r="W2638">
        <v>46.0608</v>
      </c>
      <c r="X2638">
        <v>-25.264949999999999</v>
      </c>
    </row>
    <row r="2639" spans="1:24" x14ac:dyDescent="0.35">
      <c r="A2639" s="3" t="str">
        <f t="shared" si="41"/>
        <v>MG53515090087001MAM</v>
      </c>
      <c r="B2639" t="s">
        <v>6211</v>
      </c>
      <c r="C2639">
        <f>+VLOOKUP(Sites_per_tag[[#This Row],[Field_office]],Parameter!$A$3:$B$11,2,0)</f>
        <v>6</v>
      </c>
      <c r="E2639" t="s">
        <v>5646</v>
      </c>
      <c r="F2639" t="s">
        <v>5647</v>
      </c>
      <c r="H2639" t="str">
        <f ca="1">PROPER(Sites_per_tag[[#This Row],[Adm2Name]])</f>
        <v>Ambovombe-Androy</v>
      </c>
      <c r="I2639" t="s">
        <v>5655</v>
      </c>
      <c r="K2639" t="s">
        <v>6211</v>
      </c>
      <c r="L2639" t="s">
        <v>5756</v>
      </c>
      <c r="N2639" t="s">
        <v>1777</v>
      </c>
      <c r="O2639" t="s">
        <v>4464</v>
      </c>
      <c r="Q2639" t="s">
        <v>1777</v>
      </c>
      <c r="R2639" t="s">
        <v>1778</v>
      </c>
      <c r="T2639" t="s">
        <v>5</v>
      </c>
      <c r="U2639" s="3" t="str">
        <f>+VLOOKUP(Sites_per_tag[[#This Row],[Activity_tag]],Parameter!$A$24:$B$32,2,0)</f>
        <v>MAM</v>
      </c>
      <c r="W2639">
        <v>46.140349999999998</v>
      </c>
      <c r="X2639">
        <v>-25.171849999999999</v>
      </c>
    </row>
    <row r="2640" spans="1:24" x14ac:dyDescent="0.35">
      <c r="A2640" s="3" t="str">
        <f t="shared" si="41"/>
        <v>MG53515090088001MAM</v>
      </c>
      <c r="B2640" t="s">
        <v>6211</v>
      </c>
      <c r="C2640">
        <f>+VLOOKUP(Sites_per_tag[[#This Row],[Field_office]],Parameter!$A$3:$B$11,2,0)</f>
        <v>6</v>
      </c>
      <c r="E2640" t="s">
        <v>5646</v>
      </c>
      <c r="F2640" t="s">
        <v>5647</v>
      </c>
      <c r="H2640" t="str">
        <f ca="1">PROPER(Sites_per_tag[[#This Row],[Adm2Name]])</f>
        <v>Ambovombe-Androy</v>
      </c>
      <c r="I2640" t="s">
        <v>5655</v>
      </c>
      <c r="K2640" t="s">
        <v>6211</v>
      </c>
      <c r="L2640" t="s">
        <v>5756</v>
      </c>
      <c r="N2640" t="s">
        <v>2345</v>
      </c>
      <c r="O2640" t="s">
        <v>4465</v>
      </c>
      <c r="Q2640" t="s">
        <v>2345</v>
      </c>
      <c r="R2640" t="s">
        <v>2346</v>
      </c>
      <c r="T2640" t="s">
        <v>5</v>
      </c>
      <c r="U2640" s="3" t="str">
        <f>+VLOOKUP(Sites_per_tag[[#This Row],[Activity_tag]],Parameter!$A$24:$B$32,2,0)</f>
        <v>MAM</v>
      </c>
      <c r="W2640">
        <v>46.099400000000003</v>
      </c>
      <c r="X2640">
        <v>-25.231030000000001</v>
      </c>
    </row>
    <row r="2641" spans="1:24" x14ac:dyDescent="0.35">
      <c r="A2641" s="3" t="str">
        <f t="shared" si="41"/>
        <v>MG53515090089001MAM</v>
      </c>
      <c r="B2641" t="s">
        <v>6211</v>
      </c>
      <c r="C2641">
        <f>+VLOOKUP(Sites_per_tag[[#This Row],[Field_office]],Parameter!$A$3:$B$11,2,0)</f>
        <v>6</v>
      </c>
      <c r="E2641" t="s">
        <v>5646</v>
      </c>
      <c r="F2641" t="s">
        <v>5647</v>
      </c>
      <c r="H2641" t="str">
        <f ca="1">PROPER(Sites_per_tag[[#This Row],[Adm2Name]])</f>
        <v>Ambovombe-Androy</v>
      </c>
      <c r="I2641" t="s">
        <v>5655</v>
      </c>
      <c r="K2641" t="s">
        <v>6211</v>
      </c>
      <c r="L2641" t="s">
        <v>5756</v>
      </c>
      <c r="N2641" t="s">
        <v>2407</v>
      </c>
      <c r="O2641" t="s">
        <v>4466</v>
      </c>
      <c r="Q2641" t="s">
        <v>2407</v>
      </c>
      <c r="R2641" t="s">
        <v>2408</v>
      </c>
      <c r="T2641" t="s">
        <v>5</v>
      </c>
      <c r="U2641" s="3" t="str">
        <f>+VLOOKUP(Sites_per_tag[[#This Row],[Activity_tag]],Parameter!$A$24:$B$32,2,0)</f>
        <v>MAM</v>
      </c>
      <c r="W2641">
        <v>46.112400000000001</v>
      </c>
      <c r="X2641">
        <v>-25.229649999999999</v>
      </c>
    </row>
    <row r="2642" spans="1:24" x14ac:dyDescent="0.35">
      <c r="A2642" s="3" t="str">
        <f t="shared" si="41"/>
        <v>MG53515090090001MAM</v>
      </c>
      <c r="B2642" t="s">
        <v>6211</v>
      </c>
      <c r="C2642">
        <f>+VLOOKUP(Sites_per_tag[[#This Row],[Field_office]],Parameter!$A$3:$B$11,2,0)</f>
        <v>6</v>
      </c>
      <c r="E2642" t="s">
        <v>5646</v>
      </c>
      <c r="F2642" t="s">
        <v>5647</v>
      </c>
      <c r="H2642" t="str">
        <f ca="1">PROPER(Sites_per_tag[[#This Row],[Adm2Name]])</f>
        <v>Ambovombe-Androy</v>
      </c>
      <c r="I2642" t="s">
        <v>5655</v>
      </c>
      <c r="K2642" t="s">
        <v>6211</v>
      </c>
      <c r="L2642" t="s">
        <v>5756</v>
      </c>
      <c r="N2642" t="s">
        <v>2685</v>
      </c>
      <c r="O2642" t="s">
        <v>4467</v>
      </c>
      <c r="Q2642" t="s">
        <v>2685</v>
      </c>
      <c r="R2642" t="s">
        <v>2686</v>
      </c>
      <c r="T2642" t="s">
        <v>5</v>
      </c>
      <c r="U2642" s="3" t="str">
        <f>+VLOOKUP(Sites_per_tag[[#This Row],[Activity_tag]],Parameter!$A$24:$B$32,2,0)</f>
        <v>MAM</v>
      </c>
      <c r="W2642">
        <v>46.121479999999998</v>
      </c>
      <c r="X2642">
        <v>-25.190799999999999</v>
      </c>
    </row>
    <row r="2643" spans="1:24" x14ac:dyDescent="0.35">
      <c r="A2643" s="3" t="str">
        <f t="shared" si="41"/>
        <v>MG53515090091001MAM</v>
      </c>
      <c r="B2643" t="s">
        <v>6211</v>
      </c>
      <c r="C2643">
        <f>+VLOOKUP(Sites_per_tag[[#This Row],[Field_office]],Parameter!$A$3:$B$11,2,0)</f>
        <v>6</v>
      </c>
      <c r="E2643" t="s">
        <v>5646</v>
      </c>
      <c r="F2643" t="s">
        <v>5647</v>
      </c>
      <c r="H2643" t="str">
        <f ca="1">PROPER(Sites_per_tag[[#This Row],[Adm2Name]])</f>
        <v>Ambovombe-Androy</v>
      </c>
      <c r="I2643" t="s">
        <v>5655</v>
      </c>
      <c r="K2643" t="s">
        <v>6211</v>
      </c>
      <c r="L2643" t="s">
        <v>5756</v>
      </c>
      <c r="N2643" t="s">
        <v>3543</v>
      </c>
      <c r="O2643" t="s">
        <v>4468</v>
      </c>
      <c r="Q2643" t="s">
        <v>3543</v>
      </c>
      <c r="R2643" t="s">
        <v>3544</v>
      </c>
      <c r="T2643" t="s">
        <v>5</v>
      </c>
      <c r="U2643" s="3" t="str">
        <f>+VLOOKUP(Sites_per_tag[[#This Row],[Activity_tag]],Parameter!$A$24:$B$32,2,0)</f>
        <v>MAM</v>
      </c>
      <c r="W2643">
        <v>46.087600000000002</v>
      </c>
      <c r="X2643">
        <v>-25.230170000000001</v>
      </c>
    </row>
    <row r="2644" spans="1:24" x14ac:dyDescent="0.35">
      <c r="A2644" s="3" t="str">
        <f t="shared" si="41"/>
        <v>MG53515090092001MAM</v>
      </c>
      <c r="B2644" t="s">
        <v>6211</v>
      </c>
      <c r="C2644">
        <f>+VLOOKUP(Sites_per_tag[[#This Row],[Field_office]],Parameter!$A$3:$B$11,2,0)</f>
        <v>6</v>
      </c>
      <c r="E2644" t="s">
        <v>5646</v>
      </c>
      <c r="F2644" t="s">
        <v>5647</v>
      </c>
      <c r="H2644" t="str">
        <f ca="1">PROPER(Sites_per_tag[[#This Row],[Adm2Name]])</f>
        <v>Ambovombe-Androy</v>
      </c>
      <c r="I2644" t="s">
        <v>5655</v>
      </c>
      <c r="K2644" t="s">
        <v>6211</v>
      </c>
      <c r="L2644" t="s">
        <v>5756</v>
      </c>
      <c r="N2644" t="s">
        <v>3697</v>
      </c>
      <c r="O2644" t="s">
        <v>4469</v>
      </c>
      <c r="Q2644" t="s">
        <v>3697</v>
      </c>
      <c r="R2644" t="s">
        <v>3698</v>
      </c>
      <c r="T2644" t="s">
        <v>5</v>
      </c>
      <c r="U2644" s="3" t="str">
        <f>+VLOOKUP(Sites_per_tag[[#This Row],[Activity_tag]],Parameter!$A$24:$B$32,2,0)</f>
        <v>MAM</v>
      </c>
      <c r="W2644">
        <v>46.074530000000003</v>
      </c>
      <c r="X2644">
        <v>-25.238029999999998</v>
      </c>
    </row>
    <row r="2645" spans="1:24" x14ac:dyDescent="0.35">
      <c r="A2645" s="3" t="str">
        <f t="shared" si="41"/>
        <v>MG53515090093001MAM</v>
      </c>
      <c r="B2645" t="s">
        <v>6211</v>
      </c>
      <c r="C2645">
        <f>+VLOOKUP(Sites_per_tag[[#This Row],[Field_office]],Parameter!$A$3:$B$11,2,0)</f>
        <v>6</v>
      </c>
      <c r="E2645" t="s">
        <v>5646</v>
      </c>
      <c r="F2645" t="s">
        <v>5647</v>
      </c>
      <c r="H2645" t="str">
        <f ca="1">PROPER(Sites_per_tag[[#This Row],[Adm2Name]])</f>
        <v>Ambovombe-Androy</v>
      </c>
      <c r="I2645" t="s">
        <v>5655</v>
      </c>
      <c r="K2645" t="s">
        <v>6211</v>
      </c>
      <c r="L2645" t="s">
        <v>5756</v>
      </c>
      <c r="N2645" t="s">
        <v>3854</v>
      </c>
      <c r="O2645" t="s">
        <v>4470</v>
      </c>
      <c r="Q2645" t="s">
        <v>3854</v>
      </c>
      <c r="R2645" t="s">
        <v>3855</v>
      </c>
      <c r="T2645" t="s">
        <v>5</v>
      </c>
      <c r="U2645" s="3" t="str">
        <f>+VLOOKUP(Sites_per_tag[[#This Row],[Activity_tag]],Parameter!$A$24:$B$32,2,0)</f>
        <v>MAM</v>
      </c>
      <c r="W2645">
        <v>46.082979999999999</v>
      </c>
      <c r="X2645">
        <v>-25.229469999999999</v>
      </c>
    </row>
    <row r="2646" spans="1:24" x14ac:dyDescent="0.35">
      <c r="A2646" s="3" t="str">
        <f t="shared" si="41"/>
        <v>MG53515111005001MAM</v>
      </c>
      <c r="B2646" t="s">
        <v>6210</v>
      </c>
      <c r="C2646">
        <f>+VLOOKUP(Sites_per_tag[[#This Row],[Field_office]],Parameter!$A$3:$B$11,2,0)</f>
        <v>10</v>
      </c>
      <c r="E2646" t="s">
        <v>5650</v>
      </c>
      <c r="F2646" t="s">
        <v>5654</v>
      </c>
      <c r="H2646" t="str">
        <f ca="1">PROPER(Sites_per_tag[[#This Row],[Adm2Name]])</f>
        <v>Betioky Atsimo</v>
      </c>
      <c r="I2646" t="s">
        <v>5688</v>
      </c>
      <c r="K2646" t="s">
        <v>3691</v>
      </c>
      <c r="L2646" t="s">
        <v>6136</v>
      </c>
      <c r="N2646" t="s">
        <v>2482</v>
      </c>
      <c r="O2646" t="s">
        <v>5485</v>
      </c>
      <c r="Q2646" t="s">
        <v>2482</v>
      </c>
      <c r="R2646" t="s">
        <v>2483</v>
      </c>
      <c r="T2646" t="s">
        <v>5</v>
      </c>
      <c r="U2646" s="3" t="str">
        <f>+VLOOKUP(Sites_per_tag[[#This Row],[Activity_tag]],Parameter!$A$24:$B$32,2,0)</f>
        <v>MAM</v>
      </c>
      <c r="W2646">
        <v>44.349353999999998</v>
      </c>
      <c r="X2646">
        <v>-23.542332999999999</v>
      </c>
    </row>
    <row r="2647" spans="1:24" x14ac:dyDescent="0.35">
      <c r="A2647" s="3" t="str">
        <f t="shared" si="41"/>
        <v>MG53515112004001MAM</v>
      </c>
      <c r="B2647" t="s">
        <v>6211</v>
      </c>
      <c r="C2647">
        <f>+VLOOKUP(Sites_per_tag[[#This Row],[Field_office]],Parameter!$A$3:$B$11,2,0)</f>
        <v>6</v>
      </c>
      <c r="E2647" t="s">
        <v>1448</v>
      </c>
      <c r="F2647" t="s">
        <v>5651</v>
      </c>
      <c r="H2647" t="str">
        <f ca="1">PROPER(Sites_per_tag[[#This Row],[Adm2Name]])</f>
        <v>Amboasary-Atsimo</v>
      </c>
      <c r="I2647" t="s">
        <v>5641</v>
      </c>
      <c r="K2647" t="s">
        <v>5713</v>
      </c>
      <c r="L2647" t="s">
        <v>5714</v>
      </c>
      <c r="N2647" t="s">
        <v>3538</v>
      </c>
      <c r="O2647" t="s">
        <v>4330</v>
      </c>
      <c r="Q2647" t="s">
        <v>3538</v>
      </c>
      <c r="R2647" t="s">
        <v>3539</v>
      </c>
      <c r="T2647" t="s">
        <v>5</v>
      </c>
      <c r="U2647" s="3" t="str">
        <f>+VLOOKUP(Sites_per_tag[[#This Row],[Activity_tag]],Parameter!$A$24:$B$32,2,0)</f>
        <v>MAM</v>
      </c>
      <c r="W2647">
        <v>46.478841000000003</v>
      </c>
      <c r="X2647">
        <v>-25.030813999999999</v>
      </c>
    </row>
    <row r="2648" spans="1:24" x14ac:dyDescent="0.35">
      <c r="A2648" s="3" t="str">
        <f t="shared" si="41"/>
        <v>MG53515115007001MAM</v>
      </c>
      <c r="B2648" t="s">
        <v>6211</v>
      </c>
      <c r="C2648">
        <f>+VLOOKUP(Sites_per_tag[[#This Row],[Field_office]],Parameter!$A$3:$B$11,2,0)</f>
        <v>6</v>
      </c>
      <c r="E2648" t="s">
        <v>5646</v>
      </c>
      <c r="F2648" t="s">
        <v>5647</v>
      </c>
      <c r="H2648" t="str">
        <f ca="1">PROPER(Sites_per_tag[[#This Row],[Adm2Name]])</f>
        <v>Ambovombe-Androy</v>
      </c>
      <c r="I2648" t="s">
        <v>5655</v>
      </c>
      <c r="K2648" t="s">
        <v>6246</v>
      </c>
      <c r="L2648" t="s">
        <v>5974</v>
      </c>
      <c r="N2648" t="s">
        <v>5092</v>
      </c>
      <c r="O2648" t="s">
        <v>5091</v>
      </c>
      <c r="Q2648" t="s">
        <v>765</v>
      </c>
      <c r="R2648" t="s">
        <v>766</v>
      </c>
      <c r="T2648" t="s">
        <v>5</v>
      </c>
      <c r="U2648" s="3" t="str">
        <f>+VLOOKUP(Sites_per_tag[[#This Row],[Activity_tag]],Parameter!$A$24:$B$32,2,0)</f>
        <v>MAM</v>
      </c>
      <c r="W2648">
        <v>46.548520000000003</v>
      </c>
      <c r="X2648">
        <v>-25.171849999999999</v>
      </c>
    </row>
    <row r="2649" spans="1:24" x14ac:dyDescent="0.35">
      <c r="A2649" s="3" t="str">
        <f t="shared" si="41"/>
        <v>MG53515115072001MAM</v>
      </c>
      <c r="B2649" t="s">
        <v>6211</v>
      </c>
      <c r="C2649">
        <f>+VLOOKUP(Sites_per_tag[[#This Row],[Field_office]],Parameter!$A$3:$B$11,2,0)</f>
        <v>6</v>
      </c>
      <c r="E2649" t="s">
        <v>5646</v>
      </c>
      <c r="F2649" t="s">
        <v>5647</v>
      </c>
      <c r="H2649" t="str">
        <f ca="1">PROPER(Sites_per_tag[[#This Row],[Adm2Name]])</f>
        <v>Ambovombe-Androy</v>
      </c>
      <c r="I2649" t="s">
        <v>5655</v>
      </c>
      <c r="K2649" t="s">
        <v>6246</v>
      </c>
      <c r="L2649" t="s">
        <v>5974</v>
      </c>
      <c r="N2649" t="s">
        <v>509</v>
      </c>
      <c r="O2649" t="s">
        <v>5093</v>
      </c>
      <c r="Q2649" t="s">
        <v>509</v>
      </c>
      <c r="R2649" t="s">
        <v>510</v>
      </c>
      <c r="T2649" t="s">
        <v>5</v>
      </c>
      <c r="U2649" s="3" t="str">
        <f>+VLOOKUP(Sites_per_tag[[#This Row],[Activity_tag]],Parameter!$A$24:$B$32,2,0)</f>
        <v>MAM</v>
      </c>
      <c r="W2649">
        <v>45.917769999999997</v>
      </c>
      <c r="X2649">
        <v>-24.542819999999999</v>
      </c>
    </row>
    <row r="2650" spans="1:24" x14ac:dyDescent="0.35">
      <c r="A2650" s="3" t="str">
        <f t="shared" si="41"/>
        <v>MG53515170003001MAM</v>
      </c>
      <c r="B2650" t="s">
        <v>6210</v>
      </c>
      <c r="C2650">
        <f>+VLOOKUP(Sites_per_tag[[#This Row],[Field_office]],Parameter!$A$3:$B$11,2,0)</f>
        <v>10</v>
      </c>
      <c r="E2650" t="s">
        <v>5650</v>
      </c>
      <c r="F2650" t="s">
        <v>5654</v>
      </c>
      <c r="H2650" t="str">
        <f ca="1">PROPER(Sites_per_tag[[#This Row],[Adm2Name]])</f>
        <v>Betioky Atsimo</v>
      </c>
      <c r="I2650" t="s">
        <v>5688</v>
      </c>
      <c r="K2650" t="s">
        <v>2462</v>
      </c>
      <c r="L2650" t="s">
        <v>5955</v>
      </c>
      <c r="N2650" t="s">
        <v>2462</v>
      </c>
      <c r="O2650" t="s">
        <v>4986</v>
      </c>
      <c r="Q2650" t="s">
        <v>2462</v>
      </c>
      <c r="R2650" t="s">
        <v>2463</v>
      </c>
      <c r="T2650" t="s">
        <v>5</v>
      </c>
      <c r="U2650" s="3" t="str">
        <f>+VLOOKUP(Sites_per_tag[[#This Row],[Activity_tag]],Parameter!$A$24:$B$32,2,0)</f>
        <v>MAM</v>
      </c>
      <c r="W2650">
        <v>44.637988</v>
      </c>
      <c r="X2650">
        <v>-23.545138999999999</v>
      </c>
    </row>
    <row r="2651" spans="1:24" x14ac:dyDescent="0.35">
      <c r="A2651" s="3" t="str">
        <f t="shared" si="41"/>
        <v>MG53515253005001MAM</v>
      </c>
      <c r="B2651" t="s">
        <v>6193</v>
      </c>
      <c r="C2651">
        <f>+VLOOKUP(Sites_per_tag[[#This Row],[Field_office]],Parameter!$A$3:$B$11,2,0)</f>
        <v>4</v>
      </c>
      <c r="E2651" t="s">
        <v>5658</v>
      </c>
      <c r="F2651" t="s">
        <v>5659</v>
      </c>
      <c r="H2651" t="str">
        <f ca="1">PROPER(Sites_per_tag[[#This Row],[Adm2Name]])</f>
        <v>Vangaindrano</v>
      </c>
      <c r="I2651" t="s">
        <v>5734</v>
      </c>
      <c r="K2651" t="s">
        <v>3026</v>
      </c>
      <c r="L2651" t="s">
        <v>6043</v>
      </c>
      <c r="N2651" t="s">
        <v>3026</v>
      </c>
      <c r="O2651" t="s">
        <v>5303</v>
      </c>
      <c r="Q2651" t="s">
        <v>3026</v>
      </c>
      <c r="R2651" t="s">
        <v>3027</v>
      </c>
      <c r="T2651" t="s">
        <v>5</v>
      </c>
      <c r="U2651" s="3" t="str">
        <f>+VLOOKUP(Sites_per_tag[[#This Row],[Activity_tag]],Parameter!$A$24:$B$32,2,0)</f>
        <v>MAM</v>
      </c>
      <c r="W2651">
        <v>47.565818</v>
      </c>
      <c r="X2651">
        <v>-23.673607000000001</v>
      </c>
    </row>
    <row r="2652" spans="1:24" x14ac:dyDescent="0.35">
      <c r="A2652" s="3" t="str">
        <f t="shared" si="41"/>
        <v>MG53517050003001MAM</v>
      </c>
      <c r="B2652" t="s">
        <v>6211</v>
      </c>
      <c r="C2652">
        <f>+VLOOKUP(Sites_per_tag[[#This Row],[Field_office]],Parameter!$A$3:$B$11,2,0)</f>
        <v>6</v>
      </c>
      <c r="E2652" t="s">
        <v>1448</v>
      </c>
      <c r="F2652" t="s">
        <v>5651</v>
      </c>
      <c r="H2652" t="str">
        <f ca="1">PROPER(Sites_per_tag[[#This Row],[Adm2Name]])</f>
        <v>Betroka</v>
      </c>
      <c r="I2652" t="s">
        <v>5691</v>
      </c>
      <c r="K2652" t="s">
        <v>4837</v>
      </c>
      <c r="L2652" t="s">
        <v>5913</v>
      </c>
      <c r="N2652" t="s">
        <v>4835</v>
      </c>
      <c r="O2652" t="s">
        <v>4834</v>
      </c>
      <c r="Q2652" t="s">
        <v>277</v>
      </c>
      <c r="R2652" t="s">
        <v>278</v>
      </c>
      <c r="T2652" t="s">
        <v>5</v>
      </c>
      <c r="U2652" s="3" t="str">
        <f>+VLOOKUP(Sites_per_tag[[#This Row],[Activity_tag]],Parameter!$A$24:$B$32,2,0)</f>
        <v>MAM</v>
      </c>
      <c r="W2652">
        <v>46.083120000000001</v>
      </c>
      <c r="X2652">
        <v>-23.26295</v>
      </c>
    </row>
    <row r="2653" spans="1:24" x14ac:dyDescent="0.35">
      <c r="A2653" s="3" t="str">
        <f t="shared" si="41"/>
        <v>MG53517110002001MAM</v>
      </c>
      <c r="B2653" t="s">
        <v>6211</v>
      </c>
      <c r="C2653">
        <f>+VLOOKUP(Sites_per_tag[[#This Row],[Field_office]],Parameter!$A$3:$B$11,2,0)</f>
        <v>6</v>
      </c>
      <c r="E2653" t="s">
        <v>1448</v>
      </c>
      <c r="F2653" t="s">
        <v>5651</v>
      </c>
      <c r="H2653" t="str">
        <f ca="1">PROPER(Sites_per_tag[[#This Row],[Adm2Name]])</f>
        <v>Betroka</v>
      </c>
      <c r="I2653" t="s">
        <v>5691</v>
      </c>
      <c r="K2653" t="s">
        <v>4513</v>
      </c>
      <c r="L2653" t="s">
        <v>5773</v>
      </c>
      <c r="N2653" t="s">
        <v>2924</v>
      </c>
      <c r="O2653" t="s">
        <v>4514</v>
      </c>
      <c r="Q2653" t="s">
        <v>2930</v>
      </c>
      <c r="R2653" t="s">
        <v>2931</v>
      </c>
      <c r="T2653" t="s">
        <v>5</v>
      </c>
      <c r="U2653" s="3" t="str">
        <f>+VLOOKUP(Sites_per_tag[[#This Row],[Activity_tag]],Parameter!$A$24:$B$32,2,0)</f>
        <v>MAM</v>
      </c>
      <c r="W2653">
        <v>45.777493999999997</v>
      </c>
      <c r="X2653">
        <v>-23.325845999999999</v>
      </c>
    </row>
    <row r="2654" spans="1:24" x14ac:dyDescent="0.35">
      <c r="A2654" s="3" t="str">
        <f t="shared" si="41"/>
        <v>MG53517110004001MAM</v>
      </c>
      <c r="B2654" t="s">
        <v>6211</v>
      </c>
      <c r="C2654">
        <f>+VLOOKUP(Sites_per_tag[[#This Row],[Field_office]],Parameter!$A$3:$B$11,2,0)</f>
        <v>6</v>
      </c>
      <c r="E2654" t="s">
        <v>1448</v>
      </c>
      <c r="F2654" t="s">
        <v>5651</v>
      </c>
      <c r="H2654" t="str">
        <f ca="1">PROPER(Sites_per_tag[[#This Row],[Adm2Name]])</f>
        <v>Betroka</v>
      </c>
      <c r="I2654" t="s">
        <v>5691</v>
      </c>
      <c r="K2654" t="s">
        <v>4513</v>
      </c>
      <c r="L2654" t="s">
        <v>5773</v>
      </c>
      <c r="N2654" t="s">
        <v>4516</v>
      </c>
      <c r="O2654" t="s">
        <v>4515</v>
      </c>
      <c r="Q2654" t="s">
        <v>3069</v>
      </c>
      <c r="R2654" t="s">
        <v>3070</v>
      </c>
      <c r="T2654" t="s">
        <v>5</v>
      </c>
      <c r="U2654" s="3" t="str">
        <f>+VLOOKUP(Sites_per_tag[[#This Row],[Activity_tag]],Parameter!$A$24:$B$32,2,0)</f>
        <v>MAM</v>
      </c>
      <c r="W2654">
        <v>45.859529999999999</v>
      </c>
      <c r="X2654">
        <v>-23.29955</v>
      </c>
    </row>
    <row r="2655" spans="1:24" x14ac:dyDescent="0.35">
      <c r="A2655" s="3" t="str">
        <f t="shared" si="41"/>
        <v>MG53517110006001MAM</v>
      </c>
      <c r="B2655" t="s">
        <v>6211</v>
      </c>
      <c r="C2655">
        <f>+VLOOKUP(Sites_per_tag[[#This Row],[Field_office]],Parameter!$A$3:$B$11,2,0)</f>
        <v>6</v>
      </c>
      <c r="E2655" t="s">
        <v>1448</v>
      </c>
      <c r="F2655" t="s">
        <v>5651</v>
      </c>
      <c r="H2655" t="str">
        <f ca="1">PROPER(Sites_per_tag[[#This Row],[Adm2Name]])</f>
        <v>Betroka</v>
      </c>
      <c r="I2655" t="s">
        <v>5691</v>
      </c>
      <c r="K2655" t="s">
        <v>4513</v>
      </c>
      <c r="L2655" t="s">
        <v>5773</v>
      </c>
      <c r="N2655" t="s">
        <v>4518</v>
      </c>
      <c r="O2655" t="s">
        <v>4517</v>
      </c>
      <c r="Q2655" t="s">
        <v>1974</v>
      </c>
      <c r="R2655" t="s">
        <v>1975</v>
      </c>
      <c r="T2655" t="s">
        <v>5</v>
      </c>
      <c r="U2655" s="3" t="str">
        <f>+VLOOKUP(Sites_per_tag[[#This Row],[Activity_tag]],Parameter!$A$24:$B$32,2,0)</f>
        <v>MAM</v>
      </c>
      <c r="W2655">
        <v>45.773800000000001</v>
      </c>
      <c r="X2655">
        <v>-23.290220000000001</v>
      </c>
    </row>
    <row r="2656" spans="1:24" x14ac:dyDescent="0.35">
      <c r="A2656" s="3" t="str">
        <f t="shared" si="41"/>
        <v>MG53517110007001MAM</v>
      </c>
      <c r="B2656" t="s">
        <v>6211</v>
      </c>
      <c r="C2656">
        <f>+VLOOKUP(Sites_per_tag[[#This Row],[Field_office]],Parameter!$A$3:$B$11,2,0)</f>
        <v>6</v>
      </c>
      <c r="E2656" t="s">
        <v>1448</v>
      </c>
      <c r="F2656" t="s">
        <v>5651</v>
      </c>
      <c r="H2656" t="str">
        <f ca="1">PROPER(Sites_per_tag[[#This Row],[Adm2Name]])</f>
        <v>Betroka</v>
      </c>
      <c r="I2656" t="s">
        <v>5691</v>
      </c>
      <c r="K2656" t="s">
        <v>4513</v>
      </c>
      <c r="L2656" t="s">
        <v>5773</v>
      </c>
      <c r="N2656" t="s">
        <v>2527</v>
      </c>
      <c r="O2656" t="s">
        <v>4519</v>
      </c>
      <c r="Q2656" t="s">
        <v>2529</v>
      </c>
      <c r="R2656" t="s">
        <v>2530</v>
      </c>
      <c r="T2656" t="s">
        <v>5</v>
      </c>
      <c r="U2656" s="3" t="str">
        <f>+VLOOKUP(Sites_per_tag[[#This Row],[Activity_tag]],Parameter!$A$24:$B$32,2,0)</f>
        <v>MAM</v>
      </c>
      <c r="W2656">
        <v>45.98818</v>
      </c>
      <c r="X2656">
        <v>-23.891829999999999</v>
      </c>
    </row>
    <row r="2657" spans="1:24" x14ac:dyDescent="0.35">
      <c r="A2657" s="3" t="str">
        <f t="shared" si="41"/>
        <v>MG53517110045001MAM</v>
      </c>
      <c r="B2657" t="s">
        <v>6211</v>
      </c>
      <c r="C2657">
        <f>+VLOOKUP(Sites_per_tag[[#This Row],[Field_office]],Parameter!$A$3:$B$11,2,0)</f>
        <v>6</v>
      </c>
      <c r="E2657" t="s">
        <v>1448</v>
      </c>
      <c r="F2657" t="s">
        <v>5651</v>
      </c>
      <c r="H2657" t="str">
        <f ca="1">PROPER(Sites_per_tag[[#This Row],[Adm2Name]])</f>
        <v>Betroka</v>
      </c>
      <c r="I2657" t="s">
        <v>5691</v>
      </c>
      <c r="K2657" t="s">
        <v>4513</v>
      </c>
      <c r="L2657" t="s">
        <v>5773</v>
      </c>
      <c r="N2657" t="s">
        <v>4521</v>
      </c>
      <c r="O2657" t="s">
        <v>4520</v>
      </c>
      <c r="Q2657" t="s">
        <v>3404</v>
      </c>
      <c r="R2657" t="s">
        <v>3405</v>
      </c>
      <c r="T2657" t="s">
        <v>5</v>
      </c>
      <c r="U2657" s="3" t="str">
        <f>+VLOOKUP(Sites_per_tag[[#This Row],[Activity_tag]],Parameter!$A$24:$B$32,2,0)</f>
        <v>MAM</v>
      </c>
      <c r="W2657">
        <v>45.768554000000002</v>
      </c>
      <c r="X2657">
        <v>-23.232634000000001</v>
      </c>
    </row>
    <row r="2658" spans="1:24" x14ac:dyDescent="0.35">
      <c r="A2658" s="3" t="str">
        <f t="shared" si="41"/>
        <v>MG53517130001001MAM</v>
      </c>
      <c r="B2658" t="s">
        <v>6211</v>
      </c>
      <c r="C2658">
        <f>+VLOOKUP(Sites_per_tag[[#This Row],[Field_office]],Parameter!$A$3:$B$11,2,0)</f>
        <v>6</v>
      </c>
      <c r="E2658" t="s">
        <v>1448</v>
      </c>
      <c r="F2658" t="s">
        <v>5651</v>
      </c>
      <c r="H2658" t="str">
        <f ca="1">PROPER(Sites_per_tag[[#This Row],[Adm2Name]])</f>
        <v>Betroka</v>
      </c>
      <c r="I2658" t="s">
        <v>5691</v>
      </c>
      <c r="K2658" t="s">
        <v>5018</v>
      </c>
      <c r="L2658" t="s">
        <v>5967</v>
      </c>
      <c r="N2658" t="s">
        <v>5018</v>
      </c>
      <c r="O2658" t="s">
        <v>5017</v>
      </c>
      <c r="Q2658" t="s">
        <v>2540</v>
      </c>
      <c r="R2658" t="s">
        <v>2541</v>
      </c>
      <c r="T2658" t="s">
        <v>5</v>
      </c>
      <c r="U2658" s="3" t="str">
        <f>+VLOOKUP(Sites_per_tag[[#This Row],[Activity_tag]],Parameter!$A$24:$B$32,2,0)</f>
        <v>MAM</v>
      </c>
      <c r="W2658">
        <v>45.986049999999999</v>
      </c>
      <c r="X2658">
        <v>-23.536580000000001</v>
      </c>
    </row>
    <row r="2659" spans="1:24" x14ac:dyDescent="0.35">
      <c r="A2659" s="3" t="str">
        <f t="shared" si="41"/>
        <v>MG53517130003001MAM</v>
      </c>
      <c r="B2659" t="s">
        <v>6211</v>
      </c>
      <c r="C2659">
        <f>+VLOOKUP(Sites_per_tag[[#This Row],[Field_office]],Parameter!$A$3:$B$11,2,0)</f>
        <v>6</v>
      </c>
      <c r="E2659" t="s">
        <v>1448</v>
      </c>
      <c r="F2659" t="s">
        <v>5651</v>
      </c>
      <c r="H2659" t="str">
        <f ca="1">PROPER(Sites_per_tag[[#This Row],[Adm2Name]])</f>
        <v>Betroka</v>
      </c>
      <c r="I2659" t="s">
        <v>5691</v>
      </c>
      <c r="K2659" t="s">
        <v>5018</v>
      </c>
      <c r="L2659" t="s">
        <v>5967</v>
      </c>
      <c r="N2659" t="s">
        <v>5020</v>
      </c>
      <c r="O2659" t="s">
        <v>5019</v>
      </c>
      <c r="Q2659" t="s">
        <v>1143</v>
      </c>
      <c r="R2659" t="s">
        <v>1144</v>
      </c>
      <c r="T2659" t="s">
        <v>5</v>
      </c>
      <c r="U2659" s="3" t="str">
        <f>+VLOOKUP(Sites_per_tag[[#This Row],[Activity_tag]],Parameter!$A$24:$B$32,2,0)</f>
        <v>MAM</v>
      </c>
      <c r="W2659">
        <v>45.985950000000003</v>
      </c>
      <c r="X2659">
        <v>-23.4041</v>
      </c>
    </row>
    <row r="2660" spans="1:24" x14ac:dyDescent="0.35">
      <c r="A2660" s="3" t="str">
        <f t="shared" si="41"/>
        <v>MG53517130006PREV</v>
      </c>
      <c r="B2660" t="s">
        <v>6267</v>
      </c>
      <c r="C2660">
        <f>+VLOOKUP(Sites_per_tag[[#This Row],[Field_office]],Parameter!$A$3:$B$11,2,0)</f>
        <v>9</v>
      </c>
      <c r="E2660" t="s">
        <v>5650</v>
      </c>
      <c r="F2660" t="s">
        <v>5654</v>
      </c>
      <c r="H2660" t="str">
        <f ca="1">PROPER(Sites_per_tag[[#This Row],[Adm2Name]])</f>
        <v>Ampanihy Ouest</v>
      </c>
      <c r="I2660" t="s">
        <v>5660</v>
      </c>
      <c r="K2660" t="s">
        <v>518</v>
      </c>
      <c r="L2660" t="s">
        <v>5759</v>
      </c>
      <c r="N2660" t="s">
        <v>1496</v>
      </c>
      <c r="Q2660" t="s">
        <v>1496</v>
      </c>
      <c r="R2660" t="s">
        <v>1497</v>
      </c>
      <c r="T2660" t="s">
        <v>32</v>
      </c>
      <c r="U2660" s="3" t="str">
        <f>+VLOOKUP(Sites_per_tag[[#This Row],[Activity_tag]],Parameter!$A$24:$B$32,2,0)</f>
        <v>PREV</v>
      </c>
      <c r="W2660">
        <v>44.769869999999997</v>
      </c>
      <c r="X2660">
        <v>-24.693280000000001</v>
      </c>
    </row>
    <row r="2661" spans="1:24" x14ac:dyDescent="0.35">
      <c r="A2661" s="3" t="str">
        <f t="shared" si="41"/>
        <v>MG53517130007001MAM</v>
      </c>
      <c r="B2661" t="s">
        <v>6211</v>
      </c>
      <c r="C2661">
        <f>+VLOOKUP(Sites_per_tag[[#This Row],[Field_office]],Parameter!$A$3:$B$11,2,0)</f>
        <v>6</v>
      </c>
      <c r="E2661" t="s">
        <v>1448</v>
      </c>
      <c r="F2661" t="s">
        <v>5651</v>
      </c>
      <c r="H2661" t="str">
        <f ca="1">PROPER(Sites_per_tag[[#This Row],[Adm2Name]])</f>
        <v>Betroka</v>
      </c>
      <c r="I2661" t="s">
        <v>5691</v>
      </c>
      <c r="K2661" t="s">
        <v>5018</v>
      </c>
      <c r="L2661" t="s">
        <v>5967</v>
      </c>
      <c r="N2661" t="s">
        <v>5022</v>
      </c>
      <c r="O2661" t="s">
        <v>5021</v>
      </c>
      <c r="Q2661" t="s">
        <v>1525</v>
      </c>
      <c r="R2661" t="s">
        <v>1526</v>
      </c>
      <c r="T2661" t="s">
        <v>5</v>
      </c>
      <c r="U2661" s="3" t="str">
        <f>+VLOOKUP(Sites_per_tag[[#This Row],[Activity_tag]],Parameter!$A$24:$B$32,2,0)</f>
        <v>MAM</v>
      </c>
      <c r="W2661">
        <v>45.838200000000001</v>
      </c>
      <c r="X2661">
        <v>-23.505220000000001</v>
      </c>
    </row>
    <row r="2662" spans="1:24" x14ac:dyDescent="0.35">
      <c r="A2662" s="3" t="str">
        <f t="shared" si="41"/>
        <v>MG53517130008001MAM</v>
      </c>
      <c r="B2662" t="s">
        <v>6211</v>
      </c>
      <c r="C2662">
        <f>+VLOOKUP(Sites_per_tag[[#This Row],[Field_office]],Parameter!$A$3:$B$11,2,0)</f>
        <v>6</v>
      </c>
      <c r="E2662" t="s">
        <v>1448</v>
      </c>
      <c r="F2662" t="s">
        <v>5651</v>
      </c>
      <c r="H2662" t="str">
        <f ca="1">PROPER(Sites_per_tag[[#This Row],[Adm2Name]])</f>
        <v>Betroka</v>
      </c>
      <c r="I2662" t="s">
        <v>5691</v>
      </c>
      <c r="K2662" t="s">
        <v>5018</v>
      </c>
      <c r="L2662" t="s">
        <v>5967</v>
      </c>
      <c r="N2662" t="s">
        <v>5024</v>
      </c>
      <c r="O2662" t="s">
        <v>5023</v>
      </c>
      <c r="Q2662" t="s">
        <v>3992</v>
      </c>
      <c r="R2662" t="s">
        <v>3993</v>
      </c>
      <c r="T2662" t="s">
        <v>5</v>
      </c>
      <c r="U2662" s="3" t="str">
        <f>+VLOOKUP(Sites_per_tag[[#This Row],[Activity_tag]],Parameter!$A$24:$B$32,2,0)</f>
        <v>MAM</v>
      </c>
      <c r="W2662">
        <v>45.90343</v>
      </c>
      <c r="X2662">
        <v>-23.507580000000001</v>
      </c>
    </row>
    <row r="2663" spans="1:24" x14ac:dyDescent="0.35">
      <c r="A2663" s="3" t="str">
        <f t="shared" si="41"/>
        <v>MG53517130012001MAM</v>
      </c>
      <c r="B2663" t="s">
        <v>6211</v>
      </c>
      <c r="C2663">
        <f>+VLOOKUP(Sites_per_tag[[#This Row],[Field_office]],Parameter!$A$3:$B$11,2,0)</f>
        <v>6</v>
      </c>
      <c r="E2663" t="s">
        <v>1448</v>
      </c>
      <c r="F2663" t="s">
        <v>5651</v>
      </c>
      <c r="H2663" t="str">
        <f ca="1">PROPER(Sites_per_tag[[#This Row],[Adm2Name]])</f>
        <v>Betroka</v>
      </c>
      <c r="I2663" t="s">
        <v>5691</v>
      </c>
      <c r="K2663" t="s">
        <v>5018</v>
      </c>
      <c r="L2663" t="s">
        <v>5967</v>
      </c>
      <c r="N2663" t="s">
        <v>2152</v>
      </c>
      <c r="O2663" t="s">
        <v>5025</v>
      </c>
      <c r="Q2663" t="s">
        <v>2154</v>
      </c>
      <c r="R2663" t="s">
        <v>2155</v>
      </c>
      <c r="T2663" t="s">
        <v>5</v>
      </c>
      <c r="U2663" s="3" t="str">
        <f>+VLOOKUP(Sites_per_tag[[#This Row],[Activity_tag]],Parameter!$A$24:$B$32,2,0)</f>
        <v>MAM</v>
      </c>
      <c r="W2663">
        <v>45.950699999999998</v>
      </c>
      <c r="X2663">
        <v>-23.617750000000001</v>
      </c>
    </row>
    <row r="2664" spans="1:24" x14ac:dyDescent="0.35">
      <c r="A2664" s="3" t="str">
        <f t="shared" si="41"/>
        <v>MG53517130085001MAM</v>
      </c>
      <c r="B2664" t="s">
        <v>6211</v>
      </c>
      <c r="C2664">
        <f>+VLOOKUP(Sites_per_tag[[#This Row],[Field_office]],Parameter!$A$3:$B$11,2,0)</f>
        <v>6</v>
      </c>
      <c r="E2664" t="s">
        <v>1448</v>
      </c>
      <c r="F2664" t="s">
        <v>5651</v>
      </c>
      <c r="H2664" t="str">
        <f ca="1">PROPER(Sites_per_tag[[#This Row],[Adm2Name]])</f>
        <v>Betroka</v>
      </c>
      <c r="I2664" t="s">
        <v>5691</v>
      </c>
      <c r="K2664" t="s">
        <v>5018</v>
      </c>
      <c r="L2664" t="s">
        <v>5967</v>
      </c>
      <c r="N2664" t="s">
        <v>2466</v>
      </c>
      <c r="O2664" t="s">
        <v>5026</v>
      </c>
      <c r="Q2664" t="s">
        <v>2478</v>
      </c>
      <c r="R2664" t="s">
        <v>2479</v>
      </c>
      <c r="T2664" t="s">
        <v>5</v>
      </c>
      <c r="U2664" s="3" t="str">
        <f>+VLOOKUP(Sites_per_tag[[#This Row],[Activity_tag]],Parameter!$A$24:$B$32,2,0)</f>
        <v>MAM</v>
      </c>
      <c r="W2664">
        <v>45.892622000000003</v>
      </c>
      <c r="X2664">
        <v>-23.564091000000001</v>
      </c>
    </row>
    <row r="2665" spans="1:24" x14ac:dyDescent="0.35">
      <c r="A2665" s="3" t="str">
        <f t="shared" si="41"/>
        <v>MG53517150001001MAM</v>
      </c>
      <c r="B2665" t="s">
        <v>6211</v>
      </c>
      <c r="C2665">
        <f>+VLOOKUP(Sites_per_tag[[#This Row],[Field_office]],Parameter!$A$3:$B$11,2,0)</f>
        <v>6</v>
      </c>
      <c r="E2665" t="s">
        <v>1448</v>
      </c>
      <c r="F2665" t="s">
        <v>5651</v>
      </c>
      <c r="H2665" t="str">
        <f ca="1">PROPER(Sites_per_tag[[#This Row],[Adm2Name]])</f>
        <v>Betroka</v>
      </c>
      <c r="I2665" t="s">
        <v>5691</v>
      </c>
      <c r="K2665" t="s">
        <v>4837</v>
      </c>
      <c r="L2665" t="s">
        <v>5913</v>
      </c>
      <c r="N2665" t="s">
        <v>4837</v>
      </c>
      <c r="O2665" t="s">
        <v>4836</v>
      </c>
      <c r="Q2665" t="s">
        <v>1957</v>
      </c>
      <c r="R2665" t="s">
        <v>1958</v>
      </c>
      <c r="T2665" t="s">
        <v>5</v>
      </c>
      <c r="U2665" s="3" t="str">
        <f>+VLOOKUP(Sites_per_tag[[#This Row],[Activity_tag]],Parameter!$A$24:$B$32,2,0)</f>
        <v>MAM</v>
      </c>
      <c r="W2665">
        <v>46.069330000000001</v>
      </c>
      <c r="X2665">
        <v>-23.424399999999999</v>
      </c>
    </row>
    <row r="2666" spans="1:24" x14ac:dyDescent="0.35">
      <c r="A2666" s="3" t="str">
        <f t="shared" si="41"/>
        <v>MG53517150002001MAM</v>
      </c>
      <c r="B2666" t="s">
        <v>6211</v>
      </c>
      <c r="C2666">
        <f>+VLOOKUP(Sites_per_tag[[#This Row],[Field_office]],Parameter!$A$3:$B$11,2,0)</f>
        <v>6</v>
      </c>
      <c r="E2666" t="s">
        <v>1448</v>
      </c>
      <c r="F2666" t="s">
        <v>5651</v>
      </c>
      <c r="H2666" t="str">
        <f ca="1">PROPER(Sites_per_tag[[#This Row],[Adm2Name]])</f>
        <v>Betroka</v>
      </c>
      <c r="I2666" t="s">
        <v>5691</v>
      </c>
      <c r="K2666" t="s">
        <v>4837</v>
      </c>
      <c r="L2666" t="s">
        <v>5913</v>
      </c>
      <c r="N2666" t="s">
        <v>4521</v>
      </c>
      <c r="O2666" t="s">
        <v>4838</v>
      </c>
      <c r="Q2666" t="s">
        <v>3402</v>
      </c>
      <c r="R2666" t="s">
        <v>3403</v>
      </c>
      <c r="T2666" t="s">
        <v>5</v>
      </c>
      <c r="U2666" s="3" t="str">
        <f>+VLOOKUP(Sites_per_tag[[#This Row],[Activity_tag]],Parameter!$A$24:$B$32,2,0)</f>
        <v>MAM</v>
      </c>
      <c r="W2666">
        <v>45.773269999999997</v>
      </c>
      <c r="X2666">
        <v>-22.985779999999998</v>
      </c>
    </row>
    <row r="2667" spans="1:24" x14ac:dyDescent="0.35">
      <c r="A2667" s="3" t="str">
        <f t="shared" si="41"/>
        <v>MG53517150004001MAM</v>
      </c>
      <c r="B2667" t="s">
        <v>6211</v>
      </c>
      <c r="C2667">
        <f>+VLOOKUP(Sites_per_tag[[#This Row],[Field_office]],Parameter!$A$3:$B$11,2,0)</f>
        <v>6</v>
      </c>
      <c r="E2667" t="s">
        <v>1448</v>
      </c>
      <c r="F2667" t="s">
        <v>5651</v>
      </c>
      <c r="H2667" t="str">
        <f ca="1">PROPER(Sites_per_tag[[#This Row],[Adm2Name]])</f>
        <v>Betroka</v>
      </c>
      <c r="I2667" t="s">
        <v>5691</v>
      </c>
      <c r="K2667" t="s">
        <v>4837</v>
      </c>
      <c r="L2667" t="s">
        <v>5913</v>
      </c>
      <c r="N2667" t="s">
        <v>1970</v>
      </c>
      <c r="O2667" t="s">
        <v>4839</v>
      </c>
      <c r="Q2667" t="s">
        <v>1972</v>
      </c>
      <c r="R2667" t="s">
        <v>1973</v>
      </c>
      <c r="T2667" t="s">
        <v>5</v>
      </c>
      <c r="U2667" s="3" t="str">
        <f>+VLOOKUP(Sites_per_tag[[#This Row],[Activity_tag]],Parameter!$A$24:$B$32,2,0)</f>
        <v>MAM</v>
      </c>
      <c r="W2667">
        <v>45.967469999999999</v>
      </c>
      <c r="X2667">
        <v>-23.03668</v>
      </c>
    </row>
    <row r="2668" spans="1:24" x14ac:dyDescent="0.35">
      <c r="A2668" s="3" t="str">
        <f t="shared" si="41"/>
        <v>MG53517150009001MAM</v>
      </c>
      <c r="B2668" t="s">
        <v>6211</v>
      </c>
      <c r="C2668">
        <f>+VLOOKUP(Sites_per_tag[[#This Row],[Field_office]],Parameter!$A$3:$B$11,2,0)</f>
        <v>6</v>
      </c>
      <c r="E2668" t="s">
        <v>1448</v>
      </c>
      <c r="F2668" t="s">
        <v>5651</v>
      </c>
      <c r="H2668" t="str">
        <f ca="1">PROPER(Sites_per_tag[[#This Row],[Adm2Name]])</f>
        <v>Betroka</v>
      </c>
      <c r="I2668" t="s">
        <v>5691</v>
      </c>
      <c r="K2668" t="s">
        <v>4837</v>
      </c>
      <c r="L2668" t="s">
        <v>5913</v>
      </c>
      <c r="N2668" t="s">
        <v>4841</v>
      </c>
      <c r="O2668" t="s">
        <v>4840</v>
      </c>
      <c r="Q2668" t="s">
        <v>2625</v>
      </c>
      <c r="R2668" t="s">
        <v>2626</v>
      </c>
      <c r="T2668" t="s">
        <v>5</v>
      </c>
      <c r="U2668" s="3" t="str">
        <f>+VLOOKUP(Sites_per_tag[[#This Row],[Activity_tag]],Parameter!$A$24:$B$32,2,0)</f>
        <v>MAM</v>
      </c>
      <c r="W2668">
        <v>45.913469999999997</v>
      </c>
      <c r="X2668">
        <v>-23.179819999999999</v>
      </c>
    </row>
    <row r="2669" spans="1:24" x14ac:dyDescent="0.35">
      <c r="A2669" s="3" t="str">
        <f t="shared" si="41"/>
        <v>MG53517150034001MAM</v>
      </c>
      <c r="B2669" t="s">
        <v>6211</v>
      </c>
      <c r="C2669">
        <f>+VLOOKUP(Sites_per_tag[[#This Row],[Field_office]],Parameter!$A$3:$B$11,2,0)</f>
        <v>6</v>
      </c>
      <c r="E2669" t="s">
        <v>1448</v>
      </c>
      <c r="F2669" t="s">
        <v>5651</v>
      </c>
      <c r="H2669" t="str">
        <f ca="1">PROPER(Sites_per_tag[[#This Row],[Adm2Name]])</f>
        <v>Betroka</v>
      </c>
      <c r="I2669" t="s">
        <v>5691</v>
      </c>
      <c r="K2669" t="s">
        <v>4837</v>
      </c>
      <c r="L2669" t="s">
        <v>5913</v>
      </c>
      <c r="N2669" t="s">
        <v>3226</v>
      </c>
      <c r="O2669" t="s">
        <v>4842</v>
      </c>
      <c r="Q2669" t="s">
        <v>3242</v>
      </c>
      <c r="R2669" t="s">
        <v>3243</v>
      </c>
      <c r="T2669" t="s">
        <v>5</v>
      </c>
      <c r="U2669" s="3" t="str">
        <f>+VLOOKUP(Sites_per_tag[[#This Row],[Activity_tag]],Parameter!$A$24:$B$32,2,0)</f>
        <v>MAM</v>
      </c>
      <c r="W2669">
        <v>46.103757999999999</v>
      </c>
      <c r="X2669">
        <v>-23.269143</v>
      </c>
    </row>
    <row r="2670" spans="1:24" x14ac:dyDescent="0.35">
      <c r="A2670" s="3" t="str">
        <f t="shared" si="41"/>
        <v>MG53517150085001MAM</v>
      </c>
      <c r="B2670" t="s">
        <v>6211</v>
      </c>
      <c r="C2670">
        <f>+VLOOKUP(Sites_per_tag[[#This Row],[Field_office]],Parameter!$A$3:$B$11,2,0)</f>
        <v>6</v>
      </c>
      <c r="E2670" t="s">
        <v>5646</v>
      </c>
      <c r="F2670" t="s">
        <v>5647</v>
      </c>
      <c r="H2670" t="str">
        <f ca="1">PROPER(Sites_per_tag[[#This Row],[Adm2Name]])</f>
        <v>Ambovombe-Androy</v>
      </c>
      <c r="I2670" t="s">
        <v>5655</v>
      </c>
      <c r="K2670" t="s">
        <v>4513</v>
      </c>
      <c r="L2670" t="s">
        <v>5773</v>
      </c>
      <c r="N2670" t="s">
        <v>18</v>
      </c>
      <c r="O2670" t="s">
        <v>4522</v>
      </c>
      <c r="Q2670" t="s">
        <v>18</v>
      </c>
      <c r="R2670" t="s">
        <v>19</v>
      </c>
      <c r="T2670" t="s">
        <v>5</v>
      </c>
      <c r="U2670" s="3" t="str">
        <f>+VLOOKUP(Sites_per_tag[[#This Row],[Activity_tag]],Parameter!$A$24:$B$32,2,0)</f>
        <v>MAM</v>
      </c>
      <c r="W2670">
        <v>45.906619999999997</v>
      </c>
      <c r="X2670">
        <v>-25.093920000000001</v>
      </c>
    </row>
    <row r="2671" spans="1:24" x14ac:dyDescent="0.35">
      <c r="A2671" s="3" t="str">
        <f t="shared" si="41"/>
        <v>MG53517150086001MAM</v>
      </c>
      <c r="B2671" t="s">
        <v>6193</v>
      </c>
      <c r="C2671">
        <f>+VLOOKUP(Sites_per_tag[[#This Row],[Field_office]],Parameter!$A$3:$B$11,2,0)</f>
        <v>4</v>
      </c>
      <c r="E2671" t="s">
        <v>5658</v>
      </c>
      <c r="F2671" t="s">
        <v>5659</v>
      </c>
      <c r="H2671" t="str">
        <f ca="1">PROPER(Sites_per_tag[[#This Row],[Adm2Name]])</f>
        <v>Vondrozo</v>
      </c>
      <c r="I2671" t="s">
        <v>5738</v>
      </c>
      <c r="K2671" t="s">
        <v>5781</v>
      </c>
      <c r="L2671" t="s">
        <v>5782</v>
      </c>
      <c r="N2671" t="s">
        <v>3274</v>
      </c>
      <c r="O2671" t="s">
        <v>4525</v>
      </c>
      <c r="Q2671" t="s">
        <v>3274</v>
      </c>
      <c r="R2671" t="s">
        <v>3275</v>
      </c>
      <c r="T2671" t="s">
        <v>5</v>
      </c>
      <c r="U2671" s="3" t="str">
        <f>+VLOOKUP(Sites_per_tag[[#This Row],[Activity_tag]],Parameter!$A$24:$B$32,2,0)</f>
        <v>MAM</v>
      </c>
      <c r="W2671">
        <v>47.378320000000002</v>
      </c>
      <c r="X2671">
        <v>-22.91405</v>
      </c>
    </row>
    <row r="2672" spans="1:24" x14ac:dyDescent="0.35">
      <c r="A2672" s="3" t="str">
        <f t="shared" si="41"/>
        <v>MG53517150087001MAM</v>
      </c>
      <c r="B2672" t="s">
        <v>6211</v>
      </c>
      <c r="C2672">
        <f>+VLOOKUP(Sites_per_tag[[#This Row],[Field_office]],Parameter!$A$3:$B$11,2,0)</f>
        <v>6</v>
      </c>
      <c r="E2672" t="s">
        <v>5646</v>
      </c>
      <c r="F2672" t="s">
        <v>5647</v>
      </c>
      <c r="H2672" t="str">
        <f ca="1">PROPER(Sites_per_tag[[#This Row],[Adm2Name]])</f>
        <v>Ambovombe-Androy</v>
      </c>
      <c r="I2672" t="s">
        <v>5655</v>
      </c>
      <c r="K2672" t="s">
        <v>4513</v>
      </c>
      <c r="L2672" t="s">
        <v>5773</v>
      </c>
      <c r="N2672" t="s">
        <v>1031</v>
      </c>
      <c r="O2672" t="s">
        <v>4523</v>
      </c>
      <c r="Q2672" t="s">
        <v>1031</v>
      </c>
      <c r="R2672" t="s">
        <v>1032</v>
      </c>
      <c r="T2672" t="s">
        <v>5</v>
      </c>
      <c r="U2672" s="3" t="str">
        <f>+VLOOKUP(Sites_per_tag[[#This Row],[Activity_tag]],Parameter!$A$24:$B$32,2,0)</f>
        <v>MAM</v>
      </c>
      <c r="W2672">
        <v>45.912799999999997</v>
      </c>
      <c r="X2672">
        <v>-25.099900000000002</v>
      </c>
    </row>
    <row r="2673" spans="1:24" x14ac:dyDescent="0.35">
      <c r="A2673" s="3" t="str">
        <f t="shared" si="41"/>
        <v>MG53517168056001MAM</v>
      </c>
      <c r="B2673" t="s">
        <v>6211</v>
      </c>
      <c r="C2673">
        <f>+VLOOKUP(Sites_per_tag[[#This Row],[Field_office]],Parameter!$A$3:$B$11,2,0)</f>
        <v>6</v>
      </c>
      <c r="E2673" t="s">
        <v>1448</v>
      </c>
      <c r="F2673" t="s">
        <v>5651</v>
      </c>
      <c r="H2673" t="str">
        <f ca="1">PROPER(Sites_per_tag[[#This Row],[Adm2Name]])</f>
        <v>Betroka</v>
      </c>
      <c r="I2673" t="s">
        <v>5691</v>
      </c>
      <c r="K2673" t="s">
        <v>4319</v>
      </c>
      <c r="L2673" t="s">
        <v>6000</v>
      </c>
      <c r="N2673" t="s">
        <v>4096</v>
      </c>
      <c r="O2673" t="s">
        <v>5162</v>
      </c>
      <c r="Q2673" t="s">
        <v>1650</v>
      </c>
      <c r="R2673" t="s">
        <v>1651</v>
      </c>
      <c r="T2673" t="s">
        <v>5</v>
      </c>
      <c r="U2673" s="3" t="str">
        <f>+VLOOKUP(Sites_per_tag[[#This Row],[Activity_tag]],Parameter!$A$24:$B$32,2,0)</f>
        <v>MAM</v>
      </c>
      <c r="W2673">
        <v>46.03557</v>
      </c>
      <c r="X2673">
        <v>-23.755520000000001</v>
      </c>
    </row>
    <row r="2674" spans="1:24" x14ac:dyDescent="0.35">
      <c r="A2674" s="3" t="str">
        <f t="shared" si="41"/>
        <v>MG53517170004001MAM</v>
      </c>
      <c r="B2674" t="s">
        <v>6211</v>
      </c>
      <c r="C2674">
        <f>+VLOOKUP(Sites_per_tag[[#This Row],[Field_office]],Parameter!$A$3:$B$11,2,0)</f>
        <v>6</v>
      </c>
      <c r="E2674" t="s">
        <v>1448</v>
      </c>
      <c r="F2674" t="s">
        <v>5651</v>
      </c>
      <c r="H2674" t="str">
        <f ca="1">PROPER(Sites_per_tag[[#This Row],[Adm2Name]])</f>
        <v>Betroka</v>
      </c>
      <c r="I2674" t="s">
        <v>5691</v>
      </c>
      <c r="K2674" t="s">
        <v>4319</v>
      </c>
      <c r="L2674" t="s">
        <v>6000</v>
      </c>
      <c r="N2674" t="s">
        <v>2865</v>
      </c>
      <c r="O2674" t="s">
        <v>5163</v>
      </c>
      <c r="Q2674" t="s">
        <v>2873</v>
      </c>
      <c r="R2674" t="s">
        <v>2874</v>
      </c>
      <c r="T2674" t="s">
        <v>5</v>
      </c>
      <c r="U2674" s="3" t="str">
        <f>+VLOOKUP(Sites_per_tag[[#This Row],[Activity_tag]],Parameter!$A$24:$B$32,2,0)</f>
        <v>MAM</v>
      </c>
      <c r="W2674">
        <v>46.111429999999999</v>
      </c>
      <c r="X2674">
        <v>-23.688330000000001</v>
      </c>
    </row>
    <row r="2675" spans="1:24" x14ac:dyDescent="0.35">
      <c r="A2675" s="3" t="str">
        <f t="shared" si="41"/>
        <v>MG53517170006001MAM</v>
      </c>
      <c r="B2675" t="s">
        <v>6211</v>
      </c>
      <c r="C2675">
        <f>+VLOOKUP(Sites_per_tag[[#This Row],[Field_office]],Parameter!$A$3:$B$11,2,0)</f>
        <v>6</v>
      </c>
      <c r="E2675" t="s">
        <v>1448</v>
      </c>
      <c r="F2675" t="s">
        <v>5651</v>
      </c>
      <c r="H2675" t="str">
        <f ca="1">PROPER(Sites_per_tag[[#This Row],[Adm2Name]])</f>
        <v>Betroka</v>
      </c>
      <c r="I2675" t="s">
        <v>5691</v>
      </c>
      <c r="K2675" t="s">
        <v>4319</v>
      </c>
      <c r="L2675" t="s">
        <v>6000</v>
      </c>
      <c r="N2675" t="s">
        <v>2527</v>
      </c>
      <c r="O2675" t="s">
        <v>5164</v>
      </c>
      <c r="Q2675" t="s">
        <v>2531</v>
      </c>
      <c r="R2675" t="s">
        <v>2532</v>
      </c>
      <c r="T2675" t="s">
        <v>5</v>
      </c>
      <c r="U2675" s="3" t="str">
        <f>+VLOOKUP(Sites_per_tag[[#This Row],[Activity_tag]],Parameter!$A$24:$B$32,2,0)</f>
        <v>MAM</v>
      </c>
      <c r="W2675">
        <v>46.157800000000002</v>
      </c>
      <c r="X2675">
        <v>-23.653770000000002</v>
      </c>
    </row>
    <row r="2676" spans="1:24" x14ac:dyDescent="0.35">
      <c r="A2676" s="3" t="str">
        <f t="shared" si="41"/>
        <v>MG53517170007001MAM</v>
      </c>
      <c r="B2676" t="s">
        <v>6211</v>
      </c>
      <c r="C2676">
        <f>+VLOOKUP(Sites_per_tag[[#This Row],[Field_office]],Parameter!$A$3:$B$11,2,0)</f>
        <v>6</v>
      </c>
      <c r="E2676" t="s">
        <v>1448</v>
      </c>
      <c r="F2676" t="s">
        <v>5651</v>
      </c>
      <c r="H2676" t="str">
        <f ca="1">PROPER(Sites_per_tag[[#This Row],[Adm2Name]])</f>
        <v>Betroka</v>
      </c>
      <c r="I2676" t="s">
        <v>5691</v>
      </c>
      <c r="K2676" t="s">
        <v>4319</v>
      </c>
      <c r="L2676" t="s">
        <v>6000</v>
      </c>
      <c r="N2676" t="s">
        <v>5166</v>
      </c>
      <c r="O2676" t="s">
        <v>5165</v>
      </c>
      <c r="Q2676" t="s">
        <v>2731</v>
      </c>
      <c r="R2676" t="s">
        <v>2732</v>
      </c>
      <c r="T2676" t="s">
        <v>5</v>
      </c>
      <c r="U2676" s="3" t="str">
        <f>+VLOOKUP(Sites_per_tag[[#This Row],[Activity_tag]],Parameter!$A$24:$B$32,2,0)</f>
        <v>MAM</v>
      </c>
      <c r="W2676">
        <v>46.185969999999998</v>
      </c>
      <c r="X2676">
        <v>-23.6616</v>
      </c>
    </row>
    <row r="2677" spans="1:24" x14ac:dyDescent="0.35">
      <c r="A2677" s="3" t="str">
        <f t="shared" si="41"/>
        <v>MG53517170010001MAM</v>
      </c>
      <c r="B2677" t="s">
        <v>6211</v>
      </c>
      <c r="C2677">
        <f>+VLOOKUP(Sites_per_tag[[#This Row],[Field_office]],Parameter!$A$3:$B$11,2,0)</f>
        <v>6</v>
      </c>
      <c r="E2677" t="s">
        <v>1448</v>
      </c>
      <c r="F2677" t="s">
        <v>5651</v>
      </c>
      <c r="H2677" t="str">
        <f ca="1">PROPER(Sites_per_tag[[#This Row],[Adm2Name]])</f>
        <v>Betroka</v>
      </c>
      <c r="I2677" t="s">
        <v>5691</v>
      </c>
      <c r="K2677" t="s">
        <v>4319</v>
      </c>
      <c r="L2677" t="s">
        <v>6000</v>
      </c>
      <c r="N2677" t="s">
        <v>5168</v>
      </c>
      <c r="O2677" t="s">
        <v>5167</v>
      </c>
      <c r="Q2677" t="s">
        <v>2896</v>
      </c>
      <c r="R2677" t="s">
        <v>2897</v>
      </c>
      <c r="T2677" t="s">
        <v>5</v>
      </c>
      <c r="U2677" s="3" t="str">
        <f>+VLOOKUP(Sites_per_tag[[#This Row],[Activity_tag]],Parameter!$A$24:$B$32,2,0)</f>
        <v>MAM</v>
      </c>
      <c r="W2677">
        <v>46.009970000000003</v>
      </c>
      <c r="X2677">
        <v>-23.717500000000001</v>
      </c>
    </row>
    <row r="2678" spans="1:24" x14ac:dyDescent="0.35">
      <c r="A2678" s="3" t="str">
        <f t="shared" si="41"/>
        <v>MG53517170011001MAM</v>
      </c>
      <c r="B2678" t="s">
        <v>6211</v>
      </c>
      <c r="C2678">
        <f>+VLOOKUP(Sites_per_tag[[#This Row],[Field_office]],Parameter!$A$3:$B$11,2,0)</f>
        <v>6</v>
      </c>
      <c r="E2678" t="s">
        <v>1448</v>
      </c>
      <c r="F2678" t="s">
        <v>5651</v>
      </c>
      <c r="H2678" t="str">
        <f ca="1">PROPER(Sites_per_tag[[#This Row],[Adm2Name]])</f>
        <v>Betroka</v>
      </c>
      <c r="I2678" t="s">
        <v>5691</v>
      </c>
      <c r="K2678" t="s">
        <v>4319</v>
      </c>
      <c r="L2678" t="s">
        <v>6000</v>
      </c>
      <c r="N2678" t="s">
        <v>5170</v>
      </c>
      <c r="O2678" t="s">
        <v>5169</v>
      </c>
      <c r="Q2678" t="s">
        <v>3343</v>
      </c>
      <c r="R2678" t="s">
        <v>3344</v>
      </c>
      <c r="T2678" t="s">
        <v>5</v>
      </c>
      <c r="U2678" s="3" t="str">
        <f>+VLOOKUP(Sites_per_tag[[#This Row],[Activity_tag]],Parameter!$A$24:$B$32,2,0)</f>
        <v>MAM</v>
      </c>
      <c r="W2678">
        <v>46.151330000000002</v>
      </c>
      <c r="X2678">
        <v>-23.720469999999999</v>
      </c>
    </row>
    <row r="2679" spans="1:24" x14ac:dyDescent="0.35">
      <c r="A2679" s="3" t="str">
        <f t="shared" si="41"/>
        <v>MG53517250001001MAM</v>
      </c>
      <c r="B2679" t="s">
        <v>6211</v>
      </c>
      <c r="C2679">
        <f>+VLOOKUP(Sites_per_tag[[#This Row],[Field_office]],Parameter!$A$3:$B$11,2,0)</f>
        <v>6</v>
      </c>
      <c r="E2679" t="s">
        <v>1448</v>
      </c>
      <c r="F2679" t="s">
        <v>5651</v>
      </c>
      <c r="H2679" t="str">
        <f ca="1">PROPER(Sites_per_tag[[#This Row],[Adm2Name]])</f>
        <v>Betroka</v>
      </c>
      <c r="I2679" t="s">
        <v>5691</v>
      </c>
      <c r="K2679" t="s">
        <v>6561</v>
      </c>
      <c r="L2679" t="s">
        <v>5901</v>
      </c>
      <c r="N2679" t="s">
        <v>4783</v>
      </c>
      <c r="O2679" t="s">
        <v>4782</v>
      </c>
      <c r="Q2679" t="s">
        <v>1867</v>
      </c>
      <c r="R2679" t="s">
        <v>1868</v>
      </c>
      <c r="T2679" t="s">
        <v>5</v>
      </c>
      <c r="U2679" s="3" t="str">
        <f>+VLOOKUP(Sites_per_tag[[#This Row],[Activity_tag]],Parameter!$A$24:$B$32,2,0)</f>
        <v>MAM</v>
      </c>
      <c r="W2679">
        <v>45.937519999999999</v>
      </c>
      <c r="X2679">
        <v>-23.682780000000001</v>
      </c>
    </row>
    <row r="2680" spans="1:24" x14ac:dyDescent="0.35">
      <c r="A2680" s="3" t="str">
        <f t="shared" si="41"/>
        <v>MG53517250002001MAM</v>
      </c>
      <c r="B2680" t="s">
        <v>6211</v>
      </c>
      <c r="C2680">
        <f>+VLOOKUP(Sites_per_tag[[#This Row],[Field_office]],Parameter!$A$3:$B$11,2,0)</f>
        <v>6</v>
      </c>
      <c r="E2680" t="s">
        <v>1448</v>
      </c>
      <c r="F2680" t="s">
        <v>5651</v>
      </c>
      <c r="H2680" t="str">
        <f ca="1">PROPER(Sites_per_tag[[#This Row],[Adm2Name]])</f>
        <v>Betroka</v>
      </c>
      <c r="I2680" t="s">
        <v>5691</v>
      </c>
      <c r="K2680" t="s">
        <v>6561</v>
      </c>
      <c r="L2680" t="s">
        <v>5901</v>
      </c>
      <c r="N2680" t="s">
        <v>4785</v>
      </c>
      <c r="O2680" t="s">
        <v>4784</v>
      </c>
      <c r="Q2680" t="s">
        <v>717</v>
      </c>
      <c r="R2680" t="s">
        <v>718</v>
      </c>
      <c r="T2680" t="s">
        <v>5</v>
      </c>
      <c r="U2680" s="3" t="str">
        <f>+VLOOKUP(Sites_per_tag[[#This Row],[Activity_tag]],Parameter!$A$24:$B$32,2,0)</f>
        <v>MAM</v>
      </c>
      <c r="W2680">
        <v>45.867930000000001</v>
      </c>
      <c r="X2680">
        <v>-23.68648</v>
      </c>
    </row>
    <row r="2681" spans="1:24" x14ac:dyDescent="0.35">
      <c r="A2681" s="3" t="str">
        <f t="shared" si="41"/>
        <v>MG53517250003001MAM</v>
      </c>
      <c r="B2681" t="s">
        <v>6211</v>
      </c>
      <c r="C2681">
        <f>+VLOOKUP(Sites_per_tag[[#This Row],[Field_office]],Parameter!$A$3:$B$11,2,0)</f>
        <v>6</v>
      </c>
      <c r="E2681" t="s">
        <v>1448</v>
      </c>
      <c r="F2681" t="s">
        <v>5651</v>
      </c>
      <c r="H2681" t="str">
        <f ca="1">PROPER(Sites_per_tag[[#This Row],[Adm2Name]])</f>
        <v>Betroka</v>
      </c>
      <c r="I2681" t="s">
        <v>5691</v>
      </c>
      <c r="K2681" t="s">
        <v>6561</v>
      </c>
      <c r="L2681" t="s">
        <v>5901</v>
      </c>
      <c r="N2681" t="s">
        <v>4787</v>
      </c>
      <c r="O2681" t="s">
        <v>4786</v>
      </c>
      <c r="Q2681" t="s">
        <v>2850</v>
      </c>
      <c r="R2681" t="s">
        <v>2851</v>
      </c>
      <c r="T2681" t="s">
        <v>5</v>
      </c>
      <c r="U2681" s="3" t="str">
        <f>+VLOOKUP(Sites_per_tag[[#This Row],[Activity_tag]],Parameter!$A$24:$B$32,2,0)</f>
        <v>MAM</v>
      </c>
      <c r="W2681">
        <v>45.728929999999998</v>
      </c>
      <c r="X2681">
        <v>-23.710280000000001</v>
      </c>
    </row>
    <row r="2682" spans="1:24" x14ac:dyDescent="0.35">
      <c r="A2682" s="3" t="str">
        <f t="shared" si="41"/>
        <v>MG53517250004001MAM</v>
      </c>
      <c r="B2682" t="s">
        <v>6211</v>
      </c>
      <c r="C2682">
        <f>+VLOOKUP(Sites_per_tag[[#This Row],[Field_office]],Parameter!$A$3:$B$11,2,0)</f>
        <v>6</v>
      </c>
      <c r="E2682" t="s">
        <v>1448</v>
      </c>
      <c r="F2682" t="s">
        <v>5651</v>
      </c>
      <c r="H2682" t="str">
        <f ca="1">PROPER(Sites_per_tag[[#This Row],[Adm2Name]])</f>
        <v>Betroka</v>
      </c>
      <c r="I2682" t="s">
        <v>5691</v>
      </c>
      <c r="K2682" t="s">
        <v>6561</v>
      </c>
      <c r="L2682" t="s">
        <v>5901</v>
      </c>
      <c r="N2682" t="s">
        <v>244</v>
      </c>
      <c r="O2682" t="s">
        <v>4788</v>
      </c>
      <c r="Q2682" t="s">
        <v>248</v>
      </c>
      <c r="R2682" t="s">
        <v>249</v>
      </c>
      <c r="T2682" t="s">
        <v>5</v>
      </c>
      <c r="U2682" s="3" t="str">
        <f>+VLOOKUP(Sites_per_tag[[#This Row],[Activity_tag]],Parameter!$A$24:$B$32,2,0)</f>
        <v>MAM</v>
      </c>
      <c r="W2682">
        <v>45.851019999999998</v>
      </c>
      <c r="X2682">
        <v>-23.72353</v>
      </c>
    </row>
    <row r="2683" spans="1:24" x14ac:dyDescent="0.35">
      <c r="A2683" s="3" t="str">
        <f t="shared" si="41"/>
        <v>MG53517250005001MAM</v>
      </c>
      <c r="B2683" t="s">
        <v>6211</v>
      </c>
      <c r="C2683">
        <f>+VLOOKUP(Sites_per_tag[[#This Row],[Field_office]],Parameter!$A$3:$B$11,2,0)</f>
        <v>6</v>
      </c>
      <c r="E2683" t="s">
        <v>1448</v>
      </c>
      <c r="F2683" t="s">
        <v>5651</v>
      </c>
      <c r="H2683" t="str">
        <f ca="1">PROPER(Sites_per_tag[[#This Row],[Adm2Name]])</f>
        <v>Betroka</v>
      </c>
      <c r="I2683" t="s">
        <v>5691</v>
      </c>
      <c r="K2683" t="s">
        <v>6561</v>
      </c>
      <c r="L2683" t="s">
        <v>5901</v>
      </c>
      <c r="N2683" t="s">
        <v>4790</v>
      </c>
      <c r="O2683" t="s">
        <v>4789</v>
      </c>
      <c r="Q2683" t="s">
        <v>2617</v>
      </c>
      <c r="R2683" t="s">
        <v>2618</v>
      </c>
      <c r="T2683" t="s">
        <v>5</v>
      </c>
      <c r="U2683" s="3" t="str">
        <f>+VLOOKUP(Sites_per_tag[[#This Row],[Activity_tag]],Parameter!$A$24:$B$32,2,0)</f>
        <v>MAM</v>
      </c>
      <c r="W2683">
        <v>45.934620000000002</v>
      </c>
      <c r="X2683">
        <v>-23.8934</v>
      </c>
    </row>
    <row r="2684" spans="1:24" x14ac:dyDescent="0.35">
      <c r="A2684" s="3" t="str">
        <f t="shared" si="41"/>
        <v>MG53517250067001MAM</v>
      </c>
      <c r="B2684" t="s">
        <v>6211</v>
      </c>
      <c r="C2684">
        <f>+VLOOKUP(Sites_per_tag[[#This Row],[Field_office]],Parameter!$A$3:$B$11,2,0)</f>
        <v>6</v>
      </c>
      <c r="E2684" t="s">
        <v>1448</v>
      </c>
      <c r="F2684" t="s">
        <v>5651</v>
      </c>
      <c r="H2684" t="str">
        <f ca="1">PROPER(Sites_per_tag[[#This Row],[Adm2Name]])</f>
        <v>Betroka</v>
      </c>
      <c r="I2684" t="s">
        <v>5691</v>
      </c>
      <c r="K2684" t="s">
        <v>6561</v>
      </c>
      <c r="L2684" t="s">
        <v>5901</v>
      </c>
      <c r="N2684" t="s">
        <v>2910</v>
      </c>
      <c r="O2684" t="s">
        <v>4791</v>
      </c>
      <c r="Q2684" t="s">
        <v>2910</v>
      </c>
      <c r="R2684" t="s">
        <v>2911</v>
      </c>
      <c r="T2684" t="s">
        <v>5</v>
      </c>
      <c r="U2684" s="3" t="str">
        <f>+VLOOKUP(Sites_per_tag[[#This Row],[Activity_tag]],Parameter!$A$24:$B$32,2,0)</f>
        <v>MAM</v>
      </c>
      <c r="W2684">
        <v>45.799079999999996</v>
      </c>
      <c r="X2684">
        <v>-23.7422</v>
      </c>
    </row>
    <row r="2685" spans="1:24" x14ac:dyDescent="0.35">
      <c r="A2685" s="3" t="str">
        <f t="shared" si="41"/>
        <v>MG53517270002001MAM</v>
      </c>
      <c r="B2685" t="s">
        <v>6211</v>
      </c>
      <c r="C2685">
        <f>+VLOOKUP(Sites_per_tag[[#This Row],[Field_office]],Parameter!$A$3:$B$11,2,0)</f>
        <v>6</v>
      </c>
      <c r="E2685" t="s">
        <v>1448</v>
      </c>
      <c r="F2685" t="s">
        <v>5651</v>
      </c>
      <c r="H2685" t="str">
        <f ca="1">PROPER(Sites_per_tag[[#This Row],[Adm2Name]])</f>
        <v>Betroka</v>
      </c>
      <c r="I2685" t="s">
        <v>5691</v>
      </c>
      <c r="K2685" t="s">
        <v>4319</v>
      </c>
      <c r="L2685" t="s">
        <v>6000</v>
      </c>
      <c r="N2685" t="s">
        <v>5172</v>
      </c>
      <c r="O2685" t="s">
        <v>5171</v>
      </c>
      <c r="Q2685" t="s">
        <v>1201</v>
      </c>
      <c r="R2685" t="s">
        <v>1202</v>
      </c>
      <c r="T2685" t="s">
        <v>5</v>
      </c>
      <c r="U2685" s="3" t="str">
        <f>+VLOOKUP(Sites_per_tag[[#This Row],[Activity_tag]],Parameter!$A$24:$B$32,2,0)</f>
        <v>MAM</v>
      </c>
      <c r="W2685">
        <v>45.606819999999999</v>
      </c>
      <c r="X2685">
        <v>-23.165679999999998</v>
      </c>
    </row>
    <row r="2686" spans="1:24" x14ac:dyDescent="0.35">
      <c r="A2686" s="3" t="str">
        <f t="shared" si="41"/>
        <v>MG53517270006PREV</v>
      </c>
      <c r="B2686" t="s">
        <v>6267</v>
      </c>
      <c r="C2686">
        <f>+VLOOKUP(Sites_per_tag[[#This Row],[Field_office]],Parameter!$A$3:$B$11,2,0)</f>
        <v>9</v>
      </c>
      <c r="E2686" t="s">
        <v>5650</v>
      </c>
      <c r="F2686" t="s">
        <v>5654</v>
      </c>
      <c r="H2686" t="str">
        <f ca="1">PROPER(Sites_per_tag[[#This Row],[Adm2Name]])</f>
        <v>Ampanihy Ouest</v>
      </c>
      <c r="I2686" t="s">
        <v>5660</v>
      </c>
      <c r="K2686" t="s">
        <v>5783</v>
      </c>
      <c r="L2686" t="s">
        <v>5784</v>
      </c>
      <c r="N2686" t="s">
        <v>4244</v>
      </c>
      <c r="Q2686" t="s">
        <v>1156</v>
      </c>
      <c r="R2686" t="s">
        <v>1157</v>
      </c>
      <c r="T2686" t="s">
        <v>32</v>
      </c>
      <c r="U2686" s="3" t="str">
        <f>+VLOOKUP(Sites_per_tag[[#This Row],[Activity_tag]],Parameter!$A$24:$B$32,2,0)</f>
        <v>PREV</v>
      </c>
      <c r="W2686">
        <v>44.892380000000003</v>
      </c>
      <c r="X2686">
        <v>-23.965420000000002</v>
      </c>
    </row>
    <row r="2687" spans="1:24" x14ac:dyDescent="0.35">
      <c r="A2687" s="3" t="str">
        <f t="shared" si="41"/>
        <v>MG53517291001001MAM</v>
      </c>
      <c r="B2687" t="s">
        <v>6211</v>
      </c>
      <c r="C2687">
        <f>+VLOOKUP(Sites_per_tag[[#This Row],[Field_office]],Parameter!$A$3:$B$11,2,0)</f>
        <v>6</v>
      </c>
      <c r="E2687" t="s">
        <v>1448</v>
      </c>
      <c r="F2687" t="s">
        <v>5651</v>
      </c>
      <c r="H2687" t="str">
        <f ca="1">PROPER(Sites_per_tag[[#This Row],[Adm2Name]])</f>
        <v>Betroka</v>
      </c>
      <c r="I2687" t="s">
        <v>5691</v>
      </c>
      <c r="K2687" t="s">
        <v>6436</v>
      </c>
      <c r="L2687" t="s">
        <v>5982</v>
      </c>
      <c r="N2687" t="s">
        <v>5099</v>
      </c>
      <c r="O2687" t="s">
        <v>5098</v>
      </c>
      <c r="Q2687" t="s">
        <v>2605</v>
      </c>
      <c r="R2687" t="s">
        <v>2606</v>
      </c>
      <c r="T2687" t="s">
        <v>5</v>
      </c>
      <c r="U2687" s="3" t="str">
        <f>+VLOOKUP(Sites_per_tag[[#This Row],[Activity_tag]],Parameter!$A$24:$B$32,2,0)</f>
        <v>MAM</v>
      </c>
      <c r="W2687">
        <v>45.702779999999997</v>
      </c>
      <c r="X2687">
        <v>-23.83005</v>
      </c>
    </row>
    <row r="2688" spans="1:24" x14ac:dyDescent="0.35">
      <c r="A2688" s="3" t="str">
        <f t="shared" si="41"/>
        <v>MG53517291002001MAM</v>
      </c>
      <c r="B2688" t="s">
        <v>6211</v>
      </c>
      <c r="C2688">
        <f>+VLOOKUP(Sites_per_tag[[#This Row],[Field_office]],Parameter!$A$3:$B$11,2,0)</f>
        <v>6</v>
      </c>
      <c r="E2688" t="s">
        <v>1448</v>
      </c>
      <c r="F2688" t="s">
        <v>5651</v>
      </c>
      <c r="H2688" t="str">
        <f ca="1">PROPER(Sites_per_tag[[#This Row],[Adm2Name]])</f>
        <v>Betroka</v>
      </c>
      <c r="I2688" t="s">
        <v>5691</v>
      </c>
      <c r="K2688" t="s">
        <v>6436</v>
      </c>
      <c r="L2688" t="s">
        <v>5982</v>
      </c>
      <c r="N2688" t="s">
        <v>5101</v>
      </c>
      <c r="O2688" t="s">
        <v>5100</v>
      </c>
      <c r="Q2688" t="s">
        <v>2603</v>
      </c>
      <c r="R2688" t="s">
        <v>2604</v>
      </c>
      <c r="T2688" t="s">
        <v>5</v>
      </c>
      <c r="U2688" s="3" t="str">
        <f>+VLOOKUP(Sites_per_tag[[#This Row],[Activity_tag]],Parameter!$A$24:$B$32,2,0)</f>
        <v>MAM</v>
      </c>
      <c r="W2688">
        <v>45.711869999999998</v>
      </c>
      <c r="X2688">
        <v>-23.825700000000001</v>
      </c>
    </row>
    <row r="2689" spans="1:24" x14ac:dyDescent="0.35">
      <c r="A2689" s="3" t="str">
        <f t="shared" si="41"/>
        <v>MG53517291003001MAM</v>
      </c>
      <c r="B2689" t="s">
        <v>6211</v>
      </c>
      <c r="C2689">
        <f>+VLOOKUP(Sites_per_tag[[#This Row],[Field_office]],Parameter!$A$3:$B$11,2,0)</f>
        <v>6</v>
      </c>
      <c r="E2689" t="s">
        <v>1448</v>
      </c>
      <c r="F2689" t="s">
        <v>5651</v>
      </c>
      <c r="H2689" t="str">
        <f ca="1">PROPER(Sites_per_tag[[#This Row],[Adm2Name]])</f>
        <v>Betroka</v>
      </c>
      <c r="I2689" t="s">
        <v>5691</v>
      </c>
      <c r="K2689" t="s">
        <v>6436</v>
      </c>
      <c r="L2689" t="s">
        <v>5982</v>
      </c>
      <c r="N2689" t="s">
        <v>5103</v>
      </c>
      <c r="O2689" t="s">
        <v>5102</v>
      </c>
      <c r="Q2689" t="s">
        <v>958</v>
      </c>
      <c r="R2689" t="s">
        <v>959</v>
      </c>
      <c r="T2689" t="s">
        <v>5</v>
      </c>
      <c r="U2689" s="3" t="str">
        <f>+VLOOKUP(Sites_per_tag[[#This Row],[Activity_tag]],Parameter!$A$24:$B$32,2,0)</f>
        <v>MAM</v>
      </c>
      <c r="W2689">
        <v>45.68233</v>
      </c>
      <c r="X2689">
        <v>-23.808399999999999</v>
      </c>
    </row>
    <row r="2690" spans="1:24" x14ac:dyDescent="0.35">
      <c r="A2690" s="3" t="str">
        <f t="shared" si="41"/>
        <v>MG53517291004001MAM</v>
      </c>
      <c r="B2690" t="s">
        <v>6211</v>
      </c>
      <c r="C2690">
        <f>+VLOOKUP(Sites_per_tag[[#This Row],[Field_office]],Parameter!$A$3:$B$11,2,0)</f>
        <v>6</v>
      </c>
      <c r="E2690" t="s">
        <v>1448</v>
      </c>
      <c r="F2690" t="s">
        <v>5651</v>
      </c>
      <c r="H2690" t="str">
        <f ca="1">PROPER(Sites_per_tag[[#This Row],[Adm2Name]])</f>
        <v>Betroka</v>
      </c>
      <c r="I2690" t="s">
        <v>5691</v>
      </c>
      <c r="K2690" t="s">
        <v>6436</v>
      </c>
      <c r="L2690" t="s">
        <v>5982</v>
      </c>
      <c r="N2690" t="s">
        <v>5105</v>
      </c>
      <c r="O2690" t="s">
        <v>5104</v>
      </c>
      <c r="Q2690" t="s">
        <v>3097</v>
      </c>
      <c r="R2690" t="s">
        <v>3098</v>
      </c>
      <c r="T2690" t="s">
        <v>5</v>
      </c>
      <c r="U2690" s="3" t="str">
        <f>+VLOOKUP(Sites_per_tag[[#This Row],[Activity_tag]],Parameter!$A$24:$B$32,2,0)</f>
        <v>MAM</v>
      </c>
      <c r="W2690">
        <v>45.667279999999998</v>
      </c>
      <c r="X2690">
        <v>-23.761869999999998</v>
      </c>
    </row>
    <row r="2691" spans="1:24" x14ac:dyDescent="0.35">
      <c r="A2691" s="3" t="str">
        <f t="shared" ref="A2691:A2754" si="42">+R2691&amp;U2691</f>
        <v>MG53517291006001MAM</v>
      </c>
      <c r="B2691" t="s">
        <v>6211</v>
      </c>
      <c r="C2691">
        <f>+VLOOKUP(Sites_per_tag[[#This Row],[Field_office]],Parameter!$A$3:$B$11,2,0)</f>
        <v>6</v>
      </c>
      <c r="E2691" t="s">
        <v>1448</v>
      </c>
      <c r="F2691" t="s">
        <v>5651</v>
      </c>
      <c r="H2691" t="str">
        <f ca="1">PROPER(Sites_per_tag[[#This Row],[Adm2Name]])</f>
        <v>Betroka</v>
      </c>
      <c r="I2691" t="s">
        <v>5691</v>
      </c>
      <c r="K2691" t="s">
        <v>6436</v>
      </c>
      <c r="L2691" t="s">
        <v>5982</v>
      </c>
      <c r="N2691" t="s">
        <v>5107</v>
      </c>
      <c r="O2691" t="s">
        <v>5106</v>
      </c>
      <c r="Q2691" t="s">
        <v>2682</v>
      </c>
      <c r="R2691" t="s">
        <v>2683</v>
      </c>
      <c r="T2691" t="s">
        <v>5</v>
      </c>
      <c r="U2691" s="3" t="str">
        <f>+VLOOKUP(Sites_per_tag[[#This Row],[Activity_tag]],Parameter!$A$24:$B$32,2,0)</f>
        <v>MAM</v>
      </c>
      <c r="W2691">
        <v>45.668080000000003</v>
      </c>
      <c r="X2691">
        <v>-23.79485</v>
      </c>
    </row>
    <row r="2692" spans="1:24" x14ac:dyDescent="0.35">
      <c r="A2692" s="3" t="str">
        <f t="shared" si="42"/>
        <v>MG53517291009001MAM</v>
      </c>
      <c r="B2692" t="s">
        <v>6211</v>
      </c>
      <c r="C2692">
        <f>+VLOOKUP(Sites_per_tag[[#This Row],[Field_office]],Parameter!$A$3:$B$11,2,0)</f>
        <v>6</v>
      </c>
      <c r="E2692" t="s">
        <v>1448</v>
      </c>
      <c r="F2692" t="s">
        <v>5651</v>
      </c>
      <c r="H2692" t="str">
        <f ca="1">PROPER(Sites_per_tag[[#This Row],[Adm2Name]])</f>
        <v>Betroka</v>
      </c>
      <c r="I2692" t="s">
        <v>5691</v>
      </c>
      <c r="K2692" t="s">
        <v>6436</v>
      </c>
      <c r="L2692" t="s">
        <v>5982</v>
      </c>
      <c r="N2692" t="s">
        <v>5109</v>
      </c>
      <c r="O2692" t="s">
        <v>5108</v>
      </c>
      <c r="Q2692" t="s">
        <v>3968</v>
      </c>
      <c r="R2692" t="s">
        <v>3969</v>
      </c>
      <c r="T2692" t="s">
        <v>5</v>
      </c>
      <c r="U2692" s="3" t="str">
        <f>+VLOOKUP(Sites_per_tag[[#This Row],[Activity_tag]],Parameter!$A$24:$B$32,2,0)</f>
        <v>MAM</v>
      </c>
      <c r="W2692">
        <v>45.760170000000002</v>
      </c>
      <c r="X2692">
        <v>-25.37115</v>
      </c>
    </row>
    <row r="2693" spans="1:24" x14ac:dyDescent="0.35">
      <c r="A2693" s="3" t="str">
        <f t="shared" si="42"/>
        <v>MG53517291011001MAM</v>
      </c>
      <c r="B2693" t="s">
        <v>6211</v>
      </c>
      <c r="C2693">
        <f>+VLOOKUP(Sites_per_tag[[#This Row],[Field_office]],Parameter!$A$3:$B$11,2,0)</f>
        <v>6</v>
      </c>
      <c r="E2693" t="s">
        <v>1448</v>
      </c>
      <c r="F2693" t="s">
        <v>5651</v>
      </c>
      <c r="H2693" t="str">
        <f ca="1">PROPER(Sites_per_tag[[#This Row],[Adm2Name]])</f>
        <v>Betroka</v>
      </c>
      <c r="I2693" t="s">
        <v>5691</v>
      </c>
      <c r="K2693" t="s">
        <v>6436</v>
      </c>
      <c r="L2693" t="s">
        <v>5982</v>
      </c>
      <c r="N2693" t="s">
        <v>5111</v>
      </c>
      <c r="O2693" t="s">
        <v>5110</v>
      </c>
      <c r="Q2693" t="s">
        <v>1984</v>
      </c>
      <c r="R2693" t="s">
        <v>1985</v>
      </c>
      <c r="T2693" t="s">
        <v>5</v>
      </c>
      <c r="U2693" s="3" t="str">
        <f>+VLOOKUP(Sites_per_tag[[#This Row],[Activity_tag]],Parameter!$A$24:$B$32,2,0)</f>
        <v>MAM</v>
      </c>
      <c r="W2693">
        <v>45.755650000000003</v>
      </c>
      <c r="X2693">
        <v>-23.899519999999999</v>
      </c>
    </row>
    <row r="2694" spans="1:24" x14ac:dyDescent="0.35">
      <c r="A2694" s="3" t="str">
        <f t="shared" si="42"/>
        <v>MG53517291013PREV</v>
      </c>
      <c r="B2694" t="s">
        <v>6210</v>
      </c>
      <c r="C2694">
        <f>+VLOOKUP(Sites_per_tag[[#This Row],[Field_office]],Parameter!$A$3:$B$11,2,0)</f>
        <v>10</v>
      </c>
      <c r="E2694" t="s">
        <v>5650</v>
      </c>
      <c r="F2694" t="s">
        <v>5654</v>
      </c>
      <c r="H2694" t="str">
        <f ca="1">PROPER(Sites_per_tag[[#This Row],[Adm2Name]])</f>
        <v>Betioky Atsimo</v>
      </c>
      <c r="I2694" t="s">
        <v>5688</v>
      </c>
      <c r="K2694" t="s">
        <v>5772</v>
      </c>
      <c r="L2694" t="s">
        <v>5835</v>
      </c>
      <c r="N2694" t="s">
        <v>3158</v>
      </c>
      <c r="Q2694" t="s">
        <v>3158</v>
      </c>
      <c r="R2694" t="s">
        <v>3159</v>
      </c>
      <c r="T2694" t="s">
        <v>32</v>
      </c>
      <c r="U2694" s="3" t="str">
        <f>+VLOOKUP(Sites_per_tag[[#This Row],[Activity_tag]],Parameter!$A$24:$B$32,2,0)</f>
        <v>PREV</v>
      </c>
      <c r="W2694">
        <v>44.529200000000003</v>
      </c>
      <c r="X2694">
        <v>-23.70017</v>
      </c>
    </row>
    <row r="2695" spans="1:24" x14ac:dyDescent="0.35">
      <c r="A2695" s="3" t="str">
        <f t="shared" si="42"/>
        <v>MG53517291035001MAM</v>
      </c>
      <c r="B2695" t="s">
        <v>6211</v>
      </c>
      <c r="C2695">
        <f>+VLOOKUP(Sites_per_tag[[#This Row],[Field_office]],Parameter!$A$3:$B$11,2,0)</f>
        <v>6</v>
      </c>
      <c r="E2695" t="s">
        <v>1448</v>
      </c>
      <c r="F2695" t="s">
        <v>5651</v>
      </c>
      <c r="H2695" t="str">
        <f ca="1">PROPER(Sites_per_tag[[#This Row],[Adm2Name]])</f>
        <v>Betroka</v>
      </c>
      <c r="I2695" t="s">
        <v>5691</v>
      </c>
      <c r="K2695" t="s">
        <v>6436</v>
      </c>
      <c r="L2695" t="s">
        <v>5982</v>
      </c>
      <c r="N2695" t="s">
        <v>3558</v>
      </c>
      <c r="O2695" t="s">
        <v>5112</v>
      </c>
      <c r="Q2695" t="s">
        <v>3581</v>
      </c>
      <c r="R2695" t="s">
        <v>3582</v>
      </c>
      <c r="T2695" t="s">
        <v>5</v>
      </c>
      <c r="U2695" s="3" t="str">
        <f>+VLOOKUP(Sites_per_tag[[#This Row],[Activity_tag]],Parameter!$A$24:$B$32,2,0)</f>
        <v>MAM</v>
      </c>
      <c r="W2695">
        <v>45.637619999999998</v>
      </c>
      <c r="X2695">
        <v>-23.896629999999998</v>
      </c>
    </row>
    <row r="2696" spans="1:24" x14ac:dyDescent="0.35">
      <c r="A2696" s="3" t="str">
        <f t="shared" si="42"/>
        <v>MG53517291056001MAM</v>
      </c>
      <c r="B2696" t="s">
        <v>6211</v>
      </c>
      <c r="C2696">
        <f>+VLOOKUP(Sites_per_tag[[#This Row],[Field_office]],Parameter!$A$3:$B$11,2,0)</f>
        <v>6</v>
      </c>
      <c r="E2696" t="s">
        <v>1448</v>
      </c>
      <c r="F2696" t="s">
        <v>5651</v>
      </c>
      <c r="H2696" t="str">
        <f ca="1">PROPER(Sites_per_tag[[#This Row],[Adm2Name]])</f>
        <v>Betroka</v>
      </c>
      <c r="I2696" t="s">
        <v>5691</v>
      </c>
      <c r="K2696" t="s">
        <v>6436</v>
      </c>
      <c r="L2696" t="s">
        <v>5982</v>
      </c>
      <c r="N2696" t="s">
        <v>744</v>
      </c>
      <c r="O2696" t="s">
        <v>2797</v>
      </c>
      <c r="Q2696" t="s">
        <v>746</v>
      </c>
      <c r="R2696" t="s">
        <v>747</v>
      </c>
      <c r="T2696" t="s">
        <v>5</v>
      </c>
      <c r="U2696" s="3" t="str">
        <f>+VLOOKUP(Sites_per_tag[[#This Row],[Activity_tag]],Parameter!$A$24:$B$32,2,0)</f>
        <v>MAM</v>
      </c>
      <c r="W2696">
        <v>45.360419999999998</v>
      </c>
      <c r="X2696">
        <v>-24.648530000000001</v>
      </c>
    </row>
    <row r="2697" spans="1:24" x14ac:dyDescent="0.35">
      <c r="A2697" s="3" t="str">
        <f t="shared" si="42"/>
        <v>MG53517291056PREV</v>
      </c>
      <c r="B2697" t="s">
        <v>6210</v>
      </c>
      <c r="C2697">
        <f>+VLOOKUP(Sites_per_tag[[#This Row],[Field_office]],Parameter!$A$3:$B$11,2,0)</f>
        <v>10</v>
      </c>
      <c r="E2697" t="s">
        <v>5650</v>
      </c>
      <c r="F2697" t="s">
        <v>5654</v>
      </c>
      <c r="H2697" t="str">
        <f ca="1">PROPER(Sites_per_tag[[#This Row],[Adm2Name]])</f>
        <v>Betioky Atsimo</v>
      </c>
      <c r="I2697" t="s">
        <v>5688</v>
      </c>
      <c r="K2697" t="s">
        <v>5772</v>
      </c>
      <c r="L2697" t="s">
        <v>5835</v>
      </c>
      <c r="N2697" t="s">
        <v>2795</v>
      </c>
      <c r="Q2697" t="s">
        <v>2795</v>
      </c>
      <c r="R2697" t="s">
        <v>2797</v>
      </c>
      <c r="T2697" t="s">
        <v>32</v>
      </c>
      <c r="U2697" s="3" t="str">
        <f>+VLOOKUP(Sites_per_tag[[#This Row],[Activity_tag]],Parameter!$A$24:$B$32,2,0)</f>
        <v>PREV</v>
      </c>
      <c r="W2697">
        <v>44.635950000000001</v>
      </c>
      <c r="X2697">
        <v>-23.629629999999999</v>
      </c>
    </row>
    <row r="2698" spans="1:24" x14ac:dyDescent="0.35">
      <c r="A2698" s="3" t="str">
        <f t="shared" si="42"/>
        <v>MG53517291067001MAM</v>
      </c>
      <c r="B2698" t="s">
        <v>6211</v>
      </c>
      <c r="C2698">
        <f>+VLOOKUP(Sites_per_tag[[#This Row],[Field_office]],Parameter!$A$3:$B$11,2,0)</f>
        <v>6</v>
      </c>
      <c r="E2698" t="s">
        <v>1448</v>
      </c>
      <c r="F2698" t="s">
        <v>5651</v>
      </c>
      <c r="H2698" t="str">
        <f ca="1">PROPER(Sites_per_tag[[#This Row],[Adm2Name]])</f>
        <v>Betroka</v>
      </c>
      <c r="I2698" t="s">
        <v>5691</v>
      </c>
      <c r="K2698" t="s">
        <v>6436</v>
      </c>
      <c r="L2698" t="s">
        <v>5982</v>
      </c>
      <c r="N2698" t="s">
        <v>3423</v>
      </c>
      <c r="O2698" t="s">
        <v>5113</v>
      </c>
      <c r="Q2698" t="s">
        <v>3425</v>
      </c>
      <c r="R2698" t="s">
        <v>3426</v>
      </c>
      <c r="T2698" t="s">
        <v>5</v>
      </c>
      <c r="U2698" s="3" t="str">
        <f>+VLOOKUP(Sites_per_tag[[#This Row],[Activity_tag]],Parameter!$A$24:$B$32,2,0)</f>
        <v>MAM</v>
      </c>
      <c r="W2698">
        <v>45.739429999999999</v>
      </c>
      <c r="X2698">
        <v>-23.835149999999999</v>
      </c>
    </row>
    <row r="2699" spans="1:24" x14ac:dyDescent="0.35">
      <c r="A2699" s="3" t="str">
        <f t="shared" si="42"/>
        <v>MG53517291084001MAM</v>
      </c>
      <c r="B2699" t="s">
        <v>6211</v>
      </c>
      <c r="C2699">
        <f>+VLOOKUP(Sites_per_tag[[#This Row],[Field_office]],Parameter!$A$3:$B$11,2,0)</f>
        <v>6</v>
      </c>
      <c r="E2699" t="s">
        <v>1448</v>
      </c>
      <c r="F2699" t="s">
        <v>5651</v>
      </c>
      <c r="H2699" t="str">
        <f ca="1">PROPER(Sites_per_tag[[#This Row],[Adm2Name]])</f>
        <v>Betroka</v>
      </c>
      <c r="I2699" t="s">
        <v>5691</v>
      </c>
      <c r="K2699" t="s">
        <v>6436</v>
      </c>
      <c r="L2699" t="s">
        <v>5982</v>
      </c>
      <c r="N2699" t="s">
        <v>789</v>
      </c>
      <c r="O2699" t="s">
        <v>5114</v>
      </c>
      <c r="Q2699" t="s">
        <v>789</v>
      </c>
      <c r="R2699" t="s">
        <v>790</v>
      </c>
      <c r="T2699" t="s">
        <v>5</v>
      </c>
      <c r="U2699" s="3" t="str">
        <f>+VLOOKUP(Sites_per_tag[[#This Row],[Activity_tag]],Parameter!$A$24:$B$32,2,0)</f>
        <v>MAM</v>
      </c>
      <c r="W2699">
        <v>45.702779999999997</v>
      </c>
      <c r="X2699">
        <v>-23.83005</v>
      </c>
    </row>
    <row r="2700" spans="1:24" x14ac:dyDescent="0.35">
      <c r="A2700" s="3" t="str">
        <f t="shared" si="42"/>
        <v>MG53517291099001MAM</v>
      </c>
      <c r="B2700" t="s">
        <v>6211</v>
      </c>
      <c r="C2700">
        <f>+VLOOKUP(Sites_per_tag[[#This Row],[Field_office]],Parameter!$A$3:$B$11,2,0)</f>
        <v>6</v>
      </c>
      <c r="E2700" t="s">
        <v>1448</v>
      </c>
      <c r="F2700" t="s">
        <v>5651</v>
      </c>
      <c r="H2700" t="str">
        <f ca="1">PROPER(Sites_per_tag[[#This Row],[Adm2Name]])</f>
        <v>Betroka</v>
      </c>
      <c r="I2700" t="s">
        <v>5691</v>
      </c>
      <c r="K2700" t="s">
        <v>6436</v>
      </c>
      <c r="L2700" t="s">
        <v>5982</v>
      </c>
      <c r="N2700" t="s">
        <v>5116</v>
      </c>
      <c r="O2700" t="s">
        <v>5115</v>
      </c>
      <c r="Q2700" t="s">
        <v>1962</v>
      </c>
      <c r="R2700" t="s">
        <v>1963</v>
      </c>
      <c r="T2700" t="s">
        <v>5</v>
      </c>
      <c r="U2700" s="3" t="str">
        <f>+VLOOKUP(Sites_per_tag[[#This Row],[Activity_tag]],Parameter!$A$24:$B$32,2,0)</f>
        <v>MAM</v>
      </c>
      <c r="W2700">
        <v>45.713549999999998</v>
      </c>
      <c r="X2700">
        <v>-23.850930000000002</v>
      </c>
    </row>
    <row r="2701" spans="1:24" x14ac:dyDescent="0.35">
      <c r="A2701" s="3" t="str">
        <f t="shared" si="42"/>
        <v>MG53517293001001MAM</v>
      </c>
      <c r="B2701" t="s">
        <v>6211</v>
      </c>
      <c r="C2701">
        <f>+VLOOKUP(Sites_per_tag[[#This Row],[Field_office]],Parameter!$A$3:$B$11,2,0)</f>
        <v>6</v>
      </c>
      <c r="E2701" t="s">
        <v>1448</v>
      </c>
      <c r="F2701" t="s">
        <v>5651</v>
      </c>
      <c r="H2701" t="str">
        <f ca="1">PROPER(Sites_per_tag[[#This Row],[Adm2Name]])</f>
        <v>Betroka</v>
      </c>
      <c r="I2701" t="s">
        <v>5691</v>
      </c>
      <c r="K2701" t="s">
        <v>5382</v>
      </c>
      <c r="L2701" t="s">
        <v>6081</v>
      </c>
      <c r="N2701" t="s">
        <v>5382</v>
      </c>
      <c r="O2701" t="s">
        <v>5381</v>
      </c>
      <c r="Q2701" t="s">
        <v>3272</v>
      </c>
      <c r="R2701" t="s">
        <v>3273</v>
      </c>
      <c r="T2701" t="s">
        <v>5</v>
      </c>
      <c r="U2701" s="3" t="str">
        <f>+VLOOKUP(Sites_per_tag[[#This Row],[Activity_tag]],Parameter!$A$24:$B$32,2,0)</f>
        <v>MAM</v>
      </c>
      <c r="W2701">
        <v>45.694629999999997</v>
      </c>
      <c r="X2701">
        <v>-23.600629999999999</v>
      </c>
    </row>
    <row r="2702" spans="1:24" x14ac:dyDescent="0.35">
      <c r="A2702" s="3" t="str">
        <f t="shared" si="42"/>
        <v>MG53517293005001MAM</v>
      </c>
      <c r="B2702" t="s">
        <v>6211</v>
      </c>
      <c r="C2702">
        <f>+VLOOKUP(Sites_per_tag[[#This Row],[Field_office]],Parameter!$A$3:$B$11,2,0)</f>
        <v>6</v>
      </c>
      <c r="E2702" t="s">
        <v>1448</v>
      </c>
      <c r="F2702" t="s">
        <v>5651</v>
      </c>
      <c r="H2702" t="str">
        <f ca="1">PROPER(Sites_per_tag[[#This Row],[Adm2Name]])</f>
        <v>Amboasary-Atsimo</v>
      </c>
      <c r="I2702" t="s">
        <v>5641</v>
      </c>
      <c r="K2702" t="s">
        <v>3046</v>
      </c>
      <c r="L2702" t="s">
        <v>6046</v>
      </c>
      <c r="N2702" t="s">
        <v>3601</v>
      </c>
      <c r="O2702" t="s">
        <v>5312</v>
      </c>
      <c r="Q2702" t="s">
        <v>3601</v>
      </c>
      <c r="R2702" t="s">
        <v>3602</v>
      </c>
      <c r="T2702" t="s">
        <v>5</v>
      </c>
      <c r="U2702" s="3" t="str">
        <f>+VLOOKUP(Sites_per_tag[[#This Row],[Activity_tag]],Parameter!$A$24:$B$32,2,0)</f>
        <v>MAM</v>
      </c>
      <c r="W2702">
        <v>46.619500000000002</v>
      </c>
      <c r="X2702">
        <v>-24.324066999999999</v>
      </c>
    </row>
    <row r="2703" spans="1:24" x14ac:dyDescent="0.35">
      <c r="A2703" s="3" t="str">
        <f t="shared" si="42"/>
        <v>MG53517293025001MAM</v>
      </c>
      <c r="B2703" t="s">
        <v>6211</v>
      </c>
      <c r="C2703">
        <f>+VLOOKUP(Sites_per_tag[[#This Row],[Field_office]],Parameter!$A$3:$B$11,2,0)</f>
        <v>6</v>
      </c>
      <c r="E2703" t="s">
        <v>1448</v>
      </c>
      <c r="F2703" t="s">
        <v>5651</v>
      </c>
      <c r="H2703" t="str">
        <f ca="1">PROPER(Sites_per_tag[[#This Row],[Adm2Name]])</f>
        <v>Betroka</v>
      </c>
      <c r="I2703" t="s">
        <v>5691</v>
      </c>
      <c r="K2703" t="s">
        <v>5382</v>
      </c>
      <c r="L2703" t="s">
        <v>6081</v>
      </c>
      <c r="N2703" t="s">
        <v>3587</v>
      </c>
      <c r="O2703" t="s">
        <v>5383</v>
      </c>
      <c r="Q2703" t="s">
        <v>3612</v>
      </c>
      <c r="R2703" t="s">
        <v>3613</v>
      </c>
      <c r="T2703" t="s">
        <v>5</v>
      </c>
      <c r="U2703" s="3" t="str">
        <f>+VLOOKUP(Sites_per_tag[[#This Row],[Activity_tag]],Parameter!$A$24:$B$32,2,0)</f>
        <v>MAM</v>
      </c>
      <c r="W2703">
        <v>45.739400000000003</v>
      </c>
      <c r="X2703">
        <v>-23.563800000000001</v>
      </c>
    </row>
    <row r="2704" spans="1:24" x14ac:dyDescent="0.35">
      <c r="A2704" s="3" t="str">
        <f t="shared" si="42"/>
        <v>MG53517310001001MAM</v>
      </c>
      <c r="B2704" t="s">
        <v>6211</v>
      </c>
      <c r="C2704">
        <f>+VLOOKUP(Sites_per_tag[[#This Row],[Field_office]],Parameter!$A$3:$B$11,2,0)</f>
        <v>6</v>
      </c>
      <c r="E2704" t="s">
        <v>1448</v>
      </c>
      <c r="F2704" t="s">
        <v>5651</v>
      </c>
      <c r="H2704" t="str">
        <f ca="1">PROPER(Sites_per_tag[[#This Row],[Adm2Name]])</f>
        <v>Betroka</v>
      </c>
      <c r="I2704" t="s">
        <v>5691</v>
      </c>
      <c r="K2704" t="s">
        <v>2542</v>
      </c>
      <c r="L2704" t="s">
        <v>5968</v>
      </c>
      <c r="N2704" t="s">
        <v>2542</v>
      </c>
      <c r="O2704" t="s">
        <v>5031</v>
      </c>
      <c r="Q2704" t="s">
        <v>2544</v>
      </c>
      <c r="R2704" t="s">
        <v>2545</v>
      </c>
      <c r="T2704" t="s">
        <v>5</v>
      </c>
      <c r="U2704" s="3" t="str">
        <f>+VLOOKUP(Sites_per_tag[[#This Row],[Activity_tag]],Parameter!$A$24:$B$32,2,0)</f>
        <v>MAM</v>
      </c>
      <c r="W2704">
        <v>45.4651</v>
      </c>
      <c r="X2704">
        <v>-23.339680000000001</v>
      </c>
    </row>
    <row r="2705" spans="1:24" x14ac:dyDescent="0.35">
      <c r="A2705" s="3" t="str">
        <f t="shared" si="42"/>
        <v>MG53517310003001MAM</v>
      </c>
      <c r="B2705" t="s">
        <v>6211</v>
      </c>
      <c r="C2705">
        <f>+VLOOKUP(Sites_per_tag[[#This Row],[Field_office]],Parameter!$A$3:$B$11,2,0)</f>
        <v>6</v>
      </c>
      <c r="E2705" t="s">
        <v>1448</v>
      </c>
      <c r="F2705" t="s">
        <v>5651</v>
      </c>
      <c r="H2705" t="str">
        <f ca="1">PROPER(Sites_per_tag[[#This Row],[Adm2Name]])</f>
        <v>Betroka</v>
      </c>
      <c r="I2705" t="s">
        <v>5691</v>
      </c>
      <c r="K2705" t="s">
        <v>2542</v>
      </c>
      <c r="L2705" t="s">
        <v>5968</v>
      </c>
      <c r="N2705" t="s">
        <v>5033</v>
      </c>
      <c r="O2705" t="s">
        <v>5032</v>
      </c>
      <c r="Q2705" t="s">
        <v>1637</v>
      </c>
      <c r="R2705" t="s">
        <v>1638</v>
      </c>
      <c r="T2705" t="s">
        <v>5</v>
      </c>
      <c r="U2705" s="3" t="str">
        <f>+VLOOKUP(Sites_per_tag[[#This Row],[Activity_tag]],Parameter!$A$24:$B$32,2,0)</f>
        <v>MAM</v>
      </c>
      <c r="W2705">
        <v>45.433399999999999</v>
      </c>
      <c r="X2705">
        <v>-23.28593</v>
      </c>
    </row>
    <row r="2706" spans="1:24" x14ac:dyDescent="0.35">
      <c r="A2706" s="3" t="str">
        <f t="shared" si="42"/>
        <v>MG53517310005001MAM</v>
      </c>
      <c r="B2706" t="s">
        <v>6211</v>
      </c>
      <c r="C2706">
        <f>+VLOOKUP(Sites_per_tag[[#This Row],[Field_office]],Parameter!$A$3:$B$11,2,0)</f>
        <v>6</v>
      </c>
      <c r="E2706" t="s">
        <v>1448</v>
      </c>
      <c r="F2706" t="s">
        <v>5651</v>
      </c>
      <c r="H2706" t="str">
        <f ca="1">PROPER(Sites_per_tag[[#This Row],[Adm2Name]])</f>
        <v>Betroka</v>
      </c>
      <c r="I2706" t="s">
        <v>5691</v>
      </c>
      <c r="K2706" t="s">
        <v>2542</v>
      </c>
      <c r="L2706" t="s">
        <v>5968</v>
      </c>
      <c r="N2706" t="s">
        <v>5035</v>
      </c>
      <c r="O2706" t="s">
        <v>5034</v>
      </c>
      <c r="Q2706" t="s">
        <v>253</v>
      </c>
      <c r="R2706" t="s">
        <v>254</v>
      </c>
      <c r="T2706" t="s">
        <v>5</v>
      </c>
      <c r="U2706" s="3" t="str">
        <f>+VLOOKUP(Sites_per_tag[[#This Row],[Activity_tag]],Parameter!$A$24:$B$32,2,0)</f>
        <v>MAM</v>
      </c>
      <c r="W2706">
        <v>45.532769999999999</v>
      </c>
      <c r="X2706">
        <v>-23.389620000000001</v>
      </c>
    </row>
    <row r="2707" spans="1:24" x14ac:dyDescent="0.35">
      <c r="A2707" s="3" t="str">
        <f t="shared" si="42"/>
        <v>MG53517310006001MAM</v>
      </c>
      <c r="B2707" t="s">
        <v>6211</v>
      </c>
      <c r="C2707">
        <f>+VLOOKUP(Sites_per_tag[[#This Row],[Field_office]],Parameter!$A$3:$B$11,2,0)</f>
        <v>6</v>
      </c>
      <c r="E2707" t="s">
        <v>1448</v>
      </c>
      <c r="F2707" t="s">
        <v>5651</v>
      </c>
      <c r="H2707" t="str">
        <f ca="1">PROPER(Sites_per_tag[[#This Row],[Adm2Name]])</f>
        <v>Betroka</v>
      </c>
      <c r="I2707" t="s">
        <v>5691</v>
      </c>
      <c r="K2707" t="s">
        <v>2542</v>
      </c>
      <c r="L2707" t="s">
        <v>5968</v>
      </c>
      <c r="N2707" t="s">
        <v>5037</v>
      </c>
      <c r="O2707" t="s">
        <v>5036</v>
      </c>
      <c r="Q2707" t="s">
        <v>1149</v>
      </c>
      <c r="R2707" t="s">
        <v>1150</v>
      </c>
      <c r="T2707" t="s">
        <v>5</v>
      </c>
      <c r="U2707" s="3" t="str">
        <f>+VLOOKUP(Sites_per_tag[[#This Row],[Activity_tag]],Parameter!$A$24:$B$32,2,0)</f>
        <v>MAM</v>
      </c>
      <c r="W2707">
        <v>45.486969999999999</v>
      </c>
      <c r="X2707">
        <v>-23.35342</v>
      </c>
    </row>
    <row r="2708" spans="1:24" x14ac:dyDescent="0.35">
      <c r="A2708" s="3" t="str">
        <f t="shared" si="42"/>
        <v>MG53517310008001MAM</v>
      </c>
      <c r="B2708" t="s">
        <v>6211</v>
      </c>
      <c r="C2708">
        <f>+VLOOKUP(Sites_per_tag[[#This Row],[Field_office]],Parameter!$A$3:$B$11,2,0)</f>
        <v>6</v>
      </c>
      <c r="E2708" t="s">
        <v>1448</v>
      </c>
      <c r="F2708" t="s">
        <v>5651</v>
      </c>
      <c r="H2708" t="str">
        <f ca="1">PROPER(Sites_per_tag[[#This Row],[Adm2Name]])</f>
        <v>Betroka</v>
      </c>
      <c r="I2708" t="s">
        <v>5691</v>
      </c>
      <c r="K2708" t="s">
        <v>2542</v>
      </c>
      <c r="L2708" t="s">
        <v>5968</v>
      </c>
      <c r="N2708" t="s">
        <v>5039</v>
      </c>
      <c r="O2708" t="s">
        <v>5038</v>
      </c>
      <c r="Q2708" t="s">
        <v>3603</v>
      </c>
      <c r="R2708" t="s">
        <v>3604</v>
      </c>
      <c r="T2708" t="s">
        <v>5</v>
      </c>
      <c r="U2708" s="3" t="str">
        <f>+VLOOKUP(Sites_per_tag[[#This Row],[Activity_tag]],Parameter!$A$24:$B$32,2,0)</f>
        <v>MAM</v>
      </c>
      <c r="W2708">
        <v>45.401769999999999</v>
      </c>
      <c r="X2708">
        <v>-23.38353</v>
      </c>
    </row>
    <row r="2709" spans="1:24" x14ac:dyDescent="0.35">
      <c r="A2709" s="3" t="str">
        <f t="shared" si="42"/>
        <v>MG53517310012001MAM</v>
      </c>
      <c r="B2709" t="s">
        <v>6211</v>
      </c>
      <c r="C2709">
        <f>+VLOOKUP(Sites_per_tag[[#This Row],[Field_office]],Parameter!$A$3:$B$11,2,0)</f>
        <v>6</v>
      </c>
      <c r="E2709" t="s">
        <v>1448</v>
      </c>
      <c r="F2709" t="s">
        <v>5651</v>
      </c>
      <c r="H2709" t="str">
        <f ca="1">PROPER(Sites_per_tag[[#This Row],[Adm2Name]])</f>
        <v>Betroka</v>
      </c>
      <c r="I2709" t="s">
        <v>5691</v>
      </c>
      <c r="K2709" t="s">
        <v>2542</v>
      </c>
      <c r="L2709" t="s">
        <v>5968</v>
      </c>
      <c r="N2709" t="s">
        <v>436</v>
      </c>
      <c r="O2709" t="s">
        <v>5040</v>
      </c>
      <c r="Q2709" t="s">
        <v>438</v>
      </c>
      <c r="R2709" t="s">
        <v>439</v>
      </c>
      <c r="T2709" t="s">
        <v>5</v>
      </c>
      <c r="U2709" s="3" t="str">
        <f>+VLOOKUP(Sites_per_tag[[#This Row],[Activity_tag]],Parameter!$A$24:$B$32,2,0)</f>
        <v>MAM</v>
      </c>
      <c r="W2709">
        <v>45.501429999999999</v>
      </c>
      <c r="X2709">
        <v>-23.400279999999999</v>
      </c>
    </row>
    <row r="2710" spans="1:24" x14ac:dyDescent="0.35">
      <c r="A2710" s="3" t="str">
        <f t="shared" si="42"/>
        <v>MG53517310014001MAM</v>
      </c>
      <c r="B2710" t="s">
        <v>6211</v>
      </c>
      <c r="C2710">
        <f>+VLOOKUP(Sites_per_tag[[#This Row],[Field_office]],Parameter!$A$3:$B$11,2,0)</f>
        <v>6</v>
      </c>
      <c r="E2710" t="s">
        <v>1448</v>
      </c>
      <c r="F2710" t="s">
        <v>5651</v>
      </c>
      <c r="H2710" t="str">
        <f ca="1">PROPER(Sites_per_tag[[#This Row],[Adm2Name]])</f>
        <v>Betroka</v>
      </c>
      <c r="I2710" t="s">
        <v>5691</v>
      </c>
      <c r="K2710" t="s">
        <v>2542</v>
      </c>
      <c r="L2710" t="s">
        <v>5968</v>
      </c>
      <c r="N2710" t="s">
        <v>2152</v>
      </c>
      <c r="O2710" t="s">
        <v>5041</v>
      </c>
      <c r="Q2710" t="s">
        <v>2156</v>
      </c>
      <c r="R2710" t="s">
        <v>2157</v>
      </c>
      <c r="T2710" t="s">
        <v>5</v>
      </c>
      <c r="U2710" s="3" t="str">
        <f>+VLOOKUP(Sites_per_tag[[#This Row],[Activity_tag]],Parameter!$A$24:$B$32,2,0)</f>
        <v>MAM</v>
      </c>
      <c r="W2710">
        <v>45.372669999999999</v>
      </c>
      <c r="X2710">
        <v>-23.41385</v>
      </c>
    </row>
    <row r="2711" spans="1:24" x14ac:dyDescent="0.35">
      <c r="A2711" s="3" t="str">
        <f t="shared" si="42"/>
        <v>MG53517310015001MAM</v>
      </c>
      <c r="B2711" t="s">
        <v>6211</v>
      </c>
      <c r="C2711">
        <f>+VLOOKUP(Sites_per_tag[[#This Row],[Field_office]],Parameter!$A$3:$B$11,2,0)</f>
        <v>6</v>
      </c>
      <c r="E2711" t="s">
        <v>1448</v>
      </c>
      <c r="F2711" t="s">
        <v>5651</v>
      </c>
      <c r="H2711" t="str">
        <f ca="1">PROPER(Sites_per_tag[[#This Row],[Adm2Name]])</f>
        <v>Betroka</v>
      </c>
      <c r="I2711" t="s">
        <v>5691</v>
      </c>
      <c r="K2711" t="s">
        <v>2542</v>
      </c>
      <c r="L2711" t="s">
        <v>5968</v>
      </c>
      <c r="N2711" t="s">
        <v>5043</v>
      </c>
      <c r="O2711" t="s">
        <v>5042</v>
      </c>
      <c r="Q2711" t="s">
        <v>3940</v>
      </c>
      <c r="R2711" t="s">
        <v>3941</v>
      </c>
      <c r="T2711" t="s">
        <v>5</v>
      </c>
      <c r="U2711" s="3" t="str">
        <f>+VLOOKUP(Sites_per_tag[[#This Row],[Activity_tag]],Parameter!$A$24:$B$32,2,0)</f>
        <v>MAM</v>
      </c>
      <c r="W2711">
        <v>45.423670000000001</v>
      </c>
      <c r="X2711">
        <v>-23.461300000000001</v>
      </c>
    </row>
    <row r="2712" spans="1:24" x14ac:dyDescent="0.35">
      <c r="A2712" s="3" t="str">
        <f t="shared" si="42"/>
        <v>MG53517310054001MAM</v>
      </c>
      <c r="B2712" t="s">
        <v>6211</v>
      </c>
      <c r="C2712">
        <f>+VLOOKUP(Sites_per_tag[[#This Row],[Field_office]],Parameter!$A$3:$B$11,2,0)</f>
        <v>6</v>
      </c>
      <c r="E2712" t="s">
        <v>1448</v>
      </c>
      <c r="F2712" t="s">
        <v>5651</v>
      </c>
      <c r="H2712" t="str">
        <f ca="1">PROPER(Sites_per_tag[[#This Row],[Adm2Name]])</f>
        <v>Betroka</v>
      </c>
      <c r="I2712" t="s">
        <v>5691</v>
      </c>
      <c r="K2712" t="s">
        <v>2542</v>
      </c>
      <c r="L2712" t="s">
        <v>5968</v>
      </c>
      <c r="N2712" t="s">
        <v>2756</v>
      </c>
      <c r="O2712" t="s">
        <v>5044</v>
      </c>
      <c r="Q2712" t="s">
        <v>2756</v>
      </c>
      <c r="R2712" t="s">
        <v>2757</v>
      </c>
      <c r="T2712" t="s">
        <v>5</v>
      </c>
      <c r="U2712" s="3" t="str">
        <f>+VLOOKUP(Sites_per_tag[[#This Row],[Activity_tag]],Parameter!$A$24:$B$32,2,0)</f>
        <v>MAM</v>
      </c>
      <c r="W2712">
        <v>45.479669999999999</v>
      </c>
      <c r="X2712">
        <v>-23.35652</v>
      </c>
    </row>
    <row r="2713" spans="1:24" x14ac:dyDescent="0.35">
      <c r="A2713" s="3" t="str">
        <f t="shared" si="42"/>
        <v>MG53517310067001MAM</v>
      </c>
      <c r="B2713" t="s">
        <v>6211</v>
      </c>
      <c r="C2713">
        <f>+VLOOKUP(Sites_per_tag[[#This Row],[Field_office]],Parameter!$A$3:$B$11,2,0)</f>
        <v>6</v>
      </c>
      <c r="E2713" t="s">
        <v>1448</v>
      </c>
      <c r="F2713" t="s">
        <v>5651</v>
      </c>
      <c r="H2713" t="str">
        <f ca="1">PROPER(Sites_per_tag[[#This Row],[Adm2Name]])</f>
        <v>Betroka</v>
      </c>
      <c r="I2713" t="s">
        <v>5691</v>
      </c>
      <c r="K2713" t="s">
        <v>2542</v>
      </c>
      <c r="L2713" t="s">
        <v>5968</v>
      </c>
      <c r="N2713" t="s">
        <v>2571</v>
      </c>
      <c r="O2713" t="s">
        <v>5045</v>
      </c>
      <c r="Q2713" t="s">
        <v>2571</v>
      </c>
      <c r="R2713" t="s">
        <v>2572</v>
      </c>
      <c r="T2713" t="s">
        <v>5</v>
      </c>
      <c r="U2713" s="3" t="str">
        <f>+VLOOKUP(Sites_per_tag[[#This Row],[Activity_tag]],Parameter!$A$24:$B$32,2,0)</f>
        <v>MAM</v>
      </c>
      <c r="W2713">
        <v>45.437199999999997</v>
      </c>
      <c r="X2713">
        <v>-23.44415</v>
      </c>
    </row>
    <row r="2714" spans="1:24" x14ac:dyDescent="0.35">
      <c r="A2714" s="3" t="str">
        <f t="shared" si="42"/>
        <v>MG53517331004001MAM</v>
      </c>
      <c r="B2714" t="s">
        <v>6193</v>
      </c>
      <c r="C2714">
        <f>+VLOOKUP(Sites_per_tag[[#This Row],[Field_office]],Parameter!$A$3:$B$11,2,0)</f>
        <v>4</v>
      </c>
      <c r="E2714" t="s">
        <v>5658</v>
      </c>
      <c r="F2714" t="s">
        <v>5659</v>
      </c>
      <c r="H2714" t="str">
        <f ca="1">PROPER(Sites_per_tag[[#This Row],[Adm2Name]])</f>
        <v>Vangaindrano</v>
      </c>
      <c r="I2714" t="s">
        <v>5734</v>
      </c>
      <c r="K2714" t="s">
        <v>436</v>
      </c>
      <c r="L2714" t="s">
        <v>5747</v>
      </c>
      <c r="N2714" t="s">
        <v>2748</v>
      </c>
      <c r="O2714" t="s">
        <v>4382</v>
      </c>
      <c r="Q2714" t="s">
        <v>2748</v>
      </c>
      <c r="R2714" t="s">
        <v>2749</v>
      </c>
      <c r="T2714" t="s">
        <v>5</v>
      </c>
      <c r="U2714" s="3" t="str">
        <f>+VLOOKUP(Sites_per_tag[[#This Row],[Activity_tag]],Parameter!$A$24:$B$32,2,0)</f>
        <v>MAM</v>
      </c>
      <c r="W2714">
        <v>47.200879999999998</v>
      </c>
      <c r="X2714">
        <v>-23.411819999999999</v>
      </c>
    </row>
    <row r="2715" spans="1:24" x14ac:dyDescent="0.35">
      <c r="A2715" s="3" t="str">
        <f t="shared" si="42"/>
        <v>MG53517332001001MAM</v>
      </c>
      <c r="B2715" t="s">
        <v>6211</v>
      </c>
      <c r="C2715">
        <f>+VLOOKUP(Sites_per_tag[[#This Row],[Field_office]],Parameter!$A$3:$B$11,2,0)</f>
        <v>6</v>
      </c>
      <c r="E2715" t="s">
        <v>1448</v>
      </c>
      <c r="F2715" t="s">
        <v>5651</v>
      </c>
      <c r="H2715" t="str">
        <f ca="1">PROPER(Sites_per_tag[[#This Row],[Adm2Name]])</f>
        <v>Betroka</v>
      </c>
      <c r="I2715" t="s">
        <v>5691</v>
      </c>
      <c r="K2715" t="s">
        <v>6401</v>
      </c>
      <c r="L2715" t="s">
        <v>6092</v>
      </c>
      <c r="N2715" t="s">
        <v>5405</v>
      </c>
      <c r="O2715" t="s">
        <v>5404</v>
      </c>
      <c r="Q2715" t="s">
        <v>3367</v>
      </c>
      <c r="R2715" t="s">
        <v>3368</v>
      </c>
      <c r="T2715" t="s">
        <v>5</v>
      </c>
      <c r="U2715" s="3" t="str">
        <f>+VLOOKUP(Sites_per_tag[[#This Row],[Activity_tag]],Parameter!$A$24:$B$32,2,0)</f>
        <v>MAM</v>
      </c>
      <c r="W2715">
        <v>45.468899999999998</v>
      </c>
      <c r="X2715">
        <v>-22.97917</v>
      </c>
    </row>
    <row r="2716" spans="1:24" x14ac:dyDescent="0.35">
      <c r="A2716" s="3" t="str">
        <f t="shared" si="42"/>
        <v>MG53517332002001MAM</v>
      </c>
      <c r="B2716" t="s">
        <v>6211</v>
      </c>
      <c r="C2716">
        <f>+VLOOKUP(Sites_per_tag[[#This Row],[Field_office]],Parameter!$A$3:$B$11,2,0)</f>
        <v>6</v>
      </c>
      <c r="E2716" t="s">
        <v>1448</v>
      </c>
      <c r="F2716" t="s">
        <v>5651</v>
      </c>
      <c r="H2716" t="str">
        <f ca="1">PROPER(Sites_per_tag[[#This Row],[Adm2Name]])</f>
        <v>Betroka</v>
      </c>
      <c r="I2716" t="s">
        <v>5691</v>
      </c>
      <c r="K2716" t="s">
        <v>6401</v>
      </c>
      <c r="L2716" t="s">
        <v>6092</v>
      </c>
      <c r="N2716" t="s">
        <v>5407</v>
      </c>
      <c r="O2716" t="s">
        <v>5406</v>
      </c>
      <c r="Q2716" t="s">
        <v>312</v>
      </c>
      <c r="R2716" t="s">
        <v>313</v>
      </c>
      <c r="T2716" t="s">
        <v>5</v>
      </c>
      <c r="U2716" s="3" t="str">
        <f>+VLOOKUP(Sites_per_tag[[#This Row],[Activity_tag]],Parameter!$A$24:$B$32,2,0)</f>
        <v>MAM</v>
      </c>
      <c r="W2716">
        <v>45.554600000000001</v>
      </c>
      <c r="X2716">
        <v>-22.959219999999998</v>
      </c>
    </row>
    <row r="2717" spans="1:24" x14ac:dyDescent="0.35">
      <c r="A2717" s="3" t="str">
        <f t="shared" si="42"/>
        <v>MG53517332003001MAM</v>
      </c>
      <c r="B2717" t="s">
        <v>6211</v>
      </c>
      <c r="C2717">
        <f>+VLOOKUP(Sites_per_tag[[#This Row],[Field_office]],Parameter!$A$3:$B$11,2,0)</f>
        <v>6</v>
      </c>
      <c r="E2717" t="s">
        <v>1448</v>
      </c>
      <c r="F2717" t="s">
        <v>5651</v>
      </c>
      <c r="H2717" t="str">
        <f ca="1">PROPER(Sites_per_tag[[#This Row],[Adm2Name]])</f>
        <v>Betroka</v>
      </c>
      <c r="I2717" t="s">
        <v>5691</v>
      </c>
      <c r="K2717" t="s">
        <v>6401</v>
      </c>
      <c r="L2717" t="s">
        <v>6092</v>
      </c>
      <c r="N2717" t="s">
        <v>5409</v>
      </c>
      <c r="O2717" t="s">
        <v>5408</v>
      </c>
      <c r="Q2717" t="s">
        <v>164</v>
      </c>
      <c r="R2717" t="s">
        <v>165</v>
      </c>
      <c r="T2717" t="s">
        <v>5</v>
      </c>
      <c r="U2717" s="3" t="str">
        <f>+VLOOKUP(Sites_per_tag[[#This Row],[Activity_tag]],Parameter!$A$24:$B$32,2,0)</f>
        <v>MAM</v>
      </c>
      <c r="W2717">
        <v>45.479430000000001</v>
      </c>
      <c r="X2717">
        <v>-23.029119999999999</v>
      </c>
    </row>
    <row r="2718" spans="1:24" x14ac:dyDescent="0.35">
      <c r="A2718" s="3" t="str">
        <f t="shared" si="42"/>
        <v>MG53517350003001MAM</v>
      </c>
      <c r="B2718" t="s">
        <v>6211</v>
      </c>
      <c r="C2718">
        <f>+VLOOKUP(Sites_per_tag[[#This Row],[Field_office]],Parameter!$A$3:$B$11,2,0)</f>
        <v>6</v>
      </c>
      <c r="E2718" t="s">
        <v>1448</v>
      </c>
      <c r="F2718" t="s">
        <v>5651</v>
      </c>
      <c r="H2718" t="str">
        <f ca="1">PROPER(Sites_per_tag[[#This Row],[Adm2Name]])</f>
        <v>Betroka</v>
      </c>
      <c r="I2718" t="s">
        <v>5691</v>
      </c>
      <c r="K2718" t="s">
        <v>6562</v>
      </c>
      <c r="L2718" t="s">
        <v>5693</v>
      </c>
      <c r="N2718" t="s">
        <v>4302</v>
      </c>
      <c r="O2718" t="s">
        <v>4301</v>
      </c>
      <c r="Q2718" t="s">
        <v>3948</v>
      </c>
      <c r="R2718" t="s">
        <v>3949</v>
      </c>
      <c r="T2718" t="s">
        <v>5</v>
      </c>
      <c r="U2718" s="3" t="str">
        <f>+VLOOKUP(Sites_per_tag[[#This Row],[Activity_tag]],Parameter!$A$24:$B$32,2,0)</f>
        <v>MAM</v>
      </c>
      <c r="W2718">
        <v>45.605879999999999</v>
      </c>
      <c r="X2718">
        <v>-23.816970000000001</v>
      </c>
    </row>
    <row r="2719" spans="1:24" x14ac:dyDescent="0.35">
      <c r="A2719" s="3" t="str">
        <f t="shared" si="42"/>
        <v>MG53517350012001MAM</v>
      </c>
      <c r="B2719" t="s">
        <v>6211</v>
      </c>
      <c r="C2719">
        <f>+VLOOKUP(Sites_per_tag[[#This Row],[Field_office]],Parameter!$A$3:$B$11,2,0)</f>
        <v>6</v>
      </c>
      <c r="E2719" t="s">
        <v>1448</v>
      </c>
      <c r="F2719" t="s">
        <v>5651</v>
      </c>
      <c r="H2719" t="str">
        <f ca="1">PROPER(Sites_per_tag[[#This Row],[Adm2Name]])</f>
        <v>Betroka</v>
      </c>
      <c r="I2719" t="s">
        <v>5691</v>
      </c>
      <c r="K2719" t="s">
        <v>6562</v>
      </c>
      <c r="L2719" t="s">
        <v>5693</v>
      </c>
      <c r="N2719" t="s">
        <v>3196</v>
      </c>
      <c r="O2719" t="s">
        <v>4303</v>
      </c>
      <c r="Q2719" t="s">
        <v>3204</v>
      </c>
      <c r="R2719" t="s">
        <v>3205</v>
      </c>
      <c r="T2719" t="s">
        <v>5</v>
      </c>
      <c r="U2719" s="3" t="str">
        <f>+VLOOKUP(Sites_per_tag[[#This Row],[Activity_tag]],Parameter!$A$24:$B$32,2,0)</f>
        <v>MAM</v>
      </c>
      <c r="W2719">
        <v>45.588172999999998</v>
      </c>
      <c r="X2719">
        <v>-23.846081999999999</v>
      </c>
    </row>
    <row r="2720" spans="1:24" x14ac:dyDescent="0.35">
      <c r="A2720" s="3" t="str">
        <f t="shared" si="42"/>
        <v>MG53519010004001MAM</v>
      </c>
      <c r="B2720" t="s">
        <v>6211</v>
      </c>
      <c r="C2720">
        <f>+VLOOKUP(Sites_per_tag[[#This Row],[Field_office]],Parameter!$A$3:$B$11,2,0)</f>
        <v>6</v>
      </c>
      <c r="E2720" t="s">
        <v>1448</v>
      </c>
      <c r="F2720" t="s">
        <v>5651</v>
      </c>
      <c r="H2720" t="str">
        <f ca="1">PROPER(Sites_per_tag[[#This Row],[Adm2Name]])</f>
        <v>Amboasary-Atsimo</v>
      </c>
      <c r="I2720" t="s">
        <v>5641</v>
      </c>
      <c r="K2720" t="s">
        <v>5713</v>
      </c>
      <c r="L2720" t="s">
        <v>5714</v>
      </c>
      <c r="N2720" t="s">
        <v>3226</v>
      </c>
      <c r="O2720" t="s">
        <v>4331</v>
      </c>
      <c r="Q2720" t="s">
        <v>3238</v>
      </c>
      <c r="R2720" t="s">
        <v>3239</v>
      </c>
      <c r="T2720" t="s">
        <v>5</v>
      </c>
      <c r="U2720" s="3" t="str">
        <f>+VLOOKUP(Sites_per_tag[[#This Row],[Activity_tag]],Parameter!$A$24:$B$32,2,0)</f>
        <v>MAM</v>
      </c>
      <c r="W2720">
        <v>46.384079999999997</v>
      </c>
      <c r="X2720">
        <v>-25.0335</v>
      </c>
    </row>
    <row r="2721" spans="1:24" x14ac:dyDescent="0.35">
      <c r="A2721" s="3" t="str">
        <f t="shared" si="42"/>
        <v>MG53519010008001MAM</v>
      </c>
      <c r="B2721" t="s">
        <v>6211</v>
      </c>
      <c r="C2721">
        <f>+VLOOKUP(Sites_per_tag[[#This Row],[Field_office]],Parameter!$A$3:$B$11,2,0)</f>
        <v>6</v>
      </c>
      <c r="E2721" t="s">
        <v>1448</v>
      </c>
      <c r="F2721" t="s">
        <v>5651</v>
      </c>
      <c r="H2721" t="str">
        <f ca="1">PROPER(Sites_per_tag[[#This Row],[Adm2Name]])</f>
        <v>Amboasary-Atsimo</v>
      </c>
      <c r="I2721" t="s">
        <v>5641</v>
      </c>
      <c r="K2721" t="s">
        <v>5713</v>
      </c>
      <c r="L2721" t="s">
        <v>5714</v>
      </c>
      <c r="N2721" t="s">
        <v>4333</v>
      </c>
      <c r="O2721" t="s">
        <v>4332</v>
      </c>
      <c r="Q2721" t="s">
        <v>3531</v>
      </c>
      <c r="R2721" t="s">
        <v>3532</v>
      </c>
      <c r="T2721" t="s">
        <v>5</v>
      </c>
      <c r="U2721" s="3" t="str">
        <f>+VLOOKUP(Sites_per_tag[[#This Row],[Activity_tag]],Parameter!$A$24:$B$32,2,0)</f>
        <v>MAM</v>
      </c>
      <c r="W2721">
        <v>46.415019999999998</v>
      </c>
      <c r="X2721">
        <v>-25.04907</v>
      </c>
    </row>
    <row r="2722" spans="1:24" x14ac:dyDescent="0.35">
      <c r="A2722" s="3" t="str">
        <f t="shared" si="42"/>
        <v>MG53519010009001MAM</v>
      </c>
      <c r="B2722" t="s">
        <v>6211</v>
      </c>
      <c r="C2722">
        <f>+VLOOKUP(Sites_per_tag[[#This Row],[Field_office]],Parameter!$A$3:$B$11,2,0)</f>
        <v>6</v>
      </c>
      <c r="E2722" t="s">
        <v>1448</v>
      </c>
      <c r="F2722" t="s">
        <v>5651</v>
      </c>
      <c r="H2722" t="str">
        <f ca="1">PROPER(Sites_per_tag[[#This Row],[Adm2Name]])</f>
        <v>Amboasary-Atsimo</v>
      </c>
      <c r="I2722" t="s">
        <v>5641</v>
      </c>
      <c r="K2722" t="s">
        <v>5713</v>
      </c>
      <c r="L2722" t="s">
        <v>5714</v>
      </c>
      <c r="N2722" t="s">
        <v>2542</v>
      </c>
      <c r="O2722" t="s">
        <v>4334</v>
      </c>
      <c r="Q2722" t="s">
        <v>2546</v>
      </c>
      <c r="R2722" t="s">
        <v>2547</v>
      </c>
      <c r="T2722" t="s">
        <v>5</v>
      </c>
      <c r="U2722" s="3" t="str">
        <f>+VLOOKUP(Sites_per_tag[[#This Row],[Activity_tag]],Parameter!$A$24:$B$32,2,0)</f>
        <v>MAM</v>
      </c>
      <c r="W2722">
        <v>46.331806</v>
      </c>
      <c r="X2722">
        <v>-25.049987000000002</v>
      </c>
    </row>
    <row r="2723" spans="1:24" x14ac:dyDescent="0.35">
      <c r="A2723" s="3" t="str">
        <f t="shared" si="42"/>
        <v>MG53519010010001MAM</v>
      </c>
      <c r="B2723" t="s">
        <v>6211</v>
      </c>
      <c r="C2723">
        <f>+VLOOKUP(Sites_per_tag[[#This Row],[Field_office]],Parameter!$A$3:$B$11,2,0)</f>
        <v>6</v>
      </c>
      <c r="E2723" t="s">
        <v>1448</v>
      </c>
      <c r="F2723" t="s">
        <v>5651</v>
      </c>
      <c r="H2723" t="str">
        <f ca="1">PROPER(Sites_per_tag[[#This Row],[Adm2Name]])</f>
        <v>Amboasary-Atsimo</v>
      </c>
      <c r="I2723" t="s">
        <v>5641</v>
      </c>
      <c r="K2723" t="s">
        <v>5713</v>
      </c>
      <c r="L2723" t="s">
        <v>5714</v>
      </c>
      <c r="N2723" t="s">
        <v>1920</v>
      </c>
      <c r="O2723" t="s">
        <v>4335</v>
      </c>
      <c r="Q2723" t="s">
        <v>1920</v>
      </c>
      <c r="R2723" t="s">
        <v>1921</v>
      </c>
      <c r="T2723" t="s">
        <v>5</v>
      </c>
      <c r="U2723" s="3" t="str">
        <f>+VLOOKUP(Sites_per_tag[[#This Row],[Activity_tag]],Parameter!$A$24:$B$32,2,0)</f>
        <v>MAM</v>
      </c>
      <c r="W2723">
        <v>46.287550000000003</v>
      </c>
      <c r="X2723">
        <v>-25.05585</v>
      </c>
    </row>
    <row r="2724" spans="1:24" x14ac:dyDescent="0.35">
      <c r="A2724" s="3" t="str">
        <f t="shared" si="42"/>
        <v>MG53519010013001MAM</v>
      </c>
      <c r="B2724" t="s">
        <v>6211</v>
      </c>
      <c r="C2724">
        <f>+VLOOKUP(Sites_per_tag[[#This Row],[Field_office]],Parameter!$A$3:$B$11,2,0)</f>
        <v>6</v>
      </c>
      <c r="E2724" t="s">
        <v>5646</v>
      </c>
      <c r="F2724" t="s">
        <v>5647</v>
      </c>
      <c r="H2724" t="str">
        <f ca="1">PROPER(Sites_per_tag[[#This Row],[Adm2Name]])</f>
        <v>Ambovombe-Androy</v>
      </c>
      <c r="I2724" t="s">
        <v>5655</v>
      </c>
      <c r="K2724" t="s">
        <v>5682</v>
      </c>
      <c r="L2724" t="s">
        <v>6099</v>
      </c>
      <c r="N2724" t="s">
        <v>2937</v>
      </c>
      <c r="O2724" t="s">
        <v>5449</v>
      </c>
      <c r="Q2724" t="s">
        <v>2937</v>
      </c>
      <c r="R2724" t="s">
        <v>2938</v>
      </c>
      <c r="T2724" t="s">
        <v>5</v>
      </c>
      <c r="U2724" s="3" t="str">
        <f>+VLOOKUP(Sites_per_tag[[#This Row],[Activity_tag]],Parameter!$A$24:$B$32,2,0)</f>
        <v>MAM</v>
      </c>
      <c r="W2724">
        <v>46.337020000000003</v>
      </c>
      <c r="X2724">
        <v>-25.061299999999999</v>
      </c>
    </row>
    <row r="2725" spans="1:24" x14ac:dyDescent="0.35">
      <c r="A2725" s="3" t="str">
        <f t="shared" si="42"/>
        <v>MG53519010014001MAM</v>
      </c>
      <c r="B2725" t="s">
        <v>6211</v>
      </c>
      <c r="C2725">
        <f>+VLOOKUP(Sites_per_tag[[#This Row],[Field_office]],Parameter!$A$3:$B$11,2,0)</f>
        <v>6</v>
      </c>
      <c r="E2725" t="s">
        <v>1448</v>
      </c>
      <c r="F2725" t="s">
        <v>5651</v>
      </c>
      <c r="H2725" t="str">
        <f ca="1">PROPER(Sites_per_tag[[#This Row],[Adm2Name]])</f>
        <v>Amboasary-Atsimo</v>
      </c>
      <c r="I2725" t="s">
        <v>5641</v>
      </c>
      <c r="K2725" t="s">
        <v>5713</v>
      </c>
      <c r="L2725" t="s">
        <v>5714</v>
      </c>
      <c r="N2725" t="s">
        <v>1763</v>
      </c>
      <c r="O2725" t="s">
        <v>4336</v>
      </c>
      <c r="Q2725" t="s">
        <v>562</v>
      </c>
      <c r="R2725" t="s">
        <v>563</v>
      </c>
      <c r="T2725" t="s">
        <v>5</v>
      </c>
      <c r="U2725" s="3" t="str">
        <f>+VLOOKUP(Sites_per_tag[[#This Row],[Activity_tag]],Parameter!$A$24:$B$32,2,0)</f>
        <v>MAM</v>
      </c>
      <c r="W2725">
        <v>46.388530000000003</v>
      </c>
      <c r="X2725">
        <v>-25.064630000000001</v>
      </c>
    </row>
    <row r="2726" spans="1:24" x14ac:dyDescent="0.35">
      <c r="A2726" s="3" t="str">
        <f t="shared" si="42"/>
        <v>MG53519010017001MAM</v>
      </c>
      <c r="B2726" t="s">
        <v>6211</v>
      </c>
      <c r="C2726">
        <f>+VLOOKUP(Sites_per_tag[[#This Row],[Field_office]],Parameter!$A$3:$B$11,2,0)</f>
        <v>6</v>
      </c>
      <c r="E2726" t="s">
        <v>1448</v>
      </c>
      <c r="F2726" t="s">
        <v>5651</v>
      </c>
      <c r="H2726" t="str">
        <f ca="1">PROPER(Sites_per_tag[[#This Row],[Adm2Name]])</f>
        <v>Amboasary-Atsimo</v>
      </c>
      <c r="I2726" t="s">
        <v>5641</v>
      </c>
      <c r="K2726" t="s">
        <v>5713</v>
      </c>
      <c r="L2726" t="s">
        <v>5714</v>
      </c>
      <c r="N2726" t="s">
        <v>2697</v>
      </c>
      <c r="O2726" t="s">
        <v>4337</v>
      </c>
      <c r="Q2726" t="s">
        <v>2697</v>
      </c>
      <c r="R2726" t="s">
        <v>2698</v>
      </c>
      <c r="T2726" t="s">
        <v>5</v>
      </c>
      <c r="U2726" s="3" t="str">
        <f>+VLOOKUP(Sites_per_tag[[#This Row],[Activity_tag]],Parameter!$A$24:$B$32,2,0)</f>
        <v>MAM</v>
      </c>
      <c r="W2726">
        <v>46.356670000000001</v>
      </c>
      <c r="X2726">
        <v>-25.05987</v>
      </c>
    </row>
    <row r="2727" spans="1:24" x14ac:dyDescent="0.35">
      <c r="A2727" s="3" t="str">
        <f t="shared" si="42"/>
        <v>MG53519010019001MAM</v>
      </c>
      <c r="B2727" t="s">
        <v>6211</v>
      </c>
      <c r="C2727">
        <f>+VLOOKUP(Sites_per_tag[[#This Row],[Field_office]],Parameter!$A$3:$B$11,2,0)</f>
        <v>6</v>
      </c>
      <c r="E2727" t="s">
        <v>1448</v>
      </c>
      <c r="F2727" t="s">
        <v>5651</v>
      </c>
      <c r="H2727" t="str">
        <f ca="1">PROPER(Sites_per_tag[[#This Row],[Adm2Name]])</f>
        <v>Amboasary-Atsimo</v>
      </c>
      <c r="I2727" t="s">
        <v>5641</v>
      </c>
      <c r="K2727" t="s">
        <v>5713</v>
      </c>
      <c r="L2727" t="s">
        <v>5714</v>
      </c>
      <c r="N2727" t="s">
        <v>1404</v>
      </c>
      <c r="O2727" t="s">
        <v>4338</v>
      </c>
      <c r="Q2727" t="s">
        <v>1404</v>
      </c>
      <c r="R2727" t="s">
        <v>1405</v>
      </c>
      <c r="T2727" t="s">
        <v>5</v>
      </c>
      <c r="U2727" s="3" t="str">
        <f>+VLOOKUP(Sites_per_tag[[#This Row],[Activity_tag]],Parameter!$A$24:$B$32,2,0)</f>
        <v>MAM</v>
      </c>
      <c r="W2727">
        <v>46.331029999999998</v>
      </c>
      <c r="X2727">
        <v>-25.083950000000002</v>
      </c>
    </row>
    <row r="2728" spans="1:24" x14ac:dyDescent="0.35">
      <c r="A2728" s="3" t="str">
        <f t="shared" si="42"/>
        <v>MG53519010024001MAM</v>
      </c>
      <c r="B2728" t="s">
        <v>6211</v>
      </c>
      <c r="C2728">
        <f>+VLOOKUP(Sites_per_tag[[#This Row],[Field_office]],Parameter!$A$3:$B$11,2,0)</f>
        <v>6</v>
      </c>
      <c r="E2728" t="s">
        <v>1448</v>
      </c>
      <c r="F2728" t="s">
        <v>5651</v>
      </c>
      <c r="H2728" t="str">
        <f ca="1">PROPER(Sites_per_tag[[#This Row],[Adm2Name]])</f>
        <v>Amboasary-Atsimo</v>
      </c>
      <c r="I2728" t="s">
        <v>5641</v>
      </c>
      <c r="K2728" t="s">
        <v>5713</v>
      </c>
      <c r="L2728" t="s">
        <v>5714</v>
      </c>
      <c r="N2728" t="s">
        <v>4340</v>
      </c>
      <c r="O2728" t="s">
        <v>4339</v>
      </c>
      <c r="Q2728" t="s">
        <v>1102</v>
      </c>
      <c r="R2728" t="s">
        <v>1103</v>
      </c>
      <c r="T2728" t="s">
        <v>5</v>
      </c>
      <c r="U2728" s="3" t="str">
        <f>+VLOOKUP(Sites_per_tag[[#This Row],[Activity_tag]],Parameter!$A$24:$B$32,2,0)</f>
        <v>MAM</v>
      </c>
      <c r="W2728">
        <v>46.373570000000001</v>
      </c>
      <c r="X2728">
        <v>-25.010380000000001</v>
      </c>
    </row>
    <row r="2729" spans="1:24" x14ac:dyDescent="0.35">
      <c r="A2729" s="3" t="str">
        <f t="shared" si="42"/>
        <v>MG53519030002001STUNT</v>
      </c>
      <c r="B2729" t="s">
        <v>6440</v>
      </c>
      <c r="C2729">
        <f>+VLOOKUP(Sites_per_tag[[#This Row],[Field_office]],Parameter!$A$3:$B$11,2,0)</f>
        <v>2</v>
      </c>
      <c r="E2729" t="s">
        <v>1448</v>
      </c>
      <c r="F2729" t="s">
        <v>5651</v>
      </c>
      <c r="H2729" t="str">
        <f ca="1">PROPER(Sites_per_tag[[#This Row],[Adm2Name]])</f>
        <v>Amboasary-Atsimo</v>
      </c>
      <c r="I2729" t="s">
        <v>5641</v>
      </c>
      <c r="K2729" t="s">
        <v>1779</v>
      </c>
      <c r="L2729" t="s">
        <v>5890</v>
      </c>
      <c r="N2729" t="s">
        <v>3558</v>
      </c>
      <c r="O2729" t="s">
        <v>4106</v>
      </c>
      <c r="Q2729" t="s">
        <v>3579</v>
      </c>
      <c r="R2729" t="s">
        <v>3580</v>
      </c>
      <c r="T2729" t="s">
        <v>50</v>
      </c>
      <c r="U2729" s="3" t="str">
        <f>+VLOOKUP(Sites_per_tag[[#This Row],[Activity_tag]],Parameter!$A$24:$B$32,2,0)</f>
        <v>STUNT</v>
      </c>
      <c r="V2729" t="s">
        <v>6563</v>
      </c>
      <c r="W2729">
        <v>46.244520000000001</v>
      </c>
      <c r="X2729">
        <v>-25.12032</v>
      </c>
    </row>
    <row r="2730" spans="1:24" x14ac:dyDescent="0.35">
      <c r="A2730" s="3" t="str">
        <f t="shared" si="42"/>
        <v>MG53519030003001STUNT</v>
      </c>
      <c r="B2730" t="s">
        <v>6440</v>
      </c>
      <c r="C2730">
        <f>+VLOOKUP(Sites_per_tag[[#This Row],[Field_office]],Parameter!$A$3:$B$11,2,0)</f>
        <v>2</v>
      </c>
      <c r="E2730" t="s">
        <v>1448</v>
      </c>
      <c r="F2730" t="s">
        <v>5651</v>
      </c>
      <c r="H2730" t="str">
        <f ca="1">PROPER(Sites_per_tag[[#This Row],[Adm2Name]])</f>
        <v>Amboasary-Atsimo</v>
      </c>
      <c r="I2730" t="s">
        <v>5641</v>
      </c>
      <c r="K2730" t="s">
        <v>1779</v>
      </c>
      <c r="L2730" t="s">
        <v>5890</v>
      </c>
      <c r="N2730" t="s">
        <v>4108</v>
      </c>
      <c r="O2730" t="s">
        <v>4107</v>
      </c>
      <c r="Q2730" t="s">
        <v>935</v>
      </c>
      <c r="R2730" t="s">
        <v>936</v>
      </c>
      <c r="T2730" t="s">
        <v>50</v>
      </c>
      <c r="U2730" s="3" t="str">
        <f>+VLOOKUP(Sites_per_tag[[#This Row],[Activity_tag]],Parameter!$A$24:$B$32,2,0)</f>
        <v>STUNT</v>
      </c>
      <c r="V2730" t="s">
        <v>6564</v>
      </c>
      <c r="W2730">
        <v>46.422669999999997</v>
      </c>
      <c r="X2730">
        <v>-24.920179999999998</v>
      </c>
    </row>
    <row r="2731" spans="1:24" x14ac:dyDescent="0.35">
      <c r="A2731" s="3" t="str">
        <f t="shared" si="42"/>
        <v>MG53519030003002STUNT</v>
      </c>
      <c r="B2731" t="s">
        <v>6440</v>
      </c>
      <c r="C2731">
        <f>+VLOOKUP(Sites_per_tag[[#This Row],[Field_office]],Parameter!$A$3:$B$11,2,0)</f>
        <v>2</v>
      </c>
      <c r="E2731" t="s">
        <v>1448</v>
      </c>
      <c r="F2731" t="s">
        <v>5651</v>
      </c>
      <c r="H2731" t="str">
        <f ca="1">PROPER(Sites_per_tag[[#This Row],[Adm2Name]])</f>
        <v>Amboasary-Atsimo</v>
      </c>
      <c r="I2731" t="s">
        <v>5641</v>
      </c>
      <c r="K2731" t="s">
        <v>1779</v>
      </c>
      <c r="L2731" t="s">
        <v>5890</v>
      </c>
      <c r="N2731" t="s">
        <v>4108</v>
      </c>
      <c r="O2731" t="s">
        <v>4107</v>
      </c>
      <c r="Q2731" t="s">
        <v>1493</v>
      </c>
      <c r="R2731" t="s">
        <v>1494</v>
      </c>
      <c r="T2731" t="s">
        <v>50</v>
      </c>
      <c r="U2731" s="3" t="str">
        <f>+VLOOKUP(Sites_per_tag[[#This Row],[Activity_tag]],Parameter!$A$24:$B$32,2,0)</f>
        <v>STUNT</v>
      </c>
      <c r="V2731" t="s">
        <v>6564</v>
      </c>
      <c r="W2731">
        <v>46.422669999999997</v>
      </c>
      <c r="X2731">
        <v>-24.920179999999998</v>
      </c>
    </row>
    <row r="2732" spans="1:24" x14ac:dyDescent="0.35">
      <c r="A2732" s="3" t="str">
        <f t="shared" si="42"/>
        <v>MG53519030005001MAM</v>
      </c>
      <c r="B2732" t="s">
        <v>6211</v>
      </c>
      <c r="C2732">
        <f>+VLOOKUP(Sites_per_tag[[#This Row],[Field_office]],Parameter!$A$3:$B$11,2,0)</f>
        <v>6</v>
      </c>
      <c r="E2732" t="s">
        <v>1448</v>
      </c>
      <c r="F2732" t="s">
        <v>5651</v>
      </c>
      <c r="H2732" t="str">
        <f ca="1">PROPER(Sites_per_tag[[#This Row],[Adm2Name]])</f>
        <v>Amboasary-Atsimo</v>
      </c>
      <c r="I2732" t="s">
        <v>5641</v>
      </c>
      <c r="K2732" t="s">
        <v>1779</v>
      </c>
      <c r="L2732" t="s">
        <v>5890</v>
      </c>
      <c r="N2732" t="s">
        <v>4756</v>
      </c>
      <c r="O2732" t="s">
        <v>4755</v>
      </c>
      <c r="Q2732" t="s">
        <v>1783</v>
      </c>
      <c r="R2732" t="s">
        <v>1784</v>
      </c>
      <c r="T2732" t="s">
        <v>5</v>
      </c>
      <c r="U2732" s="3" t="str">
        <f>+VLOOKUP(Sites_per_tag[[#This Row],[Activity_tag]],Parameter!$A$24:$B$32,2,0)</f>
        <v>MAM</v>
      </c>
      <c r="W2732">
        <v>46.385249999999999</v>
      </c>
      <c r="X2732">
        <v>-24.950949999999999</v>
      </c>
    </row>
    <row r="2733" spans="1:24" x14ac:dyDescent="0.35">
      <c r="A2733" s="3" t="str">
        <f t="shared" si="42"/>
        <v>MG53519030006001MAM</v>
      </c>
      <c r="B2733" t="s">
        <v>6211</v>
      </c>
      <c r="C2733">
        <f>+VLOOKUP(Sites_per_tag[[#This Row],[Field_office]],Parameter!$A$3:$B$11,2,0)</f>
        <v>6</v>
      </c>
      <c r="E2733" t="s">
        <v>1448</v>
      </c>
      <c r="F2733" t="s">
        <v>5651</v>
      </c>
      <c r="H2733" t="str">
        <f ca="1">PROPER(Sites_per_tag[[#This Row],[Adm2Name]])</f>
        <v>Amboasary-Atsimo</v>
      </c>
      <c r="I2733" t="s">
        <v>5641</v>
      </c>
      <c r="K2733" t="s">
        <v>1779</v>
      </c>
      <c r="L2733" t="s">
        <v>5890</v>
      </c>
      <c r="N2733" t="s">
        <v>1389</v>
      </c>
      <c r="O2733" t="s">
        <v>4757</v>
      </c>
      <c r="Q2733" t="s">
        <v>1389</v>
      </c>
      <c r="R2733" t="s">
        <v>1390</v>
      </c>
      <c r="T2733" t="s">
        <v>5</v>
      </c>
      <c r="U2733" s="3" t="str">
        <f>+VLOOKUP(Sites_per_tag[[#This Row],[Activity_tag]],Parameter!$A$24:$B$32,2,0)</f>
        <v>MAM</v>
      </c>
      <c r="W2733">
        <v>46.390450000000001</v>
      </c>
      <c r="X2733">
        <v>-24.999549999999999</v>
      </c>
    </row>
    <row r="2734" spans="1:24" x14ac:dyDescent="0.35">
      <c r="A2734" s="3" t="str">
        <f t="shared" si="42"/>
        <v>MG53519030010001MAM</v>
      </c>
      <c r="B2734" t="s">
        <v>6211</v>
      </c>
      <c r="C2734">
        <f>+VLOOKUP(Sites_per_tag[[#This Row],[Field_office]],Parameter!$A$3:$B$11,2,0)</f>
        <v>6</v>
      </c>
      <c r="E2734" t="s">
        <v>1448</v>
      </c>
      <c r="F2734" t="s">
        <v>5651</v>
      </c>
      <c r="H2734" t="str">
        <f ca="1">PROPER(Sites_per_tag[[#This Row],[Adm2Name]])</f>
        <v>Amboasary-Atsimo</v>
      </c>
      <c r="I2734" t="s">
        <v>5641</v>
      </c>
      <c r="K2734" t="s">
        <v>1779</v>
      </c>
      <c r="L2734" t="s">
        <v>5890</v>
      </c>
      <c r="N2734" t="s">
        <v>4759</v>
      </c>
      <c r="O2734" t="s">
        <v>4758</v>
      </c>
      <c r="Q2734" t="s">
        <v>1781</v>
      </c>
      <c r="R2734" t="s">
        <v>1782</v>
      </c>
      <c r="T2734" t="s">
        <v>5</v>
      </c>
      <c r="U2734" s="3" t="str">
        <f>+VLOOKUP(Sites_per_tag[[#This Row],[Activity_tag]],Parameter!$A$24:$B$32,2,0)</f>
        <v>MAM</v>
      </c>
      <c r="W2734">
        <v>46.381</v>
      </c>
      <c r="X2734">
        <v>-24.962530000000001</v>
      </c>
    </row>
    <row r="2735" spans="1:24" x14ac:dyDescent="0.35">
      <c r="A2735" s="3" t="str">
        <f t="shared" si="42"/>
        <v>MG53519030013001STUNT</v>
      </c>
      <c r="B2735" t="s">
        <v>6440</v>
      </c>
      <c r="C2735">
        <f>+VLOOKUP(Sites_per_tag[[#This Row],[Field_office]],Parameter!$A$3:$B$11,2,0)</f>
        <v>2</v>
      </c>
      <c r="E2735" t="s">
        <v>1448</v>
      </c>
      <c r="F2735" t="s">
        <v>5651</v>
      </c>
      <c r="H2735" t="str">
        <f ca="1">PROPER(Sites_per_tag[[#This Row],[Adm2Name]])</f>
        <v>Amboasary-Atsimo</v>
      </c>
      <c r="I2735" t="s">
        <v>5641</v>
      </c>
      <c r="K2735" t="s">
        <v>1779</v>
      </c>
      <c r="L2735" t="s">
        <v>5890</v>
      </c>
      <c r="N2735" t="s">
        <v>3649</v>
      </c>
      <c r="O2735" t="s">
        <v>4109</v>
      </c>
      <c r="Q2735" t="s">
        <v>3649</v>
      </c>
      <c r="R2735" t="s">
        <v>3650</v>
      </c>
      <c r="T2735" t="s">
        <v>50</v>
      </c>
      <c r="U2735" s="3" t="str">
        <f>+VLOOKUP(Sites_per_tag[[#This Row],[Activity_tag]],Parameter!$A$24:$B$32,2,0)</f>
        <v>STUNT</v>
      </c>
      <c r="V2735" t="s">
        <v>6565</v>
      </c>
      <c r="W2735">
        <v>46.533830000000002</v>
      </c>
      <c r="X2735">
        <v>-24.998570000000001</v>
      </c>
    </row>
    <row r="2736" spans="1:24" x14ac:dyDescent="0.35">
      <c r="A2736" s="3" t="str">
        <f t="shared" si="42"/>
        <v>MG53519030015001STUNT</v>
      </c>
      <c r="B2736" t="s">
        <v>6440</v>
      </c>
      <c r="C2736">
        <f>+VLOOKUP(Sites_per_tag[[#This Row],[Field_office]],Parameter!$A$3:$B$11,2,0)</f>
        <v>2</v>
      </c>
      <c r="E2736" t="s">
        <v>1448</v>
      </c>
      <c r="F2736" t="s">
        <v>5651</v>
      </c>
      <c r="H2736" t="str">
        <f ca="1">PROPER(Sites_per_tag[[#This Row],[Adm2Name]])</f>
        <v>Amboasary-Atsimo</v>
      </c>
      <c r="I2736" t="s">
        <v>5641</v>
      </c>
      <c r="K2736" t="s">
        <v>1779</v>
      </c>
      <c r="L2736" t="s">
        <v>5890</v>
      </c>
      <c r="N2736" t="s">
        <v>1726</v>
      </c>
      <c r="O2736" t="s">
        <v>4110</v>
      </c>
      <c r="Q2736" t="s">
        <v>1724</v>
      </c>
      <c r="R2736" t="s">
        <v>1725</v>
      </c>
      <c r="T2736" t="s">
        <v>50</v>
      </c>
      <c r="U2736" s="3" t="str">
        <f>+VLOOKUP(Sites_per_tag[[#This Row],[Activity_tag]],Parameter!$A$24:$B$32,2,0)</f>
        <v>STUNT</v>
      </c>
      <c r="V2736" t="s">
        <v>6566</v>
      </c>
      <c r="W2736">
        <v>46.294980000000002</v>
      </c>
      <c r="X2736">
        <v>-24.76623</v>
      </c>
    </row>
    <row r="2737" spans="1:24" x14ac:dyDescent="0.35">
      <c r="A2737" s="3" t="str">
        <f t="shared" si="42"/>
        <v>MG53519030015002MAM</v>
      </c>
      <c r="B2737" t="s">
        <v>6211</v>
      </c>
      <c r="C2737">
        <f>+VLOOKUP(Sites_per_tag[[#This Row],[Field_office]],Parameter!$A$3:$B$11,2,0)</f>
        <v>6</v>
      </c>
      <c r="E2737" t="s">
        <v>1448</v>
      </c>
      <c r="F2737" t="s">
        <v>5651</v>
      </c>
      <c r="H2737" t="str">
        <f ca="1">PROPER(Sites_per_tag[[#This Row],[Adm2Name]])</f>
        <v>Amboasary-Atsimo</v>
      </c>
      <c r="I2737" t="s">
        <v>5641</v>
      </c>
      <c r="K2737" t="s">
        <v>1779</v>
      </c>
      <c r="L2737" t="s">
        <v>5890</v>
      </c>
      <c r="N2737" t="s">
        <v>1726</v>
      </c>
      <c r="O2737" t="s">
        <v>4110</v>
      </c>
      <c r="Q2737" t="s">
        <v>1726</v>
      </c>
      <c r="R2737" t="s">
        <v>1727</v>
      </c>
      <c r="T2737" t="s">
        <v>5</v>
      </c>
      <c r="U2737" s="3" t="str">
        <f>+VLOOKUP(Sites_per_tag[[#This Row],[Activity_tag]],Parameter!$A$24:$B$32,2,0)</f>
        <v>MAM</v>
      </c>
      <c r="W2737">
        <v>46.294980000000002</v>
      </c>
      <c r="X2737">
        <v>-24.76623</v>
      </c>
    </row>
    <row r="2738" spans="1:24" x14ac:dyDescent="0.35">
      <c r="A2738" s="3" t="str">
        <f t="shared" si="42"/>
        <v>MG53519030016001STUNT</v>
      </c>
      <c r="B2738" t="s">
        <v>6440</v>
      </c>
      <c r="C2738">
        <f>+VLOOKUP(Sites_per_tag[[#This Row],[Field_office]],Parameter!$A$3:$B$11,2,0)</f>
        <v>2</v>
      </c>
      <c r="E2738" t="s">
        <v>1448</v>
      </c>
      <c r="F2738" t="s">
        <v>5651</v>
      </c>
      <c r="H2738" t="str">
        <f ca="1">PROPER(Sites_per_tag[[#This Row],[Adm2Name]])</f>
        <v>Amboasary-Atsimo</v>
      </c>
      <c r="I2738" t="s">
        <v>5641</v>
      </c>
      <c r="K2738" t="s">
        <v>1779</v>
      </c>
      <c r="L2738" t="s">
        <v>5890</v>
      </c>
      <c r="N2738" t="s">
        <v>2445</v>
      </c>
      <c r="O2738" t="s">
        <v>4111</v>
      </c>
      <c r="Q2738" t="s">
        <v>2445</v>
      </c>
      <c r="R2738" t="s">
        <v>2446</v>
      </c>
      <c r="T2738" t="s">
        <v>50</v>
      </c>
      <c r="U2738" s="3" t="str">
        <f>+VLOOKUP(Sites_per_tag[[#This Row],[Activity_tag]],Parameter!$A$24:$B$32,2,0)</f>
        <v>STUNT</v>
      </c>
      <c r="V2738" t="s">
        <v>6567</v>
      </c>
      <c r="W2738">
        <v>46.245780000000003</v>
      </c>
      <c r="X2738">
        <v>-24.90662</v>
      </c>
    </row>
    <row r="2739" spans="1:24" x14ac:dyDescent="0.35">
      <c r="A2739" s="3" t="str">
        <f t="shared" si="42"/>
        <v>MG53519030017001STUNT</v>
      </c>
      <c r="B2739" t="s">
        <v>6440</v>
      </c>
      <c r="C2739">
        <f>+VLOOKUP(Sites_per_tag[[#This Row],[Field_office]],Parameter!$A$3:$B$11,2,0)</f>
        <v>2</v>
      </c>
      <c r="E2739" t="s">
        <v>1448</v>
      </c>
      <c r="F2739" t="s">
        <v>5651</v>
      </c>
      <c r="H2739" t="str">
        <f ca="1">PROPER(Sites_per_tag[[#This Row],[Adm2Name]])</f>
        <v>Amboasary-Atsimo</v>
      </c>
      <c r="I2739" t="s">
        <v>5641</v>
      </c>
      <c r="K2739" t="s">
        <v>1779</v>
      </c>
      <c r="L2739" t="s">
        <v>5890</v>
      </c>
      <c r="N2739" t="s">
        <v>4113</v>
      </c>
      <c r="O2739" t="s">
        <v>4112</v>
      </c>
      <c r="Q2739" t="s">
        <v>3050</v>
      </c>
      <c r="R2739" t="s">
        <v>3051</v>
      </c>
      <c r="T2739" t="s">
        <v>50</v>
      </c>
      <c r="U2739" s="3" t="str">
        <f>+VLOOKUP(Sites_per_tag[[#This Row],[Activity_tag]],Parameter!$A$24:$B$32,2,0)</f>
        <v>STUNT</v>
      </c>
      <c r="V2739" t="s">
        <v>6568</v>
      </c>
      <c r="W2739">
        <v>46.286580000000001</v>
      </c>
      <c r="X2739">
        <v>-24.93985</v>
      </c>
    </row>
    <row r="2740" spans="1:24" x14ac:dyDescent="0.35">
      <c r="A2740" s="3" t="str">
        <f t="shared" si="42"/>
        <v>MG53519030018001STUNT</v>
      </c>
      <c r="B2740" t="s">
        <v>6440</v>
      </c>
      <c r="C2740">
        <f>+VLOOKUP(Sites_per_tag[[#This Row],[Field_office]],Parameter!$A$3:$B$11,2,0)</f>
        <v>2</v>
      </c>
      <c r="E2740" t="s">
        <v>1448</v>
      </c>
      <c r="F2740" t="s">
        <v>5651</v>
      </c>
      <c r="H2740" t="str">
        <f ca="1">PROPER(Sites_per_tag[[#This Row],[Adm2Name]])</f>
        <v>Amboasary-Atsimo</v>
      </c>
      <c r="I2740" t="s">
        <v>5641</v>
      </c>
      <c r="K2740" t="s">
        <v>1779</v>
      </c>
      <c r="L2740" t="s">
        <v>5890</v>
      </c>
      <c r="N2740" t="s">
        <v>1397</v>
      </c>
      <c r="O2740" t="s">
        <v>4114</v>
      </c>
      <c r="Q2740" t="s">
        <v>1397</v>
      </c>
      <c r="R2740" t="s">
        <v>1398</v>
      </c>
      <c r="T2740" t="s">
        <v>50</v>
      </c>
      <c r="U2740" s="3" t="str">
        <f>+VLOOKUP(Sites_per_tag[[#This Row],[Activity_tag]],Parameter!$A$24:$B$32,2,0)</f>
        <v>STUNT</v>
      </c>
      <c r="V2740" t="s">
        <v>6569</v>
      </c>
      <c r="W2740">
        <v>46.249720000000003</v>
      </c>
      <c r="X2740">
        <v>-24.880299999999998</v>
      </c>
    </row>
    <row r="2741" spans="1:24" x14ac:dyDescent="0.35">
      <c r="A2741" s="3" t="str">
        <f t="shared" si="42"/>
        <v>MG53519030019001STUNT</v>
      </c>
      <c r="B2741" t="s">
        <v>6440</v>
      </c>
      <c r="C2741">
        <f>+VLOOKUP(Sites_per_tag[[#This Row],[Field_office]],Parameter!$A$3:$B$11,2,0)</f>
        <v>2</v>
      </c>
      <c r="E2741" t="s">
        <v>1448</v>
      </c>
      <c r="F2741" t="s">
        <v>5651</v>
      </c>
      <c r="H2741" t="str">
        <f ca="1">PROPER(Sites_per_tag[[#This Row],[Adm2Name]])</f>
        <v>Amboasary-Atsimo</v>
      </c>
      <c r="I2741" t="s">
        <v>5641</v>
      </c>
      <c r="K2741" t="s">
        <v>1779</v>
      </c>
      <c r="L2741" t="s">
        <v>5890</v>
      </c>
      <c r="N2741" t="s">
        <v>4116</v>
      </c>
      <c r="O2741" t="s">
        <v>4115</v>
      </c>
      <c r="Q2741" t="s">
        <v>752</v>
      </c>
      <c r="R2741" t="s">
        <v>753</v>
      </c>
      <c r="T2741" t="s">
        <v>50</v>
      </c>
      <c r="U2741" s="3" t="str">
        <f>+VLOOKUP(Sites_per_tag[[#This Row],[Activity_tag]],Parameter!$A$24:$B$32,2,0)</f>
        <v>STUNT</v>
      </c>
      <c r="V2741" t="s">
        <v>6570</v>
      </c>
      <c r="W2741">
        <v>46.300800000000002</v>
      </c>
      <c r="X2741">
        <v>-24.985849999999999</v>
      </c>
    </row>
    <row r="2742" spans="1:24" x14ac:dyDescent="0.35">
      <c r="A2742" s="3" t="str">
        <f t="shared" si="42"/>
        <v>MG53519030019002MAM</v>
      </c>
      <c r="B2742" t="s">
        <v>6211</v>
      </c>
      <c r="C2742">
        <f>+VLOOKUP(Sites_per_tag[[#This Row],[Field_office]],Parameter!$A$3:$B$11,2,0)</f>
        <v>6</v>
      </c>
      <c r="E2742" t="s">
        <v>1448</v>
      </c>
      <c r="F2742" t="s">
        <v>5651</v>
      </c>
      <c r="H2742" t="str">
        <f ca="1">PROPER(Sites_per_tag[[#This Row],[Adm2Name]])</f>
        <v>Amboasary-Atsimo</v>
      </c>
      <c r="I2742" t="s">
        <v>5641</v>
      </c>
      <c r="K2742" t="s">
        <v>1779</v>
      </c>
      <c r="L2742" t="s">
        <v>5890</v>
      </c>
      <c r="N2742" t="s">
        <v>4116</v>
      </c>
      <c r="O2742" t="s">
        <v>4115</v>
      </c>
      <c r="Q2742" t="s">
        <v>754</v>
      </c>
      <c r="R2742" t="s">
        <v>755</v>
      </c>
      <c r="T2742" t="s">
        <v>5</v>
      </c>
      <c r="U2742" s="3" t="str">
        <f>+VLOOKUP(Sites_per_tag[[#This Row],[Activity_tag]],Parameter!$A$24:$B$32,2,0)</f>
        <v>MAM</v>
      </c>
      <c r="W2742">
        <v>46.300800000000002</v>
      </c>
      <c r="X2742">
        <v>-24.985849999999999</v>
      </c>
    </row>
    <row r="2743" spans="1:24" x14ac:dyDescent="0.35">
      <c r="A2743" s="3" t="str">
        <f t="shared" si="42"/>
        <v>MG53519030020001STUNT</v>
      </c>
      <c r="B2743" t="s">
        <v>6440</v>
      </c>
      <c r="C2743">
        <f>+VLOOKUP(Sites_per_tag[[#This Row],[Field_office]],Parameter!$A$3:$B$11,2,0)</f>
        <v>2</v>
      </c>
      <c r="E2743" t="s">
        <v>1448</v>
      </c>
      <c r="F2743" t="s">
        <v>5651</v>
      </c>
      <c r="H2743" t="str">
        <f ca="1">PROPER(Sites_per_tag[[#This Row],[Adm2Name]])</f>
        <v>Amboasary-Atsimo</v>
      </c>
      <c r="I2743" t="s">
        <v>5641</v>
      </c>
      <c r="K2743" t="s">
        <v>1779</v>
      </c>
      <c r="L2743" t="s">
        <v>5890</v>
      </c>
      <c r="N2743" t="s">
        <v>3880</v>
      </c>
      <c r="O2743" t="s">
        <v>4117</v>
      </c>
      <c r="Q2743" t="s">
        <v>3880</v>
      </c>
      <c r="R2743" t="s">
        <v>3881</v>
      </c>
      <c r="T2743" t="s">
        <v>50</v>
      </c>
      <c r="U2743" s="3" t="str">
        <f>+VLOOKUP(Sites_per_tag[[#This Row],[Activity_tag]],Parameter!$A$24:$B$32,2,0)</f>
        <v>STUNT</v>
      </c>
      <c r="V2743" t="s">
        <v>6571</v>
      </c>
      <c r="W2743">
        <v>46.352730000000001</v>
      </c>
      <c r="X2743">
        <v>-25.006070000000001</v>
      </c>
    </row>
    <row r="2744" spans="1:24" x14ac:dyDescent="0.35">
      <c r="A2744" s="3" t="str">
        <f t="shared" si="42"/>
        <v>MG53519030021001MAM</v>
      </c>
      <c r="B2744" t="s">
        <v>6211</v>
      </c>
      <c r="C2744">
        <f>+VLOOKUP(Sites_per_tag[[#This Row],[Field_office]],Parameter!$A$3:$B$11,2,0)</f>
        <v>6</v>
      </c>
      <c r="E2744" t="s">
        <v>1448</v>
      </c>
      <c r="F2744" t="s">
        <v>5651</v>
      </c>
      <c r="H2744" t="str">
        <f ca="1">PROPER(Sites_per_tag[[#This Row],[Adm2Name]])</f>
        <v>Amboasary-Atsimo</v>
      </c>
      <c r="I2744" t="s">
        <v>5641</v>
      </c>
      <c r="K2744" t="s">
        <v>1779</v>
      </c>
      <c r="L2744" t="s">
        <v>5890</v>
      </c>
      <c r="N2744" t="s">
        <v>4761</v>
      </c>
      <c r="O2744" t="s">
        <v>4760</v>
      </c>
      <c r="Q2744" t="s">
        <v>1989</v>
      </c>
      <c r="R2744" t="s">
        <v>1990</v>
      </c>
      <c r="T2744" t="s">
        <v>5</v>
      </c>
      <c r="U2744" s="3" t="str">
        <f>+VLOOKUP(Sites_per_tag[[#This Row],[Activity_tag]],Parameter!$A$24:$B$32,2,0)</f>
        <v>MAM</v>
      </c>
      <c r="W2744">
        <v>46.28913</v>
      </c>
      <c r="X2744">
        <v>-24.997820000000001</v>
      </c>
    </row>
    <row r="2745" spans="1:24" x14ac:dyDescent="0.35">
      <c r="A2745" s="3" t="str">
        <f t="shared" si="42"/>
        <v>MG53519030022001STUNT</v>
      </c>
      <c r="B2745" t="s">
        <v>6440</v>
      </c>
      <c r="C2745">
        <f>+VLOOKUP(Sites_per_tag[[#This Row],[Field_office]],Parameter!$A$3:$B$11,2,0)</f>
        <v>2</v>
      </c>
      <c r="E2745" t="s">
        <v>1448</v>
      </c>
      <c r="F2745" t="s">
        <v>5651</v>
      </c>
      <c r="H2745" t="str">
        <f ca="1">PROPER(Sites_per_tag[[#This Row],[Adm2Name]])</f>
        <v>Amboasary-Atsimo</v>
      </c>
      <c r="I2745" t="s">
        <v>5641</v>
      </c>
      <c r="K2745" t="s">
        <v>1779</v>
      </c>
      <c r="L2745" t="s">
        <v>5890</v>
      </c>
      <c r="N2745" t="s">
        <v>2518</v>
      </c>
      <c r="O2745" t="s">
        <v>4118</v>
      </c>
      <c r="Q2745" t="s">
        <v>2518</v>
      </c>
      <c r="R2745" t="s">
        <v>2519</v>
      </c>
      <c r="T2745" t="s">
        <v>50</v>
      </c>
      <c r="U2745" s="3" t="str">
        <f>+VLOOKUP(Sites_per_tag[[#This Row],[Activity_tag]],Parameter!$A$24:$B$32,2,0)</f>
        <v>STUNT</v>
      </c>
      <c r="V2745" t="s">
        <v>6572</v>
      </c>
      <c r="W2745">
        <v>46.363379999999999</v>
      </c>
      <c r="X2745">
        <v>-24.978529999999999</v>
      </c>
    </row>
    <row r="2746" spans="1:24" x14ac:dyDescent="0.35">
      <c r="A2746" s="3" t="str">
        <f t="shared" si="42"/>
        <v>MG53519030024001STUNT</v>
      </c>
      <c r="B2746" t="s">
        <v>6440</v>
      </c>
      <c r="C2746">
        <f>+VLOOKUP(Sites_per_tag[[#This Row],[Field_office]],Parameter!$A$3:$B$11,2,0)</f>
        <v>2</v>
      </c>
      <c r="E2746" t="s">
        <v>1448</v>
      </c>
      <c r="F2746" t="s">
        <v>5651</v>
      </c>
      <c r="H2746" t="str">
        <f ca="1">PROPER(Sites_per_tag[[#This Row],[Adm2Name]])</f>
        <v>Amboasary-Atsimo</v>
      </c>
      <c r="I2746" t="s">
        <v>5641</v>
      </c>
      <c r="K2746" t="s">
        <v>1779</v>
      </c>
      <c r="L2746" t="s">
        <v>5890</v>
      </c>
      <c r="N2746" t="s">
        <v>1976</v>
      </c>
      <c r="O2746" t="s">
        <v>4119</v>
      </c>
      <c r="Q2746" t="s">
        <v>1779</v>
      </c>
      <c r="R2746" t="s">
        <v>1780</v>
      </c>
      <c r="T2746" t="s">
        <v>50</v>
      </c>
      <c r="U2746" s="3" t="str">
        <f>+VLOOKUP(Sites_per_tag[[#This Row],[Activity_tag]],Parameter!$A$24:$B$32,2,0)</f>
        <v>STUNT</v>
      </c>
      <c r="V2746" t="s">
        <v>6573</v>
      </c>
      <c r="W2746">
        <v>46.38702</v>
      </c>
      <c r="X2746">
        <v>-24.95722</v>
      </c>
    </row>
    <row r="2747" spans="1:24" x14ac:dyDescent="0.35">
      <c r="A2747" s="3" t="str">
        <f t="shared" si="42"/>
        <v>MG53519030067001STUNT</v>
      </c>
      <c r="B2747" t="s">
        <v>6440</v>
      </c>
      <c r="C2747">
        <f>+VLOOKUP(Sites_per_tag[[#This Row],[Field_office]],Parameter!$A$3:$B$11,2,0)</f>
        <v>2</v>
      </c>
      <c r="E2747" t="s">
        <v>1448</v>
      </c>
      <c r="F2747" t="s">
        <v>5651</v>
      </c>
      <c r="H2747" t="str">
        <f ca="1">PROPER(Sites_per_tag[[#This Row],[Adm2Name]])</f>
        <v>Amboasary-Atsimo</v>
      </c>
      <c r="I2747" t="s">
        <v>5641</v>
      </c>
      <c r="K2747" t="s">
        <v>1779</v>
      </c>
      <c r="L2747" t="s">
        <v>5890</v>
      </c>
      <c r="N2747" t="s">
        <v>1395</v>
      </c>
      <c r="O2747" t="s">
        <v>4120</v>
      </c>
      <c r="Q2747" t="s">
        <v>1395</v>
      </c>
      <c r="R2747" t="s">
        <v>1396</v>
      </c>
      <c r="T2747" t="s">
        <v>50</v>
      </c>
      <c r="U2747" s="3" t="str">
        <f>+VLOOKUP(Sites_per_tag[[#This Row],[Activity_tag]],Parameter!$A$24:$B$32,2,0)</f>
        <v>STUNT</v>
      </c>
      <c r="V2747" t="s">
        <v>6573</v>
      </c>
      <c r="W2747">
        <v>46.38702</v>
      </c>
      <c r="X2747">
        <v>-24.95722</v>
      </c>
    </row>
    <row r="2748" spans="1:24" x14ac:dyDescent="0.35">
      <c r="A2748" s="3" t="str">
        <f t="shared" si="42"/>
        <v>MG53519030068001STUNT</v>
      </c>
      <c r="B2748" t="s">
        <v>6440</v>
      </c>
      <c r="C2748">
        <f>+VLOOKUP(Sites_per_tag[[#This Row],[Field_office]],Parameter!$A$3:$B$11,2,0)</f>
        <v>2</v>
      </c>
      <c r="E2748" t="s">
        <v>1448</v>
      </c>
      <c r="F2748" t="s">
        <v>5651</v>
      </c>
      <c r="H2748" t="str">
        <f ca="1">PROPER(Sites_per_tag[[#This Row],[Adm2Name]])</f>
        <v>Amboasary-Atsimo</v>
      </c>
      <c r="I2748" t="s">
        <v>5641</v>
      </c>
      <c r="K2748" t="s">
        <v>1779</v>
      </c>
      <c r="L2748" t="s">
        <v>5890</v>
      </c>
      <c r="N2748" t="s">
        <v>1471</v>
      </c>
      <c r="O2748" t="s">
        <v>4121</v>
      </c>
      <c r="Q2748" t="s">
        <v>1471</v>
      </c>
      <c r="R2748" t="s">
        <v>1472</v>
      </c>
      <c r="T2748" t="s">
        <v>50</v>
      </c>
      <c r="U2748" s="3" t="str">
        <f>+VLOOKUP(Sites_per_tag[[#This Row],[Activity_tag]],Parameter!$A$24:$B$32,2,0)</f>
        <v>STUNT</v>
      </c>
      <c r="V2748" t="s">
        <v>6574</v>
      </c>
      <c r="W2748">
        <v>46.365237999999998</v>
      </c>
      <c r="X2748">
        <v>-24.994468999999999</v>
      </c>
    </row>
    <row r="2749" spans="1:24" x14ac:dyDescent="0.35">
      <c r="A2749" s="3" t="str">
        <f t="shared" si="42"/>
        <v>MG53519030078001STUNT</v>
      </c>
      <c r="B2749" t="s">
        <v>6440</v>
      </c>
      <c r="C2749">
        <f>+VLOOKUP(Sites_per_tag[[#This Row],[Field_office]],Parameter!$A$3:$B$11,2,0)</f>
        <v>2</v>
      </c>
      <c r="E2749" t="s">
        <v>1448</v>
      </c>
      <c r="F2749" t="s">
        <v>5651</v>
      </c>
      <c r="H2749" t="str">
        <f ca="1">PROPER(Sites_per_tag[[#This Row],[Adm2Name]])</f>
        <v>Amboasary-Atsimo</v>
      </c>
      <c r="I2749" t="s">
        <v>5641</v>
      </c>
      <c r="K2749" t="s">
        <v>1779</v>
      </c>
      <c r="L2749" t="s">
        <v>5890</v>
      </c>
      <c r="N2749" t="s">
        <v>1391</v>
      </c>
      <c r="O2749" t="s">
        <v>4122</v>
      </c>
      <c r="Q2749" t="s">
        <v>1391</v>
      </c>
      <c r="R2749" t="s">
        <v>1392</v>
      </c>
      <c r="T2749" t="s">
        <v>50</v>
      </c>
      <c r="U2749" s="3" t="str">
        <f>+VLOOKUP(Sites_per_tag[[#This Row],[Activity_tag]],Parameter!$A$24:$B$32,2,0)</f>
        <v>STUNT</v>
      </c>
      <c r="V2749" t="s">
        <v>6575</v>
      </c>
      <c r="W2749">
        <v>46.402099999999997</v>
      </c>
      <c r="X2749">
        <v>-24.984919999999999</v>
      </c>
    </row>
    <row r="2750" spans="1:24" x14ac:dyDescent="0.35">
      <c r="A2750" s="3" t="str">
        <f t="shared" si="42"/>
        <v>MG53519030089001STUNT</v>
      </c>
      <c r="B2750" t="s">
        <v>6440</v>
      </c>
      <c r="C2750">
        <f>+VLOOKUP(Sites_per_tag[[#This Row],[Field_office]],Parameter!$A$3:$B$11,2,0)</f>
        <v>2</v>
      </c>
      <c r="E2750" t="s">
        <v>1448</v>
      </c>
      <c r="F2750" t="s">
        <v>5651</v>
      </c>
      <c r="H2750" t="str">
        <f ca="1">PROPER(Sites_per_tag[[#This Row],[Adm2Name]])</f>
        <v>Amboasary-Atsimo</v>
      </c>
      <c r="I2750" t="s">
        <v>5641</v>
      </c>
      <c r="K2750" t="s">
        <v>1779</v>
      </c>
      <c r="L2750" t="s">
        <v>5890</v>
      </c>
      <c r="N2750" t="s">
        <v>3629</v>
      </c>
      <c r="O2750" t="s">
        <v>4123</v>
      </c>
      <c r="Q2750" t="s">
        <v>3629</v>
      </c>
      <c r="R2750" t="s">
        <v>3630</v>
      </c>
      <c r="T2750" t="s">
        <v>50</v>
      </c>
      <c r="U2750" s="3" t="str">
        <f>+VLOOKUP(Sites_per_tag[[#This Row],[Activity_tag]],Parameter!$A$24:$B$32,2,0)</f>
        <v>STUNT</v>
      </c>
      <c r="V2750" t="s">
        <v>6565</v>
      </c>
      <c r="W2750">
        <v>46.533830000000002</v>
      </c>
      <c r="X2750">
        <v>-24.998570000000001</v>
      </c>
    </row>
    <row r="2751" spans="1:24" x14ac:dyDescent="0.35">
      <c r="A2751" s="3" t="str">
        <f t="shared" si="42"/>
        <v>MG53519030111001STUNT</v>
      </c>
      <c r="B2751" t="s">
        <v>6440</v>
      </c>
      <c r="C2751">
        <f>+VLOOKUP(Sites_per_tag[[#This Row],[Field_office]],Parameter!$A$3:$B$11,2,0)</f>
        <v>2</v>
      </c>
      <c r="E2751" t="s">
        <v>1448</v>
      </c>
      <c r="F2751" t="s">
        <v>5651</v>
      </c>
      <c r="H2751" t="str">
        <f ca="1">PROPER(Sites_per_tag[[#This Row],[Adm2Name]])</f>
        <v>Amboasary-Atsimo</v>
      </c>
      <c r="I2751" t="s">
        <v>5641</v>
      </c>
      <c r="K2751" t="s">
        <v>1779</v>
      </c>
      <c r="L2751" t="s">
        <v>5890</v>
      </c>
      <c r="N2751" t="s">
        <v>1393</v>
      </c>
      <c r="O2751" t="s">
        <v>4124</v>
      </c>
      <c r="Q2751" t="s">
        <v>1393</v>
      </c>
      <c r="R2751" t="s">
        <v>1394</v>
      </c>
      <c r="T2751" t="s">
        <v>50</v>
      </c>
      <c r="U2751" s="3" t="str">
        <f>+VLOOKUP(Sites_per_tag[[#This Row],[Activity_tag]],Parameter!$A$24:$B$32,2,0)</f>
        <v>STUNT</v>
      </c>
      <c r="V2751" t="s">
        <v>6576</v>
      </c>
      <c r="W2751">
        <v>46.266330000000004</v>
      </c>
      <c r="X2751">
        <v>-24.940349999999999</v>
      </c>
    </row>
    <row r="2752" spans="1:24" x14ac:dyDescent="0.35">
      <c r="A2752" s="3" t="str">
        <f t="shared" si="42"/>
        <v>MG53519050002001STUNT</v>
      </c>
      <c r="B2752" t="s">
        <v>6440</v>
      </c>
      <c r="C2752">
        <f>+VLOOKUP(Sites_per_tag[[#This Row],[Field_office]],Parameter!$A$3:$B$11,2,0)</f>
        <v>2</v>
      </c>
      <c r="E2752" t="s">
        <v>1448</v>
      </c>
      <c r="F2752" t="s">
        <v>5651</v>
      </c>
      <c r="H2752" t="str">
        <f ca="1">PROPER(Sites_per_tag[[#This Row],[Adm2Name]])</f>
        <v>Amboasary-Atsimo</v>
      </c>
      <c r="I2752" t="s">
        <v>5641</v>
      </c>
      <c r="K2752" t="s">
        <v>1986</v>
      </c>
      <c r="L2752" t="s">
        <v>5918</v>
      </c>
      <c r="N2752" t="s">
        <v>1110</v>
      </c>
      <c r="O2752" t="s">
        <v>4125</v>
      </c>
      <c r="Q2752" t="s">
        <v>1110</v>
      </c>
      <c r="R2752" t="s">
        <v>1111</v>
      </c>
      <c r="T2752" t="s">
        <v>50</v>
      </c>
      <c r="U2752" s="3" t="str">
        <f>+VLOOKUP(Sites_per_tag[[#This Row],[Activity_tag]],Parameter!$A$24:$B$32,2,0)</f>
        <v>STUNT</v>
      </c>
      <c r="V2752" t="s">
        <v>6577</v>
      </c>
      <c r="W2752">
        <v>46.390529999999998</v>
      </c>
      <c r="X2752">
        <v>-25.107579999999999</v>
      </c>
    </row>
    <row r="2753" spans="1:24" x14ac:dyDescent="0.35">
      <c r="A2753" s="3" t="str">
        <f t="shared" si="42"/>
        <v>MG53519050007001STUNT</v>
      </c>
      <c r="B2753" t="s">
        <v>6440</v>
      </c>
      <c r="C2753">
        <f>+VLOOKUP(Sites_per_tag[[#This Row],[Field_office]],Parameter!$A$3:$B$11,2,0)</f>
        <v>2</v>
      </c>
      <c r="E2753" t="s">
        <v>1448</v>
      </c>
      <c r="F2753" t="s">
        <v>5651</v>
      </c>
      <c r="H2753" t="str">
        <f ca="1">PROPER(Sites_per_tag[[#This Row],[Adm2Name]])</f>
        <v>Amboasary-Atsimo</v>
      </c>
      <c r="I2753" t="s">
        <v>5641</v>
      </c>
      <c r="K2753" t="s">
        <v>1986</v>
      </c>
      <c r="L2753" t="s">
        <v>5918</v>
      </c>
      <c r="N2753" t="s">
        <v>2917</v>
      </c>
      <c r="O2753" t="s">
        <v>4126</v>
      </c>
      <c r="Q2753" t="s">
        <v>2917</v>
      </c>
      <c r="R2753" t="s">
        <v>2918</v>
      </c>
      <c r="T2753" t="s">
        <v>50</v>
      </c>
      <c r="U2753" s="3" t="str">
        <f>+VLOOKUP(Sites_per_tag[[#This Row],[Activity_tag]],Parameter!$A$24:$B$32,2,0)</f>
        <v>STUNT</v>
      </c>
      <c r="V2753" t="s">
        <v>6578</v>
      </c>
      <c r="W2753">
        <v>46.366100000000003</v>
      </c>
      <c r="X2753">
        <v>-25.144929999999999</v>
      </c>
    </row>
    <row r="2754" spans="1:24" x14ac:dyDescent="0.35">
      <c r="A2754" s="3" t="str">
        <f t="shared" si="42"/>
        <v>MG53519050007002MAM</v>
      </c>
      <c r="B2754" t="s">
        <v>6211</v>
      </c>
      <c r="C2754">
        <f>+VLOOKUP(Sites_per_tag[[#This Row],[Field_office]],Parameter!$A$3:$B$11,2,0)</f>
        <v>6</v>
      </c>
      <c r="E2754" t="s">
        <v>1448</v>
      </c>
      <c r="F2754" t="s">
        <v>5651</v>
      </c>
      <c r="H2754" t="str">
        <f ca="1">PROPER(Sites_per_tag[[#This Row],[Adm2Name]])</f>
        <v>Amboasary-Atsimo</v>
      </c>
      <c r="I2754" t="s">
        <v>5641</v>
      </c>
      <c r="K2754" t="s">
        <v>1986</v>
      </c>
      <c r="L2754" t="s">
        <v>5918</v>
      </c>
      <c r="N2754" t="s">
        <v>2917</v>
      </c>
      <c r="O2754" t="s">
        <v>4126</v>
      </c>
      <c r="Q2754" t="s">
        <v>2919</v>
      </c>
      <c r="R2754" t="s">
        <v>2920</v>
      </c>
      <c r="T2754" t="s">
        <v>5</v>
      </c>
      <c r="U2754" s="3" t="str">
        <f>+VLOOKUP(Sites_per_tag[[#This Row],[Activity_tag]],Parameter!$A$24:$B$32,2,0)</f>
        <v>MAM</v>
      </c>
      <c r="W2754">
        <v>46.366100000000003</v>
      </c>
      <c r="X2754">
        <v>-25.144929999999999</v>
      </c>
    </row>
    <row r="2755" spans="1:24" x14ac:dyDescent="0.35">
      <c r="A2755" s="3" t="str">
        <f t="shared" ref="A2755:A2818" si="43">+R2755&amp;U2755</f>
        <v>MG53519050010001STUNT</v>
      </c>
      <c r="B2755" t="s">
        <v>6440</v>
      </c>
      <c r="C2755">
        <f>+VLOOKUP(Sites_per_tag[[#This Row],[Field_office]],Parameter!$A$3:$B$11,2,0)</f>
        <v>2</v>
      </c>
      <c r="E2755" t="s">
        <v>1448</v>
      </c>
      <c r="F2755" t="s">
        <v>5651</v>
      </c>
      <c r="H2755" t="str">
        <f ca="1">PROPER(Sites_per_tag[[#This Row],[Adm2Name]])</f>
        <v>Amboasary-Atsimo</v>
      </c>
      <c r="I2755" t="s">
        <v>5641</v>
      </c>
      <c r="K2755" t="s">
        <v>1986</v>
      </c>
      <c r="L2755" t="s">
        <v>5918</v>
      </c>
      <c r="N2755" t="s">
        <v>586</v>
      </c>
      <c r="O2755" t="s">
        <v>4127</v>
      </c>
      <c r="Q2755" t="s">
        <v>586</v>
      </c>
      <c r="R2755" t="s">
        <v>587</v>
      </c>
      <c r="T2755" t="s">
        <v>50</v>
      </c>
      <c r="U2755" s="3" t="str">
        <f>+VLOOKUP(Sites_per_tag[[#This Row],[Activity_tag]],Parameter!$A$24:$B$32,2,0)</f>
        <v>STUNT</v>
      </c>
      <c r="V2755" t="s">
        <v>6579</v>
      </c>
      <c r="W2755">
        <v>46.386450000000004</v>
      </c>
      <c r="X2755">
        <v>-25.155850000000001</v>
      </c>
    </row>
    <row r="2756" spans="1:24" x14ac:dyDescent="0.35">
      <c r="A2756" s="3" t="str">
        <f t="shared" si="43"/>
        <v>MG53519050014001MAM</v>
      </c>
      <c r="B2756" t="s">
        <v>6211</v>
      </c>
      <c r="C2756">
        <f>+VLOOKUP(Sites_per_tag[[#This Row],[Field_office]],Parameter!$A$3:$B$11,2,0)</f>
        <v>6</v>
      </c>
      <c r="E2756" t="s">
        <v>5646</v>
      </c>
      <c r="F2756" t="s">
        <v>5647</v>
      </c>
      <c r="H2756" t="str">
        <f ca="1">PROPER(Sites_per_tag[[#This Row],[Adm2Name]])</f>
        <v>Bekily</v>
      </c>
      <c r="I2756" t="s">
        <v>5683</v>
      </c>
      <c r="K2756" t="s">
        <v>6339</v>
      </c>
      <c r="L2756" t="s">
        <v>5907</v>
      </c>
      <c r="N2756" t="s">
        <v>186</v>
      </c>
      <c r="O2756" t="s">
        <v>4821</v>
      </c>
      <c r="Q2756" t="s">
        <v>186</v>
      </c>
      <c r="R2756" t="s">
        <v>187</v>
      </c>
      <c r="T2756" t="s">
        <v>5</v>
      </c>
      <c r="U2756" s="3" t="str">
        <f>+VLOOKUP(Sites_per_tag[[#This Row],[Activity_tag]],Parameter!$A$24:$B$32,2,0)</f>
        <v>MAM</v>
      </c>
      <c r="W2756">
        <v>46.419600000000003</v>
      </c>
      <c r="X2756">
        <v>-25.16283</v>
      </c>
    </row>
    <row r="2757" spans="1:24" x14ac:dyDescent="0.35">
      <c r="A2757" s="3" t="str">
        <f t="shared" si="43"/>
        <v>MG53519050016001MAM</v>
      </c>
      <c r="B2757" t="s">
        <v>6211</v>
      </c>
      <c r="C2757">
        <f>+VLOOKUP(Sites_per_tag[[#This Row],[Field_office]],Parameter!$A$3:$B$11,2,0)</f>
        <v>6</v>
      </c>
      <c r="E2757" t="s">
        <v>1448</v>
      </c>
      <c r="F2757" t="s">
        <v>5651</v>
      </c>
      <c r="H2757" t="str">
        <f ca="1">PROPER(Sites_per_tag[[#This Row],[Adm2Name]])</f>
        <v>Amboasary-Atsimo</v>
      </c>
      <c r="I2757" t="s">
        <v>5641</v>
      </c>
      <c r="K2757" t="s">
        <v>5828</v>
      </c>
      <c r="L2757" t="s">
        <v>6128</v>
      </c>
      <c r="N2757" t="s">
        <v>5473</v>
      </c>
      <c r="O2757" t="s">
        <v>5472</v>
      </c>
      <c r="Q2757" t="s">
        <v>1633</v>
      </c>
      <c r="R2757" t="s">
        <v>1634</v>
      </c>
      <c r="T2757" t="s">
        <v>5</v>
      </c>
      <c r="U2757" s="3" t="str">
        <f>+VLOOKUP(Sites_per_tag[[#This Row],[Activity_tag]],Parameter!$A$24:$B$32,2,0)</f>
        <v>MAM</v>
      </c>
      <c r="W2757">
        <v>46.490580000000001</v>
      </c>
      <c r="X2757">
        <v>-25.10595</v>
      </c>
    </row>
    <row r="2758" spans="1:24" x14ac:dyDescent="0.35">
      <c r="A2758" s="3" t="str">
        <f t="shared" si="43"/>
        <v>MG53519050017001STUNT</v>
      </c>
      <c r="B2758" t="s">
        <v>6440</v>
      </c>
      <c r="C2758">
        <f>+VLOOKUP(Sites_per_tag[[#This Row],[Field_office]],Parameter!$A$3:$B$11,2,0)</f>
        <v>2</v>
      </c>
      <c r="E2758" t="s">
        <v>1448</v>
      </c>
      <c r="F2758" t="s">
        <v>5651</v>
      </c>
      <c r="H2758" t="str">
        <f ca="1">PROPER(Sites_per_tag[[#This Row],[Adm2Name]])</f>
        <v>Amboasary-Atsimo</v>
      </c>
      <c r="I2758" t="s">
        <v>5641</v>
      </c>
      <c r="K2758" t="s">
        <v>5828</v>
      </c>
      <c r="L2758" t="s">
        <v>6128</v>
      </c>
      <c r="N2758" t="s">
        <v>1635</v>
      </c>
      <c r="O2758" t="s">
        <v>4128</v>
      </c>
      <c r="Q2758" t="s">
        <v>1635</v>
      </c>
      <c r="R2758" t="s">
        <v>1636</v>
      </c>
      <c r="T2758" t="s">
        <v>50</v>
      </c>
      <c r="U2758" s="3" t="str">
        <f>+VLOOKUP(Sites_per_tag[[#This Row],[Activity_tag]],Parameter!$A$24:$B$32,2,0)</f>
        <v>STUNT</v>
      </c>
      <c r="V2758" t="s">
        <v>6580</v>
      </c>
      <c r="W2758">
        <v>46.470700000000001</v>
      </c>
      <c r="X2758">
        <v>-25.097249999999999</v>
      </c>
    </row>
    <row r="2759" spans="1:24" x14ac:dyDescent="0.35">
      <c r="A2759" s="3" t="str">
        <f t="shared" si="43"/>
        <v>MG53519050019001MAM</v>
      </c>
      <c r="B2759" t="s">
        <v>6211</v>
      </c>
      <c r="C2759">
        <f>+VLOOKUP(Sites_per_tag[[#This Row],[Field_office]],Parameter!$A$3:$B$11,2,0)</f>
        <v>6</v>
      </c>
      <c r="E2759" t="s">
        <v>5646</v>
      </c>
      <c r="F2759" t="s">
        <v>5647</v>
      </c>
      <c r="H2759" t="str">
        <f ca="1">PROPER(Sites_per_tag[[#This Row],[Adm2Name]])</f>
        <v>Ambovombe-Androy</v>
      </c>
      <c r="I2759" t="s">
        <v>5655</v>
      </c>
      <c r="K2759" t="s">
        <v>418</v>
      </c>
      <c r="L2759" t="s">
        <v>5745</v>
      </c>
      <c r="N2759" t="s">
        <v>1714</v>
      </c>
      <c r="O2759" t="s">
        <v>4380</v>
      </c>
      <c r="Q2759" t="s">
        <v>1714</v>
      </c>
      <c r="R2759" t="s">
        <v>1715</v>
      </c>
      <c r="T2759" t="s">
        <v>5</v>
      </c>
      <c r="U2759" s="3" t="str">
        <f>+VLOOKUP(Sites_per_tag[[#This Row],[Activity_tag]],Parameter!$A$24:$B$32,2,0)</f>
        <v>MAM</v>
      </c>
      <c r="W2759">
        <v>46.43168</v>
      </c>
      <c r="X2759">
        <v>-25.14508</v>
      </c>
    </row>
    <row r="2760" spans="1:24" x14ac:dyDescent="0.35">
      <c r="A2760" s="3" t="str">
        <f t="shared" si="43"/>
        <v>MG53519050023001STUNT</v>
      </c>
      <c r="B2760" t="s">
        <v>6440</v>
      </c>
      <c r="C2760">
        <f>+VLOOKUP(Sites_per_tag[[#This Row],[Field_office]],Parameter!$A$3:$B$11,2,0)</f>
        <v>2</v>
      </c>
      <c r="E2760" t="s">
        <v>1448</v>
      </c>
      <c r="F2760" t="s">
        <v>5651</v>
      </c>
      <c r="H2760" t="str">
        <f ca="1">PROPER(Sites_per_tag[[#This Row],[Adm2Name]])</f>
        <v>Amboasary-Atsimo</v>
      </c>
      <c r="I2760" t="s">
        <v>5641</v>
      </c>
      <c r="K2760" t="s">
        <v>5828</v>
      </c>
      <c r="L2760" t="s">
        <v>6128</v>
      </c>
      <c r="N2760" t="s">
        <v>3038</v>
      </c>
      <c r="O2760" t="s">
        <v>4129</v>
      </c>
      <c r="Q2760" t="s">
        <v>3040</v>
      </c>
      <c r="R2760" t="s">
        <v>3041</v>
      </c>
      <c r="T2760" t="s">
        <v>50</v>
      </c>
      <c r="U2760" s="3" t="str">
        <f>+VLOOKUP(Sites_per_tag[[#This Row],[Activity_tag]],Parameter!$A$24:$B$32,2,0)</f>
        <v>STUNT</v>
      </c>
      <c r="V2760" t="s">
        <v>6581</v>
      </c>
      <c r="W2760">
        <v>46.520099999999999</v>
      </c>
      <c r="X2760">
        <v>-25.152270000000001</v>
      </c>
    </row>
    <row r="2761" spans="1:24" x14ac:dyDescent="0.35">
      <c r="A2761" s="3" t="str">
        <f t="shared" si="43"/>
        <v>MG53519050023002MAM</v>
      </c>
      <c r="B2761" t="s">
        <v>6211</v>
      </c>
      <c r="C2761">
        <f>+VLOOKUP(Sites_per_tag[[#This Row],[Field_office]],Parameter!$A$3:$B$11,2,0)</f>
        <v>6</v>
      </c>
      <c r="E2761" t="s">
        <v>1448</v>
      </c>
      <c r="F2761" t="s">
        <v>5651</v>
      </c>
      <c r="H2761" t="str">
        <f ca="1">PROPER(Sites_per_tag[[#This Row],[Adm2Name]])</f>
        <v>Amboasary-Atsimo</v>
      </c>
      <c r="I2761" t="s">
        <v>5641</v>
      </c>
      <c r="K2761" t="s">
        <v>5828</v>
      </c>
      <c r="L2761" t="s">
        <v>6128</v>
      </c>
      <c r="N2761" t="s">
        <v>3038</v>
      </c>
      <c r="O2761" t="s">
        <v>4129</v>
      </c>
      <c r="Q2761" t="s">
        <v>3038</v>
      </c>
      <c r="R2761" t="s">
        <v>3039</v>
      </c>
      <c r="T2761" t="s">
        <v>5</v>
      </c>
      <c r="U2761" s="3" t="str">
        <f>+VLOOKUP(Sites_per_tag[[#This Row],[Activity_tag]],Parameter!$A$24:$B$32,2,0)</f>
        <v>MAM</v>
      </c>
      <c r="W2761">
        <v>46.520099999999999</v>
      </c>
      <c r="X2761">
        <v>-25.152270000000001</v>
      </c>
    </row>
    <row r="2762" spans="1:24" x14ac:dyDescent="0.35">
      <c r="A2762" s="3" t="str">
        <f t="shared" si="43"/>
        <v>MG53519050024001STUNT</v>
      </c>
      <c r="B2762" t="s">
        <v>6440</v>
      </c>
      <c r="C2762">
        <f>+VLOOKUP(Sites_per_tag[[#This Row],[Field_office]],Parameter!$A$3:$B$11,2,0)</f>
        <v>2</v>
      </c>
      <c r="E2762" t="s">
        <v>1448</v>
      </c>
      <c r="F2762" t="s">
        <v>5651</v>
      </c>
      <c r="H2762" t="str">
        <f ca="1">PROPER(Sites_per_tag[[#This Row],[Adm2Name]])</f>
        <v>Amboasary-Atsimo</v>
      </c>
      <c r="I2762" t="s">
        <v>5641</v>
      </c>
      <c r="K2762" t="s">
        <v>5828</v>
      </c>
      <c r="L2762" t="s">
        <v>6128</v>
      </c>
      <c r="N2762" t="s">
        <v>244</v>
      </c>
      <c r="O2762" t="s">
        <v>4130</v>
      </c>
      <c r="Q2762" t="s">
        <v>246</v>
      </c>
      <c r="R2762" t="s">
        <v>247</v>
      </c>
      <c r="T2762" t="s">
        <v>50</v>
      </c>
      <c r="U2762" s="3" t="str">
        <f>+VLOOKUP(Sites_per_tag[[#This Row],[Activity_tag]],Parameter!$A$24:$B$32,2,0)</f>
        <v>STUNT</v>
      </c>
      <c r="V2762" t="s">
        <v>6582</v>
      </c>
      <c r="W2762">
        <v>46.441507000000001</v>
      </c>
      <c r="X2762">
        <v>-25.131820000000001</v>
      </c>
    </row>
    <row r="2763" spans="1:24" x14ac:dyDescent="0.35">
      <c r="A2763" s="3" t="str">
        <f t="shared" si="43"/>
        <v>MG53519050024002MAM</v>
      </c>
      <c r="B2763" t="s">
        <v>6211</v>
      </c>
      <c r="C2763">
        <f>+VLOOKUP(Sites_per_tag[[#This Row],[Field_office]],Parameter!$A$3:$B$11,2,0)</f>
        <v>6</v>
      </c>
      <c r="E2763" t="s">
        <v>1448</v>
      </c>
      <c r="F2763" t="s">
        <v>5651</v>
      </c>
      <c r="H2763" t="str">
        <f ca="1">PROPER(Sites_per_tag[[#This Row],[Adm2Name]])</f>
        <v>Amboasary-Atsimo</v>
      </c>
      <c r="I2763" t="s">
        <v>5641</v>
      </c>
      <c r="K2763" t="s">
        <v>5828</v>
      </c>
      <c r="L2763" t="s">
        <v>6128</v>
      </c>
      <c r="N2763" t="s">
        <v>244</v>
      </c>
      <c r="O2763" t="s">
        <v>4130</v>
      </c>
      <c r="Q2763" t="s">
        <v>251</v>
      </c>
      <c r="R2763" t="s">
        <v>252</v>
      </c>
      <c r="T2763" t="s">
        <v>5</v>
      </c>
      <c r="U2763" s="3" t="str">
        <f>+VLOOKUP(Sites_per_tag[[#This Row],[Activity_tag]],Parameter!$A$24:$B$32,2,0)</f>
        <v>MAM</v>
      </c>
      <c r="W2763">
        <v>46.442219999999999</v>
      </c>
      <c r="X2763">
        <v>-25.09328</v>
      </c>
    </row>
    <row r="2764" spans="1:24" x14ac:dyDescent="0.35">
      <c r="A2764" s="3" t="str">
        <f t="shared" si="43"/>
        <v>MG53519050056001MAM</v>
      </c>
      <c r="B2764" t="s">
        <v>6211</v>
      </c>
      <c r="C2764">
        <f>+VLOOKUP(Sites_per_tag[[#This Row],[Field_office]],Parameter!$A$3:$B$11,2,0)</f>
        <v>6</v>
      </c>
      <c r="E2764" t="s">
        <v>5646</v>
      </c>
      <c r="F2764" t="s">
        <v>5647</v>
      </c>
      <c r="H2764" t="str">
        <f ca="1">PROPER(Sites_per_tag[[#This Row],[Adm2Name]])</f>
        <v>Bekily</v>
      </c>
      <c r="I2764" t="s">
        <v>5683</v>
      </c>
      <c r="K2764" t="s">
        <v>6339</v>
      </c>
      <c r="L2764" t="s">
        <v>5907</v>
      </c>
      <c r="N2764" t="s">
        <v>505</v>
      </c>
      <c r="O2764" t="s">
        <v>4822</v>
      </c>
      <c r="Q2764" t="s">
        <v>505</v>
      </c>
      <c r="R2764" t="s">
        <v>506</v>
      </c>
      <c r="T2764" t="s">
        <v>5</v>
      </c>
      <c r="U2764" s="3" t="str">
        <f>+VLOOKUP(Sites_per_tag[[#This Row],[Activity_tag]],Parameter!$A$24:$B$32,2,0)</f>
        <v>MAM</v>
      </c>
      <c r="W2764">
        <v>45.378950000000003</v>
      </c>
      <c r="X2764">
        <v>-24.401299999999999</v>
      </c>
    </row>
    <row r="2765" spans="1:24" x14ac:dyDescent="0.35">
      <c r="A2765" s="3" t="str">
        <f t="shared" si="43"/>
        <v>MG53519050057001MAM</v>
      </c>
      <c r="B2765" t="s">
        <v>6211</v>
      </c>
      <c r="C2765">
        <f>+VLOOKUP(Sites_per_tag[[#This Row],[Field_office]],Parameter!$A$3:$B$11,2,0)</f>
        <v>6</v>
      </c>
      <c r="E2765" t="s">
        <v>5646</v>
      </c>
      <c r="F2765" t="s">
        <v>5647</v>
      </c>
      <c r="H2765" t="str">
        <f ca="1">PROPER(Sites_per_tag[[#This Row],[Adm2Name]])</f>
        <v>Bekily</v>
      </c>
      <c r="I2765" t="s">
        <v>5683</v>
      </c>
      <c r="K2765" t="s">
        <v>6339</v>
      </c>
      <c r="L2765" t="s">
        <v>5907</v>
      </c>
      <c r="N2765" t="s">
        <v>1384</v>
      </c>
      <c r="O2765" t="s">
        <v>4823</v>
      </c>
      <c r="Q2765" t="s">
        <v>1384</v>
      </c>
      <c r="R2765" t="s">
        <v>1385</v>
      </c>
      <c r="T2765" t="s">
        <v>5</v>
      </c>
      <c r="U2765" s="3" t="str">
        <f>+VLOOKUP(Sites_per_tag[[#This Row],[Activity_tag]],Parameter!$A$24:$B$32,2,0)</f>
        <v>MAM</v>
      </c>
      <c r="W2765">
        <v>45.379370000000002</v>
      </c>
      <c r="X2765">
        <v>-24.48892</v>
      </c>
    </row>
    <row r="2766" spans="1:24" x14ac:dyDescent="0.35">
      <c r="A2766" s="3" t="str">
        <f t="shared" si="43"/>
        <v>MG53519050058001MAM</v>
      </c>
      <c r="B2766" t="s">
        <v>6211</v>
      </c>
      <c r="C2766">
        <f>+VLOOKUP(Sites_per_tag[[#This Row],[Field_office]],Parameter!$A$3:$B$11,2,0)</f>
        <v>6</v>
      </c>
      <c r="E2766" t="s">
        <v>5646</v>
      </c>
      <c r="F2766" t="s">
        <v>5647</v>
      </c>
      <c r="H2766" t="str">
        <f ca="1">PROPER(Sites_per_tag[[#This Row],[Adm2Name]])</f>
        <v>Bekily</v>
      </c>
      <c r="I2766" t="s">
        <v>5683</v>
      </c>
      <c r="K2766" t="s">
        <v>6339</v>
      </c>
      <c r="L2766" t="s">
        <v>5907</v>
      </c>
      <c r="N2766" t="s">
        <v>1908</v>
      </c>
      <c r="O2766" t="s">
        <v>4824</v>
      </c>
      <c r="Q2766" t="s">
        <v>1912</v>
      </c>
      <c r="R2766" t="s">
        <v>1913</v>
      </c>
      <c r="T2766" t="s">
        <v>5</v>
      </c>
      <c r="U2766" s="3" t="str">
        <f>+VLOOKUP(Sites_per_tag[[#This Row],[Activity_tag]],Parameter!$A$24:$B$32,2,0)</f>
        <v>MAM</v>
      </c>
      <c r="W2766">
        <v>45.408349999999999</v>
      </c>
      <c r="X2766">
        <v>-24.49417</v>
      </c>
    </row>
    <row r="2767" spans="1:24" x14ac:dyDescent="0.35">
      <c r="A2767" s="3" t="str">
        <f t="shared" si="43"/>
        <v>MG53519070002001MAM</v>
      </c>
      <c r="B2767" t="s">
        <v>6211</v>
      </c>
      <c r="C2767">
        <f>+VLOOKUP(Sites_per_tag[[#This Row],[Field_office]],Parameter!$A$3:$B$11,2,0)</f>
        <v>6</v>
      </c>
      <c r="E2767" t="s">
        <v>1448</v>
      </c>
      <c r="F2767" t="s">
        <v>5651</v>
      </c>
      <c r="H2767" t="str">
        <f ca="1">PROPER(Sites_per_tag[[#This Row],[Adm2Name]])</f>
        <v>Amboasary-Atsimo</v>
      </c>
      <c r="I2767" t="s">
        <v>5641</v>
      </c>
      <c r="K2767" t="s">
        <v>5715</v>
      </c>
      <c r="L2767" t="s">
        <v>6096</v>
      </c>
      <c r="N2767" t="s">
        <v>1295</v>
      </c>
      <c r="O2767" t="s">
        <v>5418</v>
      </c>
      <c r="Q2767" t="s">
        <v>1295</v>
      </c>
      <c r="R2767" t="s">
        <v>1296</v>
      </c>
      <c r="T2767" t="s">
        <v>5</v>
      </c>
      <c r="U2767" s="3" t="str">
        <f>+VLOOKUP(Sites_per_tag[[#This Row],[Activity_tag]],Parameter!$A$24:$B$32,2,0)</f>
        <v>MAM</v>
      </c>
      <c r="W2767">
        <v>46.275570000000002</v>
      </c>
      <c r="X2767">
        <v>-25.10802</v>
      </c>
    </row>
    <row r="2768" spans="1:24" x14ac:dyDescent="0.35">
      <c r="A2768" s="3" t="str">
        <f t="shared" si="43"/>
        <v>MG53519070005001MAM</v>
      </c>
      <c r="B2768" t="s">
        <v>6211</v>
      </c>
      <c r="C2768">
        <f>+VLOOKUP(Sites_per_tag[[#This Row],[Field_office]],Parameter!$A$3:$B$11,2,0)</f>
        <v>6</v>
      </c>
      <c r="E2768" t="s">
        <v>1448</v>
      </c>
      <c r="F2768" t="s">
        <v>5651</v>
      </c>
      <c r="H2768" t="str">
        <f ca="1">PROPER(Sites_per_tag[[#This Row],[Adm2Name]])</f>
        <v>Amboasary-Atsimo</v>
      </c>
      <c r="I2768" t="s">
        <v>5641</v>
      </c>
      <c r="K2768" t="s">
        <v>5715</v>
      </c>
      <c r="L2768" t="s">
        <v>6096</v>
      </c>
      <c r="N2768" t="s">
        <v>1343</v>
      </c>
      <c r="O2768" t="s">
        <v>5419</v>
      </c>
      <c r="Q2768" t="s">
        <v>1343</v>
      </c>
      <c r="R2768" t="s">
        <v>1344</v>
      </c>
      <c r="T2768" t="s">
        <v>5</v>
      </c>
      <c r="U2768" s="3" t="str">
        <f>+VLOOKUP(Sites_per_tag[[#This Row],[Activity_tag]],Parameter!$A$24:$B$32,2,0)</f>
        <v>MAM</v>
      </c>
      <c r="W2768">
        <v>46.271569999999997</v>
      </c>
      <c r="X2768">
        <v>-25.11628</v>
      </c>
    </row>
    <row r="2769" spans="1:24" x14ac:dyDescent="0.35">
      <c r="A2769" s="3" t="str">
        <f t="shared" si="43"/>
        <v>MG53519070006001MAM</v>
      </c>
      <c r="B2769" t="s">
        <v>6211</v>
      </c>
      <c r="C2769">
        <f>+VLOOKUP(Sites_per_tag[[#This Row],[Field_office]],Parameter!$A$3:$B$11,2,0)</f>
        <v>6</v>
      </c>
      <c r="E2769" t="s">
        <v>1448</v>
      </c>
      <c r="F2769" t="s">
        <v>5651</v>
      </c>
      <c r="H2769" t="str">
        <f ca="1">PROPER(Sites_per_tag[[#This Row],[Adm2Name]])</f>
        <v>Amboasary-Atsimo</v>
      </c>
      <c r="I2769" t="s">
        <v>5641</v>
      </c>
      <c r="K2769" t="s">
        <v>5715</v>
      </c>
      <c r="L2769" t="s">
        <v>6096</v>
      </c>
      <c r="N2769" t="s">
        <v>78</v>
      </c>
      <c r="O2769" t="s">
        <v>5420</v>
      </c>
      <c r="Q2769" t="s">
        <v>78</v>
      </c>
      <c r="R2769" t="s">
        <v>79</v>
      </c>
      <c r="T2769" t="s">
        <v>5</v>
      </c>
      <c r="U2769" s="3" t="str">
        <f>+VLOOKUP(Sites_per_tag[[#This Row],[Activity_tag]],Parameter!$A$24:$B$32,2,0)</f>
        <v>MAM</v>
      </c>
      <c r="W2769">
        <v>46.319450000000003</v>
      </c>
      <c r="X2769">
        <v>-25.142520000000001</v>
      </c>
    </row>
    <row r="2770" spans="1:24" x14ac:dyDescent="0.35">
      <c r="A2770" s="3" t="str">
        <f t="shared" si="43"/>
        <v>MG53519070010001STUNT</v>
      </c>
      <c r="B2770" t="s">
        <v>6440</v>
      </c>
      <c r="C2770">
        <f>+VLOOKUP(Sites_per_tag[[#This Row],[Field_office]],Parameter!$A$3:$B$11,2,0)</f>
        <v>2</v>
      </c>
      <c r="E2770" t="s">
        <v>1448</v>
      </c>
      <c r="F2770" t="s">
        <v>5651</v>
      </c>
      <c r="H2770" t="str">
        <f ca="1">PROPER(Sites_per_tag[[#This Row],[Adm2Name]])</f>
        <v>Amboasary-Atsimo</v>
      </c>
      <c r="I2770" t="s">
        <v>5641</v>
      </c>
      <c r="K2770" t="s">
        <v>5715</v>
      </c>
      <c r="L2770" t="s">
        <v>6096</v>
      </c>
      <c r="N2770" t="s">
        <v>3408</v>
      </c>
      <c r="O2770" t="s">
        <v>4131</v>
      </c>
      <c r="Q2770" t="s">
        <v>3408</v>
      </c>
      <c r="R2770" t="s">
        <v>3409</v>
      </c>
      <c r="T2770" t="s">
        <v>50</v>
      </c>
      <c r="U2770" s="3" t="str">
        <f>+VLOOKUP(Sites_per_tag[[#This Row],[Activity_tag]],Parameter!$A$24:$B$32,2,0)</f>
        <v>STUNT</v>
      </c>
      <c r="V2770" t="s">
        <v>6583</v>
      </c>
      <c r="W2770">
        <v>46.309930000000001</v>
      </c>
      <c r="X2770">
        <v>-25.135570000000001</v>
      </c>
    </row>
    <row r="2771" spans="1:24" x14ac:dyDescent="0.35">
      <c r="A2771" s="3" t="str">
        <f t="shared" si="43"/>
        <v>MG53519070011001MAM</v>
      </c>
      <c r="B2771" t="s">
        <v>6211</v>
      </c>
      <c r="C2771">
        <f>+VLOOKUP(Sites_per_tag[[#This Row],[Field_office]],Parameter!$A$3:$B$11,2,0)</f>
        <v>6</v>
      </c>
      <c r="E2771" t="s">
        <v>1448</v>
      </c>
      <c r="F2771" t="s">
        <v>5651</v>
      </c>
      <c r="H2771" t="str">
        <f ca="1">PROPER(Sites_per_tag[[#This Row],[Adm2Name]])</f>
        <v>Amboasary-Atsimo</v>
      </c>
      <c r="I2771" t="s">
        <v>5641</v>
      </c>
      <c r="K2771" t="s">
        <v>5715</v>
      </c>
      <c r="L2771" t="s">
        <v>6096</v>
      </c>
      <c r="N2771" t="s">
        <v>1263</v>
      </c>
      <c r="O2771" t="s">
        <v>5421</v>
      </c>
      <c r="Q2771" t="s">
        <v>1263</v>
      </c>
      <c r="R2771" t="s">
        <v>1264</v>
      </c>
      <c r="T2771" t="s">
        <v>5</v>
      </c>
      <c r="U2771" s="3" t="str">
        <f>+VLOOKUP(Sites_per_tag[[#This Row],[Activity_tag]],Parameter!$A$24:$B$32,2,0)</f>
        <v>MAM</v>
      </c>
      <c r="W2771">
        <v>46.32403</v>
      </c>
      <c r="X2771">
        <v>-25.148019999999999</v>
      </c>
    </row>
    <row r="2772" spans="1:24" x14ac:dyDescent="0.35">
      <c r="A2772" s="3" t="str">
        <f t="shared" si="43"/>
        <v>MG53519070012001MAM</v>
      </c>
      <c r="B2772" t="s">
        <v>6211</v>
      </c>
      <c r="C2772">
        <f>+VLOOKUP(Sites_per_tag[[#This Row],[Field_office]],Parameter!$A$3:$B$11,2,0)</f>
        <v>6</v>
      </c>
      <c r="E2772" t="s">
        <v>1448</v>
      </c>
      <c r="F2772" t="s">
        <v>5651</v>
      </c>
      <c r="H2772" t="str">
        <f ca="1">PROPER(Sites_per_tag[[#This Row],[Adm2Name]])</f>
        <v>Amboasary-Atsimo</v>
      </c>
      <c r="I2772" t="s">
        <v>5641</v>
      </c>
      <c r="K2772" t="s">
        <v>5715</v>
      </c>
      <c r="L2772" t="s">
        <v>6096</v>
      </c>
      <c r="N2772" t="s">
        <v>2906</v>
      </c>
      <c r="O2772" t="s">
        <v>5422</v>
      </c>
      <c r="Q2772" t="s">
        <v>2906</v>
      </c>
      <c r="R2772" t="s">
        <v>2907</v>
      </c>
      <c r="T2772" t="s">
        <v>5</v>
      </c>
      <c r="U2772" s="3" t="str">
        <f>+VLOOKUP(Sites_per_tag[[#This Row],[Activity_tag]],Parameter!$A$24:$B$32,2,0)</f>
        <v>MAM</v>
      </c>
      <c r="W2772">
        <v>46.316299999999998</v>
      </c>
      <c r="X2772">
        <v>-25.144349999999999</v>
      </c>
    </row>
    <row r="2773" spans="1:24" x14ac:dyDescent="0.35">
      <c r="A2773" s="3" t="str">
        <f t="shared" si="43"/>
        <v>MG53519070015001STUNT</v>
      </c>
      <c r="B2773" t="s">
        <v>6440</v>
      </c>
      <c r="C2773">
        <f>+VLOOKUP(Sites_per_tag[[#This Row],[Field_office]],Parameter!$A$3:$B$11,2,0)</f>
        <v>2</v>
      </c>
      <c r="E2773" t="s">
        <v>1448</v>
      </c>
      <c r="F2773" t="s">
        <v>5651</v>
      </c>
      <c r="H2773" t="str">
        <f ca="1">PROPER(Sites_per_tag[[#This Row],[Adm2Name]])</f>
        <v>Amboasary-Atsimo</v>
      </c>
      <c r="I2773" t="s">
        <v>5641</v>
      </c>
      <c r="K2773" t="s">
        <v>5715</v>
      </c>
      <c r="L2773" t="s">
        <v>6096</v>
      </c>
      <c r="N2773" t="s">
        <v>978</v>
      </c>
      <c r="O2773" t="s">
        <v>4132</v>
      </c>
      <c r="Q2773" t="s">
        <v>983</v>
      </c>
      <c r="R2773" t="s">
        <v>984</v>
      </c>
      <c r="T2773" t="s">
        <v>50</v>
      </c>
      <c r="U2773" s="3" t="str">
        <f>+VLOOKUP(Sites_per_tag[[#This Row],[Activity_tag]],Parameter!$A$24:$B$32,2,0)</f>
        <v>STUNT</v>
      </c>
      <c r="V2773" t="s">
        <v>6584</v>
      </c>
      <c r="W2773">
        <v>45.986879999999999</v>
      </c>
      <c r="X2773">
        <v>-25.12378</v>
      </c>
    </row>
    <row r="2774" spans="1:24" x14ac:dyDescent="0.35">
      <c r="A2774" s="3" t="str">
        <f t="shared" si="43"/>
        <v>MG53519070016001STUNT</v>
      </c>
      <c r="B2774" t="s">
        <v>6440</v>
      </c>
      <c r="C2774">
        <f>+VLOOKUP(Sites_per_tag[[#This Row],[Field_office]],Parameter!$A$3:$B$11,2,0)</f>
        <v>2</v>
      </c>
      <c r="E2774" t="s">
        <v>1448</v>
      </c>
      <c r="F2774" t="s">
        <v>5651</v>
      </c>
      <c r="H2774" t="str">
        <f ca="1">PROPER(Sites_per_tag[[#This Row],[Adm2Name]])</f>
        <v>Amboasary-Atsimo</v>
      </c>
      <c r="I2774" t="s">
        <v>5641</v>
      </c>
      <c r="K2774" t="s">
        <v>5715</v>
      </c>
      <c r="L2774" t="s">
        <v>6096</v>
      </c>
      <c r="N2774" t="s">
        <v>4134</v>
      </c>
      <c r="O2774" t="s">
        <v>4133</v>
      </c>
      <c r="Q2774" t="s">
        <v>2908</v>
      </c>
      <c r="R2774" t="s">
        <v>2909</v>
      </c>
      <c r="T2774" t="s">
        <v>50</v>
      </c>
      <c r="U2774" s="3" t="str">
        <f>+VLOOKUP(Sites_per_tag[[#This Row],[Activity_tag]],Parameter!$A$24:$B$32,2,0)</f>
        <v>STUNT</v>
      </c>
      <c r="V2774" t="s">
        <v>6585</v>
      </c>
      <c r="W2774">
        <v>46.27563</v>
      </c>
      <c r="X2774">
        <v>-25.163869999999999</v>
      </c>
    </row>
    <row r="2775" spans="1:24" x14ac:dyDescent="0.35">
      <c r="A2775" s="3" t="str">
        <f t="shared" si="43"/>
        <v>MG53519070017001STUNT</v>
      </c>
      <c r="B2775" t="s">
        <v>6440</v>
      </c>
      <c r="C2775">
        <f>+VLOOKUP(Sites_per_tag[[#This Row],[Field_office]],Parameter!$A$3:$B$11,2,0)</f>
        <v>2</v>
      </c>
      <c r="E2775" t="s">
        <v>1448</v>
      </c>
      <c r="F2775" t="s">
        <v>5651</v>
      </c>
      <c r="H2775" t="str">
        <f ca="1">PROPER(Sites_per_tag[[#This Row],[Adm2Name]])</f>
        <v>Amboasary-Atsimo</v>
      </c>
      <c r="I2775" t="s">
        <v>5641</v>
      </c>
      <c r="K2775" t="s">
        <v>5715</v>
      </c>
      <c r="L2775" t="s">
        <v>6096</v>
      </c>
      <c r="N2775" t="s">
        <v>4136</v>
      </c>
      <c r="O2775" t="s">
        <v>4135</v>
      </c>
      <c r="Q2775" t="s">
        <v>2887</v>
      </c>
      <c r="R2775" t="s">
        <v>2888</v>
      </c>
      <c r="T2775" t="s">
        <v>50</v>
      </c>
      <c r="U2775" s="3" t="str">
        <f>+VLOOKUP(Sites_per_tag[[#This Row],[Activity_tag]],Parameter!$A$24:$B$32,2,0)</f>
        <v>STUNT</v>
      </c>
      <c r="V2775" t="s">
        <v>6586</v>
      </c>
      <c r="W2775">
        <v>46.279299999999999</v>
      </c>
      <c r="X2775">
        <v>-25.175850000000001</v>
      </c>
    </row>
    <row r="2776" spans="1:24" x14ac:dyDescent="0.35">
      <c r="A2776" s="3" t="str">
        <f t="shared" si="43"/>
        <v>MG53519090001001STUNT</v>
      </c>
      <c r="B2776" t="s">
        <v>6440</v>
      </c>
      <c r="C2776">
        <f>+VLOOKUP(Sites_per_tag[[#This Row],[Field_office]],Parameter!$A$3:$B$11,2,0)</f>
        <v>2</v>
      </c>
      <c r="E2776" t="s">
        <v>1448</v>
      </c>
      <c r="F2776" t="s">
        <v>5651</v>
      </c>
      <c r="H2776" t="str">
        <f ca="1">PROPER(Sites_per_tag[[#This Row],[Adm2Name]])</f>
        <v>Amboasary-Atsimo</v>
      </c>
      <c r="I2776" t="s">
        <v>5641</v>
      </c>
      <c r="K2776" t="s">
        <v>2561</v>
      </c>
      <c r="L2776" t="s">
        <v>5970</v>
      </c>
      <c r="N2776" t="s">
        <v>2561</v>
      </c>
      <c r="O2776" t="s">
        <v>2566</v>
      </c>
      <c r="Q2776" t="s">
        <v>2565</v>
      </c>
      <c r="R2776" t="s">
        <v>2567</v>
      </c>
      <c r="T2776" t="s">
        <v>50</v>
      </c>
      <c r="U2776" s="3" t="str">
        <f>+VLOOKUP(Sites_per_tag[[#This Row],[Activity_tag]],Parameter!$A$24:$B$32,2,0)</f>
        <v>STUNT</v>
      </c>
      <c r="V2776" t="s">
        <v>6587</v>
      </c>
      <c r="W2776">
        <v>46.132550000000002</v>
      </c>
      <c r="X2776">
        <v>-24.79158</v>
      </c>
    </row>
    <row r="2777" spans="1:24" x14ac:dyDescent="0.35">
      <c r="A2777" s="3" t="str">
        <f t="shared" si="43"/>
        <v>MG53519090001002MAM</v>
      </c>
      <c r="B2777" t="s">
        <v>6211</v>
      </c>
      <c r="C2777">
        <f>+VLOOKUP(Sites_per_tag[[#This Row],[Field_office]],Parameter!$A$3:$B$11,2,0)</f>
        <v>6</v>
      </c>
      <c r="E2777" t="s">
        <v>1448</v>
      </c>
      <c r="F2777" t="s">
        <v>5651</v>
      </c>
      <c r="H2777" t="str">
        <f ca="1">PROPER(Sites_per_tag[[#This Row],[Adm2Name]])</f>
        <v>Amboasary-Atsimo</v>
      </c>
      <c r="I2777" t="s">
        <v>5641</v>
      </c>
      <c r="K2777" t="s">
        <v>2561</v>
      </c>
      <c r="L2777" t="s">
        <v>5970</v>
      </c>
      <c r="N2777" t="s">
        <v>2561</v>
      </c>
      <c r="O2777" t="s">
        <v>2566</v>
      </c>
      <c r="Q2777" t="s">
        <v>2561</v>
      </c>
      <c r="R2777" t="s">
        <v>2562</v>
      </c>
      <c r="T2777" t="s">
        <v>5</v>
      </c>
      <c r="U2777" s="3" t="str">
        <f>+VLOOKUP(Sites_per_tag[[#This Row],[Activity_tag]],Parameter!$A$24:$B$32,2,0)</f>
        <v>MAM</v>
      </c>
      <c r="W2777">
        <v>46.132550000000002</v>
      </c>
      <c r="X2777">
        <v>-24.79158</v>
      </c>
    </row>
    <row r="2778" spans="1:24" x14ac:dyDescent="0.35">
      <c r="A2778" s="3" t="str">
        <f t="shared" si="43"/>
        <v>MG53519090001PREV</v>
      </c>
      <c r="B2778" t="s">
        <v>6211</v>
      </c>
      <c r="C2778">
        <f>+VLOOKUP(Sites_per_tag[[#This Row],[Field_office]],Parameter!$A$3:$B$11,2,0)</f>
        <v>6</v>
      </c>
      <c r="E2778" t="s">
        <v>1448</v>
      </c>
      <c r="F2778" t="s">
        <v>5651</v>
      </c>
      <c r="H2778" t="str">
        <f ca="1">PROPER(Sites_per_tag[[#This Row],[Adm2Name]])</f>
        <v>Amboasary-Atsimo</v>
      </c>
      <c r="I2778" t="s">
        <v>5641</v>
      </c>
      <c r="K2778" t="s">
        <v>2561</v>
      </c>
      <c r="L2778" t="s">
        <v>5970</v>
      </c>
      <c r="N2778" t="s">
        <v>4158</v>
      </c>
      <c r="Q2778" t="s">
        <v>2565</v>
      </c>
      <c r="R2778" t="s">
        <v>2566</v>
      </c>
      <c r="T2778" t="s">
        <v>32</v>
      </c>
      <c r="U2778" s="3" t="str">
        <f>+VLOOKUP(Sites_per_tag[[#This Row],[Activity_tag]],Parameter!$A$24:$B$32,2,0)</f>
        <v>PREV</v>
      </c>
      <c r="W2778">
        <v>46.138179999999998</v>
      </c>
      <c r="X2778">
        <v>-24.80115</v>
      </c>
    </row>
    <row r="2779" spans="1:24" x14ac:dyDescent="0.35">
      <c r="A2779" s="3" t="str">
        <f t="shared" si="43"/>
        <v>MG53519090002001MAM</v>
      </c>
      <c r="B2779" t="s">
        <v>6211</v>
      </c>
      <c r="C2779">
        <f>+VLOOKUP(Sites_per_tag[[#This Row],[Field_office]],Parameter!$A$3:$B$11,2,0)</f>
        <v>6</v>
      </c>
      <c r="E2779" t="s">
        <v>1448</v>
      </c>
      <c r="F2779" t="s">
        <v>5651</v>
      </c>
      <c r="H2779" t="str">
        <f ca="1">PROPER(Sites_per_tag[[#This Row],[Adm2Name]])</f>
        <v>Amboasary-Atsimo</v>
      </c>
      <c r="I2779" t="s">
        <v>5641</v>
      </c>
      <c r="K2779" t="s">
        <v>2561</v>
      </c>
      <c r="L2779" t="s">
        <v>5970</v>
      </c>
      <c r="N2779" t="s">
        <v>222</v>
      </c>
      <c r="O2779" t="s">
        <v>5049</v>
      </c>
      <c r="Q2779" t="s">
        <v>238</v>
      </c>
      <c r="R2779" t="s">
        <v>239</v>
      </c>
      <c r="T2779" t="s">
        <v>5</v>
      </c>
      <c r="U2779" s="3" t="str">
        <f>+VLOOKUP(Sites_per_tag[[#This Row],[Activity_tag]],Parameter!$A$24:$B$32,2,0)</f>
        <v>MAM</v>
      </c>
      <c r="W2779">
        <v>46.166820000000001</v>
      </c>
      <c r="X2779">
        <v>-24.958842000000001</v>
      </c>
    </row>
    <row r="2780" spans="1:24" x14ac:dyDescent="0.35">
      <c r="A2780" s="3" t="str">
        <f t="shared" si="43"/>
        <v>MG53519090003001MAM</v>
      </c>
      <c r="B2780" t="s">
        <v>6211</v>
      </c>
      <c r="C2780">
        <f>+VLOOKUP(Sites_per_tag[[#This Row],[Field_office]],Parameter!$A$3:$B$11,2,0)</f>
        <v>6</v>
      </c>
      <c r="E2780" t="s">
        <v>1448</v>
      </c>
      <c r="F2780" t="s">
        <v>5651</v>
      </c>
      <c r="H2780" t="str">
        <f ca="1">PROPER(Sites_per_tag[[#This Row],[Adm2Name]])</f>
        <v>Amboasary-Atsimo</v>
      </c>
      <c r="I2780" t="s">
        <v>5641</v>
      </c>
      <c r="K2780" t="s">
        <v>4319</v>
      </c>
      <c r="L2780" t="s">
        <v>6001</v>
      </c>
      <c r="N2780" t="s">
        <v>4319</v>
      </c>
      <c r="O2780" t="s">
        <v>5173</v>
      </c>
      <c r="Q2780" t="s">
        <v>2735</v>
      </c>
      <c r="R2780" t="s">
        <v>2736</v>
      </c>
      <c r="T2780" t="s">
        <v>5</v>
      </c>
      <c r="U2780" s="3" t="str">
        <f>+VLOOKUP(Sites_per_tag[[#This Row],[Activity_tag]],Parameter!$A$24:$B$32,2,0)</f>
        <v>MAM</v>
      </c>
      <c r="W2780">
        <v>46.269283000000001</v>
      </c>
      <c r="X2780">
        <v>-24.590038</v>
      </c>
    </row>
    <row r="2781" spans="1:24" x14ac:dyDescent="0.35">
      <c r="A2781" s="3" t="str">
        <f t="shared" si="43"/>
        <v>MG53519090007001MAM</v>
      </c>
      <c r="B2781" t="s">
        <v>6211</v>
      </c>
      <c r="C2781">
        <f>+VLOOKUP(Sites_per_tag[[#This Row],[Field_office]],Parameter!$A$3:$B$11,2,0)</f>
        <v>6</v>
      </c>
      <c r="E2781" t="s">
        <v>1448</v>
      </c>
      <c r="F2781" t="s">
        <v>5651</v>
      </c>
      <c r="H2781" t="str">
        <f ca="1">PROPER(Sites_per_tag[[#This Row],[Adm2Name]])</f>
        <v>Amboasary-Atsimo</v>
      </c>
      <c r="I2781" t="s">
        <v>5641</v>
      </c>
      <c r="K2781" t="s">
        <v>2561</v>
      </c>
      <c r="L2781" t="s">
        <v>5970</v>
      </c>
      <c r="N2781" t="s">
        <v>1848</v>
      </c>
      <c r="O2781" t="s">
        <v>1849</v>
      </c>
      <c r="Q2781" t="s">
        <v>1851</v>
      </c>
      <c r="R2781" t="s">
        <v>1852</v>
      </c>
      <c r="T2781" t="s">
        <v>5</v>
      </c>
      <c r="U2781" s="3" t="str">
        <f>+VLOOKUP(Sites_per_tag[[#This Row],[Activity_tag]],Parameter!$A$24:$B$32,2,0)</f>
        <v>MAM</v>
      </c>
      <c r="W2781">
        <v>46.052680000000002</v>
      </c>
      <c r="X2781">
        <v>-24.77467</v>
      </c>
    </row>
    <row r="2782" spans="1:24" x14ac:dyDescent="0.35">
      <c r="A2782" s="3" t="str">
        <f t="shared" si="43"/>
        <v>MG53519090007PREV</v>
      </c>
      <c r="B2782" t="s">
        <v>6211</v>
      </c>
      <c r="C2782">
        <f>+VLOOKUP(Sites_per_tag[[#This Row],[Field_office]],Parameter!$A$3:$B$11,2,0)</f>
        <v>6</v>
      </c>
      <c r="E2782" t="s">
        <v>1448</v>
      </c>
      <c r="F2782" t="s">
        <v>5651</v>
      </c>
      <c r="H2782" t="str">
        <f ca="1">PROPER(Sites_per_tag[[#This Row],[Adm2Name]])</f>
        <v>Amboasary-Atsimo</v>
      </c>
      <c r="I2782" t="s">
        <v>5641</v>
      </c>
      <c r="K2782" t="s">
        <v>2561</v>
      </c>
      <c r="L2782" t="s">
        <v>5970</v>
      </c>
      <c r="N2782" t="s">
        <v>1848</v>
      </c>
      <c r="Q2782" t="s">
        <v>1848</v>
      </c>
      <c r="R2782" t="s">
        <v>1849</v>
      </c>
      <c r="T2782" t="s">
        <v>32</v>
      </c>
      <c r="U2782" s="3" t="str">
        <f>+VLOOKUP(Sites_per_tag[[#This Row],[Activity_tag]],Parameter!$A$24:$B$32,2,0)</f>
        <v>PREV</v>
      </c>
      <c r="W2782">
        <v>46.053463999999998</v>
      </c>
      <c r="X2782">
        <v>-24.784496000000001</v>
      </c>
    </row>
    <row r="2783" spans="1:24" x14ac:dyDescent="0.35">
      <c r="A2783" s="3" t="str">
        <f t="shared" si="43"/>
        <v>MG53519090008001STUNT</v>
      </c>
      <c r="B2783" t="s">
        <v>6440</v>
      </c>
      <c r="C2783">
        <f>+VLOOKUP(Sites_per_tag[[#This Row],[Field_office]],Parameter!$A$3:$B$11,2,0)</f>
        <v>2</v>
      </c>
      <c r="E2783" t="s">
        <v>1448</v>
      </c>
      <c r="F2783" t="s">
        <v>5651</v>
      </c>
      <c r="H2783" t="str">
        <f ca="1">PROPER(Sites_per_tag[[#This Row],[Adm2Name]])</f>
        <v>Amboasary-Atsimo</v>
      </c>
      <c r="I2783" t="s">
        <v>5641</v>
      </c>
      <c r="K2783" t="s">
        <v>2561</v>
      </c>
      <c r="L2783" t="s">
        <v>5970</v>
      </c>
      <c r="N2783" t="s">
        <v>2457</v>
      </c>
      <c r="O2783" t="s">
        <v>4137</v>
      </c>
      <c r="Q2783" t="s">
        <v>2457</v>
      </c>
      <c r="R2783" t="s">
        <v>2458</v>
      </c>
      <c r="T2783" t="s">
        <v>50</v>
      </c>
      <c r="U2783" s="3" t="str">
        <f>+VLOOKUP(Sites_per_tag[[#This Row],[Activity_tag]],Parameter!$A$24:$B$32,2,0)</f>
        <v>STUNT</v>
      </c>
      <c r="V2783" t="s">
        <v>6588</v>
      </c>
      <c r="W2783">
        <v>46.058880000000002</v>
      </c>
      <c r="X2783">
        <v>-24.80855</v>
      </c>
    </row>
    <row r="2784" spans="1:24" x14ac:dyDescent="0.35">
      <c r="A2784" s="3" t="str">
        <f t="shared" si="43"/>
        <v>MG53519090008002MAM</v>
      </c>
      <c r="B2784" t="s">
        <v>6211</v>
      </c>
      <c r="C2784">
        <f>+VLOOKUP(Sites_per_tag[[#This Row],[Field_office]],Parameter!$A$3:$B$11,2,0)</f>
        <v>6</v>
      </c>
      <c r="E2784" t="s">
        <v>1448</v>
      </c>
      <c r="F2784" t="s">
        <v>5651</v>
      </c>
      <c r="H2784" t="str">
        <f ca="1">PROPER(Sites_per_tag[[#This Row],[Adm2Name]])</f>
        <v>Amboasary-Atsimo</v>
      </c>
      <c r="I2784" t="s">
        <v>5641</v>
      </c>
      <c r="K2784" t="s">
        <v>2561</v>
      </c>
      <c r="L2784" t="s">
        <v>5970</v>
      </c>
      <c r="N2784" t="s">
        <v>2457</v>
      </c>
      <c r="O2784" t="s">
        <v>4137</v>
      </c>
      <c r="Q2784" t="s">
        <v>2459</v>
      </c>
      <c r="R2784" t="s">
        <v>2460</v>
      </c>
      <c r="T2784" t="s">
        <v>5</v>
      </c>
      <c r="U2784" s="3" t="str">
        <f>+VLOOKUP(Sites_per_tag[[#This Row],[Activity_tag]],Parameter!$A$24:$B$32,2,0)</f>
        <v>MAM</v>
      </c>
      <c r="W2784">
        <v>46.058880000000002</v>
      </c>
      <c r="X2784">
        <v>-24.80855</v>
      </c>
    </row>
    <row r="2785" spans="1:24" x14ac:dyDescent="0.35">
      <c r="A2785" s="3" t="str">
        <f t="shared" si="43"/>
        <v>MG53519090009001STUNT</v>
      </c>
      <c r="B2785" t="s">
        <v>6440</v>
      </c>
      <c r="C2785">
        <f>+VLOOKUP(Sites_per_tag[[#This Row],[Field_office]],Parameter!$A$3:$B$11,2,0)</f>
        <v>2</v>
      </c>
      <c r="E2785" t="s">
        <v>1448</v>
      </c>
      <c r="F2785" t="s">
        <v>5651</v>
      </c>
      <c r="H2785" t="str">
        <f ca="1">PROPER(Sites_per_tag[[#This Row],[Adm2Name]])</f>
        <v>Amboasary-Atsimo</v>
      </c>
      <c r="I2785" t="s">
        <v>5641</v>
      </c>
      <c r="K2785" t="s">
        <v>2561</v>
      </c>
      <c r="L2785" t="s">
        <v>5970</v>
      </c>
      <c r="N2785" t="s">
        <v>656</v>
      </c>
      <c r="O2785" t="s">
        <v>4138</v>
      </c>
      <c r="Q2785" t="s">
        <v>656</v>
      </c>
      <c r="R2785" t="s">
        <v>657</v>
      </c>
      <c r="T2785" t="s">
        <v>50</v>
      </c>
      <c r="U2785" s="3" t="str">
        <f>+VLOOKUP(Sites_per_tag[[#This Row],[Activity_tag]],Parameter!$A$24:$B$32,2,0)</f>
        <v>STUNT</v>
      </c>
      <c r="V2785" t="s">
        <v>6589</v>
      </c>
      <c r="W2785">
        <v>46.117800000000003</v>
      </c>
      <c r="X2785">
        <v>-24.806719999999999</v>
      </c>
    </row>
    <row r="2786" spans="1:24" x14ac:dyDescent="0.35">
      <c r="A2786" s="3" t="str">
        <f t="shared" si="43"/>
        <v>MG53519090009002MAM</v>
      </c>
      <c r="B2786" t="s">
        <v>6211</v>
      </c>
      <c r="C2786">
        <f>+VLOOKUP(Sites_per_tag[[#This Row],[Field_office]],Parameter!$A$3:$B$11,2,0)</f>
        <v>6</v>
      </c>
      <c r="E2786" t="s">
        <v>1448</v>
      </c>
      <c r="F2786" t="s">
        <v>5651</v>
      </c>
      <c r="H2786" t="str">
        <f ca="1">PROPER(Sites_per_tag[[#This Row],[Adm2Name]])</f>
        <v>Amboasary-Atsimo</v>
      </c>
      <c r="I2786" t="s">
        <v>5641</v>
      </c>
      <c r="K2786" t="s">
        <v>2561</v>
      </c>
      <c r="L2786" t="s">
        <v>5970</v>
      </c>
      <c r="N2786" t="s">
        <v>656</v>
      </c>
      <c r="O2786" t="s">
        <v>4138</v>
      </c>
      <c r="Q2786" t="s">
        <v>658</v>
      </c>
      <c r="R2786" t="s">
        <v>659</v>
      </c>
      <c r="T2786" t="s">
        <v>5</v>
      </c>
      <c r="U2786" s="3" t="str">
        <f>+VLOOKUP(Sites_per_tag[[#This Row],[Activity_tag]],Parameter!$A$24:$B$32,2,0)</f>
        <v>MAM</v>
      </c>
      <c r="W2786">
        <v>46.117800000000003</v>
      </c>
      <c r="X2786">
        <v>-24.806719999999999</v>
      </c>
    </row>
    <row r="2787" spans="1:24" x14ac:dyDescent="0.35">
      <c r="A2787" s="3" t="str">
        <f t="shared" si="43"/>
        <v>MG53519090011001MAM</v>
      </c>
      <c r="B2787" t="s">
        <v>6211</v>
      </c>
      <c r="C2787">
        <f>+VLOOKUP(Sites_per_tag[[#This Row],[Field_office]],Parameter!$A$3:$B$11,2,0)</f>
        <v>6</v>
      </c>
      <c r="E2787" t="s">
        <v>1448</v>
      </c>
      <c r="F2787" t="s">
        <v>5651</v>
      </c>
      <c r="H2787" t="str">
        <f ca="1">PROPER(Sites_per_tag[[#This Row],[Adm2Name]])</f>
        <v>Amboasary-Atsimo</v>
      </c>
      <c r="I2787" t="s">
        <v>5641</v>
      </c>
      <c r="K2787" t="s">
        <v>2561</v>
      </c>
      <c r="L2787" t="s">
        <v>5970</v>
      </c>
      <c r="N2787" t="s">
        <v>5051</v>
      </c>
      <c r="O2787" t="s">
        <v>5050</v>
      </c>
      <c r="Q2787" t="s">
        <v>2568</v>
      </c>
      <c r="R2787" t="s">
        <v>2569</v>
      </c>
      <c r="T2787" t="s">
        <v>5</v>
      </c>
      <c r="U2787" s="3" t="str">
        <f>+VLOOKUP(Sites_per_tag[[#This Row],[Activity_tag]],Parameter!$A$24:$B$32,2,0)</f>
        <v>MAM</v>
      </c>
      <c r="W2787">
        <v>46.167149999999999</v>
      </c>
      <c r="X2787">
        <v>-24.82077</v>
      </c>
    </row>
    <row r="2788" spans="1:24" x14ac:dyDescent="0.35">
      <c r="A2788" s="3" t="str">
        <f t="shared" si="43"/>
        <v>MG53519090013001STUNT</v>
      </c>
      <c r="B2788" t="s">
        <v>6440</v>
      </c>
      <c r="C2788">
        <f>+VLOOKUP(Sites_per_tag[[#This Row],[Field_office]],Parameter!$A$3:$B$11,2,0)</f>
        <v>2</v>
      </c>
      <c r="E2788" t="s">
        <v>1448</v>
      </c>
      <c r="F2788" t="s">
        <v>5651</v>
      </c>
      <c r="H2788" t="str">
        <f ca="1">PROPER(Sites_per_tag[[#This Row],[Adm2Name]])</f>
        <v>Amboasary-Atsimo</v>
      </c>
      <c r="I2788" t="s">
        <v>5641</v>
      </c>
      <c r="K2788" t="s">
        <v>2561</v>
      </c>
      <c r="L2788" t="s">
        <v>5970</v>
      </c>
      <c r="N2788" t="s">
        <v>1976</v>
      </c>
      <c r="O2788" t="s">
        <v>4139</v>
      </c>
      <c r="Q2788" t="s">
        <v>2563</v>
      </c>
      <c r="R2788" t="s">
        <v>2564</v>
      </c>
      <c r="T2788" t="s">
        <v>50</v>
      </c>
      <c r="U2788" s="3" t="str">
        <f>+VLOOKUP(Sites_per_tag[[#This Row],[Activity_tag]],Parameter!$A$24:$B$32,2,0)</f>
        <v>STUNT</v>
      </c>
      <c r="V2788" t="s">
        <v>6590</v>
      </c>
      <c r="W2788">
        <v>46.138179999999998</v>
      </c>
      <c r="X2788">
        <v>-24.80115</v>
      </c>
    </row>
    <row r="2789" spans="1:24" x14ac:dyDescent="0.35">
      <c r="A2789" s="3" t="str">
        <f t="shared" si="43"/>
        <v>MG53519090015001MAM</v>
      </c>
      <c r="B2789" t="s">
        <v>6211</v>
      </c>
      <c r="C2789">
        <f>+VLOOKUP(Sites_per_tag[[#This Row],[Field_office]],Parameter!$A$3:$B$11,2,0)</f>
        <v>6</v>
      </c>
      <c r="E2789" t="s">
        <v>1448</v>
      </c>
      <c r="F2789" t="s">
        <v>5651</v>
      </c>
      <c r="H2789" t="str">
        <f ca="1">PROPER(Sites_per_tag[[#This Row],[Adm2Name]])</f>
        <v>Amboasary-Atsimo</v>
      </c>
      <c r="I2789" t="s">
        <v>5641</v>
      </c>
      <c r="K2789" t="s">
        <v>2561</v>
      </c>
      <c r="L2789" t="s">
        <v>5970</v>
      </c>
      <c r="N2789" t="s">
        <v>5053</v>
      </c>
      <c r="O2789" t="s">
        <v>5052</v>
      </c>
      <c r="Q2789" t="s">
        <v>3717</v>
      </c>
      <c r="R2789" t="s">
        <v>3718</v>
      </c>
      <c r="T2789" t="s">
        <v>5</v>
      </c>
      <c r="U2789" s="3" t="str">
        <f>+VLOOKUP(Sites_per_tag[[#This Row],[Activity_tag]],Parameter!$A$24:$B$32,2,0)</f>
        <v>MAM</v>
      </c>
      <c r="W2789">
        <v>46.331180000000003</v>
      </c>
      <c r="X2789">
        <v>-24.51127</v>
      </c>
    </row>
    <row r="2790" spans="1:24" x14ac:dyDescent="0.35">
      <c r="A2790" s="3" t="str">
        <f t="shared" si="43"/>
        <v>MG53519090017001MAM</v>
      </c>
      <c r="B2790" t="s">
        <v>6211</v>
      </c>
      <c r="C2790">
        <f>+VLOOKUP(Sites_per_tag[[#This Row],[Field_office]],Parameter!$A$3:$B$11,2,0)</f>
        <v>6</v>
      </c>
      <c r="E2790" t="s">
        <v>1448</v>
      </c>
      <c r="F2790" t="s">
        <v>5651</v>
      </c>
      <c r="H2790" t="str">
        <f ca="1">PROPER(Sites_per_tag[[#This Row],[Adm2Name]])</f>
        <v>Amboasary-Atsimo</v>
      </c>
      <c r="I2790" t="s">
        <v>5641</v>
      </c>
      <c r="K2790" t="s">
        <v>2561</v>
      </c>
      <c r="L2790" t="s">
        <v>5970</v>
      </c>
      <c r="N2790" t="s">
        <v>1028</v>
      </c>
      <c r="O2790" t="s">
        <v>1029</v>
      </c>
      <c r="Q2790" t="s">
        <v>1028</v>
      </c>
      <c r="R2790" t="s">
        <v>1030</v>
      </c>
      <c r="T2790" t="s">
        <v>5</v>
      </c>
      <c r="U2790" s="3" t="str">
        <f>+VLOOKUP(Sites_per_tag[[#This Row],[Activity_tag]],Parameter!$A$24:$B$32,2,0)</f>
        <v>MAM</v>
      </c>
      <c r="W2790">
        <v>46.148119999999999</v>
      </c>
      <c r="X2790">
        <v>-24.94537</v>
      </c>
    </row>
    <row r="2791" spans="1:24" x14ac:dyDescent="0.35">
      <c r="A2791" s="3" t="str">
        <f t="shared" si="43"/>
        <v>MG53519090017PREV</v>
      </c>
      <c r="B2791" t="s">
        <v>6211</v>
      </c>
      <c r="C2791">
        <f>+VLOOKUP(Sites_per_tag[[#This Row],[Field_office]],Parameter!$A$3:$B$11,2,0)</f>
        <v>6</v>
      </c>
      <c r="E2791" t="s">
        <v>1448</v>
      </c>
      <c r="F2791" t="s">
        <v>5651</v>
      </c>
      <c r="H2791" t="str">
        <f ca="1">PROPER(Sites_per_tag[[#This Row],[Adm2Name]])</f>
        <v>Amboasary-Atsimo</v>
      </c>
      <c r="I2791" t="s">
        <v>5641</v>
      </c>
      <c r="K2791" t="s">
        <v>2561</v>
      </c>
      <c r="L2791" t="s">
        <v>5970</v>
      </c>
      <c r="N2791" t="s">
        <v>1028</v>
      </c>
      <c r="Q2791" t="s">
        <v>1028</v>
      </c>
      <c r="R2791" t="s">
        <v>1029</v>
      </c>
      <c r="T2791" t="s">
        <v>32</v>
      </c>
      <c r="U2791" s="3" t="str">
        <f>+VLOOKUP(Sites_per_tag[[#This Row],[Activity_tag]],Parameter!$A$24:$B$32,2,0)</f>
        <v>PREV</v>
      </c>
      <c r="W2791">
        <v>46.179955999999997</v>
      </c>
      <c r="X2791">
        <v>-24.942674</v>
      </c>
    </row>
    <row r="2792" spans="1:24" x14ac:dyDescent="0.35">
      <c r="A2792" s="3" t="str">
        <f t="shared" si="43"/>
        <v>MG53519090019001STUNT</v>
      </c>
      <c r="B2792" t="s">
        <v>6440</v>
      </c>
      <c r="C2792">
        <f>+VLOOKUP(Sites_per_tag[[#This Row],[Field_office]],Parameter!$A$3:$B$11,2,0)</f>
        <v>2</v>
      </c>
      <c r="E2792" t="s">
        <v>1448</v>
      </c>
      <c r="F2792" t="s">
        <v>5651</v>
      </c>
      <c r="H2792" t="str">
        <f ca="1">PROPER(Sites_per_tag[[#This Row],[Adm2Name]])</f>
        <v>Amboasary-Atsimo</v>
      </c>
      <c r="I2792" t="s">
        <v>5641</v>
      </c>
      <c r="K2792" t="s">
        <v>2561</v>
      </c>
      <c r="L2792" t="s">
        <v>5970</v>
      </c>
      <c r="N2792" t="s">
        <v>1345</v>
      </c>
      <c r="O2792" t="s">
        <v>4140</v>
      </c>
      <c r="Q2792" t="s">
        <v>1345</v>
      </c>
      <c r="R2792" t="s">
        <v>1346</v>
      </c>
      <c r="T2792" t="s">
        <v>50</v>
      </c>
      <c r="U2792" s="3" t="str">
        <f>+VLOOKUP(Sites_per_tag[[#This Row],[Activity_tag]],Parameter!$A$24:$B$32,2,0)</f>
        <v>STUNT</v>
      </c>
      <c r="V2792" t="s">
        <v>6591</v>
      </c>
      <c r="W2792">
        <v>46.221919999999997</v>
      </c>
      <c r="X2792">
        <v>-24.879429999999999</v>
      </c>
    </row>
    <row r="2793" spans="1:24" x14ac:dyDescent="0.35">
      <c r="A2793" s="3" t="str">
        <f t="shared" si="43"/>
        <v>MG53519090056001STUNT</v>
      </c>
      <c r="B2793" t="s">
        <v>6440</v>
      </c>
      <c r="C2793">
        <f>+VLOOKUP(Sites_per_tag[[#This Row],[Field_office]],Parameter!$A$3:$B$11,2,0)</f>
        <v>2</v>
      </c>
      <c r="E2793" t="s">
        <v>1448</v>
      </c>
      <c r="F2793" t="s">
        <v>5651</v>
      </c>
      <c r="H2793" t="str">
        <f ca="1">PROPER(Sites_per_tag[[#This Row],[Adm2Name]])</f>
        <v>Amboasary-Atsimo</v>
      </c>
      <c r="I2793" t="s">
        <v>5641</v>
      </c>
      <c r="K2793" t="s">
        <v>2561</v>
      </c>
      <c r="L2793" t="s">
        <v>5970</v>
      </c>
      <c r="N2793" t="s">
        <v>4142</v>
      </c>
      <c r="O2793" t="s">
        <v>4141</v>
      </c>
      <c r="Q2793" t="s">
        <v>1848</v>
      </c>
      <c r="R2793" t="s">
        <v>1850</v>
      </c>
      <c r="T2793" t="s">
        <v>50</v>
      </c>
      <c r="U2793" s="3" t="str">
        <f>+VLOOKUP(Sites_per_tag[[#This Row],[Activity_tag]],Parameter!$A$24:$B$32,2,0)</f>
        <v>STUNT</v>
      </c>
      <c r="V2793" t="s">
        <v>6592</v>
      </c>
      <c r="W2793">
        <v>46.052680000000002</v>
      </c>
      <c r="X2793">
        <v>-24.77467</v>
      </c>
    </row>
    <row r="2794" spans="1:24" x14ac:dyDescent="0.35">
      <c r="A2794" s="3" t="str">
        <f t="shared" si="43"/>
        <v>MG53519090057001MAM</v>
      </c>
      <c r="B2794" t="s">
        <v>6211</v>
      </c>
      <c r="C2794">
        <f>+VLOOKUP(Sites_per_tag[[#This Row],[Field_office]],Parameter!$A$3:$B$11,2,0)</f>
        <v>6</v>
      </c>
      <c r="E2794" t="s">
        <v>1448</v>
      </c>
      <c r="F2794" t="s">
        <v>5651</v>
      </c>
      <c r="H2794" t="str">
        <f ca="1">PROPER(Sites_per_tag[[#This Row],[Adm2Name]])</f>
        <v>Amboasary-Atsimo</v>
      </c>
      <c r="I2794" t="s">
        <v>5641</v>
      </c>
      <c r="K2794" t="s">
        <v>2561</v>
      </c>
      <c r="L2794" t="s">
        <v>5970</v>
      </c>
      <c r="N2794" t="s">
        <v>1614</v>
      </c>
      <c r="O2794" t="s">
        <v>5054</v>
      </c>
      <c r="Q2794" t="s">
        <v>1614</v>
      </c>
      <c r="R2794" t="s">
        <v>1615</v>
      </c>
      <c r="T2794" t="s">
        <v>5</v>
      </c>
      <c r="U2794" s="3" t="str">
        <f>+VLOOKUP(Sites_per_tag[[#This Row],[Activity_tag]],Parameter!$A$24:$B$32,2,0)</f>
        <v>MAM</v>
      </c>
      <c r="W2794">
        <v>46.109650000000002</v>
      </c>
      <c r="X2794">
        <v>-24.791350000000001</v>
      </c>
    </row>
    <row r="2795" spans="1:24" x14ac:dyDescent="0.35">
      <c r="A2795" s="3" t="str">
        <f t="shared" si="43"/>
        <v>MG53519110001001MAM</v>
      </c>
      <c r="B2795" t="s">
        <v>6211</v>
      </c>
      <c r="C2795">
        <f>+VLOOKUP(Sites_per_tag[[#This Row],[Field_office]],Parameter!$A$3:$B$11,2,0)</f>
        <v>6</v>
      </c>
      <c r="E2795" t="s">
        <v>1448</v>
      </c>
      <c r="F2795" t="s">
        <v>5651</v>
      </c>
      <c r="H2795" t="str">
        <f ca="1">PROPER(Sites_per_tag[[#This Row],[Adm2Name]])</f>
        <v>Amboasary-Atsimo</v>
      </c>
      <c r="I2795" t="s">
        <v>5641</v>
      </c>
      <c r="K2795" t="s">
        <v>3699</v>
      </c>
      <c r="L2795" t="s">
        <v>6138</v>
      </c>
      <c r="N2795" t="s">
        <v>5490</v>
      </c>
      <c r="O2795" t="s">
        <v>5489</v>
      </c>
      <c r="Q2795" t="s">
        <v>3694</v>
      </c>
      <c r="R2795" t="s">
        <v>3695</v>
      </c>
      <c r="T2795" t="s">
        <v>5</v>
      </c>
      <c r="U2795" s="3" t="str">
        <f>+VLOOKUP(Sites_per_tag[[#This Row],[Activity_tag]],Parameter!$A$24:$B$32,2,0)</f>
        <v>MAM</v>
      </c>
      <c r="W2795">
        <v>46.463949999999997</v>
      </c>
      <c r="X2795">
        <v>-24.640820000000001</v>
      </c>
    </row>
    <row r="2796" spans="1:24" x14ac:dyDescent="0.35">
      <c r="A2796" s="3" t="str">
        <f t="shared" si="43"/>
        <v>MG53519110009001MAM</v>
      </c>
      <c r="B2796" t="s">
        <v>6211</v>
      </c>
      <c r="C2796">
        <f>+VLOOKUP(Sites_per_tag[[#This Row],[Field_office]],Parameter!$A$3:$B$11,2,0)</f>
        <v>6</v>
      </c>
      <c r="E2796" t="s">
        <v>1448</v>
      </c>
      <c r="F2796" t="s">
        <v>5651</v>
      </c>
      <c r="H2796" t="str">
        <f ca="1">PROPER(Sites_per_tag[[#This Row],[Adm2Name]])</f>
        <v>Amboasary-Atsimo</v>
      </c>
      <c r="I2796" t="s">
        <v>5641</v>
      </c>
      <c r="K2796" t="s">
        <v>3699</v>
      </c>
      <c r="L2796" t="s">
        <v>6138</v>
      </c>
      <c r="N2796" t="s">
        <v>4421</v>
      </c>
      <c r="O2796" t="s">
        <v>5491</v>
      </c>
      <c r="Q2796" t="s">
        <v>1175</v>
      </c>
      <c r="R2796" t="s">
        <v>1176</v>
      </c>
      <c r="T2796" t="s">
        <v>5</v>
      </c>
      <c r="U2796" s="3" t="str">
        <f>+VLOOKUP(Sites_per_tag[[#This Row],[Activity_tag]],Parameter!$A$24:$B$32,2,0)</f>
        <v>MAM</v>
      </c>
      <c r="W2796">
        <v>46.478982999999999</v>
      </c>
      <c r="X2796">
        <v>-24.654185999999999</v>
      </c>
    </row>
    <row r="2797" spans="1:24" x14ac:dyDescent="0.35">
      <c r="A2797" s="3" t="str">
        <f t="shared" si="43"/>
        <v>MG53519110013001MAM</v>
      </c>
      <c r="B2797" t="s">
        <v>6211</v>
      </c>
      <c r="C2797">
        <f>+VLOOKUP(Sites_per_tag[[#This Row],[Field_office]],Parameter!$A$3:$B$11,2,0)</f>
        <v>6</v>
      </c>
      <c r="E2797" t="s">
        <v>1448</v>
      </c>
      <c r="F2797" t="s">
        <v>5651</v>
      </c>
      <c r="H2797" t="str">
        <f ca="1">PROPER(Sites_per_tag[[#This Row],[Adm2Name]])</f>
        <v>Amboasary-Atsimo</v>
      </c>
      <c r="I2797" t="s">
        <v>5641</v>
      </c>
      <c r="K2797" t="s">
        <v>3699</v>
      </c>
      <c r="L2797" t="s">
        <v>6138</v>
      </c>
      <c r="N2797" t="s">
        <v>5493</v>
      </c>
      <c r="O2797" t="s">
        <v>5492</v>
      </c>
      <c r="Q2797" t="s">
        <v>3782</v>
      </c>
      <c r="R2797" t="s">
        <v>3783</v>
      </c>
      <c r="T2797" t="s">
        <v>5</v>
      </c>
      <c r="U2797" s="3" t="str">
        <f>+VLOOKUP(Sites_per_tag[[#This Row],[Activity_tag]],Parameter!$A$24:$B$32,2,0)</f>
        <v>MAM</v>
      </c>
      <c r="W2797">
        <v>46.533900000000003</v>
      </c>
      <c r="X2797">
        <v>-24.680199999999999</v>
      </c>
    </row>
    <row r="2798" spans="1:24" x14ac:dyDescent="0.35">
      <c r="A2798" s="3" t="str">
        <f t="shared" si="43"/>
        <v>MG53519110058001MAM</v>
      </c>
      <c r="B2798" t="s">
        <v>6211</v>
      </c>
      <c r="C2798">
        <f>+VLOOKUP(Sites_per_tag[[#This Row],[Field_office]],Parameter!$A$3:$B$11,2,0)</f>
        <v>6</v>
      </c>
      <c r="E2798" t="s">
        <v>1448</v>
      </c>
      <c r="F2798" t="s">
        <v>5651</v>
      </c>
      <c r="H2798" t="str">
        <f ca="1">PROPER(Sites_per_tag[[#This Row],[Adm2Name]])</f>
        <v>Amboasary-Atsimo</v>
      </c>
      <c r="I2798" t="s">
        <v>5641</v>
      </c>
      <c r="K2798" t="s">
        <v>3699</v>
      </c>
      <c r="L2798" t="s">
        <v>6138</v>
      </c>
      <c r="N2798" t="s">
        <v>567</v>
      </c>
      <c r="O2798" t="s">
        <v>5494</v>
      </c>
      <c r="Q2798" t="s">
        <v>567</v>
      </c>
      <c r="R2798" t="s">
        <v>568</v>
      </c>
      <c r="T2798" t="s">
        <v>5</v>
      </c>
      <c r="U2798" s="3" t="str">
        <f>+VLOOKUP(Sites_per_tag[[#This Row],[Activity_tag]],Parameter!$A$24:$B$32,2,0)</f>
        <v>MAM</v>
      </c>
      <c r="W2798">
        <v>46.50132</v>
      </c>
      <c r="X2798">
        <v>-24.48123</v>
      </c>
    </row>
    <row r="2799" spans="1:24" x14ac:dyDescent="0.35">
      <c r="A2799" s="3" t="str">
        <f t="shared" si="43"/>
        <v>MG53519130001001MAM</v>
      </c>
      <c r="B2799" t="s">
        <v>6211</v>
      </c>
      <c r="C2799">
        <f>+VLOOKUP(Sites_per_tag[[#This Row],[Field_office]],Parameter!$A$3:$B$11,2,0)</f>
        <v>6</v>
      </c>
      <c r="E2799" t="s">
        <v>1448</v>
      </c>
      <c r="F2799" t="s">
        <v>5651</v>
      </c>
      <c r="H2799" t="str">
        <f ca="1">PROPER(Sites_per_tag[[#This Row],[Adm2Name]])</f>
        <v>Amboasary-Atsimo</v>
      </c>
      <c r="I2799" t="s">
        <v>5641</v>
      </c>
      <c r="K2799" t="s">
        <v>3046</v>
      </c>
      <c r="L2799" t="s">
        <v>6046</v>
      </c>
      <c r="N2799" t="s">
        <v>3046</v>
      </c>
      <c r="O2799" t="s">
        <v>5313</v>
      </c>
      <c r="Q2799" t="s">
        <v>3046</v>
      </c>
      <c r="R2799" t="s">
        <v>3047</v>
      </c>
      <c r="T2799" t="s">
        <v>5</v>
      </c>
      <c r="U2799" s="3" t="str">
        <f>+VLOOKUP(Sites_per_tag[[#This Row],[Activity_tag]],Parameter!$A$24:$B$32,2,0)</f>
        <v>MAM</v>
      </c>
      <c r="W2799">
        <v>46.575069999999997</v>
      </c>
      <c r="X2799">
        <v>-24.357119999999998</v>
      </c>
    </row>
    <row r="2800" spans="1:24" x14ac:dyDescent="0.35">
      <c r="A2800" s="3" t="str">
        <f t="shared" si="43"/>
        <v>MG53519130007001MAM</v>
      </c>
      <c r="B2800" t="s">
        <v>6211</v>
      </c>
      <c r="C2800">
        <f>+VLOOKUP(Sites_per_tag[[#This Row],[Field_office]],Parameter!$A$3:$B$11,2,0)</f>
        <v>6</v>
      </c>
      <c r="E2800" t="s">
        <v>1448</v>
      </c>
      <c r="F2800" t="s">
        <v>5651</v>
      </c>
      <c r="H2800" t="str">
        <f ca="1">PROPER(Sites_per_tag[[#This Row],[Adm2Name]])</f>
        <v>Amboasary-Atsimo</v>
      </c>
      <c r="I2800" t="s">
        <v>5641</v>
      </c>
      <c r="K2800" t="s">
        <v>3046</v>
      </c>
      <c r="L2800" t="s">
        <v>6046</v>
      </c>
      <c r="N2800" t="s">
        <v>892</v>
      </c>
      <c r="O2800" t="s">
        <v>5314</v>
      </c>
      <c r="Q2800" t="s">
        <v>892</v>
      </c>
      <c r="R2800" t="s">
        <v>893</v>
      </c>
      <c r="T2800" t="s">
        <v>5</v>
      </c>
      <c r="U2800" s="3" t="str">
        <f>+VLOOKUP(Sites_per_tag[[#This Row],[Activity_tag]],Parameter!$A$24:$B$32,2,0)</f>
        <v>MAM</v>
      </c>
      <c r="W2800">
        <v>46.588299999999997</v>
      </c>
      <c r="X2800">
        <v>-24.426069999999999</v>
      </c>
    </row>
    <row r="2801" spans="1:24" x14ac:dyDescent="0.35">
      <c r="A2801" s="3" t="str">
        <f t="shared" si="43"/>
        <v>MG53519130010001MAM</v>
      </c>
      <c r="B2801" t="s">
        <v>6211</v>
      </c>
      <c r="C2801">
        <f>+VLOOKUP(Sites_per_tag[[#This Row],[Field_office]],Parameter!$A$3:$B$11,2,0)</f>
        <v>6</v>
      </c>
      <c r="E2801" t="s">
        <v>5646</v>
      </c>
      <c r="F2801" t="s">
        <v>5647</v>
      </c>
      <c r="H2801" t="str">
        <f ca="1">PROPER(Sites_per_tag[[#This Row],[Adm2Name]])</f>
        <v>Bekily</v>
      </c>
      <c r="I2801" t="s">
        <v>5683</v>
      </c>
      <c r="K2801" t="s">
        <v>6328</v>
      </c>
      <c r="L2801" t="s">
        <v>5695</v>
      </c>
      <c r="N2801" t="s">
        <v>2403</v>
      </c>
      <c r="O2801" t="s">
        <v>4306</v>
      </c>
      <c r="Q2801" t="s">
        <v>2403</v>
      </c>
      <c r="R2801" t="s">
        <v>2404</v>
      </c>
      <c r="T2801" t="s">
        <v>5</v>
      </c>
      <c r="U2801" s="3" t="str">
        <f>+VLOOKUP(Sites_per_tag[[#This Row],[Activity_tag]],Parameter!$A$24:$B$32,2,0)</f>
        <v>MAM</v>
      </c>
      <c r="W2801">
        <v>45.423923000000002</v>
      </c>
      <c r="X2801">
        <v>-24.04579</v>
      </c>
    </row>
    <row r="2802" spans="1:24" x14ac:dyDescent="0.35">
      <c r="A2802" s="3" t="str">
        <f t="shared" si="43"/>
        <v>MG53519130033001MAM</v>
      </c>
      <c r="B2802" t="s">
        <v>6211</v>
      </c>
      <c r="C2802">
        <f>+VLOOKUP(Sites_per_tag[[#This Row],[Field_office]],Parameter!$A$3:$B$11,2,0)</f>
        <v>6</v>
      </c>
      <c r="E2802" t="s">
        <v>5646</v>
      </c>
      <c r="F2802" t="s">
        <v>5647</v>
      </c>
      <c r="H2802" t="str">
        <f ca="1">PROPER(Sites_per_tag[[#This Row],[Adm2Name]])</f>
        <v>Bekily</v>
      </c>
      <c r="I2802" t="s">
        <v>5683</v>
      </c>
      <c r="K2802" t="s">
        <v>6328</v>
      </c>
      <c r="L2802" t="s">
        <v>5695</v>
      </c>
      <c r="N2802" t="s">
        <v>263</v>
      </c>
      <c r="O2802" t="s">
        <v>4307</v>
      </c>
      <c r="Q2802" t="s">
        <v>263</v>
      </c>
      <c r="R2802" t="s">
        <v>264</v>
      </c>
      <c r="T2802" t="s">
        <v>5</v>
      </c>
      <c r="U2802" s="3" t="str">
        <f>+VLOOKUP(Sites_per_tag[[#This Row],[Activity_tag]],Parameter!$A$24:$B$32,2,0)</f>
        <v>MAM</v>
      </c>
      <c r="W2802">
        <v>45.445369999999997</v>
      </c>
      <c r="X2802">
        <v>-24.02833</v>
      </c>
    </row>
    <row r="2803" spans="1:24" x14ac:dyDescent="0.35">
      <c r="A2803" s="3" t="str">
        <f t="shared" si="43"/>
        <v>MG53519150002001STUNT</v>
      </c>
      <c r="B2803" t="s">
        <v>6440</v>
      </c>
      <c r="C2803">
        <f>+VLOOKUP(Sites_per_tag[[#This Row],[Field_office]],Parameter!$A$3:$B$11,2,0)</f>
        <v>2</v>
      </c>
      <c r="E2803" t="s">
        <v>1448</v>
      </c>
      <c r="F2803" t="s">
        <v>5651</v>
      </c>
      <c r="H2803" t="str">
        <f ca="1">PROPER(Sites_per_tag[[#This Row],[Adm2Name]])</f>
        <v>Amboasary-Atsimo</v>
      </c>
      <c r="I2803" t="s">
        <v>5641</v>
      </c>
      <c r="K2803" t="s">
        <v>1779</v>
      </c>
      <c r="L2803" t="s">
        <v>5890</v>
      </c>
      <c r="N2803" t="s">
        <v>3164</v>
      </c>
      <c r="O2803" t="s">
        <v>4143</v>
      </c>
      <c r="Q2803" t="s">
        <v>3164</v>
      </c>
      <c r="R2803" t="s">
        <v>3165</v>
      </c>
      <c r="T2803" t="s">
        <v>50</v>
      </c>
      <c r="U2803" s="3" t="str">
        <f>+VLOOKUP(Sites_per_tag[[#This Row],[Activity_tag]],Parameter!$A$24:$B$32,2,0)</f>
        <v>STUNT</v>
      </c>
      <c r="V2803" t="s">
        <v>6593</v>
      </c>
      <c r="W2803">
        <v>46.3033</v>
      </c>
      <c r="X2803">
        <v>-23.901630000000001</v>
      </c>
    </row>
    <row r="2804" spans="1:24" x14ac:dyDescent="0.35">
      <c r="A2804" s="3" t="str">
        <f t="shared" si="43"/>
        <v>MG53519150008001MAM</v>
      </c>
      <c r="B2804" t="s">
        <v>6211</v>
      </c>
      <c r="C2804">
        <f>+VLOOKUP(Sites_per_tag[[#This Row],[Field_office]],Parameter!$A$3:$B$11,2,0)</f>
        <v>6</v>
      </c>
      <c r="E2804" t="s">
        <v>1448</v>
      </c>
      <c r="F2804" t="s">
        <v>5651</v>
      </c>
      <c r="H2804" t="str">
        <f ca="1">PROPER(Sites_per_tag[[#This Row],[Adm2Name]])</f>
        <v>Amboasary-Atsimo</v>
      </c>
      <c r="I2804" t="s">
        <v>5641</v>
      </c>
      <c r="K2804" t="s">
        <v>2348</v>
      </c>
      <c r="L2804" t="s">
        <v>5944</v>
      </c>
      <c r="N2804" t="s">
        <v>4322</v>
      </c>
      <c r="O2804" t="s">
        <v>4970</v>
      </c>
      <c r="Q2804" t="s">
        <v>2036</v>
      </c>
      <c r="R2804" t="s">
        <v>2037</v>
      </c>
      <c r="T2804" t="s">
        <v>5</v>
      </c>
      <c r="U2804" s="3" t="str">
        <f>+VLOOKUP(Sites_per_tag[[#This Row],[Activity_tag]],Parameter!$A$24:$B$32,2,0)</f>
        <v>MAM</v>
      </c>
      <c r="W2804">
        <v>46.219470000000001</v>
      </c>
      <c r="X2804">
        <v>-24.008569999999999</v>
      </c>
    </row>
    <row r="2805" spans="1:24" x14ac:dyDescent="0.35">
      <c r="A2805" s="3" t="str">
        <f t="shared" si="43"/>
        <v>MG53519170001001MAM</v>
      </c>
      <c r="B2805" t="s">
        <v>6211</v>
      </c>
      <c r="C2805">
        <f>+VLOOKUP(Sites_per_tag[[#This Row],[Field_office]],Parameter!$A$3:$B$11,2,0)</f>
        <v>6</v>
      </c>
      <c r="E2805" t="s">
        <v>1448</v>
      </c>
      <c r="F2805" t="s">
        <v>5651</v>
      </c>
      <c r="H2805" t="str">
        <f ca="1">PROPER(Sites_per_tag[[#This Row],[Adm2Name]])</f>
        <v>Amboasary-Atsimo</v>
      </c>
      <c r="I2805" t="s">
        <v>5641</v>
      </c>
      <c r="K2805" t="s">
        <v>2411</v>
      </c>
      <c r="L2805" t="s">
        <v>5947</v>
      </c>
      <c r="N2805" t="s">
        <v>2411</v>
      </c>
      <c r="O2805" t="s">
        <v>4976</v>
      </c>
      <c r="Q2805" t="s">
        <v>2411</v>
      </c>
      <c r="R2805" t="s">
        <v>2412</v>
      </c>
      <c r="T2805" t="s">
        <v>5</v>
      </c>
      <c r="U2805" s="3" t="str">
        <f>+VLOOKUP(Sites_per_tag[[#This Row],[Activity_tag]],Parameter!$A$24:$B$32,2,0)</f>
        <v>MAM</v>
      </c>
      <c r="W2805">
        <v>46.696899999999999</v>
      </c>
      <c r="X2805">
        <v>-24.32432</v>
      </c>
    </row>
    <row r="2806" spans="1:24" x14ac:dyDescent="0.35">
      <c r="A2806" s="3" t="str">
        <f t="shared" si="43"/>
        <v>MG53519190001PREV</v>
      </c>
      <c r="B2806" t="s">
        <v>6211</v>
      </c>
      <c r="C2806">
        <f>+VLOOKUP(Sites_per_tag[[#This Row],[Field_office]],Parameter!$A$3:$B$11,2,0)</f>
        <v>6</v>
      </c>
      <c r="E2806" t="s">
        <v>1448</v>
      </c>
      <c r="F2806" t="s">
        <v>5651</v>
      </c>
      <c r="H2806" t="str">
        <f ca="1">PROPER(Sites_per_tag[[#This Row],[Adm2Name]])</f>
        <v>Amboasary-Atsimo</v>
      </c>
      <c r="I2806" t="s">
        <v>5641</v>
      </c>
      <c r="K2806" t="s">
        <v>2744</v>
      </c>
      <c r="L2806" t="s">
        <v>6005</v>
      </c>
      <c r="N2806" t="s">
        <v>4159</v>
      </c>
      <c r="Q2806" t="s">
        <v>2746</v>
      </c>
      <c r="R2806" t="s">
        <v>2747</v>
      </c>
      <c r="T2806" t="s">
        <v>32</v>
      </c>
      <c r="U2806" s="3" t="str">
        <f>+VLOOKUP(Sites_per_tag[[#This Row],[Activity_tag]],Parameter!$A$24:$B$32,2,0)</f>
        <v>PREV</v>
      </c>
      <c r="W2806">
        <v>46.348599999999998</v>
      </c>
      <c r="X2806">
        <v>-24.177430000000001</v>
      </c>
    </row>
    <row r="2807" spans="1:24" x14ac:dyDescent="0.35">
      <c r="A2807" s="3" t="str">
        <f t="shared" si="43"/>
        <v>MG53519190005001MAM</v>
      </c>
      <c r="B2807" t="s">
        <v>6211</v>
      </c>
      <c r="C2807">
        <f>+VLOOKUP(Sites_per_tag[[#This Row],[Field_office]],Parameter!$A$3:$B$11,2,0)</f>
        <v>6</v>
      </c>
      <c r="E2807" t="s">
        <v>1448</v>
      </c>
      <c r="F2807" t="s">
        <v>5651</v>
      </c>
      <c r="H2807" t="str">
        <f ca="1">PROPER(Sites_per_tag[[#This Row],[Adm2Name]])</f>
        <v>Amboasary-Atsimo</v>
      </c>
      <c r="I2807" t="s">
        <v>5641</v>
      </c>
      <c r="K2807" t="s">
        <v>2744</v>
      </c>
      <c r="L2807" t="s">
        <v>6005</v>
      </c>
      <c r="N2807" t="s">
        <v>2795</v>
      </c>
      <c r="O2807" t="s">
        <v>5184</v>
      </c>
      <c r="Q2807" t="s">
        <v>2806</v>
      </c>
      <c r="R2807" t="s">
        <v>2807</v>
      </c>
      <c r="T2807" t="s">
        <v>5</v>
      </c>
      <c r="U2807" s="3" t="str">
        <f>+VLOOKUP(Sites_per_tag[[#This Row],[Activity_tag]],Parameter!$A$24:$B$32,2,0)</f>
        <v>MAM</v>
      </c>
      <c r="W2807">
        <v>46.337538000000002</v>
      </c>
      <c r="X2807">
        <v>-24.239785000000001</v>
      </c>
    </row>
    <row r="2808" spans="1:24" x14ac:dyDescent="0.35">
      <c r="A2808" s="3" t="str">
        <f t="shared" si="43"/>
        <v>MG53519190007001MAM</v>
      </c>
      <c r="B2808" t="s">
        <v>6211</v>
      </c>
      <c r="C2808">
        <f>+VLOOKUP(Sites_per_tag[[#This Row],[Field_office]],Parameter!$A$3:$B$11,2,0)</f>
        <v>6</v>
      </c>
      <c r="E2808" t="s">
        <v>1448</v>
      </c>
      <c r="F2808" t="s">
        <v>5651</v>
      </c>
      <c r="H2808" t="str">
        <f ca="1">PROPER(Sites_per_tag[[#This Row],[Adm2Name]])</f>
        <v>Amboasary-Atsimo</v>
      </c>
      <c r="I2808" t="s">
        <v>5641</v>
      </c>
      <c r="K2808" t="s">
        <v>2744</v>
      </c>
      <c r="L2808" t="s">
        <v>6005</v>
      </c>
      <c r="N2808" t="s">
        <v>5186</v>
      </c>
      <c r="O2808" t="s">
        <v>5185</v>
      </c>
      <c r="Q2808" t="s">
        <v>13</v>
      </c>
      <c r="R2808" t="s">
        <v>14</v>
      </c>
      <c r="T2808" t="s">
        <v>5</v>
      </c>
      <c r="U2808" s="3" t="str">
        <f>+VLOOKUP(Sites_per_tag[[#This Row],[Activity_tag]],Parameter!$A$24:$B$32,2,0)</f>
        <v>MAM</v>
      </c>
      <c r="W2808">
        <v>46.300150000000002</v>
      </c>
      <c r="X2808">
        <v>-24.210429999999999</v>
      </c>
    </row>
    <row r="2809" spans="1:24" x14ac:dyDescent="0.35">
      <c r="A2809" s="3" t="str">
        <f t="shared" si="43"/>
        <v>MG53519190011PREV</v>
      </c>
      <c r="B2809" t="s">
        <v>6211</v>
      </c>
      <c r="C2809">
        <f>+VLOOKUP(Sites_per_tag[[#This Row],[Field_office]],Parameter!$A$3:$B$11,2,0)</f>
        <v>6</v>
      </c>
      <c r="E2809" t="s">
        <v>1448</v>
      </c>
      <c r="F2809" t="s">
        <v>5651</v>
      </c>
      <c r="H2809" t="str">
        <f ca="1">PROPER(Sites_per_tag[[#This Row],[Adm2Name]])</f>
        <v>Amboasary-Atsimo</v>
      </c>
      <c r="I2809" t="s">
        <v>5641</v>
      </c>
      <c r="K2809" t="s">
        <v>2744</v>
      </c>
      <c r="L2809" t="s">
        <v>6005</v>
      </c>
      <c r="N2809" t="s">
        <v>328</v>
      </c>
      <c r="Q2809" t="s">
        <v>328</v>
      </c>
      <c r="R2809" t="s">
        <v>330</v>
      </c>
      <c r="T2809" t="s">
        <v>32</v>
      </c>
      <c r="U2809" s="3" t="str">
        <f>+VLOOKUP(Sites_per_tag[[#This Row],[Activity_tag]],Parameter!$A$24:$B$32,2,0)</f>
        <v>PREV</v>
      </c>
      <c r="W2809">
        <v>46.383899999999997</v>
      </c>
      <c r="X2809">
        <v>-24.30162</v>
      </c>
    </row>
    <row r="2810" spans="1:24" x14ac:dyDescent="0.35">
      <c r="A2810" s="3" t="str">
        <f t="shared" si="43"/>
        <v>MG53519190075001MAM</v>
      </c>
      <c r="B2810" t="s">
        <v>6211</v>
      </c>
      <c r="C2810">
        <f>+VLOOKUP(Sites_per_tag[[#This Row],[Field_office]],Parameter!$A$3:$B$11,2,0)</f>
        <v>6</v>
      </c>
      <c r="E2810" t="s">
        <v>1448</v>
      </c>
      <c r="F2810" t="s">
        <v>5651</v>
      </c>
      <c r="H2810" t="str">
        <f ca="1">PROPER(Sites_per_tag[[#This Row],[Adm2Name]])</f>
        <v>Amboasary-Atsimo</v>
      </c>
      <c r="I2810" t="s">
        <v>5641</v>
      </c>
      <c r="K2810" t="s">
        <v>2744</v>
      </c>
      <c r="L2810" t="s">
        <v>6005</v>
      </c>
      <c r="N2810" t="s">
        <v>1377</v>
      </c>
      <c r="O2810" t="s">
        <v>5187</v>
      </c>
      <c r="Q2810" t="s">
        <v>1377</v>
      </c>
      <c r="R2810" t="s">
        <v>1378</v>
      </c>
      <c r="T2810" t="s">
        <v>5</v>
      </c>
      <c r="U2810" s="3" t="str">
        <f>+VLOOKUP(Sites_per_tag[[#This Row],[Activity_tag]],Parameter!$A$24:$B$32,2,0)</f>
        <v>MAM</v>
      </c>
      <c r="W2810">
        <v>46.446750000000002</v>
      </c>
      <c r="X2810">
        <v>-24.220269999999999</v>
      </c>
    </row>
    <row r="2811" spans="1:24" x14ac:dyDescent="0.35">
      <c r="A2811" s="3" t="str">
        <f t="shared" si="43"/>
        <v>MG53519210001001MAM</v>
      </c>
      <c r="B2811" t="s">
        <v>6211</v>
      </c>
      <c r="C2811">
        <f>+VLOOKUP(Sites_per_tag[[#This Row],[Field_office]],Parameter!$A$3:$B$11,2,0)</f>
        <v>6</v>
      </c>
      <c r="E2811" t="s">
        <v>1448</v>
      </c>
      <c r="F2811" t="s">
        <v>5651</v>
      </c>
      <c r="H2811" t="str">
        <f ca="1">PROPER(Sites_per_tag[[#This Row],[Adm2Name]])</f>
        <v>Amboasary-Atsimo</v>
      </c>
      <c r="I2811" t="s">
        <v>5641</v>
      </c>
      <c r="K2811" t="s">
        <v>5168</v>
      </c>
      <c r="L2811" t="s">
        <v>6033</v>
      </c>
      <c r="N2811" t="s">
        <v>5168</v>
      </c>
      <c r="O2811" t="s">
        <v>5228</v>
      </c>
      <c r="Q2811" t="s">
        <v>2898</v>
      </c>
      <c r="R2811" t="s">
        <v>2899</v>
      </c>
      <c r="T2811" t="s">
        <v>5</v>
      </c>
      <c r="U2811" s="3" t="str">
        <f>+VLOOKUP(Sites_per_tag[[#This Row],[Activity_tag]],Parameter!$A$24:$B$32,2,0)</f>
        <v>MAM</v>
      </c>
      <c r="W2811">
        <v>46.793050000000001</v>
      </c>
      <c r="X2811">
        <v>-24.39283</v>
      </c>
    </row>
    <row r="2812" spans="1:24" x14ac:dyDescent="0.35">
      <c r="A2812" s="3" t="str">
        <f t="shared" si="43"/>
        <v>MG53519210001002MAM</v>
      </c>
      <c r="B2812" t="s">
        <v>6211</v>
      </c>
      <c r="C2812">
        <f>+VLOOKUP(Sites_per_tag[[#This Row],[Field_office]],Parameter!$A$3:$B$11,2,0)</f>
        <v>6</v>
      </c>
      <c r="E2812" t="s">
        <v>1448</v>
      </c>
      <c r="F2812" t="s">
        <v>5651</v>
      </c>
      <c r="H2812" t="str">
        <f ca="1">PROPER(Sites_per_tag[[#This Row],[Adm2Name]])</f>
        <v>Amboasary-Atsimo</v>
      </c>
      <c r="I2812" t="s">
        <v>5641</v>
      </c>
      <c r="K2812" t="s">
        <v>5168</v>
      </c>
      <c r="L2812" t="s">
        <v>6033</v>
      </c>
      <c r="N2812" t="s">
        <v>5168</v>
      </c>
      <c r="O2812" t="s">
        <v>5228</v>
      </c>
      <c r="Q2812" t="s">
        <v>2900</v>
      </c>
      <c r="R2812" t="s">
        <v>2901</v>
      </c>
      <c r="T2812" t="s">
        <v>5</v>
      </c>
      <c r="U2812" s="3" t="str">
        <f>+VLOOKUP(Sites_per_tag[[#This Row],[Activity_tag]],Parameter!$A$24:$B$32,2,0)</f>
        <v>MAM</v>
      </c>
      <c r="W2812">
        <v>46.793050000000001</v>
      </c>
      <c r="X2812">
        <v>-24.39283</v>
      </c>
    </row>
    <row r="2813" spans="1:24" x14ac:dyDescent="0.35">
      <c r="A2813" s="3" t="str">
        <f t="shared" si="43"/>
        <v>MG53519210005001MAM</v>
      </c>
      <c r="B2813" t="s">
        <v>6211</v>
      </c>
      <c r="C2813">
        <f>+VLOOKUP(Sites_per_tag[[#This Row],[Field_office]],Parameter!$A$3:$B$11,2,0)</f>
        <v>6</v>
      </c>
      <c r="E2813" t="s">
        <v>1448</v>
      </c>
      <c r="F2813" t="s">
        <v>5651</v>
      </c>
      <c r="H2813" t="str">
        <f ca="1">PROPER(Sites_per_tag[[#This Row],[Adm2Name]])</f>
        <v>Amboasary-Atsimo</v>
      </c>
      <c r="I2813" t="s">
        <v>5641</v>
      </c>
      <c r="K2813" t="s">
        <v>5168</v>
      </c>
      <c r="L2813" t="s">
        <v>6033</v>
      </c>
      <c r="N2813" t="s">
        <v>5230</v>
      </c>
      <c r="O2813" t="s">
        <v>5229</v>
      </c>
      <c r="Q2813" t="s">
        <v>497</v>
      </c>
      <c r="R2813" t="s">
        <v>498</v>
      </c>
      <c r="T2813" t="s">
        <v>5</v>
      </c>
      <c r="U2813" s="3" t="str">
        <f>+VLOOKUP(Sites_per_tag[[#This Row],[Activity_tag]],Parameter!$A$24:$B$32,2,0)</f>
        <v>MAM</v>
      </c>
      <c r="W2813">
        <v>46.818480000000001</v>
      </c>
      <c r="X2813">
        <v>-24.369949999999999</v>
      </c>
    </row>
    <row r="2814" spans="1:24" x14ac:dyDescent="0.35">
      <c r="A2814" s="3" t="str">
        <f t="shared" si="43"/>
        <v>MG53519210005002MAM</v>
      </c>
      <c r="B2814" t="s">
        <v>6211</v>
      </c>
      <c r="C2814">
        <f>+VLOOKUP(Sites_per_tag[[#This Row],[Field_office]],Parameter!$A$3:$B$11,2,0)</f>
        <v>6</v>
      </c>
      <c r="E2814" t="s">
        <v>1448</v>
      </c>
      <c r="F2814" t="s">
        <v>5651</v>
      </c>
      <c r="H2814" t="str">
        <f ca="1">PROPER(Sites_per_tag[[#This Row],[Adm2Name]])</f>
        <v>Amboasary-Atsimo</v>
      </c>
      <c r="I2814" t="s">
        <v>5641</v>
      </c>
      <c r="K2814" t="s">
        <v>5168</v>
      </c>
      <c r="L2814" t="s">
        <v>6033</v>
      </c>
      <c r="N2814" t="s">
        <v>5230</v>
      </c>
      <c r="O2814" t="s">
        <v>5229</v>
      </c>
      <c r="Q2814" t="s">
        <v>499</v>
      </c>
      <c r="R2814" t="s">
        <v>500</v>
      </c>
      <c r="T2814" t="s">
        <v>5</v>
      </c>
      <c r="U2814" s="3" t="str">
        <f>+VLOOKUP(Sites_per_tag[[#This Row],[Activity_tag]],Parameter!$A$24:$B$32,2,0)</f>
        <v>MAM</v>
      </c>
      <c r="W2814">
        <v>46.818480000000001</v>
      </c>
      <c r="X2814">
        <v>-24.369949999999999</v>
      </c>
    </row>
    <row r="2815" spans="1:24" x14ac:dyDescent="0.35">
      <c r="A2815" s="3" t="str">
        <f t="shared" si="43"/>
        <v>MG53519210067001MAM</v>
      </c>
      <c r="B2815" t="s">
        <v>6211</v>
      </c>
      <c r="C2815">
        <f>+VLOOKUP(Sites_per_tag[[#This Row],[Field_office]],Parameter!$A$3:$B$11,2,0)</f>
        <v>6</v>
      </c>
      <c r="E2815" t="s">
        <v>1448</v>
      </c>
      <c r="F2815" t="s">
        <v>5651</v>
      </c>
      <c r="H2815" t="str">
        <f ca="1">PROPER(Sites_per_tag[[#This Row],[Adm2Name]])</f>
        <v>Amboasary-Atsimo</v>
      </c>
      <c r="I2815" t="s">
        <v>5641</v>
      </c>
      <c r="K2815" t="s">
        <v>5168</v>
      </c>
      <c r="L2815" t="s">
        <v>6033</v>
      </c>
      <c r="N2815" t="s">
        <v>5232</v>
      </c>
      <c r="O2815" t="s">
        <v>5231</v>
      </c>
      <c r="Q2815" t="s">
        <v>2969</v>
      </c>
      <c r="R2815" t="s">
        <v>2970</v>
      </c>
      <c r="T2815" t="s">
        <v>5</v>
      </c>
      <c r="U2815" s="3" t="str">
        <f>+VLOOKUP(Sites_per_tag[[#This Row],[Activity_tag]],Parameter!$A$24:$B$32,2,0)</f>
        <v>MAM</v>
      </c>
      <c r="W2815">
        <v>46.786799999999999</v>
      </c>
      <c r="X2815">
        <v>-24.524529999999999</v>
      </c>
    </row>
    <row r="2816" spans="1:24" x14ac:dyDescent="0.35">
      <c r="A2816" s="3" t="str">
        <f t="shared" si="43"/>
        <v>MG53519210067002MAM</v>
      </c>
      <c r="B2816" t="s">
        <v>6211</v>
      </c>
      <c r="C2816">
        <f>+VLOOKUP(Sites_per_tag[[#This Row],[Field_office]],Parameter!$A$3:$B$11,2,0)</f>
        <v>6</v>
      </c>
      <c r="E2816" t="s">
        <v>1448</v>
      </c>
      <c r="F2816" t="s">
        <v>5651</v>
      </c>
      <c r="H2816" t="str">
        <f ca="1">PROPER(Sites_per_tag[[#This Row],[Adm2Name]])</f>
        <v>Amboasary-Atsimo</v>
      </c>
      <c r="I2816" t="s">
        <v>5641</v>
      </c>
      <c r="K2816" t="s">
        <v>5168</v>
      </c>
      <c r="L2816" t="s">
        <v>6033</v>
      </c>
      <c r="N2816" t="s">
        <v>5232</v>
      </c>
      <c r="O2816" t="s">
        <v>5231</v>
      </c>
      <c r="Q2816" t="s">
        <v>2971</v>
      </c>
      <c r="R2816" t="s">
        <v>2972</v>
      </c>
      <c r="T2816" t="s">
        <v>5</v>
      </c>
      <c r="U2816" s="3" t="str">
        <f>+VLOOKUP(Sites_per_tag[[#This Row],[Activity_tag]],Parameter!$A$24:$B$32,2,0)</f>
        <v>MAM</v>
      </c>
      <c r="W2816">
        <v>46.786799999999999</v>
      </c>
      <c r="X2816">
        <v>-24.524529999999999</v>
      </c>
    </row>
    <row r="2817" spans="1:24" x14ac:dyDescent="0.35">
      <c r="A2817" s="3" t="str">
        <f t="shared" si="43"/>
        <v>MG53519230001001STUNT</v>
      </c>
      <c r="B2817" t="s">
        <v>6440</v>
      </c>
      <c r="C2817">
        <f>+VLOOKUP(Sites_per_tag[[#This Row],[Field_office]],Parameter!$A$3:$B$11,2,0)</f>
        <v>2</v>
      </c>
      <c r="E2817" t="s">
        <v>1448</v>
      </c>
      <c r="F2817" t="s">
        <v>5651</v>
      </c>
      <c r="H2817" t="str">
        <f ca="1">PROPER(Sites_per_tag[[#This Row],[Adm2Name]])</f>
        <v>Amboasary-Atsimo</v>
      </c>
      <c r="I2817" t="s">
        <v>5641</v>
      </c>
      <c r="K2817" t="s">
        <v>3836</v>
      </c>
      <c r="L2817" t="s">
        <v>6151</v>
      </c>
      <c r="N2817" t="s">
        <v>3836</v>
      </c>
      <c r="O2817" t="s">
        <v>4144</v>
      </c>
      <c r="Q2817" t="s">
        <v>3838</v>
      </c>
      <c r="R2817" t="s">
        <v>3839</v>
      </c>
      <c r="T2817" t="s">
        <v>50</v>
      </c>
      <c r="U2817" s="3" t="str">
        <f>+VLOOKUP(Sites_per_tag[[#This Row],[Activity_tag]],Parameter!$A$24:$B$32,2,0)</f>
        <v>STUNT</v>
      </c>
      <c r="V2817" t="s">
        <v>6594</v>
      </c>
      <c r="W2817">
        <v>46.07443</v>
      </c>
      <c r="X2817">
        <v>-24.066669999999998</v>
      </c>
    </row>
    <row r="2818" spans="1:24" x14ac:dyDescent="0.35">
      <c r="A2818" s="3" t="str">
        <f t="shared" si="43"/>
        <v>MG53519230001002MAM</v>
      </c>
      <c r="B2818" t="s">
        <v>6211</v>
      </c>
      <c r="C2818">
        <f>+VLOOKUP(Sites_per_tag[[#This Row],[Field_office]],Parameter!$A$3:$B$11,2,0)</f>
        <v>6</v>
      </c>
      <c r="E2818" t="s">
        <v>1448</v>
      </c>
      <c r="F2818" t="s">
        <v>5651</v>
      </c>
      <c r="H2818" t="str">
        <f ca="1">PROPER(Sites_per_tag[[#This Row],[Adm2Name]])</f>
        <v>Amboasary-Atsimo</v>
      </c>
      <c r="I2818" t="s">
        <v>5641</v>
      </c>
      <c r="K2818" t="s">
        <v>3836</v>
      </c>
      <c r="L2818" t="s">
        <v>6151</v>
      </c>
      <c r="N2818" t="s">
        <v>3836</v>
      </c>
      <c r="O2818" t="s">
        <v>4144</v>
      </c>
      <c r="Q2818" t="s">
        <v>3836</v>
      </c>
      <c r="R2818" t="s">
        <v>3837</v>
      </c>
      <c r="T2818" t="s">
        <v>5</v>
      </c>
      <c r="U2818" s="3" t="str">
        <f>+VLOOKUP(Sites_per_tag[[#This Row],[Activity_tag]],Parameter!$A$24:$B$32,2,0)</f>
        <v>MAM</v>
      </c>
      <c r="W2818">
        <v>46.07443</v>
      </c>
      <c r="X2818">
        <v>-24.066669999999998</v>
      </c>
    </row>
    <row r="2819" spans="1:24" x14ac:dyDescent="0.35">
      <c r="A2819" s="3" t="str">
        <f t="shared" ref="A2819:A2874" si="44">+R2819&amp;U2819</f>
        <v>MG53519230003001STUNT</v>
      </c>
      <c r="B2819" t="s">
        <v>6440</v>
      </c>
      <c r="C2819">
        <f>+VLOOKUP(Sites_per_tag[[#This Row],[Field_office]],Parameter!$A$3:$B$11,2,0)</f>
        <v>2</v>
      </c>
      <c r="E2819" t="s">
        <v>1448</v>
      </c>
      <c r="F2819" t="s">
        <v>5651</v>
      </c>
      <c r="H2819" t="str">
        <f ca="1">PROPER(Sites_per_tag[[#This Row],[Adm2Name]])</f>
        <v>Amboasary-Atsimo</v>
      </c>
      <c r="I2819" t="s">
        <v>5641</v>
      </c>
      <c r="K2819" t="s">
        <v>3836</v>
      </c>
      <c r="L2819" t="s">
        <v>6151</v>
      </c>
      <c r="N2819" t="s">
        <v>3423</v>
      </c>
      <c r="O2819" t="s">
        <v>4145</v>
      </c>
      <c r="Q2819" t="s">
        <v>3423</v>
      </c>
      <c r="R2819" t="s">
        <v>3424</v>
      </c>
      <c r="T2819" t="s">
        <v>50</v>
      </c>
      <c r="U2819" s="3" t="str">
        <f>+VLOOKUP(Sites_per_tag[[#This Row],[Activity_tag]],Parameter!$A$24:$B$32,2,0)</f>
        <v>STUNT</v>
      </c>
      <c r="V2819" t="s">
        <v>6595</v>
      </c>
      <c r="W2819">
        <v>46.075029999999998</v>
      </c>
      <c r="X2819">
        <v>-24.070499999999999</v>
      </c>
    </row>
    <row r="2820" spans="1:24" x14ac:dyDescent="0.35">
      <c r="A2820" s="3" t="str">
        <f t="shared" si="44"/>
        <v>MG53519230005001STUNT</v>
      </c>
      <c r="B2820" t="s">
        <v>6440</v>
      </c>
      <c r="C2820">
        <f>+VLOOKUP(Sites_per_tag[[#This Row],[Field_office]],Parameter!$A$3:$B$11,2,0)</f>
        <v>2</v>
      </c>
      <c r="E2820" t="s">
        <v>1448</v>
      </c>
      <c r="F2820" t="s">
        <v>5651</v>
      </c>
      <c r="H2820" t="str">
        <f ca="1">PROPER(Sites_per_tag[[#This Row],[Adm2Name]])</f>
        <v>Amboasary-Atsimo</v>
      </c>
      <c r="I2820" t="s">
        <v>5641</v>
      </c>
      <c r="K2820" t="s">
        <v>3836</v>
      </c>
      <c r="L2820" t="s">
        <v>6151</v>
      </c>
      <c r="N2820" t="s">
        <v>4147</v>
      </c>
      <c r="O2820" t="s">
        <v>4146</v>
      </c>
      <c r="Q2820" t="s">
        <v>559</v>
      </c>
      <c r="R2820" t="s">
        <v>560</v>
      </c>
      <c r="T2820" t="s">
        <v>50</v>
      </c>
      <c r="U2820" s="3" t="str">
        <f>+VLOOKUP(Sites_per_tag[[#This Row],[Activity_tag]],Parameter!$A$24:$B$32,2,0)</f>
        <v>STUNT</v>
      </c>
      <c r="V2820" t="s">
        <v>6596</v>
      </c>
      <c r="W2820">
        <v>46.066800000000001</v>
      </c>
      <c r="X2820">
        <v>-24.07095</v>
      </c>
    </row>
    <row r="2821" spans="1:24" x14ac:dyDescent="0.35">
      <c r="A2821" s="3" t="str">
        <f t="shared" si="44"/>
        <v>MG53519230007001STUNT</v>
      </c>
      <c r="B2821" t="s">
        <v>6440</v>
      </c>
      <c r="C2821">
        <f>+VLOOKUP(Sites_per_tag[[#This Row],[Field_office]],Parameter!$A$3:$B$11,2,0)</f>
        <v>2</v>
      </c>
      <c r="E2821" t="s">
        <v>1448</v>
      </c>
      <c r="F2821" t="s">
        <v>5651</v>
      </c>
      <c r="H2821" t="str">
        <f ca="1">PROPER(Sites_per_tag[[#This Row],[Adm2Name]])</f>
        <v>Amboasary-Atsimo</v>
      </c>
      <c r="I2821" t="s">
        <v>5641</v>
      </c>
      <c r="K2821" t="s">
        <v>3836</v>
      </c>
      <c r="L2821" t="s">
        <v>6151</v>
      </c>
      <c r="N2821" t="s">
        <v>2588</v>
      </c>
      <c r="O2821" t="s">
        <v>4148</v>
      </c>
      <c r="Q2821" t="s">
        <v>2588</v>
      </c>
      <c r="R2821" t="s">
        <v>2589</v>
      </c>
      <c r="T2821" t="s">
        <v>50</v>
      </c>
      <c r="U2821" s="3" t="str">
        <f>+VLOOKUP(Sites_per_tag[[#This Row],[Activity_tag]],Parameter!$A$24:$B$32,2,0)</f>
        <v>STUNT</v>
      </c>
      <c r="V2821" t="s">
        <v>6597</v>
      </c>
      <c r="W2821">
        <v>45.946570000000001</v>
      </c>
      <c r="X2821">
        <v>-24.125920000000001</v>
      </c>
    </row>
    <row r="2822" spans="1:24" x14ac:dyDescent="0.35">
      <c r="A2822" s="3" t="str">
        <f t="shared" si="44"/>
        <v>MG53519230008001STUNT</v>
      </c>
      <c r="B2822" t="s">
        <v>6440</v>
      </c>
      <c r="C2822">
        <f>+VLOOKUP(Sites_per_tag[[#This Row],[Field_office]],Parameter!$A$3:$B$11,2,0)</f>
        <v>2</v>
      </c>
      <c r="E2822" t="s">
        <v>1448</v>
      </c>
      <c r="F2822" t="s">
        <v>5651</v>
      </c>
      <c r="H2822" t="str">
        <f ca="1">PROPER(Sites_per_tag[[#This Row],[Adm2Name]])</f>
        <v>Amboasary-Atsimo</v>
      </c>
      <c r="I2822" t="s">
        <v>5641</v>
      </c>
      <c r="K2822" t="s">
        <v>3836</v>
      </c>
      <c r="L2822" t="s">
        <v>6151</v>
      </c>
      <c r="N2822" t="s">
        <v>3116</v>
      </c>
      <c r="O2822" t="s">
        <v>4149</v>
      </c>
      <c r="Q2822" t="s">
        <v>3118</v>
      </c>
      <c r="R2822" t="s">
        <v>3119</v>
      </c>
      <c r="T2822" t="s">
        <v>50</v>
      </c>
      <c r="U2822" s="3" t="str">
        <f>+VLOOKUP(Sites_per_tag[[#This Row],[Activity_tag]],Parameter!$A$24:$B$32,2,0)</f>
        <v>STUNT</v>
      </c>
      <c r="V2822" t="s">
        <v>6598</v>
      </c>
      <c r="W2822">
        <v>45.991731999999999</v>
      </c>
      <c r="X2822">
        <v>-24.129111000000002</v>
      </c>
    </row>
    <row r="2823" spans="1:24" x14ac:dyDescent="0.35">
      <c r="A2823" s="3" t="str">
        <f t="shared" si="44"/>
        <v>MG53519230008002MAM</v>
      </c>
      <c r="B2823" t="s">
        <v>6211</v>
      </c>
      <c r="C2823">
        <f>+VLOOKUP(Sites_per_tag[[#This Row],[Field_office]],Parameter!$A$3:$B$11,2,0)</f>
        <v>6</v>
      </c>
      <c r="E2823" t="s">
        <v>1448</v>
      </c>
      <c r="F2823" t="s">
        <v>5651</v>
      </c>
      <c r="H2823" t="str">
        <f ca="1">PROPER(Sites_per_tag[[#This Row],[Adm2Name]])</f>
        <v>Amboasary-Atsimo</v>
      </c>
      <c r="I2823" t="s">
        <v>5641</v>
      </c>
      <c r="K2823" t="s">
        <v>3836</v>
      </c>
      <c r="L2823" t="s">
        <v>6151</v>
      </c>
      <c r="N2823" t="s">
        <v>3116</v>
      </c>
      <c r="O2823" t="s">
        <v>4149</v>
      </c>
      <c r="Q2823" t="s">
        <v>3116</v>
      </c>
      <c r="R2823" t="s">
        <v>3117</v>
      </c>
      <c r="T2823" t="s">
        <v>5</v>
      </c>
      <c r="U2823" s="3" t="str">
        <f>+VLOOKUP(Sites_per_tag[[#This Row],[Activity_tag]],Parameter!$A$24:$B$32,2,0)</f>
        <v>MAM</v>
      </c>
      <c r="W2823">
        <v>45.966349999999998</v>
      </c>
      <c r="X2823">
        <v>-24.13758</v>
      </c>
    </row>
    <row r="2824" spans="1:24" x14ac:dyDescent="0.35">
      <c r="A2824" s="3" t="str">
        <f t="shared" si="44"/>
        <v>MG53519230013001STUNT</v>
      </c>
      <c r="B2824" t="s">
        <v>6440</v>
      </c>
      <c r="C2824">
        <f>+VLOOKUP(Sites_per_tag[[#This Row],[Field_office]],Parameter!$A$3:$B$11,2,0)</f>
        <v>2</v>
      </c>
      <c r="E2824" t="s">
        <v>1448</v>
      </c>
      <c r="F2824" t="s">
        <v>5651</v>
      </c>
      <c r="H2824" t="str">
        <f ca="1">PROPER(Sites_per_tag[[#This Row],[Adm2Name]])</f>
        <v>Amboasary-Atsimo</v>
      </c>
      <c r="I2824" t="s">
        <v>5641</v>
      </c>
      <c r="K2824" t="s">
        <v>3836</v>
      </c>
      <c r="L2824" t="s">
        <v>6151</v>
      </c>
      <c r="N2824" t="s">
        <v>2454</v>
      </c>
      <c r="O2824" t="s">
        <v>4150</v>
      </c>
      <c r="Q2824" t="s">
        <v>2454</v>
      </c>
      <c r="R2824" t="s">
        <v>2455</v>
      </c>
      <c r="T2824" t="s">
        <v>50</v>
      </c>
      <c r="U2824" s="3" t="str">
        <f>+VLOOKUP(Sites_per_tag[[#This Row],[Activity_tag]],Parameter!$A$24:$B$32,2,0)</f>
        <v>STUNT</v>
      </c>
      <c r="V2824" t="s">
        <v>6599</v>
      </c>
      <c r="W2824">
        <v>46.211779999999997</v>
      </c>
      <c r="X2824">
        <v>-24.216229999999999</v>
      </c>
    </row>
    <row r="2825" spans="1:24" x14ac:dyDescent="0.35">
      <c r="A2825" s="3" t="str">
        <f t="shared" si="44"/>
        <v>MG53519230014001STUNT</v>
      </c>
      <c r="B2825" t="s">
        <v>6440</v>
      </c>
      <c r="C2825">
        <f>+VLOOKUP(Sites_per_tag[[#This Row],[Field_office]],Parameter!$A$3:$B$11,2,0)</f>
        <v>2</v>
      </c>
      <c r="E2825" t="s">
        <v>1448</v>
      </c>
      <c r="F2825" t="s">
        <v>5651</v>
      </c>
      <c r="H2825" t="str">
        <f ca="1">PROPER(Sites_per_tag[[#This Row],[Adm2Name]])</f>
        <v>Amboasary-Atsimo</v>
      </c>
      <c r="I2825" t="s">
        <v>5641</v>
      </c>
      <c r="K2825" t="s">
        <v>3836</v>
      </c>
      <c r="L2825" t="s">
        <v>6151</v>
      </c>
      <c r="N2825" t="s">
        <v>3150</v>
      </c>
      <c r="O2825" t="s">
        <v>4151</v>
      </c>
      <c r="Q2825" t="s">
        <v>3150</v>
      </c>
      <c r="R2825" t="s">
        <v>3151</v>
      </c>
      <c r="T2825" t="s">
        <v>50</v>
      </c>
      <c r="U2825" s="3" t="str">
        <f>+VLOOKUP(Sites_per_tag[[#This Row],[Activity_tag]],Parameter!$A$24:$B$32,2,0)</f>
        <v>STUNT</v>
      </c>
      <c r="V2825" t="s">
        <v>6600</v>
      </c>
      <c r="W2825">
        <v>45.951300000000003</v>
      </c>
      <c r="X2825">
        <v>-24.128879999999999</v>
      </c>
    </row>
    <row r="2826" spans="1:24" x14ac:dyDescent="0.35">
      <c r="A2826" s="3" t="str">
        <f t="shared" si="44"/>
        <v>MG53519230015001STUNT</v>
      </c>
      <c r="B2826" t="s">
        <v>6440</v>
      </c>
      <c r="C2826">
        <f>+VLOOKUP(Sites_per_tag[[#This Row],[Field_office]],Parameter!$A$3:$B$11,2,0)</f>
        <v>2</v>
      </c>
      <c r="E2826" t="s">
        <v>1448</v>
      </c>
      <c r="F2826" t="s">
        <v>5651</v>
      </c>
      <c r="H2826" t="str">
        <f ca="1">PROPER(Sites_per_tag[[#This Row],[Adm2Name]])</f>
        <v>Amboasary-Atsimo</v>
      </c>
      <c r="I2826" t="s">
        <v>5641</v>
      </c>
      <c r="K2826" t="s">
        <v>3836</v>
      </c>
      <c r="L2826" t="s">
        <v>6151</v>
      </c>
      <c r="N2826" t="s">
        <v>2535</v>
      </c>
      <c r="O2826" t="s">
        <v>4152</v>
      </c>
      <c r="Q2826" t="s">
        <v>2535</v>
      </c>
      <c r="R2826" t="s">
        <v>2536</v>
      </c>
      <c r="T2826" t="s">
        <v>50</v>
      </c>
      <c r="U2826" s="3" t="str">
        <f>+VLOOKUP(Sites_per_tag[[#This Row],[Activity_tag]],Parameter!$A$24:$B$32,2,0)</f>
        <v>STUNT</v>
      </c>
      <c r="V2826" t="s">
        <v>6601</v>
      </c>
      <c r="W2826">
        <v>46.097180000000002</v>
      </c>
      <c r="X2826">
        <v>-24.049949999999999</v>
      </c>
    </row>
    <row r="2827" spans="1:24" x14ac:dyDescent="0.35">
      <c r="A2827" s="3" t="str">
        <f t="shared" si="44"/>
        <v>MG53519230016001STUNT</v>
      </c>
      <c r="B2827" t="s">
        <v>6440</v>
      </c>
      <c r="C2827">
        <f>+VLOOKUP(Sites_per_tag[[#This Row],[Field_office]],Parameter!$A$3:$B$11,2,0)</f>
        <v>2</v>
      </c>
      <c r="E2827" t="s">
        <v>1448</v>
      </c>
      <c r="F2827" t="s">
        <v>5651</v>
      </c>
      <c r="H2827" t="str">
        <f ca="1">PROPER(Sites_per_tag[[#This Row],[Adm2Name]])</f>
        <v>Amboasary-Atsimo</v>
      </c>
      <c r="I2827" t="s">
        <v>5641</v>
      </c>
      <c r="K2827" t="s">
        <v>3836</v>
      </c>
      <c r="L2827" t="s">
        <v>6151</v>
      </c>
      <c r="N2827" t="s">
        <v>3226</v>
      </c>
      <c r="O2827" t="s">
        <v>4153</v>
      </c>
      <c r="Q2827" t="s">
        <v>3236</v>
      </c>
      <c r="R2827" t="s">
        <v>3237</v>
      </c>
      <c r="T2827" t="s">
        <v>50</v>
      </c>
      <c r="U2827" s="3" t="str">
        <f>+VLOOKUP(Sites_per_tag[[#This Row],[Activity_tag]],Parameter!$A$24:$B$32,2,0)</f>
        <v>STUNT</v>
      </c>
      <c r="V2827" t="s">
        <v>6519</v>
      </c>
      <c r="W2827">
        <v>45.979284999999997</v>
      </c>
      <c r="X2827">
        <v>-24.112214000000002</v>
      </c>
    </row>
    <row r="2828" spans="1:24" x14ac:dyDescent="0.35">
      <c r="A2828" s="3" t="str">
        <f t="shared" si="44"/>
        <v>MG53519230045001STUNT</v>
      </c>
      <c r="B2828" t="s">
        <v>6440</v>
      </c>
      <c r="C2828">
        <f>+VLOOKUP(Sites_per_tag[[#This Row],[Field_office]],Parameter!$A$3:$B$11,2,0)</f>
        <v>2</v>
      </c>
      <c r="E2828" t="s">
        <v>1448</v>
      </c>
      <c r="F2828" t="s">
        <v>5651</v>
      </c>
      <c r="H2828" t="str">
        <f ca="1">PROPER(Sites_per_tag[[#This Row],[Adm2Name]])</f>
        <v>Amboasary-Atsimo</v>
      </c>
      <c r="I2828" t="s">
        <v>5641</v>
      </c>
      <c r="K2828" t="s">
        <v>3836</v>
      </c>
      <c r="L2828" t="s">
        <v>6151</v>
      </c>
      <c r="N2828" t="s">
        <v>1902</v>
      </c>
      <c r="O2828" t="s">
        <v>4154</v>
      </c>
      <c r="Q2828" t="s">
        <v>1902</v>
      </c>
      <c r="R2828" t="s">
        <v>1903</v>
      </c>
      <c r="T2828" t="s">
        <v>50</v>
      </c>
      <c r="U2828" s="3" t="str">
        <f>+VLOOKUP(Sites_per_tag[[#This Row],[Activity_tag]],Parameter!$A$24:$B$32,2,0)</f>
        <v>STUNT</v>
      </c>
      <c r="V2828" t="s">
        <v>6602</v>
      </c>
      <c r="W2828">
        <v>46.015304999999998</v>
      </c>
      <c r="X2828">
        <v>-24.061893000000001</v>
      </c>
    </row>
    <row r="2829" spans="1:24" x14ac:dyDescent="0.35">
      <c r="A2829" s="3" t="str">
        <f t="shared" si="44"/>
        <v>MG53519230088001STUNT</v>
      </c>
      <c r="B2829" t="s">
        <v>6440</v>
      </c>
      <c r="C2829">
        <f>+VLOOKUP(Sites_per_tag[[#This Row],[Field_office]],Parameter!$A$3:$B$11,2,0)</f>
        <v>2</v>
      </c>
      <c r="E2829" t="s">
        <v>1448</v>
      </c>
      <c r="F2829" t="s">
        <v>5651</v>
      </c>
      <c r="H2829" t="str">
        <f ca="1">PROPER(Sites_per_tag[[#This Row],[Adm2Name]])</f>
        <v>Amboasary-Atsimo</v>
      </c>
      <c r="I2829" t="s">
        <v>5641</v>
      </c>
      <c r="K2829" t="s">
        <v>3836</v>
      </c>
      <c r="L2829" t="s">
        <v>6151</v>
      </c>
      <c r="N2829" t="s">
        <v>1377</v>
      </c>
      <c r="O2829" t="s">
        <v>4155</v>
      </c>
      <c r="Q2829" t="s">
        <v>1379</v>
      </c>
      <c r="R2829" t="s">
        <v>1380</v>
      </c>
      <c r="T2829" t="s">
        <v>50</v>
      </c>
      <c r="U2829" s="3" t="str">
        <f>+VLOOKUP(Sites_per_tag[[#This Row],[Activity_tag]],Parameter!$A$24:$B$32,2,0)</f>
        <v>STUNT</v>
      </c>
      <c r="V2829" t="s">
        <v>6603</v>
      </c>
      <c r="W2829">
        <v>46.092120000000001</v>
      </c>
      <c r="X2829">
        <v>-24.064679999999999</v>
      </c>
    </row>
    <row r="2830" spans="1:24" x14ac:dyDescent="0.35">
      <c r="A2830" s="3" t="str">
        <f t="shared" si="44"/>
        <v>MG53519250003001MAM</v>
      </c>
      <c r="B2830" t="s">
        <v>6267</v>
      </c>
      <c r="C2830">
        <f>+VLOOKUP(Sites_per_tag[[#This Row],[Field_office]],Parameter!$A$3:$B$11,2,0)</f>
        <v>9</v>
      </c>
      <c r="E2830" t="s">
        <v>5650</v>
      </c>
      <c r="F2830" t="s">
        <v>5654</v>
      </c>
      <c r="H2830" t="str">
        <f ca="1">PROPER(Sites_per_tag[[#This Row],[Adm2Name]])</f>
        <v>Ampanihy Ouest</v>
      </c>
      <c r="I2830" t="s">
        <v>5660</v>
      </c>
      <c r="K2830" t="s">
        <v>457</v>
      </c>
      <c r="L2830" t="s">
        <v>5748</v>
      </c>
      <c r="N2830" t="s">
        <v>768</v>
      </c>
      <c r="O2830" t="s">
        <v>4428</v>
      </c>
      <c r="Q2830" t="s">
        <v>768</v>
      </c>
      <c r="R2830" t="s">
        <v>769</v>
      </c>
      <c r="T2830" t="s">
        <v>5</v>
      </c>
      <c r="U2830" s="3" t="str">
        <f>+VLOOKUP(Sites_per_tag[[#This Row],[Activity_tag]],Parameter!$A$24:$B$32,2,0)</f>
        <v>MAM</v>
      </c>
      <c r="W2830">
        <v>44.956952000000001</v>
      </c>
      <c r="X2830">
        <v>-24.721315000000001</v>
      </c>
    </row>
    <row r="2831" spans="1:24" x14ac:dyDescent="0.35">
      <c r="A2831" s="3" t="str">
        <f t="shared" si="44"/>
        <v>MG53519250014001MAM</v>
      </c>
      <c r="B2831" t="s">
        <v>6211</v>
      </c>
      <c r="C2831">
        <f>+VLOOKUP(Sites_per_tag[[#This Row],[Field_office]],Parameter!$A$3:$B$11,2,0)</f>
        <v>6</v>
      </c>
      <c r="E2831" t="s">
        <v>1448</v>
      </c>
      <c r="F2831" t="s">
        <v>5651</v>
      </c>
      <c r="H2831" t="str">
        <f ca="1">PROPER(Sites_per_tag[[#This Row],[Adm2Name]])</f>
        <v>Amboasary-Atsimo</v>
      </c>
      <c r="I2831" t="s">
        <v>5641</v>
      </c>
      <c r="K2831" t="s">
        <v>5320</v>
      </c>
      <c r="L2831" t="s">
        <v>6051</v>
      </c>
      <c r="N2831" t="s">
        <v>5320</v>
      </c>
      <c r="O2831" t="s">
        <v>5319</v>
      </c>
      <c r="Q2831" t="s">
        <v>3084</v>
      </c>
      <c r="R2831" t="s">
        <v>3085</v>
      </c>
      <c r="T2831" t="s">
        <v>5</v>
      </c>
      <c r="U2831" s="3" t="str">
        <f>+VLOOKUP(Sites_per_tag[[#This Row],[Activity_tag]],Parameter!$A$24:$B$32,2,0)</f>
        <v>MAM</v>
      </c>
      <c r="W2831">
        <v>45.980080000000001</v>
      </c>
      <c r="X2831">
        <v>-24.288319999999999</v>
      </c>
    </row>
    <row r="2832" spans="1:24" x14ac:dyDescent="0.35">
      <c r="A2832" s="3" t="str">
        <f t="shared" si="44"/>
        <v>MG53519250065001MAM</v>
      </c>
      <c r="B2832" t="s">
        <v>6267</v>
      </c>
      <c r="C2832">
        <f>+VLOOKUP(Sites_per_tag[[#This Row],[Field_office]],Parameter!$A$3:$B$11,2,0)</f>
        <v>9</v>
      </c>
      <c r="E2832" t="s">
        <v>5650</v>
      </c>
      <c r="F2832" t="s">
        <v>5654</v>
      </c>
      <c r="H2832" t="str">
        <f ca="1">PROPER(Sites_per_tag[[#This Row],[Adm2Name]])</f>
        <v>Ampanihy Ouest</v>
      </c>
      <c r="I2832" t="s">
        <v>5660</v>
      </c>
      <c r="K2832" t="s">
        <v>457</v>
      </c>
      <c r="L2832" t="s">
        <v>5748</v>
      </c>
      <c r="N2832" t="s">
        <v>565</v>
      </c>
      <c r="O2832" t="s">
        <v>4429</v>
      </c>
      <c r="Q2832" t="s">
        <v>565</v>
      </c>
      <c r="R2832" t="s">
        <v>566</v>
      </c>
      <c r="T2832" t="s">
        <v>5</v>
      </c>
      <c r="U2832" s="3" t="str">
        <f>+VLOOKUP(Sites_per_tag[[#This Row],[Activity_tag]],Parameter!$A$24:$B$32,2,0)</f>
        <v>MAM</v>
      </c>
      <c r="W2832">
        <v>44.953449999999997</v>
      </c>
      <c r="X2832">
        <v>-24.649280000000001</v>
      </c>
    </row>
    <row r="2833" spans="1:24" x14ac:dyDescent="0.35">
      <c r="A2833" s="3" t="str">
        <f t="shared" si="44"/>
        <v>MG53519250066001MAM</v>
      </c>
      <c r="B2833" t="s">
        <v>6267</v>
      </c>
      <c r="C2833">
        <f>+VLOOKUP(Sites_per_tag[[#This Row],[Field_office]],Parameter!$A$3:$B$11,2,0)</f>
        <v>9</v>
      </c>
      <c r="E2833" t="s">
        <v>5650</v>
      </c>
      <c r="F2833" t="s">
        <v>5654</v>
      </c>
      <c r="H2833" t="str">
        <f ca="1">PROPER(Sites_per_tag[[#This Row],[Adm2Name]])</f>
        <v>Ampanihy Ouest</v>
      </c>
      <c r="I2833" t="s">
        <v>5660</v>
      </c>
      <c r="K2833" t="s">
        <v>457</v>
      </c>
      <c r="L2833" t="s">
        <v>5748</v>
      </c>
      <c r="N2833" t="s">
        <v>756</v>
      </c>
      <c r="O2833" t="s">
        <v>4430</v>
      </c>
      <c r="Q2833" t="s">
        <v>756</v>
      </c>
      <c r="R2833" t="s">
        <v>757</v>
      </c>
      <c r="T2833" t="s">
        <v>5</v>
      </c>
      <c r="U2833" s="3" t="str">
        <f>+VLOOKUP(Sites_per_tag[[#This Row],[Activity_tag]],Parameter!$A$24:$B$32,2,0)</f>
        <v>MAM</v>
      </c>
      <c r="W2833">
        <v>45.069450000000003</v>
      </c>
      <c r="X2833">
        <v>-24.501580000000001</v>
      </c>
    </row>
    <row r="2834" spans="1:24" x14ac:dyDescent="0.35">
      <c r="A2834" s="3" t="str">
        <f t="shared" si="44"/>
        <v>MG53519250067001MAM</v>
      </c>
      <c r="B2834" t="s">
        <v>6267</v>
      </c>
      <c r="C2834">
        <f>+VLOOKUP(Sites_per_tag[[#This Row],[Field_office]],Parameter!$A$3:$B$11,2,0)</f>
        <v>9</v>
      </c>
      <c r="E2834" t="s">
        <v>5650</v>
      </c>
      <c r="F2834" t="s">
        <v>5654</v>
      </c>
      <c r="H2834" t="str">
        <f ca="1">PROPER(Sites_per_tag[[#This Row],[Adm2Name]])</f>
        <v>Ampanihy Ouest</v>
      </c>
      <c r="I2834" t="s">
        <v>5660</v>
      </c>
      <c r="K2834" t="s">
        <v>457</v>
      </c>
      <c r="L2834" t="s">
        <v>5748</v>
      </c>
      <c r="N2834" t="s">
        <v>784</v>
      </c>
      <c r="O2834" t="s">
        <v>4431</v>
      </c>
      <c r="Q2834" t="s">
        <v>784</v>
      </c>
      <c r="R2834" t="s">
        <v>785</v>
      </c>
      <c r="T2834" t="s">
        <v>5</v>
      </c>
      <c r="U2834" s="3" t="str">
        <f>+VLOOKUP(Sites_per_tag[[#This Row],[Activity_tag]],Parameter!$A$24:$B$32,2,0)</f>
        <v>MAM</v>
      </c>
      <c r="W2834">
        <v>45.027549999999998</v>
      </c>
      <c r="X2834">
        <v>-24.60163</v>
      </c>
    </row>
    <row r="2835" spans="1:24" x14ac:dyDescent="0.35">
      <c r="A2835" s="3" t="str">
        <f t="shared" si="44"/>
        <v>MG53519250068001MAM</v>
      </c>
      <c r="B2835" t="s">
        <v>6267</v>
      </c>
      <c r="C2835">
        <f>+VLOOKUP(Sites_per_tag[[#This Row],[Field_office]],Parameter!$A$3:$B$11,2,0)</f>
        <v>9</v>
      </c>
      <c r="E2835" t="s">
        <v>5650</v>
      </c>
      <c r="F2835" t="s">
        <v>5654</v>
      </c>
      <c r="H2835" t="str">
        <f ca="1">PROPER(Sites_per_tag[[#This Row],[Adm2Name]])</f>
        <v>Ampanihy Ouest</v>
      </c>
      <c r="I2835" t="s">
        <v>5660</v>
      </c>
      <c r="K2835" t="s">
        <v>457</v>
      </c>
      <c r="L2835" t="s">
        <v>5748</v>
      </c>
      <c r="N2835" t="s">
        <v>920</v>
      </c>
      <c r="O2835" t="s">
        <v>4432</v>
      </c>
      <c r="Q2835" t="s">
        <v>920</v>
      </c>
      <c r="R2835" t="s">
        <v>921</v>
      </c>
      <c r="T2835" t="s">
        <v>5</v>
      </c>
      <c r="U2835" s="3" t="str">
        <f>+VLOOKUP(Sites_per_tag[[#This Row],[Activity_tag]],Parameter!$A$24:$B$32,2,0)</f>
        <v>MAM</v>
      </c>
      <c r="W2835">
        <v>45.047130000000003</v>
      </c>
      <c r="X2835">
        <v>-24.717980000000001</v>
      </c>
    </row>
    <row r="2836" spans="1:24" x14ac:dyDescent="0.35">
      <c r="A2836" s="3" t="str">
        <f t="shared" si="44"/>
        <v>MG53519250069001MAM</v>
      </c>
      <c r="B2836" t="s">
        <v>6267</v>
      </c>
      <c r="C2836">
        <f>+VLOOKUP(Sites_per_tag[[#This Row],[Field_office]],Parameter!$A$3:$B$11,2,0)</f>
        <v>9</v>
      </c>
      <c r="E2836" t="s">
        <v>5650</v>
      </c>
      <c r="F2836" t="s">
        <v>5654</v>
      </c>
      <c r="H2836" t="str">
        <f ca="1">PROPER(Sites_per_tag[[#This Row],[Adm2Name]])</f>
        <v>Ampanihy Ouest</v>
      </c>
      <c r="I2836" t="s">
        <v>5660</v>
      </c>
      <c r="K2836" t="s">
        <v>457</v>
      </c>
      <c r="L2836" t="s">
        <v>5748</v>
      </c>
      <c r="N2836" t="s">
        <v>3350</v>
      </c>
      <c r="O2836" t="s">
        <v>4433</v>
      </c>
      <c r="Q2836" t="s">
        <v>3350</v>
      </c>
      <c r="R2836" t="s">
        <v>3351</v>
      </c>
      <c r="T2836" t="s">
        <v>5</v>
      </c>
      <c r="U2836" s="3" t="str">
        <f>+VLOOKUP(Sites_per_tag[[#This Row],[Activity_tag]],Parameter!$A$24:$B$32,2,0)</f>
        <v>MAM</v>
      </c>
      <c r="W2836">
        <v>44.948500000000003</v>
      </c>
      <c r="X2836">
        <v>-24.682120000000001</v>
      </c>
    </row>
    <row r="2837" spans="1:24" x14ac:dyDescent="0.35">
      <c r="A2837" s="3" t="str">
        <f t="shared" si="44"/>
        <v>MG53519250070001MAM</v>
      </c>
      <c r="B2837" t="s">
        <v>6267</v>
      </c>
      <c r="C2837">
        <f>+VLOOKUP(Sites_per_tag[[#This Row],[Field_office]],Parameter!$A$3:$B$11,2,0)</f>
        <v>9</v>
      </c>
      <c r="E2837" t="s">
        <v>5650</v>
      </c>
      <c r="F2837" t="s">
        <v>5654</v>
      </c>
      <c r="H2837" t="str">
        <f ca="1">PROPER(Sites_per_tag[[#This Row],[Adm2Name]])</f>
        <v>Ampanihy Ouest</v>
      </c>
      <c r="I2837" t="s">
        <v>5660</v>
      </c>
      <c r="K2837" t="s">
        <v>457</v>
      </c>
      <c r="L2837" t="s">
        <v>5748</v>
      </c>
      <c r="N2837" t="s">
        <v>3929</v>
      </c>
      <c r="O2837" t="s">
        <v>4434</v>
      </c>
      <c r="Q2837" t="s">
        <v>3929</v>
      </c>
      <c r="R2837" t="s">
        <v>3930</v>
      </c>
      <c r="T2837" t="s">
        <v>5</v>
      </c>
      <c r="U2837" s="3" t="str">
        <f>+VLOOKUP(Sites_per_tag[[#This Row],[Activity_tag]],Parameter!$A$24:$B$32,2,0)</f>
        <v>MAM</v>
      </c>
      <c r="W2837">
        <v>44.968429999999998</v>
      </c>
      <c r="X2837">
        <v>-24.636849999999999</v>
      </c>
    </row>
    <row r="2838" spans="1:24" x14ac:dyDescent="0.35">
      <c r="A2838" s="3" t="str">
        <f t="shared" si="44"/>
        <v>MG53519270001001MAM</v>
      </c>
      <c r="B2838" t="s">
        <v>6211</v>
      </c>
      <c r="C2838">
        <f>+VLOOKUP(Sites_per_tag[[#This Row],[Field_office]],Parameter!$A$3:$B$11,2,0)</f>
        <v>6</v>
      </c>
      <c r="E2838" t="s">
        <v>1448</v>
      </c>
      <c r="F2838" t="s">
        <v>5651</v>
      </c>
      <c r="H2838" t="str">
        <f ca="1">PROPER(Sites_per_tag[[#This Row],[Adm2Name]])</f>
        <v>Amboasary-Atsimo</v>
      </c>
      <c r="I2838" t="s">
        <v>5641</v>
      </c>
      <c r="K2838" t="s">
        <v>3678</v>
      </c>
      <c r="L2838" t="s">
        <v>6135</v>
      </c>
      <c r="N2838" t="s">
        <v>3678</v>
      </c>
      <c r="O2838" t="s">
        <v>5480</v>
      </c>
      <c r="Q2838" t="s">
        <v>3678</v>
      </c>
      <c r="R2838" t="s">
        <v>3679</v>
      </c>
      <c r="T2838" t="s">
        <v>5</v>
      </c>
      <c r="U2838" s="3" t="str">
        <f>+VLOOKUP(Sites_per_tag[[#This Row],[Activity_tag]],Parameter!$A$24:$B$32,2,0)</f>
        <v>MAM</v>
      </c>
      <c r="W2838">
        <v>46.032769999999999</v>
      </c>
      <c r="X2838">
        <v>-24.45712</v>
      </c>
    </row>
    <row r="2839" spans="1:24" x14ac:dyDescent="0.35">
      <c r="A2839" s="3" t="str">
        <f t="shared" si="44"/>
        <v>MG53519291001001MAM</v>
      </c>
      <c r="B2839" t="s">
        <v>6211</v>
      </c>
      <c r="C2839">
        <f>+VLOOKUP(Sites_per_tag[[#This Row],[Field_office]],Parameter!$A$3:$B$11,2,0)</f>
        <v>6</v>
      </c>
      <c r="E2839" t="s">
        <v>1448</v>
      </c>
      <c r="F2839" t="s">
        <v>5651</v>
      </c>
      <c r="H2839" t="str">
        <f ca="1">PROPER(Sites_per_tag[[#This Row],[Adm2Name]])</f>
        <v>Amboasary-Atsimo</v>
      </c>
      <c r="I2839" t="s">
        <v>5641</v>
      </c>
      <c r="K2839" t="s">
        <v>2235</v>
      </c>
      <c r="L2839" t="s">
        <v>5937</v>
      </c>
      <c r="N2839" t="s">
        <v>2235</v>
      </c>
      <c r="O2839" t="s">
        <v>2236</v>
      </c>
      <c r="Q2839" t="s">
        <v>2235</v>
      </c>
      <c r="R2839" t="s">
        <v>2237</v>
      </c>
      <c r="T2839" t="s">
        <v>5</v>
      </c>
      <c r="U2839" s="3" t="str">
        <f>+VLOOKUP(Sites_per_tag[[#This Row],[Activity_tag]],Parameter!$A$24:$B$32,2,0)</f>
        <v>MAM</v>
      </c>
      <c r="W2839">
        <v>46.043170000000003</v>
      </c>
      <c r="X2839">
        <v>-24.502320000000001</v>
      </c>
    </row>
    <row r="2840" spans="1:24" x14ac:dyDescent="0.35">
      <c r="A2840" s="3" t="str">
        <f t="shared" si="44"/>
        <v>MG53519291001PREV</v>
      </c>
      <c r="B2840" t="s">
        <v>6211</v>
      </c>
      <c r="C2840">
        <f>+VLOOKUP(Sites_per_tag[[#This Row],[Field_office]],Parameter!$A$3:$B$11,2,0)</f>
        <v>6</v>
      </c>
      <c r="E2840" t="s">
        <v>1448</v>
      </c>
      <c r="F2840" t="s">
        <v>5651</v>
      </c>
      <c r="H2840" t="str">
        <f ca="1">PROPER(Sites_per_tag[[#This Row],[Adm2Name]])</f>
        <v>Amboasary-Atsimo</v>
      </c>
      <c r="I2840" t="s">
        <v>5641</v>
      </c>
      <c r="K2840" t="s">
        <v>2235</v>
      </c>
      <c r="L2840" t="s">
        <v>5937</v>
      </c>
      <c r="N2840" t="s">
        <v>2235</v>
      </c>
      <c r="Q2840" t="s">
        <v>2235</v>
      </c>
      <c r="R2840" t="s">
        <v>2236</v>
      </c>
      <c r="T2840" t="s">
        <v>32</v>
      </c>
      <c r="U2840" s="3" t="str">
        <f>+VLOOKUP(Sites_per_tag[[#This Row],[Activity_tag]],Parameter!$A$24:$B$32,2,0)</f>
        <v>PREV</v>
      </c>
      <c r="W2840">
        <v>46.023780000000002</v>
      </c>
      <c r="X2840">
        <v>-24.482420000000001</v>
      </c>
    </row>
    <row r="2841" spans="1:24" x14ac:dyDescent="0.35">
      <c r="A2841" s="3" t="str">
        <f t="shared" si="44"/>
        <v>MG53519292001PREV</v>
      </c>
      <c r="B2841" t="s">
        <v>6211</v>
      </c>
      <c r="C2841">
        <f>+VLOOKUP(Sites_per_tag[[#This Row],[Field_office]],Parameter!$A$3:$B$11,2,0)</f>
        <v>6</v>
      </c>
      <c r="E2841" t="s">
        <v>1448</v>
      </c>
      <c r="F2841" t="s">
        <v>5651</v>
      </c>
      <c r="H2841" t="str">
        <f ca="1">PROPER(Sites_per_tag[[#This Row],[Adm2Name]])</f>
        <v>Amboasary-Atsimo</v>
      </c>
      <c r="I2841" t="s">
        <v>5641</v>
      </c>
      <c r="K2841" t="s">
        <v>3309</v>
      </c>
      <c r="L2841" t="s">
        <v>6085</v>
      </c>
      <c r="N2841" t="s">
        <v>3309</v>
      </c>
      <c r="Q2841" t="s">
        <v>3309</v>
      </c>
      <c r="R2841" t="s">
        <v>3311</v>
      </c>
      <c r="T2841" t="s">
        <v>32</v>
      </c>
      <c r="U2841" s="3" t="str">
        <f>+VLOOKUP(Sites_per_tag[[#This Row],[Activity_tag]],Parameter!$A$24:$B$32,2,0)</f>
        <v>PREV</v>
      </c>
      <c r="W2841">
        <v>46.220619999999997</v>
      </c>
      <c r="X2841">
        <v>-24.437570000000001</v>
      </c>
    </row>
    <row r="2842" spans="1:24" x14ac:dyDescent="0.35">
      <c r="A2842" s="3" t="str">
        <f t="shared" si="44"/>
        <v>MG53519292047001MAM</v>
      </c>
      <c r="B2842" t="s">
        <v>6211</v>
      </c>
      <c r="C2842">
        <f>+VLOOKUP(Sites_per_tag[[#This Row],[Field_office]],Parameter!$A$3:$B$11,2,0)</f>
        <v>6</v>
      </c>
      <c r="E2842" t="s">
        <v>1448</v>
      </c>
      <c r="F2842" t="s">
        <v>5651</v>
      </c>
      <c r="H2842" t="str">
        <f ca="1">PROPER(Sites_per_tag[[#This Row],[Adm2Name]])</f>
        <v>Amboasary-Atsimo</v>
      </c>
      <c r="I2842" t="s">
        <v>5641</v>
      </c>
      <c r="K2842" t="s">
        <v>3309</v>
      </c>
      <c r="L2842" t="s">
        <v>6085</v>
      </c>
      <c r="N2842" t="s">
        <v>2466</v>
      </c>
      <c r="O2842" t="s">
        <v>5396</v>
      </c>
      <c r="Q2842" t="s">
        <v>2480</v>
      </c>
      <c r="R2842" t="s">
        <v>2481</v>
      </c>
      <c r="T2842" t="s">
        <v>5</v>
      </c>
      <c r="U2842" s="3" t="str">
        <f>+VLOOKUP(Sites_per_tag[[#This Row],[Activity_tag]],Parameter!$A$24:$B$32,2,0)</f>
        <v>MAM</v>
      </c>
      <c r="W2842">
        <v>46.220702000000003</v>
      </c>
      <c r="X2842">
        <v>-24.375848999999999</v>
      </c>
    </row>
    <row r="2843" spans="1:24" x14ac:dyDescent="0.35">
      <c r="A2843" s="3" t="str">
        <f t="shared" si="44"/>
        <v>MG54502010003001MAM</v>
      </c>
      <c r="B2843" t="s">
        <v>6211</v>
      </c>
      <c r="C2843">
        <f>+VLOOKUP(Sites_per_tag[[#This Row],[Field_office]],Parameter!$A$3:$B$11,2,0)</f>
        <v>6</v>
      </c>
      <c r="E2843" t="s">
        <v>5646</v>
      </c>
      <c r="F2843" t="s">
        <v>5647</v>
      </c>
      <c r="H2843" t="str">
        <f ca="1">PROPER(Sites_per_tag[[#This Row],[Adm2Name]])</f>
        <v>Bekily</v>
      </c>
      <c r="I2843" t="s">
        <v>5683</v>
      </c>
      <c r="K2843" t="s">
        <v>6351</v>
      </c>
      <c r="L2843" t="s">
        <v>6076</v>
      </c>
      <c r="N2843" t="s">
        <v>888</v>
      </c>
      <c r="O2843" t="s">
        <v>5375</v>
      </c>
      <c r="Q2843" t="s">
        <v>888</v>
      </c>
      <c r="R2843" t="s">
        <v>889</v>
      </c>
      <c r="T2843" t="s">
        <v>5</v>
      </c>
      <c r="U2843" s="3" t="str">
        <f>+VLOOKUP(Sites_per_tag[[#This Row],[Activity_tag]],Parameter!$A$24:$B$32,2,0)</f>
        <v>MAM</v>
      </c>
      <c r="W2843">
        <v>45.307850000000002</v>
      </c>
      <c r="X2843">
        <v>-24.222670000000001</v>
      </c>
    </row>
    <row r="2844" spans="1:24" x14ac:dyDescent="0.35">
      <c r="A2844" s="3" t="str">
        <f t="shared" si="44"/>
        <v>MG54502070002001MAM</v>
      </c>
      <c r="B2844" t="s">
        <v>6210</v>
      </c>
      <c r="C2844">
        <f>+VLOOKUP(Sites_per_tag[[#This Row],[Field_office]],Parameter!$A$3:$B$11,2,0)</f>
        <v>10</v>
      </c>
      <c r="E2844" t="s">
        <v>5650</v>
      </c>
      <c r="F2844" t="s">
        <v>5654</v>
      </c>
      <c r="H2844" t="str">
        <f ca="1">PROPER(Sites_per_tag[[#This Row],[Adm2Name]])</f>
        <v>Betioky Atsimo</v>
      </c>
      <c r="I2844" t="s">
        <v>5688</v>
      </c>
      <c r="K2844" t="s">
        <v>3691</v>
      </c>
      <c r="L2844" t="s">
        <v>6136</v>
      </c>
      <c r="N2844" t="s">
        <v>1542</v>
      </c>
      <c r="O2844" t="s">
        <v>5486</v>
      </c>
      <c r="Q2844" t="s">
        <v>1542</v>
      </c>
      <c r="R2844" t="s">
        <v>1543</v>
      </c>
      <c r="T2844" t="s">
        <v>5</v>
      </c>
      <c r="U2844" s="3" t="str">
        <f>+VLOOKUP(Sites_per_tag[[#This Row],[Activity_tag]],Parameter!$A$24:$B$32,2,0)</f>
        <v>MAM</v>
      </c>
      <c r="W2844">
        <v>44.324370000000002</v>
      </c>
      <c r="X2844">
        <v>-23.44537</v>
      </c>
    </row>
    <row r="2845" spans="1:24" x14ac:dyDescent="0.35">
      <c r="A2845" s="3" t="str">
        <f t="shared" si="44"/>
        <v>MG54502090001001MAM</v>
      </c>
      <c r="B2845" t="s">
        <v>6267</v>
      </c>
      <c r="C2845">
        <f>+VLOOKUP(Sites_per_tag[[#This Row],[Field_office]],Parameter!$A$3:$B$11,2,0)</f>
        <v>9</v>
      </c>
      <c r="E2845" t="s">
        <v>5650</v>
      </c>
      <c r="F2845" t="s">
        <v>5654</v>
      </c>
      <c r="H2845" t="str">
        <f ca="1">PROPER(Sites_per_tag[[#This Row],[Adm2Name]])</f>
        <v>Ampanihy Ouest</v>
      </c>
      <c r="I2845" t="s">
        <v>5660</v>
      </c>
      <c r="K2845" t="s">
        <v>1244</v>
      </c>
      <c r="L2845" t="s">
        <v>5838</v>
      </c>
      <c r="N2845" t="s">
        <v>1244</v>
      </c>
      <c r="O2845" t="s">
        <v>4664</v>
      </c>
      <c r="Q2845" t="s">
        <v>1244</v>
      </c>
      <c r="R2845" t="s">
        <v>1245</v>
      </c>
      <c r="T2845" t="s">
        <v>5</v>
      </c>
      <c r="U2845" s="3" t="str">
        <f>+VLOOKUP(Sites_per_tag[[#This Row],[Activity_tag]],Parameter!$A$24:$B$32,2,0)</f>
        <v>MAM</v>
      </c>
      <c r="W2845">
        <v>44.63165</v>
      </c>
      <c r="X2845">
        <v>-24.77075</v>
      </c>
    </row>
    <row r="2846" spans="1:24" x14ac:dyDescent="0.35">
      <c r="A2846" s="3" t="str">
        <f t="shared" si="44"/>
        <v>MG54502090002001MAM</v>
      </c>
      <c r="B2846" t="s">
        <v>6267</v>
      </c>
      <c r="C2846">
        <f>+VLOOKUP(Sites_per_tag[[#This Row],[Field_office]],Parameter!$A$3:$B$11,2,0)</f>
        <v>9</v>
      </c>
      <c r="E2846" t="s">
        <v>5650</v>
      </c>
      <c r="F2846" t="s">
        <v>5654</v>
      </c>
      <c r="H2846" t="str">
        <f ca="1">PROPER(Sites_per_tag[[#This Row],[Adm2Name]])</f>
        <v>Ampanihy Ouest</v>
      </c>
      <c r="I2846" t="s">
        <v>5660</v>
      </c>
      <c r="K2846" t="s">
        <v>1244</v>
      </c>
      <c r="L2846" t="s">
        <v>5838</v>
      </c>
      <c r="N2846" t="s">
        <v>2082</v>
      </c>
      <c r="O2846" t="s">
        <v>4665</v>
      </c>
      <c r="Q2846" t="s">
        <v>2088</v>
      </c>
      <c r="R2846" t="s">
        <v>2089</v>
      </c>
      <c r="T2846" t="s">
        <v>5</v>
      </c>
      <c r="U2846" s="3" t="str">
        <f>+VLOOKUP(Sites_per_tag[[#This Row],[Activity_tag]],Parameter!$A$24:$B$32,2,0)</f>
        <v>MAM</v>
      </c>
      <c r="W2846">
        <v>44.813499999999998</v>
      </c>
      <c r="X2846">
        <v>-24.56738</v>
      </c>
    </row>
    <row r="2847" spans="1:24" x14ac:dyDescent="0.35">
      <c r="A2847" s="3" t="str">
        <f t="shared" si="44"/>
        <v>MG54502110007001MAM</v>
      </c>
      <c r="B2847" t="s">
        <v>6211</v>
      </c>
      <c r="C2847">
        <f>+VLOOKUP(Sites_per_tag[[#This Row],[Field_office]],Parameter!$A$3:$B$11,2,0)</f>
        <v>6</v>
      </c>
      <c r="E2847" t="s">
        <v>5646</v>
      </c>
      <c r="F2847" t="s">
        <v>5647</v>
      </c>
      <c r="H2847" t="str">
        <f ca="1">PROPER(Sites_per_tag[[#This Row],[Adm2Name]])</f>
        <v>Bekily</v>
      </c>
      <c r="I2847" t="s">
        <v>5683</v>
      </c>
      <c r="K2847" t="s">
        <v>6337</v>
      </c>
      <c r="L2847" t="s">
        <v>5933</v>
      </c>
      <c r="N2847" t="s">
        <v>1735</v>
      </c>
      <c r="O2847" t="s">
        <v>4909</v>
      </c>
      <c r="Q2847" t="s">
        <v>1735</v>
      </c>
      <c r="R2847" t="s">
        <v>1736</v>
      </c>
      <c r="T2847" t="s">
        <v>5</v>
      </c>
      <c r="U2847" s="3" t="str">
        <f>+VLOOKUP(Sites_per_tag[[#This Row],[Activity_tag]],Parameter!$A$24:$B$32,2,0)</f>
        <v>MAM</v>
      </c>
      <c r="W2847">
        <v>45.383850000000002</v>
      </c>
      <c r="X2847">
        <v>-24.575569999999999</v>
      </c>
    </row>
    <row r="2848" spans="1:24" x14ac:dyDescent="0.35">
      <c r="A2848" s="3" t="str">
        <f t="shared" si="44"/>
        <v>MG54502110066001MAM</v>
      </c>
      <c r="B2848" t="s">
        <v>6211</v>
      </c>
      <c r="C2848">
        <f>+VLOOKUP(Sites_per_tag[[#This Row],[Field_office]],Parameter!$A$3:$B$11,2,0)</f>
        <v>6</v>
      </c>
      <c r="E2848" t="s">
        <v>5646</v>
      </c>
      <c r="F2848" t="s">
        <v>5647</v>
      </c>
      <c r="H2848" t="str">
        <f ca="1">PROPER(Sites_per_tag[[#This Row],[Adm2Name]])</f>
        <v>Bekily</v>
      </c>
      <c r="I2848" t="s">
        <v>5683</v>
      </c>
      <c r="K2848" t="s">
        <v>6337</v>
      </c>
      <c r="L2848" t="s">
        <v>5933</v>
      </c>
      <c r="N2848" t="s">
        <v>1055</v>
      </c>
      <c r="O2848" t="s">
        <v>4910</v>
      </c>
      <c r="Q2848" t="s">
        <v>1055</v>
      </c>
      <c r="R2848" t="s">
        <v>1056</v>
      </c>
      <c r="T2848" t="s">
        <v>5</v>
      </c>
      <c r="U2848" s="3" t="str">
        <f>+VLOOKUP(Sites_per_tag[[#This Row],[Activity_tag]],Parameter!$A$24:$B$32,2,0)</f>
        <v>MAM</v>
      </c>
      <c r="W2848">
        <v>45.373849999999997</v>
      </c>
      <c r="X2848">
        <v>-24.55865</v>
      </c>
    </row>
    <row r="2849" spans="1:24" x14ac:dyDescent="0.35">
      <c r="A2849" s="3" t="str">
        <f t="shared" si="44"/>
        <v>MG54509030002001MAM</v>
      </c>
      <c r="B2849" t="s">
        <v>6267</v>
      </c>
      <c r="C2849">
        <f>+VLOOKUP(Sites_per_tag[[#This Row],[Field_office]],Parameter!$A$3:$B$11,2,0)</f>
        <v>9</v>
      </c>
      <c r="E2849" t="s">
        <v>5650</v>
      </c>
      <c r="F2849" t="s">
        <v>5654</v>
      </c>
      <c r="H2849" t="str">
        <f ca="1">PROPER(Sites_per_tag[[#This Row],[Adm2Name]])</f>
        <v>Ampanihy Ouest</v>
      </c>
      <c r="I2849" t="s">
        <v>5660</v>
      </c>
      <c r="K2849" t="s">
        <v>1375</v>
      </c>
      <c r="L2849" t="s">
        <v>5844</v>
      </c>
      <c r="N2849" t="s">
        <v>2202</v>
      </c>
      <c r="O2849" t="s">
        <v>4688</v>
      </c>
      <c r="Q2849" t="s">
        <v>2202</v>
      </c>
      <c r="R2849" t="s">
        <v>2203</v>
      </c>
      <c r="T2849" t="s">
        <v>5</v>
      </c>
      <c r="U2849" s="3" t="str">
        <f>+VLOOKUP(Sites_per_tag[[#This Row],[Activity_tag]],Parameter!$A$24:$B$32,2,0)</f>
        <v>MAM</v>
      </c>
      <c r="W2849">
        <v>44.724220000000003</v>
      </c>
      <c r="X2849">
        <v>-24.50487</v>
      </c>
    </row>
    <row r="2850" spans="1:24" x14ac:dyDescent="0.35">
      <c r="A2850" s="3" t="str">
        <f t="shared" si="44"/>
        <v>MG54509030003001MAM</v>
      </c>
      <c r="B2850" t="s">
        <v>6211</v>
      </c>
      <c r="C2850">
        <f>+VLOOKUP(Sites_per_tag[[#This Row],[Field_office]],Parameter!$A$3:$B$11,2,0)</f>
        <v>6</v>
      </c>
      <c r="E2850" t="s">
        <v>1448</v>
      </c>
      <c r="F2850" t="s">
        <v>5651</v>
      </c>
      <c r="H2850" t="str">
        <f ca="1">PROPER(Sites_per_tag[[#This Row],[Adm2Name]])</f>
        <v>Betroka</v>
      </c>
      <c r="I2850" t="s">
        <v>5691</v>
      </c>
      <c r="K2850" t="s">
        <v>6401</v>
      </c>
      <c r="L2850" t="s">
        <v>6092</v>
      </c>
      <c r="N2850" t="s">
        <v>5411</v>
      </c>
      <c r="O2850" t="s">
        <v>5410</v>
      </c>
      <c r="Q2850" t="s">
        <v>2754</v>
      </c>
      <c r="R2850" t="s">
        <v>2755</v>
      </c>
      <c r="T2850" t="s">
        <v>5</v>
      </c>
      <c r="U2850" s="3" t="str">
        <f>+VLOOKUP(Sites_per_tag[[#This Row],[Activity_tag]],Parameter!$A$24:$B$32,2,0)</f>
        <v>MAM</v>
      </c>
      <c r="W2850">
        <v>45.477119999999999</v>
      </c>
      <c r="X2850">
        <v>-23.122900000000001</v>
      </c>
    </row>
    <row r="2851" spans="1:24" x14ac:dyDescent="0.35">
      <c r="A2851" s="3" t="str">
        <f t="shared" si="44"/>
        <v>MG54509030051001MAM</v>
      </c>
      <c r="B2851" t="s">
        <v>6267</v>
      </c>
      <c r="C2851">
        <f>+VLOOKUP(Sites_per_tag[[#This Row],[Field_office]],Parameter!$A$3:$B$11,2,0)</f>
        <v>9</v>
      </c>
      <c r="E2851" t="s">
        <v>5650</v>
      </c>
      <c r="F2851" t="s">
        <v>5654</v>
      </c>
      <c r="H2851" t="str">
        <f ca="1">PROPER(Sites_per_tag[[#This Row],[Adm2Name]])</f>
        <v>Ampanihy Ouest</v>
      </c>
      <c r="I2851" t="s">
        <v>5660</v>
      </c>
      <c r="K2851" t="s">
        <v>1375</v>
      </c>
      <c r="L2851" t="s">
        <v>5844</v>
      </c>
      <c r="N2851" t="s">
        <v>2352</v>
      </c>
      <c r="O2851" t="s">
        <v>4689</v>
      </c>
      <c r="Q2851" t="s">
        <v>2352</v>
      </c>
      <c r="R2851" t="s">
        <v>2353</v>
      </c>
      <c r="T2851" t="s">
        <v>5</v>
      </c>
      <c r="U2851" s="3" t="str">
        <f>+VLOOKUP(Sites_per_tag[[#This Row],[Activity_tag]],Parameter!$A$24:$B$32,2,0)</f>
        <v>MAM</v>
      </c>
      <c r="W2851">
        <v>44.639800000000001</v>
      </c>
      <c r="X2851">
        <v>-24.529129999999999</v>
      </c>
    </row>
    <row r="2852" spans="1:24" x14ac:dyDescent="0.35">
      <c r="A2852" s="3" t="str">
        <f t="shared" si="44"/>
        <v>MG54509030052001MAM</v>
      </c>
      <c r="B2852" t="s">
        <v>6267</v>
      </c>
      <c r="C2852">
        <f>+VLOOKUP(Sites_per_tag[[#This Row],[Field_office]],Parameter!$A$3:$B$11,2,0)</f>
        <v>9</v>
      </c>
      <c r="E2852" t="s">
        <v>5650</v>
      </c>
      <c r="F2852" t="s">
        <v>5654</v>
      </c>
      <c r="H2852" t="str">
        <f ca="1">PROPER(Sites_per_tag[[#This Row],[Adm2Name]])</f>
        <v>Ampanihy Ouest</v>
      </c>
      <c r="I2852" t="s">
        <v>5660</v>
      </c>
      <c r="K2852" t="s">
        <v>1375</v>
      </c>
      <c r="L2852" t="s">
        <v>5844</v>
      </c>
      <c r="N2852" t="s">
        <v>258</v>
      </c>
      <c r="O2852" t="s">
        <v>4690</v>
      </c>
      <c r="Q2852" t="s">
        <v>258</v>
      </c>
      <c r="R2852" t="s">
        <v>259</v>
      </c>
      <c r="T2852" t="s">
        <v>5</v>
      </c>
      <c r="U2852" s="3" t="str">
        <f>+VLOOKUP(Sites_per_tag[[#This Row],[Activity_tag]],Parameter!$A$24:$B$32,2,0)</f>
        <v>MAM</v>
      </c>
      <c r="W2852">
        <v>44.740020000000001</v>
      </c>
      <c r="X2852">
        <v>-24.563030000000001</v>
      </c>
    </row>
    <row r="2853" spans="1:24" x14ac:dyDescent="0.35">
      <c r="A2853" s="3" t="str">
        <f t="shared" si="44"/>
        <v>MG54509030053001MAM</v>
      </c>
      <c r="B2853" t="s">
        <v>6267</v>
      </c>
      <c r="C2853">
        <f>+VLOOKUP(Sites_per_tag[[#This Row],[Field_office]],Parameter!$A$3:$B$11,2,0)</f>
        <v>9</v>
      </c>
      <c r="E2853" t="s">
        <v>5650</v>
      </c>
      <c r="F2853" t="s">
        <v>5654</v>
      </c>
      <c r="H2853" t="str">
        <f ca="1">PROPER(Sites_per_tag[[#This Row],[Adm2Name]])</f>
        <v>Ampanihy Ouest</v>
      </c>
      <c r="I2853" t="s">
        <v>5660</v>
      </c>
      <c r="K2853" t="s">
        <v>1375</v>
      </c>
      <c r="L2853" t="s">
        <v>5844</v>
      </c>
      <c r="N2853" t="s">
        <v>633</v>
      </c>
      <c r="O2853" t="s">
        <v>4691</v>
      </c>
      <c r="Q2853" t="s">
        <v>633</v>
      </c>
      <c r="R2853" t="s">
        <v>634</v>
      </c>
      <c r="T2853" t="s">
        <v>5</v>
      </c>
      <c r="U2853" s="3" t="str">
        <f>+VLOOKUP(Sites_per_tag[[#This Row],[Activity_tag]],Parameter!$A$24:$B$32,2,0)</f>
        <v>MAM</v>
      </c>
      <c r="W2853">
        <v>44.770400000000002</v>
      </c>
      <c r="X2853">
        <v>-24.51642</v>
      </c>
    </row>
    <row r="2854" spans="1:24" x14ac:dyDescent="0.35">
      <c r="A2854" s="3" t="str">
        <f t="shared" si="44"/>
        <v>MG54509030054001MAM</v>
      </c>
      <c r="B2854" t="s">
        <v>6267</v>
      </c>
      <c r="C2854">
        <f>+VLOOKUP(Sites_per_tag[[#This Row],[Field_office]],Parameter!$A$3:$B$11,2,0)</f>
        <v>9</v>
      </c>
      <c r="E2854" t="s">
        <v>5650</v>
      </c>
      <c r="F2854" t="s">
        <v>5654</v>
      </c>
      <c r="H2854" t="str">
        <f ca="1">PROPER(Sites_per_tag[[#This Row],[Adm2Name]])</f>
        <v>Ampanihy Ouest</v>
      </c>
      <c r="I2854" t="s">
        <v>5660</v>
      </c>
      <c r="K2854" t="s">
        <v>1375</v>
      </c>
      <c r="L2854" t="s">
        <v>5844</v>
      </c>
      <c r="N2854" t="s">
        <v>911</v>
      </c>
      <c r="O2854" t="s">
        <v>4692</v>
      </c>
      <c r="Q2854" t="s">
        <v>911</v>
      </c>
      <c r="R2854" t="s">
        <v>912</v>
      </c>
      <c r="T2854" t="s">
        <v>5</v>
      </c>
      <c r="U2854" s="3" t="str">
        <f>+VLOOKUP(Sites_per_tag[[#This Row],[Activity_tag]],Parameter!$A$24:$B$32,2,0)</f>
        <v>MAM</v>
      </c>
      <c r="W2854">
        <v>44.623130000000003</v>
      </c>
      <c r="X2854">
        <v>-24.578970000000002</v>
      </c>
    </row>
    <row r="2855" spans="1:24" x14ac:dyDescent="0.35">
      <c r="A2855" s="3" t="str">
        <f t="shared" si="44"/>
        <v>MG54509030055001MAM</v>
      </c>
      <c r="B2855" t="s">
        <v>6267</v>
      </c>
      <c r="C2855">
        <f>+VLOOKUP(Sites_per_tag[[#This Row],[Field_office]],Parameter!$A$3:$B$11,2,0)</f>
        <v>9</v>
      </c>
      <c r="E2855" t="s">
        <v>5650</v>
      </c>
      <c r="F2855" t="s">
        <v>5654</v>
      </c>
      <c r="H2855" t="str">
        <f ca="1">PROPER(Sites_per_tag[[#This Row],[Adm2Name]])</f>
        <v>Ampanihy Ouest</v>
      </c>
      <c r="I2855" t="s">
        <v>5660</v>
      </c>
      <c r="K2855" t="s">
        <v>1375</v>
      </c>
      <c r="L2855" t="s">
        <v>5844</v>
      </c>
      <c r="N2855" t="s">
        <v>4694</v>
      </c>
      <c r="O2855" t="s">
        <v>4693</v>
      </c>
      <c r="Q2855" t="s">
        <v>1065</v>
      </c>
      <c r="R2855" t="s">
        <v>1066</v>
      </c>
      <c r="T2855" t="s">
        <v>5</v>
      </c>
      <c r="U2855" s="3" t="str">
        <f>+VLOOKUP(Sites_per_tag[[#This Row],[Activity_tag]],Parameter!$A$24:$B$32,2,0)</f>
        <v>MAM</v>
      </c>
      <c r="W2855">
        <v>44.754829999999998</v>
      </c>
      <c r="X2855">
        <v>-24.56305</v>
      </c>
    </row>
    <row r="2856" spans="1:24" x14ac:dyDescent="0.35">
      <c r="A2856" s="3" t="str">
        <f t="shared" si="44"/>
        <v>MG54509030056001MAM</v>
      </c>
      <c r="B2856" t="s">
        <v>6267</v>
      </c>
      <c r="C2856">
        <f>+VLOOKUP(Sites_per_tag[[#This Row],[Field_office]],Parameter!$A$3:$B$11,2,0)</f>
        <v>9</v>
      </c>
      <c r="E2856" t="s">
        <v>5650</v>
      </c>
      <c r="F2856" t="s">
        <v>5654</v>
      </c>
      <c r="H2856" t="str">
        <f ca="1">PROPER(Sites_per_tag[[#This Row],[Adm2Name]])</f>
        <v>Ampanihy Ouest</v>
      </c>
      <c r="I2856" t="s">
        <v>5660</v>
      </c>
      <c r="K2856" t="s">
        <v>1375</v>
      </c>
      <c r="L2856" t="s">
        <v>5844</v>
      </c>
      <c r="N2856" t="s">
        <v>1164</v>
      </c>
      <c r="O2856" t="s">
        <v>4695</v>
      </c>
      <c r="Q2856" t="s">
        <v>1164</v>
      </c>
      <c r="R2856" t="s">
        <v>1165</v>
      </c>
      <c r="T2856" t="s">
        <v>5</v>
      </c>
      <c r="U2856" s="3" t="str">
        <f>+VLOOKUP(Sites_per_tag[[#This Row],[Activity_tag]],Parameter!$A$24:$B$32,2,0)</f>
        <v>MAM</v>
      </c>
      <c r="W2856">
        <v>44.773519999999998</v>
      </c>
      <c r="X2856">
        <v>-24.509350000000001</v>
      </c>
    </row>
    <row r="2857" spans="1:24" x14ac:dyDescent="0.35">
      <c r="A2857" s="3" t="str">
        <f t="shared" si="44"/>
        <v>MG54509030057001MAM</v>
      </c>
      <c r="B2857" t="s">
        <v>6267</v>
      </c>
      <c r="C2857">
        <f>+VLOOKUP(Sites_per_tag[[#This Row],[Field_office]],Parameter!$A$3:$B$11,2,0)</f>
        <v>9</v>
      </c>
      <c r="E2857" t="s">
        <v>5650</v>
      </c>
      <c r="F2857" t="s">
        <v>5654</v>
      </c>
      <c r="H2857" t="str">
        <f ca="1">PROPER(Sites_per_tag[[#This Row],[Adm2Name]])</f>
        <v>Ampanihy Ouest</v>
      </c>
      <c r="I2857" t="s">
        <v>5660</v>
      </c>
      <c r="K2857" t="s">
        <v>1375</v>
      </c>
      <c r="L2857" t="s">
        <v>5844</v>
      </c>
      <c r="N2857" t="s">
        <v>1375</v>
      </c>
      <c r="O2857" t="s">
        <v>4696</v>
      </c>
      <c r="Q2857" t="s">
        <v>1375</v>
      </c>
      <c r="R2857" t="s">
        <v>1376</v>
      </c>
      <c r="T2857" t="s">
        <v>5</v>
      </c>
      <c r="U2857" s="3" t="str">
        <f>+VLOOKUP(Sites_per_tag[[#This Row],[Activity_tag]],Parameter!$A$24:$B$32,2,0)</f>
        <v>MAM</v>
      </c>
      <c r="W2857">
        <v>44.755380000000002</v>
      </c>
      <c r="X2857">
        <v>-24.496079999999999</v>
      </c>
    </row>
    <row r="2858" spans="1:24" x14ac:dyDescent="0.35">
      <c r="A2858" s="3" t="str">
        <f t="shared" si="44"/>
        <v>MG54509030058001MAM</v>
      </c>
      <c r="B2858" t="s">
        <v>6267</v>
      </c>
      <c r="C2858">
        <f>+VLOOKUP(Sites_per_tag[[#This Row],[Field_office]],Parameter!$A$3:$B$11,2,0)</f>
        <v>9</v>
      </c>
      <c r="E2858" t="s">
        <v>5650</v>
      </c>
      <c r="F2858" t="s">
        <v>5654</v>
      </c>
      <c r="H2858" t="str">
        <f ca="1">PROPER(Sites_per_tag[[#This Row],[Adm2Name]])</f>
        <v>Ampanihy Ouest</v>
      </c>
      <c r="I2858" t="s">
        <v>5660</v>
      </c>
      <c r="K2858" t="s">
        <v>1375</v>
      </c>
      <c r="L2858" t="s">
        <v>5844</v>
      </c>
      <c r="N2858" t="s">
        <v>1730</v>
      </c>
      <c r="O2858" t="s">
        <v>4697</v>
      </c>
      <c r="Q2858" t="s">
        <v>1730</v>
      </c>
      <c r="R2858" t="s">
        <v>1731</v>
      </c>
      <c r="T2858" t="s">
        <v>5</v>
      </c>
      <c r="U2858" s="3" t="str">
        <f>+VLOOKUP(Sites_per_tag[[#This Row],[Activity_tag]],Parameter!$A$24:$B$32,2,0)</f>
        <v>MAM</v>
      </c>
      <c r="W2858">
        <v>44.687449999999998</v>
      </c>
      <c r="X2858">
        <v>-24.507850000000001</v>
      </c>
    </row>
    <row r="2859" spans="1:24" x14ac:dyDescent="0.35">
      <c r="A2859" s="3" t="str">
        <f t="shared" si="44"/>
        <v>MG54509030059001MAM</v>
      </c>
      <c r="B2859" t="s">
        <v>6267</v>
      </c>
      <c r="C2859">
        <f>+VLOOKUP(Sites_per_tag[[#This Row],[Field_office]],Parameter!$A$3:$B$11,2,0)</f>
        <v>9</v>
      </c>
      <c r="E2859" t="s">
        <v>5650</v>
      </c>
      <c r="F2859" t="s">
        <v>5654</v>
      </c>
      <c r="H2859" t="str">
        <f ca="1">PROPER(Sites_per_tag[[#This Row],[Adm2Name]])</f>
        <v>Ampanihy Ouest</v>
      </c>
      <c r="I2859" t="s">
        <v>5660</v>
      </c>
      <c r="K2859" t="s">
        <v>1375</v>
      </c>
      <c r="L2859" t="s">
        <v>5844</v>
      </c>
      <c r="N2859" t="s">
        <v>1819</v>
      </c>
      <c r="O2859" t="s">
        <v>4698</v>
      </c>
      <c r="Q2859" t="s">
        <v>1819</v>
      </c>
      <c r="R2859" t="s">
        <v>1820</v>
      </c>
      <c r="T2859" t="s">
        <v>5</v>
      </c>
      <c r="U2859" s="3" t="str">
        <f>+VLOOKUP(Sites_per_tag[[#This Row],[Activity_tag]],Parameter!$A$24:$B$32,2,0)</f>
        <v>MAM</v>
      </c>
      <c r="W2859">
        <v>44.67277</v>
      </c>
      <c r="X2859">
        <v>-24.57572</v>
      </c>
    </row>
    <row r="2860" spans="1:24" x14ac:dyDescent="0.35">
      <c r="A2860" s="3" t="str">
        <f t="shared" si="44"/>
        <v>MG54509030060001MAM</v>
      </c>
      <c r="B2860" t="s">
        <v>6267</v>
      </c>
      <c r="C2860">
        <f>+VLOOKUP(Sites_per_tag[[#This Row],[Field_office]],Parameter!$A$3:$B$11,2,0)</f>
        <v>9</v>
      </c>
      <c r="E2860" t="s">
        <v>5650</v>
      </c>
      <c r="F2860" t="s">
        <v>5654</v>
      </c>
      <c r="H2860" t="str">
        <f ca="1">PROPER(Sites_per_tag[[#This Row],[Adm2Name]])</f>
        <v>Ampanihy Ouest</v>
      </c>
      <c r="I2860" t="s">
        <v>5660</v>
      </c>
      <c r="K2860" t="s">
        <v>1375</v>
      </c>
      <c r="L2860" t="s">
        <v>5844</v>
      </c>
      <c r="N2860" t="s">
        <v>1821</v>
      </c>
      <c r="O2860" t="s">
        <v>4699</v>
      </c>
      <c r="Q2860" t="s">
        <v>1821</v>
      </c>
      <c r="R2860" t="s">
        <v>1822</v>
      </c>
      <c r="T2860" t="s">
        <v>5</v>
      </c>
      <c r="U2860" s="3" t="str">
        <f>+VLOOKUP(Sites_per_tag[[#This Row],[Activity_tag]],Parameter!$A$24:$B$32,2,0)</f>
        <v>MAM</v>
      </c>
      <c r="W2860">
        <v>44.673070000000003</v>
      </c>
      <c r="X2860">
        <v>-24.536850000000001</v>
      </c>
    </row>
    <row r="2861" spans="1:24" x14ac:dyDescent="0.35">
      <c r="A2861" s="3" t="str">
        <f t="shared" si="44"/>
        <v>MG54509030061001MAM</v>
      </c>
      <c r="B2861" t="s">
        <v>6267</v>
      </c>
      <c r="C2861">
        <f>+VLOOKUP(Sites_per_tag[[#This Row],[Field_office]],Parameter!$A$3:$B$11,2,0)</f>
        <v>9</v>
      </c>
      <c r="E2861" t="s">
        <v>5650</v>
      </c>
      <c r="F2861" t="s">
        <v>5654</v>
      </c>
      <c r="H2861" t="str">
        <f ca="1">PROPER(Sites_per_tag[[#This Row],[Adm2Name]])</f>
        <v>Ampanihy Ouest</v>
      </c>
      <c r="I2861" t="s">
        <v>5660</v>
      </c>
      <c r="K2861" t="s">
        <v>1375</v>
      </c>
      <c r="L2861" t="s">
        <v>5844</v>
      </c>
      <c r="N2861" t="s">
        <v>1823</v>
      </c>
      <c r="O2861" t="s">
        <v>4700</v>
      </c>
      <c r="Q2861" t="s">
        <v>1823</v>
      </c>
      <c r="R2861" t="s">
        <v>1824</v>
      </c>
      <c r="T2861" t="s">
        <v>5</v>
      </c>
      <c r="U2861" s="3" t="str">
        <f>+VLOOKUP(Sites_per_tag[[#This Row],[Activity_tag]],Parameter!$A$24:$B$32,2,0)</f>
        <v>MAM</v>
      </c>
      <c r="W2861">
        <v>44.667099999999998</v>
      </c>
      <c r="X2861">
        <v>-24.584879999999998</v>
      </c>
    </row>
    <row r="2862" spans="1:24" x14ac:dyDescent="0.35">
      <c r="A2862" s="3" t="str">
        <f t="shared" si="44"/>
        <v>MG54509030062001MAM</v>
      </c>
      <c r="B2862" t="s">
        <v>6267</v>
      </c>
      <c r="C2862">
        <f>+VLOOKUP(Sites_per_tag[[#This Row],[Field_office]],Parameter!$A$3:$B$11,2,0)</f>
        <v>9</v>
      </c>
      <c r="E2862" t="s">
        <v>5650</v>
      </c>
      <c r="F2862" t="s">
        <v>5654</v>
      </c>
      <c r="H2862" t="str">
        <f ca="1">PROPER(Sites_per_tag[[#This Row],[Adm2Name]])</f>
        <v>Ampanihy Ouest</v>
      </c>
      <c r="I2862" t="s">
        <v>5660</v>
      </c>
      <c r="K2862" t="s">
        <v>1375</v>
      </c>
      <c r="L2862" t="s">
        <v>5844</v>
      </c>
      <c r="N2862" t="s">
        <v>2933</v>
      </c>
      <c r="O2862" t="s">
        <v>4701</v>
      </c>
      <c r="Q2862" t="s">
        <v>2933</v>
      </c>
      <c r="R2862" t="s">
        <v>2934</v>
      </c>
      <c r="T2862" t="s">
        <v>5</v>
      </c>
      <c r="U2862" s="3" t="str">
        <f>+VLOOKUP(Sites_per_tag[[#This Row],[Activity_tag]],Parameter!$A$24:$B$32,2,0)</f>
        <v>MAM</v>
      </c>
      <c r="W2862">
        <v>44.789099999999998</v>
      </c>
      <c r="X2862">
        <v>-24.541329999999999</v>
      </c>
    </row>
    <row r="2863" spans="1:24" x14ac:dyDescent="0.35">
      <c r="A2863" s="3" t="str">
        <f t="shared" si="44"/>
        <v>MG54509030063001MAM</v>
      </c>
      <c r="B2863" t="s">
        <v>6267</v>
      </c>
      <c r="C2863">
        <f>+VLOOKUP(Sites_per_tag[[#This Row],[Field_office]],Parameter!$A$3:$B$11,2,0)</f>
        <v>9</v>
      </c>
      <c r="E2863" t="s">
        <v>5650</v>
      </c>
      <c r="F2863" t="s">
        <v>5654</v>
      </c>
      <c r="H2863" t="str">
        <f ca="1">PROPER(Sites_per_tag[[#This Row],[Adm2Name]])</f>
        <v>Ampanihy Ouest</v>
      </c>
      <c r="I2863" t="s">
        <v>5660</v>
      </c>
      <c r="K2863" t="s">
        <v>1375</v>
      </c>
      <c r="L2863" t="s">
        <v>5844</v>
      </c>
      <c r="N2863" t="s">
        <v>3089</v>
      </c>
      <c r="O2863" t="s">
        <v>4702</v>
      </c>
      <c r="Q2863" t="s">
        <v>3089</v>
      </c>
      <c r="R2863" t="s">
        <v>3090</v>
      </c>
      <c r="T2863" t="s">
        <v>5</v>
      </c>
      <c r="U2863" s="3" t="str">
        <f>+VLOOKUP(Sites_per_tag[[#This Row],[Activity_tag]],Parameter!$A$24:$B$32,2,0)</f>
        <v>MAM</v>
      </c>
      <c r="W2863">
        <v>44.78143</v>
      </c>
      <c r="X2863">
        <v>-24.541830000000001</v>
      </c>
    </row>
    <row r="2864" spans="1:24" x14ac:dyDescent="0.35">
      <c r="A2864" s="3" t="str">
        <f t="shared" si="44"/>
        <v>MG54509030064001MAM</v>
      </c>
      <c r="B2864" t="s">
        <v>6267</v>
      </c>
      <c r="C2864">
        <f>+VLOOKUP(Sites_per_tag[[#This Row],[Field_office]],Parameter!$A$3:$B$11,2,0)</f>
        <v>9</v>
      </c>
      <c r="E2864" t="s">
        <v>5650</v>
      </c>
      <c r="F2864" t="s">
        <v>5654</v>
      </c>
      <c r="H2864" t="str">
        <f ca="1">PROPER(Sites_per_tag[[#This Row],[Adm2Name]])</f>
        <v>Ampanihy Ouest</v>
      </c>
      <c r="I2864" t="s">
        <v>5660</v>
      </c>
      <c r="K2864" t="s">
        <v>1375</v>
      </c>
      <c r="L2864" t="s">
        <v>5844</v>
      </c>
      <c r="N2864" t="s">
        <v>3374</v>
      </c>
      <c r="O2864" t="s">
        <v>4703</v>
      </c>
      <c r="Q2864" t="s">
        <v>3374</v>
      </c>
      <c r="R2864" t="s">
        <v>3375</v>
      </c>
      <c r="T2864" t="s">
        <v>5</v>
      </c>
      <c r="U2864" s="3" t="str">
        <f>+VLOOKUP(Sites_per_tag[[#This Row],[Activity_tag]],Parameter!$A$24:$B$32,2,0)</f>
        <v>MAM</v>
      </c>
      <c r="W2864">
        <v>44.665280000000003</v>
      </c>
      <c r="X2864">
        <v>-24.58445</v>
      </c>
    </row>
    <row r="2865" spans="1:24" x14ac:dyDescent="0.35">
      <c r="A2865" s="3" t="str">
        <f t="shared" si="44"/>
        <v>MG54509030065001MAM</v>
      </c>
      <c r="B2865" t="s">
        <v>6267</v>
      </c>
      <c r="C2865">
        <f>+VLOOKUP(Sites_per_tag[[#This Row],[Field_office]],Parameter!$A$3:$B$11,2,0)</f>
        <v>9</v>
      </c>
      <c r="E2865" t="s">
        <v>5650</v>
      </c>
      <c r="F2865" t="s">
        <v>5654</v>
      </c>
      <c r="H2865" t="str">
        <f ca="1">PROPER(Sites_per_tag[[#This Row],[Adm2Name]])</f>
        <v>Ampanihy Ouest</v>
      </c>
      <c r="I2865" t="s">
        <v>5660</v>
      </c>
      <c r="K2865" t="s">
        <v>1375</v>
      </c>
      <c r="L2865" t="s">
        <v>5844</v>
      </c>
      <c r="N2865" t="s">
        <v>3376</v>
      </c>
      <c r="O2865" t="s">
        <v>4704</v>
      </c>
      <c r="Q2865" t="s">
        <v>3376</v>
      </c>
      <c r="R2865" t="s">
        <v>3377</v>
      </c>
      <c r="T2865" t="s">
        <v>5</v>
      </c>
      <c r="U2865" s="3" t="str">
        <f>+VLOOKUP(Sites_per_tag[[#This Row],[Activity_tag]],Parameter!$A$24:$B$32,2,0)</f>
        <v>MAM</v>
      </c>
      <c r="W2865">
        <v>44.665260000000004</v>
      </c>
      <c r="X2865">
        <v>-24.584409999999998</v>
      </c>
    </row>
    <row r="2866" spans="1:24" x14ac:dyDescent="0.35">
      <c r="A2866" s="3" t="str">
        <f t="shared" si="44"/>
        <v>MG54509070001001MAM</v>
      </c>
      <c r="B2866" t="s">
        <v>6267</v>
      </c>
      <c r="C2866">
        <f>+VLOOKUP(Sites_per_tag[[#This Row],[Field_office]],Parameter!$A$3:$B$11,2,0)</f>
        <v>9</v>
      </c>
      <c r="E2866" t="s">
        <v>5650</v>
      </c>
      <c r="F2866" t="s">
        <v>5654</v>
      </c>
      <c r="H2866" t="str">
        <f ca="1">PROPER(Sites_per_tag[[#This Row],[Adm2Name]])</f>
        <v>Ampanihy Ouest</v>
      </c>
      <c r="I2866" t="s">
        <v>5660</v>
      </c>
      <c r="K2866" t="s">
        <v>5607</v>
      </c>
      <c r="L2866" t="s">
        <v>5760</v>
      </c>
      <c r="N2866" t="s">
        <v>851</v>
      </c>
      <c r="O2866" t="s">
        <v>4500</v>
      </c>
      <c r="Q2866" t="s">
        <v>853</v>
      </c>
      <c r="R2866" t="s">
        <v>854</v>
      </c>
      <c r="T2866" t="s">
        <v>5</v>
      </c>
      <c r="U2866" s="3" t="str">
        <f>+VLOOKUP(Sites_per_tag[[#This Row],[Activity_tag]],Parameter!$A$24:$B$32,2,0)</f>
        <v>MAM</v>
      </c>
      <c r="W2866">
        <v>44.741079999999997</v>
      </c>
      <c r="X2866">
        <v>-24.689769999999999</v>
      </c>
    </row>
    <row r="2867" spans="1:24" x14ac:dyDescent="0.35">
      <c r="A2867" s="3" t="str">
        <f t="shared" si="44"/>
        <v>MG54509070006001MAM</v>
      </c>
      <c r="B2867" t="s">
        <v>6267</v>
      </c>
      <c r="C2867">
        <f>+VLOOKUP(Sites_per_tag[[#This Row],[Field_office]],Parameter!$A$3:$B$11,2,0)</f>
        <v>9</v>
      </c>
      <c r="E2867" t="s">
        <v>5650</v>
      </c>
      <c r="F2867" t="s">
        <v>5654</v>
      </c>
      <c r="H2867" t="str">
        <f ca="1">PROPER(Sites_per_tag[[#This Row],[Adm2Name]])</f>
        <v>Ampanihy Ouest</v>
      </c>
      <c r="I2867" t="s">
        <v>5660</v>
      </c>
      <c r="K2867" t="s">
        <v>5607</v>
      </c>
      <c r="L2867" t="s">
        <v>5760</v>
      </c>
      <c r="N2867" t="s">
        <v>2032</v>
      </c>
      <c r="O2867" t="s">
        <v>4501</v>
      </c>
      <c r="Q2867" t="s">
        <v>2032</v>
      </c>
      <c r="R2867" t="s">
        <v>2033</v>
      </c>
      <c r="T2867" t="s">
        <v>5</v>
      </c>
      <c r="U2867" s="3" t="str">
        <f>+VLOOKUP(Sites_per_tag[[#This Row],[Activity_tag]],Parameter!$A$24:$B$32,2,0)</f>
        <v>MAM</v>
      </c>
      <c r="W2867">
        <v>44.792419000000002</v>
      </c>
      <c r="X2867">
        <v>-24.712060999999999</v>
      </c>
    </row>
    <row r="2868" spans="1:24" x14ac:dyDescent="0.35">
      <c r="A2868" s="3" t="str">
        <f t="shared" si="44"/>
        <v>MG54509070010001MAM</v>
      </c>
      <c r="B2868" t="s">
        <v>6267</v>
      </c>
      <c r="C2868">
        <f>+VLOOKUP(Sites_per_tag[[#This Row],[Field_office]],Parameter!$A$3:$B$11,2,0)</f>
        <v>9</v>
      </c>
      <c r="E2868" t="s">
        <v>5650</v>
      </c>
      <c r="F2868" t="s">
        <v>5654</v>
      </c>
      <c r="H2868" t="str">
        <f ca="1">PROPER(Sites_per_tag[[#This Row],[Adm2Name]])</f>
        <v>Ampanihy Ouest</v>
      </c>
      <c r="I2868" t="s">
        <v>5660</v>
      </c>
      <c r="K2868" t="s">
        <v>5607</v>
      </c>
      <c r="L2868" t="s">
        <v>5760</v>
      </c>
      <c r="N2868" t="s">
        <v>215</v>
      </c>
      <c r="O2868" t="s">
        <v>4502</v>
      </c>
      <c r="Q2868" t="s">
        <v>213</v>
      </c>
      <c r="R2868" t="s">
        <v>214</v>
      </c>
      <c r="T2868" t="s">
        <v>5</v>
      </c>
      <c r="U2868" s="3" t="str">
        <f>+VLOOKUP(Sites_per_tag[[#This Row],[Activity_tag]],Parameter!$A$24:$B$32,2,0)</f>
        <v>MAM</v>
      </c>
      <c r="W2868">
        <v>45.0685</v>
      </c>
      <c r="X2868">
        <v>-24.463170000000002</v>
      </c>
    </row>
    <row r="2869" spans="1:24" x14ac:dyDescent="0.35">
      <c r="A2869" s="3" t="str">
        <f t="shared" si="44"/>
        <v>MG54509130006001MAM</v>
      </c>
      <c r="B2869" t="s">
        <v>6211</v>
      </c>
      <c r="C2869">
        <f>+VLOOKUP(Sites_per_tag[[#This Row],[Field_office]],Parameter!$A$3:$B$11,2,0)</f>
        <v>6</v>
      </c>
      <c r="E2869" t="s">
        <v>5646</v>
      </c>
      <c r="F2869" t="s">
        <v>5647</v>
      </c>
      <c r="H2869" t="str">
        <f ca="1">PROPER(Sites_per_tag[[#This Row],[Adm2Name]])</f>
        <v>Beloha</v>
      </c>
      <c r="I2869" t="s">
        <v>5685</v>
      </c>
      <c r="K2869" t="s">
        <v>3032</v>
      </c>
      <c r="L2869" t="s">
        <v>6044</v>
      </c>
      <c r="N2869" t="s">
        <v>3032</v>
      </c>
      <c r="O2869" t="s">
        <v>5311</v>
      </c>
      <c r="Q2869" t="s">
        <v>3034</v>
      </c>
      <c r="R2869" t="s">
        <v>3035</v>
      </c>
      <c r="T2869" t="s">
        <v>5</v>
      </c>
      <c r="U2869" s="3" t="str">
        <f>+VLOOKUP(Sites_per_tag[[#This Row],[Activity_tag]],Parameter!$A$24:$B$32,2,0)</f>
        <v>MAM</v>
      </c>
      <c r="W2869">
        <v>44.525080000000003</v>
      </c>
      <c r="X2869">
        <v>-25.20853</v>
      </c>
    </row>
    <row r="2870" spans="1:24" x14ac:dyDescent="0.35">
      <c r="A2870" s="3" t="str">
        <f t="shared" si="44"/>
        <v>MG54510011005001STUNT</v>
      </c>
      <c r="B2870" t="s">
        <v>6267</v>
      </c>
      <c r="C2870">
        <f>+VLOOKUP(Sites_per_tag[[#This Row],[Field_office]],Parameter!$A$3:$B$11,2,0)</f>
        <v>9</v>
      </c>
      <c r="E2870" t="s">
        <v>5650</v>
      </c>
      <c r="F2870" t="s">
        <v>5654</v>
      </c>
      <c r="H2870" t="str">
        <f ca="1">PROPER(Sites_per_tag[[#This Row],[Adm2Name]])</f>
        <v>Ampanihy Ouest</v>
      </c>
      <c r="I2870" t="s">
        <v>5660</v>
      </c>
      <c r="K2870" t="s">
        <v>5746</v>
      </c>
      <c r="L2870" t="s">
        <v>5960</v>
      </c>
      <c r="N2870" t="s">
        <v>902</v>
      </c>
      <c r="O2870" t="s">
        <v>4156</v>
      </c>
      <c r="Q2870" t="s">
        <v>902</v>
      </c>
      <c r="R2870" t="s">
        <v>904</v>
      </c>
      <c r="T2870" t="s">
        <v>50</v>
      </c>
      <c r="U2870" s="3" t="str">
        <f>+VLOOKUP(Sites_per_tag[[#This Row],[Activity_tag]],Parameter!$A$24:$B$32,2,0)</f>
        <v>STUNT</v>
      </c>
      <c r="V2870" t="s">
        <v>6604</v>
      </c>
      <c r="W2870">
        <v>44.890949999999997</v>
      </c>
      <c r="X2870">
        <v>-24.09413</v>
      </c>
    </row>
    <row r="2871" spans="1:24" x14ac:dyDescent="0.35">
      <c r="A2871" s="3" t="str">
        <f t="shared" si="44"/>
        <v>MG54510012009001MAM</v>
      </c>
      <c r="B2871" t="s">
        <v>6193</v>
      </c>
      <c r="C2871">
        <f>+VLOOKUP(Sites_per_tag[[#This Row],[Field_office]],Parameter!$A$3:$B$11,2,0)</f>
        <v>4</v>
      </c>
      <c r="E2871" t="s">
        <v>5658</v>
      </c>
      <c r="F2871" t="s">
        <v>5659</v>
      </c>
      <c r="H2871" t="str">
        <f ca="1">PROPER(Sites_per_tag[[#This Row],[Adm2Name]])</f>
        <v>Midongy-Atsimo</v>
      </c>
      <c r="I2871" t="s">
        <v>5712</v>
      </c>
      <c r="K2871" t="s">
        <v>2152</v>
      </c>
      <c r="L2871" t="s">
        <v>5931</v>
      </c>
      <c r="N2871" t="s">
        <v>2152</v>
      </c>
      <c r="O2871" t="s">
        <v>4901</v>
      </c>
      <c r="Q2871" t="s">
        <v>2152</v>
      </c>
      <c r="R2871" t="s">
        <v>2153</v>
      </c>
      <c r="T2871" t="s">
        <v>5</v>
      </c>
      <c r="U2871" s="3" t="str">
        <f>+VLOOKUP(Sites_per_tag[[#This Row],[Activity_tag]],Parameter!$A$24:$B$32,2,0)</f>
        <v>MAM</v>
      </c>
      <c r="W2871">
        <v>47.141570000000002</v>
      </c>
      <c r="X2871">
        <v>-23.47372</v>
      </c>
    </row>
    <row r="2872" spans="1:24" x14ac:dyDescent="0.35">
      <c r="A2872" s="3" t="str">
        <f t="shared" si="44"/>
        <v>MG54510152006001MAM</v>
      </c>
      <c r="B2872" t="s">
        <v>6211</v>
      </c>
      <c r="C2872">
        <f>+VLOOKUP(Sites_per_tag[[#This Row],[Field_office]],Parameter!$A$3:$B$11,2,0)</f>
        <v>6</v>
      </c>
      <c r="E2872" t="s">
        <v>1448</v>
      </c>
      <c r="F2872" t="s">
        <v>5651</v>
      </c>
      <c r="H2872" t="str">
        <f ca="1">PROPER(Sites_per_tag[[#This Row],[Adm2Name]])</f>
        <v>Betroka</v>
      </c>
      <c r="I2872" t="s">
        <v>5691</v>
      </c>
      <c r="K2872" t="s">
        <v>4319</v>
      </c>
      <c r="L2872" t="s">
        <v>6000</v>
      </c>
      <c r="N2872" t="s">
        <v>874</v>
      </c>
      <c r="O2872" t="s">
        <v>5174</v>
      </c>
      <c r="Q2872" t="s">
        <v>877</v>
      </c>
      <c r="R2872" t="s">
        <v>878</v>
      </c>
      <c r="T2872" t="s">
        <v>5</v>
      </c>
      <c r="U2872" s="3" t="str">
        <f>+VLOOKUP(Sites_per_tag[[#This Row],[Activity_tag]],Parameter!$A$24:$B$32,2,0)</f>
        <v>MAM</v>
      </c>
      <c r="W2872">
        <v>46.118450000000003</v>
      </c>
      <c r="X2872">
        <v>-23.796299999999999</v>
      </c>
    </row>
    <row r="2873" spans="1:24" x14ac:dyDescent="0.35">
      <c r="A2873" s="3" t="str">
        <f t="shared" si="44"/>
        <v>MG54511011010001MAM</v>
      </c>
      <c r="B2873" t="s">
        <v>6211</v>
      </c>
      <c r="C2873">
        <f>+VLOOKUP(Sites_per_tag[[#This Row],[Field_office]],Parameter!$A$3:$B$11,2,0)</f>
        <v>6</v>
      </c>
      <c r="E2873" t="s">
        <v>1448</v>
      </c>
      <c r="F2873" t="s">
        <v>5651</v>
      </c>
      <c r="H2873" t="str">
        <f ca="1">PROPER(Sites_per_tag[[#This Row],[Adm2Name]])</f>
        <v>Betroka</v>
      </c>
      <c r="I2873" t="s">
        <v>5691</v>
      </c>
      <c r="K2873" t="s">
        <v>5018</v>
      </c>
      <c r="L2873" t="s">
        <v>5967</v>
      </c>
      <c r="N2873" t="s">
        <v>1496</v>
      </c>
      <c r="O2873" t="s">
        <v>5027</v>
      </c>
      <c r="Q2873" t="s">
        <v>6269</v>
      </c>
      <c r="R2873" t="s">
        <v>1498</v>
      </c>
      <c r="T2873" t="s">
        <v>5</v>
      </c>
      <c r="U2873" s="3" t="str">
        <f>+VLOOKUP(Sites_per_tag[[#This Row],[Activity_tag]],Parameter!$A$24:$B$32,2,0)</f>
        <v>MAM</v>
      </c>
      <c r="W2873">
        <v>45.88758</v>
      </c>
      <c r="X2873">
        <v>-23.469799999999999</v>
      </c>
    </row>
    <row r="2874" spans="1:24" x14ac:dyDescent="0.35">
      <c r="A2874" s="3" t="str">
        <f t="shared" si="44"/>
        <v>MG71713170004001MAM</v>
      </c>
      <c r="B2874" t="s">
        <v>6193</v>
      </c>
      <c r="C2874">
        <f>+VLOOKUP(Sites_per_tag[[#This Row],[Field_office]],Parameter!$A$3:$B$11,2,0)</f>
        <v>4</v>
      </c>
      <c r="E2874" t="s">
        <v>5658</v>
      </c>
      <c r="F2874" t="s">
        <v>5659</v>
      </c>
      <c r="H2874" t="str">
        <f ca="1">PROPER(Sites_per_tag[[#This Row],[Adm2Name]])</f>
        <v>Vangaindrano</v>
      </c>
      <c r="I2874" t="s">
        <v>5734</v>
      </c>
      <c r="K2874" t="s">
        <v>3747</v>
      </c>
      <c r="L2874" t="s">
        <v>6144</v>
      </c>
      <c r="N2874" t="s">
        <v>3897</v>
      </c>
      <c r="O2874" t="s">
        <v>5528</v>
      </c>
      <c r="Q2874" t="s">
        <v>3897</v>
      </c>
      <c r="R2874" t="s">
        <v>3898</v>
      </c>
      <c r="T2874" t="s">
        <v>5</v>
      </c>
      <c r="U2874" s="3" t="str">
        <f>+VLOOKUP(Sites_per_tag[[#This Row],[Activity_tag]],Parameter!$A$24:$B$32,2,0)</f>
        <v>MAM</v>
      </c>
      <c r="W2874">
        <v>47.5715</v>
      </c>
      <c r="X2874">
        <v>-23.362549999999999</v>
      </c>
    </row>
  </sheetData>
  <phoneticPr fontId="3" type="noConversion"/>
  <conditionalFormatting sqref="A1:A1048576">
    <cfRule type="duplicateValues" dxfId="29" priority="2"/>
  </conditionalFormatting>
  <conditionalFormatting sqref="B2:D2">
    <cfRule type="duplicateValues" dxfId="28" priority="3"/>
    <cfRule type="duplicateValues" dxfId="27" priority="4"/>
    <cfRule type="duplicateValues" dxfId="26" priority="5"/>
    <cfRule type="duplicateValues" dxfId="25" priority="6"/>
    <cfRule type="duplicateValues" dxfId="24" priority="7"/>
    <cfRule type="duplicateValues" dxfId="23" priority="8"/>
    <cfRule type="duplicateValues" dxfId="22" priority="9"/>
  </conditionalFormatting>
  <conditionalFormatting sqref="P3:P2874">
    <cfRule type="duplicateValues" dxfId="21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8EAD8-CEB2-4B9C-AE80-7CEFD2B5350E}">
  <dimension ref="A3:C32"/>
  <sheetViews>
    <sheetView workbookViewId="0">
      <selection activeCell="A30" sqref="A30"/>
    </sheetView>
  </sheetViews>
  <sheetFormatPr defaultRowHeight="14.5" x14ac:dyDescent="0.35"/>
  <cols>
    <col min="1" max="1" width="43.54296875" bestFit="1" customWidth="1"/>
    <col min="2" max="2" width="16.1796875" bestFit="1" customWidth="1"/>
    <col min="3" max="3" width="23" bestFit="1" customWidth="1"/>
  </cols>
  <sheetData>
    <row r="3" spans="1:3" x14ac:dyDescent="0.35">
      <c r="A3" s="4" t="s">
        <v>6174</v>
      </c>
      <c r="B3" s="4" t="s">
        <v>6175</v>
      </c>
      <c r="C3" s="4" t="s">
        <v>6176</v>
      </c>
    </row>
    <row r="4" spans="1:3" x14ac:dyDescent="0.35">
      <c r="A4" t="s">
        <v>1837</v>
      </c>
      <c r="B4">
        <v>1</v>
      </c>
    </row>
    <row r="5" spans="1:3" x14ac:dyDescent="0.35">
      <c r="A5" t="s">
        <v>6440</v>
      </c>
      <c r="B5">
        <v>2</v>
      </c>
    </row>
    <row r="6" spans="1:3" x14ac:dyDescent="0.35">
      <c r="A6" t="s">
        <v>6188</v>
      </c>
      <c r="B6">
        <v>3</v>
      </c>
    </row>
    <row r="7" spans="1:3" x14ac:dyDescent="0.35">
      <c r="A7" t="s">
        <v>6193</v>
      </c>
      <c r="B7">
        <v>4</v>
      </c>
    </row>
    <row r="8" spans="1:3" x14ac:dyDescent="0.35">
      <c r="A8" t="s">
        <v>6211</v>
      </c>
      <c r="B8">
        <v>6</v>
      </c>
    </row>
    <row r="9" spans="1:3" x14ac:dyDescent="0.35">
      <c r="A9" t="s">
        <v>6210</v>
      </c>
      <c r="B9">
        <v>10</v>
      </c>
    </row>
    <row r="10" spans="1:3" x14ac:dyDescent="0.35">
      <c r="A10" t="s">
        <v>6267</v>
      </c>
      <c r="B10">
        <v>9</v>
      </c>
    </row>
    <row r="11" spans="1:3" x14ac:dyDescent="0.35">
      <c r="A11" t="s">
        <v>5610</v>
      </c>
      <c r="B11">
        <v>7</v>
      </c>
    </row>
    <row r="14" spans="1:3" x14ac:dyDescent="0.35">
      <c r="A14" s="4" t="s">
        <v>6605</v>
      </c>
      <c r="B14" s="4" t="s">
        <v>6606</v>
      </c>
      <c r="C14" s="4" t="s">
        <v>6607</v>
      </c>
    </row>
    <row r="15" spans="1:3" x14ac:dyDescent="0.35">
      <c r="A15" t="s">
        <v>6608</v>
      </c>
      <c r="B15" t="s">
        <v>6609</v>
      </c>
    </row>
    <row r="16" spans="1:3" x14ac:dyDescent="0.35">
      <c r="A16" t="s">
        <v>6610</v>
      </c>
      <c r="B16" t="s">
        <v>6611</v>
      </c>
    </row>
    <row r="17" spans="1:2" x14ac:dyDescent="0.35">
      <c r="A17" t="s">
        <v>6612</v>
      </c>
      <c r="B17" t="s">
        <v>6613</v>
      </c>
    </row>
    <row r="18" spans="1:2" x14ac:dyDescent="0.35">
      <c r="A18" t="s">
        <v>6614</v>
      </c>
      <c r="B18" t="s">
        <v>6615</v>
      </c>
    </row>
    <row r="19" spans="1:2" x14ac:dyDescent="0.35">
      <c r="A19" t="s">
        <v>6616</v>
      </c>
      <c r="B19" t="s">
        <v>6617</v>
      </c>
    </row>
    <row r="20" spans="1:2" x14ac:dyDescent="0.35">
      <c r="A20" t="s">
        <v>6618</v>
      </c>
      <c r="B20">
        <v>7</v>
      </c>
    </row>
    <row r="21" spans="1:2" x14ac:dyDescent="0.35">
      <c r="A21" t="s">
        <v>6619</v>
      </c>
      <c r="B21">
        <v>999</v>
      </c>
    </row>
    <row r="24" spans="1:2" x14ac:dyDescent="0.35">
      <c r="A24" s="4" t="s">
        <v>6620</v>
      </c>
      <c r="B24" s="4" t="s">
        <v>6621</v>
      </c>
    </row>
    <row r="25" spans="1:2" x14ac:dyDescent="0.35">
      <c r="A25" t="s">
        <v>6622</v>
      </c>
      <c r="B25" t="s">
        <v>6623</v>
      </c>
    </row>
    <row r="26" spans="1:2" x14ac:dyDescent="0.35">
      <c r="A26" t="s">
        <v>6624</v>
      </c>
      <c r="B26" t="s">
        <v>6625</v>
      </c>
    </row>
    <row r="27" spans="1:2" x14ac:dyDescent="0.35">
      <c r="A27" t="s">
        <v>6626</v>
      </c>
      <c r="B27" t="s">
        <v>6627</v>
      </c>
    </row>
    <row r="28" spans="1:2" x14ac:dyDescent="0.35">
      <c r="A28" t="s">
        <v>32</v>
      </c>
      <c r="B28" t="s">
        <v>6628</v>
      </c>
    </row>
    <row r="29" spans="1:2" x14ac:dyDescent="0.35">
      <c r="A29" t="s">
        <v>50</v>
      </c>
      <c r="B29" t="s">
        <v>6629</v>
      </c>
    </row>
    <row r="30" spans="1:2" x14ac:dyDescent="0.35">
      <c r="A30" t="s">
        <v>7</v>
      </c>
      <c r="B30" t="s">
        <v>6630</v>
      </c>
    </row>
    <row r="31" spans="1:2" x14ac:dyDescent="0.35">
      <c r="A31" t="s">
        <v>6631</v>
      </c>
      <c r="B31" t="s">
        <v>6632</v>
      </c>
    </row>
    <row r="32" spans="1:2" x14ac:dyDescent="0.35">
      <c r="A32" t="s">
        <v>5</v>
      </c>
      <c r="B32" t="s">
        <v>6633</v>
      </c>
    </row>
  </sheetData>
  <conditionalFormatting sqref="A24:B24">
    <cfRule type="duplicateValues" dxfId="20" priority="1"/>
    <cfRule type="duplicateValues" dxfId="19" priority="2"/>
    <cfRule type="duplicateValues" dxfId="18" priority="3"/>
    <cfRule type="duplicateValues" dxfId="17" priority="4"/>
    <cfRule type="duplicateValues" dxfId="16" priority="5"/>
    <cfRule type="duplicateValues" dxfId="15" priority="6"/>
    <cfRule type="duplicateValues" dxfId="14" priority="7"/>
  </conditionalFormatting>
  <conditionalFormatting sqref="A3:C3">
    <cfRule type="duplicateValues" dxfId="13" priority="15"/>
    <cfRule type="duplicateValues" dxfId="12" priority="16"/>
    <cfRule type="duplicateValues" dxfId="11" priority="17"/>
    <cfRule type="duplicateValues" dxfId="10" priority="18"/>
    <cfRule type="duplicateValues" dxfId="9" priority="19"/>
    <cfRule type="duplicateValues" dxfId="8" priority="20"/>
    <cfRule type="duplicateValues" dxfId="7" priority="21"/>
  </conditionalFormatting>
  <conditionalFormatting sqref="A14:C14">
    <cfRule type="duplicateValues" dxfId="6" priority="8"/>
    <cfRule type="duplicateValues" dxfId="5" priority="9"/>
    <cfRule type="duplicateValues" dxfId="4" priority="10"/>
    <cfRule type="duplicateValues" dxfId="3" priority="11"/>
    <cfRule type="duplicateValues" dxfId="2" priority="12"/>
    <cfRule type="duplicateValues" dxfId="1" priority="13"/>
    <cfRule type="duplicateValues" dxfId="0" priority="14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E747609156D2449DEABB3C9C2D4141" ma:contentTypeVersion="13" ma:contentTypeDescription="Create a new document." ma:contentTypeScope="" ma:versionID="6524647019606b1e4d6f6bb231a8168c">
  <xsd:schema xmlns:xsd="http://www.w3.org/2001/XMLSchema" xmlns:xs="http://www.w3.org/2001/XMLSchema" xmlns:p="http://schemas.microsoft.com/office/2006/metadata/properties" xmlns:ns2="f586d53f-83d1-42ed-9134-efa7903d5de8" targetNamespace="http://schemas.microsoft.com/office/2006/metadata/properties" ma:root="true" ma:fieldsID="08dddcbee703f2793d98fdaecd3cc997" ns2:_="">
    <xsd:import namespace="f586d53f-83d1-42ed-9134-efa7903d5d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_Flow_SignoffStatu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86d53f-83d1-42ed-9134-efa7903d5d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2" nillable="true" ma:displayName="Sign-off status" ma:internalName="Sign_x002d_off_x0020_status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86d53f-83d1-42ed-9134-efa7903d5de8">
      <Terms xmlns="http://schemas.microsoft.com/office/infopath/2007/PartnerControls"/>
    </lcf76f155ced4ddcb4097134ff3c332f>
    <_Flow_SignoffStatus xmlns="f586d53f-83d1-42ed-9134-efa7903d5de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0CFF9B-C365-4242-8AB6-F3C056C17A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86d53f-83d1-42ed-9134-efa7903d5d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5AD86D4-7225-4019-A8A2-B5266967CAED}">
  <ds:schemaRefs>
    <ds:schemaRef ds:uri="http://schemas.microsoft.com/office/infopath/2007/PartnerControls"/>
    <ds:schemaRef ds:uri="http://schemas.openxmlformats.org/package/2006/metadata/core-properties"/>
    <ds:schemaRef ds:uri="f586d53f-83d1-42ed-9134-efa7903d5de8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2006/metadata/properties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A0A907A9-B051-48E4-8848-E94744BE434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Sheet5 (2)</vt:lpstr>
      <vt:lpstr>Sheet3</vt:lpstr>
      <vt:lpstr>Sheet5</vt:lpstr>
      <vt:lpstr>Sheet7</vt:lpstr>
      <vt:lpstr>Sites</vt:lpstr>
      <vt:lpstr>Parameter</vt:lpstr>
      <vt:lpstr>tag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Manantsoa VAGNONDILY</dc:creator>
  <cp:keywords/>
  <dc:description/>
  <cp:lastModifiedBy>Ianosca DESCOMBES</cp:lastModifiedBy>
  <cp:revision/>
  <dcterms:created xsi:type="dcterms:W3CDTF">2026-01-20T08:00:34Z</dcterms:created>
  <dcterms:modified xsi:type="dcterms:W3CDTF">2026-01-29T10:45:50Z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3a108f-898d-4589-9ebc-7ee3b46df9b8_Enabled">
    <vt:lpwstr>true</vt:lpwstr>
  </property>
  <property fmtid="{D5CDD505-2E9C-101B-9397-08002B2CF9AE}" pid="3" name="MSIP_Label_2a3a108f-898d-4589-9ebc-7ee3b46df9b8_SetDate">
    <vt:lpwstr>2026-01-20T08:45:04Z</vt:lpwstr>
  </property>
  <property fmtid="{D5CDD505-2E9C-101B-9397-08002B2CF9AE}" pid="4" name="MSIP_Label_2a3a108f-898d-4589-9ebc-7ee3b46df9b8_Method">
    <vt:lpwstr>Standard</vt:lpwstr>
  </property>
  <property fmtid="{D5CDD505-2E9C-101B-9397-08002B2CF9AE}" pid="5" name="MSIP_Label_2a3a108f-898d-4589-9ebc-7ee3b46df9b8_Name">
    <vt:lpwstr>Official use only</vt:lpwstr>
  </property>
  <property fmtid="{D5CDD505-2E9C-101B-9397-08002B2CF9AE}" pid="6" name="MSIP_Label_2a3a108f-898d-4589-9ebc-7ee3b46df9b8_SiteId">
    <vt:lpwstr>462ad9ae-d7d9-4206-b874-71b1e079776f</vt:lpwstr>
  </property>
  <property fmtid="{D5CDD505-2E9C-101B-9397-08002B2CF9AE}" pid="7" name="MSIP_Label_2a3a108f-898d-4589-9ebc-7ee3b46df9b8_ActionId">
    <vt:lpwstr>139e902f-42a3-4699-9662-8082d2e54cbe</vt:lpwstr>
  </property>
  <property fmtid="{D5CDD505-2E9C-101B-9397-08002B2CF9AE}" pid="8" name="MSIP_Label_2a3a108f-898d-4589-9ebc-7ee3b46df9b8_ContentBits">
    <vt:lpwstr>0</vt:lpwstr>
  </property>
  <property fmtid="{D5CDD505-2E9C-101B-9397-08002B2CF9AE}" pid="9" name="MSIP_Label_2a3a108f-898d-4589-9ebc-7ee3b46df9b8_Tag">
    <vt:lpwstr>10, 3, 0, 1</vt:lpwstr>
  </property>
  <property fmtid="{D5CDD505-2E9C-101B-9397-08002B2CF9AE}" pid="10" name="ContentTypeId">
    <vt:lpwstr>0x010100DDE747609156D2449DEABB3C9C2D4141</vt:lpwstr>
  </property>
  <property fmtid="{D5CDD505-2E9C-101B-9397-08002B2CF9AE}" pid="11" name="MediaServiceImageTags">
    <vt:lpwstr/>
  </property>
</Properties>
</file>